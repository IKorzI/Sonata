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'25-1'!$C$3:$AF$29</definedName>
    <definedName name="A1048577" localSheetId="1">#REF!</definedName>
    <definedName name="Ф80" localSheetId="1">#REF!</definedName>
    <definedName name="_xlnm.Print_Area" localSheetId="1">'25-2'!$C$3:$AF$29</definedName>
    <definedName name="A1048577" localSheetId="2">#REF!</definedName>
    <definedName name="Ф80" localSheetId="2">#REF!</definedName>
    <definedName name="_xlnm.Print_Area" localSheetId="2">'25-3'!$C$3:$AF$29</definedName>
    <definedName name="A1048577" localSheetId="3">#REF!</definedName>
    <definedName name="Ф80" localSheetId="3">#REF!</definedName>
    <definedName name="_xlnm.Print_Area" localSheetId="3">'25-4'!$C$3:$AF$29</definedName>
    <definedName name="A1048577" localSheetId="4">#REF!</definedName>
    <definedName name="Ф80" localSheetId="4">#REF!</definedName>
    <definedName name="_xlnm.Print_Area" localSheetId="4">'25-5'!$C$3:$AF$29</definedName>
    <definedName name="A1048577" localSheetId="5">#REF!</definedName>
    <definedName name="Ф80" localSheetId="5">#REF!</definedName>
    <definedName name="_xlnm.Print_Area" localSheetId="5">'Зведена'!$C$3:$J$31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>
        <v>2</v>
      </c>
      <c r="V15" s="38" t="n"/>
      <c r="W15" s="38" t="n"/>
      <c r="X15" s="38" t="n"/>
      <c r="Y15" s="61" t="n"/>
      <c r="Z15" s="61" t="n"/>
      <c r="AA15" s="38" t="n"/>
      <c r="AB15" s="38" t="n">
        <v>2</v>
      </c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61" t="n"/>
      <c r="Z18" s="61" t="n"/>
      <c r="AA18" s="38" t="n"/>
      <c r="AB18" s="38" t="n"/>
      <c r="AC18" s="38" t="n"/>
      <c r="AD18" s="38" t="n">
        <v>2</v>
      </c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61" t="n"/>
      <c r="Z21" s="61" t="n"/>
      <c r="AA21" s="38" t="n"/>
      <c r="AB21" s="38" t="n"/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>
        <v>2</v>
      </c>
      <c r="R24" s="61" t="n"/>
      <c r="S24" s="61" t="n"/>
      <c r="T24" s="38" t="n">
        <v>2</v>
      </c>
      <c r="U24" s="38" t="n"/>
      <c r="V24" s="38" t="n"/>
      <c r="W24" s="38" t="n"/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>
        <v>2</v>
      </c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>
        <v>2</v>
      </c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61" t="n"/>
      <c r="Z16" s="61" t="n"/>
      <c r="AA16" s="38" t="n">
        <v>2</v>
      </c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61" t="n"/>
      <c r="Z18" s="61" t="n"/>
      <c r="AA18" s="38" t="n"/>
      <c r="AB18" s="38" t="n">
        <v>2</v>
      </c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61" t="n"/>
      <c r="Z20" s="61" t="n"/>
      <c r="AA20" s="38" t="n">
        <v>2</v>
      </c>
      <c r="AB20" s="38" t="n"/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61" t="n"/>
      <c r="Z13" s="61" t="n"/>
      <c r="AA13" s="38" t="n"/>
      <c r="AB13" s="38" t="n"/>
      <c r="AC13" s="38" t="n">
        <v>2</v>
      </c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61" t="n"/>
      <c r="Z20" s="61" t="n"/>
      <c r="AA20" s="38" t="n"/>
      <c r="AB20" s="38" t="n">
        <v>2</v>
      </c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61" t="n"/>
      <c r="Z23" s="61" t="n"/>
      <c r="AA23" s="38" t="n"/>
      <c r="AB23" s="38" t="n"/>
      <c r="AC23" s="38" t="n">
        <v>2</v>
      </c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>
        <v>2</v>
      </c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вересень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Андрльє І.О.</t>
        </is>
      </c>
      <c r="E10" s="27">
        <f>'25-1'!$AF$18</f>
        <v/>
      </c>
      <c r="F10" s="27">
        <f>'25-2'!$AF$18</f>
        <v/>
      </c>
      <c r="G10" s="27">
        <f>'25-3'!$AF$18</f>
        <v/>
      </c>
      <c r="H10" s="27">
        <f>'25-4'!$AF$18</f>
        <v/>
      </c>
      <c r="I10" s="27">
        <f>'25-5'!$AF$18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Антропова Л.І.</t>
        </is>
      </c>
      <c r="E11" s="30" t="n"/>
      <c r="F11" s="30">
        <f>'25-2'!$AF$21 + '25-2'!$AF$22</f>
        <v/>
      </c>
      <c r="G11" s="30" t="n"/>
      <c r="H11" s="30">
        <f>'25-4'!$AF$21 + '25-4'!$AF$22</f>
        <v/>
      </c>
      <c r="I11" s="30" t="n"/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Бабенко Л. Е.</t>
        </is>
      </c>
      <c r="E12" s="30" t="n"/>
      <c r="F12" s="30">
        <f>'25-2'!$AF$15</f>
        <v/>
      </c>
      <c r="G12" s="30">
        <f>'25-3'!$AF$15</f>
        <v/>
      </c>
      <c r="H12" s="30">
        <f>'25-4'!$AF$15</f>
        <v/>
      </c>
      <c r="I12" s="30">
        <f>'25-5'!$AF$15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Бабенко Л.Е.</t>
        </is>
      </c>
      <c r="E13" s="27">
        <f>'25-1'!$AF$15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Богданенко О.В.</t>
        </is>
      </c>
      <c r="E14" s="31">
        <f>'25-1'!$AF$12</f>
        <v/>
      </c>
      <c r="F14" s="31">
        <f>'25-2'!$AF$12</f>
        <v/>
      </c>
      <c r="G14" s="31">
        <f>'25-3'!$AF$12</f>
        <v/>
      </c>
      <c r="H14" s="31">
        <f>'25-4'!$AF$12</f>
        <v/>
      </c>
      <c r="I14" s="31">
        <f>'25-5'!$AF$12</f>
        <v/>
      </c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Бондаренко О.С.</t>
        </is>
      </c>
      <c r="E15" s="30">
        <f>'25-1'!$AF$20</f>
        <v/>
      </c>
      <c r="F15" s="30">
        <f>'25-2'!$AF$20</f>
        <v/>
      </c>
      <c r="G15" s="30" t="n"/>
      <c r="H15" s="30" t="n"/>
      <c r="I15" s="30" t="n"/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Возіян О.Г.</t>
        </is>
      </c>
      <c r="E16" s="30">
        <f>'25-1'!$AF$24</f>
        <v/>
      </c>
      <c r="F16" s="30">
        <f>'25-2'!$AF$24</f>
        <v/>
      </c>
      <c r="G16" s="30" t="n"/>
      <c r="H16" s="30" t="n"/>
      <c r="I16" s="30" t="n"/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Галеніна І.С.</t>
        </is>
      </c>
      <c r="E17" s="30" t="n"/>
      <c r="F17" s="30" t="n"/>
      <c r="G17" s="30">
        <f>'25-3'!$AF$24</f>
        <v/>
      </c>
      <c r="H17" s="30">
        <f>'25-4'!$AF$24</f>
        <v/>
      </c>
      <c r="I17" s="30">
        <f>'25-5'!$AF$24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Земляна Т.М.</t>
        </is>
      </c>
      <c r="E18" s="30" t="n"/>
      <c r="F18" s="30" t="n"/>
      <c r="G18" s="30">
        <f>'25-3'!$AF$20</f>
        <v/>
      </c>
      <c r="H18" s="30">
        <f>'25-4'!$AF$20</f>
        <v/>
      </c>
      <c r="I18" s="30">
        <f>'25-5'!$AF$20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Калюта Н.М.</t>
        </is>
      </c>
      <c r="E19" s="30">
        <f>'25-1'!$AF$23</f>
        <v/>
      </c>
      <c r="F19" s="30">
        <f>'25-2'!$AF$23</f>
        <v/>
      </c>
      <c r="G19" s="30">
        <f>'25-3'!$AF$23</f>
        <v/>
      </c>
      <c r="H19" s="30">
        <f>'25-4'!$AF$23</f>
        <v/>
      </c>
      <c r="I19" s="30">
        <f>'25-5'!$AF$23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Лазар В.І.</t>
        </is>
      </c>
      <c r="E20" s="27">
        <f>'25-1'!$AF$16</f>
        <v/>
      </c>
      <c r="F20" s="27">
        <f>'25-2'!$AF$16</f>
        <v/>
      </c>
      <c r="G20" s="27">
        <f>'25-3'!$AF$16</f>
        <v/>
      </c>
      <c r="H20" s="27">
        <f>'25-4'!$AF$16</f>
        <v/>
      </c>
      <c r="I20" s="27">
        <f>'25-5'!$AF$16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Левчук Т.Г.</t>
        </is>
      </c>
      <c r="E21" s="30">
        <f>'25-1'!$AF$19</f>
        <v/>
      </c>
      <c r="F21" s="30">
        <f>'25-2'!$AF$19</f>
        <v/>
      </c>
      <c r="G21" s="30">
        <f>'25-3'!$AF$19</f>
        <v/>
      </c>
      <c r="H21" s="30">
        <f>'25-4'!$AF$19</f>
        <v/>
      </c>
      <c r="I21" s="30">
        <f>'25-5'!$AF$19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Мельничук С.А.</t>
        </is>
      </c>
      <c r="E22" s="27">
        <f>'25-1'!$AF$13</f>
        <v/>
      </c>
      <c r="F22" s="27">
        <f>'25-2'!$AF$13</f>
        <v/>
      </c>
      <c r="G22" s="27">
        <f>'25-3'!$AF$13</f>
        <v/>
      </c>
      <c r="H22" s="27">
        <f>'25-4'!$AF$13</f>
        <v/>
      </c>
      <c r="I22" s="27">
        <f>'25-5'!$AF$13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Наговська Т.С.</t>
        </is>
      </c>
      <c r="E23" s="27">
        <f>'25-1'!$AF$14</f>
        <v/>
      </c>
      <c r="F23" s="27">
        <f>'25-2'!$AF$14</f>
        <v/>
      </c>
      <c r="G23" s="27">
        <f>'25-3'!$AF$14</f>
        <v/>
      </c>
      <c r="H23" s="27">
        <f>'25-4'!$AF$14</f>
        <v/>
      </c>
      <c r="I23" s="27">
        <f>'25-5'!$AF$14</f>
        <v/>
      </c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Нічик Н.О.</t>
        </is>
      </c>
      <c r="E24" s="27">
        <f>'25-1'!$AF$17</f>
        <v/>
      </c>
      <c r="F24" s="27">
        <f>'25-2'!$AF$17</f>
        <v/>
      </c>
      <c r="G24" s="27">
        <f>'25-3'!$AF$17</f>
        <v/>
      </c>
      <c r="H24" s="27">
        <f>'25-4'!$AF$17</f>
        <v/>
      </c>
      <c r="I24" s="27">
        <f>'25-5'!$AF$17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Пономарьов К.М.</t>
        </is>
      </c>
      <c r="E25" s="30" t="n"/>
      <c r="F25" s="30" t="n"/>
      <c r="G25" s="30" t="n"/>
      <c r="H25" s="30">
        <f>'25-4'!$AF$25</f>
        <v/>
      </c>
      <c r="I25" s="30">
        <f>'25-5'!$AF$25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Сахно Н.О.</t>
        </is>
      </c>
      <c r="E26" s="30">
        <f>'25-1'!$AF$25</f>
        <v/>
      </c>
      <c r="F26" s="30">
        <f>'25-2'!$AF$25</f>
        <v/>
      </c>
      <c r="G26" s="30">
        <f>'25-3'!$AF$25</f>
        <v/>
      </c>
      <c r="H26" s="30" t="n"/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25" t="n">
        <v>18</v>
      </c>
      <c r="D27" s="29" t="inlineStr">
        <is>
          <t>Юрченко О.Б.</t>
        </is>
      </c>
      <c r="E27" s="30">
        <f>'25-1'!$AF$21 + '25-1'!$AF$22</f>
        <v/>
      </c>
      <c r="F27" s="30" t="n"/>
      <c r="G27" s="30">
        <f>'25-3'!$AF$21 + '25-3'!$AF$22</f>
        <v/>
      </c>
      <c r="H27" s="30" t="n"/>
      <c r="I27" s="30">
        <f>'25-5'!$AF$21 + '25-5'!$AF$22</f>
        <v/>
      </c>
      <c r="J27" s="28">
        <f>IF(SUM(E27:I27)=0,"Очікую",SUM(E27:I27))</f>
        <v/>
      </c>
      <c r="K27" s="4" t="n"/>
      <c r="L27" s="17" t="n"/>
    </row>
    <row r="28" ht="18.75" customHeight="1">
      <c r="A28" s="15" t="n"/>
      <c r="B28" s="4" t="n"/>
      <c r="C28" s="33" t="n"/>
      <c r="D28" s="33" t="n"/>
      <c r="E28" s="34">
        <f>IF(SUM(E10:E27)=0,"Очікую",SUM(E10:E27))</f>
        <v/>
      </c>
      <c r="F28" s="34">
        <f>IF(SUM(F10:F27)=0,"Очікую",SUM(F10:F27))</f>
        <v/>
      </c>
      <c r="G28" s="34">
        <f>IF(SUM(G10:G27)=0,"Очікую",SUM(G10:G27))</f>
        <v/>
      </c>
      <c r="H28" s="34">
        <f>IF(SUM(H10:H27)=0,"Очікую",SUM(H10:H27))</f>
        <v/>
      </c>
      <c r="I28" s="34">
        <f>IF(SUM(I10:I27)=0,"Очікую",SUM(I10:I27))</f>
        <v/>
      </c>
      <c r="J28" s="28">
        <f>IF(SUM(J10:J27)=0,"Очікую",SUM(J10:J27))</f>
        <v/>
      </c>
      <c r="K28" s="4" t="n"/>
      <c r="L28" s="17" t="n"/>
    </row>
    <row r="29" ht="18.75" customHeight="1">
      <c r="A29" s="15" t="n"/>
      <c r="B29" s="4" t="n"/>
      <c r="C29" s="51" t="n"/>
      <c r="D29" s="35" t="n"/>
      <c r="E29" s="36" t="n"/>
      <c r="F29" s="36" t="n"/>
      <c r="G29" s="36" t="n"/>
      <c r="H29" s="36" t="n"/>
      <c r="I29" s="36" t="n"/>
      <c r="J29" s="22" t="inlineStr">
        <is>
          <t>Всього</t>
        </is>
      </c>
      <c r="K29" s="4" t="n"/>
      <c r="L29" s="17" t="n"/>
    </row>
    <row r="30" ht="18.75" customHeight="1">
      <c r="A30" s="15" t="n"/>
      <c r="B30" s="4" t="n"/>
      <c r="C30" s="51" t="n"/>
      <c r="D30" s="33" t="n"/>
      <c r="E30" s="36" t="n"/>
      <c r="F30" s="36" t="n"/>
      <c r="G30" s="36" t="n"/>
      <c r="H30" s="36" t="n"/>
      <c r="I30" s="36" t="n"/>
      <c r="J30" s="36" t="n"/>
      <c r="K30" s="4" t="n"/>
      <c r="L30" s="17" t="n"/>
    </row>
    <row r="31" ht="18.75" customHeight="1">
      <c r="A31" s="15" t="n"/>
      <c r="B31" s="4" t="n"/>
      <c r="C31" s="51" t="inlineStr">
        <is>
          <t>Завідувач відділення  ПЗСО   ______________  Маргарита БРІТІКОВА</t>
        </is>
      </c>
      <c r="K31" s="4" t="n"/>
      <c r="L31" s="17" t="n"/>
    </row>
    <row r="32" ht="18.75" customHeight="1">
      <c r="A32" s="15" t="n"/>
      <c r="B32" s="4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4" t="n"/>
      <c r="L32" s="17" t="n"/>
    </row>
    <row r="33" ht="18.75" customHeight="1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3" t="n"/>
    </row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6:J6"/>
    <mergeCell ref="C31:J31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2026-06-18T16:46:13Z</dcterms:modified>
  <cp:lastModifiedBy>Maxim Surkov</cp:lastModifiedBy>
  <cp:lastPrinted>2026-04-27T16:54:37Z</cp:lastPrinted>
</cp:coreProperties>
</file>