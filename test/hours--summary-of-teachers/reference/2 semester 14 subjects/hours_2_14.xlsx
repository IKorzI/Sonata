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  <sheet xmlns:r="http://schemas.openxmlformats.org/officeDocument/2006/relationships" name="Зведена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'25-1'!$C$3:$Y$30</definedName>
    <definedName name="A1048577" localSheetId="1">#REF!</definedName>
    <definedName name="Ф80" localSheetId="1">#REF!</definedName>
    <definedName name="_xlnm.Print_Area" localSheetId="1">'25-2'!$C$3:$Y$30</definedName>
    <definedName name="A1048577" localSheetId="2">#REF!</definedName>
    <definedName name="Ф80" localSheetId="2">#REF!</definedName>
    <definedName name="_xlnm.Print_Area" localSheetId="2">'25-3'!$C$3:$Y$30</definedName>
    <definedName name="A1048577" localSheetId="3">#REF!</definedName>
    <definedName name="Ф80" localSheetId="3">#REF!</definedName>
    <definedName name="_xlnm.Print_Area" localSheetId="3">'25-4'!$C$3:$Y$30</definedName>
    <definedName name="A1048577" localSheetId="4">#REF!</definedName>
    <definedName name="Ф80" localSheetId="4">#REF!</definedName>
    <definedName name="_xlnm.Print_Area" localSheetId="4">'25-5'!$C$3:$Y$30</definedName>
    <definedName name="A1048577" localSheetId="5">#REF!</definedName>
    <definedName name="Ф80" localSheetId="5">#REF!</definedName>
    <definedName name="_xlnm.Print_Area" localSheetId="5">'Зведена'!$C$3:$J$30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>
        <v>2</v>
      </c>
      <c r="H13" s="38" t="n"/>
      <c r="I13" s="38" t="n">
        <v>2</v>
      </c>
      <c r="J13" s="38" t="n"/>
      <c r="K13" s="61" t="n"/>
      <c r="L13" s="61" t="n"/>
      <c r="M13" s="38" t="n"/>
      <c r="N13" s="38" t="n"/>
      <c r="O13" s="38" t="n"/>
      <c r="P13" s="38" t="n">
        <v>2</v>
      </c>
      <c r="Q13" s="38" t="n"/>
      <c r="R13" s="61" t="n"/>
      <c r="S13" s="61" t="n"/>
      <c r="T13" s="38" t="n"/>
      <c r="U13" s="38" t="n">
        <v>2</v>
      </c>
      <c r="V13" s="38" t="n"/>
      <c r="W13" s="38" t="n">
        <v>2</v>
      </c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/>
      <c r="I14" s="38" t="n">
        <v>2</v>
      </c>
      <c r="J14" s="38" t="n"/>
      <c r="K14" s="61" t="n"/>
      <c r="L14" s="61" t="n"/>
      <c r="M14" s="38" t="n"/>
      <c r="N14" s="38" t="n"/>
      <c r="O14" s="38" t="n"/>
      <c r="P14" s="38" t="n">
        <v>2</v>
      </c>
      <c r="Q14" s="38" t="n"/>
      <c r="R14" s="61" t="n"/>
      <c r="S14" s="61" t="n"/>
      <c r="T14" s="38" t="n"/>
      <c r="U14" s="38" t="n"/>
      <c r="V14" s="38" t="n"/>
      <c r="W14" s="38" t="n">
        <v>2</v>
      </c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/>
      <c r="I15" s="38" t="n"/>
      <c r="J15" s="38" t="n">
        <v>2</v>
      </c>
      <c r="K15" s="61" t="n"/>
      <c r="L15" s="61" t="n"/>
      <c r="M15" s="38" t="n"/>
      <c r="N15" s="38" t="n"/>
      <c r="O15" s="38" t="n"/>
      <c r="P15" s="38" t="n"/>
      <c r="Q15" s="38" t="n">
        <v>2</v>
      </c>
      <c r="R15" s="61" t="n"/>
      <c r="S15" s="61" t="n"/>
      <c r="T15" s="38" t="n"/>
      <c r="U15" s="38" t="n"/>
      <c r="V15" s="38" t="n"/>
      <c r="W15" s="38" t="n"/>
      <c r="X15" s="38" t="n">
        <v>2</v>
      </c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Сербулова Ю.А.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/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>
        <v>2</v>
      </c>
      <c r="R17" s="61" t="n"/>
      <c r="S17" s="61" t="n"/>
      <c r="T17" s="38" t="n"/>
      <c r="U17" s="38" t="n"/>
      <c r="V17" s="38" t="n">
        <v>2</v>
      </c>
      <c r="W17" s="38" t="n"/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Сербулова Ю.А.</t>
        </is>
      </c>
      <c r="F18" s="38" t="n"/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/>
      <c r="U18" s="38" t="n"/>
      <c r="V18" s="38" t="n"/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Бєльдюгіна С.С.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/>
      <c r="R19" s="61" t="n"/>
      <c r="S19" s="61" t="n"/>
      <c r="T19" s="38" t="n"/>
      <c r="U19" s="38" t="n"/>
      <c r="V19" s="38" t="n"/>
      <c r="W19" s="38" t="n"/>
      <c r="X19" s="38" t="n">
        <v>2</v>
      </c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>
        <v>2</v>
      </c>
      <c r="I20" s="38" t="n"/>
      <c r="J20" s="38" t="n"/>
      <c r="K20" s="61" t="n"/>
      <c r="L20" s="61" t="n"/>
      <c r="M20" s="38" t="n"/>
      <c r="N20" s="38" t="n"/>
      <c r="O20" s="38" t="n">
        <v>2</v>
      </c>
      <c r="P20" s="38" t="n"/>
      <c r="Q20" s="38" t="n"/>
      <c r="R20" s="61" t="n"/>
      <c r="S20" s="61" t="n"/>
      <c r="T20" s="38" t="n"/>
      <c r="U20" s="38" t="n"/>
      <c r="V20" s="38" t="n">
        <v>2</v>
      </c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>
        <v>2</v>
      </c>
      <c r="H21" s="38" t="n"/>
      <c r="I21" s="38" t="n"/>
      <c r="J21" s="38" t="n"/>
      <c r="K21" s="61" t="n"/>
      <c r="L21" s="61" t="n"/>
      <c r="M21" s="38" t="n"/>
      <c r="N21" s="38" t="n">
        <v>4</v>
      </c>
      <c r="O21" s="38" t="n"/>
      <c r="P21" s="38" t="n"/>
      <c r="Q21" s="38" t="n"/>
      <c r="R21" s="61" t="n"/>
      <c r="S21" s="61" t="n"/>
      <c r="T21" s="38" t="n">
        <v>2</v>
      </c>
      <c r="U21" s="38" t="n">
        <v>2</v>
      </c>
      <c r="V21" s="38" t="n"/>
      <c r="W21" s="38" t="n"/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>
        <v>2</v>
      </c>
      <c r="H22" s="38" t="n"/>
      <c r="I22" s="38" t="n"/>
      <c r="J22" s="38" t="n"/>
      <c r="K22" s="61" t="n"/>
      <c r="L22" s="61" t="n"/>
      <c r="M22" s="38" t="n"/>
      <c r="N22" s="38" t="n">
        <v>2</v>
      </c>
      <c r="O22" s="38" t="n"/>
      <c r="P22" s="38" t="n"/>
      <c r="Q22" s="38" t="n"/>
      <c r="R22" s="61" t="n"/>
      <c r="S22" s="61" t="n"/>
      <c r="T22" s="38" t="n"/>
      <c r="U22" s="38" t="n">
        <v>2</v>
      </c>
      <c r="V22" s="38" t="n"/>
      <c r="W22" s="38" t="n"/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>
        <v>2</v>
      </c>
      <c r="G23" s="38" t="n"/>
      <c r="H23" s="38" t="n"/>
      <c r="I23" s="38" t="n"/>
      <c r="J23" s="38" t="n"/>
      <c r="K23" s="61" t="n"/>
      <c r="L23" s="61" t="n"/>
      <c r="M23" s="38" t="n">
        <v>2</v>
      </c>
      <c r="N23" s="38" t="n"/>
      <c r="O23" s="38" t="n"/>
      <c r="P23" s="38" t="n"/>
      <c r="Q23" s="38" t="n"/>
      <c r="R23" s="61" t="n"/>
      <c r="S23" s="61" t="n"/>
      <c r="T23" s="38" t="n">
        <v>2</v>
      </c>
      <c r="U23" s="38" t="n"/>
      <c r="V23" s="38" t="n"/>
      <c r="W23" s="38" t="n"/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>
        <v>2</v>
      </c>
      <c r="I24" s="38" t="n"/>
      <c r="J24" s="38" t="n"/>
      <c r="K24" s="61" t="n"/>
      <c r="L24" s="61" t="n"/>
      <c r="M24" s="38" t="n"/>
      <c r="N24" s="38" t="n">
        <v>2</v>
      </c>
      <c r="O24" s="38" t="n"/>
      <c r="P24" s="38" t="n"/>
      <c r="Q24" s="38" t="n"/>
      <c r="R24" s="61" t="n"/>
      <c r="S24" s="61" t="n"/>
      <c r="T24" s="38" t="n"/>
      <c r="U24" s="38" t="n">
        <v>2</v>
      </c>
      <c r="V24" s="38" t="n"/>
      <c r="W24" s="38" t="n"/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/>
      <c r="G25" s="38" t="n"/>
      <c r="H25" s="38" t="n">
        <v>2</v>
      </c>
      <c r="I25" s="38" t="n"/>
      <c r="J25" s="38" t="n">
        <v>2</v>
      </c>
      <c r="K25" s="61" t="n"/>
      <c r="L25" s="61" t="n"/>
      <c r="M25" s="38" t="n"/>
      <c r="N25" s="38" t="n"/>
      <c r="O25" s="38" t="n">
        <v>2</v>
      </c>
      <c r="P25" s="38" t="n"/>
      <c r="Q25" s="38" t="n"/>
      <c r="R25" s="61" t="n"/>
      <c r="S25" s="61" t="n"/>
      <c r="T25" s="38" t="n"/>
      <c r="U25" s="38" t="n"/>
      <c r="V25" s="38" t="n">
        <v>2</v>
      </c>
      <c r="W25" s="38" t="n"/>
      <c r="X25" s="38" t="n">
        <v>2</v>
      </c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>
        <v>2</v>
      </c>
      <c r="G26" s="38" t="n"/>
      <c r="H26" s="38" t="n"/>
      <c r="I26" s="38" t="n"/>
      <c r="J26" s="38" t="n"/>
      <c r="K26" s="61" t="n"/>
      <c r="L26" s="61" t="n"/>
      <c r="M26" s="38" t="n">
        <v>2</v>
      </c>
      <c r="N26" s="38" t="n"/>
      <c r="O26" s="38" t="n"/>
      <c r="P26" s="38" t="n"/>
      <c r="Q26" s="38" t="n"/>
      <c r="R26" s="61" t="n"/>
      <c r="S26" s="61" t="n"/>
      <c r="T26" s="38" t="n">
        <v>2</v>
      </c>
      <c r="U26" s="38" t="n"/>
      <c r="V26" s="38" t="n">
        <v>2</v>
      </c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/>
      <c r="H12" s="38" t="n">
        <v>2</v>
      </c>
      <c r="I12" s="38" t="n"/>
      <c r="J12" s="38" t="n"/>
      <c r="K12" s="61" t="n"/>
      <c r="L12" s="61" t="n"/>
      <c r="M12" s="38" t="n"/>
      <c r="N12" s="38" t="n"/>
      <c r="O12" s="38" t="n">
        <v>2</v>
      </c>
      <c r="P12" s="38" t="n"/>
      <c r="Q12" s="38" t="n"/>
      <c r="R12" s="61" t="n"/>
      <c r="S12" s="61" t="n"/>
      <c r="T12" s="38" t="n"/>
      <c r="U12" s="38" t="n"/>
      <c r="V12" s="38" t="n">
        <v>2</v>
      </c>
      <c r="W12" s="38" t="n"/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>
        <v>2</v>
      </c>
      <c r="I13" s="38" t="n"/>
      <c r="J13" s="38" t="n"/>
      <c r="K13" s="61" t="n"/>
      <c r="L13" s="61" t="n"/>
      <c r="M13" s="38" t="n"/>
      <c r="N13" s="38" t="n">
        <v>2</v>
      </c>
      <c r="O13" s="38" t="n">
        <v>2</v>
      </c>
      <c r="P13" s="38" t="n"/>
      <c r="Q13" s="38" t="n"/>
      <c r="R13" s="61" t="n"/>
      <c r="S13" s="61" t="n"/>
      <c r="T13" s="38" t="n"/>
      <c r="U13" s="38" t="n"/>
      <c r="V13" s="38" t="n">
        <v>2</v>
      </c>
      <c r="W13" s="38" t="n"/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/>
      <c r="I14" s="38" t="n"/>
      <c r="J14" s="38" t="n">
        <v>2</v>
      </c>
      <c r="K14" s="61" t="n"/>
      <c r="L14" s="61" t="n"/>
      <c r="M14" s="38" t="n"/>
      <c r="N14" s="38" t="n"/>
      <c r="O14" s="38" t="n"/>
      <c r="P14" s="38" t="n"/>
      <c r="Q14" s="38" t="n">
        <v>2</v>
      </c>
      <c r="R14" s="61" t="n"/>
      <c r="S14" s="61" t="n"/>
      <c r="T14" s="38" t="n"/>
      <c r="U14" s="38" t="n"/>
      <c r="V14" s="38" t="n"/>
      <c r="W14" s="38" t="n"/>
      <c r="X14" s="38" t="n">
        <v>2</v>
      </c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/>
      <c r="I15" s="38" t="n"/>
      <c r="J15" s="38" t="n">
        <v>2</v>
      </c>
      <c r="K15" s="61" t="n"/>
      <c r="L15" s="61" t="n"/>
      <c r="M15" s="38" t="n"/>
      <c r="N15" s="38" t="n"/>
      <c r="O15" s="38" t="n"/>
      <c r="P15" s="38" t="n"/>
      <c r="Q15" s="38" t="n">
        <v>2</v>
      </c>
      <c r="R15" s="61" t="n"/>
      <c r="S15" s="61" t="n"/>
      <c r="T15" s="38" t="n"/>
      <c r="U15" s="38" t="n"/>
      <c r="V15" s="38" t="n"/>
      <c r="W15" s="38" t="n"/>
      <c r="X15" s="38" t="n">
        <v>2</v>
      </c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Сербулова Ю.А.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/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>
        <v>2</v>
      </c>
      <c r="H17" s="38" t="n"/>
      <c r="I17" s="38" t="n">
        <v>2</v>
      </c>
      <c r="J17" s="38" t="n"/>
      <c r="K17" s="61" t="n"/>
      <c r="L17" s="61" t="n"/>
      <c r="M17" s="38" t="n"/>
      <c r="N17" s="38" t="n"/>
      <c r="O17" s="38" t="n"/>
      <c r="P17" s="38" t="n">
        <v>2</v>
      </c>
      <c r="Q17" s="38" t="n"/>
      <c r="R17" s="61" t="n"/>
      <c r="S17" s="61" t="n"/>
      <c r="T17" s="38" t="n"/>
      <c r="U17" s="38" t="n">
        <v>2</v>
      </c>
      <c r="V17" s="38" t="n"/>
      <c r="W17" s="38" t="n">
        <v>2</v>
      </c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Сербулова Ю.А.</t>
        </is>
      </c>
      <c r="F18" s="38" t="n"/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/>
      <c r="U18" s="38" t="n"/>
      <c r="V18" s="38" t="n"/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Бєльдюгіна С.С.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/>
      <c r="R19" s="61" t="n"/>
      <c r="S19" s="61" t="n"/>
      <c r="T19" s="38" t="n"/>
      <c r="U19" s="38" t="n"/>
      <c r="V19" s="38" t="n"/>
      <c r="W19" s="38" t="n"/>
      <c r="X19" s="38" t="n">
        <v>2</v>
      </c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>
        <v>2</v>
      </c>
      <c r="I20" s="38" t="n"/>
      <c r="J20" s="38" t="n"/>
      <c r="K20" s="61" t="n"/>
      <c r="L20" s="61" t="n"/>
      <c r="M20" s="38" t="n"/>
      <c r="N20" s="38" t="n"/>
      <c r="O20" s="38" t="n">
        <v>2</v>
      </c>
      <c r="P20" s="38" t="n"/>
      <c r="Q20" s="38" t="n"/>
      <c r="R20" s="61" t="n"/>
      <c r="S20" s="61" t="n"/>
      <c r="T20" s="38" t="n"/>
      <c r="U20" s="38" t="n"/>
      <c r="V20" s="38" t="n">
        <v>2</v>
      </c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/>
      <c r="H21" s="38" t="n"/>
      <c r="I21" s="38" t="n">
        <v>2</v>
      </c>
      <c r="J21" s="38" t="n">
        <v>2</v>
      </c>
      <c r="K21" s="61" t="n"/>
      <c r="L21" s="61" t="n"/>
      <c r="M21" s="38" t="n"/>
      <c r="N21" s="38" t="n"/>
      <c r="O21" s="38" t="n"/>
      <c r="P21" s="38" t="n">
        <v>2</v>
      </c>
      <c r="Q21" s="38" t="n"/>
      <c r="R21" s="61" t="n"/>
      <c r="S21" s="61" t="n"/>
      <c r="T21" s="38" t="n">
        <v>2</v>
      </c>
      <c r="U21" s="38" t="n"/>
      <c r="V21" s="38" t="n"/>
      <c r="W21" s="38" t="n">
        <v>2</v>
      </c>
      <c r="X21" s="38" t="n">
        <v>2</v>
      </c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>
        <v>2</v>
      </c>
      <c r="H22" s="38" t="n"/>
      <c r="I22" s="38" t="n"/>
      <c r="J22" s="38" t="n"/>
      <c r="K22" s="61" t="n"/>
      <c r="L22" s="61" t="n"/>
      <c r="M22" s="38" t="n"/>
      <c r="N22" s="38" t="n">
        <v>2</v>
      </c>
      <c r="O22" s="38" t="n"/>
      <c r="P22" s="38" t="n"/>
      <c r="Q22" s="38" t="n"/>
      <c r="R22" s="61" t="n"/>
      <c r="S22" s="61" t="n"/>
      <c r="T22" s="38" t="n"/>
      <c r="U22" s="38" t="n">
        <v>2</v>
      </c>
      <c r="V22" s="38" t="n"/>
      <c r="W22" s="38" t="n"/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>
        <v>2</v>
      </c>
      <c r="G23" s="38" t="n"/>
      <c r="H23" s="38" t="n"/>
      <c r="I23" s="38" t="n"/>
      <c r="J23" s="38" t="n"/>
      <c r="K23" s="61" t="n"/>
      <c r="L23" s="61" t="n"/>
      <c r="M23" s="38" t="n">
        <v>2</v>
      </c>
      <c r="N23" s="38" t="n"/>
      <c r="O23" s="38" t="n"/>
      <c r="P23" s="38" t="n"/>
      <c r="Q23" s="38" t="n"/>
      <c r="R23" s="61" t="n"/>
      <c r="S23" s="61" t="n"/>
      <c r="T23" s="38" t="n">
        <v>2</v>
      </c>
      <c r="U23" s="38" t="n"/>
      <c r="V23" s="38" t="n"/>
      <c r="W23" s="38" t="n"/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>
        <v>2</v>
      </c>
      <c r="I24" s="38" t="n"/>
      <c r="J24" s="38" t="n"/>
      <c r="K24" s="61" t="n"/>
      <c r="L24" s="61" t="n"/>
      <c r="M24" s="38" t="n"/>
      <c r="N24" s="38" t="n">
        <v>2</v>
      </c>
      <c r="O24" s="38" t="n"/>
      <c r="P24" s="38" t="n"/>
      <c r="Q24" s="38" t="n"/>
      <c r="R24" s="61" t="n"/>
      <c r="S24" s="61" t="n"/>
      <c r="T24" s="38" t="n"/>
      <c r="U24" s="38" t="n">
        <v>2</v>
      </c>
      <c r="V24" s="38" t="n"/>
      <c r="W24" s="38" t="n"/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>
        <v>2</v>
      </c>
      <c r="G25" s="38" t="n"/>
      <c r="H25" s="38" t="n"/>
      <c r="I25" s="38" t="n"/>
      <c r="J25" s="38" t="n"/>
      <c r="K25" s="61" t="n"/>
      <c r="L25" s="61" t="n"/>
      <c r="M25" s="38" t="n">
        <v>2</v>
      </c>
      <c r="N25" s="38" t="n"/>
      <c r="O25" s="38" t="n"/>
      <c r="P25" s="38" t="n"/>
      <c r="Q25" s="38" t="n">
        <v>2</v>
      </c>
      <c r="R25" s="61" t="n"/>
      <c r="S25" s="61" t="n"/>
      <c r="T25" s="38" t="n">
        <v>2</v>
      </c>
      <c r="U25" s="38" t="n"/>
      <c r="V25" s="38" t="n"/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>
        <v>2</v>
      </c>
      <c r="G26" s="38" t="n"/>
      <c r="H26" s="38" t="n"/>
      <c r="I26" s="38" t="n"/>
      <c r="J26" s="38" t="n"/>
      <c r="K26" s="61" t="n"/>
      <c r="L26" s="61" t="n"/>
      <c r="M26" s="38" t="n">
        <v>2</v>
      </c>
      <c r="N26" s="38" t="n"/>
      <c r="O26" s="38" t="n"/>
      <c r="P26" s="38" t="n"/>
      <c r="Q26" s="38" t="n"/>
      <c r="R26" s="61" t="n"/>
      <c r="S26" s="61" t="n"/>
      <c r="T26" s="38" t="n">
        <v>2</v>
      </c>
      <c r="U26" s="38" t="n"/>
      <c r="V26" s="38" t="n">
        <v>2</v>
      </c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>
        <v>2</v>
      </c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>
        <v>2</v>
      </c>
      <c r="H13" s="38" t="n">
        <v>2</v>
      </c>
      <c r="I13" s="38" t="n"/>
      <c r="J13" s="38" t="n"/>
      <c r="K13" s="61" t="n"/>
      <c r="L13" s="61" t="n"/>
      <c r="M13" s="38" t="n"/>
      <c r="N13" s="38" t="n">
        <v>2</v>
      </c>
      <c r="O13" s="38" t="n"/>
      <c r="P13" s="38" t="n"/>
      <c r="Q13" s="38" t="n"/>
      <c r="R13" s="61" t="n"/>
      <c r="S13" s="61" t="n"/>
      <c r="T13" s="38" t="n"/>
      <c r="U13" s="38" t="n">
        <v>2</v>
      </c>
      <c r="V13" s="38" t="n">
        <v>2</v>
      </c>
      <c r="W13" s="38" t="n"/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/>
      <c r="I14" s="38" t="n"/>
      <c r="J14" s="38" t="n">
        <v>2</v>
      </c>
      <c r="K14" s="61" t="n"/>
      <c r="L14" s="61" t="n"/>
      <c r="M14" s="38" t="n"/>
      <c r="N14" s="38" t="n"/>
      <c r="O14" s="38" t="n"/>
      <c r="P14" s="38" t="n"/>
      <c r="Q14" s="38" t="n">
        <v>2</v>
      </c>
      <c r="R14" s="61" t="n"/>
      <c r="S14" s="61" t="n"/>
      <c r="T14" s="38" t="n"/>
      <c r="U14" s="38" t="n"/>
      <c r="V14" s="38" t="n"/>
      <c r="W14" s="38" t="n"/>
      <c r="X14" s="38" t="n">
        <v>2</v>
      </c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/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>
        <v>2</v>
      </c>
      <c r="U15" s="38" t="n"/>
      <c r="V15" s="38" t="n">
        <v>2</v>
      </c>
      <c r="W15" s="38" t="n"/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Сербулова Ю.А.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>
        <v>2</v>
      </c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>
        <v>2</v>
      </c>
      <c r="H17" s="38" t="n"/>
      <c r="I17" s="38" t="n">
        <v>2</v>
      </c>
      <c r="J17" s="38" t="n"/>
      <c r="K17" s="61" t="n"/>
      <c r="L17" s="61" t="n"/>
      <c r="M17" s="38" t="n"/>
      <c r="N17" s="38" t="n">
        <v>2</v>
      </c>
      <c r="O17" s="38" t="n"/>
      <c r="P17" s="38" t="n"/>
      <c r="Q17" s="38" t="n"/>
      <c r="R17" s="61" t="n"/>
      <c r="S17" s="61" t="n"/>
      <c r="T17" s="38" t="n"/>
      <c r="U17" s="38" t="n">
        <v>2</v>
      </c>
      <c r="V17" s="38" t="n"/>
      <c r="W17" s="38" t="n">
        <v>2</v>
      </c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/>
      <c r="I18" s="38" t="n"/>
      <c r="J18" s="38" t="n">
        <v>2</v>
      </c>
      <c r="K18" s="61" t="n"/>
      <c r="L18" s="61" t="n"/>
      <c r="M18" s="38" t="n"/>
      <c r="N18" s="38" t="n"/>
      <c r="O18" s="38" t="n"/>
      <c r="P18" s="38" t="n"/>
      <c r="Q18" s="38" t="n">
        <v>2</v>
      </c>
      <c r="R18" s="61" t="n"/>
      <c r="S18" s="61" t="n"/>
      <c r="T18" s="38" t="n"/>
      <c r="U18" s="38" t="n"/>
      <c r="V18" s="38" t="n"/>
      <c r="W18" s="38" t="n"/>
      <c r="X18" s="38" t="n">
        <v>2</v>
      </c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Бєльдюгіна С.С.</t>
        </is>
      </c>
      <c r="F19" s="38" t="n"/>
      <c r="G19" s="38" t="n"/>
      <c r="H19" s="38" t="n"/>
      <c r="I19" s="38" t="n"/>
      <c r="J19" s="38" t="n"/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>
        <v>2</v>
      </c>
      <c r="G20" s="38" t="n"/>
      <c r="H20" s="38" t="n"/>
      <c r="I20" s="38" t="n"/>
      <c r="J20" s="38" t="n"/>
      <c r="K20" s="61" t="n"/>
      <c r="L20" s="61" t="n"/>
      <c r="M20" s="38" t="n">
        <v>2</v>
      </c>
      <c r="N20" s="38" t="n"/>
      <c r="O20" s="38" t="n"/>
      <c r="P20" s="38" t="n"/>
      <c r="Q20" s="38" t="n"/>
      <c r="R20" s="61" t="n"/>
      <c r="S20" s="61" t="n"/>
      <c r="T20" s="38" t="n">
        <v>2</v>
      </c>
      <c r="U20" s="38" t="n"/>
      <c r="V20" s="38" t="n"/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Ромчук В.В.</t>
        </is>
      </c>
      <c r="F21" s="38" t="n"/>
      <c r="G21" s="38" t="n"/>
      <c r="H21" s="38" t="n"/>
      <c r="I21" s="38" t="n">
        <v>2</v>
      </c>
      <c r="J21" s="38" t="n"/>
      <c r="K21" s="61" t="n"/>
      <c r="L21" s="61" t="n"/>
      <c r="M21" s="38" t="n"/>
      <c r="N21" s="38" t="n"/>
      <c r="O21" s="38" t="n"/>
      <c r="P21" s="38" t="n">
        <v>4</v>
      </c>
      <c r="Q21" s="38" t="n"/>
      <c r="R21" s="61" t="n"/>
      <c r="S21" s="61" t="n"/>
      <c r="T21" s="38" t="n"/>
      <c r="U21" s="38" t="n"/>
      <c r="V21" s="38" t="n"/>
      <c r="W21" s="38" t="n">
        <v>2</v>
      </c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>
        <v>2</v>
      </c>
      <c r="H22" s="38" t="n"/>
      <c r="I22" s="38" t="n"/>
      <c r="J22" s="38" t="n"/>
      <c r="K22" s="61" t="n"/>
      <c r="L22" s="61" t="n"/>
      <c r="M22" s="38" t="n"/>
      <c r="N22" s="38" t="n">
        <v>2</v>
      </c>
      <c r="O22" s="38" t="n"/>
      <c r="P22" s="38" t="n"/>
      <c r="Q22" s="38" t="n"/>
      <c r="R22" s="61" t="n"/>
      <c r="S22" s="61" t="n"/>
      <c r="T22" s="38" t="n"/>
      <c r="U22" s="38" t="n">
        <v>2</v>
      </c>
      <c r="V22" s="38" t="n"/>
      <c r="W22" s="38" t="n"/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>
        <v>2</v>
      </c>
      <c r="G23" s="38" t="n"/>
      <c r="H23" s="38" t="n"/>
      <c r="I23" s="38" t="n"/>
      <c r="J23" s="38" t="n"/>
      <c r="K23" s="61" t="n"/>
      <c r="L23" s="61" t="n"/>
      <c r="M23" s="38" t="n">
        <v>2</v>
      </c>
      <c r="N23" s="38" t="n"/>
      <c r="O23" s="38" t="n"/>
      <c r="P23" s="38" t="n"/>
      <c r="Q23" s="38" t="n"/>
      <c r="R23" s="61" t="n"/>
      <c r="S23" s="61" t="n"/>
      <c r="T23" s="38" t="n">
        <v>2</v>
      </c>
      <c r="U23" s="38" t="n"/>
      <c r="V23" s="38" t="n"/>
      <c r="W23" s="38" t="n"/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/>
      <c r="H24" s="38" t="n"/>
      <c r="I24" s="38" t="n"/>
      <c r="J24" s="38" t="n">
        <v>2</v>
      </c>
      <c r="K24" s="61" t="n"/>
      <c r="L24" s="61" t="n"/>
      <c r="M24" s="38" t="n"/>
      <c r="N24" s="38" t="n"/>
      <c r="O24" s="38" t="n"/>
      <c r="P24" s="38" t="n"/>
      <c r="Q24" s="38" t="n">
        <v>2</v>
      </c>
      <c r="R24" s="61" t="n"/>
      <c r="S24" s="61" t="n"/>
      <c r="T24" s="38" t="n"/>
      <c r="U24" s="38" t="n"/>
      <c r="V24" s="38" t="n"/>
      <c r="W24" s="38" t="n"/>
      <c r="X24" s="38" t="n">
        <v>2</v>
      </c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>
        <v>2</v>
      </c>
      <c r="J25" s="38" t="n"/>
      <c r="K25" s="61" t="n"/>
      <c r="L25" s="61" t="n"/>
      <c r="M25" s="38" t="n"/>
      <c r="N25" s="38" t="n"/>
      <c r="O25" s="38" t="n">
        <v>2</v>
      </c>
      <c r="P25" s="38" t="n"/>
      <c r="Q25" s="38" t="n"/>
      <c r="R25" s="61" t="n"/>
      <c r="S25" s="61" t="n"/>
      <c r="T25" s="38" t="n"/>
      <c r="U25" s="38" t="n"/>
      <c r="V25" s="38" t="n">
        <v>2</v>
      </c>
      <c r="W25" s="38" t="n">
        <v>2</v>
      </c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>
        <v>2</v>
      </c>
      <c r="G26" s="38" t="n"/>
      <c r="H26" s="38" t="n">
        <v>2</v>
      </c>
      <c r="I26" s="38" t="n"/>
      <c r="J26" s="38" t="n"/>
      <c r="K26" s="61" t="n"/>
      <c r="L26" s="61" t="n"/>
      <c r="M26" s="38" t="n">
        <v>2</v>
      </c>
      <c r="N26" s="38" t="n"/>
      <c r="O26" s="38" t="n"/>
      <c r="P26" s="38" t="n"/>
      <c r="Q26" s="38" t="n"/>
      <c r="R26" s="61" t="n"/>
      <c r="S26" s="61" t="n"/>
      <c r="T26" s="38" t="n">
        <v>2</v>
      </c>
      <c r="U26" s="38" t="n"/>
      <c r="V26" s="38" t="n"/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>
        <v>2</v>
      </c>
      <c r="G12" s="38" t="n"/>
      <c r="H12" s="38" t="n"/>
      <c r="I12" s="38" t="n"/>
      <c r="J12" s="38" t="n"/>
      <c r="K12" s="61" t="n"/>
      <c r="L12" s="61" t="n"/>
      <c r="M12" s="38" t="n">
        <v>2</v>
      </c>
      <c r="N12" s="38" t="n"/>
      <c r="O12" s="38" t="n"/>
      <c r="P12" s="38" t="n"/>
      <c r="Q12" s="38" t="n"/>
      <c r="R12" s="61" t="n"/>
      <c r="S12" s="61" t="n"/>
      <c r="T12" s="38" t="n">
        <v>2</v>
      </c>
      <c r="U12" s="38" t="n"/>
      <c r="V12" s="38" t="n"/>
      <c r="W12" s="38" t="n"/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>
        <v>2</v>
      </c>
      <c r="I13" s="38" t="n">
        <v>2</v>
      </c>
      <c r="J13" s="38" t="n"/>
      <c r="K13" s="61" t="n"/>
      <c r="L13" s="61" t="n"/>
      <c r="M13" s="38" t="n"/>
      <c r="N13" s="38" t="n"/>
      <c r="O13" s="38" t="n">
        <v>2</v>
      </c>
      <c r="P13" s="38" t="n"/>
      <c r="Q13" s="38" t="n"/>
      <c r="R13" s="61" t="n"/>
      <c r="S13" s="61" t="n"/>
      <c r="T13" s="38" t="n"/>
      <c r="U13" s="38" t="n"/>
      <c r="V13" s="38" t="n">
        <v>2</v>
      </c>
      <c r="W13" s="38" t="n">
        <v>2</v>
      </c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/>
      <c r="I14" s="38" t="n"/>
      <c r="J14" s="38" t="n">
        <v>2</v>
      </c>
      <c r="K14" s="61" t="n"/>
      <c r="L14" s="61" t="n"/>
      <c r="M14" s="38" t="n"/>
      <c r="N14" s="38" t="n"/>
      <c r="O14" s="38" t="n"/>
      <c r="P14" s="38" t="n"/>
      <c r="Q14" s="38" t="n">
        <v>2</v>
      </c>
      <c r="R14" s="61" t="n"/>
      <c r="S14" s="61" t="n"/>
      <c r="T14" s="38" t="n"/>
      <c r="U14" s="38" t="n"/>
      <c r="V14" s="38" t="n"/>
      <c r="W14" s="38" t="n"/>
      <c r="X14" s="38" t="n">
        <v>2</v>
      </c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/>
      <c r="I15" s="38" t="n"/>
      <c r="J15" s="38" t="n">
        <v>2</v>
      </c>
      <c r="K15" s="61" t="n"/>
      <c r="L15" s="61" t="n"/>
      <c r="M15" s="38" t="n"/>
      <c r="N15" s="38" t="n"/>
      <c r="O15" s="38" t="n"/>
      <c r="P15" s="38" t="n"/>
      <c r="Q15" s="38" t="n">
        <v>2</v>
      </c>
      <c r="R15" s="61" t="n"/>
      <c r="S15" s="61" t="n"/>
      <c r="T15" s="38" t="n"/>
      <c r="U15" s="38" t="n"/>
      <c r="V15" s="38" t="n"/>
      <c r="W15" s="38" t="n"/>
      <c r="X15" s="38" t="n">
        <v>2</v>
      </c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Сербулова Ю.А.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/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>
        <v>2</v>
      </c>
      <c r="R17" s="61" t="n"/>
      <c r="S17" s="61" t="n"/>
      <c r="T17" s="38" t="n"/>
      <c r="U17" s="38" t="n"/>
      <c r="V17" s="38" t="n">
        <v>2</v>
      </c>
      <c r="W17" s="38" t="n"/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/>
      <c r="I18" s="38" t="n"/>
      <c r="J18" s="38" t="n">
        <v>2</v>
      </c>
      <c r="K18" s="61" t="n"/>
      <c r="L18" s="61" t="n"/>
      <c r="M18" s="38" t="n"/>
      <c r="N18" s="38" t="n"/>
      <c r="O18" s="38" t="n"/>
      <c r="P18" s="38" t="n"/>
      <c r="Q18" s="38" t="n">
        <v>2</v>
      </c>
      <c r="R18" s="61" t="n"/>
      <c r="S18" s="61" t="n"/>
      <c r="T18" s="38" t="n"/>
      <c r="U18" s="38" t="n"/>
      <c r="V18" s="38" t="n"/>
      <c r="W18" s="38" t="n"/>
      <c r="X18" s="38" t="n">
        <v>2</v>
      </c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Бєльдюгіна С.С.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/>
      <c r="R19" s="61" t="n"/>
      <c r="S19" s="61" t="n"/>
      <c r="T19" s="38" t="n"/>
      <c r="U19" s="38" t="n"/>
      <c r="V19" s="38" t="n"/>
      <c r="W19" s="38" t="n"/>
      <c r="X19" s="38" t="n">
        <v>2</v>
      </c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>
        <v>2</v>
      </c>
      <c r="G20" s="38" t="n"/>
      <c r="H20" s="38" t="n"/>
      <c r="I20" s="38" t="n"/>
      <c r="J20" s="38" t="n"/>
      <c r="K20" s="61" t="n"/>
      <c r="L20" s="61" t="n"/>
      <c r="M20" s="38" t="n">
        <v>2</v>
      </c>
      <c r="N20" s="38" t="n"/>
      <c r="O20" s="38" t="n"/>
      <c r="P20" s="38" t="n"/>
      <c r="Q20" s="38" t="n"/>
      <c r="R20" s="61" t="n"/>
      <c r="S20" s="61" t="n"/>
      <c r="T20" s="38" t="n">
        <v>2</v>
      </c>
      <c r="U20" s="38" t="n"/>
      <c r="V20" s="38" t="n"/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Ромчук В.В.</t>
        </is>
      </c>
      <c r="F21" s="38" t="n">
        <v>2</v>
      </c>
      <c r="G21" s="38" t="n"/>
      <c r="H21" s="38" t="n"/>
      <c r="I21" s="38" t="n">
        <v>2</v>
      </c>
      <c r="J21" s="38" t="n"/>
      <c r="K21" s="61" t="n"/>
      <c r="L21" s="61" t="n"/>
      <c r="M21" s="38" t="n"/>
      <c r="N21" s="38" t="n"/>
      <c r="O21" s="38" t="n"/>
      <c r="P21" s="38" t="n">
        <v>2</v>
      </c>
      <c r="Q21" s="38" t="n"/>
      <c r="R21" s="61" t="n"/>
      <c r="S21" s="61" t="n"/>
      <c r="T21" s="38" t="n">
        <v>2</v>
      </c>
      <c r="U21" s="38" t="n"/>
      <c r="V21" s="38" t="n"/>
      <c r="W21" s="38" t="n">
        <v>2</v>
      </c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>
        <v>2</v>
      </c>
      <c r="H22" s="38" t="n"/>
      <c r="I22" s="38" t="n"/>
      <c r="J22" s="38" t="n"/>
      <c r="K22" s="61" t="n"/>
      <c r="L22" s="61" t="n"/>
      <c r="M22" s="38" t="n"/>
      <c r="N22" s="38" t="n">
        <v>2</v>
      </c>
      <c r="O22" s="38" t="n"/>
      <c r="P22" s="38" t="n"/>
      <c r="Q22" s="38" t="n"/>
      <c r="R22" s="61" t="n"/>
      <c r="S22" s="61" t="n"/>
      <c r="T22" s="38" t="n"/>
      <c r="U22" s="38" t="n">
        <v>2</v>
      </c>
      <c r="V22" s="38" t="n"/>
      <c r="W22" s="38" t="n"/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>
        <v>2</v>
      </c>
      <c r="G23" s="38" t="n"/>
      <c r="H23" s="38" t="n"/>
      <c r="I23" s="38" t="n"/>
      <c r="J23" s="38" t="n"/>
      <c r="K23" s="61" t="n"/>
      <c r="L23" s="61" t="n"/>
      <c r="M23" s="38" t="n">
        <v>2</v>
      </c>
      <c r="N23" s="38" t="n"/>
      <c r="O23" s="38" t="n"/>
      <c r="P23" s="38" t="n"/>
      <c r="Q23" s="38" t="n"/>
      <c r="R23" s="61" t="n"/>
      <c r="S23" s="61" t="n"/>
      <c r="T23" s="38" t="n">
        <v>2</v>
      </c>
      <c r="U23" s="38" t="n"/>
      <c r="V23" s="38" t="n"/>
      <c r="W23" s="38" t="n"/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>
        <v>2</v>
      </c>
      <c r="I24" s="38" t="n"/>
      <c r="J24" s="38" t="n"/>
      <c r="K24" s="61" t="n"/>
      <c r="L24" s="61" t="n"/>
      <c r="M24" s="38" t="n"/>
      <c r="N24" s="38" t="n">
        <v>2</v>
      </c>
      <c r="O24" s="38" t="n"/>
      <c r="P24" s="38" t="n"/>
      <c r="Q24" s="38" t="n"/>
      <c r="R24" s="61" t="n"/>
      <c r="S24" s="61" t="n"/>
      <c r="T24" s="38" t="n"/>
      <c r="U24" s="38" t="n">
        <v>2</v>
      </c>
      <c r="V24" s="38" t="n"/>
      <c r="W24" s="38" t="n"/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/>
      <c r="I25" s="38" t="n">
        <v>2</v>
      </c>
      <c r="J25" s="38" t="n"/>
      <c r="K25" s="61" t="n"/>
      <c r="L25" s="61" t="n"/>
      <c r="M25" s="38" t="n">
        <v>2</v>
      </c>
      <c r="N25" s="38" t="n"/>
      <c r="O25" s="38" t="n"/>
      <c r="P25" s="38" t="n">
        <v>2</v>
      </c>
      <c r="Q25" s="38" t="n"/>
      <c r="R25" s="61" t="n"/>
      <c r="S25" s="61" t="n"/>
      <c r="T25" s="38" t="n"/>
      <c r="U25" s="38" t="n"/>
      <c r="V25" s="38" t="n"/>
      <c r="W25" s="38" t="n">
        <v>2</v>
      </c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>
        <v>2</v>
      </c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>
        <v>2</v>
      </c>
      <c r="G12" s="38" t="n"/>
      <c r="H12" s="38" t="n"/>
      <c r="I12" s="38" t="n"/>
      <c r="J12" s="38" t="n"/>
      <c r="K12" s="61" t="n"/>
      <c r="L12" s="61" t="n"/>
      <c r="M12" s="38" t="n">
        <v>2</v>
      </c>
      <c r="N12" s="38" t="n"/>
      <c r="O12" s="38" t="n"/>
      <c r="P12" s="38" t="n"/>
      <c r="Q12" s="38" t="n"/>
      <c r="R12" s="61" t="n"/>
      <c r="S12" s="61" t="n"/>
      <c r="T12" s="38" t="n">
        <v>2</v>
      </c>
      <c r="U12" s="38" t="n"/>
      <c r="V12" s="38" t="n"/>
      <c r="W12" s="38" t="n"/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>
        <v>2</v>
      </c>
      <c r="H13" s="38" t="n"/>
      <c r="I13" s="38" t="n"/>
      <c r="J13" s="38" t="n"/>
      <c r="K13" s="61" t="n"/>
      <c r="L13" s="61" t="n"/>
      <c r="M13" s="38" t="n"/>
      <c r="N13" s="38" t="n">
        <v>2</v>
      </c>
      <c r="O13" s="38" t="n">
        <v>2</v>
      </c>
      <c r="P13" s="38" t="n"/>
      <c r="Q13" s="38" t="n"/>
      <c r="R13" s="61" t="n"/>
      <c r="S13" s="61" t="n"/>
      <c r="T13" s="38" t="n"/>
      <c r="U13" s="38" t="n">
        <v>2</v>
      </c>
      <c r="V13" s="38" t="n"/>
      <c r="W13" s="38" t="n"/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/>
      <c r="I14" s="38" t="n">
        <v>2</v>
      </c>
      <c r="J14" s="38" t="n"/>
      <c r="K14" s="61" t="n"/>
      <c r="L14" s="61" t="n"/>
      <c r="M14" s="38" t="n"/>
      <c r="N14" s="38" t="n"/>
      <c r="O14" s="38" t="n"/>
      <c r="P14" s="38" t="n">
        <v>2</v>
      </c>
      <c r="Q14" s="38" t="n"/>
      <c r="R14" s="61" t="n"/>
      <c r="S14" s="61" t="n"/>
      <c r="T14" s="38" t="n"/>
      <c r="U14" s="38" t="n"/>
      <c r="V14" s="38" t="n"/>
      <c r="W14" s="38" t="n">
        <v>2</v>
      </c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>
        <v>2</v>
      </c>
      <c r="G15" s="38" t="n"/>
      <c r="H15" s="38" t="n"/>
      <c r="I15" s="38" t="n"/>
      <c r="J15" s="38" t="n">
        <v>2</v>
      </c>
      <c r="K15" s="61" t="n"/>
      <c r="L15" s="61" t="n"/>
      <c r="M15" s="38" t="n"/>
      <c r="N15" s="38" t="n"/>
      <c r="O15" s="38" t="n"/>
      <c r="P15" s="38" t="n"/>
      <c r="Q15" s="38" t="n">
        <v>2</v>
      </c>
      <c r="R15" s="61" t="n"/>
      <c r="S15" s="61" t="n"/>
      <c r="T15" s="38" t="n"/>
      <c r="U15" s="38" t="n"/>
      <c r="V15" s="38" t="n"/>
      <c r="W15" s="38" t="n"/>
      <c r="X15" s="38" t="n">
        <v>2</v>
      </c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Сербулова Ю.А.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>
        <v>2</v>
      </c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>
        <v>2</v>
      </c>
      <c r="G17" s="38" t="n"/>
      <c r="H17" s="38" t="n"/>
      <c r="I17" s="38" t="n"/>
      <c r="J17" s="38" t="n">
        <v>2</v>
      </c>
      <c r="K17" s="61" t="n"/>
      <c r="L17" s="61" t="n"/>
      <c r="M17" s="38" t="n">
        <v>2</v>
      </c>
      <c r="N17" s="38" t="n"/>
      <c r="O17" s="38" t="n"/>
      <c r="P17" s="38" t="n"/>
      <c r="Q17" s="38" t="n"/>
      <c r="R17" s="61" t="n"/>
      <c r="S17" s="61" t="n"/>
      <c r="T17" s="38" t="n">
        <v>2</v>
      </c>
      <c r="U17" s="38" t="n"/>
      <c r="V17" s="38" t="n"/>
      <c r="W17" s="38" t="n"/>
      <c r="X17" s="38" t="n">
        <v>2</v>
      </c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/>
      <c r="I18" s="38" t="n"/>
      <c r="J18" s="38" t="n">
        <v>2</v>
      </c>
      <c r="K18" s="61" t="n"/>
      <c r="L18" s="61" t="n"/>
      <c r="M18" s="38" t="n"/>
      <c r="N18" s="38" t="n"/>
      <c r="O18" s="38" t="n"/>
      <c r="P18" s="38" t="n"/>
      <c r="Q18" s="38" t="n">
        <v>2</v>
      </c>
      <c r="R18" s="61" t="n"/>
      <c r="S18" s="61" t="n"/>
      <c r="T18" s="38" t="n"/>
      <c r="U18" s="38" t="n"/>
      <c r="V18" s="38" t="n"/>
      <c r="W18" s="38" t="n"/>
      <c r="X18" s="38" t="n">
        <v>2</v>
      </c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Бєльдюгіна С.С.</t>
        </is>
      </c>
      <c r="F19" s="38" t="n"/>
      <c r="G19" s="38" t="n"/>
      <c r="H19" s="38" t="n"/>
      <c r="I19" s="38" t="n"/>
      <c r="J19" s="38" t="n"/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>
        <v>2</v>
      </c>
      <c r="I20" s="38" t="n"/>
      <c r="J20" s="38" t="n"/>
      <c r="K20" s="61" t="n"/>
      <c r="L20" s="61" t="n"/>
      <c r="M20" s="38" t="n"/>
      <c r="N20" s="38" t="n"/>
      <c r="O20" s="38" t="n">
        <v>2</v>
      </c>
      <c r="P20" s="38" t="n"/>
      <c r="Q20" s="38" t="n"/>
      <c r="R20" s="61" t="n"/>
      <c r="S20" s="61" t="n"/>
      <c r="T20" s="38" t="n"/>
      <c r="U20" s="38" t="n"/>
      <c r="V20" s="38" t="n">
        <v>2</v>
      </c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/>
      <c r="G21" s="38" t="n"/>
      <c r="H21" s="38" t="n">
        <v>2</v>
      </c>
      <c r="I21" s="38" t="n">
        <v>2</v>
      </c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>
        <v>2</v>
      </c>
      <c r="U21" s="38" t="n"/>
      <c r="V21" s="38" t="n">
        <v>2</v>
      </c>
      <c r="W21" s="38" t="n">
        <v>2</v>
      </c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>
        <v>2</v>
      </c>
      <c r="H22" s="38" t="n"/>
      <c r="I22" s="38" t="n"/>
      <c r="J22" s="38" t="n"/>
      <c r="K22" s="61" t="n"/>
      <c r="L22" s="61" t="n"/>
      <c r="M22" s="38" t="n"/>
      <c r="N22" s="38" t="n">
        <v>2</v>
      </c>
      <c r="O22" s="38" t="n"/>
      <c r="P22" s="38" t="n"/>
      <c r="Q22" s="38" t="n"/>
      <c r="R22" s="61" t="n"/>
      <c r="S22" s="61" t="n"/>
      <c r="T22" s="38" t="n"/>
      <c r="U22" s="38" t="n">
        <v>2</v>
      </c>
      <c r="V22" s="38" t="n"/>
      <c r="W22" s="38" t="n"/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>
        <v>2</v>
      </c>
      <c r="G23" s="38" t="n"/>
      <c r="H23" s="38" t="n"/>
      <c r="I23" s="38" t="n"/>
      <c r="J23" s="38" t="n"/>
      <c r="K23" s="61" t="n"/>
      <c r="L23" s="61" t="n"/>
      <c r="M23" s="38" t="n">
        <v>2</v>
      </c>
      <c r="N23" s="38" t="n"/>
      <c r="O23" s="38" t="n"/>
      <c r="P23" s="38" t="n"/>
      <c r="Q23" s="38" t="n"/>
      <c r="R23" s="61" t="n"/>
      <c r="S23" s="61" t="n"/>
      <c r="T23" s="38" t="n">
        <v>2</v>
      </c>
      <c r="U23" s="38" t="n"/>
      <c r="V23" s="38" t="n"/>
      <c r="W23" s="38" t="n"/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/>
      <c r="H24" s="38" t="n"/>
      <c r="I24" s="38" t="n"/>
      <c r="J24" s="38" t="n">
        <v>2</v>
      </c>
      <c r="K24" s="61" t="n"/>
      <c r="L24" s="61" t="n"/>
      <c r="M24" s="38" t="n"/>
      <c r="N24" s="38" t="n"/>
      <c r="O24" s="38" t="n"/>
      <c r="P24" s="38" t="n"/>
      <c r="Q24" s="38" t="n">
        <v>2</v>
      </c>
      <c r="R24" s="61" t="n"/>
      <c r="S24" s="61" t="n"/>
      <c r="T24" s="38" t="n"/>
      <c r="U24" s="38" t="n"/>
      <c r="V24" s="38" t="n"/>
      <c r="W24" s="38" t="n"/>
      <c r="X24" s="38" t="n">
        <v>2</v>
      </c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>
        <v>2</v>
      </c>
      <c r="J25" s="38" t="n"/>
      <c r="K25" s="61" t="n"/>
      <c r="L25" s="61" t="n"/>
      <c r="M25" s="38" t="n"/>
      <c r="N25" s="38" t="n"/>
      <c r="O25" s="38" t="n"/>
      <c r="P25" s="38" t="n">
        <v>2</v>
      </c>
      <c r="Q25" s="38" t="n"/>
      <c r="R25" s="61" t="n"/>
      <c r="S25" s="61" t="n"/>
      <c r="T25" s="38" t="n"/>
      <c r="U25" s="38" t="n"/>
      <c r="V25" s="38" t="n">
        <v>2</v>
      </c>
      <c r="W25" s="38" t="n">
        <v>2</v>
      </c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46">
        <f>IF(SUM(F26:X26)=0,"Очікую",SUM(F26:X26))</f>
        <v/>
      </c>
      <c r="Z26" s="46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6">
        <f>IF($Y27="Очікую","Оч",SUM(F12:F26))</f>
        <v/>
      </c>
      <c r="G27" s="46">
        <f>IF($Y27="Очікую","Оч",SUM(G12:G26))</f>
        <v/>
      </c>
      <c r="H27" s="46">
        <f>IF($Y27="Очікую","Оч",SUM(H12:H26))</f>
        <v/>
      </c>
      <c r="I27" s="46">
        <f>IF($Y27="Очікую","Оч",SUM(I12:I26))</f>
        <v/>
      </c>
      <c r="J27" s="46">
        <f>IF($Y27="Очікую","Оч",SUM(J12:J26))</f>
        <v/>
      </c>
      <c r="K27" s="46">
        <f>IF($Y27="Очікую","Оч",SUM(K12:K26))</f>
        <v/>
      </c>
      <c r="L27" s="46">
        <f>IF($Y27="Очікую","Оч",SUM(L12:L26))</f>
        <v/>
      </c>
      <c r="M27" s="46">
        <f>IF($Y27="Очікую","Оч",SUM(M12:M26))</f>
        <v/>
      </c>
      <c r="N27" s="46">
        <f>IF($Y27="Очікую","Оч",SUM(N12:N26))</f>
        <v/>
      </c>
      <c r="O27" s="46">
        <f>IF($Y27="Очікую","Оч",SUM(O12:O26))</f>
        <v/>
      </c>
      <c r="P27" s="46">
        <f>IF($Y27="Очікую","Оч",SUM(P12:P26))</f>
        <v/>
      </c>
      <c r="Q27" s="46">
        <f>IF($Y27="Очікую","Оч",SUM(Q12:Q26))</f>
        <v/>
      </c>
      <c r="R27" s="46">
        <f>IF($Y27="Очікую","Оч",SUM(R12:R26))</f>
        <v/>
      </c>
      <c r="S27" s="46">
        <f>IF($Y27="Очікую","Оч",SUM(S12:S26))</f>
        <v/>
      </c>
      <c r="T27" s="46">
        <f>IF($Y27="Очікую","Оч",SUM(T12:T26))</f>
        <v/>
      </c>
      <c r="U27" s="46">
        <f>IF($Y27="Очікую","Оч",SUM(U12:U26))</f>
        <v/>
      </c>
      <c r="V27" s="46">
        <f>IF($Y27="Очікую","Оч",SUM(V12:V26))</f>
        <v/>
      </c>
      <c r="W27" s="46">
        <f>IF($Y27="Очікую","Оч",SUM(W12:W26))</f>
        <v/>
      </c>
      <c r="X27" s="46">
        <f>IF($Y27="Очікую","Оч",SUM(X12:X26))</f>
        <v/>
      </c>
      <c r="Y27" s="46">
        <f>IF(SUM(Y12:Y26)=0,"Очікую",SUM(Y12:Y26))</f>
        <v/>
      </c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45" t="n"/>
      <c r="Z29" s="45" t="n"/>
      <c r="AA29" s="4" t="n"/>
      <c r="AB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A30" s="4" t="n"/>
      <c r="AB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7:Z7"/>
    <mergeCell ref="D4:E4"/>
    <mergeCell ref="C10:C11"/>
    <mergeCell ref="E10:E11"/>
    <mergeCell ref="D3:E3"/>
    <mergeCell ref="C9:Z9"/>
    <mergeCell ref="Y10:Y11"/>
    <mergeCell ref="D10:D11"/>
    <mergeCell ref="C30:Z30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6.xml><?xml version="1.0" encoding="utf-8"?>
<worksheet xmlns="http://schemas.openxmlformats.org/spreadsheetml/2006/main">
  <sheetPr>
    <tabColor theme="9" tint="-0.249977111117893"/>
    <outlinePr summaryBelow="1" summaryRight="1"/>
    <pageSetUpPr fitToPage="1"/>
  </sheetPr>
  <dimension ref="A1:L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1.453125" customWidth="1" style="2" min="1" max="2"/>
    <col width="3.6328125" customWidth="1" style="2" min="3" max="3"/>
    <col width="16.453125" customWidth="1" style="2" min="4" max="4"/>
    <col width="6.81640625" customWidth="1" style="2" min="5" max="20"/>
    <col width="1.5" customWidth="1" min="11" max="11"/>
    <col width="1.5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.453125" customWidth="1" style="2" min="21" max="22"/>
    <col hidden="1" width="13" customWidth="1" min="22" max="22"/>
    <col hidden="1" style="2" min="23" max="58"/>
    <col hidden="1" width="5.81640625" customWidth="1" style="2" min="59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1" t="n"/>
    </row>
    <row r="2" ht="12" customFormat="1" customHeight="1" s="1">
      <c r="A2" s="15" t="n"/>
      <c r="B2" s="4" t="n"/>
      <c r="C2" s="18" t="n"/>
      <c r="D2" s="18" t="n"/>
      <c r="E2" s="18" t="n"/>
      <c r="F2" s="18" t="n"/>
      <c r="G2" s="18" t="n"/>
      <c r="H2" s="18" t="n"/>
      <c r="I2" s="18" t="n"/>
      <c r="J2" s="18" t="n"/>
      <c r="K2" s="4" t="n"/>
      <c r="L2" s="17" t="n"/>
    </row>
    <row r="3" ht="15" customHeight="1">
      <c r="A3" s="15" t="n"/>
      <c r="B3" s="4" t="n"/>
      <c r="C3" s="51" t="inlineStr">
        <is>
          <t>Міністерство освіти і науки України</t>
        </is>
      </c>
      <c r="K3" s="4" t="n"/>
      <c r="L3" s="17" t="n"/>
    </row>
    <row r="4" ht="80.09999999999999" customHeight="1">
      <c r="A4" s="15" t="n"/>
      <c r="B4" s="4" t="n"/>
      <c r="C4" s="52" t="inlineStr">
        <is>
          <t>Відокремлений структурний підрозділ
"Фаховий коледж нафтогазових технологій,
інженерій та інфраструктури сервісу
Одеського національного технологічного університету"</t>
        </is>
      </c>
      <c r="K4" s="4" t="n"/>
      <c r="L4" s="17" t="n"/>
    </row>
    <row r="5" ht="20.1" customHeight="1">
      <c r="A5" s="15" t="n"/>
      <c r="B5" s="4" t="n"/>
      <c r="C5" s="20" t="n"/>
      <c r="D5" s="20" t="n"/>
      <c r="E5" s="20" t="n"/>
      <c r="F5" s="20" t="n"/>
      <c r="G5" s="20" t="n"/>
      <c r="H5" s="20" t="n"/>
      <c r="I5" s="20" t="n"/>
      <c r="J5" s="20" t="n"/>
      <c r="K5" s="4" t="n"/>
      <c r="L5" s="17" t="n"/>
    </row>
    <row r="6" ht="18" customHeight="1">
      <c r="A6" s="15" t="n"/>
      <c r="B6" s="4" t="n"/>
      <c r="C6" s="53" t="inlineStr">
        <is>
          <t>ВІДОМІСТЬ ОБЛІКУ ГОДИН ВИКЛАДАЧА</t>
        </is>
      </c>
      <c r="K6" s="4" t="n"/>
      <c r="L6" s="17" t="n"/>
    </row>
    <row r="7" ht="18.95" customHeight="1">
      <c r="A7" s="15" t="n"/>
      <c r="B7" s="4" t="n"/>
      <c r="C7" s="21" t="n"/>
      <c r="D7" s="21" t="n"/>
      <c r="E7" s="21" t="n"/>
      <c r="F7" s="21" t="n"/>
      <c r="G7" s="21" t="n"/>
      <c r="H7" s="21" t="n"/>
      <c r="I7" s="21" t="n"/>
      <c r="J7" s="21" t="n"/>
      <c r="K7" s="4" t="n"/>
      <c r="L7" s="17" t="n"/>
    </row>
    <row r="8" ht="18.75" customHeight="1">
      <c r="A8" s="15" t="n"/>
      <c r="B8" s="4" t="n"/>
      <c r="C8" s="22" t="inlineStr">
        <is>
          <t>за січень 2025 р.</t>
        </is>
      </c>
      <c r="D8" s="58" t="n"/>
      <c r="E8" s="58" t="n"/>
      <c r="F8" s="58" t="n"/>
      <c r="G8" s="58" t="n"/>
      <c r="H8" s="58" t="n"/>
      <c r="I8" s="58" t="n"/>
      <c r="J8" s="59" t="n"/>
      <c r="K8" s="4" t="n"/>
      <c r="L8" s="17" t="n"/>
    </row>
    <row r="9" ht="36.95" customHeight="1">
      <c r="A9" s="15" t="n"/>
      <c r="B9" s="4" t="n"/>
      <c r="C9" s="22" t="inlineStr">
        <is>
          <t>№</t>
        </is>
      </c>
      <c r="D9" s="23" t="inlineStr">
        <is>
          <t>Прізвище викладача</t>
        </is>
      </c>
      <c r="E9" s="24" t="inlineStr">
        <is>
          <t>25-1</t>
        </is>
      </c>
      <c r="F9" s="24" t="inlineStr">
        <is>
          <t>25-2</t>
        </is>
      </c>
      <c r="G9" s="24" t="inlineStr">
        <is>
          <t>25-3</t>
        </is>
      </c>
      <c r="H9" s="24" t="inlineStr">
        <is>
          <t>25-4</t>
        </is>
      </c>
      <c r="I9" s="24" t="inlineStr">
        <is>
          <t>25-5</t>
        </is>
      </c>
      <c r="J9" s="22" t="inlineStr">
        <is>
          <t>Всього</t>
        </is>
      </c>
      <c r="K9" s="4" t="n"/>
      <c r="L9" s="17" t="n"/>
    </row>
    <row r="10" ht="18.75" customHeight="1">
      <c r="A10" s="15" t="n"/>
      <c r="B10" s="4" t="n"/>
      <c r="C10" s="25" t="n">
        <v>1</v>
      </c>
      <c r="D10" s="26" t="inlineStr">
        <is>
          <t>Антропова Л.І.</t>
        </is>
      </c>
      <c r="E10" s="27">
        <f>'25-1'!$Y$22 + '25-1'!$Y$23</f>
        <v/>
      </c>
      <c r="F10" s="27" t="n"/>
      <c r="G10" s="27">
        <f>'25-3'!$Y$22 + '25-3'!$Y$23</f>
        <v/>
      </c>
      <c r="H10" s="27" t="n"/>
      <c r="I10" s="27">
        <f>'25-5'!$Y$22 + '25-5'!$Y$23</f>
        <v/>
      </c>
      <c r="J10" s="28">
        <f>IF(SUM(E10:I10)=0,"Очікую",SUM(E10:I10))</f>
        <v/>
      </c>
      <c r="K10" s="4" t="n"/>
      <c r="L10" s="17" t="n"/>
    </row>
    <row r="11" ht="18.75" customHeight="1">
      <c r="A11" s="15" t="n"/>
      <c r="B11" s="4" t="n"/>
      <c r="C11" s="25" t="n">
        <v>2</v>
      </c>
      <c r="D11" s="29" t="inlineStr">
        <is>
          <t>Бєльдюгіна С.С.</t>
        </is>
      </c>
      <c r="E11" s="30">
        <f>'25-1'!$Y$19</f>
        <v/>
      </c>
      <c r="F11" s="30">
        <f>'25-2'!$Y$19</f>
        <v/>
      </c>
      <c r="G11" s="30">
        <f>'25-3'!$Y$19</f>
        <v/>
      </c>
      <c r="H11" s="30">
        <f>'25-4'!$Y$19</f>
        <v/>
      </c>
      <c r="I11" s="30">
        <f>'25-5'!$Y$19</f>
        <v/>
      </c>
      <c r="J11" s="28">
        <f>IF(SUM(E11:I11)=0,"Очікую",SUM(E11:I11))</f>
        <v/>
      </c>
      <c r="K11" s="4" t="n"/>
      <c r="L11" s="17" t="n"/>
    </row>
    <row r="12" ht="18.75" customHeight="1">
      <c r="A12" s="15" t="n"/>
      <c r="B12" s="4" t="n"/>
      <c r="C12" s="25" t="n">
        <v>3</v>
      </c>
      <c r="D12" s="29" t="inlineStr">
        <is>
          <t>Богданенко О.В.</t>
        </is>
      </c>
      <c r="E12" s="30">
        <f>'25-1'!$Y$13</f>
        <v/>
      </c>
      <c r="F12" s="30">
        <f>'25-2'!$Y$13</f>
        <v/>
      </c>
      <c r="G12" s="30">
        <f>'25-3'!$Y$13</f>
        <v/>
      </c>
      <c r="H12" s="30">
        <f>'25-4'!$Y$13</f>
        <v/>
      </c>
      <c r="I12" s="30">
        <f>'25-5'!$Y$13</f>
        <v/>
      </c>
      <c r="J12" s="28">
        <f>IF(SUM(E12:I12)=0,"Очікую",SUM(E12:I12))</f>
        <v/>
      </c>
      <c r="K12" s="4" t="n"/>
      <c r="L12" s="17" t="n"/>
    </row>
    <row r="13" ht="18.75" customHeight="1">
      <c r="A13" s="15" t="n"/>
      <c r="B13" s="4" t="n"/>
      <c r="C13" s="25" t="n">
        <v>4</v>
      </c>
      <c r="D13" s="26" t="inlineStr">
        <is>
          <t>Бондаренко О.С.</t>
        </is>
      </c>
      <c r="E13" s="27">
        <f>'25-1'!$Y$21</f>
        <v/>
      </c>
      <c r="F13" s="27" t="n"/>
      <c r="G13" s="27" t="n"/>
      <c r="H13" s="27" t="n"/>
      <c r="I13" s="27" t="n"/>
      <c r="J13" s="28">
        <f>IF(SUM(E13:I13)=0,"Очікую",SUM(E13:I13))</f>
        <v/>
      </c>
      <c r="K13" s="4" t="n"/>
      <c r="L13" s="17" t="n"/>
    </row>
    <row r="14" ht="18.75" customHeight="1">
      <c r="A14" s="15" t="n"/>
      <c r="B14" s="4" t="n"/>
      <c r="C14" s="25" t="n">
        <v>5</v>
      </c>
      <c r="D14" s="29" t="inlineStr">
        <is>
          <t>Возіян О.Г.</t>
        </is>
      </c>
      <c r="E14" s="31">
        <f>'25-1'!$Y$25</f>
        <v/>
      </c>
      <c r="F14" s="31">
        <f>'25-2'!$Y$25</f>
        <v/>
      </c>
      <c r="G14" s="31" t="n"/>
      <c r="H14" s="31" t="n"/>
      <c r="I14" s="31" t="n"/>
      <c r="J14" s="28">
        <f>IF(SUM(E14:I14)=0,"Очікую",SUM(E14:I14))</f>
        <v/>
      </c>
      <c r="K14" s="4" t="n"/>
      <c r="L14" s="17" t="n"/>
    </row>
    <row r="15" ht="18.75" customHeight="1">
      <c r="A15" s="15" t="n"/>
      <c r="B15" s="4" t="n"/>
      <c r="C15" s="25" t="n">
        <v>6</v>
      </c>
      <c r="D15" s="29" t="inlineStr">
        <is>
          <t>Галеніна І.С.</t>
        </is>
      </c>
      <c r="E15" s="30" t="n"/>
      <c r="F15" s="30" t="n"/>
      <c r="G15" s="30">
        <f>'25-3'!$Y$25</f>
        <v/>
      </c>
      <c r="H15" s="30">
        <f>'25-4'!$Y$25</f>
        <v/>
      </c>
      <c r="I15" s="30">
        <f>'25-5'!$Y$25</f>
        <v/>
      </c>
      <c r="J15" s="28">
        <f>IF(SUM(E15:I15)=0,"Очікую",SUM(E15:I15))</f>
        <v/>
      </c>
      <c r="K15" s="4" t="n"/>
      <c r="L15" s="17" t="n"/>
    </row>
    <row r="16" ht="18.75" customHeight="1">
      <c r="A16" s="15" t="n"/>
      <c r="B16" s="4" t="n"/>
      <c r="C16" s="25" t="n">
        <v>7</v>
      </c>
      <c r="D16" s="29" t="inlineStr">
        <is>
          <t>Земляна Т.М.</t>
        </is>
      </c>
      <c r="E16" s="30" t="n"/>
      <c r="F16" s="30">
        <f>'25-2'!$Y$21</f>
        <v/>
      </c>
      <c r="G16" s="30" t="n"/>
      <c r="H16" s="30" t="n"/>
      <c r="I16" s="30">
        <f>'25-5'!$Y$21</f>
        <v/>
      </c>
      <c r="J16" s="28">
        <f>IF(SUM(E16:I16)=0,"Очікую",SUM(E16:I16))</f>
        <v/>
      </c>
      <c r="K16" s="4" t="n"/>
      <c r="L16" s="17" t="n"/>
    </row>
    <row r="17" ht="18.75" customHeight="1">
      <c r="A17" s="15" t="n"/>
      <c r="B17" s="4" t="n"/>
      <c r="C17" s="25" t="n">
        <v>8</v>
      </c>
      <c r="D17" s="29" t="inlineStr">
        <is>
          <t>Калюта Н.М.</t>
        </is>
      </c>
      <c r="E17" s="30">
        <f>'25-1'!$Y$24</f>
        <v/>
      </c>
      <c r="F17" s="30">
        <f>'25-2'!$Y$24</f>
        <v/>
      </c>
      <c r="G17" s="30">
        <f>'25-3'!$Y$24</f>
        <v/>
      </c>
      <c r="H17" s="30">
        <f>'25-4'!$Y$24</f>
        <v/>
      </c>
      <c r="I17" s="30">
        <f>'25-5'!$Y$24</f>
        <v/>
      </c>
      <c r="J17" s="28">
        <f>IF(SUM(E17:I17)=0,"Очікую",SUM(E17:I17))</f>
        <v/>
      </c>
      <c r="K17" s="4" t="n"/>
      <c r="L17" s="17" t="n"/>
    </row>
    <row r="18" ht="18.75" customHeight="1">
      <c r="A18" s="15" t="n"/>
      <c r="B18" s="4" t="n"/>
      <c r="C18" s="25" t="n">
        <v>9</v>
      </c>
      <c r="D18" s="29" t="inlineStr">
        <is>
          <t>Лазар В.І.</t>
        </is>
      </c>
      <c r="E18" s="30">
        <f>'25-1'!$Y$17</f>
        <v/>
      </c>
      <c r="F18" s="30">
        <f>'25-2'!$Y$17</f>
        <v/>
      </c>
      <c r="G18" s="30">
        <f>'25-3'!$Y$17</f>
        <v/>
      </c>
      <c r="H18" s="30">
        <f>'25-4'!$Y$17</f>
        <v/>
      </c>
      <c r="I18" s="30">
        <f>'25-5'!$Y$17</f>
        <v/>
      </c>
      <c r="J18" s="28">
        <f>IF(SUM(E18:I18)=0,"Очікую",SUM(E18:I18))</f>
        <v/>
      </c>
      <c r="K18" s="4" t="n"/>
      <c r="L18" s="17" t="n"/>
    </row>
    <row r="19" ht="18.75" customHeight="1">
      <c r="A19" s="15" t="n"/>
      <c r="B19" s="4" t="n"/>
      <c r="C19" s="25" t="n">
        <v>10</v>
      </c>
      <c r="D19" s="29" t="inlineStr">
        <is>
          <t>Левчук Т.Г.</t>
        </is>
      </c>
      <c r="E19" s="30">
        <f>'25-1'!$Y$20</f>
        <v/>
      </c>
      <c r="F19" s="30">
        <f>'25-2'!$Y$20</f>
        <v/>
      </c>
      <c r="G19" s="30">
        <f>'25-3'!$Y$20</f>
        <v/>
      </c>
      <c r="H19" s="30">
        <f>'25-4'!$Y$20</f>
        <v/>
      </c>
      <c r="I19" s="30">
        <f>'25-5'!$Y$20</f>
        <v/>
      </c>
      <c r="J19" s="28">
        <f>IF(SUM(E19:I19)=0,"Очікую",SUM(E19:I19))</f>
        <v/>
      </c>
      <c r="K19" s="4" t="n"/>
      <c r="L19" s="17" t="n"/>
    </row>
    <row r="20" ht="18.75" customHeight="1">
      <c r="A20" s="15" t="n"/>
      <c r="B20" s="4" t="n"/>
      <c r="C20" s="25" t="n">
        <v>11</v>
      </c>
      <c r="D20" s="26" t="inlineStr">
        <is>
          <t>Мельничук С.А.</t>
        </is>
      </c>
      <c r="E20" s="27">
        <f>'25-1'!$Y$14</f>
        <v/>
      </c>
      <c r="F20" s="27">
        <f>'25-2'!$Y$14</f>
        <v/>
      </c>
      <c r="G20" s="27">
        <f>'25-3'!$Y$14</f>
        <v/>
      </c>
      <c r="H20" s="27">
        <f>'25-4'!$Y$14</f>
        <v/>
      </c>
      <c r="I20" s="27">
        <f>'25-5'!$Y$14</f>
        <v/>
      </c>
      <c r="J20" s="28">
        <f>IF(SUM(E20:I20)=0,"Очікую",SUM(E20:I20))</f>
        <v/>
      </c>
      <c r="K20" s="4" t="n"/>
      <c r="L20" s="17" t="n"/>
    </row>
    <row r="21" ht="18.75" customHeight="1">
      <c r="A21" s="15" t="n"/>
      <c r="B21" s="4" t="n"/>
      <c r="C21" s="25" t="n">
        <v>12</v>
      </c>
      <c r="D21" s="32" t="inlineStr">
        <is>
          <t>Наговська Т.С.</t>
        </is>
      </c>
      <c r="E21" s="30">
        <f>'25-1'!$Y$12 + '25-1'!$Y$15</f>
        <v/>
      </c>
      <c r="F21" s="30">
        <f>'25-2'!$Y$12 + '25-2'!$Y$15</f>
        <v/>
      </c>
      <c r="G21" s="30">
        <f>'25-3'!$Y$12 + '25-3'!$Y$15</f>
        <v/>
      </c>
      <c r="H21" s="30">
        <f>'25-4'!$Y$12 + '25-4'!$Y$15</f>
        <v/>
      </c>
      <c r="I21" s="30">
        <f>'25-5'!$Y$12 + '25-5'!$Y$15</f>
        <v/>
      </c>
      <c r="J21" s="28">
        <f>IF(SUM(E21:I21)=0,"Очікую",SUM(E21:I21))</f>
        <v/>
      </c>
      <c r="K21" s="4" t="n"/>
      <c r="L21" s="17" t="n"/>
    </row>
    <row r="22" ht="18.75" customHeight="1">
      <c r="A22" s="15" t="n"/>
      <c r="B22" s="4" t="n"/>
      <c r="C22" s="25" t="n">
        <v>13</v>
      </c>
      <c r="D22" s="29" t="inlineStr">
        <is>
          <t>Нічик Н.О.</t>
        </is>
      </c>
      <c r="E22" s="27" t="n"/>
      <c r="F22" s="27" t="n"/>
      <c r="G22" s="27">
        <f>'25-3'!$Y$18</f>
        <v/>
      </c>
      <c r="H22" s="27">
        <f>'25-4'!$Y$18</f>
        <v/>
      </c>
      <c r="I22" s="27">
        <f>'25-5'!$Y$18</f>
        <v/>
      </c>
      <c r="J22" s="28">
        <f>IF(SUM(E22:I22)=0,"Очікую",SUM(E22:I22))</f>
        <v/>
      </c>
      <c r="K22" s="4" t="n"/>
      <c r="L22" s="17" t="n"/>
    </row>
    <row r="23" ht="18.75" customHeight="1">
      <c r="A23" s="15" t="n"/>
      <c r="B23" s="4" t="n"/>
      <c r="C23" s="25" t="n">
        <v>14</v>
      </c>
      <c r="D23" s="26" t="inlineStr">
        <is>
          <t>Ромчук В.В.</t>
        </is>
      </c>
      <c r="E23" s="27" t="n"/>
      <c r="F23" s="27" t="n"/>
      <c r="G23" s="27">
        <f>'25-3'!$Y$21</f>
        <v/>
      </c>
      <c r="H23" s="27">
        <f>'25-4'!$Y$21</f>
        <v/>
      </c>
      <c r="I23" s="27" t="n"/>
      <c r="J23" s="28">
        <f>IF(SUM(E23:I23)=0,"Очікую",SUM(E23:I23))</f>
        <v/>
      </c>
      <c r="K23" s="4" t="n"/>
      <c r="L23" s="17" t="n"/>
    </row>
    <row r="24" ht="18.75" customHeight="1">
      <c r="A24" s="15" t="n"/>
      <c r="B24" s="4" t="n"/>
      <c r="C24" s="25" t="n">
        <v>15</v>
      </c>
      <c r="D24" s="32" t="inlineStr">
        <is>
          <t>Сахно Н.О.</t>
        </is>
      </c>
      <c r="E24" s="27">
        <f>'25-1'!$Y$26</f>
        <v/>
      </c>
      <c r="F24" s="27">
        <f>'25-2'!$Y$26</f>
        <v/>
      </c>
      <c r="G24" s="27">
        <f>'25-3'!$Y$26</f>
        <v/>
      </c>
      <c r="H24" s="27">
        <f>'25-4'!$Y$26</f>
        <v/>
      </c>
      <c r="I24" s="27">
        <f>'25-5'!$Y$26</f>
        <v/>
      </c>
      <c r="J24" s="28">
        <f>IF(SUM(E24:I24)=0,"Очікую",SUM(E24:I24))</f>
        <v/>
      </c>
      <c r="K24" s="4" t="n"/>
      <c r="L24" s="17" t="n"/>
    </row>
    <row r="25" ht="18.75" customHeight="1">
      <c r="A25" s="15" t="n"/>
      <c r="B25" s="4" t="n"/>
      <c r="C25" s="25" t="n">
        <v>16</v>
      </c>
      <c r="D25" s="29" t="inlineStr">
        <is>
          <t>Сербулова Ю.А.</t>
        </is>
      </c>
      <c r="E25" s="30">
        <f>'25-1'!$Y$16 + '25-1'!$Y$18</f>
        <v/>
      </c>
      <c r="F25" s="30">
        <f>'25-2'!$Y$16 + '25-2'!$Y$18</f>
        <v/>
      </c>
      <c r="G25" s="30">
        <f>'25-3'!$Y$16</f>
        <v/>
      </c>
      <c r="H25" s="30">
        <f>'25-4'!$Y$16</f>
        <v/>
      </c>
      <c r="I25" s="30">
        <f>'25-5'!$Y$16</f>
        <v/>
      </c>
      <c r="J25" s="28">
        <f>IF(SUM(E25:I25)=0,"Очікую",SUM(E25:I25))</f>
        <v/>
      </c>
      <c r="K25" s="4" t="n"/>
      <c r="L25" s="17" t="n"/>
    </row>
    <row r="26" ht="18.75" customHeight="1">
      <c r="A26" s="15" t="n"/>
      <c r="B26" s="4" t="n"/>
      <c r="C26" s="25" t="n">
        <v>17</v>
      </c>
      <c r="D26" s="29" t="inlineStr">
        <is>
          <t>Юрченко О.Б.</t>
        </is>
      </c>
      <c r="E26" s="30" t="n"/>
      <c r="F26" s="30">
        <f>'25-2'!$Y$22 + '25-2'!$Y$23</f>
        <v/>
      </c>
      <c r="G26" s="30" t="n"/>
      <c r="H26" s="30">
        <f>'25-4'!$Y$22 + '25-4'!$Y$23</f>
        <v/>
      </c>
      <c r="I26" s="30" t="n"/>
      <c r="J26" s="28">
        <f>IF(SUM(E26:I26)=0,"Очікую",SUM(E26:I26))</f>
        <v/>
      </c>
      <c r="K26" s="4" t="n"/>
      <c r="L26" s="17" t="n"/>
    </row>
    <row r="27" ht="18.75" customHeight="1">
      <c r="A27" s="15" t="n"/>
      <c r="B27" s="4" t="n"/>
      <c r="C27" s="33" t="n"/>
      <c r="D27" s="33" t="n"/>
      <c r="E27" s="34">
        <f>IF(SUM(E10:E26)=0,"Очікую",SUM(E10:E26))</f>
        <v/>
      </c>
      <c r="F27" s="34">
        <f>IF(SUM(F10:F26)=0,"Очікую",SUM(F10:F26))</f>
        <v/>
      </c>
      <c r="G27" s="34">
        <f>IF(SUM(G10:G26)=0,"Очікую",SUM(G10:G26))</f>
        <v/>
      </c>
      <c r="H27" s="34">
        <f>IF(SUM(H10:H26)=0,"Очікую",SUM(H10:H26))</f>
        <v/>
      </c>
      <c r="I27" s="34">
        <f>IF(SUM(I10:I26)=0,"Очікую",SUM(I10:I26))</f>
        <v/>
      </c>
      <c r="J27" s="28">
        <f>IF(SUM(J10:J26)=0,"Очікую",SUM(J10:J26))</f>
        <v/>
      </c>
      <c r="K27" s="4" t="n"/>
      <c r="L27" s="17" t="n"/>
    </row>
    <row r="28" ht="18.75" customHeight="1">
      <c r="A28" s="15" t="n"/>
      <c r="B28" s="4" t="n"/>
      <c r="C28" s="51" t="n"/>
      <c r="D28" s="35" t="n"/>
      <c r="E28" s="36" t="n"/>
      <c r="F28" s="36" t="n"/>
      <c r="G28" s="36" t="n"/>
      <c r="H28" s="36" t="n"/>
      <c r="I28" s="36" t="n"/>
      <c r="J28" s="22" t="inlineStr">
        <is>
          <t>Всього</t>
        </is>
      </c>
      <c r="K28" s="4" t="n"/>
      <c r="L28" s="17" t="n"/>
    </row>
    <row r="29" ht="18.75" customHeight="1">
      <c r="A29" s="15" t="n"/>
      <c r="B29" s="4" t="n"/>
      <c r="C29" s="51" t="n"/>
      <c r="D29" s="33" t="n"/>
      <c r="E29" s="36" t="n"/>
      <c r="F29" s="36" t="n"/>
      <c r="G29" s="36" t="n"/>
      <c r="H29" s="36" t="n"/>
      <c r="I29" s="36" t="n"/>
      <c r="J29" s="36" t="n"/>
      <c r="K29" s="4" t="n"/>
      <c r="L29" s="17" t="n"/>
    </row>
    <row r="30" ht="18.75" customHeight="1">
      <c r="A30" s="15" t="n"/>
      <c r="B30" s="4" t="n"/>
      <c r="C30" s="51" t="inlineStr">
        <is>
          <t>Завідувач відділення  ПЗСО   ______________  Маргарита БРІТІКОВА</t>
        </is>
      </c>
      <c r="K30" s="4" t="n"/>
      <c r="L30" s="17" t="n"/>
    </row>
    <row r="31" ht="18.75" customHeight="1">
      <c r="A31" s="15" t="n"/>
      <c r="B31" s="4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4" t="n"/>
      <c r="L31" s="17" t="n"/>
    </row>
    <row r="32" ht="18.7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3" t="n"/>
    </row>
    <row r="33" hidden="1" ht="18.75" customHeight="1"/>
    <row r="34" hidden="1" ht="18.75" customHeight="1"/>
    <row r="35" hidden="1" ht="18.75" customHeight="1"/>
    <row r="36" hidden="1" ht="18.75" customHeight="1"/>
    <row r="37" hidden="1" ht="18.75" customHeight="1"/>
    <row r="38" hidden="1" ht="18.75" customHeight="1"/>
    <row r="39" hidden="1" ht="18.75" customHeight="1"/>
    <row r="40" hidden="1" ht="18.75" customHeight="1"/>
    <row r="41" hidden="1" ht="18.75" customHeight="1"/>
    <row r="42" hidden="1" ht="18.75" customHeight="1"/>
    <row r="43" hidden="1" ht="18.75" customHeight="1"/>
    <row r="44" hidden="1" ht="18.75" customHeight="1"/>
    <row r="45" hidden="1" ht="18.75" customHeight="1"/>
    <row r="46" hidden="1" ht="18.75" customHeight="1"/>
    <row r="47" hidden="1" ht="18.75" customHeight="1"/>
    <row r="48" hidden="1" ht="18.75" customHeight="1"/>
    <row r="49" hidden="1" ht="18.75" customHeight="1"/>
    <row r="50" hidden="1" ht="18.75" customHeight="1"/>
    <row r="51" hidden="1" ht="18.75" customHeight="1"/>
    <row r="52" hidden="1" ht="18.75" customHeight="1"/>
    <row r="53" hidden="1" ht="18.75" customHeight="1"/>
    <row r="54" hidden="1" ht="18.75" customHeight="1"/>
    <row r="55" hidden="1" ht="18.75" customHeight="1"/>
    <row r="56" hidden="1" ht="18.75" customHeight="1"/>
    <row r="57" hidden="1" ht="18.75" customHeight="1"/>
    <row r="58" hidden="1" ht="18.75" customHeight="1"/>
    <row r="59" hidden="1" ht="18.75" customHeight="1"/>
    <row r="60" hidden="1" ht="18.75" customHeight="1"/>
    <row r="61" hidden="1" ht="18.75" customHeight="1"/>
    <row r="62" hidden="1" ht="18.75" customHeight="1"/>
    <row r="63" hidden="1" ht="18.75" customHeight="1"/>
    <row r="64" hidden="1" ht="18.75" customHeight="1"/>
    <row r="65" hidden="1" ht="18.75" customHeight="1"/>
    <row r="66" hidden="1" ht="18.75" customHeight="1"/>
    <row r="67" hidden="1" ht="18.75" customHeight="1"/>
    <row r="68" hidden="1" ht="18.75" customHeight="1"/>
    <row r="69" hidden="1" ht="18.75" customHeight="1"/>
    <row r="70" hidden="1" ht="18.75" customHeight="1"/>
    <row r="71" hidden="1" ht="18.75" customHeight="1"/>
    <row r="72" hidden="1" ht="18.75" customHeight="1"/>
    <row r="73" hidden="1" ht="18.75" customHeight="1"/>
    <row r="74" hidden="1" ht="18.75" customHeight="1"/>
    <row r="75" hidden="1" ht="18.75" customHeight="1"/>
    <row r="76" hidden="1" ht="18.75" customHeight="1"/>
    <row r="77" hidden="1" ht="18.75" customHeight="1"/>
    <row r="78" hidden="1" ht="18.75" customHeight="1"/>
    <row r="79" hidden="1" ht="18.75" customHeight="1"/>
    <row r="80" hidden="1" ht="18.75" customHeight="1"/>
    <row r="81" hidden="1" ht="18.75" customHeight="1"/>
    <row r="82" hidden="1" ht="18.75" customHeight="1"/>
    <row r="83" hidden="1" ht="18.75" customHeight="1"/>
    <row r="84" hidden="1" ht="18.75" customHeight="1"/>
    <row r="85" hidden="1" ht="18.75" customHeight="1"/>
    <row r="86" hidden="1" ht="18.75" customHeight="1"/>
    <row r="87" hidden="1" ht="18.75" customHeight="1"/>
    <row r="88" hidden="1" ht="18.75" customHeight="1"/>
    <row r="89" hidden="1" ht="18.75" customHeight="1"/>
    <row r="90" hidden="1" ht="18.75" customHeight="1"/>
    <row r="91" hidden="1" ht="18.75" customHeight="1"/>
    <row r="92" hidden="1" ht="18.75" customHeight="1"/>
    <row r="93" hidden="1" ht="18.75" customHeight="1"/>
    <row r="94" hidden="1" ht="18.75" customHeight="1"/>
    <row r="95" hidden="1" ht="18.75" customHeight="1"/>
    <row r="96" hidden="1" ht="18.75" customHeight="1"/>
    <row r="97" hidden="1" ht="18.75" customHeight="1"/>
    <row r="98" hidden="1" ht="18.75" customHeight="1"/>
    <row r="99" hidden="1" ht="18.75" customHeight="1"/>
    <row r="100" hidden="1" ht="18.75" customHeight="1"/>
    <row r="101" hidden="1" ht="18.75" customHeight="1"/>
    <row r="102" hidden="1" ht="18.75" customHeight="1"/>
    <row r="103" hidden="1" ht="18.75" customHeight="1"/>
    <row r="104" hidden="1" ht="18.75" customHeight="1"/>
    <row r="105" hidden="1" ht="18.75" customHeight="1"/>
    <row r="106" hidden="1" ht="18.75" customHeight="1"/>
    <row r="107" hidden="1" ht="18.75" customHeight="1"/>
    <row r="108" hidden="1" ht="18.75" customHeight="1"/>
    <row r="109" hidden="1" ht="18.75" customHeight="1"/>
    <row r="110" hidden="1" ht="18.75" customHeight="1"/>
    <row r="111" hidden="1" ht="18.75" customHeight="1"/>
    <row r="112" hidden="1" ht="18.75" customHeight="1"/>
    <row r="113" hidden="1" ht="18.75" customHeight="1"/>
    <row r="114" hidden="1" ht="12.95" customHeight="1" thickBot="1"/>
    <row r="115" hidden="1" ht="12" customHeight="1"/>
    <row r="116" hidden="1" ht="12" customHeight="1"/>
    <row r="117" hidden="1" ht="12" customHeight="1"/>
    <row r="118" hidden="1" ht="12" customHeight="1"/>
    <row r="119" hidden="1" ht="12" customHeight="1"/>
    <row r="120" hidden="1" ht="12" customHeight="1"/>
    <row r="121" hidden="1" ht="12" customHeight="1"/>
    <row r="122" hidden="1" ht="12" customHeight="1"/>
    <row r="123" hidden="1" ht="12" customHeight="1"/>
    <row r="124" hidden="1" ht="12" customHeight="1"/>
    <row r="125" hidden="1" ht="12" customHeight="1"/>
    <row r="126" hidden="1" ht="12" customHeight="1"/>
    <row r="127" hidden="1" ht="12" customHeight="1"/>
    <row r="128" hidden="1" ht="12" customHeight="1"/>
    <row r="129" hidden="1" ht="12" customHeight="1"/>
    <row r="130" hidden="1" ht="12" customHeight="1"/>
    <row r="131" hidden="1" ht="12" customHeight="1"/>
    <row r="132" hidden="1" ht="12" customHeight="1"/>
    <row r="133" hidden="1" ht="12" customHeight="1"/>
    <row r="134" hidden="1" ht="12" customHeight="1"/>
    <row r="135" hidden="1" ht="12" customHeight="1"/>
    <row r="136" hidden="1" ht="12" customHeight="1"/>
    <row r="137" hidden="1" ht="12" customHeight="1"/>
    <row r="138" hidden="1" ht="12" customHeight="1"/>
    <row r="139" hidden="1" ht="12" customHeight="1"/>
    <row r="140" hidden="1" ht="12" customHeight="1"/>
    <row r="141" hidden="1" ht="12" customHeight="1"/>
    <row r="142" hidden="1" ht="12" customHeight="1"/>
    <row r="143" hidden="1" ht="12" customHeight="1"/>
    <row r="144" hidden="1" ht="12" customHeight="1"/>
    <row r="145" hidden="1" ht="12" customHeight="1"/>
    <row r="146" hidden="1" ht="12" customHeight="1"/>
    <row r="147" hidden="1" ht="12" customHeight="1"/>
    <row r="148" hidden="1" ht="12" customHeight="1"/>
    <row r="149" hidden="1" ht="12" customHeight="1"/>
    <row r="150" hidden="1" ht="12" customHeight="1"/>
    <row r="151" hidden="1" ht="12" customHeight="1"/>
    <row r="152" hidden="1" ht="12" customHeight="1"/>
    <row r="153" hidden="1" ht="12" customHeight="1"/>
    <row r="154" hidden="1" ht="12" customHeight="1"/>
    <row r="155" hidden="1" ht="12" customHeight="1"/>
    <row r="156" hidden="1" ht="12" customHeight="1"/>
    <row r="157" hidden="1" ht="12" customHeight="1"/>
    <row r="158" hidden="1" ht="12" customHeight="1"/>
  </sheetData>
  <mergeCells count="5">
    <mergeCell ref="C4:J4"/>
    <mergeCell ref="C3:J3"/>
    <mergeCell ref="C30:J30"/>
    <mergeCell ref="C6:J6"/>
    <mergeCell ref="C8:J8"/>
  </mergeCells>
  <printOptions horizontalCentered="1"/>
  <pageMargins left="0.1968503937007874" right="0.1968503937007874" top="0.1968503937007874" bottom="0.1968503937007874" header="0" footer="0"/>
  <pageSetup orientation="portrait" paperSize="9" scale="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2026-06-18T16:46:03Z</dcterms:modified>
  <cp:lastModifiedBy>Maxim Surkov</cp:lastModifiedBy>
  <cp:lastPrinted>2026-04-27T16:54:37Z</cp:lastPrinted>
</cp:coreProperties>
</file>