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загальна'!$C$3:$T$47</definedName>
    <definedName name="A1048577" localSheetId="1">#REF!</definedName>
    <definedName name="Ф80" localSheetId="1">#REF!</definedName>
    <definedName name="_xlnm.Print_Area" localSheetId="1">'Зведена G3'!$C$3:$T$35</definedName>
    <definedName name="A1048577" localSheetId="2">#REF!</definedName>
    <definedName name="Ф80" localSheetId="2">#REF!</definedName>
    <definedName name="_xlnm.Print_Area" localSheetId="2">'Зведена G5'!$C$3:$T$30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Ромчук В.В.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IF(COUNTIF($F10:T10,"=*")&gt;0,IF($C10="К","-"," - "),IF(COUNTIF($F10:T10,"&lt;4")&gt;0,IF($C10="К","-","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IF(COUNTIF($F11:T11,"=*")&gt;0,IF($C11="К","-"," - "),IF(COUNTIF($F11:T11,"&lt;4")&gt;0,IF($C11="К","-","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IF(COUNTIF($F12:T12,"=*")&gt;0,IF($C12="К","-"," - "),IF(COUNTIF($F12:T12,"&lt;4")&gt;0,IF($C12="К","-","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IF(COUNTIF($F13:T13,"=*")&gt;0,IF($C13="К","-"," - "),IF(COUNTIF($F13:T13,"&lt;4")&gt;0,IF($C13="К","-","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IF(COUNTIF($F14:T14,"=*")&gt;0,IF($C14="К","-"," - "),IF(COUNTIF($F14:T14,"&lt;4")&gt;0,IF($C14="К","-","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IF(COUNTIF($F15:T15,"=*")&gt;0,IF($C15="К","-"," - "),IF(COUNTIF($F15:T15,"&lt;4")&gt;0,IF($C15="К","-","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IF(COUNTIF($F16:T16,"=*")&gt;0,IF($C16="К","-"," - "),IF(COUNTIF($F16:T16,"&lt;4")&gt;0,IF($C16="К","-","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IF(COUNTIF($F17:T17,"=*")&gt;0,IF($C17="К","-"," - "),IF(COUNTIF($F17:T17,"&lt;4")&gt;0,IF($C17="К","-","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IF(COUNTIF($F18:T18,"=*")&gt;0,IF($C18="К","-"," - "),IF(COUNTIF($F18:T18,"&lt;4")&gt;0,IF($C18="К","-","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IF(COUNTIF($F19:T19,"=*")&gt;0,IF($C19="К","-"," - "),IF(COUNTIF($F19:T19,"&lt;4")&gt;0,IF($C19="К","-","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IF(COUNTIF($F20:T20,"=*")&gt;0,IF($C20="К","-"," - "),IF(COUNTIF($F20:T20,"&lt;4")&gt;0,IF($C20="К","-","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IF(COUNTIF($F21:T21,"=*")&gt;0,IF($C21="К","-"," - "),IF(COUNTIF($F21:T21,"&lt;4")&gt;0,IF($C21="К","-","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IF(COUNTIF($F22:T22,"=*")&gt;0,IF($C22="К","-"," - "),IF(COUNTIF($F22:T22,"&lt;4")&gt;0,IF($C22="К","-","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IF(COUNTIF($F23:T23,"=*")&gt;0,IF($C23="К","-"," - "),IF(COUNTIF($F23:T23,"&lt;4")&gt;0,IF($C23="К","-","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IF(COUNTIF($F24:T24,"=*")&gt;0,IF($C24="К","-"," - "),IF(COUNTIF($F24:T24,"&lt;4")&gt;0,IF($C24="К","-","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IF(COUNTIF($F25:T25,"=*")&gt;0,IF($C25="К","-"," - "),IF(COUNTIF($F25:T25,"&lt;4")&gt;0,IF($C25="К","-","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IF(COUNTIF($F26:T26,"=*")&gt;0,IF($C26="К","-"," - "),IF(COUNTIF($F26:T26,"&lt;4")&gt;0,IF($C26="К","-","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IF(COUNTIF($F27:T27,"=*")&gt;0,IF($C27="К","-"," - "),IF(COUNTIF($F27:T27,"&lt;4")&gt;0,IF($C27="К","-","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IF(COUNTIF($F28:T28,"=*")&gt;0,IF($C28="К","-"," - "),IF(COUNTIF($F28:T28,"&lt;4")&gt;0,IF($C28="К","-","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IF(COUNTIF($F29:T29,"=*")&gt;0,IF($C29="К","-"," - "),IF(COUNTIF($F29:T29,"&lt;4")&gt;0,IF($C29="К","-","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IF(COUNTIF($F30:T30,"=*")&gt;0,IF($C30="К","-"," - "),IF(COUNTIF($F30:T30,"&lt;4")&gt;0,IF($C30="К","-","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IF(COUNTIF($F31:T31,"=*")&gt;0,IF($C31="К","-"," - "),IF(COUNTIF($F31:T31,"&lt;4")&gt;0,IF($C31="К","-","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IF(COUNTIF($F32:T32,"=*")&gt;0,IF($C32="К","-"," - "),IF(COUNTIF($F32:T32,"&lt;4")&gt;0,IF($C32="К","-","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IF(COUNTIF($F33:T33,"=*")&gt;0,IF($C33="К","-"," - "),IF(COUNTIF($F33:T33,"&lt;4")&gt;0,IF($C33="К","-","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IF(COUNTIF($F34:T34,"=*")&gt;0,IF($C34="К","-"," - "),IF(COUNTIF($F34:T34,"&lt;4")&gt;0,IF($C34="К","-","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IF(COUNTIF($F35:T35,"=*")&gt;0,IF($C35="К","-"," - "),IF(COUNTIF($F35:T35,"&lt;4")&gt;0,IF($C35="К","-","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IF(COUNTIF($F36:T36,"=*")&gt;0,IF($C36="К","-"," - "),IF(COUNTIF($F36:T36,"&lt;4")&gt;0,IF($C36="К","-","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IF(COUNTIF($F37:T37,"=*")&gt;0,IF($C37="К","-"," - "),IF(COUNTIF($F37:T37,"&lt;4")&gt;0,IF($C37="К","-","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IF(COUNTIF($F38:T38,"=*")&gt;0,IF($C38="К","-"," - "),IF(COUNTIF($F38:T38,"&lt;4")&gt;0,IF($C38="К","-","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8">
        <f>IF(SUM(T$10:T38)=0,IF(COUNTA(T$10:T38)=0,"Очікую",0),SUM(T$10:T38)/$D38)</f>
        <v/>
      </c>
      <c r="U39" s="9">
        <f>IFERROR(AVERAGE($F39:T39),"Очікую")</f>
        <v/>
      </c>
      <c r="V39" s="20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43">
        <f>IF(SUM(T$10:T38)=0,IF(COUNTA(T$10:T38)=0,"Очікую",0),IF(COUNTIF(T$10:T38,"&gt;=4")=0,0,COUNTIF(T$10:T38,"&gt;=4")/$D38*100))</f>
        <v/>
      </c>
      <c r="U40" s="6" t="n"/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43">
        <f>IF(SUM(T$10:T38)=0,IF(COUNTA(T$10:T38)=0,"Очікую",0),IF(COUNTIF(T$10:T38,"&gt;=7")=0,0,COUNTIF(T$10:T38,"&gt;=7")/$D38*100))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IFERROR(AVERAGE(F40:T40),"Очікую")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IF(COUNTIF($C$10:$C38,"=Б")=0,IF(COUNTIF($C$10:$C38,"=К")=0,"Очікую",0),COUNTIF($C$10:$C38,"=Б"))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52" t="n"/>
      <c r="S44" s="52" t="n"/>
      <c r="T44" s="52" t="n"/>
      <c r="U44" s="52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IF(COUNTIF($C$10:$C38,"=К")=0,IF(COUNTIF($C$10:$C38,"=Б")=0,"Очікую",0),COUNTIF($C$10:$C38,"=К"))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6" t="n"/>
      <c r="P45" s="54" t="inlineStr"/>
      <c r="Q45" s="54" t="n"/>
      <c r="R45" s="54" t="n"/>
      <c r="S45" s="54" t="n"/>
      <c r="T45" s="54" t="n"/>
      <c r="U45" s="54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6" t="n"/>
      <c r="P46" s="52" t="n"/>
      <c r="Q46" s="52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IF(F44="Очікую","Очікую",IF(F44-COUNTIF($U$10:$U38," - ")&lt;ROUNDDOWN(F44*0.4,0),F44-COUNTIF($U$10:$U38,"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>
        <is>
          <t>Маргарита БРІТІКОВА</t>
        </is>
      </c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5" t="n"/>
      <c r="W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59" t="n"/>
      <c r="W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загальна'!C10</f>
        <v/>
      </c>
      <c r="D10" s="47" t="n">
        <v>1</v>
      </c>
      <c r="E10" s="48">
        <f>'Зведена загальна'!E10</f>
        <v/>
      </c>
      <c r="F10" s="49">
        <f>'Зведена загальна'!F10</f>
        <v/>
      </c>
      <c r="G10" s="49">
        <f>'Зведена загальна'!G10</f>
        <v/>
      </c>
      <c r="H10" s="49">
        <f>'Зведена загальна'!H10</f>
        <v/>
      </c>
      <c r="I10" s="49">
        <f>'Зведена загальна'!I10</f>
        <v/>
      </c>
      <c r="J10" s="49">
        <f>'Зведена загальна'!J10</f>
        <v/>
      </c>
      <c r="K10" s="49">
        <f>'Зведена загальна'!K10</f>
        <v/>
      </c>
      <c r="L10" s="49">
        <f>'Зведена загальна'!L10</f>
        <v/>
      </c>
      <c r="M10" s="49">
        <f>'Зведена загальна'!M10</f>
        <v/>
      </c>
      <c r="N10" s="49">
        <f>'Зведена загальна'!N10</f>
        <v/>
      </c>
      <c r="O10" s="49">
        <f>'Зведена загальна'!O10</f>
        <v/>
      </c>
      <c r="P10" s="49">
        <f>'Зведена загальна'!P10</f>
        <v/>
      </c>
      <c r="Q10" s="49">
        <f>'Зведена загальна'!Q10</f>
        <v/>
      </c>
      <c r="R10" s="49">
        <f>'Зведена загальна'!R10</f>
        <v/>
      </c>
      <c r="S10" s="49">
        <f>'Зведена загальна'!S10</f>
        <v/>
      </c>
      <c r="T10" s="49">
        <f>'Зведена загальна'!T10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загальна'!C11</f>
        <v/>
      </c>
      <c r="D11" s="47" t="n">
        <v>2</v>
      </c>
      <c r="E11" s="48">
        <f>'Зведена загальна'!E11</f>
        <v/>
      </c>
      <c r="F11" s="49">
        <f>'Зведена загальна'!F11</f>
        <v/>
      </c>
      <c r="G11" s="49">
        <f>'Зведена загальна'!G11</f>
        <v/>
      </c>
      <c r="H11" s="49">
        <f>'Зведена загальна'!H11</f>
        <v/>
      </c>
      <c r="I11" s="49">
        <f>'Зведена загальна'!I11</f>
        <v/>
      </c>
      <c r="J11" s="49">
        <f>'Зведена загальна'!J11</f>
        <v/>
      </c>
      <c r="K11" s="49">
        <f>'Зведена загальна'!K11</f>
        <v/>
      </c>
      <c r="L11" s="49">
        <f>'Зведена загальна'!L11</f>
        <v/>
      </c>
      <c r="M11" s="49">
        <f>'Зведена загальна'!M11</f>
        <v/>
      </c>
      <c r="N11" s="49">
        <f>'Зведена загальна'!N11</f>
        <v/>
      </c>
      <c r="O11" s="49">
        <f>'Зведена загальна'!O11</f>
        <v/>
      </c>
      <c r="P11" s="49">
        <f>'Зведена загальна'!P11</f>
        <v/>
      </c>
      <c r="Q11" s="49">
        <f>'Зведена загальна'!Q11</f>
        <v/>
      </c>
      <c r="R11" s="49">
        <f>'Зведена загальна'!R11</f>
        <v/>
      </c>
      <c r="S11" s="49">
        <f>'Зведена загальна'!S11</f>
        <v/>
      </c>
      <c r="T11" s="49">
        <f>'Зведена загальна'!T11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загальна'!C12</f>
        <v/>
      </c>
      <c r="D12" s="47" t="n">
        <v>3</v>
      </c>
      <c r="E12" s="48">
        <f>'Зведена загальна'!E12</f>
        <v/>
      </c>
      <c r="F12" s="49">
        <f>'Зведена загальна'!F12</f>
        <v/>
      </c>
      <c r="G12" s="49">
        <f>'Зведена загальна'!G12</f>
        <v/>
      </c>
      <c r="H12" s="49">
        <f>'Зведена загальна'!H12</f>
        <v/>
      </c>
      <c r="I12" s="49">
        <f>'Зведена загальна'!I12</f>
        <v/>
      </c>
      <c r="J12" s="49">
        <f>'Зведена загальна'!J12</f>
        <v/>
      </c>
      <c r="K12" s="49">
        <f>'Зведена загальна'!K12</f>
        <v/>
      </c>
      <c r="L12" s="49">
        <f>'Зведена загальна'!L12</f>
        <v/>
      </c>
      <c r="M12" s="49">
        <f>'Зведена загальна'!M12</f>
        <v/>
      </c>
      <c r="N12" s="49">
        <f>'Зведена загальна'!N12</f>
        <v/>
      </c>
      <c r="O12" s="49">
        <f>'Зведена загальна'!O12</f>
        <v/>
      </c>
      <c r="P12" s="49">
        <f>'Зведена загальна'!P12</f>
        <v/>
      </c>
      <c r="Q12" s="49">
        <f>'Зведена загальна'!Q12</f>
        <v/>
      </c>
      <c r="R12" s="49">
        <f>'Зведена загальна'!R12</f>
        <v/>
      </c>
      <c r="S12" s="49">
        <f>'Зведена загальна'!S12</f>
        <v/>
      </c>
      <c r="T12" s="49">
        <f>'Зведена загальна'!T12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загальна'!C14</f>
        <v/>
      </c>
      <c r="D13" s="47" t="n">
        <v>4</v>
      </c>
      <c r="E13" s="48">
        <f>'Зведена загальна'!E14</f>
        <v/>
      </c>
      <c r="F13" s="49">
        <f>'Зведена загальна'!F14</f>
        <v/>
      </c>
      <c r="G13" s="49">
        <f>'Зведена загальна'!G14</f>
        <v/>
      </c>
      <c r="H13" s="49">
        <f>'Зведена загальна'!H14</f>
        <v/>
      </c>
      <c r="I13" s="49">
        <f>'Зведена загальна'!I14</f>
        <v/>
      </c>
      <c r="J13" s="49">
        <f>'Зведена загальна'!J14</f>
        <v/>
      </c>
      <c r="K13" s="49">
        <f>'Зведена загальна'!K14</f>
        <v/>
      </c>
      <c r="L13" s="49">
        <f>'Зведена загальна'!L14</f>
        <v/>
      </c>
      <c r="M13" s="49">
        <f>'Зведена загальна'!M14</f>
        <v/>
      </c>
      <c r="N13" s="49">
        <f>'Зведена загальна'!N14</f>
        <v/>
      </c>
      <c r="O13" s="49">
        <f>'Зведена загальна'!O14</f>
        <v/>
      </c>
      <c r="P13" s="49">
        <f>'Зведена загальна'!P14</f>
        <v/>
      </c>
      <c r="Q13" s="49">
        <f>'Зведена загальна'!Q14</f>
        <v/>
      </c>
      <c r="R13" s="49">
        <f>'Зведена загальна'!R14</f>
        <v/>
      </c>
      <c r="S13" s="49">
        <f>'Зведена загальна'!S14</f>
        <v/>
      </c>
      <c r="T13" s="49">
        <f>'Зведена загальна'!T14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загальна'!C16</f>
        <v/>
      </c>
      <c r="D14" s="47" t="n">
        <v>5</v>
      </c>
      <c r="E14" s="48">
        <f>'Зведена загальна'!E16</f>
        <v/>
      </c>
      <c r="F14" s="49">
        <f>'Зведена загальна'!F16</f>
        <v/>
      </c>
      <c r="G14" s="49">
        <f>'Зведена загальна'!G16</f>
        <v/>
      </c>
      <c r="H14" s="49">
        <f>'Зведена загальна'!H16</f>
        <v/>
      </c>
      <c r="I14" s="49">
        <f>'Зведена загальна'!I16</f>
        <v/>
      </c>
      <c r="J14" s="49">
        <f>'Зведена загальна'!J16</f>
        <v/>
      </c>
      <c r="K14" s="49">
        <f>'Зведена загальна'!K16</f>
        <v/>
      </c>
      <c r="L14" s="49">
        <f>'Зведена загальна'!L16</f>
        <v/>
      </c>
      <c r="M14" s="49">
        <f>'Зведена загальна'!M16</f>
        <v/>
      </c>
      <c r="N14" s="49">
        <f>'Зведена загальна'!N16</f>
        <v/>
      </c>
      <c r="O14" s="49">
        <f>'Зведена загальна'!O16</f>
        <v/>
      </c>
      <c r="P14" s="49">
        <f>'Зведена загальна'!P16</f>
        <v/>
      </c>
      <c r="Q14" s="49">
        <f>'Зведена загальна'!Q16</f>
        <v/>
      </c>
      <c r="R14" s="49">
        <f>'Зведена загальна'!R16</f>
        <v/>
      </c>
      <c r="S14" s="49">
        <f>'Зведена загальна'!S16</f>
        <v/>
      </c>
      <c r="T14" s="49">
        <f>'Зведена загальна'!T16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загальна'!C17</f>
        <v/>
      </c>
      <c r="D15" s="47" t="n">
        <v>6</v>
      </c>
      <c r="E15" s="48">
        <f>'Зведена загальна'!E17</f>
        <v/>
      </c>
      <c r="F15" s="49">
        <f>'Зведена загальна'!F17</f>
        <v/>
      </c>
      <c r="G15" s="49">
        <f>'Зведена загальна'!G17</f>
        <v/>
      </c>
      <c r="H15" s="49">
        <f>'Зведена загальна'!H17</f>
        <v/>
      </c>
      <c r="I15" s="49">
        <f>'Зведена загальна'!I17</f>
        <v/>
      </c>
      <c r="J15" s="49">
        <f>'Зведена загальна'!J17</f>
        <v/>
      </c>
      <c r="K15" s="49">
        <f>'Зведена загальна'!K17</f>
        <v/>
      </c>
      <c r="L15" s="49">
        <f>'Зведена загальна'!L17</f>
        <v/>
      </c>
      <c r="M15" s="49">
        <f>'Зведена загальна'!M17</f>
        <v/>
      </c>
      <c r="N15" s="49">
        <f>'Зведена загальна'!N17</f>
        <v/>
      </c>
      <c r="O15" s="49">
        <f>'Зведена загальна'!O17</f>
        <v/>
      </c>
      <c r="P15" s="49">
        <f>'Зведена загальна'!P17</f>
        <v/>
      </c>
      <c r="Q15" s="49">
        <f>'Зведена загальна'!Q17</f>
        <v/>
      </c>
      <c r="R15" s="49">
        <f>'Зведена загальна'!R17</f>
        <v/>
      </c>
      <c r="S15" s="49">
        <f>'Зведена загальна'!S17</f>
        <v/>
      </c>
      <c r="T15" s="49">
        <f>'Зведена загальна'!T17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загальна'!C19</f>
        <v/>
      </c>
      <c r="D16" s="47" t="n">
        <v>7</v>
      </c>
      <c r="E16" s="48">
        <f>'Зведена загальна'!E19</f>
        <v/>
      </c>
      <c r="F16" s="49">
        <f>'Зведена загальна'!F19</f>
        <v/>
      </c>
      <c r="G16" s="49">
        <f>'Зведена загальна'!G19</f>
        <v/>
      </c>
      <c r="H16" s="49">
        <f>'Зведена загальна'!H19</f>
        <v/>
      </c>
      <c r="I16" s="49">
        <f>'Зведена загальна'!I19</f>
        <v/>
      </c>
      <c r="J16" s="49">
        <f>'Зведена загальна'!J19</f>
        <v/>
      </c>
      <c r="K16" s="49">
        <f>'Зведена загальна'!K19</f>
        <v/>
      </c>
      <c r="L16" s="49">
        <f>'Зведена загальна'!L19</f>
        <v/>
      </c>
      <c r="M16" s="49">
        <f>'Зведена загальна'!M19</f>
        <v/>
      </c>
      <c r="N16" s="49">
        <f>'Зведена загальна'!N19</f>
        <v/>
      </c>
      <c r="O16" s="49">
        <f>'Зведена загальна'!O19</f>
        <v/>
      </c>
      <c r="P16" s="49">
        <f>'Зведена загальна'!P19</f>
        <v/>
      </c>
      <c r="Q16" s="49">
        <f>'Зведена загальна'!Q19</f>
        <v/>
      </c>
      <c r="R16" s="49">
        <f>'Зведена загальна'!R19</f>
        <v/>
      </c>
      <c r="S16" s="49">
        <f>'Зведена загальна'!S19</f>
        <v/>
      </c>
      <c r="T16" s="49">
        <f>'Зведена загальна'!T19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загальна'!C20</f>
        <v/>
      </c>
      <c r="D17" s="47" t="n">
        <v>8</v>
      </c>
      <c r="E17" s="48">
        <f>'Зведена загальна'!E20</f>
        <v/>
      </c>
      <c r="F17" s="49">
        <f>'Зведена загальна'!F20</f>
        <v/>
      </c>
      <c r="G17" s="49">
        <f>'Зведена загальна'!G20</f>
        <v/>
      </c>
      <c r="H17" s="49">
        <f>'Зведена загальна'!H20</f>
        <v/>
      </c>
      <c r="I17" s="49">
        <f>'Зведена загальна'!I20</f>
        <v/>
      </c>
      <c r="J17" s="49">
        <f>'Зведена загальна'!J20</f>
        <v/>
      </c>
      <c r="K17" s="49">
        <f>'Зведена загальна'!K20</f>
        <v/>
      </c>
      <c r="L17" s="49">
        <f>'Зведена загальна'!L20</f>
        <v/>
      </c>
      <c r="M17" s="49">
        <f>'Зведена загальна'!M20</f>
        <v/>
      </c>
      <c r="N17" s="49">
        <f>'Зведена загальна'!N20</f>
        <v/>
      </c>
      <c r="O17" s="49">
        <f>'Зведена загальна'!O20</f>
        <v/>
      </c>
      <c r="P17" s="49">
        <f>'Зведена загальна'!P20</f>
        <v/>
      </c>
      <c r="Q17" s="49">
        <f>'Зведена загальна'!Q20</f>
        <v/>
      </c>
      <c r="R17" s="49">
        <f>'Зведена загальна'!R20</f>
        <v/>
      </c>
      <c r="S17" s="49">
        <f>'Зведена загальна'!S20</f>
        <v/>
      </c>
      <c r="T17" s="49">
        <f>'Зведена загальна'!T20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загальна'!C21</f>
        <v/>
      </c>
      <c r="D18" s="47" t="n">
        <v>9</v>
      </c>
      <c r="E18" s="48">
        <f>'Зведена загальна'!E21</f>
        <v/>
      </c>
      <c r="F18" s="49">
        <f>'Зведена загальна'!F21</f>
        <v/>
      </c>
      <c r="G18" s="49">
        <f>'Зведена загальна'!G21</f>
        <v/>
      </c>
      <c r="H18" s="49">
        <f>'Зведена загальна'!H21</f>
        <v/>
      </c>
      <c r="I18" s="49">
        <f>'Зведена загальна'!I21</f>
        <v/>
      </c>
      <c r="J18" s="49">
        <f>'Зведена загальна'!J21</f>
        <v/>
      </c>
      <c r="K18" s="49">
        <f>'Зведена загальна'!K21</f>
        <v/>
      </c>
      <c r="L18" s="49">
        <f>'Зведена загальна'!L21</f>
        <v/>
      </c>
      <c r="M18" s="49">
        <f>'Зведена загальна'!M21</f>
        <v/>
      </c>
      <c r="N18" s="49">
        <f>'Зведена загальна'!N21</f>
        <v/>
      </c>
      <c r="O18" s="49">
        <f>'Зведена загальна'!O21</f>
        <v/>
      </c>
      <c r="P18" s="49">
        <f>'Зведена загальна'!P21</f>
        <v/>
      </c>
      <c r="Q18" s="49">
        <f>'Зведена загальна'!Q21</f>
        <v/>
      </c>
      <c r="R18" s="49">
        <f>'Зведена загальна'!R21</f>
        <v/>
      </c>
      <c r="S18" s="49">
        <f>'Зведена загальна'!S21</f>
        <v/>
      </c>
      <c r="T18" s="49">
        <f>'Зведена загальна'!T21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загальна'!C22</f>
        <v/>
      </c>
      <c r="D19" s="47" t="n">
        <v>10</v>
      </c>
      <c r="E19" s="48">
        <f>'Зведена загальна'!E22</f>
        <v/>
      </c>
      <c r="F19" s="49">
        <f>'Зведена загальна'!F22</f>
        <v/>
      </c>
      <c r="G19" s="49">
        <f>'Зведена загальна'!G22</f>
        <v/>
      </c>
      <c r="H19" s="49">
        <f>'Зведена загальна'!H22</f>
        <v/>
      </c>
      <c r="I19" s="49">
        <f>'Зведена загальна'!I22</f>
        <v/>
      </c>
      <c r="J19" s="49">
        <f>'Зведена загальна'!J22</f>
        <v/>
      </c>
      <c r="K19" s="49">
        <f>'Зведена загальна'!K22</f>
        <v/>
      </c>
      <c r="L19" s="49">
        <f>'Зведена загальна'!L22</f>
        <v/>
      </c>
      <c r="M19" s="49">
        <f>'Зведена загальна'!M22</f>
        <v/>
      </c>
      <c r="N19" s="49">
        <f>'Зведена загальна'!N22</f>
        <v/>
      </c>
      <c r="O19" s="49">
        <f>'Зведена загальна'!O22</f>
        <v/>
      </c>
      <c r="P19" s="49">
        <f>'Зведена загальна'!P22</f>
        <v/>
      </c>
      <c r="Q19" s="49">
        <f>'Зведена загальна'!Q22</f>
        <v/>
      </c>
      <c r="R19" s="49">
        <f>'Зведена загальна'!R22</f>
        <v/>
      </c>
      <c r="S19" s="49">
        <f>'Зведена загальна'!S22</f>
        <v/>
      </c>
      <c r="T19" s="49">
        <f>'Зведена загальна'!T22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загальна'!C24</f>
        <v/>
      </c>
      <c r="D20" s="47" t="n">
        <v>11</v>
      </c>
      <c r="E20" s="48">
        <f>'Зведена загальна'!E24</f>
        <v/>
      </c>
      <c r="F20" s="49">
        <f>'Зведена загальна'!F24</f>
        <v/>
      </c>
      <c r="G20" s="49">
        <f>'Зведена загальна'!G24</f>
        <v/>
      </c>
      <c r="H20" s="49">
        <f>'Зведена загальна'!H24</f>
        <v/>
      </c>
      <c r="I20" s="49">
        <f>'Зведена загальна'!I24</f>
        <v/>
      </c>
      <c r="J20" s="49">
        <f>'Зведена загальна'!J24</f>
        <v/>
      </c>
      <c r="K20" s="49">
        <f>'Зведена загальна'!K24</f>
        <v/>
      </c>
      <c r="L20" s="49">
        <f>'Зведена загальна'!L24</f>
        <v/>
      </c>
      <c r="M20" s="49">
        <f>'Зведена загальна'!M24</f>
        <v/>
      </c>
      <c r="N20" s="49">
        <f>'Зведена загальна'!N24</f>
        <v/>
      </c>
      <c r="O20" s="49">
        <f>'Зведена загальна'!O24</f>
        <v/>
      </c>
      <c r="P20" s="49">
        <f>'Зведена загальна'!P24</f>
        <v/>
      </c>
      <c r="Q20" s="49">
        <f>'Зведена загальна'!Q24</f>
        <v/>
      </c>
      <c r="R20" s="49">
        <f>'Зведена загальна'!R24</f>
        <v/>
      </c>
      <c r="S20" s="49">
        <f>'Зведена загальна'!S24</f>
        <v/>
      </c>
      <c r="T20" s="49">
        <f>'Зведена загальна'!T24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загальна'!C28</f>
        <v/>
      </c>
      <c r="D21" s="47" t="n">
        <v>12</v>
      </c>
      <c r="E21" s="48">
        <f>'Зведена загальна'!E28</f>
        <v/>
      </c>
      <c r="F21" s="49">
        <f>'Зведена загальна'!F28</f>
        <v/>
      </c>
      <c r="G21" s="49">
        <f>'Зведена загальна'!G28</f>
        <v/>
      </c>
      <c r="H21" s="49">
        <f>'Зведена загальна'!H28</f>
        <v/>
      </c>
      <c r="I21" s="49">
        <f>'Зведена загальна'!I28</f>
        <v/>
      </c>
      <c r="J21" s="49">
        <f>'Зведена загальна'!J28</f>
        <v/>
      </c>
      <c r="K21" s="49">
        <f>'Зведена загальна'!K28</f>
        <v/>
      </c>
      <c r="L21" s="49">
        <f>'Зведена загальна'!L28</f>
        <v/>
      </c>
      <c r="M21" s="49">
        <f>'Зведена загальна'!M28</f>
        <v/>
      </c>
      <c r="N21" s="49">
        <f>'Зведена загальна'!N28</f>
        <v/>
      </c>
      <c r="O21" s="49">
        <f>'Зведена загальна'!O28</f>
        <v/>
      </c>
      <c r="P21" s="49">
        <f>'Зведена загальна'!P28</f>
        <v/>
      </c>
      <c r="Q21" s="49">
        <f>'Зведена загальна'!Q28</f>
        <v/>
      </c>
      <c r="R21" s="49">
        <f>'Зведена загальна'!R28</f>
        <v/>
      </c>
      <c r="S21" s="49">
        <f>'Зведена загальна'!S28</f>
        <v/>
      </c>
      <c r="T21" s="49">
        <f>'Зведена загальна'!T28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загальна'!C27</f>
        <v/>
      </c>
      <c r="D22" s="47" t="n">
        <v>13</v>
      </c>
      <c r="E22" s="48">
        <f>'Зведена загальна'!E27</f>
        <v/>
      </c>
      <c r="F22" s="49">
        <f>'Зведена загальна'!F27</f>
        <v/>
      </c>
      <c r="G22" s="49">
        <f>'Зведена загальна'!G27</f>
        <v/>
      </c>
      <c r="H22" s="49">
        <f>'Зведена загальна'!H27</f>
        <v/>
      </c>
      <c r="I22" s="49">
        <f>'Зведена загальна'!I27</f>
        <v/>
      </c>
      <c r="J22" s="49">
        <f>'Зведена загальна'!J27</f>
        <v/>
      </c>
      <c r="K22" s="49">
        <f>'Зведена загальна'!K27</f>
        <v/>
      </c>
      <c r="L22" s="49">
        <f>'Зведена загальна'!L27</f>
        <v/>
      </c>
      <c r="M22" s="49">
        <f>'Зведена загальна'!M27</f>
        <v/>
      </c>
      <c r="N22" s="49">
        <f>'Зведена загальна'!N27</f>
        <v/>
      </c>
      <c r="O22" s="49">
        <f>'Зведена загальна'!O27</f>
        <v/>
      </c>
      <c r="P22" s="49">
        <f>'Зведена загальна'!P27</f>
        <v/>
      </c>
      <c r="Q22" s="49">
        <f>'Зведена загальна'!Q27</f>
        <v/>
      </c>
      <c r="R22" s="49">
        <f>'Зведена загальна'!R27</f>
        <v/>
      </c>
      <c r="S22" s="49">
        <f>'Зведена загальна'!S27</f>
        <v/>
      </c>
      <c r="T22" s="49">
        <f>'Зведена загальна'!T27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'Зведена загальна'!C29</f>
        <v/>
      </c>
      <c r="D23" s="47" t="n">
        <v>14</v>
      </c>
      <c r="E23" s="48">
        <f>'Зведена загальна'!E29</f>
        <v/>
      </c>
      <c r="F23" s="49">
        <f>'Зведена загальна'!F29</f>
        <v/>
      </c>
      <c r="G23" s="49">
        <f>'Зведена загальна'!G29</f>
        <v/>
      </c>
      <c r="H23" s="49">
        <f>'Зведена загальна'!H29</f>
        <v/>
      </c>
      <c r="I23" s="49">
        <f>'Зведена загальна'!I29</f>
        <v/>
      </c>
      <c r="J23" s="49">
        <f>'Зведена загальна'!J29</f>
        <v/>
      </c>
      <c r="K23" s="49">
        <f>'Зведена загальна'!K29</f>
        <v/>
      </c>
      <c r="L23" s="49">
        <f>'Зведена загальна'!L29</f>
        <v/>
      </c>
      <c r="M23" s="49">
        <f>'Зведена загальна'!M29</f>
        <v/>
      </c>
      <c r="N23" s="49">
        <f>'Зведена загальна'!N29</f>
        <v/>
      </c>
      <c r="O23" s="49">
        <f>'Зведена загальна'!O29</f>
        <v/>
      </c>
      <c r="P23" s="49">
        <f>'Зведена загальна'!P29</f>
        <v/>
      </c>
      <c r="Q23" s="49">
        <f>'Зведена загальна'!Q29</f>
        <v/>
      </c>
      <c r="R23" s="49">
        <f>'Зведена загальна'!R29</f>
        <v/>
      </c>
      <c r="S23" s="49">
        <f>'Зведена загальна'!S29</f>
        <v/>
      </c>
      <c r="T23" s="49">
        <f>'Зведена загальна'!T29</f>
        <v/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'Зведена загальна'!C32</f>
        <v/>
      </c>
      <c r="D24" s="47" t="n">
        <v>15</v>
      </c>
      <c r="E24" s="48">
        <f>'Зведена загальна'!E32</f>
        <v/>
      </c>
      <c r="F24" s="49">
        <f>'Зведена загальна'!F32</f>
        <v/>
      </c>
      <c r="G24" s="49">
        <f>'Зведена загальна'!G32</f>
        <v/>
      </c>
      <c r="H24" s="49">
        <f>'Зведена загальна'!H32</f>
        <v/>
      </c>
      <c r="I24" s="49">
        <f>'Зведена загальна'!I32</f>
        <v/>
      </c>
      <c r="J24" s="49">
        <f>'Зведена загальна'!J32</f>
        <v/>
      </c>
      <c r="K24" s="49">
        <f>'Зведена загальна'!K32</f>
        <v/>
      </c>
      <c r="L24" s="49">
        <f>'Зведена загальна'!L32</f>
        <v/>
      </c>
      <c r="M24" s="49">
        <f>'Зведена загальна'!M32</f>
        <v/>
      </c>
      <c r="N24" s="49">
        <f>'Зведена загальна'!N32</f>
        <v/>
      </c>
      <c r="O24" s="49">
        <f>'Зведена загальна'!O32</f>
        <v/>
      </c>
      <c r="P24" s="49">
        <f>'Зведена загальна'!P32</f>
        <v/>
      </c>
      <c r="Q24" s="49">
        <f>'Зведена загальна'!Q32</f>
        <v/>
      </c>
      <c r="R24" s="49">
        <f>'Зведена загальна'!R32</f>
        <v/>
      </c>
      <c r="S24" s="49">
        <f>'Зведена загальна'!S32</f>
        <v/>
      </c>
      <c r="T24" s="49">
        <f>'Зведена загальна'!T32</f>
        <v/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'Зведена загальна'!C36</f>
        <v/>
      </c>
      <c r="D25" s="47" t="n">
        <v>16</v>
      </c>
      <c r="E25" s="48">
        <f>'Зведена загальна'!E36</f>
        <v/>
      </c>
      <c r="F25" s="49">
        <f>'Зведена загальна'!F36</f>
        <v/>
      </c>
      <c r="G25" s="49">
        <f>'Зведена загальна'!G36</f>
        <v/>
      </c>
      <c r="H25" s="49">
        <f>'Зведена загальна'!H36</f>
        <v/>
      </c>
      <c r="I25" s="49">
        <f>'Зведена загальна'!I36</f>
        <v/>
      </c>
      <c r="J25" s="49">
        <f>'Зведена загальна'!J36</f>
        <v/>
      </c>
      <c r="K25" s="49">
        <f>'Зведена загальна'!K36</f>
        <v/>
      </c>
      <c r="L25" s="49">
        <f>'Зведена загальна'!L36</f>
        <v/>
      </c>
      <c r="M25" s="49">
        <f>'Зведена загальна'!M36</f>
        <v/>
      </c>
      <c r="N25" s="49">
        <f>'Зведена загальна'!N36</f>
        <v/>
      </c>
      <c r="O25" s="49">
        <f>'Зведена загальна'!O36</f>
        <v/>
      </c>
      <c r="P25" s="49">
        <f>'Зведена загальна'!P36</f>
        <v/>
      </c>
      <c r="Q25" s="49">
        <f>'Зведена загальна'!Q36</f>
        <v/>
      </c>
      <c r="R25" s="49">
        <f>'Зведена загальна'!R36</f>
        <v/>
      </c>
      <c r="S25" s="49">
        <f>'Зведена загальна'!S36</f>
        <v/>
      </c>
      <c r="T25" s="49">
        <f>'Зведена загальна'!T36</f>
        <v/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'Зведена загальна'!C37</f>
        <v/>
      </c>
      <c r="D26" s="47" t="n">
        <v>17</v>
      </c>
      <c r="E26" s="48">
        <f>'Зведена загальна'!E37</f>
        <v/>
      </c>
      <c r="F26" s="49">
        <f>'Зведена загальна'!F37</f>
        <v/>
      </c>
      <c r="G26" s="49">
        <f>'Зведена загальна'!G37</f>
        <v/>
      </c>
      <c r="H26" s="49">
        <f>'Зведена загальна'!H37</f>
        <v/>
      </c>
      <c r="I26" s="49">
        <f>'Зведена загальна'!I37</f>
        <v/>
      </c>
      <c r="J26" s="49">
        <f>'Зведена загальна'!J37</f>
        <v/>
      </c>
      <c r="K26" s="49">
        <f>'Зведена загальна'!K37</f>
        <v/>
      </c>
      <c r="L26" s="49">
        <f>'Зведена загальна'!L37</f>
        <v/>
      </c>
      <c r="M26" s="49">
        <f>'Зведена загальна'!M37</f>
        <v/>
      </c>
      <c r="N26" s="49">
        <f>'Зведена загальна'!N37</f>
        <v/>
      </c>
      <c r="O26" s="49">
        <f>'Зведена загальна'!O37</f>
        <v/>
      </c>
      <c r="P26" s="49">
        <f>'Зведена загальна'!P37</f>
        <v/>
      </c>
      <c r="Q26" s="49">
        <f>'Зведена загальна'!Q37</f>
        <v/>
      </c>
      <c r="R26" s="49">
        <f>'Зведена загальна'!R37</f>
        <v/>
      </c>
      <c r="S26" s="49">
        <f>'Зведена загальна'!S37</f>
        <v/>
      </c>
      <c r="T26" s="49">
        <f>'Зведена загальна'!T37</f>
        <v/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IF(COUNTIF($C$10:$C26,"=Б")=0,IF(COUNTIF($C$10:$C26,"=К")=0,"Очікую",0),COUNTIF($C$10:$C26,"=Б"))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IF(COUNTIF($C$10:$C26,"=К")=0,IF(COUNTIF($C$10:$C26,"=Б")=0,"Очікую",0),COUNTIF($C$10:$C26,"=К"))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'Зведена загальна'!P45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Маргарита БРІТІКОВА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загальна'!C13</f>
        <v/>
      </c>
      <c r="D10" s="47" t="n">
        <v>1</v>
      </c>
      <c r="E10" s="48">
        <f>'Зведена загальна'!E13</f>
        <v/>
      </c>
      <c r="F10" s="49">
        <f>'Зведена загальна'!F13</f>
        <v/>
      </c>
      <c r="G10" s="49">
        <f>'Зведена загальна'!G13</f>
        <v/>
      </c>
      <c r="H10" s="49">
        <f>'Зведена загальна'!H13</f>
        <v/>
      </c>
      <c r="I10" s="49">
        <f>'Зведена загальна'!I13</f>
        <v/>
      </c>
      <c r="J10" s="49">
        <f>'Зведена загальна'!J13</f>
        <v/>
      </c>
      <c r="K10" s="49">
        <f>'Зведена загальна'!K13</f>
        <v/>
      </c>
      <c r="L10" s="49">
        <f>'Зведена загальна'!L13</f>
        <v/>
      </c>
      <c r="M10" s="49">
        <f>'Зведена загальна'!M13</f>
        <v/>
      </c>
      <c r="N10" s="49">
        <f>'Зведена загальна'!N13</f>
        <v/>
      </c>
      <c r="O10" s="49">
        <f>'Зведена загальна'!O13</f>
        <v/>
      </c>
      <c r="P10" s="49">
        <f>'Зведена загальна'!P13</f>
        <v/>
      </c>
      <c r="Q10" s="49">
        <f>'Зведена загальна'!Q13</f>
        <v/>
      </c>
      <c r="R10" s="49">
        <f>'Зведена загальна'!R13</f>
        <v/>
      </c>
      <c r="S10" s="49">
        <f>'Зведена загальна'!S13</f>
        <v/>
      </c>
      <c r="T10" s="49">
        <f>'Зведена загальна'!T13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загальна'!C15</f>
        <v/>
      </c>
      <c r="D11" s="47" t="n">
        <v>2</v>
      </c>
      <c r="E11" s="48">
        <f>'Зведена загальна'!E15</f>
        <v/>
      </c>
      <c r="F11" s="49">
        <f>'Зведена загальна'!F15</f>
        <v/>
      </c>
      <c r="G11" s="49">
        <f>'Зведена загальна'!G15</f>
        <v/>
      </c>
      <c r="H11" s="49">
        <f>'Зведена загальна'!H15</f>
        <v/>
      </c>
      <c r="I11" s="49">
        <f>'Зведена загальна'!I15</f>
        <v/>
      </c>
      <c r="J11" s="49">
        <f>'Зведена загальна'!J15</f>
        <v/>
      </c>
      <c r="K11" s="49">
        <f>'Зведена загальна'!K15</f>
        <v/>
      </c>
      <c r="L11" s="49">
        <f>'Зведена загальна'!L15</f>
        <v/>
      </c>
      <c r="M11" s="49">
        <f>'Зведена загальна'!M15</f>
        <v/>
      </c>
      <c r="N11" s="49">
        <f>'Зведена загальна'!N15</f>
        <v/>
      </c>
      <c r="O11" s="49">
        <f>'Зведена загальна'!O15</f>
        <v/>
      </c>
      <c r="P11" s="49">
        <f>'Зведена загальна'!P15</f>
        <v/>
      </c>
      <c r="Q11" s="49">
        <f>'Зведена загальна'!Q15</f>
        <v/>
      </c>
      <c r="R11" s="49">
        <f>'Зведена загальна'!R15</f>
        <v/>
      </c>
      <c r="S11" s="49">
        <f>'Зведена загальна'!S15</f>
        <v/>
      </c>
      <c r="T11" s="49">
        <f>'Зведена загальна'!T15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загальна'!C18</f>
        <v/>
      </c>
      <c r="D12" s="47" t="n">
        <v>3</v>
      </c>
      <c r="E12" s="48">
        <f>'Зведена загальна'!E18</f>
        <v/>
      </c>
      <c r="F12" s="49">
        <f>'Зведена загальна'!F18</f>
        <v/>
      </c>
      <c r="G12" s="49">
        <f>'Зведена загальна'!G18</f>
        <v/>
      </c>
      <c r="H12" s="49">
        <f>'Зведена загальна'!H18</f>
        <v/>
      </c>
      <c r="I12" s="49">
        <f>'Зведена загальна'!I18</f>
        <v/>
      </c>
      <c r="J12" s="49">
        <f>'Зведена загальна'!J18</f>
        <v/>
      </c>
      <c r="K12" s="49">
        <f>'Зведена загальна'!K18</f>
        <v/>
      </c>
      <c r="L12" s="49">
        <f>'Зведена загальна'!L18</f>
        <v/>
      </c>
      <c r="M12" s="49">
        <f>'Зведена загальна'!M18</f>
        <v/>
      </c>
      <c r="N12" s="49">
        <f>'Зведена загальна'!N18</f>
        <v/>
      </c>
      <c r="O12" s="49">
        <f>'Зведена загальна'!O18</f>
        <v/>
      </c>
      <c r="P12" s="49">
        <f>'Зведена загальна'!P18</f>
        <v/>
      </c>
      <c r="Q12" s="49">
        <f>'Зведена загальна'!Q18</f>
        <v/>
      </c>
      <c r="R12" s="49">
        <f>'Зведена загальна'!R18</f>
        <v/>
      </c>
      <c r="S12" s="49">
        <f>'Зведена загальна'!S18</f>
        <v/>
      </c>
      <c r="T12" s="49">
        <f>'Зведена загальна'!T18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загальна'!C23</f>
        <v/>
      </c>
      <c r="D13" s="47" t="n">
        <v>4</v>
      </c>
      <c r="E13" s="48">
        <f>'Зведена загальна'!E23</f>
        <v/>
      </c>
      <c r="F13" s="49">
        <f>'Зведена загальна'!F23</f>
        <v/>
      </c>
      <c r="G13" s="49">
        <f>'Зведена загальна'!G23</f>
        <v/>
      </c>
      <c r="H13" s="49">
        <f>'Зведена загальна'!H23</f>
        <v/>
      </c>
      <c r="I13" s="49">
        <f>'Зведена загальна'!I23</f>
        <v/>
      </c>
      <c r="J13" s="49">
        <f>'Зведена загальна'!J23</f>
        <v/>
      </c>
      <c r="K13" s="49">
        <f>'Зведена загальна'!K23</f>
        <v/>
      </c>
      <c r="L13" s="49">
        <f>'Зведена загальна'!L23</f>
        <v/>
      </c>
      <c r="M13" s="49">
        <f>'Зведена загальна'!M23</f>
        <v/>
      </c>
      <c r="N13" s="49">
        <f>'Зведена загальна'!N23</f>
        <v/>
      </c>
      <c r="O13" s="49">
        <f>'Зведена загальна'!O23</f>
        <v/>
      </c>
      <c r="P13" s="49">
        <f>'Зведена загальна'!P23</f>
        <v/>
      </c>
      <c r="Q13" s="49">
        <f>'Зведена загальна'!Q23</f>
        <v/>
      </c>
      <c r="R13" s="49">
        <f>'Зведена загальна'!R23</f>
        <v/>
      </c>
      <c r="S13" s="49">
        <f>'Зведена загальна'!S23</f>
        <v/>
      </c>
      <c r="T13" s="49">
        <f>'Зведена загальна'!T23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загальна'!C25</f>
        <v/>
      </c>
      <c r="D14" s="47" t="n">
        <v>5</v>
      </c>
      <c r="E14" s="48">
        <f>'Зведена загальна'!E25</f>
        <v/>
      </c>
      <c r="F14" s="49">
        <f>'Зведена загальна'!F25</f>
        <v/>
      </c>
      <c r="G14" s="49">
        <f>'Зведена загальна'!G25</f>
        <v/>
      </c>
      <c r="H14" s="49">
        <f>'Зведена загальна'!H25</f>
        <v/>
      </c>
      <c r="I14" s="49">
        <f>'Зведена загальна'!I25</f>
        <v/>
      </c>
      <c r="J14" s="49">
        <f>'Зведена загальна'!J25</f>
        <v/>
      </c>
      <c r="K14" s="49">
        <f>'Зведена загальна'!K25</f>
        <v/>
      </c>
      <c r="L14" s="49">
        <f>'Зведена загальна'!L25</f>
        <v/>
      </c>
      <c r="M14" s="49">
        <f>'Зведена загальна'!M25</f>
        <v/>
      </c>
      <c r="N14" s="49">
        <f>'Зведена загальна'!N25</f>
        <v/>
      </c>
      <c r="O14" s="49">
        <f>'Зведена загальна'!O25</f>
        <v/>
      </c>
      <c r="P14" s="49">
        <f>'Зведена загальна'!P25</f>
        <v/>
      </c>
      <c r="Q14" s="49">
        <f>'Зведена загальна'!Q25</f>
        <v/>
      </c>
      <c r="R14" s="49">
        <f>'Зведена загальна'!R25</f>
        <v/>
      </c>
      <c r="S14" s="49">
        <f>'Зведена загальна'!S25</f>
        <v/>
      </c>
      <c r="T14" s="49">
        <f>'Зведена загальна'!T25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загальна'!C26</f>
        <v/>
      </c>
      <c r="D15" s="47" t="n">
        <v>6</v>
      </c>
      <c r="E15" s="48">
        <f>'Зведена загальна'!E26</f>
        <v/>
      </c>
      <c r="F15" s="49">
        <f>'Зведена загальна'!F26</f>
        <v/>
      </c>
      <c r="G15" s="49">
        <f>'Зведена загальна'!G26</f>
        <v/>
      </c>
      <c r="H15" s="49">
        <f>'Зведена загальна'!H26</f>
        <v/>
      </c>
      <c r="I15" s="49">
        <f>'Зведена загальна'!I26</f>
        <v/>
      </c>
      <c r="J15" s="49">
        <f>'Зведена загальна'!J26</f>
        <v/>
      </c>
      <c r="K15" s="49">
        <f>'Зведена загальна'!K26</f>
        <v/>
      </c>
      <c r="L15" s="49">
        <f>'Зведена загальна'!L26</f>
        <v/>
      </c>
      <c r="M15" s="49">
        <f>'Зведена загальна'!M26</f>
        <v/>
      </c>
      <c r="N15" s="49">
        <f>'Зведена загальна'!N26</f>
        <v/>
      </c>
      <c r="O15" s="49">
        <f>'Зведена загальна'!O26</f>
        <v/>
      </c>
      <c r="P15" s="49">
        <f>'Зведена загальна'!P26</f>
        <v/>
      </c>
      <c r="Q15" s="49">
        <f>'Зведена загальна'!Q26</f>
        <v/>
      </c>
      <c r="R15" s="49">
        <f>'Зведена загальна'!R26</f>
        <v/>
      </c>
      <c r="S15" s="49">
        <f>'Зведена загальна'!S26</f>
        <v/>
      </c>
      <c r="T15" s="49">
        <f>'Зведена загальна'!T26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загальна'!C30</f>
        <v/>
      </c>
      <c r="D16" s="47" t="n">
        <v>7</v>
      </c>
      <c r="E16" s="48">
        <f>'Зведена загальна'!E30</f>
        <v/>
      </c>
      <c r="F16" s="49">
        <f>'Зведена загальна'!F30</f>
        <v/>
      </c>
      <c r="G16" s="49">
        <f>'Зведена загальна'!G30</f>
        <v/>
      </c>
      <c r="H16" s="49">
        <f>'Зведена загальна'!H30</f>
        <v/>
      </c>
      <c r="I16" s="49">
        <f>'Зведена загальна'!I30</f>
        <v/>
      </c>
      <c r="J16" s="49">
        <f>'Зведена загальна'!J30</f>
        <v/>
      </c>
      <c r="K16" s="49">
        <f>'Зведена загальна'!K30</f>
        <v/>
      </c>
      <c r="L16" s="49">
        <f>'Зведена загальна'!L30</f>
        <v/>
      </c>
      <c r="M16" s="49">
        <f>'Зведена загальна'!M30</f>
        <v/>
      </c>
      <c r="N16" s="49">
        <f>'Зведена загальна'!N30</f>
        <v/>
      </c>
      <c r="O16" s="49">
        <f>'Зведена загальна'!O30</f>
        <v/>
      </c>
      <c r="P16" s="49">
        <f>'Зведена загальна'!P30</f>
        <v/>
      </c>
      <c r="Q16" s="49">
        <f>'Зведена загальна'!Q30</f>
        <v/>
      </c>
      <c r="R16" s="49">
        <f>'Зведена загальна'!R30</f>
        <v/>
      </c>
      <c r="S16" s="49">
        <f>'Зведена загальна'!S30</f>
        <v/>
      </c>
      <c r="T16" s="49">
        <f>'Зведена загальна'!T30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загальна'!C31</f>
        <v/>
      </c>
      <c r="D17" s="47" t="n">
        <v>8</v>
      </c>
      <c r="E17" s="48">
        <f>'Зведена загальна'!E31</f>
        <v/>
      </c>
      <c r="F17" s="49">
        <f>'Зведена загальна'!F31</f>
        <v/>
      </c>
      <c r="G17" s="49">
        <f>'Зведена загальна'!G31</f>
        <v/>
      </c>
      <c r="H17" s="49">
        <f>'Зведена загальна'!H31</f>
        <v/>
      </c>
      <c r="I17" s="49">
        <f>'Зведена загальна'!I31</f>
        <v/>
      </c>
      <c r="J17" s="49">
        <f>'Зведена загальна'!J31</f>
        <v/>
      </c>
      <c r="K17" s="49">
        <f>'Зведена загальна'!K31</f>
        <v/>
      </c>
      <c r="L17" s="49">
        <f>'Зведена загальна'!L31</f>
        <v/>
      </c>
      <c r="M17" s="49">
        <f>'Зведена загальна'!M31</f>
        <v/>
      </c>
      <c r="N17" s="49">
        <f>'Зведена загальна'!N31</f>
        <v/>
      </c>
      <c r="O17" s="49">
        <f>'Зведена загальна'!O31</f>
        <v/>
      </c>
      <c r="P17" s="49">
        <f>'Зведена загальна'!P31</f>
        <v/>
      </c>
      <c r="Q17" s="49">
        <f>'Зведена загальна'!Q31</f>
        <v/>
      </c>
      <c r="R17" s="49">
        <f>'Зведена загальна'!R31</f>
        <v/>
      </c>
      <c r="S17" s="49">
        <f>'Зведена загальна'!S31</f>
        <v/>
      </c>
      <c r="T17" s="49">
        <f>'Зведена загальна'!T31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загальна'!C33</f>
        <v/>
      </c>
      <c r="D18" s="47" t="n">
        <v>9</v>
      </c>
      <c r="E18" s="48">
        <f>'Зведена загальна'!E33</f>
        <v/>
      </c>
      <c r="F18" s="49">
        <f>'Зведена загальна'!F33</f>
        <v/>
      </c>
      <c r="G18" s="49">
        <f>'Зведена загальна'!G33</f>
        <v/>
      </c>
      <c r="H18" s="49">
        <f>'Зведена загальна'!H33</f>
        <v/>
      </c>
      <c r="I18" s="49">
        <f>'Зведена загальна'!I33</f>
        <v/>
      </c>
      <c r="J18" s="49">
        <f>'Зведена загальна'!J33</f>
        <v/>
      </c>
      <c r="K18" s="49">
        <f>'Зведена загальна'!K33</f>
        <v/>
      </c>
      <c r="L18" s="49">
        <f>'Зведена загальна'!L33</f>
        <v/>
      </c>
      <c r="M18" s="49">
        <f>'Зведена загальна'!M33</f>
        <v/>
      </c>
      <c r="N18" s="49">
        <f>'Зведена загальна'!N33</f>
        <v/>
      </c>
      <c r="O18" s="49">
        <f>'Зведена загальна'!O33</f>
        <v/>
      </c>
      <c r="P18" s="49">
        <f>'Зведена загальна'!P33</f>
        <v/>
      </c>
      <c r="Q18" s="49">
        <f>'Зведена загальна'!Q33</f>
        <v/>
      </c>
      <c r="R18" s="49">
        <f>'Зведена загальна'!R33</f>
        <v/>
      </c>
      <c r="S18" s="49">
        <f>'Зведена загальна'!S33</f>
        <v/>
      </c>
      <c r="T18" s="49">
        <f>'Зведена загальна'!T33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загальна'!C34</f>
        <v/>
      </c>
      <c r="D19" s="47" t="n">
        <v>10</v>
      </c>
      <c r="E19" s="48">
        <f>'Зведена загальна'!E34</f>
        <v/>
      </c>
      <c r="F19" s="49">
        <f>'Зведена загальна'!F34</f>
        <v/>
      </c>
      <c r="G19" s="49">
        <f>'Зведена загальна'!G34</f>
        <v/>
      </c>
      <c r="H19" s="49">
        <f>'Зведена загальна'!H34</f>
        <v/>
      </c>
      <c r="I19" s="49">
        <f>'Зведена загальна'!I34</f>
        <v/>
      </c>
      <c r="J19" s="49">
        <f>'Зведена загальна'!J34</f>
        <v/>
      </c>
      <c r="K19" s="49">
        <f>'Зведена загальна'!K34</f>
        <v/>
      </c>
      <c r="L19" s="49">
        <f>'Зведена загальна'!L34</f>
        <v/>
      </c>
      <c r="M19" s="49">
        <f>'Зведена загальна'!M34</f>
        <v/>
      </c>
      <c r="N19" s="49">
        <f>'Зведена загальна'!N34</f>
        <v/>
      </c>
      <c r="O19" s="49">
        <f>'Зведена загальна'!O34</f>
        <v/>
      </c>
      <c r="P19" s="49">
        <f>'Зведена загальна'!P34</f>
        <v/>
      </c>
      <c r="Q19" s="49">
        <f>'Зведена загальна'!Q34</f>
        <v/>
      </c>
      <c r="R19" s="49">
        <f>'Зведена загальна'!R34</f>
        <v/>
      </c>
      <c r="S19" s="49">
        <f>'Зведена загальна'!S34</f>
        <v/>
      </c>
      <c r="T19" s="49">
        <f>'Зведена загальна'!T34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загальна'!C35</f>
        <v/>
      </c>
      <c r="D20" s="47" t="n">
        <v>11</v>
      </c>
      <c r="E20" s="48">
        <f>'Зведена загальна'!E35</f>
        <v/>
      </c>
      <c r="F20" s="49">
        <f>'Зведена загальна'!F35</f>
        <v/>
      </c>
      <c r="G20" s="49">
        <f>'Зведена загальна'!G35</f>
        <v/>
      </c>
      <c r="H20" s="49">
        <f>'Зведена загальна'!H35</f>
        <v/>
      </c>
      <c r="I20" s="49">
        <f>'Зведена загальна'!I35</f>
        <v/>
      </c>
      <c r="J20" s="49">
        <f>'Зведена загальна'!J35</f>
        <v/>
      </c>
      <c r="K20" s="49">
        <f>'Зведена загальна'!K35</f>
        <v/>
      </c>
      <c r="L20" s="49">
        <f>'Зведена загальна'!L35</f>
        <v/>
      </c>
      <c r="M20" s="49">
        <f>'Зведена загальна'!M35</f>
        <v/>
      </c>
      <c r="N20" s="49">
        <f>'Зведена загальна'!N35</f>
        <v/>
      </c>
      <c r="O20" s="49">
        <f>'Зведена загальна'!O35</f>
        <v/>
      </c>
      <c r="P20" s="49">
        <f>'Зведена загальна'!P35</f>
        <v/>
      </c>
      <c r="Q20" s="49">
        <f>'Зведена загальна'!Q35</f>
        <v/>
      </c>
      <c r="R20" s="49">
        <f>'Зведена загальна'!R35</f>
        <v/>
      </c>
      <c r="S20" s="49">
        <f>'Зведена загальна'!S35</f>
        <v/>
      </c>
      <c r="T20" s="49">
        <f>'Зведена загальна'!T35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загальна'!C38</f>
        <v/>
      </c>
      <c r="D21" s="47" t="n">
        <v>12</v>
      </c>
      <c r="E21" s="48">
        <f>'Зведена загальна'!E38</f>
        <v/>
      </c>
      <c r="F21" s="49">
        <f>'Зведена загальна'!F38</f>
        <v/>
      </c>
      <c r="G21" s="49">
        <f>'Зведена загальна'!G38</f>
        <v/>
      </c>
      <c r="H21" s="49">
        <f>'Зведена загальна'!H38</f>
        <v/>
      </c>
      <c r="I21" s="49">
        <f>'Зведена загальна'!I38</f>
        <v/>
      </c>
      <c r="J21" s="49">
        <f>'Зведена загальна'!J38</f>
        <v/>
      </c>
      <c r="K21" s="49">
        <f>'Зведена загальна'!K38</f>
        <v/>
      </c>
      <c r="L21" s="49">
        <f>'Зведена загальна'!L38</f>
        <v/>
      </c>
      <c r="M21" s="49">
        <f>'Зведена загальна'!M38</f>
        <v/>
      </c>
      <c r="N21" s="49">
        <f>'Зведена загальна'!N38</f>
        <v/>
      </c>
      <c r="O21" s="49">
        <f>'Зведена загальна'!O38</f>
        <v/>
      </c>
      <c r="P21" s="49">
        <f>'Зведена загальна'!P38</f>
        <v/>
      </c>
      <c r="Q21" s="49">
        <f>'Зведена загальна'!Q38</f>
        <v/>
      </c>
      <c r="R21" s="49">
        <f>'Зведена загальна'!R38</f>
        <v/>
      </c>
      <c r="S21" s="49">
        <f>'Зведена загальна'!S38</f>
        <v/>
      </c>
      <c r="T21" s="49">
        <f>'Зведена загальна'!T38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8">
        <f>IF(SUM(T$10:T21)=0,IF(COUNTA(T$10:T21)=0,"Очікую",0),SUM(T$10:T21)/$D21)</f>
        <v/>
      </c>
      <c r="U22" s="9">
        <f>IFERROR(AVERAGE($F22:T22),"Очікую")</f>
        <v/>
      </c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43">
        <f>IF(SUM(T$10:T21)=0,IF(COUNTA(T$10:T21)=0,"Очікую",0),IF(COUNTIF(T$10:T21,"&gt;=4")=0,0,COUNTIF(T$10:T21,"&gt;=4")/$D21*100))</f>
        <v/>
      </c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43">
        <f>IF(SUM(T$10:T21)=0,IF(COUNTA(T$10:T21)=0,"Очікую",0),IF(COUNTIF(T$10:T21,"&gt;=7")=0,0,COUNTIF(T$10:T21,"&gt;=7")/$D21*100))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IFERROR(AVERAGE(F23:T23),"Очікую")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IF(COUNTIF($C$10:$C21,"=Б")=0,IF(COUNTIF($C$10:$C21,"=К")=0,"Очікую",0),COUNTIF($C$10:$C21,"=Б"))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IF(COUNTIF($C$10:$C21,"=К")=0,IF(COUNTIF($C$10:$C21,"=Б")=0,"Очікую",0),COUNTIF($C$10:$C21,"=К"))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55" t="n"/>
      <c r="M28" s="6" t="n"/>
      <c r="N28" s="6" t="n"/>
      <c r="O28" s="6" t="n"/>
      <c r="P28" s="56">
        <f>'Зведена загальна'!P45</f>
        <v/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55" t="n"/>
      <c r="M29" s="6" t="n"/>
      <c r="N29" s="6" t="n"/>
      <c r="O29" s="6" t="n"/>
      <c r="P29" s="56" t="n"/>
      <c r="Q29" s="52" t="n"/>
      <c r="R29" s="52" t="n"/>
      <c r="S29" s="52" t="n"/>
      <c r="T29" s="52" t="n"/>
      <c r="U29" s="52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IF(F27="Очікую","Очікую",IF(F27-COUNTIF($U$10:$U21," - ")&lt;ROUNDDOWN(F27*0.4,0),F27-COUNTIF($U$10:$U21,"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56" t="n"/>
      <c r="M30" s="6" t="n"/>
      <c r="N30" s="6" t="n"/>
      <c r="O30" s="6" t="n"/>
      <c r="P30" s="56" t="inlineStr">
        <is>
          <t>Маргарита БРІТІКОВА</t>
        </is>
      </c>
      <c r="Q30" s="54" t="n"/>
      <c r="R30" s="54" t="n"/>
      <c r="S30" s="54" t="n"/>
      <c r="T30" s="54" t="n"/>
      <c r="U30" s="54" t="n"/>
      <c r="V30" s="20" t="n"/>
      <c r="W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5" t="n"/>
      <c r="W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2026-06-06T11:28:36Z</dcterms:modified>
  <cp:lastModifiedBy>Maxim Surkov</cp:lastModifiedBy>
  <cp:lastPrinted>2026-01-07T15:30:50Z</cp:lastPrinted>
</cp:coreProperties>
</file>