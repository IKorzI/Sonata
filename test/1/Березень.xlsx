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-120" yWindow="-120" windowWidth="29040" windowHeight="16440" tabRatio="684" activeTab="4"/>
  </bookViews>
  <sheets>
    <sheet name="25-1" sheetId="1" r:id="rId1"/>
    <sheet name="25-2" sheetId="2" r:id="rId2"/>
    <sheet name="25-3" sheetId="3" r:id="rId3"/>
    <sheet name="25-4" sheetId="4" r:id="rId4"/>
    <sheet name="25-5" sheetId="5" r:id="rId5"/>
    <sheet name="Зведена" sheetId="6" r:id="rId6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 localSheetId="5">#REF!</definedName>
    <definedName name="A1048577">#REF!</definedName>
    <definedName name="_xlnm.Print_Area" localSheetId="0">'25-1'!$C$3:$AK$30</definedName>
    <definedName name="_xlnm.Print_Area" localSheetId="1">'25-2'!$C$3:$AK$30</definedName>
    <definedName name="_xlnm.Print_Area" localSheetId="2">'25-3'!$C$3:$AK$30</definedName>
    <definedName name="_xlnm.Print_Area" localSheetId="3">'25-4'!$C$3:$AK$30</definedName>
    <definedName name="_xlnm.Print_Area" localSheetId="4">'25-5'!$C$3:$AK$30</definedName>
    <definedName name="_xlnm.Print_Area" localSheetId="5">Зведена!$C$3:$J$30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 localSheetId="5">#REF!</definedName>
    <definedName name="Ф80">#REF!</definedName>
  </definedNames>
  <calcPr calcId="145621" calcMode="autoNoTable"/>
</workbook>
</file>

<file path=xl/calcChain.xml><?xml version="1.0" encoding="utf-8"?>
<calcChain xmlns="http://schemas.openxmlformats.org/spreadsheetml/2006/main">
  <c r="AJ26" i="5" l="1"/>
  <c r="I24" i="6" s="1"/>
  <c r="AJ25" i="5"/>
  <c r="I16" i="6" s="1"/>
  <c r="AJ24" i="5"/>
  <c r="I18" i="6" s="1"/>
  <c r="AJ23" i="5"/>
  <c r="AJ22" i="5"/>
  <c r="AJ21" i="5"/>
  <c r="I17" i="6" s="1"/>
  <c r="AJ20" i="5"/>
  <c r="I20" i="6" s="1"/>
  <c r="AJ19" i="5"/>
  <c r="I10" i="6" s="1"/>
  <c r="AJ18" i="5"/>
  <c r="I23" i="6" s="1"/>
  <c r="AJ17" i="5"/>
  <c r="I19" i="6" s="1"/>
  <c r="AJ16" i="5"/>
  <c r="I12" i="6" s="1"/>
  <c r="AJ15" i="5"/>
  <c r="AJ14" i="5"/>
  <c r="I21" i="6" s="1"/>
  <c r="AJ13" i="5"/>
  <c r="I15" i="6" s="1"/>
  <c r="AJ12" i="5"/>
  <c r="I22" i="6" s="1"/>
  <c r="AJ26" i="4"/>
  <c r="H24" i="6" s="1"/>
  <c r="AJ25" i="4"/>
  <c r="H16" i="6" s="1"/>
  <c r="AJ24" i="4"/>
  <c r="H18" i="6" s="1"/>
  <c r="AJ23" i="4"/>
  <c r="AJ22" i="4"/>
  <c r="AJ21" i="4"/>
  <c r="H17" i="6" s="1"/>
  <c r="AJ20" i="4"/>
  <c r="H20" i="6" s="1"/>
  <c r="AJ19" i="4"/>
  <c r="H10" i="6" s="1"/>
  <c r="AJ18" i="4"/>
  <c r="H23" i="6" s="1"/>
  <c r="AJ17" i="4"/>
  <c r="H19" i="6" s="1"/>
  <c r="AJ16" i="4"/>
  <c r="H12" i="6" s="1"/>
  <c r="AJ15" i="4"/>
  <c r="AJ14" i="4"/>
  <c r="H21" i="6" s="1"/>
  <c r="AJ13" i="4"/>
  <c r="H15" i="6" s="1"/>
  <c r="AJ12" i="4"/>
  <c r="AJ26" i="3"/>
  <c r="G25" i="6" s="1"/>
  <c r="AJ25" i="3"/>
  <c r="G16" i="6" s="1"/>
  <c r="AJ24" i="3"/>
  <c r="G18" i="6" s="1"/>
  <c r="AJ23" i="3"/>
  <c r="AJ22" i="3"/>
  <c r="G26" i="6" s="1"/>
  <c r="AJ21" i="3"/>
  <c r="G17" i="6" s="1"/>
  <c r="AJ20" i="3"/>
  <c r="G20" i="6" s="1"/>
  <c r="AJ19" i="3"/>
  <c r="G10" i="6" s="1"/>
  <c r="AJ18" i="3"/>
  <c r="G23" i="6" s="1"/>
  <c r="AJ17" i="3"/>
  <c r="G19" i="6" s="1"/>
  <c r="AJ16" i="3"/>
  <c r="G12" i="6" s="1"/>
  <c r="AJ15" i="3"/>
  <c r="AJ14" i="3"/>
  <c r="G21" i="6" s="1"/>
  <c r="AJ13" i="3"/>
  <c r="G15" i="6" s="1"/>
  <c r="AJ12" i="3"/>
  <c r="AJ26" i="2"/>
  <c r="F25" i="6" s="1"/>
  <c r="AJ25" i="2"/>
  <c r="F14" i="6" s="1"/>
  <c r="AJ24" i="2"/>
  <c r="F18" i="6" s="1"/>
  <c r="AJ23" i="2"/>
  <c r="AJ22" i="2"/>
  <c r="AJ21" i="2"/>
  <c r="F13" i="6" s="1"/>
  <c r="AJ20" i="2"/>
  <c r="F20" i="6" s="1"/>
  <c r="AJ19" i="2"/>
  <c r="F10" i="6" s="1"/>
  <c r="AJ18" i="2"/>
  <c r="F23" i="6" s="1"/>
  <c r="AJ17" i="2"/>
  <c r="F19" i="6" s="1"/>
  <c r="AJ16" i="2"/>
  <c r="F12" i="6" s="1"/>
  <c r="AJ15" i="2"/>
  <c r="AJ14" i="2"/>
  <c r="F21" i="6" s="1"/>
  <c r="AJ13" i="2"/>
  <c r="F15" i="6" s="1"/>
  <c r="AJ12" i="2"/>
  <c r="AJ26" i="1"/>
  <c r="E25" i="6" s="1"/>
  <c r="J25" i="6" s="1"/>
  <c r="AJ25" i="1"/>
  <c r="E14" i="6" s="1"/>
  <c r="AJ24" i="1"/>
  <c r="E18" i="6" s="1"/>
  <c r="AJ23" i="1"/>
  <c r="AJ22" i="1"/>
  <c r="AJ21" i="1"/>
  <c r="E13" i="6" s="1"/>
  <c r="AJ20" i="1"/>
  <c r="E20" i="6" s="1"/>
  <c r="AJ19" i="1"/>
  <c r="E10" i="6" s="1"/>
  <c r="AJ18" i="1"/>
  <c r="E23" i="6" s="1"/>
  <c r="AJ17" i="1"/>
  <c r="E19" i="6" s="1"/>
  <c r="AJ16" i="1"/>
  <c r="E12" i="6" s="1"/>
  <c r="AJ15" i="1"/>
  <c r="AJ14" i="1"/>
  <c r="E21" i="6" s="1"/>
  <c r="AJ13" i="1"/>
  <c r="E15" i="6" s="1"/>
  <c r="AJ12" i="1"/>
  <c r="AJ27" i="1" s="1"/>
  <c r="I26" i="6" l="1"/>
  <c r="J26" i="6" s="1"/>
  <c r="E26" i="6"/>
  <c r="J21" i="6"/>
  <c r="J16" i="6"/>
  <c r="J24" i="6"/>
  <c r="J15" i="6"/>
  <c r="H22" i="6"/>
  <c r="H27" i="6" s="1"/>
  <c r="G22" i="6"/>
  <c r="G27" i="6" s="1"/>
  <c r="AJ27" i="2"/>
  <c r="M27" i="2" s="1"/>
  <c r="J17" i="6"/>
  <c r="H11" i="6"/>
  <c r="J13" i="6"/>
  <c r="F11" i="6"/>
  <c r="J18" i="6"/>
  <c r="J19" i="6"/>
  <c r="J14" i="6"/>
  <c r="J12" i="6"/>
  <c r="J23" i="6"/>
  <c r="J10" i="6"/>
  <c r="F27" i="2"/>
  <c r="AC27" i="2"/>
  <c r="U27" i="2"/>
  <c r="T27" i="2"/>
  <c r="L27" i="2"/>
  <c r="AA27" i="2"/>
  <c r="S27" i="2"/>
  <c r="K27" i="2"/>
  <c r="Z27" i="2"/>
  <c r="R27" i="2"/>
  <c r="J27" i="2"/>
  <c r="Y27" i="2"/>
  <c r="Q27" i="2"/>
  <c r="I27" i="2"/>
  <c r="X27" i="2"/>
  <c r="P27" i="2"/>
  <c r="H27" i="2"/>
  <c r="W27" i="2"/>
  <c r="O27" i="2"/>
  <c r="G27" i="2"/>
  <c r="AB27" i="1"/>
  <c r="T27" i="1"/>
  <c r="L27" i="1"/>
  <c r="AI27" i="1"/>
  <c r="AA27" i="1"/>
  <c r="S27" i="1"/>
  <c r="K27" i="1"/>
  <c r="AH27" i="1"/>
  <c r="Z27" i="1"/>
  <c r="R27" i="1"/>
  <c r="J27" i="1"/>
  <c r="AG27" i="1"/>
  <c r="Y27" i="1"/>
  <c r="Q27" i="1"/>
  <c r="I27" i="1"/>
  <c r="AF27" i="1"/>
  <c r="X27" i="1"/>
  <c r="P27" i="1"/>
  <c r="H27" i="1"/>
  <c r="AE27" i="1"/>
  <c r="W27" i="1"/>
  <c r="O27" i="1"/>
  <c r="G27" i="1"/>
  <c r="AD27" i="1"/>
  <c r="V27" i="1"/>
  <c r="N27" i="1"/>
  <c r="F27" i="1"/>
  <c r="AC27" i="1"/>
  <c r="U27" i="1"/>
  <c r="M27" i="1"/>
  <c r="J20" i="6"/>
  <c r="AJ27" i="4"/>
  <c r="AJ27" i="3"/>
  <c r="E22" i="6"/>
  <c r="F22" i="6"/>
  <c r="F27" i="6" s="1"/>
  <c r="AJ27" i="5"/>
  <c r="V27" i="2" l="1"/>
  <c r="I27" i="6"/>
  <c r="AB27" i="2"/>
  <c r="AD27" i="2"/>
  <c r="AE27" i="2"/>
  <c r="AG27" i="2"/>
  <c r="AI27" i="2"/>
  <c r="N27" i="2"/>
  <c r="J11" i="6"/>
  <c r="AF27" i="2"/>
  <c r="AH27" i="2"/>
  <c r="AH27" i="4"/>
  <c r="Z27" i="4"/>
  <c r="R27" i="4"/>
  <c r="J27" i="4"/>
  <c r="AG27" i="4"/>
  <c r="Y27" i="4"/>
  <c r="Q27" i="4"/>
  <c r="I27" i="4"/>
  <c r="AF27" i="4"/>
  <c r="X27" i="4"/>
  <c r="P27" i="4"/>
  <c r="H27" i="4"/>
  <c r="AE27" i="4"/>
  <c r="W27" i="4"/>
  <c r="O27" i="4"/>
  <c r="G27" i="4"/>
  <c r="AD27" i="4"/>
  <c r="V27" i="4"/>
  <c r="N27" i="4"/>
  <c r="F27" i="4"/>
  <c r="AC27" i="4"/>
  <c r="U27" i="4"/>
  <c r="M27" i="4"/>
  <c r="AB27" i="4"/>
  <c r="T27" i="4"/>
  <c r="L27" i="4"/>
  <c r="AI27" i="4"/>
  <c r="AA27" i="4"/>
  <c r="S27" i="4"/>
  <c r="K27" i="4"/>
  <c r="AB27" i="5"/>
  <c r="T27" i="5"/>
  <c r="L27" i="5"/>
  <c r="AI27" i="5"/>
  <c r="AA27" i="5"/>
  <c r="S27" i="5"/>
  <c r="K27" i="5"/>
  <c r="AH27" i="5"/>
  <c r="Z27" i="5"/>
  <c r="R27" i="5"/>
  <c r="J27" i="5"/>
  <c r="AG27" i="5"/>
  <c r="Y27" i="5"/>
  <c r="Q27" i="5"/>
  <c r="I27" i="5"/>
  <c r="AF27" i="5"/>
  <c r="X27" i="5"/>
  <c r="P27" i="5"/>
  <c r="H27" i="5"/>
  <c r="AE27" i="5"/>
  <c r="W27" i="5"/>
  <c r="O27" i="5"/>
  <c r="G27" i="5"/>
  <c r="AD27" i="5"/>
  <c r="V27" i="5"/>
  <c r="N27" i="5"/>
  <c r="F27" i="5"/>
  <c r="AC27" i="5"/>
  <c r="U27" i="5"/>
  <c r="M27" i="5"/>
  <c r="J22" i="6"/>
  <c r="E27" i="6"/>
  <c r="AF27" i="3"/>
  <c r="X27" i="3"/>
  <c r="P27" i="3"/>
  <c r="H27" i="3"/>
  <c r="AE27" i="3"/>
  <c r="W27" i="3"/>
  <c r="O27" i="3"/>
  <c r="G27" i="3"/>
  <c r="AD27" i="3"/>
  <c r="V27" i="3"/>
  <c r="N27" i="3"/>
  <c r="F27" i="3"/>
  <c r="AC27" i="3"/>
  <c r="U27" i="3"/>
  <c r="M27" i="3"/>
  <c r="AB27" i="3"/>
  <c r="T27" i="3"/>
  <c r="L27" i="3"/>
  <c r="AI27" i="3"/>
  <c r="AA27" i="3"/>
  <c r="S27" i="3"/>
  <c r="K27" i="3"/>
  <c r="AH27" i="3"/>
  <c r="Z27" i="3"/>
  <c r="R27" i="3"/>
  <c r="J27" i="3"/>
  <c r="AG27" i="3"/>
  <c r="Y27" i="3"/>
  <c r="Q27" i="3"/>
  <c r="I27" i="3"/>
  <c r="J27" i="6" l="1"/>
</calcChain>
</file>

<file path=xl/sharedStrings.xml><?xml version="1.0" encoding="utf-8"?>
<sst xmlns="http://schemas.openxmlformats.org/spreadsheetml/2006/main" count="252" uniqueCount="59">
  <si>
    <t>S</t>
  </si>
  <si>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</si>
  <si>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</si>
  <si>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</si>
  <si>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</si>
  <si>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за березень 2026 р.</t>
  </si>
  <si>
    <t xml:space="preserve">Спеціальнiсть D5, G13, J2, J3, E2 курс І група 25-1 </t>
  </si>
  <si>
    <t>№</t>
  </si>
  <si>
    <t>Предмети</t>
  </si>
  <si>
    <t>Прізвище та ініціали викладача</t>
  </si>
  <si>
    <t>Числа місяця</t>
  </si>
  <si>
    <t>Дано годин</t>
  </si>
  <si>
    <t>Примітка</t>
  </si>
  <si>
    <t>Астрономія</t>
  </si>
  <si>
    <t>Наговська Т.С.</t>
  </si>
  <si>
    <t>Біологія</t>
  </si>
  <si>
    <t>Войницька  І.Г.</t>
  </si>
  <si>
    <t>Всесвітня Історія</t>
  </si>
  <si>
    <t>Мельничук С.А.</t>
  </si>
  <si>
    <t>Географія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</si>
  <si>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</si>
  <si>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</si>
  <si>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</si>
  <si>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</si>
  <si>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</si>
  <si>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</si>
  <si>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</si>
  <si>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</si>
  <si>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</si>
  <si>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</si>
  <si>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</si>
  <si>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</si>
  <si>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</si>
  <si>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</si>
  <si>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</si>
  <si>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</si>
  <si>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</si>
  <si>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</si>
  <si>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</si>
  <si>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</si>
  <si>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</si>
  <si>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 xml:space="preserve">Спеціальнiсть D7, G16, G1 курс І група 25-2 </t>
  </si>
  <si>
    <t>Антропова Л.І.</t>
  </si>
  <si>
    <t>Спеціальнiсть E2, G1, G7 курс І група 25-3</t>
  </si>
  <si>
    <t>Земляна Н.М.</t>
  </si>
  <si>
    <t>Галеніна І.С.</t>
  </si>
  <si>
    <t xml:space="preserve">Спеціальнiсть G3, G5 курс І група 25-4 </t>
  </si>
  <si>
    <t>Пономарьов К.М.</t>
  </si>
  <si>
    <t>Спеціальнiсть G13, J2, J3 курс І група 25-5</t>
  </si>
  <si>
    <t>Відокремлений структурний підрозділ
"Фаховий коледж нафтогазових технологій,
інженерій та інфраструктури сервісу
Одеського національного технологічного університету"</t>
  </si>
  <si>
    <t>ВІДОМІСТЬ ОБЛІКУ ГОДИН ВИКЛАДАЧА</t>
  </si>
  <si>
    <t>Прізвище викладача</t>
  </si>
  <si>
    <t>25-1</t>
  </si>
  <si>
    <t>25-2</t>
  </si>
  <si>
    <t>25-3</t>
  </si>
  <si>
    <t>25-4</t>
  </si>
  <si>
    <t>25-5</t>
  </si>
  <si>
    <t>Всього</t>
  </si>
  <si>
    <t>Завідувачка відділення  ПЗСО   ______________  Маргарита БРІТІКОВА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</si>
</sst>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4"/>
      <color theme="1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BFBFBF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9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7" fillId="2" borderId="0" xfId="8" applyFont="1" applyFill="1" applyAlignment="1" applyProtection="1">
      <alignment horizontal="center" vertical="center"/>
      <protection hidden="1"/>
    </xf>
    <xf numFmtId="0" fontId="4" fillId="5" borderId="0" xfId="2" applyFont="1" applyFill="1" applyAlignment="1">
      <alignment vertical="center"/>
    </xf>
    <xf numFmtId="0" fontId="2" fillId="5" borderId="0" xfId="1" applyFont="1" applyFill="1" applyAlignment="1">
      <alignment vertical="center"/>
    </xf>
    <xf numFmtId="0" fontId="2" fillId="5" borderId="5" xfId="4" applyFont="1" applyFill="1" applyBorder="1" applyAlignment="1">
      <alignment vertical="top" wrapText="1"/>
    </xf>
    <xf numFmtId="0" fontId="2" fillId="5" borderId="5" xfId="0" applyFont="1" applyFill="1" applyBorder="1" applyAlignment="1">
      <alignment horizontal="center"/>
    </xf>
    <xf numFmtId="0" fontId="2" fillId="5" borderId="5" xfId="4" applyFont="1" applyFill="1" applyBorder="1"/>
    <xf numFmtId="0" fontId="8" fillId="5" borderId="0" xfId="1" applyFont="1" applyFill="1" applyAlignment="1">
      <alignment horizontal="center" vertical="center"/>
    </xf>
    <xf numFmtId="0" fontId="7" fillId="4" borderId="0" xfId="8" applyFont="1" applyFill="1" applyAlignment="1" applyProtection="1">
      <alignment horizontal="center" vertical="center"/>
      <protection hidden="1"/>
    </xf>
    <xf numFmtId="0" fontId="10" fillId="4" borderId="0" xfId="8" applyFont="1" applyFill="1" applyAlignment="1" applyProtection="1">
      <alignment horizontal="center" vertical="center"/>
      <protection hidden="1"/>
    </xf>
    <xf numFmtId="0" fontId="2" fillId="4" borderId="0" xfId="1" applyFont="1" applyFill="1" applyAlignment="1">
      <alignment horizontal="center" vertical="center"/>
    </xf>
    <xf numFmtId="0" fontId="2" fillId="4" borderId="6" xfId="1" applyFont="1" applyFill="1" applyBorder="1" applyAlignment="1">
      <alignment vertical="center"/>
    </xf>
    <xf numFmtId="0" fontId="2" fillId="4" borderId="2" xfId="1" applyFont="1" applyFill="1" applyBorder="1" applyAlignment="1">
      <alignment vertical="center"/>
    </xf>
    <xf numFmtId="0" fontId="11" fillId="4" borderId="1" xfId="8" applyFont="1" applyFill="1" applyBorder="1" applyAlignment="1" applyProtection="1">
      <alignment vertical="top" wrapText="1"/>
      <protection hidden="1"/>
    </xf>
    <xf numFmtId="0" fontId="2" fillId="4" borderId="3" xfId="1" applyFont="1" applyFill="1" applyBorder="1" applyAlignment="1">
      <alignment vertical="center"/>
    </xf>
    <xf numFmtId="0" fontId="4" fillId="3" borderId="0" xfId="32" applyFont="1" applyFill="1" applyAlignment="1">
      <alignment vertical="center"/>
    </xf>
    <xf numFmtId="0" fontId="7" fillId="3" borderId="0" xfId="32" applyFont="1" applyFill="1" applyAlignment="1">
      <alignment horizontal="center" vertical="center" wrapText="1"/>
    </xf>
    <xf numFmtId="0" fontId="13" fillId="3" borderId="4" xfId="32" applyFont="1" applyFill="1" applyBorder="1" applyAlignment="1">
      <alignment horizontal="center" vertical="center" wrapText="1"/>
    </xf>
    <xf numFmtId="0" fontId="14" fillId="3" borderId="5" xfId="32" applyFont="1" applyFill="1" applyBorder="1" applyAlignment="1">
      <alignment horizontal="center" vertical="center"/>
    </xf>
    <xf numFmtId="0" fontId="14" fillId="3" borderId="5" xfId="32" applyFont="1" applyFill="1" applyBorder="1" applyAlignment="1">
      <alignment horizontal="center" vertical="center" wrapText="1"/>
    </xf>
    <xf numFmtId="0" fontId="12" fillId="3" borderId="5" xfId="32" applyFont="1" applyFill="1" applyBorder="1" applyAlignment="1">
      <alignment horizontal="center" vertical="center" wrapText="1"/>
    </xf>
    <xf numFmtId="0" fontId="12" fillId="3" borderId="5" xfId="32" applyFont="1" applyFill="1" applyBorder="1" applyAlignment="1">
      <alignment horizontal="center" vertical="center"/>
    </xf>
    <xf numFmtId="0" fontId="12" fillId="3" borderId="5" xfId="32" applyFont="1" applyFill="1" applyBorder="1" applyAlignment="1">
      <alignment vertical="center" wrapText="1"/>
    </xf>
    <xf numFmtId="2" fontId="12" fillId="3" borderId="5" xfId="32" applyNumberFormat="1" applyFont="1" applyFill="1" applyBorder="1" applyAlignment="1">
      <alignment horizontal="center" vertical="center"/>
    </xf>
    <xf numFmtId="2" fontId="14" fillId="3" borderId="5" xfId="32" applyNumberFormat="1" applyFont="1" applyFill="1" applyBorder="1" applyAlignment="1">
      <alignment horizontal="center" vertical="center" wrapText="1"/>
    </xf>
    <xf numFmtId="0" fontId="15" fillId="3" borderId="5" xfId="32" applyFont="1" applyFill="1" applyBorder="1" applyAlignment="1">
      <alignment vertical="center"/>
    </xf>
    <xf numFmtId="2" fontId="15" fillId="3" borderId="5" xfId="32" applyNumberFormat="1" applyFont="1" applyFill="1" applyBorder="1" applyAlignment="1">
      <alignment horizontal="center" vertical="center"/>
    </xf>
    <xf numFmtId="2" fontId="12" fillId="3" borderId="5" xfId="32" applyNumberFormat="1" applyFont="1" applyFill="1" applyBorder="1" applyAlignment="1">
      <alignment horizontal="center" vertical="center" wrapText="1"/>
    </xf>
    <xf numFmtId="0" fontId="12" fillId="3" borderId="5" xfId="32" applyFont="1" applyFill="1" applyBorder="1" applyAlignment="1">
      <alignment horizontal="left" vertical="center"/>
    </xf>
    <xf numFmtId="0" fontId="12" fillId="3" borderId="0" xfId="32" applyFont="1" applyFill="1" applyAlignment="1">
      <alignment vertical="center"/>
    </xf>
    <xf numFmtId="2" fontId="4" fillId="3" borderId="0" xfId="32" applyNumberFormat="1" applyFont="1" applyFill="1" applyAlignment="1">
      <alignment horizontal="center" vertical="center"/>
    </xf>
    <xf numFmtId="0" fontId="12" fillId="3" borderId="0" xfId="32" applyFont="1" applyFill="1" applyAlignment="1">
      <alignment horizontal="left" vertical="center" wrapText="1"/>
    </xf>
    <xf numFmtId="2" fontId="4" fillId="3" borderId="0" xfId="32" applyNumberFormat="1" applyFont="1" applyFill="1" applyAlignment="1">
      <alignment vertical="center"/>
    </xf>
    <xf numFmtId="0" fontId="6" fillId="5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12" fillId="3" borderId="0" xfId="32" applyFont="1" applyFill="1" applyAlignment="1">
      <alignment horizontal="center" vertical="center"/>
    </xf>
    <xf numFmtId="0" fontId="2" fillId="6" borderId="5" xfId="0" applyFont="1" applyFill="1" applyBorder="1" applyAlignment="1">
      <alignment horizontal="center"/>
    </xf>
    <xf numFmtId="0" fontId="2" fillId="5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0" fillId="0" borderId="0" xfId="0"/>
    <xf numFmtId="0" fontId="2" fillId="5" borderId="5" xfId="1" applyFont="1" applyFill="1" applyBorder="1" applyAlignment="1">
      <alignment horizontal="center" vertical="center" wrapText="1"/>
    </xf>
    <xf numFmtId="0" fontId="0" fillId="0" borderId="9" xfId="0" applyBorder="1"/>
    <xf numFmtId="0" fontId="2" fillId="5" borderId="5" xfId="1" applyFont="1" applyFill="1" applyBorder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7" fillId="5" borderId="0" xfId="1" applyFont="1" applyFill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" fillId="5" borderId="4" xfId="1" applyFont="1" applyFill="1" applyBorder="1" applyAlignment="1">
      <alignment horizontal="center" vertical="center"/>
    </xf>
    <xf numFmtId="0" fontId="0" fillId="0" borderId="4" xfId="0" applyBorder="1"/>
    <xf numFmtId="0" fontId="2" fillId="5" borderId="0" xfId="3" applyFont="1" applyFill="1" applyAlignment="1">
      <alignment horizontal="center" vertical="top" wrapText="1"/>
    </xf>
    <xf numFmtId="0" fontId="2" fillId="5" borderId="0" xfId="3" applyFont="1" applyFill="1" applyAlignment="1">
      <alignment horizontal="center" vertical="center"/>
    </xf>
    <xf numFmtId="0" fontId="12" fillId="3" borderId="0" xfId="32" applyFont="1" applyFill="1" applyAlignment="1">
      <alignment horizontal="center" vertical="top" wrapText="1"/>
    </xf>
    <xf numFmtId="0" fontId="12" fillId="3" borderId="0" xfId="32" applyFont="1" applyFill="1" applyAlignment="1">
      <alignment horizontal="center" vertical="center"/>
    </xf>
    <xf numFmtId="0" fontId="13" fillId="3" borderId="0" xfId="32" applyFont="1" applyFill="1" applyAlignment="1">
      <alignment horizontal="center" vertical="center" wrapText="1"/>
    </xf>
    <xf numFmtId="0" fontId="14" fillId="3" borderId="5" xfId="32" applyFont="1" applyFill="1" applyBorder="1" applyAlignment="1">
      <alignment horizontal="center" vertical="center"/>
    </xf>
  </cellXfs>
  <cellStyles count="33">
    <cellStyle name="Обычный" xfId="0" builtinId="0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13 2 2" xfId="2"/>
    <cellStyle name="Обычный 13 2 2 2" xfId="29"/>
    <cellStyle name="Обычный 13 2 2 3" xfId="30"/>
    <cellStyle name="Обычный 13 2 2 3 2" xfId="32"/>
    <cellStyle name="Обычный 13 2 2 4" xfId="31"/>
    <cellStyle name="Обычный 14" xfId="1"/>
    <cellStyle name="Обычный 2" xfId="3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2 6" xfId="4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tabSelected="1" zoomScaleNormal="100" workbookViewId="0">
      <selection activeCell="C30" sqref="C30:AK30"/>
    </sheetView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5" width="2.08984375" style="2" customWidth="1"/>
    <col min="36" max="36" width="4" customWidth="1"/>
    <col min="37" max="37" width="5.54296875" style="2" customWidth="1"/>
    <col min="38" max="39" width="1.453125" style="2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9" s="3" customFormat="1" ht="12" customHeight="1" thickBot="1" x14ac:dyDescent="0.3">
      <c r="A1" s="11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0"/>
    </row>
    <row r="2" spans="1:39" s="1" customFormat="1" ht="12" customHeight="1" x14ac:dyDescent="0.25">
      <c r="A2" s="1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6"/>
    </row>
    <row r="3" spans="1:39" ht="15" customHeight="1" x14ac:dyDescent="0.25">
      <c r="A3" s="14"/>
      <c r="B3" s="4"/>
      <c r="C3" s="5"/>
      <c r="D3" s="54" t="s">
        <v>1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4"/>
      <c r="AM3" s="16"/>
    </row>
    <row r="4" spans="1:39" ht="65.099999999999994" customHeight="1" x14ac:dyDescent="0.25">
      <c r="A4" s="14"/>
      <c r="B4" s="4"/>
      <c r="C4" s="36"/>
      <c r="D4" s="53" t="s">
        <v>2</v>
      </c>
      <c r="E4" s="42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6"/>
      <c r="AK4" s="36"/>
      <c r="AL4" s="4"/>
      <c r="AM4" s="16"/>
    </row>
    <row r="5" spans="1:39" ht="15" customHeight="1" x14ac:dyDescent="0.25">
      <c r="A5" s="14"/>
      <c r="B5" s="4"/>
      <c r="C5" s="47" t="s">
        <v>3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3"/>
      <c r="AK5" s="42"/>
      <c r="AL5" s="4"/>
      <c r="AM5" s="16"/>
    </row>
    <row r="6" spans="1:39" ht="15" customHeight="1" x14ac:dyDescent="0.25">
      <c r="A6" s="14"/>
      <c r="B6" s="4"/>
      <c r="C6" s="41" t="s">
        <v>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3"/>
      <c r="AK6" s="42"/>
      <c r="AL6" s="4"/>
      <c r="AM6" s="16"/>
    </row>
    <row r="7" spans="1:39" ht="15" customHeight="1" x14ac:dyDescent="0.25">
      <c r="A7" s="14"/>
      <c r="B7" s="4"/>
      <c r="C7" s="47" t="s">
        <v>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3"/>
      <c r="AK7" s="42"/>
      <c r="AL7" s="4"/>
      <c r="AM7" s="16"/>
    </row>
    <row r="8" spans="1:39" ht="15" customHeight="1" x14ac:dyDescent="0.25">
      <c r="A8" s="14"/>
      <c r="B8" s="4"/>
      <c r="C8" s="48" t="s">
        <v>6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3"/>
      <c r="AK8" s="42"/>
      <c r="AL8" s="4"/>
      <c r="AM8" s="16"/>
    </row>
    <row r="9" spans="1:39" ht="15" customHeight="1" x14ac:dyDescent="0.25">
      <c r="A9" s="14"/>
      <c r="B9" s="4"/>
      <c r="C9" s="51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4"/>
      <c r="AM9" s="16"/>
    </row>
    <row r="10" spans="1:39" ht="12.95" customHeight="1" x14ac:dyDescent="0.25">
      <c r="A10" s="14"/>
      <c r="B10" s="4"/>
      <c r="C10" s="44" t="s">
        <v>7</v>
      </c>
      <c r="D10" s="46" t="s">
        <v>8</v>
      </c>
      <c r="E10" s="44" t="s">
        <v>9</v>
      </c>
      <c r="F10" s="46" t="s">
        <v>10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50"/>
      <c r="AJ10" s="44" t="s">
        <v>11</v>
      </c>
      <c r="AK10" s="46" t="s">
        <v>12</v>
      </c>
      <c r="AL10" s="4"/>
      <c r="AM10" s="16"/>
    </row>
    <row r="11" spans="1:39" ht="12.95" customHeight="1" x14ac:dyDescent="0.25">
      <c r="A11" s="14"/>
      <c r="B11" s="4"/>
      <c r="C11" s="45"/>
      <c r="D11" s="45"/>
      <c r="E11" s="45"/>
      <c r="F11" s="37">
        <v>2</v>
      </c>
      <c r="G11" s="37">
        <v>3</v>
      </c>
      <c r="H11" s="37">
        <v>4</v>
      </c>
      <c r="I11" s="37">
        <v>5</v>
      </c>
      <c r="J11" s="37">
        <v>6</v>
      </c>
      <c r="K11" s="37">
        <v>7</v>
      </c>
      <c r="L11" s="37">
        <v>8</v>
      </c>
      <c r="M11" s="37">
        <v>9</v>
      </c>
      <c r="N11" s="37">
        <v>10</v>
      </c>
      <c r="O11" s="37">
        <v>11</v>
      </c>
      <c r="P11" s="37">
        <v>12</v>
      </c>
      <c r="Q11" s="37">
        <v>13</v>
      </c>
      <c r="R11" s="37">
        <v>14</v>
      </c>
      <c r="S11" s="37">
        <v>15</v>
      </c>
      <c r="T11" s="37">
        <v>16</v>
      </c>
      <c r="U11" s="37">
        <v>17</v>
      </c>
      <c r="V11" s="37">
        <v>18</v>
      </c>
      <c r="W11" s="37">
        <v>19</v>
      </c>
      <c r="X11" s="37">
        <v>20</v>
      </c>
      <c r="Y11" s="37">
        <v>21</v>
      </c>
      <c r="Z11" s="37">
        <v>22</v>
      </c>
      <c r="AA11" s="37">
        <v>23</v>
      </c>
      <c r="AB11" s="37">
        <v>24</v>
      </c>
      <c r="AC11" s="37">
        <v>25</v>
      </c>
      <c r="AD11" s="37">
        <v>26</v>
      </c>
      <c r="AE11" s="37">
        <v>27</v>
      </c>
      <c r="AF11" s="37">
        <v>28</v>
      </c>
      <c r="AG11" s="37">
        <v>29</v>
      </c>
      <c r="AH11" s="37">
        <v>30</v>
      </c>
      <c r="AI11" s="37">
        <v>31</v>
      </c>
      <c r="AJ11" s="45"/>
      <c r="AK11" s="45"/>
      <c r="AL11" s="4"/>
      <c r="AM11" s="16"/>
    </row>
    <row r="12" spans="1:39" ht="12.95" customHeight="1" x14ac:dyDescent="0.25">
      <c r="A12" s="14"/>
      <c r="B12" s="4"/>
      <c r="C12" s="38">
        <v>1</v>
      </c>
      <c r="D12" s="6" t="s">
        <v>13</v>
      </c>
      <c r="E12" s="6" t="s">
        <v>14</v>
      </c>
      <c r="F12" s="7">
        <v>2</v>
      </c>
      <c r="G12" s="7"/>
      <c r="H12" s="7"/>
      <c r="I12" s="7"/>
      <c r="J12" s="7"/>
      <c r="K12" s="40"/>
      <c r="L12" s="40"/>
      <c r="M12" s="7">
        <v>2</v>
      </c>
      <c r="N12" s="7"/>
      <c r="O12" s="7"/>
      <c r="P12" s="7"/>
      <c r="Q12" s="7"/>
      <c r="R12" s="40"/>
      <c r="S12" s="40"/>
      <c r="T12" s="7">
        <v>2</v>
      </c>
      <c r="U12" s="7"/>
      <c r="V12" s="7"/>
      <c r="W12" s="7"/>
      <c r="X12" s="7"/>
      <c r="Y12" s="40"/>
      <c r="Z12" s="40"/>
      <c r="AA12" s="7">
        <v>2</v>
      </c>
      <c r="AB12" s="7"/>
      <c r="AC12" s="7"/>
      <c r="AD12" s="7"/>
      <c r="AE12" s="7"/>
      <c r="AF12" s="40"/>
      <c r="AG12" s="40"/>
      <c r="AH12" s="7">
        <v>2</v>
      </c>
      <c r="AI12" s="7"/>
      <c r="AJ12" s="37">
        <f ca="1">IF(SUM(OFFSET(AJ12,0,-1):OFFSET(E12,0,1))=0,"Очікую",SUM(OFFSET(AJ12,0,-1):OFFSET(E12,0,1)))</f>
        <v>10</v>
      </c>
      <c r="AK12" s="37"/>
      <c r="AL12" s="4"/>
      <c r="AM12" s="16"/>
    </row>
    <row r="13" spans="1:39" ht="12.95" customHeight="1" x14ac:dyDescent="0.25">
      <c r="A13" s="14"/>
      <c r="B13" s="4"/>
      <c r="C13" s="38">
        <v>2</v>
      </c>
      <c r="D13" s="6" t="s">
        <v>15</v>
      </c>
      <c r="E13" s="6" t="s">
        <v>16</v>
      </c>
      <c r="F13" s="7"/>
      <c r="G13" s="7"/>
      <c r="H13" s="7"/>
      <c r="I13" s="7"/>
      <c r="J13" s="7">
        <v>4</v>
      </c>
      <c r="K13" s="40"/>
      <c r="L13" s="40"/>
      <c r="M13" s="7"/>
      <c r="N13" s="7"/>
      <c r="O13" s="7"/>
      <c r="P13" s="7"/>
      <c r="Q13" s="7">
        <v>2</v>
      </c>
      <c r="R13" s="40"/>
      <c r="S13" s="40"/>
      <c r="T13" s="7"/>
      <c r="U13" s="7"/>
      <c r="V13" s="7"/>
      <c r="W13" s="7"/>
      <c r="X13" s="7">
        <v>4</v>
      </c>
      <c r="Y13" s="40"/>
      <c r="Z13" s="40"/>
      <c r="AA13" s="7"/>
      <c r="AB13" s="7"/>
      <c r="AC13" s="7"/>
      <c r="AD13" s="7"/>
      <c r="AE13" s="7">
        <v>2</v>
      </c>
      <c r="AF13" s="40"/>
      <c r="AG13" s="40"/>
      <c r="AH13" s="7"/>
      <c r="AI13" s="7"/>
      <c r="AJ13" s="37">
        <f ca="1">IF(SUM(OFFSET(AJ13,0,-1):OFFSET(E13,0,1))=0,"Очікую",SUM(OFFSET(AJ13,0,-1):OFFSET(E13,0,1)))</f>
        <v>12</v>
      </c>
      <c r="AK13" s="37"/>
      <c r="AL13" s="4"/>
      <c r="AM13" s="16"/>
    </row>
    <row r="14" spans="1:39" ht="12.95" customHeight="1" x14ac:dyDescent="0.25">
      <c r="A14" s="14"/>
      <c r="B14" s="4"/>
      <c r="C14" s="38">
        <v>3</v>
      </c>
      <c r="D14" s="6" t="s">
        <v>17</v>
      </c>
      <c r="E14" s="6" t="s">
        <v>18</v>
      </c>
      <c r="F14" s="7"/>
      <c r="G14" s="7"/>
      <c r="H14" s="7"/>
      <c r="I14" s="7">
        <v>2</v>
      </c>
      <c r="J14" s="7"/>
      <c r="K14" s="40"/>
      <c r="L14" s="40"/>
      <c r="M14" s="7"/>
      <c r="N14" s="7"/>
      <c r="O14" s="7"/>
      <c r="P14" s="7">
        <v>2</v>
      </c>
      <c r="Q14" s="7"/>
      <c r="R14" s="40"/>
      <c r="S14" s="40"/>
      <c r="T14" s="7"/>
      <c r="U14" s="7"/>
      <c r="V14" s="7"/>
      <c r="W14" s="7">
        <v>2</v>
      </c>
      <c r="X14" s="7"/>
      <c r="Y14" s="40"/>
      <c r="Z14" s="40"/>
      <c r="AA14" s="7"/>
      <c r="AB14" s="7"/>
      <c r="AC14" s="7"/>
      <c r="AD14" s="7">
        <v>2</v>
      </c>
      <c r="AE14" s="7"/>
      <c r="AF14" s="40"/>
      <c r="AG14" s="40"/>
      <c r="AH14" s="7"/>
      <c r="AI14" s="7"/>
      <c r="AJ14" s="37">
        <f ca="1">IF(SUM(OFFSET(AJ14,0,-1):OFFSET(E14,0,1))=0,"Очікую",SUM(OFFSET(AJ14,0,-1):OFFSET(E14,0,1)))</f>
        <v>8</v>
      </c>
      <c r="AK14" s="37"/>
      <c r="AL14" s="4"/>
      <c r="AM14" s="16"/>
    </row>
    <row r="15" spans="1:39" ht="12.95" customHeight="1" x14ac:dyDescent="0.25">
      <c r="A15" s="14"/>
      <c r="B15" s="4"/>
      <c r="C15" s="38">
        <v>4</v>
      </c>
      <c r="D15" s="8" t="s">
        <v>19</v>
      </c>
      <c r="E15" s="8" t="s">
        <v>14</v>
      </c>
      <c r="F15" s="7"/>
      <c r="G15" s="7"/>
      <c r="H15" s="7">
        <v>2</v>
      </c>
      <c r="I15" s="7"/>
      <c r="J15" s="7"/>
      <c r="K15" s="40"/>
      <c r="L15" s="40"/>
      <c r="M15" s="7"/>
      <c r="N15" s="7"/>
      <c r="O15" s="7">
        <v>2</v>
      </c>
      <c r="P15" s="7"/>
      <c r="Q15" s="7"/>
      <c r="R15" s="40"/>
      <c r="S15" s="40"/>
      <c r="T15" s="7"/>
      <c r="U15" s="7"/>
      <c r="V15" s="7">
        <v>2</v>
      </c>
      <c r="W15" s="7"/>
      <c r="X15" s="7"/>
      <c r="Y15" s="40"/>
      <c r="Z15" s="40"/>
      <c r="AA15" s="7"/>
      <c r="AB15" s="7"/>
      <c r="AC15" s="7">
        <v>2</v>
      </c>
      <c r="AD15" s="7"/>
      <c r="AE15" s="7"/>
      <c r="AF15" s="40"/>
      <c r="AG15" s="40"/>
      <c r="AH15" s="7"/>
      <c r="AI15" s="7"/>
      <c r="AJ15" s="37">
        <f ca="1">IF(SUM(OFFSET(AJ15,0,-1):OFFSET(E15,0,1))=0,"Очікую",SUM(OFFSET(AJ15,0,-1):OFFSET(E15,0,1)))</f>
        <v>8</v>
      </c>
      <c r="AK15" s="37"/>
      <c r="AL15" s="4"/>
      <c r="AM15" s="16"/>
    </row>
    <row r="16" spans="1:39" ht="12.95" customHeight="1" x14ac:dyDescent="0.25">
      <c r="A16" s="14"/>
      <c r="B16" s="4"/>
      <c r="C16" s="38">
        <v>5</v>
      </c>
      <c r="D16" s="6" t="s">
        <v>20</v>
      </c>
      <c r="E16" s="6" t="s">
        <v>21</v>
      </c>
      <c r="F16" s="7"/>
      <c r="G16" s="7">
        <v>2</v>
      </c>
      <c r="H16" s="7"/>
      <c r="I16" s="7"/>
      <c r="J16" s="7"/>
      <c r="K16" s="40"/>
      <c r="L16" s="40"/>
      <c r="M16" s="7"/>
      <c r="N16" s="7">
        <v>2</v>
      </c>
      <c r="O16" s="7"/>
      <c r="P16" s="7"/>
      <c r="Q16" s="7"/>
      <c r="R16" s="40"/>
      <c r="S16" s="40"/>
      <c r="T16" s="7"/>
      <c r="U16" s="7">
        <v>2</v>
      </c>
      <c r="V16" s="7"/>
      <c r="W16" s="7"/>
      <c r="X16" s="7"/>
      <c r="Y16" s="40"/>
      <c r="Z16" s="40"/>
      <c r="AA16" s="7"/>
      <c r="AB16" s="7">
        <v>2</v>
      </c>
      <c r="AC16" s="7"/>
      <c r="AD16" s="7"/>
      <c r="AE16" s="7"/>
      <c r="AF16" s="40"/>
      <c r="AG16" s="40"/>
      <c r="AH16" s="7"/>
      <c r="AI16" s="7">
        <v>2</v>
      </c>
      <c r="AJ16" s="37">
        <f ca="1">IF(SUM(OFFSET(AJ16,0,-1):OFFSET(E16,0,1))=0,"Очікую",SUM(OFFSET(AJ16,0,-1):OFFSET(E16,0,1)))</f>
        <v>10</v>
      </c>
      <c r="AK16" s="37"/>
      <c r="AL16" s="4"/>
      <c r="AM16" s="16"/>
    </row>
    <row r="17" spans="1:39" ht="12.95" customHeight="1" x14ac:dyDescent="0.25">
      <c r="A17" s="14"/>
      <c r="B17" s="4"/>
      <c r="C17" s="38">
        <v>6</v>
      </c>
      <c r="D17" s="8" t="s">
        <v>22</v>
      </c>
      <c r="E17" s="8" t="s">
        <v>23</v>
      </c>
      <c r="F17" s="7"/>
      <c r="G17" s="7"/>
      <c r="H17" s="7"/>
      <c r="I17" s="7">
        <v>2</v>
      </c>
      <c r="J17" s="7"/>
      <c r="K17" s="40"/>
      <c r="L17" s="40"/>
      <c r="M17" s="7"/>
      <c r="N17" s="7"/>
      <c r="O17" s="7"/>
      <c r="P17" s="7">
        <v>2</v>
      </c>
      <c r="Q17" s="7">
        <v>2</v>
      </c>
      <c r="R17" s="40"/>
      <c r="S17" s="40"/>
      <c r="T17" s="7"/>
      <c r="U17" s="7"/>
      <c r="V17" s="7"/>
      <c r="W17" s="7">
        <v>2</v>
      </c>
      <c r="X17" s="7"/>
      <c r="Y17" s="40"/>
      <c r="Z17" s="40"/>
      <c r="AA17" s="7"/>
      <c r="AB17" s="7"/>
      <c r="AC17" s="7"/>
      <c r="AD17" s="7">
        <v>2</v>
      </c>
      <c r="AE17" s="7">
        <v>2</v>
      </c>
      <c r="AF17" s="40"/>
      <c r="AG17" s="40"/>
      <c r="AH17" s="7"/>
      <c r="AI17" s="7"/>
      <c r="AJ17" s="37">
        <f ca="1">IF(SUM(OFFSET(AJ17,0,-1):OFFSET(E17,0,1))=0,"Очікую",SUM(OFFSET(AJ17,0,-1):OFFSET(E17,0,1)))</f>
        <v>12</v>
      </c>
      <c r="AK17" s="37"/>
      <c r="AL17" s="4"/>
      <c r="AM17" s="16"/>
    </row>
    <row r="18" spans="1:39" ht="12.95" customHeight="1" x14ac:dyDescent="0.25">
      <c r="A18" s="14"/>
      <c r="B18" s="4"/>
      <c r="C18" s="38">
        <v>7</v>
      </c>
      <c r="D18" s="6" t="s">
        <v>24</v>
      </c>
      <c r="E18" s="6" t="s">
        <v>25</v>
      </c>
      <c r="F18" s="7"/>
      <c r="G18" s="7"/>
      <c r="H18" s="7"/>
      <c r="I18" s="7"/>
      <c r="J18" s="7">
        <v>2</v>
      </c>
      <c r="K18" s="40"/>
      <c r="L18" s="40"/>
      <c r="M18" s="7"/>
      <c r="N18" s="7"/>
      <c r="O18" s="7"/>
      <c r="P18" s="7"/>
      <c r="Q18" s="7">
        <v>2</v>
      </c>
      <c r="R18" s="40"/>
      <c r="S18" s="40"/>
      <c r="T18" s="7"/>
      <c r="U18" s="7"/>
      <c r="V18" s="7"/>
      <c r="W18" s="7"/>
      <c r="X18" s="7">
        <v>2</v>
      </c>
      <c r="Y18" s="40"/>
      <c r="Z18" s="40"/>
      <c r="AA18" s="7"/>
      <c r="AB18" s="7"/>
      <c r="AC18" s="7"/>
      <c r="AD18" s="7"/>
      <c r="AE18" s="7">
        <v>2</v>
      </c>
      <c r="AF18" s="40"/>
      <c r="AG18" s="40"/>
      <c r="AH18" s="7"/>
      <c r="AI18" s="7"/>
      <c r="AJ18" s="37">
        <f ca="1">IF(SUM(OFFSET(AJ18,0,-1):OFFSET(E18,0,1))=0,"Очікую",SUM(OFFSET(AJ18,0,-1):OFFSET(E18,0,1)))</f>
        <v>8</v>
      </c>
      <c r="AK18" s="37"/>
      <c r="AL18" s="4"/>
      <c r="AM18" s="16"/>
    </row>
    <row r="19" spans="1:39" ht="12.95" customHeight="1" x14ac:dyDescent="0.25">
      <c r="A19" s="14"/>
      <c r="B19" s="4"/>
      <c r="C19" s="38">
        <v>8</v>
      </c>
      <c r="D19" s="6" t="s">
        <v>26</v>
      </c>
      <c r="E19" s="6" t="s">
        <v>27</v>
      </c>
      <c r="F19" s="7"/>
      <c r="G19" s="7"/>
      <c r="H19" s="7">
        <v>2</v>
      </c>
      <c r="I19" s="7"/>
      <c r="J19" s="7"/>
      <c r="K19" s="40"/>
      <c r="L19" s="40"/>
      <c r="M19" s="7"/>
      <c r="N19" s="7"/>
      <c r="O19" s="7"/>
      <c r="P19" s="7"/>
      <c r="Q19" s="7"/>
      <c r="R19" s="40"/>
      <c r="S19" s="40"/>
      <c r="T19" s="7"/>
      <c r="U19" s="7"/>
      <c r="V19" s="7">
        <v>2</v>
      </c>
      <c r="W19" s="7"/>
      <c r="X19" s="7"/>
      <c r="Y19" s="40"/>
      <c r="Z19" s="40"/>
      <c r="AA19" s="7"/>
      <c r="AB19" s="7"/>
      <c r="AC19" s="7"/>
      <c r="AD19" s="7"/>
      <c r="AE19" s="7"/>
      <c r="AF19" s="40"/>
      <c r="AG19" s="40"/>
      <c r="AH19" s="7"/>
      <c r="AI19" s="7"/>
      <c r="AJ19" s="37">
        <f ca="1">IF(SUM(OFFSET(AJ19,0,-1):OFFSET(E19,0,1))=0,"Очікую",SUM(OFFSET(AJ19,0,-1):OFFSET(E19,0,1)))</f>
        <v>4</v>
      </c>
      <c r="AK19" s="37"/>
      <c r="AL19" s="4"/>
      <c r="AM19" s="16"/>
    </row>
    <row r="20" spans="1:39" ht="12.95" customHeight="1" x14ac:dyDescent="0.25">
      <c r="A20" s="14"/>
      <c r="B20" s="4"/>
      <c r="C20" s="38">
        <v>9</v>
      </c>
      <c r="D20" s="6" t="s">
        <v>28</v>
      </c>
      <c r="E20" s="6" t="s">
        <v>29</v>
      </c>
      <c r="F20" s="7"/>
      <c r="G20" s="7">
        <v>2</v>
      </c>
      <c r="H20" s="7"/>
      <c r="I20" s="7"/>
      <c r="J20" s="7"/>
      <c r="K20" s="40"/>
      <c r="L20" s="40"/>
      <c r="M20" s="7"/>
      <c r="N20" s="7">
        <v>2</v>
      </c>
      <c r="O20" s="7"/>
      <c r="P20" s="7"/>
      <c r="Q20" s="7"/>
      <c r="R20" s="40"/>
      <c r="S20" s="40"/>
      <c r="T20" s="7"/>
      <c r="U20" s="7">
        <v>2</v>
      </c>
      <c r="V20" s="7"/>
      <c r="W20" s="7"/>
      <c r="X20" s="7"/>
      <c r="Y20" s="40"/>
      <c r="Z20" s="40"/>
      <c r="AA20" s="7"/>
      <c r="AB20" s="7">
        <v>2</v>
      </c>
      <c r="AC20" s="7"/>
      <c r="AD20" s="7"/>
      <c r="AE20" s="7"/>
      <c r="AF20" s="40"/>
      <c r="AG20" s="40"/>
      <c r="AH20" s="7"/>
      <c r="AI20" s="7">
        <v>2</v>
      </c>
      <c r="AJ20" s="37">
        <f ca="1">IF(SUM(OFFSET(AJ20,0,-1):OFFSET(E20,0,1))=0,"Очікую",SUM(OFFSET(AJ20,0,-1):OFFSET(E20,0,1)))</f>
        <v>10</v>
      </c>
      <c r="AK20" s="37"/>
      <c r="AL20" s="4"/>
      <c r="AM20" s="16"/>
    </row>
    <row r="21" spans="1:39" ht="12.95" customHeight="1" x14ac:dyDescent="0.25">
      <c r="A21" s="14"/>
      <c r="B21" s="4"/>
      <c r="C21" s="38">
        <v>10</v>
      </c>
      <c r="D21" s="6" t="s">
        <v>30</v>
      </c>
      <c r="E21" s="6" t="s">
        <v>31</v>
      </c>
      <c r="F21" s="7"/>
      <c r="G21" s="7">
        <v>4</v>
      </c>
      <c r="H21" s="7"/>
      <c r="I21" s="7"/>
      <c r="J21" s="7"/>
      <c r="K21" s="40"/>
      <c r="L21" s="40"/>
      <c r="M21" s="7"/>
      <c r="N21" s="7">
        <v>2</v>
      </c>
      <c r="O21" s="7"/>
      <c r="P21" s="7"/>
      <c r="Q21" s="7"/>
      <c r="R21" s="40"/>
      <c r="S21" s="40"/>
      <c r="T21" s="7"/>
      <c r="U21" s="7">
        <v>4</v>
      </c>
      <c r="V21" s="7"/>
      <c r="W21" s="7"/>
      <c r="X21" s="7"/>
      <c r="Y21" s="40"/>
      <c r="Z21" s="40"/>
      <c r="AA21" s="7"/>
      <c r="AB21" s="7">
        <v>2</v>
      </c>
      <c r="AC21" s="7"/>
      <c r="AD21" s="7"/>
      <c r="AE21" s="7"/>
      <c r="AF21" s="40"/>
      <c r="AG21" s="40"/>
      <c r="AH21" s="7"/>
      <c r="AI21" s="7">
        <v>4</v>
      </c>
      <c r="AJ21" s="37">
        <f ca="1">IF(SUM(OFFSET(AJ21,0,-1):OFFSET(E21,0,1))=0,"Очікую",SUM(OFFSET(AJ21,0,-1):OFFSET(E21,0,1)))</f>
        <v>16</v>
      </c>
      <c r="AK21" s="37"/>
      <c r="AL21" s="4"/>
      <c r="AM21" s="16"/>
    </row>
    <row r="22" spans="1:39" ht="12.95" customHeight="1" x14ac:dyDescent="0.25">
      <c r="A22" s="14"/>
      <c r="B22" s="4"/>
      <c r="C22" s="38">
        <v>11</v>
      </c>
      <c r="D22" s="6" t="s">
        <v>32</v>
      </c>
      <c r="E22" s="6" t="s">
        <v>33</v>
      </c>
      <c r="F22" s="7"/>
      <c r="G22" s="7"/>
      <c r="H22" s="7"/>
      <c r="I22" s="7">
        <v>2</v>
      </c>
      <c r="J22" s="7"/>
      <c r="K22" s="40"/>
      <c r="L22" s="40"/>
      <c r="M22" s="7"/>
      <c r="N22" s="7"/>
      <c r="O22" s="7"/>
      <c r="P22" s="7">
        <v>2</v>
      </c>
      <c r="Q22" s="7"/>
      <c r="R22" s="40"/>
      <c r="S22" s="40"/>
      <c r="T22" s="7"/>
      <c r="U22" s="7"/>
      <c r="V22" s="7"/>
      <c r="W22" s="7">
        <v>2</v>
      </c>
      <c r="X22" s="7"/>
      <c r="Y22" s="40"/>
      <c r="Z22" s="40"/>
      <c r="AA22" s="7"/>
      <c r="AB22" s="7"/>
      <c r="AC22" s="7"/>
      <c r="AD22" s="7">
        <v>2</v>
      </c>
      <c r="AE22" s="7"/>
      <c r="AF22" s="40"/>
      <c r="AG22" s="40"/>
      <c r="AH22" s="7"/>
      <c r="AI22" s="7"/>
      <c r="AJ22" s="37">
        <f ca="1">IF(SUM(OFFSET(AJ22,0,-1):OFFSET(E22,0,1))=0,"Очікую",SUM(OFFSET(AJ22,0,-1):OFFSET(E22,0,1)))</f>
        <v>8</v>
      </c>
      <c r="AK22" s="37"/>
      <c r="AL22" s="4"/>
      <c r="AM22" s="16"/>
    </row>
    <row r="23" spans="1:39" ht="12.95" customHeight="1" x14ac:dyDescent="0.25">
      <c r="A23" s="14"/>
      <c r="B23" s="4"/>
      <c r="C23" s="38">
        <v>12</v>
      </c>
      <c r="D23" s="6" t="s">
        <v>34</v>
      </c>
      <c r="E23" s="6" t="s">
        <v>33</v>
      </c>
      <c r="F23" s="7"/>
      <c r="G23" s="7"/>
      <c r="H23" s="7"/>
      <c r="I23" s="7">
        <v>2</v>
      </c>
      <c r="J23" s="7"/>
      <c r="K23" s="40"/>
      <c r="L23" s="40"/>
      <c r="M23" s="7"/>
      <c r="N23" s="7"/>
      <c r="O23" s="7"/>
      <c r="P23" s="7">
        <v>2</v>
      </c>
      <c r="Q23" s="7"/>
      <c r="R23" s="40"/>
      <c r="S23" s="40"/>
      <c r="T23" s="7"/>
      <c r="U23" s="7"/>
      <c r="V23" s="7"/>
      <c r="W23" s="7">
        <v>2</v>
      </c>
      <c r="X23" s="7"/>
      <c r="Y23" s="40"/>
      <c r="Z23" s="40"/>
      <c r="AA23" s="7"/>
      <c r="AB23" s="7"/>
      <c r="AC23" s="7"/>
      <c r="AD23" s="7">
        <v>2</v>
      </c>
      <c r="AE23" s="7"/>
      <c r="AF23" s="40"/>
      <c r="AG23" s="40"/>
      <c r="AH23" s="7"/>
      <c r="AI23" s="7"/>
      <c r="AJ23" s="37">
        <f ca="1">IF(SUM(OFFSET(AJ23,0,-1):OFFSET(E23,0,1))=0,"Очікую",SUM(OFFSET(AJ23,0,-1):OFFSET(E23,0,1)))</f>
        <v>8</v>
      </c>
      <c r="AK23" s="37"/>
      <c r="AL23" s="4"/>
      <c r="AM23" s="16"/>
    </row>
    <row r="24" spans="1:39" ht="12.95" customHeight="1" x14ac:dyDescent="0.25">
      <c r="A24" s="14"/>
      <c r="B24" s="4"/>
      <c r="C24" s="38">
        <v>13</v>
      </c>
      <c r="D24" s="6" t="s">
        <v>35</v>
      </c>
      <c r="E24" s="6" t="s">
        <v>36</v>
      </c>
      <c r="F24" s="7">
        <v>2</v>
      </c>
      <c r="G24" s="7"/>
      <c r="H24" s="7"/>
      <c r="I24" s="7"/>
      <c r="J24" s="7"/>
      <c r="K24" s="40"/>
      <c r="L24" s="40"/>
      <c r="M24" s="7">
        <v>2</v>
      </c>
      <c r="N24" s="7"/>
      <c r="O24" s="7"/>
      <c r="P24" s="7"/>
      <c r="Q24" s="7"/>
      <c r="R24" s="40"/>
      <c r="S24" s="40"/>
      <c r="T24" s="7">
        <v>2</v>
      </c>
      <c r="U24" s="7"/>
      <c r="V24" s="7"/>
      <c r="W24" s="7"/>
      <c r="X24" s="7"/>
      <c r="Y24" s="40"/>
      <c r="Z24" s="40"/>
      <c r="AA24" s="7">
        <v>2</v>
      </c>
      <c r="AB24" s="7"/>
      <c r="AC24" s="7"/>
      <c r="AD24" s="7"/>
      <c r="AE24" s="7"/>
      <c r="AF24" s="40"/>
      <c r="AG24" s="40"/>
      <c r="AH24" s="7">
        <v>2</v>
      </c>
      <c r="AI24" s="7"/>
      <c r="AJ24" s="37">
        <f ca="1">IF(SUM(OFFSET(AJ24,0,-1):OFFSET(E24,0,1))=0,"Очікую",SUM(OFFSET(AJ24,0,-1):OFFSET(E24,0,1)))</f>
        <v>10</v>
      </c>
      <c r="AK24" s="37"/>
      <c r="AL24" s="4"/>
      <c r="AM24" s="16"/>
    </row>
    <row r="25" spans="1:39" ht="12.95" customHeight="1" x14ac:dyDescent="0.25">
      <c r="A25" s="14"/>
      <c r="B25" s="4"/>
      <c r="C25" s="38">
        <v>14</v>
      </c>
      <c r="D25" s="6" t="s">
        <v>37</v>
      </c>
      <c r="E25" s="6" t="s">
        <v>38</v>
      </c>
      <c r="F25" s="7">
        <v>2</v>
      </c>
      <c r="G25" s="7"/>
      <c r="H25" s="7"/>
      <c r="I25" s="7"/>
      <c r="J25" s="7">
        <v>2</v>
      </c>
      <c r="K25" s="40"/>
      <c r="L25" s="40"/>
      <c r="M25" s="7">
        <v>2</v>
      </c>
      <c r="N25" s="7"/>
      <c r="O25" s="7"/>
      <c r="P25" s="7"/>
      <c r="Q25" s="7"/>
      <c r="R25" s="40"/>
      <c r="S25" s="40"/>
      <c r="T25" s="7">
        <v>2</v>
      </c>
      <c r="U25" s="7"/>
      <c r="V25" s="7"/>
      <c r="W25" s="7"/>
      <c r="X25" s="7">
        <v>2</v>
      </c>
      <c r="Y25" s="40"/>
      <c r="Z25" s="40"/>
      <c r="AA25" s="7">
        <v>2</v>
      </c>
      <c r="AB25" s="7"/>
      <c r="AC25" s="7"/>
      <c r="AD25" s="7"/>
      <c r="AE25" s="7"/>
      <c r="AF25" s="40"/>
      <c r="AG25" s="40"/>
      <c r="AH25" s="7">
        <v>2</v>
      </c>
      <c r="AI25" s="7"/>
      <c r="AJ25" s="37">
        <f ca="1">IF(SUM(OFFSET(AJ25,0,-1):OFFSET(E25,0,1))=0,"Очікую",SUM(OFFSET(AJ25,0,-1):OFFSET(E25,0,1)))</f>
        <v>14</v>
      </c>
      <c r="AK25" s="37"/>
      <c r="AL25" s="4"/>
      <c r="AM25" s="16"/>
    </row>
    <row r="26" spans="1:39" ht="12.95" customHeight="1" x14ac:dyDescent="0.25">
      <c r="A26" s="14"/>
      <c r="B26" s="4"/>
      <c r="C26" s="38">
        <v>15</v>
      </c>
      <c r="D26" s="6" t="s">
        <v>39</v>
      </c>
      <c r="E26" s="6" t="s">
        <v>40</v>
      </c>
      <c r="F26" s="7"/>
      <c r="G26" s="7"/>
      <c r="H26" s="7">
        <v>2</v>
      </c>
      <c r="I26" s="7"/>
      <c r="J26" s="7"/>
      <c r="K26" s="40"/>
      <c r="L26" s="40"/>
      <c r="M26" s="7"/>
      <c r="N26" s="7"/>
      <c r="O26" s="7">
        <v>2</v>
      </c>
      <c r="P26" s="7"/>
      <c r="Q26" s="7"/>
      <c r="R26" s="40"/>
      <c r="S26" s="40"/>
      <c r="T26" s="7"/>
      <c r="U26" s="7"/>
      <c r="V26" s="7">
        <v>2</v>
      </c>
      <c r="W26" s="7"/>
      <c r="X26" s="7"/>
      <c r="Y26" s="40"/>
      <c r="Z26" s="40"/>
      <c r="AA26" s="7"/>
      <c r="AB26" s="7"/>
      <c r="AC26" s="7">
        <v>2</v>
      </c>
      <c r="AD26" s="7"/>
      <c r="AE26" s="7"/>
      <c r="AF26" s="40"/>
      <c r="AG26" s="40"/>
      <c r="AH26" s="7"/>
      <c r="AI26" s="7"/>
      <c r="AJ26" s="37">
        <f ca="1">IF(SUM(OFFSET(AJ26,0,-1):OFFSET(E26,0,1))=0,"Очікую",SUM(OFFSET(AJ26,0,-1):OFFSET(E26,0,1)))</f>
        <v>8</v>
      </c>
      <c r="AK26" s="37"/>
      <c r="AL26" s="4"/>
      <c r="AM26" s="16"/>
    </row>
    <row r="27" spans="1:39" ht="12.95" customHeight="1" x14ac:dyDescent="0.25">
      <c r="A27" s="14"/>
      <c r="B27" s="4"/>
      <c r="C27" s="36"/>
      <c r="D27" s="36"/>
      <c r="E27" s="36"/>
      <c r="F27" s="37">
        <f ca="1">IF($AJ27="Очікую","Оч",SUM(OFFSET(F27,-1,0):OFFSET(F11,1,0)))</f>
        <v>6</v>
      </c>
      <c r="G27" s="37">
        <f ca="1">IF($AJ27="Очікую","Оч",SUM(OFFSET(G27,-1,0):OFFSET(G11,1,0)))</f>
        <v>8</v>
      </c>
      <c r="H27" s="37">
        <f ca="1">IF($AJ27="Очікую","Оч",SUM(OFFSET(H27,-1,0):OFFSET(H11,1,0)))</f>
        <v>6</v>
      </c>
      <c r="I27" s="37">
        <f ca="1">IF($AJ27="Очікую","Оч",SUM(OFFSET(I27,-1,0):OFFSET(I11,1,0)))</f>
        <v>8</v>
      </c>
      <c r="J27" s="37">
        <f ca="1">IF($AJ27="Очікую","Оч",SUM(OFFSET(J27,-1,0):OFFSET(J11,1,0)))</f>
        <v>8</v>
      </c>
      <c r="K27" s="37">
        <f ca="1">IF($AJ27="Очікую","Оч",SUM(OFFSET(K27,-1,0):OFFSET(K11,1,0)))</f>
        <v>0</v>
      </c>
      <c r="L27" s="37">
        <f ca="1">IF($AJ27="Очікую","Оч",SUM(OFFSET(L27,-1,0):OFFSET(L11,1,0)))</f>
        <v>0</v>
      </c>
      <c r="M27" s="37">
        <f ca="1">IF($AJ27="Очікую","Оч",SUM(OFFSET(M27,-1,0):OFFSET(M11,1,0)))</f>
        <v>6</v>
      </c>
      <c r="N27" s="37">
        <f ca="1">IF($AJ27="Очікую","Оч",SUM(OFFSET(N27,-1,0):OFFSET(N11,1,0)))</f>
        <v>6</v>
      </c>
      <c r="O27" s="37">
        <f ca="1">IF($AJ27="Очікую","Оч",SUM(OFFSET(O27,-1,0):OFFSET(O11,1,0)))</f>
        <v>4</v>
      </c>
      <c r="P27" s="37">
        <f ca="1">IF($AJ27="Очікую","Оч",SUM(OFFSET(P27,-1,0):OFFSET(P11,1,0)))</f>
        <v>8</v>
      </c>
      <c r="Q27" s="37">
        <f ca="1">IF($AJ27="Очікую","Оч",SUM(OFFSET(Q27,-1,0):OFFSET(Q11,1,0)))</f>
        <v>6</v>
      </c>
      <c r="R27" s="37">
        <f ca="1">IF($AJ27="Очікую","Оч",SUM(OFFSET(R27,-1,0):OFFSET(R11,1,0)))</f>
        <v>0</v>
      </c>
      <c r="S27" s="37">
        <f ca="1">IF($AJ27="Очікую","Оч",SUM(OFFSET(S27,-1,0):OFFSET(S11,1,0)))</f>
        <v>0</v>
      </c>
      <c r="T27" s="37">
        <f ca="1">IF($AJ27="Очікую","Оч",SUM(OFFSET(T27,-1,0):OFFSET(T11,1,0)))</f>
        <v>6</v>
      </c>
      <c r="U27" s="37">
        <f ca="1">IF($AJ27="Очікую","Оч",SUM(OFFSET(U27,-1,0):OFFSET(U11,1,0)))</f>
        <v>8</v>
      </c>
      <c r="V27" s="37">
        <f ca="1">IF($AJ27="Очікую","Оч",SUM(OFFSET(V27,-1,0):OFFSET(V11,1,0)))</f>
        <v>6</v>
      </c>
      <c r="W27" s="37">
        <f ca="1">IF($AJ27="Очікую","Оч",SUM(OFFSET(W27,-1,0):OFFSET(W11,1,0)))</f>
        <v>8</v>
      </c>
      <c r="X27" s="37">
        <f ca="1">IF($AJ27="Очікую","Оч",SUM(OFFSET(X27,-1,0):OFFSET(X11,1,0)))</f>
        <v>8</v>
      </c>
      <c r="Y27" s="37">
        <f ca="1">IF($AJ27="Очікую","Оч",SUM(OFFSET(Y27,-1,0):OFFSET(Y11,1,0)))</f>
        <v>0</v>
      </c>
      <c r="Z27" s="37">
        <f ca="1">IF($AJ27="Очікую","Оч",SUM(OFFSET(Z27,-1,0):OFFSET(Z11,1,0)))</f>
        <v>0</v>
      </c>
      <c r="AA27" s="37">
        <f ca="1">IF($AJ27="Очікую","Оч",SUM(OFFSET(AA27,-1,0):OFFSET(AA11,1,0)))</f>
        <v>6</v>
      </c>
      <c r="AB27" s="37">
        <f ca="1">IF($AJ27="Очікую","Оч",SUM(OFFSET(AB27,-1,0):OFFSET(AB11,1,0)))</f>
        <v>6</v>
      </c>
      <c r="AC27" s="37">
        <f ca="1">IF($AJ27="Очікую","Оч",SUM(OFFSET(AC27,-1,0):OFFSET(AC11,1,0)))</f>
        <v>4</v>
      </c>
      <c r="AD27" s="37">
        <f ca="1">IF($AJ27="Очікую","Оч",SUM(OFFSET(AD27,-1,0):OFFSET(AD11,1,0)))</f>
        <v>8</v>
      </c>
      <c r="AE27" s="37">
        <f ca="1">IF($AJ27="Очікую","Оч",SUM(OFFSET(AE27,-1,0):OFFSET(AE11,1,0)))</f>
        <v>6</v>
      </c>
      <c r="AF27" s="37">
        <f ca="1">IF($AJ27="Очікую","Оч",SUM(OFFSET(AF27,-1,0):OFFSET(AF11,1,0)))</f>
        <v>0</v>
      </c>
      <c r="AG27" s="37">
        <f ca="1">IF($AJ27="Очікую","Оч",SUM(OFFSET(AG27,-1,0):OFFSET(AG11,1,0)))</f>
        <v>0</v>
      </c>
      <c r="AH27" s="37">
        <f ca="1">IF($AJ27="Очікую","Оч",SUM(OFFSET(AH27,-1,0):OFFSET(AH11,1,0)))</f>
        <v>6</v>
      </c>
      <c r="AI27" s="37">
        <f ca="1">IF($AJ27="Очікую","Оч",SUM(OFFSET(AI27,-1,0):OFFSET(AI11,1,0)))</f>
        <v>8</v>
      </c>
      <c r="AJ27" s="37">
        <f ca="1">IF(SUM(OFFSET(AJ27,-1,0):OFFSET(AJ11,1,0))=0,"Очікую",SUM(OFFSET(AJ27,-1,0):OFFSET(AJ11,1,0)))</f>
        <v>146</v>
      </c>
      <c r="AK27" s="36"/>
      <c r="AL27" s="4"/>
      <c r="AM27" s="16"/>
    </row>
    <row r="28" spans="1:39" ht="12.95" customHeight="1" x14ac:dyDescent="0.25">
      <c r="A28" s="14"/>
      <c r="B28" s="4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4"/>
      <c r="AM28" s="16"/>
    </row>
    <row r="29" spans="1:39" ht="12.95" customHeight="1" x14ac:dyDescent="0.25">
      <c r="A29" s="14"/>
      <c r="B29" s="4"/>
      <c r="C29" s="36"/>
      <c r="D29" s="36"/>
      <c r="E29" s="3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36"/>
      <c r="AK29" s="36"/>
      <c r="AL29" s="4"/>
      <c r="AM29" s="16"/>
    </row>
    <row r="30" spans="1:39" ht="12.95" customHeight="1" x14ac:dyDescent="0.25">
      <c r="A30" s="14"/>
      <c r="B30" s="4"/>
      <c r="C30" s="41" t="s">
        <v>58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3"/>
      <c r="AK30" s="42"/>
      <c r="AL30" s="4"/>
      <c r="AM30" s="16"/>
    </row>
    <row r="31" spans="1:39" ht="12.95" customHeight="1" x14ac:dyDescent="0.2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16"/>
    </row>
    <row r="32" spans="1:39" ht="12.95" customHeight="1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2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  <row r="47" ht="12" hidden="1" customHeight="1" x14ac:dyDescent="0.25"/>
  </sheetData>
  <mergeCells count="14"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  <mergeCell ref="C9:AK9"/>
  </mergeCells>
  <printOptions horizontalCentered="1"/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tabSelected="1" zoomScaleNormal="100" workbookViewId="0">
      <selection activeCell="C30" sqref="C30:AK30"/>
    </sheetView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5" width="2.08984375" style="2" customWidth="1"/>
    <col min="36" max="36" width="4" customWidth="1"/>
    <col min="37" max="37" width="5.54296875" style="2" customWidth="1"/>
    <col min="38" max="39" width="1.453125" style="2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9" s="3" customFormat="1" ht="12" customHeight="1" thickBot="1" x14ac:dyDescent="0.3">
      <c r="A1" s="11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0"/>
    </row>
    <row r="2" spans="1:39" s="1" customFormat="1" ht="12" customHeight="1" x14ac:dyDescent="0.25">
      <c r="A2" s="1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6"/>
    </row>
    <row r="3" spans="1:39" ht="15" customHeight="1" x14ac:dyDescent="0.25">
      <c r="A3" s="14"/>
      <c r="B3" s="4"/>
      <c r="C3" s="5"/>
      <c r="D3" s="54" t="s">
        <v>1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4"/>
      <c r="AM3" s="16"/>
    </row>
    <row r="4" spans="1:39" ht="65.099999999999994" customHeight="1" x14ac:dyDescent="0.25">
      <c r="A4" s="14"/>
      <c r="B4" s="4"/>
      <c r="C4" s="36"/>
      <c r="D4" s="53" t="s">
        <v>2</v>
      </c>
      <c r="E4" s="42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6"/>
      <c r="AK4" s="36"/>
      <c r="AL4" s="4"/>
      <c r="AM4" s="16"/>
    </row>
    <row r="5" spans="1:39" ht="15" customHeight="1" x14ac:dyDescent="0.25">
      <c r="A5" s="14"/>
      <c r="B5" s="4"/>
      <c r="C5" s="47" t="s">
        <v>3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3"/>
      <c r="AK5" s="42"/>
      <c r="AL5" s="4"/>
      <c r="AM5" s="16"/>
    </row>
    <row r="6" spans="1:39" ht="15" customHeight="1" x14ac:dyDescent="0.25">
      <c r="A6" s="14"/>
      <c r="B6" s="4"/>
      <c r="C6" s="41" t="s">
        <v>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3"/>
      <c r="AK6" s="42"/>
      <c r="AL6" s="4"/>
      <c r="AM6" s="16"/>
    </row>
    <row r="7" spans="1:39" ht="15" customHeight="1" x14ac:dyDescent="0.25">
      <c r="A7" s="14"/>
      <c r="B7" s="4"/>
      <c r="C7" s="47" t="s">
        <v>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3"/>
      <c r="AK7" s="42"/>
      <c r="AL7" s="4"/>
      <c r="AM7" s="16"/>
    </row>
    <row r="8" spans="1:39" ht="15" customHeight="1" x14ac:dyDescent="0.25">
      <c r="A8" s="14"/>
      <c r="B8" s="4"/>
      <c r="C8" s="48" t="s">
        <v>41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3"/>
      <c r="AK8" s="42"/>
      <c r="AL8" s="4"/>
      <c r="AM8" s="16"/>
    </row>
    <row r="9" spans="1:39" ht="15" customHeight="1" x14ac:dyDescent="0.25">
      <c r="A9" s="14"/>
      <c r="B9" s="4"/>
      <c r="C9" s="51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4"/>
      <c r="AM9" s="16"/>
    </row>
    <row r="10" spans="1:39" ht="12.95" customHeight="1" x14ac:dyDescent="0.25">
      <c r="A10" s="14"/>
      <c r="B10" s="4"/>
      <c r="C10" s="44" t="s">
        <v>7</v>
      </c>
      <c r="D10" s="46" t="s">
        <v>8</v>
      </c>
      <c r="E10" s="44" t="s">
        <v>9</v>
      </c>
      <c r="F10" s="46" t="s">
        <v>10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50"/>
      <c r="AJ10" s="44" t="s">
        <v>11</v>
      </c>
      <c r="AK10" s="46" t="s">
        <v>12</v>
      </c>
      <c r="AL10" s="4"/>
      <c r="AM10" s="16"/>
    </row>
    <row r="11" spans="1:39" ht="12.95" customHeight="1" x14ac:dyDescent="0.25">
      <c r="A11" s="14"/>
      <c r="B11" s="4"/>
      <c r="C11" s="45"/>
      <c r="D11" s="45"/>
      <c r="E11" s="45"/>
      <c r="F11" s="37">
        <v>2</v>
      </c>
      <c r="G11" s="37">
        <v>3</v>
      </c>
      <c r="H11" s="37">
        <v>4</v>
      </c>
      <c r="I11" s="37">
        <v>5</v>
      </c>
      <c r="J11" s="37">
        <v>6</v>
      </c>
      <c r="K11" s="37">
        <v>7</v>
      </c>
      <c r="L11" s="37">
        <v>8</v>
      </c>
      <c r="M11" s="37">
        <v>9</v>
      </c>
      <c r="N11" s="37">
        <v>10</v>
      </c>
      <c r="O11" s="37">
        <v>11</v>
      </c>
      <c r="P11" s="37">
        <v>12</v>
      </c>
      <c r="Q11" s="37">
        <v>13</v>
      </c>
      <c r="R11" s="37">
        <v>14</v>
      </c>
      <c r="S11" s="37">
        <v>15</v>
      </c>
      <c r="T11" s="37">
        <v>16</v>
      </c>
      <c r="U11" s="37">
        <v>17</v>
      </c>
      <c r="V11" s="37">
        <v>18</v>
      </c>
      <c r="W11" s="37">
        <v>19</v>
      </c>
      <c r="X11" s="37">
        <v>20</v>
      </c>
      <c r="Y11" s="37">
        <v>21</v>
      </c>
      <c r="Z11" s="37">
        <v>22</v>
      </c>
      <c r="AA11" s="37">
        <v>23</v>
      </c>
      <c r="AB11" s="37">
        <v>24</v>
      </c>
      <c r="AC11" s="37">
        <v>25</v>
      </c>
      <c r="AD11" s="37">
        <v>26</v>
      </c>
      <c r="AE11" s="37">
        <v>27</v>
      </c>
      <c r="AF11" s="37">
        <v>28</v>
      </c>
      <c r="AG11" s="37">
        <v>29</v>
      </c>
      <c r="AH11" s="37">
        <v>30</v>
      </c>
      <c r="AI11" s="37">
        <v>31</v>
      </c>
      <c r="AJ11" s="45"/>
      <c r="AK11" s="45"/>
      <c r="AL11" s="4"/>
      <c r="AM11" s="16"/>
    </row>
    <row r="12" spans="1:39" ht="12.95" customHeight="1" x14ac:dyDescent="0.25">
      <c r="A12" s="14"/>
      <c r="B12" s="4"/>
      <c r="C12" s="38">
        <v>1</v>
      </c>
      <c r="D12" s="6" t="s">
        <v>13</v>
      </c>
      <c r="E12" s="6" t="s">
        <v>14</v>
      </c>
      <c r="F12" s="7">
        <v>2</v>
      </c>
      <c r="G12" s="7"/>
      <c r="H12" s="7"/>
      <c r="I12" s="7"/>
      <c r="J12" s="7"/>
      <c r="K12" s="40"/>
      <c r="L12" s="40"/>
      <c r="M12" s="7">
        <v>2</v>
      </c>
      <c r="N12" s="7"/>
      <c r="O12" s="7"/>
      <c r="P12" s="7"/>
      <c r="Q12" s="7"/>
      <c r="R12" s="40"/>
      <c r="S12" s="40"/>
      <c r="T12" s="7">
        <v>2</v>
      </c>
      <c r="U12" s="7"/>
      <c r="V12" s="7"/>
      <c r="W12" s="7"/>
      <c r="X12" s="7"/>
      <c r="Y12" s="40"/>
      <c r="Z12" s="40"/>
      <c r="AA12" s="7">
        <v>2</v>
      </c>
      <c r="AB12" s="7"/>
      <c r="AC12" s="7"/>
      <c r="AD12" s="7"/>
      <c r="AE12" s="7"/>
      <c r="AF12" s="40"/>
      <c r="AG12" s="40"/>
      <c r="AH12" s="7">
        <v>2</v>
      </c>
      <c r="AI12" s="7"/>
      <c r="AJ12" s="37">
        <f ca="1">IF(SUM(OFFSET(AJ12,0,-1):OFFSET(E12,0,1))=0,"Очікую",SUM(OFFSET(AJ12,0,-1):OFFSET(E12,0,1)))</f>
        <v>10</v>
      </c>
      <c r="AK12" s="37"/>
      <c r="AL12" s="4"/>
      <c r="AM12" s="16"/>
    </row>
    <row r="13" spans="1:39" ht="12.95" customHeight="1" x14ac:dyDescent="0.25">
      <c r="A13" s="14"/>
      <c r="B13" s="4"/>
      <c r="C13" s="38">
        <v>2</v>
      </c>
      <c r="D13" s="6" t="s">
        <v>15</v>
      </c>
      <c r="E13" s="6" t="s">
        <v>16</v>
      </c>
      <c r="F13" s="7"/>
      <c r="G13" s="7"/>
      <c r="H13" s="7"/>
      <c r="I13" s="7">
        <v>2</v>
      </c>
      <c r="J13" s="7">
        <v>2</v>
      </c>
      <c r="K13" s="40"/>
      <c r="L13" s="40"/>
      <c r="M13" s="7"/>
      <c r="N13" s="7"/>
      <c r="O13" s="7"/>
      <c r="P13" s="7">
        <v>2</v>
      </c>
      <c r="Q13" s="7"/>
      <c r="R13" s="40"/>
      <c r="S13" s="40"/>
      <c r="T13" s="7"/>
      <c r="U13" s="7"/>
      <c r="V13" s="7"/>
      <c r="W13" s="7">
        <v>2</v>
      </c>
      <c r="X13" s="7">
        <v>2</v>
      </c>
      <c r="Y13" s="40"/>
      <c r="Z13" s="40"/>
      <c r="AA13" s="7"/>
      <c r="AB13" s="7"/>
      <c r="AC13" s="7"/>
      <c r="AD13" s="7">
        <v>2</v>
      </c>
      <c r="AE13" s="7"/>
      <c r="AF13" s="40"/>
      <c r="AG13" s="40"/>
      <c r="AH13" s="7"/>
      <c r="AI13" s="7"/>
      <c r="AJ13" s="37">
        <f ca="1">IF(SUM(OFFSET(AJ13,0,-1):OFFSET(E13,0,1))=0,"Очікую",SUM(OFFSET(AJ13,0,-1):OFFSET(E13,0,1)))</f>
        <v>12</v>
      </c>
      <c r="AK13" s="37"/>
      <c r="AL13" s="4"/>
      <c r="AM13" s="16"/>
    </row>
    <row r="14" spans="1:39" ht="12.95" customHeight="1" x14ac:dyDescent="0.25">
      <c r="A14" s="14"/>
      <c r="B14" s="4"/>
      <c r="C14" s="38">
        <v>3</v>
      </c>
      <c r="D14" s="6" t="s">
        <v>17</v>
      </c>
      <c r="E14" s="6" t="s">
        <v>18</v>
      </c>
      <c r="F14" s="7">
        <v>2</v>
      </c>
      <c r="G14" s="7"/>
      <c r="H14" s="7"/>
      <c r="I14" s="7"/>
      <c r="J14" s="7"/>
      <c r="K14" s="40"/>
      <c r="L14" s="40"/>
      <c r="M14" s="7">
        <v>2</v>
      </c>
      <c r="N14" s="7"/>
      <c r="O14" s="7"/>
      <c r="P14" s="7"/>
      <c r="Q14" s="7"/>
      <c r="R14" s="40"/>
      <c r="S14" s="40"/>
      <c r="T14" s="7">
        <v>2</v>
      </c>
      <c r="U14" s="7"/>
      <c r="V14" s="7"/>
      <c r="W14" s="7"/>
      <c r="X14" s="7"/>
      <c r="Y14" s="40"/>
      <c r="Z14" s="40"/>
      <c r="AA14" s="7">
        <v>2</v>
      </c>
      <c r="AB14" s="7"/>
      <c r="AC14" s="7"/>
      <c r="AD14" s="7"/>
      <c r="AE14" s="7"/>
      <c r="AF14" s="40"/>
      <c r="AG14" s="40"/>
      <c r="AH14" s="7">
        <v>2</v>
      </c>
      <c r="AI14" s="7"/>
      <c r="AJ14" s="37">
        <f ca="1">IF(SUM(OFFSET(AJ14,0,-1):OFFSET(E14,0,1))=0,"Очікую",SUM(OFFSET(AJ14,0,-1):OFFSET(E14,0,1)))</f>
        <v>10</v>
      </c>
      <c r="AK14" s="37"/>
      <c r="AL14" s="4"/>
      <c r="AM14" s="16"/>
    </row>
    <row r="15" spans="1:39" ht="12.95" customHeight="1" x14ac:dyDescent="0.25">
      <c r="A15" s="14"/>
      <c r="B15" s="4"/>
      <c r="C15" s="38">
        <v>4</v>
      </c>
      <c r="D15" s="8" t="s">
        <v>19</v>
      </c>
      <c r="E15" s="8" t="s">
        <v>14</v>
      </c>
      <c r="F15" s="7"/>
      <c r="G15" s="7"/>
      <c r="H15" s="7">
        <v>2</v>
      </c>
      <c r="I15" s="7"/>
      <c r="J15" s="7"/>
      <c r="K15" s="40"/>
      <c r="L15" s="40"/>
      <c r="M15" s="7"/>
      <c r="N15" s="7"/>
      <c r="O15" s="7">
        <v>2</v>
      </c>
      <c r="P15" s="7"/>
      <c r="Q15" s="7"/>
      <c r="R15" s="40"/>
      <c r="S15" s="40"/>
      <c r="T15" s="7"/>
      <c r="U15" s="7"/>
      <c r="V15" s="7">
        <v>2</v>
      </c>
      <c r="W15" s="7"/>
      <c r="X15" s="7"/>
      <c r="Y15" s="40"/>
      <c r="Z15" s="40"/>
      <c r="AA15" s="7"/>
      <c r="AB15" s="7"/>
      <c r="AC15" s="7">
        <v>2</v>
      </c>
      <c r="AD15" s="7"/>
      <c r="AE15" s="7"/>
      <c r="AF15" s="40"/>
      <c r="AG15" s="40"/>
      <c r="AH15" s="7"/>
      <c r="AI15" s="7"/>
      <c r="AJ15" s="37">
        <f ca="1">IF(SUM(OFFSET(AJ15,0,-1):OFFSET(E15,0,1))=0,"Очікую",SUM(OFFSET(AJ15,0,-1):OFFSET(E15,0,1)))</f>
        <v>8</v>
      </c>
      <c r="AK15" s="37"/>
      <c r="AL15" s="4"/>
      <c r="AM15" s="16"/>
    </row>
    <row r="16" spans="1:39" ht="12.95" customHeight="1" x14ac:dyDescent="0.25">
      <c r="A16" s="14"/>
      <c r="B16" s="4"/>
      <c r="C16" s="38">
        <v>5</v>
      </c>
      <c r="D16" s="6" t="s">
        <v>20</v>
      </c>
      <c r="E16" s="6" t="s">
        <v>21</v>
      </c>
      <c r="F16" s="7"/>
      <c r="G16" s="7"/>
      <c r="H16" s="7"/>
      <c r="I16" s="7">
        <v>2</v>
      </c>
      <c r="J16" s="7"/>
      <c r="K16" s="40"/>
      <c r="L16" s="40"/>
      <c r="M16" s="7"/>
      <c r="N16" s="7"/>
      <c r="O16" s="7"/>
      <c r="P16" s="7">
        <v>2</v>
      </c>
      <c r="Q16" s="7"/>
      <c r="R16" s="40"/>
      <c r="S16" s="40"/>
      <c r="T16" s="7"/>
      <c r="U16" s="7"/>
      <c r="V16" s="7"/>
      <c r="W16" s="7">
        <v>2</v>
      </c>
      <c r="X16" s="7"/>
      <c r="Y16" s="40"/>
      <c r="Z16" s="40"/>
      <c r="AA16" s="7"/>
      <c r="AB16" s="7"/>
      <c r="AC16" s="7"/>
      <c r="AD16" s="7">
        <v>2</v>
      </c>
      <c r="AE16" s="7"/>
      <c r="AF16" s="40"/>
      <c r="AG16" s="40"/>
      <c r="AH16" s="7"/>
      <c r="AI16" s="7"/>
      <c r="AJ16" s="37">
        <f ca="1">IF(SUM(OFFSET(AJ16,0,-1):OFFSET(E16,0,1))=0,"Очікую",SUM(OFFSET(AJ16,0,-1):OFFSET(E16,0,1)))</f>
        <v>8</v>
      </c>
      <c r="AK16" s="37"/>
      <c r="AL16" s="4"/>
      <c r="AM16" s="16"/>
    </row>
    <row r="17" spans="1:39" ht="12.95" customHeight="1" x14ac:dyDescent="0.25">
      <c r="A17" s="14"/>
      <c r="B17" s="4"/>
      <c r="C17" s="38">
        <v>6</v>
      </c>
      <c r="D17" s="8" t="s">
        <v>22</v>
      </c>
      <c r="E17" s="8" t="s">
        <v>23</v>
      </c>
      <c r="F17" s="7"/>
      <c r="G17" s="7">
        <v>2</v>
      </c>
      <c r="H17" s="7"/>
      <c r="I17" s="7">
        <v>2</v>
      </c>
      <c r="J17" s="7"/>
      <c r="K17" s="40"/>
      <c r="L17" s="40"/>
      <c r="M17" s="7"/>
      <c r="N17" s="7"/>
      <c r="O17" s="7"/>
      <c r="P17" s="7">
        <v>2</v>
      </c>
      <c r="Q17" s="7"/>
      <c r="R17" s="40">
        <v>2</v>
      </c>
      <c r="S17" s="40"/>
      <c r="T17" s="7"/>
      <c r="U17" s="7">
        <v>2</v>
      </c>
      <c r="V17" s="7"/>
      <c r="W17" s="7">
        <v>2</v>
      </c>
      <c r="X17" s="7"/>
      <c r="Y17" s="40"/>
      <c r="Z17" s="40"/>
      <c r="AA17" s="7"/>
      <c r="AB17" s="7"/>
      <c r="AC17" s="7"/>
      <c r="AD17" s="7">
        <v>2</v>
      </c>
      <c r="AE17" s="7"/>
      <c r="AF17" s="40"/>
      <c r="AG17" s="40"/>
      <c r="AH17" s="7"/>
      <c r="AI17" s="7">
        <v>2</v>
      </c>
      <c r="AJ17" s="37">
        <f ca="1">IF(SUM(OFFSET(AJ17,0,-1):OFFSET(E17,0,1))=0,"Очікую",SUM(OFFSET(AJ17,0,-1):OFFSET(E17,0,1)))</f>
        <v>16</v>
      </c>
      <c r="AK17" s="37"/>
      <c r="AL17" s="4"/>
      <c r="AM17" s="16"/>
    </row>
    <row r="18" spans="1:39" ht="12.95" customHeight="1" x14ac:dyDescent="0.25">
      <c r="A18" s="14"/>
      <c r="B18" s="4"/>
      <c r="C18" s="38">
        <v>7</v>
      </c>
      <c r="D18" s="6" t="s">
        <v>24</v>
      </c>
      <c r="E18" s="6" t="s">
        <v>25</v>
      </c>
      <c r="F18" s="7"/>
      <c r="G18" s="7"/>
      <c r="H18" s="7"/>
      <c r="I18" s="7">
        <v>2</v>
      </c>
      <c r="J18" s="7"/>
      <c r="K18" s="40"/>
      <c r="L18" s="40"/>
      <c r="M18" s="7"/>
      <c r="N18" s="7"/>
      <c r="O18" s="7"/>
      <c r="P18" s="7">
        <v>2</v>
      </c>
      <c r="Q18" s="7"/>
      <c r="R18" s="40"/>
      <c r="S18" s="40"/>
      <c r="T18" s="7"/>
      <c r="U18" s="7"/>
      <c r="V18" s="7"/>
      <c r="W18" s="7">
        <v>2</v>
      </c>
      <c r="X18" s="7"/>
      <c r="Y18" s="40"/>
      <c r="Z18" s="40"/>
      <c r="AA18" s="7"/>
      <c r="AB18" s="7"/>
      <c r="AC18" s="7"/>
      <c r="AD18" s="7">
        <v>2</v>
      </c>
      <c r="AE18" s="7"/>
      <c r="AF18" s="40"/>
      <c r="AG18" s="40"/>
      <c r="AH18" s="7"/>
      <c r="AI18" s="7"/>
      <c r="AJ18" s="37">
        <f ca="1">IF(SUM(OFFSET(AJ18,0,-1):OFFSET(E18,0,1))=0,"Очікую",SUM(OFFSET(AJ18,0,-1):OFFSET(E18,0,1)))</f>
        <v>8</v>
      </c>
      <c r="AK18" s="37"/>
      <c r="AL18" s="4"/>
      <c r="AM18" s="16"/>
    </row>
    <row r="19" spans="1:39" ht="12.95" customHeight="1" x14ac:dyDescent="0.25">
      <c r="A19" s="14"/>
      <c r="B19" s="4"/>
      <c r="C19" s="38">
        <v>8</v>
      </c>
      <c r="D19" s="6" t="s">
        <v>26</v>
      </c>
      <c r="E19" s="6" t="s">
        <v>27</v>
      </c>
      <c r="F19" s="7"/>
      <c r="G19" s="7"/>
      <c r="H19" s="7"/>
      <c r="I19" s="7"/>
      <c r="J19" s="7"/>
      <c r="K19" s="40"/>
      <c r="L19" s="40"/>
      <c r="M19" s="7"/>
      <c r="N19" s="7"/>
      <c r="O19" s="7"/>
      <c r="P19" s="7"/>
      <c r="Q19" s="7">
        <v>2</v>
      </c>
      <c r="R19" s="40"/>
      <c r="S19" s="40"/>
      <c r="T19" s="7"/>
      <c r="U19" s="7"/>
      <c r="V19" s="7"/>
      <c r="W19" s="7"/>
      <c r="X19" s="7"/>
      <c r="Y19" s="40"/>
      <c r="Z19" s="40"/>
      <c r="AA19" s="7"/>
      <c r="AB19" s="7"/>
      <c r="AC19" s="7"/>
      <c r="AD19" s="7"/>
      <c r="AE19" s="7">
        <v>2</v>
      </c>
      <c r="AF19" s="40"/>
      <c r="AG19" s="40"/>
      <c r="AH19" s="7"/>
      <c r="AI19" s="7"/>
      <c r="AJ19" s="37">
        <f ca="1">IF(SUM(OFFSET(AJ19,0,-1):OFFSET(E19,0,1))=0,"Очікую",SUM(OFFSET(AJ19,0,-1):OFFSET(E19,0,1)))</f>
        <v>4</v>
      </c>
      <c r="AK19" s="37"/>
      <c r="AL19" s="4"/>
      <c r="AM19" s="16"/>
    </row>
    <row r="20" spans="1:39" ht="12.95" customHeight="1" x14ac:dyDescent="0.25">
      <c r="A20" s="14"/>
      <c r="B20" s="4"/>
      <c r="C20" s="38">
        <v>9</v>
      </c>
      <c r="D20" s="6" t="s">
        <v>28</v>
      </c>
      <c r="E20" s="6" t="s">
        <v>29</v>
      </c>
      <c r="F20" s="7"/>
      <c r="G20" s="7">
        <v>2</v>
      </c>
      <c r="H20" s="7"/>
      <c r="I20" s="7"/>
      <c r="J20" s="7"/>
      <c r="K20" s="40"/>
      <c r="L20" s="40"/>
      <c r="M20" s="7"/>
      <c r="N20" s="7">
        <v>2</v>
      </c>
      <c r="O20" s="7"/>
      <c r="P20" s="7"/>
      <c r="Q20" s="7"/>
      <c r="R20" s="40"/>
      <c r="S20" s="40"/>
      <c r="T20" s="7"/>
      <c r="U20" s="7">
        <v>2</v>
      </c>
      <c r="V20" s="7"/>
      <c r="W20" s="7"/>
      <c r="X20" s="7"/>
      <c r="Y20" s="40"/>
      <c r="Z20" s="40"/>
      <c r="AA20" s="7"/>
      <c r="AB20" s="7">
        <v>2</v>
      </c>
      <c r="AC20" s="7"/>
      <c r="AD20" s="7"/>
      <c r="AE20" s="7"/>
      <c r="AF20" s="40"/>
      <c r="AG20" s="40"/>
      <c r="AH20" s="7"/>
      <c r="AI20" s="7">
        <v>2</v>
      </c>
      <c r="AJ20" s="37">
        <f ca="1">IF(SUM(OFFSET(AJ20,0,-1):OFFSET(E20,0,1))=0,"Очікую",SUM(OFFSET(AJ20,0,-1):OFFSET(E20,0,1)))</f>
        <v>10</v>
      </c>
      <c r="AK20" s="37"/>
      <c r="AL20" s="4"/>
      <c r="AM20" s="16"/>
    </row>
    <row r="21" spans="1:39" ht="12.95" customHeight="1" x14ac:dyDescent="0.25">
      <c r="A21" s="14"/>
      <c r="B21" s="4"/>
      <c r="C21" s="38">
        <v>10</v>
      </c>
      <c r="D21" s="6" t="s">
        <v>30</v>
      </c>
      <c r="E21" s="6" t="s">
        <v>31</v>
      </c>
      <c r="F21" s="7"/>
      <c r="G21" s="7">
        <v>2</v>
      </c>
      <c r="H21" s="7"/>
      <c r="I21" s="7"/>
      <c r="J21" s="7"/>
      <c r="K21" s="40"/>
      <c r="L21" s="40"/>
      <c r="M21" s="7"/>
      <c r="N21" s="7">
        <v>4</v>
      </c>
      <c r="O21" s="7"/>
      <c r="P21" s="7"/>
      <c r="Q21" s="7"/>
      <c r="R21" s="40"/>
      <c r="S21" s="40"/>
      <c r="T21" s="7"/>
      <c r="U21" s="7">
        <v>2</v>
      </c>
      <c r="V21" s="7"/>
      <c r="W21" s="7"/>
      <c r="X21" s="7"/>
      <c r="Y21" s="40"/>
      <c r="Z21" s="40"/>
      <c r="AA21" s="7"/>
      <c r="AB21" s="7">
        <v>4</v>
      </c>
      <c r="AC21" s="7"/>
      <c r="AD21" s="7"/>
      <c r="AE21" s="7"/>
      <c r="AF21" s="40"/>
      <c r="AG21" s="40"/>
      <c r="AH21" s="7"/>
      <c r="AI21" s="7">
        <v>2</v>
      </c>
      <c r="AJ21" s="37">
        <f ca="1">IF(SUM(OFFSET(AJ21,0,-1):OFFSET(E21,0,1))=0,"Очікую",SUM(OFFSET(AJ21,0,-1):OFFSET(E21,0,1)))</f>
        <v>14</v>
      </c>
      <c r="AK21" s="37"/>
      <c r="AL21" s="4"/>
      <c r="AM21" s="16"/>
    </row>
    <row r="22" spans="1:39" ht="12.95" customHeight="1" x14ac:dyDescent="0.25">
      <c r="A22" s="14"/>
      <c r="B22" s="4"/>
      <c r="C22" s="38">
        <v>11</v>
      </c>
      <c r="D22" s="6" t="s">
        <v>32</v>
      </c>
      <c r="E22" s="6" t="s">
        <v>42</v>
      </c>
      <c r="F22" s="7"/>
      <c r="G22" s="7"/>
      <c r="H22" s="7">
        <v>2</v>
      </c>
      <c r="I22" s="7"/>
      <c r="J22" s="7"/>
      <c r="K22" s="40"/>
      <c r="L22" s="40"/>
      <c r="M22" s="7"/>
      <c r="N22" s="7"/>
      <c r="O22" s="7">
        <v>2</v>
      </c>
      <c r="P22" s="7"/>
      <c r="Q22" s="7"/>
      <c r="R22" s="40"/>
      <c r="S22" s="40"/>
      <c r="T22" s="7"/>
      <c r="U22" s="7"/>
      <c r="V22" s="7">
        <v>2</v>
      </c>
      <c r="W22" s="7"/>
      <c r="X22" s="7"/>
      <c r="Y22" s="40"/>
      <c r="Z22" s="40"/>
      <c r="AA22" s="7"/>
      <c r="AB22" s="7"/>
      <c r="AC22" s="7">
        <v>2</v>
      </c>
      <c r="AD22" s="7"/>
      <c r="AE22" s="7"/>
      <c r="AF22" s="40"/>
      <c r="AG22" s="40"/>
      <c r="AH22" s="7"/>
      <c r="AI22" s="7"/>
      <c r="AJ22" s="37">
        <f ca="1">IF(SUM(OFFSET(AJ22,0,-1):OFFSET(E22,0,1))=0,"Очікую",SUM(OFFSET(AJ22,0,-1):OFFSET(E22,0,1)))</f>
        <v>8</v>
      </c>
      <c r="AK22" s="37"/>
      <c r="AL22" s="4"/>
      <c r="AM22" s="16"/>
    </row>
    <row r="23" spans="1:39" ht="12.95" customHeight="1" x14ac:dyDescent="0.25">
      <c r="A23" s="14"/>
      <c r="B23" s="4"/>
      <c r="C23" s="38">
        <v>12</v>
      </c>
      <c r="D23" s="6" t="s">
        <v>34</v>
      </c>
      <c r="E23" s="6" t="s">
        <v>42</v>
      </c>
      <c r="F23" s="7"/>
      <c r="G23" s="7"/>
      <c r="H23" s="7">
        <v>2</v>
      </c>
      <c r="I23" s="7"/>
      <c r="J23" s="7"/>
      <c r="K23" s="40"/>
      <c r="L23" s="40"/>
      <c r="M23" s="7"/>
      <c r="N23" s="7"/>
      <c r="O23" s="7">
        <v>2</v>
      </c>
      <c r="P23" s="7"/>
      <c r="Q23" s="7"/>
      <c r="R23" s="40"/>
      <c r="S23" s="40"/>
      <c r="T23" s="7"/>
      <c r="U23" s="7"/>
      <c r="V23" s="7">
        <v>2</v>
      </c>
      <c r="W23" s="7"/>
      <c r="X23" s="7"/>
      <c r="Y23" s="40"/>
      <c r="Z23" s="40"/>
      <c r="AA23" s="7"/>
      <c r="AB23" s="7"/>
      <c r="AC23" s="7">
        <v>2</v>
      </c>
      <c r="AD23" s="7"/>
      <c r="AE23" s="7"/>
      <c r="AF23" s="40"/>
      <c r="AG23" s="40"/>
      <c r="AH23" s="7"/>
      <c r="AI23" s="7"/>
      <c r="AJ23" s="37">
        <f ca="1">IF(SUM(OFFSET(AJ23,0,-1):OFFSET(E23,0,1))=0,"Очікую",SUM(OFFSET(AJ23,0,-1):OFFSET(E23,0,1)))</f>
        <v>8</v>
      </c>
      <c r="AK23" s="37"/>
      <c r="AL23" s="4"/>
      <c r="AM23" s="16"/>
    </row>
    <row r="24" spans="1:39" ht="12.95" customHeight="1" x14ac:dyDescent="0.25">
      <c r="A24" s="14"/>
      <c r="B24" s="4"/>
      <c r="C24" s="38">
        <v>13</v>
      </c>
      <c r="D24" s="6" t="s">
        <v>35</v>
      </c>
      <c r="E24" s="6" t="s">
        <v>36</v>
      </c>
      <c r="F24" s="7">
        <v>2</v>
      </c>
      <c r="G24" s="7"/>
      <c r="H24" s="7"/>
      <c r="I24" s="7"/>
      <c r="J24" s="7"/>
      <c r="K24" s="40"/>
      <c r="L24" s="40"/>
      <c r="M24" s="7">
        <v>2</v>
      </c>
      <c r="N24" s="7"/>
      <c r="O24" s="7"/>
      <c r="P24" s="7"/>
      <c r="Q24" s="7"/>
      <c r="R24" s="40"/>
      <c r="S24" s="40"/>
      <c r="T24" s="7">
        <v>2</v>
      </c>
      <c r="U24" s="7"/>
      <c r="V24" s="7"/>
      <c r="W24" s="7"/>
      <c r="X24" s="7"/>
      <c r="Y24" s="40"/>
      <c r="Z24" s="40"/>
      <c r="AA24" s="7">
        <v>2</v>
      </c>
      <c r="AB24" s="7"/>
      <c r="AC24" s="7"/>
      <c r="AD24" s="7"/>
      <c r="AE24" s="7"/>
      <c r="AF24" s="40"/>
      <c r="AG24" s="40"/>
      <c r="AH24" s="7">
        <v>2</v>
      </c>
      <c r="AI24" s="7"/>
      <c r="AJ24" s="37">
        <f ca="1">IF(SUM(OFFSET(AJ24,0,-1):OFFSET(E24,0,1))=0,"Очікую",SUM(OFFSET(AJ24,0,-1):OFFSET(E24,0,1)))</f>
        <v>10</v>
      </c>
      <c r="AK24" s="37"/>
      <c r="AL24" s="4"/>
      <c r="AM24" s="16"/>
    </row>
    <row r="25" spans="1:39" ht="12.95" customHeight="1" x14ac:dyDescent="0.25">
      <c r="A25" s="14"/>
      <c r="B25" s="4"/>
      <c r="C25" s="38">
        <v>14</v>
      </c>
      <c r="D25" s="6" t="s">
        <v>37</v>
      </c>
      <c r="E25" s="6" t="s">
        <v>38</v>
      </c>
      <c r="F25" s="7"/>
      <c r="G25" s="7"/>
      <c r="H25" s="7"/>
      <c r="I25" s="7"/>
      <c r="J25" s="7">
        <v>2</v>
      </c>
      <c r="K25" s="40"/>
      <c r="L25" s="40"/>
      <c r="M25" s="7"/>
      <c r="N25" s="7"/>
      <c r="O25" s="7"/>
      <c r="P25" s="7"/>
      <c r="Q25" s="7">
        <v>4</v>
      </c>
      <c r="R25" s="40"/>
      <c r="S25" s="40"/>
      <c r="T25" s="7"/>
      <c r="U25" s="7"/>
      <c r="V25" s="7"/>
      <c r="W25" s="7"/>
      <c r="X25" s="7">
        <v>2</v>
      </c>
      <c r="Y25" s="40"/>
      <c r="Z25" s="40"/>
      <c r="AA25" s="7"/>
      <c r="AB25" s="7"/>
      <c r="AC25" s="7"/>
      <c r="AD25" s="7"/>
      <c r="AE25" s="7">
        <v>4</v>
      </c>
      <c r="AF25" s="40"/>
      <c r="AG25" s="40"/>
      <c r="AH25" s="7"/>
      <c r="AI25" s="7"/>
      <c r="AJ25" s="37">
        <f ca="1">IF(SUM(OFFSET(AJ25,0,-1):OFFSET(E25,0,1))=0,"Очікую",SUM(OFFSET(AJ25,0,-1):OFFSET(E25,0,1)))</f>
        <v>12</v>
      </c>
      <c r="AK25" s="37"/>
      <c r="AL25" s="4"/>
      <c r="AM25" s="16"/>
    </row>
    <row r="26" spans="1:39" ht="12.95" customHeight="1" x14ac:dyDescent="0.25">
      <c r="A26" s="14"/>
      <c r="B26" s="4"/>
      <c r="C26" s="38">
        <v>15</v>
      </c>
      <c r="D26" s="6" t="s">
        <v>39</v>
      </c>
      <c r="E26" s="6" t="s">
        <v>40</v>
      </c>
      <c r="F26" s="7"/>
      <c r="G26" s="7"/>
      <c r="H26" s="7">
        <v>2</v>
      </c>
      <c r="I26" s="7"/>
      <c r="J26" s="7"/>
      <c r="K26" s="40"/>
      <c r="L26" s="40"/>
      <c r="M26" s="7"/>
      <c r="N26" s="7"/>
      <c r="O26" s="7">
        <v>2</v>
      </c>
      <c r="P26" s="7"/>
      <c r="Q26" s="7"/>
      <c r="R26" s="40"/>
      <c r="S26" s="40"/>
      <c r="T26" s="7"/>
      <c r="U26" s="7"/>
      <c r="V26" s="7">
        <v>2</v>
      </c>
      <c r="W26" s="7"/>
      <c r="X26" s="7"/>
      <c r="Y26" s="40"/>
      <c r="Z26" s="40"/>
      <c r="AA26" s="7"/>
      <c r="AB26" s="7"/>
      <c r="AC26" s="7">
        <v>2</v>
      </c>
      <c r="AD26" s="7"/>
      <c r="AE26" s="7"/>
      <c r="AF26" s="40"/>
      <c r="AG26" s="40"/>
      <c r="AH26" s="7"/>
      <c r="AI26" s="7"/>
      <c r="AJ26" s="37">
        <f ca="1">IF(SUM(OFFSET(AJ26,0,-1):OFFSET(E26,0,1))=0,"Очікую",SUM(OFFSET(AJ26,0,-1):OFFSET(E26,0,1)))</f>
        <v>8</v>
      </c>
      <c r="AK26" s="37"/>
      <c r="AL26" s="4"/>
      <c r="AM26" s="16"/>
    </row>
    <row r="27" spans="1:39" ht="12.95" customHeight="1" x14ac:dyDescent="0.25">
      <c r="A27" s="14"/>
      <c r="B27" s="4"/>
      <c r="C27" s="36"/>
      <c r="D27" s="36"/>
      <c r="E27" s="36"/>
      <c r="F27" s="37">
        <f ca="1">IF($AJ27="Очікую","Оч",SUM(OFFSET(F27,-1,0):OFFSET(F11,1,0)))</f>
        <v>6</v>
      </c>
      <c r="G27" s="37">
        <f ca="1">IF($AJ27="Очікую","Оч",SUM(OFFSET(G27,-1,0):OFFSET(G11,1,0)))</f>
        <v>6</v>
      </c>
      <c r="H27" s="37">
        <f ca="1">IF($AJ27="Очікую","Оч",SUM(OFFSET(H27,-1,0):OFFSET(H11,1,0)))</f>
        <v>8</v>
      </c>
      <c r="I27" s="37">
        <f ca="1">IF($AJ27="Очікую","Оч",SUM(OFFSET(I27,-1,0):OFFSET(I11,1,0)))</f>
        <v>8</v>
      </c>
      <c r="J27" s="37">
        <f ca="1">IF($AJ27="Очікую","Оч",SUM(OFFSET(J27,-1,0):OFFSET(J11,1,0)))</f>
        <v>4</v>
      </c>
      <c r="K27" s="37">
        <f ca="1">IF($AJ27="Очікую","Оч",SUM(OFFSET(K27,-1,0):OFFSET(K11,1,0)))</f>
        <v>0</v>
      </c>
      <c r="L27" s="37">
        <f ca="1">IF($AJ27="Очікую","Оч",SUM(OFFSET(L27,-1,0):OFFSET(L11,1,0)))</f>
        <v>0</v>
      </c>
      <c r="M27" s="37">
        <f ca="1">IF($AJ27="Очікую","Оч",SUM(OFFSET(M27,-1,0):OFFSET(M11,1,0)))</f>
        <v>6</v>
      </c>
      <c r="N27" s="37">
        <f ca="1">IF($AJ27="Очікую","Оч",SUM(OFFSET(N27,-1,0):OFFSET(N11,1,0)))</f>
        <v>6</v>
      </c>
      <c r="O27" s="37">
        <f ca="1">IF($AJ27="Очікую","Оч",SUM(OFFSET(O27,-1,0):OFFSET(O11,1,0)))</f>
        <v>8</v>
      </c>
      <c r="P27" s="37">
        <f ca="1">IF($AJ27="Очікую","Оч",SUM(OFFSET(P27,-1,0):OFFSET(P11,1,0)))</f>
        <v>8</v>
      </c>
      <c r="Q27" s="37">
        <f ca="1">IF($AJ27="Очікую","Оч",SUM(OFFSET(Q27,-1,0):OFFSET(Q11,1,0)))</f>
        <v>6</v>
      </c>
      <c r="R27" s="37">
        <f ca="1">IF($AJ27="Очікую","Оч",SUM(OFFSET(R27,-1,0):OFFSET(R11,1,0)))</f>
        <v>2</v>
      </c>
      <c r="S27" s="37">
        <f ca="1">IF($AJ27="Очікую","Оч",SUM(OFFSET(S27,-1,0):OFFSET(S11,1,0)))</f>
        <v>0</v>
      </c>
      <c r="T27" s="37">
        <f ca="1">IF($AJ27="Очікую","Оч",SUM(OFFSET(T27,-1,0):OFFSET(T11,1,0)))</f>
        <v>6</v>
      </c>
      <c r="U27" s="37">
        <f ca="1">IF($AJ27="Очікую","Оч",SUM(OFFSET(U27,-1,0):OFFSET(U11,1,0)))</f>
        <v>6</v>
      </c>
      <c r="V27" s="37">
        <f ca="1">IF($AJ27="Очікую","Оч",SUM(OFFSET(V27,-1,0):OFFSET(V11,1,0)))</f>
        <v>8</v>
      </c>
      <c r="W27" s="37">
        <f ca="1">IF($AJ27="Очікую","Оч",SUM(OFFSET(W27,-1,0):OFFSET(W11,1,0)))</f>
        <v>8</v>
      </c>
      <c r="X27" s="37">
        <f ca="1">IF($AJ27="Очікую","Оч",SUM(OFFSET(X27,-1,0):OFFSET(X11,1,0)))</f>
        <v>4</v>
      </c>
      <c r="Y27" s="37">
        <f ca="1">IF($AJ27="Очікую","Оч",SUM(OFFSET(Y27,-1,0):OFFSET(Y11,1,0)))</f>
        <v>0</v>
      </c>
      <c r="Z27" s="37">
        <f ca="1">IF($AJ27="Очікую","Оч",SUM(OFFSET(Z27,-1,0):OFFSET(Z11,1,0)))</f>
        <v>0</v>
      </c>
      <c r="AA27" s="37">
        <f ca="1">IF($AJ27="Очікую","Оч",SUM(OFFSET(AA27,-1,0):OFFSET(AA11,1,0)))</f>
        <v>6</v>
      </c>
      <c r="AB27" s="37">
        <f ca="1">IF($AJ27="Очікую","Оч",SUM(OFFSET(AB27,-1,0):OFFSET(AB11,1,0)))</f>
        <v>6</v>
      </c>
      <c r="AC27" s="37">
        <f ca="1">IF($AJ27="Очікую","Оч",SUM(OFFSET(AC27,-1,0):OFFSET(AC11,1,0)))</f>
        <v>8</v>
      </c>
      <c r="AD27" s="37">
        <f ca="1">IF($AJ27="Очікую","Оч",SUM(OFFSET(AD27,-1,0):OFFSET(AD11,1,0)))</f>
        <v>8</v>
      </c>
      <c r="AE27" s="37">
        <f ca="1">IF($AJ27="Очікую","Оч",SUM(OFFSET(AE27,-1,0):OFFSET(AE11,1,0)))</f>
        <v>6</v>
      </c>
      <c r="AF27" s="37">
        <f ca="1">IF($AJ27="Очікую","Оч",SUM(OFFSET(AF27,-1,0):OFFSET(AF11,1,0)))</f>
        <v>0</v>
      </c>
      <c r="AG27" s="37">
        <f ca="1">IF($AJ27="Очікую","Оч",SUM(OFFSET(AG27,-1,0):OFFSET(AG11,1,0)))</f>
        <v>0</v>
      </c>
      <c r="AH27" s="37">
        <f ca="1">IF($AJ27="Очікую","Оч",SUM(OFFSET(AH27,-1,0):OFFSET(AH11,1,0)))</f>
        <v>6</v>
      </c>
      <c r="AI27" s="37">
        <f ca="1">IF($AJ27="Очікую","Оч",SUM(OFFSET(AI27,-1,0):OFFSET(AI11,1,0)))</f>
        <v>6</v>
      </c>
      <c r="AJ27" s="37">
        <f ca="1">IF(SUM(OFFSET(AJ27,-1,0):OFFSET(AJ11,1,0))=0,"Очікую",SUM(OFFSET(AJ27,-1,0):OFFSET(AJ11,1,0)))</f>
        <v>146</v>
      </c>
      <c r="AK27" s="36"/>
      <c r="AL27" s="4"/>
      <c r="AM27" s="16"/>
    </row>
    <row r="28" spans="1:39" ht="12.95" customHeight="1" x14ac:dyDescent="0.25">
      <c r="A28" s="14"/>
      <c r="B28" s="4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4"/>
      <c r="AM28" s="16"/>
    </row>
    <row r="29" spans="1:39" ht="12.95" customHeight="1" x14ac:dyDescent="0.25">
      <c r="A29" s="14"/>
      <c r="B29" s="4"/>
      <c r="C29" s="36"/>
      <c r="D29" s="36"/>
      <c r="E29" s="3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36"/>
      <c r="AK29" s="36"/>
      <c r="AL29" s="4"/>
      <c r="AM29" s="16"/>
    </row>
    <row r="30" spans="1:39" ht="12.95" customHeight="1" x14ac:dyDescent="0.25">
      <c r="A30" s="14"/>
      <c r="B30" s="4"/>
      <c r="C30" s="41" t="s">
        <v>58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3"/>
      <c r="AK30" s="42"/>
      <c r="AL30" s="4"/>
      <c r="AM30" s="16"/>
    </row>
    <row r="31" spans="1:39" ht="12.95" customHeight="1" x14ac:dyDescent="0.2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16"/>
    </row>
    <row r="32" spans="1:39" ht="12.95" customHeight="1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2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  <row r="47" ht="12" hidden="1" customHeight="1" x14ac:dyDescent="0.25"/>
  </sheetData>
  <mergeCells count="14"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  <mergeCell ref="C9:AK9"/>
  </mergeCells>
  <printOptions horizontalCentered="1"/>
  <pageMargins left="0.19685039370078741" right="0.19685039370078741" top="0.19685039370078741" bottom="0.19685039370078741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tabSelected="1" zoomScaleNormal="100" workbookViewId="0">
      <selection activeCell="C30" sqref="C30:AK30"/>
    </sheetView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5" width="2.08984375" style="2" customWidth="1"/>
    <col min="36" max="36" width="4" customWidth="1"/>
    <col min="37" max="37" width="5.54296875" style="2" customWidth="1"/>
    <col min="38" max="39" width="1.453125" style="2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9" s="3" customFormat="1" ht="12" customHeight="1" thickBot="1" x14ac:dyDescent="0.3">
      <c r="A1" s="11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0"/>
    </row>
    <row r="2" spans="1:39" s="1" customFormat="1" ht="12" customHeight="1" x14ac:dyDescent="0.25">
      <c r="A2" s="1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6"/>
    </row>
    <row r="3" spans="1:39" ht="15" customHeight="1" x14ac:dyDescent="0.25">
      <c r="A3" s="14"/>
      <c r="B3" s="4"/>
      <c r="C3" s="5"/>
      <c r="D3" s="54" t="s">
        <v>1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4"/>
      <c r="AM3" s="16"/>
    </row>
    <row r="4" spans="1:39" ht="65.099999999999994" customHeight="1" x14ac:dyDescent="0.25">
      <c r="A4" s="14"/>
      <c r="B4" s="4"/>
      <c r="C4" s="36"/>
      <c r="D4" s="53" t="s">
        <v>2</v>
      </c>
      <c r="E4" s="42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6"/>
      <c r="AK4" s="36"/>
      <c r="AL4" s="4"/>
      <c r="AM4" s="16"/>
    </row>
    <row r="5" spans="1:39" ht="15" customHeight="1" x14ac:dyDescent="0.25">
      <c r="A5" s="14"/>
      <c r="B5" s="4"/>
      <c r="C5" s="47" t="s">
        <v>3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3"/>
      <c r="AK5" s="42"/>
      <c r="AL5" s="4"/>
      <c r="AM5" s="16"/>
    </row>
    <row r="6" spans="1:39" ht="15" customHeight="1" x14ac:dyDescent="0.25">
      <c r="A6" s="14"/>
      <c r="B6" s="4"/>
      <c r="C6" s="41" t="s">
        <v>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3"/>
      <c r="AK6" s="42"/>
      <c r="AL6" s="4"/>
      <c r="AM6" s="16"/>
    </row>
    <row r="7" spans="1:39" ht="15" customHeight="1" x14ac:dyDescent="0.25">
      <c r="A7" s="14"/>
      <c r="B7" s="4"/>
      <c r="C7" s="47" t="s">
        <v>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3"/>
      <c r="AK7" s="42"/>
      <c r="AL7" s="4"/>
      <c r="AM7" s="16"/>
    </row>
    <row r="8" spans="1:39" ht="15" customHeight="1" x14ac:dyDescent="0.25">
      <c r="A8" s="14"/>
      <c r="B8" s="4"/>
      <c r="C8" s="48" t="s">
        <v>43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3"/>
      <c r="AK8" s="42"/>
      <c r="AL8" s="4"/>
      <c r="AM8" s="16"/>
    </row>
    <row r="9" spans="1:39" ht="15" customHeight="1" x14ac:dyDescent="0.25">
      <c r="A9" s="14"/>
      <c r="B9" s="4"/>
      <c r="C9" s="51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4"/>
      <c r="AM9" s="16"/>
    </row>
    <row r="10" spans="1:39" ht="12.95" customHeight="1" x14ac:dyDescent="0.25">
      <c r="A10" s="14"/>
      <c r="B10" s="4"/>
      <c r="C10" s="44" t="s">
        <v>7</v>
      </c>
      <c r="D10" s="46" t="s">
        <v>8</v>
      </c>
      <c r="E10" s="44" t="s">
        <v>9</v>
      </c>
      <c r="F10" s="46" t="s">
        <v>10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50"/>
      <c r="AJ10" s="44" t="s">
        <v>11</v>
      </c>
      <c r="AK10" s="46" t="s">
        <v>12</v>
      </c>
      <c r="AL10" s="4"/>
      <c r="AM10" s="16"/>
    </row>
    <row r="11" spans="1:39" ht="12.95" customHeight="1" x14ac:dyDescent="0.25">
      <c r="A11" s="14"/>
      <c r="B11" s="4"/>
      <c r="C11" s="45"/>
      <c r="D11" s="45"/>
      <c r="E11" s="45"/>
      <c r="F11" s="37">
        <v>2</v>
      </c>
      <c r="G11" s="37">
        <v>3</v>
      </c>
      <c r="H11" s="37">
        <v>4</v>
      </c>
      <c r="I11" s="37">
        <v>5</v>
      </c>
      <c r="J11" s="37">
        <v>6</v>
      </c>
      <c r="K11" s="37">
        <v>7</v>
      </c>
      <c r="L11" s="37">
        <v>8</v>
      </c>
      <c r="M11" s="37">
        <v>9</v>
      </c>
      <c r="N11" s="37">
        <v>10</v>
      </c>
      <c r="O11" s="37">
        <v>11</v>
      </c>
      <c r="P11" s="37">
        <v>12</v>
      </c>
      <c r="Q11" s="37">
        <v>13</v>
      </c>
      <c r="R11" s="37">
        <v>14</v>
      </c>
      <c r="S11" s="37">
        <v>15</v>
      </c>
      <c r="T11" s="37">
        <v>16</v>
      </c>
      <c r="U11" s="37">
        <v>17</v>
      </c>
      <c r="V11" s="37">
        <v>18</v>
      </c>
      <c r="W11" s="37">
        <v>19</v>
      </c>
      <c r="X11" s="37">
        <v>20</v>
      </c>
      <c r="Y11" s="37">
        <v>21</v>
      </c>
      <c r="Z11" s="37">
        <v>22</v>
      </c>
      <c r="AA11" s="37">
        <v>23</v>
      </c>
      <c r="AB11" s="37">
        <v>24</v>
      </c>
      <c r="AC11" s="37">
        <v>25</v>
      </c>
      <c r="AD11" s="37">
        <v>26</v>
      </c>
      <c r="AE11" s="37">
        <v>27</v>
      </c>
      <c r="AF11" s="37">
        <v>28</v>
      </c>
      <c r="AG11" s="37">
        <v>29</v>
      </c>
      <c r="AH11" s="37">
        <v>30</v>
      </c>
      <c r="AI11" s="37">
        <v>31</v>
      </c>
      <c r="AJ11" s="45"/>
      <c r="AK11" s="45"/>
      <c r="AL11" s="4"/>
      <c r="AM11" s="16"/>
    </row>
    <row r="12" spans="1:39" ht="12.95" customHeight="1" x14ac:dyDescent="0.25">
      <c r="A12" s="14"/>
      <c r="B12" s="4"/>
      <c r="C12" s="38">
        <v>1</v>
      </c>
      <c r="D12" s="6" t="s">
        <v>13</v>
      </c>
      <c r="E12" s="6" t="s">
        <v>14</v>
      </c>
      <c r="F12" s="7"/>
      <c r="G12" s="7"/>
      <c r="H12" s="7"/>
      <c r="I12" s="7">
        <v>2</v>
      </c>
      <c r="J12" s="7"/>
      <c r="K12" s="40"/>
      <c r="L12" s="40"/>
      <c r="M12" s="7"/>
      <c r="N12" s="7"/>
      <c r="O12" s="7"/>
      <c r="P12" s="7">
        <v>2</v>
      </c>
      <c r="Q12" s="7"/>
      <c r="R12" s="40"/>
      <c r="S12" s="40"/>
      <c r="T12" s="7"/>
      <c r="U12" s="7"/>
      <c r="V12" s="7"/>
      <c r="W12" s="7">
        <v>2</v>
      </c>
      <c r="X12" s="7"/>
      <c r="Y12" s="40"/>
      <c r="Z12" s="40"/>
      <c r="AA12" s="7"/>
      <c r="AB12" s="7"/>
      <c r="AC12" s="7"/>
      <c r="AD12" s="7">
        <v>2</v>
      </c>
      <c r="AE12" s="7"/>
      <c r="AF12" s="40"/>
      <c r="AG12" s="40"/>
      <c r="AH12" s="7"/>
      <c r="AI12" s="7"/>
      <c r="AJ12" s="37">
        <f ca="1">IF(SUM(OFFSET(AJ12,0,-1):OFFSET(E12,0,1))=0,"Очікую",SUM(OFFSET(AJ12,0,-1):OFFSET(E12,0,1)))</f>
        <v>8</v>
      </c>
      <c r="AK12" s="37"/>
      <c r="AL12" s="4"/>
      <c r="AM12" s="16"/>
    </row>
    <row r="13" spans="1:39" ht="12.95" customHeight="1" x14ac:dyDescent="0.25">
      <c r="A13" s="14"/>
      <c r="B13" s="4"/>
      <c r="C13" s="38">
        <v>2</v>
      </c>
      <c r="D13" s="6" t="s">
        <v>15</v>
      </c>
      <c r="E13" s="6" t="s">
        <v>16</v>
      </c>
      <c r="F13" s="7"/>
      <c r="G13" s="7"/>
      <c r="H13" s="7"/>
      <c r="I13" s="7">
        <v>2</v>
      </c>
      <c r="J13" s="7"/>
      <c r="K13" s="40"/>
      <c r="L13" s="40"/>
      <c r="M13" s="7"/>
      <c r="N13" s="7"/>
      <c r="O13" s="7"/>
      <c r="P13" s="7">
        <v>2</v>
      </c>
      <c r="Q13" s="7">
        <v>2</v>
      </c>
      <c r="R13" s="40"/>
      <c r="S13" s="40"/>
      <c r="T13" s="7"/>
      <c r="U13" s="7"/>
      <c r="V13" s="7"/>
      <c r="W13" s="7">
        <v>2</v>
      </c>
      <c r="X13" s="7"/>
      <c r="Y13" s="40"/>
      <c r="Z13" s="40"/>
      <c r="AA13" s="7"/>
      <c r="AB13" s="7"/>
      <c r="AC13" s="7"/>
      <c r="AD13" s="7">
        <v>2</v>
      </c>
      <c r="AE13" s="7">
        <v>2</v>
      </c>
      <c r="AF13" s="40"/>
      <c r="AG13" s="40"/>
      <c r="AH13" s="7"/>
      <c r="AI13" s="7"/>
      <c r="AJ13" s="37">
        <f ca="1">IF(SUM(OFFSET(AJ13,0,-1):OFFSET(E13,0,1))=0,"Очікую",SUM(OFFSET(AJ13,0,-1):OFFSET(E13,0,1)))</f>
        <v>12</v>
      </c>
      <c r="AK13" s="37"/>
      <c r="AL13" s="4"/>
      <c r="AM13" s="16"/>
    </row>
    <row r="14" spans="1:39" ht="12.95" customHeight="1" x14ac:dyDescent="0.25">
      <c r="A14" s="14"/>
      <c r="B14" s="4"/>
      <c r="C14" s="38">
        <v>3</v>
      </c>
      <c r="D14" s="6" t="s">
        <v>17</v>
      </c>
      <c r="E14" s="6" t="s">
        <v>18</v>
      </c>
      <c r="F14" s="7">
        <v>2</v>
      </c>
      <c r="G14" s="7"/>
      <c r="H14" s="7"/>
      <c r="I14" s="7"/>
      <c r="J14" s="7"/>
      <c r="K14" s="40"/>
      <c r="L14" s="40"/>
      <c r="M14" s="7">
        <v>2</v>
      </c>
      <c r="N14" s="7"/>
      <c r="O14" s="7"/>
      <c r="P14" s="7"/>
      <c r="Q14" s="7"/>
      <c r="R14" s="40"/>
      <c r="S14" s="40"/>
      <c r="T14" s="7">
        <v>2</v>
      </c>
      <c r="U14" s="7"/>
      <c r="V14" s="7"/>
      <c r="W14" s="7"/>
      <c r="X14" s="7"/>
      <c r="Y14" s="40"/>
      <c r="Z14" s="40"/>
      <c r="AA14" s="7">
        <v>2</v>
      </c>
      <c r="AB14" s="7"/>
      <c r="AC14" s="7"/>
      <c r="AD14" s="7"/>
      <c r="AE14" s="7"/>
      <c r="AF14" s="40"/>
      <c r="AG14" s="40"/>
      <c r="AH14" s="7">
        <v>2</v>
      </c>
      <c r="AI14" s="7"/>
      <c r="AJ14" s="37">
        <f ca="1">IF(SUM(OFFSET(AJ14,0,-1):OFFSET(E14,0,1))=0,"Очікую",SUM(OFFSET(AJ14,0,-1):OFFSET(E14,0,1)))</f>
        <v>10</v>
      </c>
      <c r="AK14" s="37"/>
      <c r="AL14" s="4"/>
      <c r="AM14" s="16"/>
    </row>
    <row r="15" spans="1:39" ht="12.95" customHeight="1" x14ac:dyDescent="0.25">
      <c r="A15" s="14"/>
      <c r="B15" s="4"/>
      <c r="C15" s="38">
        <v>4</v>
      </c>
      <c r="D15" s="8" t="s">
        <v>19</v>
      </c>
      <c r="E15" s="8" t="s">
        <v>14</v>
      </c>
      <c r="F15" s="7">
        <v>2</v>
      </c>
      <c r="G15" s="7"/>
      <c r="H15" s="7"/>
      <c r="I15" s="7"/>
      <c r="J15" s="7"/>
      <c r="K15" s="40"/>
      <c r="L15" s="40"/>
      <c r="M15" s="7">
        <v>2</v>
      </c>
      <c r="N15" s="7"/>
      <c r="O15" s="7"/>
      <c r="P15" s="7"/>
      <c r="Q15" s="7"/>
      <c r="R15" s="40"/>
      <c r="S15" s="40"/>
      <c r="T15" s="7">
        <v>2</v>
      </c>
      <c r="U15" s="7"/>
      <c r="V15" s="7"/>
      <c r="W15" s="7"/>
      <c r="X15" s="7"/>
      <c r="Y15" s="40"/>
      <c r="Z15" s="40"/>
      <c r="AA15" s="7">
        <v>2</v>
      </c>
      <c r="AB15" s="7"/>
      <c r="AC15" s="7"/>
      <c r="AD15" s="7"/>
      <c r="AE15" s="7"/>
      <c r="AF15" s="40"/>
      <c r="AG15" s="40"/>
      <c r="AH15" s="7">
        <v>2</v>
      </c>
      <c r="AI15" s="7"/>
      <c r="AJ15" s="37">
        <f ca="1">IF(SUM(OFFSET(AJ15,0,-1):OFFSET(E15,0,1))=0,"Очікую",SUM(OFFSET(AJ15,0,-1):OFFSET(E15,0,1)))</f>
        <v>10</v>
      </c>
      <c r="AK15" s="37"/>
      <c r="AL15" s="4"/>
      <c r="AM15" s="16"/>
    </row>
    <row r="16" spans="1:39" ht="12.95" customHeight="1" x14ac:dyDescent="0.25">
      <c r="A16" s="14"/>
      <c r="B16" s="4"/>
      <c r="C16" s="38">
        <v>5</v>
      </c>
      <c r="D16" s="6" t="s">
        <v>20</v>
      </c>
      <c r="E16" s="6" t="s">
        <v>21</v>
      </c>
      <c r="F16" s="7"/>
      <c r="G16" s="7"/>
      <c r="H16" s="7"/>
      <c r="I16" s="7">
        <v>2</v>
      </c>
      <c r="J16" s="7"/>
      <c r="K16" s="40"/>
      <c r="L16" s="40"/>
      <c r="M16" s="7"/>
      <c r="N16" s="7"/>
      <c r="O16" s="7"/>
      <c r="P16" s="7">
        <v>2</v>
      </c>
      <c r="Q16" s="7"/>
      <c r="R16" s="40"/>
      <c r="S16" s="40"/>
      <c r="T16" s="7"/>
      <c r="U16" s="7"/>
      <c r="V16" s="7"/>
      <c r="W16" s="7">
        <v>2</v>
      </c>
      <c r="X16" s="7"/>
      <c r="Y16" s="40"/>
      <c r="Z16" s="40"/>
      <c r="AA16" s="7"/>
      <c r="AB16" s="7"/>
      <c r="AC16" s="7"/>
      <c r="AD16" s="7">
        <v>2</v>
      </c>
      <c r="AE16" s="7"/>
      <c r="AF16" s="40"/>
      <c r="AG16" s="40"/>
      <c r="AH16" s="7"/>
      <c r="AI16" s="7"/>
      <c r="AJ16" s="37">
        <f ca="1">IF(SUM(OFFSET(AJ16,0,-1):OFFSET(E16,0,1))=0,"Очікую",SUM(OFFSET(AJ16,0,-1):OFFSET(E16,0,1)))</f>
        <v>8</v>
      </c>
      <c r="AK16" s="37"/>
      <c r="AL16" s="4"/>
      <c r="AM16" s="16"/>
    </row>
    <row r="17" spans="1:39" ht="12.95" customHeight="1" x14ac:dyDescent="0.25">
      <c r="A17" s="14"/>
      <c r="B17" s="4"/>
      <c r="C17" s="38">
        <v>6</v>
      </c>
      <c r="D17" s="8" t="s">
        <v>22</v>
      </c>
      <c r="E17" s="8" t="s">
        <v>23</v>
      </c>
      <c r="F17" s="7"/>
      <c r="G17" s="7"/>
      <c r="H17" s="7">
        <v>2</v>
      </c>
      <c r="I17" s="7"/>
      <c r="J17" s="7">
        <v>2</v>
      </c>
      <c r="K17" s="40"/>
      <c r="L17" s="40"/>
      <c r="M17" s="7"/>
      <c r="N17" s="7"/>
      <c r="O17" s="7"/>
      <c r="P17" s="7"/>
      <c r="Q17" s="7">
        <v>2</v>
      </c>
      <c r="R17" s="40">
        <v>2</v>
      </c>
      <c r="S17" s="40"/>
      <c r="T17" s="7"/>
      <c r="U17" s="7"/>
      <c r="V17" s="7">
        <v>2</v>
      </c>
      <c r="W17" s="7"/>
      <c r="X17" s="7">
        <v>2</v>
      </c>
      <c r="Y17" s="40"/>
      <c r="Z17" s="40"/>
      <c r="AA17" s="7"/>
      <c r="AB17" s="7"/>
      <c r="AC17" s="7"/>
      <c r="AD17" s="7"/>
      <c r="AE17" s="7">
        <v>2</v>
      </c>
      <c r="AF17" s="40"/>
      <c r="AG17" s="40"/>
      <c r="AH17" s="7"/>
      <c r="AI17" s="7"/>
      <c r="AJ17" s="37">
        <f ca="1">IF(SUM(OFFSET(AJ17,0,-1):OFFSET(E17,0,1))=0,"Очікую",SUM(OFFSET(AJ17,0,-1):OFFSET(E17,0,1)))</f>
        <v>14</v>
      </c>
      <c r="AK17" s="37"/>
      <c r="AL17" s="4"/>
      <c r="AM17" s="16"/>
    </row>
    <row r="18" spans="1:39" ht="12.95" customHeight="1" x14ac:dyDescent="0.25">
      <c r="A18" s="14"/>
      <c r="B18" s="4"/>
      <c r="C18" s="38">
        <v>7</v>
      </c>
      <c r="D18" s="6" t="s">
        <v>24</v>
      </c>
      <c r="E18" s="6" t="s">
        <v>25</v>
      </c>
      <c r="F18" s="7"/>
      <c r="G18" s="7"/>
      <c r="H18" s="7"/>
      <c r="I18" s="7">
        <v>2</v>
      </c>
      <c r="J18" s="7"/>
      <c r="K18" s="40"/>
      <c r="L18" s="40"/>
      <c r="M18" s="7"/>
      <c r="N18" s="7"/>
      <c r="O18" s="7"/>
      <c r="P18" s="7">
        <v>2</v>
      </c>
      <c r="Q18" s="7"/>
      <c r="R18" s="40"/>
      <c r="S18" s="40"/>
      <c r="T18" s="7"/>
      <c r="U18" s="7"/>
      <c r="V18" s="7"/>
      <c r="W18" s="7">
        <v>2</v>
      </c>
      <c r="X18" s="7"/>
      <c r="Y18" s="40"/>
      <c r="Z18" s="40"/>
      <c r="AA18" s="7"/>
      <c r="AB18" s="7"/>
      <c r="AC18" s="7"/>
      <c r="AD18" s="7">
        <v>2</v>
      </c>
      <c r="AE18" s="7"/>
      <c r="AF18" s="40"/>
      <c r="AG18" s="40"/>
      <c r="AH18" s="7"/>
      <c r="AI18" s="7"/>
      <c r="AJ18" s="37">
        <f ca="1">IF(SUM(OFFSET(AJ18,0,-1):OFFSET(E18,0,1))=0,"Очікую",SUM(OFFSET(AJ18,0,-1):OFFSET(E18,0,1)))</f>
        <v>8</v>
      </c>
      <c r="AK18" s="37"/>
      <c r="AL18" s="4"/>
      <c r="AM18" s="16"/>
    </row>
    <row r="19" spans="1:39" ht="12.95" customHeight="1" x14ac:dyDescent="0.25">
      <c r="A19" s="14"/>
      <c r="B19" s="4"/>
      <c r="C19" s="38">
        <v>8</v>
      </c>
      <c r="D19" s="6" t="s">
        <v>26</v>
      </c>
      <c r="E19" s="6" t="s">
        <v>27</v>
      </c>
      <c r="F19" s="7"/>
      <c r="G19" s="7"/>
      <c r="H19" s="7"/>
      <c r="I19" s="7"/>
      <c r="J19" s="7"/>
      <c r="K19" s="40"/>
      <c r="L19" s="40"/>
      <c r="M19" s="7"/>
      <c r="N19" s="7"/>
      <c r="O19" s="7">
        <v>2</v>
      </c>
      <c r="P19" s="7"/>
      <c r="Q19" s="7"/>
      <c r="R19" s="40"/>
      <c r="S19" s="40"/>
      <c r="T19" s="7"/>
      <c r="U19" s="7"/>
      <c r="V19" s="7"/>
      <c r="W19" s="7"/>
      <c r="X19" s="7"/>
      <c r="Y19" s="40"/>
      <c r="Z19" s="40"/>
      <c r="AA19" s="7"/>
      <c r="AB19" s="7"/>
      <c r="AC19" s="7">
        <v>2</v>
      </c>
      <c r="AD19" s="7"/>
      <c r="AE19" s="7"/>
      <c r="AF19" s="40"/>
      <c r="AG19" s="40"/>
      <c r="AH19" s="7"/>
      <c r="AI19" s="7"/>
      <c r="AJ19" s="37">
        <f ca="1">IF(SUM(OFFSET(AJ19,0,-1):OFFSET(E19,0,1))=0,"Очікую",SUM(OFFSET(AJ19,0,-1):OFFSET(E19,0,1)))</f>
        <v>4</v>
      </c>
      <c r="AK19" s="37"/>
      <c r="AL19" s="4"/>
      <c r="AM19" s="16"/>
    </row>
    <row r="20" spans="1:39" ht="12.95" customHeight="1" x14ac:dyDescent="0.25">
      <c r="A20" s="14"/>
      <c r="B20" s="4"/>
      <c r="C20" s="38">
        <v>9</v>
      </c>
      <c r="D20" s="6" t="s">
        <v>28</v>
      </c>
      <c r="E20" s="6" t="s">
        <v>29</v>
      </c>
      <c r="F20" s="7"/>
      <c r="G20" s="7">
        <v>2</v>
      </c>
      <c r="H20" s="7"/>
      <c r="I20" s="7"/>
      <c r="J20" s="7"/>
      <c r="K20" s="40"/>
      <c r="L20" s="40"/>
      <c r="M20" s="7"/>
      <c r="N20" s="7">
        <v>2</v>
      </c>
      <c r="O20" s="7"/>
      <c r="P20" s="7"/>
      <c r="Q20" s="7"/>
      <c r="R20" s="40"/>
      <c r="S20" s="40"/>
      <c r="T20" s="7"/>
      <c r="U20" s="7">
        <v>2</v>
      </c>
      <c r="V20" s="7"/>
      <c r="W20" s="7"/>
      <c r="X20" s="7"/>
      <c r="Y20" s="40"/>
      <c r="Z20" s="40"/>
      <c r="AA20" s="7"/>
      <c r="AB20" s="7">
        <v>2</v>
      </c>
      <c r="AC20" s="7"/>
      <c r="AD20" s="7"/>
      <c r="AE20" s="7"/>
      <c r="AF20" s="40"/>
      <c r="AG20" s="40"/>
      <c r="AH20" s="7"/>
      <c r="AI20" s="7">
        <v>2</v>
      </c>
      <c r="AJ20" s="37">
        <f ca="1">IF(SUM(OFFSET(AJ20,0,-1):OFFSET(E20,0,1))=0,"Очікую",SUM(OFFSET(AJ20,0,-1):OFFSET(E20,0,1)))</f>
        <v>10</v>
      </c>
      <c r="AK20" s="37"/>
      <c r="AL20" s="4"/>
      <c r="AM20" s="16"/>
    </row>
    <row r="21" spans="1:39" ht="12.95" customHeight="1" x14ac:dyDescent="0.25">
      <c r="A21" s="14"/>
      <c r="B21" s="4"/>
      <c r="C21" s="38">
        <v>10</v>
      </c>
      <c r="D21" s="6" t="s">
        <v>30</v>
      </c>
      <c r="E21" s="6" t="s">
        <v>44</v>
      </c>
      <c r="F21" s="7">
        <v>4</v>
      </c>
      <c r="G21" s="7"/>
      <c r="H21" s="7"/>
      <c r="I21" s="7"/>
      <c r="J21" s="7"/>
      <c r="K21" s="40"/>
      <c r="L21" s="40"/>
      <c r="M21" s="7">
        <v>2</v>
      </c>
      <c r="N21" s="7"/>
      <c r="O21" s="7"/>
      <c r="P21" s="7"/>
      <c r="Q21" s="7"/>
      <c r="R21" s="40"/>
      <c r="S21" s="40"/>
      <c r="T21" s="7">
        <v>4</v>
      </c>
      <c r="U21" s="7"/>
      <c r="V21" s="7"/>
      <c r="W21" s="7"/>
      <c r="X21" s="7"/>
      <c r="Y21" s="40"/>
      <c r="Z21" s="40"/>
      <c r="AA21" s="7">
        <v>2</v>
      </c>
      <c r="AB21" s="7"/>
      <c r="AC21" s="7"/>
      <c r="AD21" s="7"/>
      <c r="AE21" s="7"/>
      <c r="AF21" s="40"/>
      <c r="AG21" s="40"/>
      <c r="AH21" s="7">
        <v>4</v>
      </c>
      <c r="AI21" s="7"/>
      <c r="AJ21" s="37">
        <f ca="1">IF(SUM(OFFSET(AJ21,0,-1):OFFSET(E21,0,1))=0,"Очікую",SUM(OFFSET(AJ21,0,-1):OFFSET(E21,0,1)))</f>
        <v>16</v>
      </c>
      <c r="AK21" s="37"/>
      <c r="AL21" s="4"/>
      <c r="AM21" s="16"/>
    </row>
    <row r="22" spans="1:39" ht="12.95" customHeight="1" x14ac:dyDescent="0.25">
      <c r="A22" s="14"/>
      <c r="B22" s="4"/>
      <c r="C22" s="38">
        <v>11</v>
      </c>
      <c r="D22" s="6" t="s">
        <v>32</v>
      </c>
      <c r="E22" s="6" t="s">
        <v>33</v>
      </c>
      <c r="F22" s="7"/>
      <c r="G22" s="7">
        <v>2</v>
      </c>
      <c r="H22" s="7"/>
      <c r="I22" s="7"/>
      <c r="J22" s="7"/>
      <c r="K22" s="40"/>
      <c r="L22" s="40"/>
      <c r="M22" s="7"/>
      <c r="N22" s="7">
        <v>2</v>
      </c>
      <c r="O22" s="7"/>
      <c r="P22" s="7"/>
      <c r="Q22" s="7"/>
      <c r="R22" s="40"/>
      <c r="S22" s="40"/>
      <c r="T22" s="7"/>
      <c r="U22" s="7">
        <v>2</v>
      </c>
      <c r="V22" s="7"/>
      <c r="W22" s="7"/>
      <c r="X22" s="7"/>
      <c r="Y22" s="40"/>
      <c r="Z22" s="40"/>
      <c r="AA22" s="7"/>
      <c r="AB22" s="7">
        <v>2</v>
      </c>
      <c r="AC22" s="7"/>
      <c r="AD22" s="7"/>
      <c r="AE22" s="7"/>
      <c r="AF22" s="40"/>
      <c r="AG22" s="40"/>
      <c r="AH22" s="7"/>
      <c r="AI22" s="7">
        <v>2</v>
      </c>
      <c r="AJ22" s="37">
        <f ca="1">IF(SUM(OFFSET(AJ22,0,-1):OFFSET(E22,0,1))=0,"Очікую",SUM(OFFSET(AJ22,0,-1):OFFSET(E22,0,1)))</f>
        <v>10</v>
      </c>
      <c r="AK22" s="37"/>
      <c r="AL22" s="4"/>
      <c r="AM22" s="16"/>
    </row>
    <row r="23" spans="1:39" ht="12.95" customHeight="1" x14ac:dyDescent="0.25">
      <c r="A23" s="14"/>
      <c r="B23" s="4"/>
      <c r="C23" s="38">
        <v>12</v>
      </c>
      <c r="D23" s="6" t="s">
        <v>34</v>
      </c>
      <c r="E23" s="6" t="s">
        <v>33</v>
      </c>
      <c r="F23" s="7"/>
      <c r="G23" s="7">
        <v>2</v>
      </c>
      <c r="H23" s="7"/>
      <c r="I23" s="7"/>
      <c r="J23" s="7"/>
      <c r="K23" s="40"/>
      <c r="L23" s="40"/>
      <c r="M23" s="7"/>
      <c r="N23" s="7">
        <v>2</v>
      </c>
      <c r="O23" s="7"/>
      <c r="P23" s="7"/>
      <c r="Q23" s="7"/>
      <c r="R23" s="40"/>
      <c r="S23" s="40"/>
      <c r="T23" s="7"/>
      <c r="U23" s="7">
        <v>2</v>
      </c>
      <c r="V23" s="7"/>
      <c r="W23" s="7"/>
      <c r="X23" s="7"/>
      <c r="Y23" s="40"/>
      <c r="Z23" s="40"/>
      <c r="AA23" s="7"/>
      <c r="AB23" s="7">
        <v>2</v>
      </c>
      <c r="AC23" s="7"/>
      <c r="AD23" s="7"/>
      <c r="AE23" s="7"/>
      <c r="AF23" s="40"/>
      <c r="AG23" s="40"/>
      <c r="AH23" s="7"/>
      <c r="AI23" s="7">
        <v>2</v>
      </c>
      <c r="AJ23" s="37">
        <f ca="1">IF(SUM(OFFSET(AJ23,0,-1):OFFSET(E23,0,1))=0,"Очікую",SUM(OFFSET(AJ23,0,-1):OFFSET(E23,0,1)))</f>
        <v>10</v>
      </c>
      <c r="AK23" s="37"/>
      <c r="AL23" s="4"/>
      <c r="AM23" s="16"/>
    </row>
    <row r="24" spans="1:39" ht="12.95" customHeight="1" x14ac:dyDescent="0.25">
      <c r="A24" s="14"/>
      <c r="B24" s="4"/>
      <c r="C24" s="38">
        <v>13</v>
      </c>
      <c r="D24" s="6" t="s">
        <v>35</v>
      </c>
      <c r="E24" s="6" t="s">
        <v>36</v>
      </c>
      <c r="F24" s="7"/>
      <c r="G24" s="7"/>
      <c r="H24" s="7"/>
      <c r="I24" s="7"/>
      <c r="J24" s="7">
        <v>2</v>
      </c>
      <c r="K24" s="40"/>
      <c r="L24" s="40"/>
      <c r="M24" s="7"/>
      <c r="N24" s="7"/>
      <c r="O24" s="7"/>
      <c r="P24" s="7"/>
      <c r="Q24" s="7">
        <v>2</v>
      </c>
      <c r="R24" s="40"/>
      <c r="S24" s="40"/>
      <c r="T24" s="7"/>
      <c r="U24" s="7"/>
      <c r="V24" s="7"/>
      <c r="W24" s="7"/>
      <c r="X24" s="7">
        <v>2</v>
      </c>
      <c r="Y24" s="40"/>
      <c r="Z24" s="40"/>
      <c r="AA24" s="7"/>
      <c r="AB24" s="7"/>
      <c r="AC24" s="7"/>
      <c r="AD24" s="7"/>
      <c r="AE24" s="7">
        <v>2</v>
      </c>
      <c r="AF24" s="40"/>
      <c r="AG24" s="40"/>
      <c r="AH24" s="7"/>
      <c r="AI24" s="7"/>
      <c r="AJ24" s="37">
        <f ca="1">IF(SUM(OFFSET(AJ24,0,-1):OFFSET(E24,0,1))=0,"Очікую",SUM(OFFSET(AJ24,0,-1):OFFSET(E24,0,1)))</f>
        <v>8</v>
      </c>
      <c r="AK24" s="37"/>
      <c r="AL24" s="4"/>
      <c r="AM24" s="16"/>
    </row>
    <row r="25" spans="1:39" ht="12.95" customHeight="1" x14ac:dyDescent="0.25">
      <c r="A25" s="14"/>
      <c r="B25" s="4"/>
      <c r="C25" s="38">
        <v>14</v>
      </c>
      <c r="D25" s="6" t="s">
        <v>37</v>
      </c>
      <c r="E25" s="6" t="s">
        <v>45</v>
      </c>
      <c r="F25" s="7"/>
      <c r="G25" s="7">
        <v>2</v>
      </c>
      <c r="H25" s="7"/>
      <c r="I25" s="7"/>
      <c r="J25" s="7">
        <v>2</v>
      </c>
      <c r="K25" s="40"/>
      <c r="L25" s="40"/>
      <c r="M25" s="7"/>
      <c r="N25" s="7">
        <v>2</v>
      </c>
      <c r="O25" s="7"/>
      <c r="P25" s="7"/>
      <c r="Q25" s="7"/>
      <c r="R25" s="40"/>
      <c r="S25" s="40"/>
      <c r="T25" s="7"/>
      <c r="U25" s="7">
        <v>2</v>
      </c>
      <c r="V25" s="7"/>
      <c r="W25" s="7"/>
      <c r="X25" s="7">
        <v>2</v>
      </c>
      <c r="Y25" s="40"/>
      <c r="Z25" s="40"/>
      <c r="AA25" s="7"/>
      <c r="AB25" s="7">
        <v>2</v>
      </c>
      <c r="AC25" s="7"/>
      <c r="AD25" s="7"/>
      <c r="AE25" s="7"/>
      <c r="AF25" s="40"/>
      <c r="AG25" s="40"/>
      <c r="AH25" s="7"/>
      <c r="AI25" s="7">
        <v>2</v>
      </c>
      <c r="AJ25" s="37">
        <f ca="1">IF(SUM(OFFSET(AJ25,0,-1):OFFSET(E25,0,1))=0,"Очікую",SUM(OFFSET(AJ25,0,-1):OFFSET(E25,0,1)))</f>
        <v>14</v>
      </c>
      <c r="AK25" s="37"/>
      <c r="AL25" s="4"/>
      <c r="AM25" s="16"/>
    </row>
    <row r="26" spans="1:39" ht="12.95" customHeight="1" x14ac:dyDescent="0.25">
      <c r="A26" s="14"/>
      <c r="B26" s="4"/>
      <c r="C26" s="38">
        <v>15</v>
      </c>
      <c r="D26" s="6" t="s">
        <v>39</v>
      </c>
      <c r="E26" s="6" t="s">
        <v>40</v>
      </c>
      <c r="F26" s="7"/>
      <c r="G26" s="7"/>
      <c r="H26" s="7">
        <v>2</v>
      </c>
      <c r="I26" s="7"/>
      <c r="J26" s="7"/>
      <c r="K26" s="40"/>
      <c r="L26" s="40"/>
      <c r="M26" s="7"/>
      <c r="N26" s="7"/>
      <c r="O26" s="7">
        <v>2</v>
      </c>
      <c r="P26" s="7"/>
      <c r="Q26" s="7"/>
      <c r="R26" s="40"/>
      <c r="S26" s="40"/>
      <c r="T26" s="7"/>
      <c r="U26" s="7"/>
      <c r="V26" s="7">
        <v>2</v>
      </c>
      <c r="W26" s="7"/>
      <c r="X26" s="7"/>
      <c r="Y26" s="40"/>
      <c r="Z26" s="40"/>
      <c r="AA26" s="7"/>
      <c r="AB26" s="7"/>
      <c r="AC26" s="7">
        <v>2</v>
      </c>
      <c r="AD26" s="7"/>
      <c r="AE26" s="7"/>
      <c r="AF26" s="40"/>
      <c r="AG26" s="40"/>
      <c r="AH26" s="7"/>
      <c r="AI26" s="7"/>
      <c r="AJ26" s="37">
        <f ca="1">IF(SUM(OFFSET(AJ26,0,-1):OFFSET(E26,0,1))=0,"Очікую",SUM(OFFSET(AJ26,0,-1):OFFSET(E26,0,1)))</f>
        <v>8</v>
      </c>
      <c r="AK26" s="37"/>
      <c r="AL26" s="4"/>
      <c r="AM26" s="16"/>
    </row>
    <row r="27" spans="1:39" ht="12.95" customHeight="1" x14ac:dyDescent="0.25">
      <c r="A27" s="14"/>
      <c r="B27" s="4"/>
      <c r="C27" s="36"/>
      <c r="D27" s="36"/>
      <c r="E27" s="36"/>
      <c r="F27" s="37">
        <f ca="1">IF($AJ27="Очікую","Оч",SUM(OFFSET(F27,-1,0):OFFSET(F11,1,0)))</f>
        <v>8</v>
      </c>
      <c r="G27" s="37">
        <f ca="1">IF($AJ27="Очікую","Оч",SUM(OFFSET(G27,-1,0):OFFSET(G11,1,0)))</f>
        <v>8</v>
      </c>
      <c r="H27" s="37">
        <f ca="1">IF($AJ27="Очікую","Оч",SUM(OFFSET(H27,-1,0):OFFSET(H11,1,0)))</f>
        <v>4</v>
      </c>
      <c r="I27" s="37">
        <f ca="1">IF($AJ27="Очікую","Оч",SUM(OFFSET(I27,-1,0):OFFSET(I11,1,0)))</f>
        <v>8</v>
      </c>
      <c r="J27" s="37">
        <f ca="1">IF($AJ27="Очікую","Оч",SUM(OFFSET(J27,-1,0):OFFSET(J11,1,0)))</f>
        <v>6</v>
      </c>
      <c r="K27" s="37">
        <f ca="1">IF($AJ27="Очікую","Оч",SUM(OFFSET(K27,-1,0):OFFSET(K11,1,0)))</f>
        <v>0</v>
      </c>
      <c r="L27" s="37">
        <f ca="1">IF($AJ27="Очікую","Оч",SUM(OFFSET(L27,-1,0):OFFSET(L11,1,0)))</f>
        <v>0</v>
      </c>
      <c r="M27" s="37">
        <f ca="1">IF($AJ27="Очікую","Оч",SUM(OFFSET(M27,-1,0):OFFSET(M11,1,0)))</f>
        <v>6</v>
      </c>
      <c r="N27" s="37">
        <f ca="1">IF($AJ27="Очікую","Оч",SUM(OFFSET(N27,-1,0):OFFSET(N11,1,0)))</f>
        <v>8</v>
      </c>
      <c r="O27" s="37">
        <f ca="1">IF($AJ27="Очікую","Оч",SUM(OFFSET(O27,-1,0):OFFSET(O11,1,0)))</f>
        <v>4</v>
      </c>
      <c r="P27" s="37">
        <f ca="1">IF($AJ27="Очікую","Оч",SUM(OFFSET(P27,-1,0):OFFSET(P11,1,0)))</f>
        <v>8</v>
      </c>
      <c r="Q27" s="37">
        <f ca="1">IF($AJ27="Очікую","Оч",SUM(OFFSET(Q27,-1,0):OFFSET(Q11,1,0)))</f>
        <v>6</v>
      </c>
      <c r="R27" s="37">
        <f ca="1">IF($AJ27="Очікую","Оч",SUM(OFFSET(R27,-1,0):OFFSET(R11,1,0)))</f>
        <v>2</v>
      </c>
      <c r="S27" s="37">
        <f ca="1">IF($AJ27="Очікую","Оч",SUM(OFFSET(S27,-1,0):OFFSET(S11,1,0)))</f>
        <v>0</v>
      </c>
      <c r="T27" s="37">
        <f ca="1">IF($AJ27="Очікую","Оч",SUM(OFFSET(T27,-1,0):OFFSET(T11,1,0)))</f>
        <v>8</v>
      </c>
      <c r="U27" s="37">
        <f ca="1">IF($AJ27="Очікую","Оч",SUM(OFFSET(U27,-1,0):OFFSET(U11,1,0)))</f>
        <v>8</v>
      </c>
      <c r="V27" s="37">
        <f ca="1">IF($AJ27="Очікую","Оч",SUM(OFFSET(V27,-1,0):OFFSET(V11,1,0)))</f>
        <v>4</v>
      </c>
      <c r="W27" s="37">
        <f ca="1">IF($AJ27="Очікую","Оч",SUM(OFFSET(W27,-1,0):OFFSET(W11,1,0)))</f>
        <v>8</v>
      </c>
      <c r="X27" s="37">
        <f ca="1">IF($AJ27="Очікую","Оч",SUM(OFFSET(X27,-1,0):OFFSET(X11,1,0)))</f>
        <v>6</v>
      </c>
      <c r="Y27" s="37">
        <f ca="1">IF($AJ27="Очікую","Оч",SUM(OFFSET(Y27,-1,0):OFFSET(Y11,1,0)))</f>
        <v>0</v>
      </c>
      <c r="Z27" s="37">
        <f ca="1">IF($AJ27="Очікую","Оч",SUM(OFFSET(Z27,-1,0):OFFSET(Z11,1,0)))</f>
        <v>0</v>
      </c>
      <c r="AA27" s="37">
        <f ca="1">IF($AJ27="Очікую","Оч",SUM(OFFSET(AA27,-1,0):OFFSET(AA11,1,0)))</f>
        <v>6</v>
      </c>
      <c r="AB27" s="37">
        <f ca="1">IF($AJ27="Очікую","Оч",SUM(OFFSET(AB27,-1,0):OFFSET(AB11,1,0)))</f>
        <v>8</v>
      </c>
      <c r="AC27" s="37">
        <f ca="1">IF($AJ27="Очікую","Оч",SUM(OFFSET(AC27,-1,0):OFFSET(AC11,1,0)))</f>
        <v>4</v>
      </c>
      <c r="AD27" s="37">
        <f ca="1">IF($AJ27="Очікую","Оч",SUM(OFFSET(AD27,-1,0):OFFSET(AD11,1,0)))</f>
        <v>8</v>
      </c>
      <c r="AE27" s="37">
        <f ca="1">IF($AJ27="Очікую","Оч",SUM(OFFSET(AE27,-1,0):OFFSET(AE11,1,0)))</f>
        <v>6</v>
      </c>
      <c r="AF27" s="37">
        <f ca="1">IF($AJ27="Очікую","Оч",SUM(OFFSET(AF27,-1,0):OFFSET(AF11,1,0)))</f>
        <v>0</v>
      </c>
      <c r="AG27" s="37">
        <f ca="1">IF($AJ27="Очікую","Оч",SUM(OFFSET(AG27,-1,0):OFFSET(AG11,1,0)))</f>
        <v>0</v>
      </c>
      <c r="AH27" s="37">
        <f ca="1">IF($AJ27="Очікую","Оч",SUM(OFFSET(AH27,-1,0):OFFSET(AH11,1,0)))</f>
        <v>8</v>
      </c>
      <c r="AI27" s="37">
        <f ca="1">IF($AJ27="Очікую","Оч",SUM(OFFSET(AI27,-1,0):OFFSET(AI11,1,0)))</f>
        <v>8</v>
      </c>
      <c r="AJ27" s="37">
        <f ca="1">IF(SUM(OFFSET(AJ27,-1,0):OFFSET(AJ11,1,0))=0,"Очікую",SUM(OFFSET(AJ27,-1,0):OFFSET(AJ11,1,0)))</f>
        <v>150</v>
      </c>
      <c r="AK27" s="36"/>
      <c r="AL27" s="4"/>
      <c r="AM27" s="16"/>
    </row>
    <row r="28" spans="1:39" ht="12.95" customHeight="1" x14ac:dyDescent="0.25">
      <c r="A28" s="14"/>
      <c r="B28" s="4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4"/>
      <c r="AM28" s="16"/>
    </row>
    <row r="29" spans="1:39" ht="12.95" customHeight="1" x14ac:dyDescent="0.25">
      <c r="A29" s="14"/>
      <c r="B29" s="4"/>
      <c r="C29" s="36"/>
      <c r="D29" s="36"/>
      <c r="E29" s="3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36"/>
      <c r="AK29" s="36"/>
      <c r="AL29" s="4"/>
      <c r="AM29" s="16"/>
    </row>
    <row r="30" spans="1:39" ht="12.95" customHeight="1" x14ac:dyDescent="0.25">
      <c r="A30" s="14"/>
      <c r="B30" s="4"/>
      <c r="C30" s="41" t="s">
        <v>58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3"/>
      <c r="AK30" s="42"/>
      <c r="AL30" s="4"/>
      <c r="AM30" s="16"/>
    </row>
    <row r="31" spans="1:39" ht="12.95" customHeight="1" x14ac:dyDescent="0.2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16"/>
    </row>
    <row r="32" spans="1:39" ht="12.95" customHeight="1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2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  <row r="47" ht="12" hidden="1" customHeight="1" x14ac:dyDescent="0.25"/>
  </sheetData>
  <mergeCells count="14"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  <mergeCell ref="C9:AK9"/>
  </mergeCells>
  <printOptions horizontalCentered="1"/>
  <pageMargins left="0.19685039370078741" right="0.19685039370078741" top="0.19685039370078741" bottom="0.19685039370078741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tabSelected="1" zoomScaleNormal="100" workbookViewId="0">
      <selection activeCell="C30" sqref="C30:AK30"/>
    </sheetView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5" width="2.08984375" style="2" customWidth="1"/>
    <col min="36" max="36" width="4" customWidth="1"/>
    <col min="37" max="37" width="5.54296875" style="2" customWidth="1"/>
    <col min="38" max="39" width="1.453125" style="2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9" s="3" customFormat="1" ht="12" customHeight="1" thickBot="1" x14ac:dyDescent="0.3">
      <c r="A1" s="11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0"/>
    </row>
    <row r="2" spans="1:39" s="1" customFormat="1" ht="12" customHeight="1" x14ac:dyDescent="0.25">
      <c r="A2" s="1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6"/>
    </row>
    <row r="3" spans="1:39" ht="15" customHeight="1" x14ac:dyDescent="0.25">
      <c r="A3" s="14"/>
      <c r="B3" s="4"/>
      <c r="C3" s="5"/>
      <c r="D3" s="54" t="s">
        <v>1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4"/>
      <c r="AM3" s="16"/>
    </row>
    <row r="4" spans="1:39" ht="65.099999999999994" customHeight="1" x14ac:dyDescent="0.25">
      <c r="A4" s="14"/>
      <c r="B4" s="4"/>
      <c r="C4" s="36"/>
      <c r="D4" s="53" t="s">
        <v>2</v>
      </c>
      <c r="E4" s="42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6"/>
      <c r="AK4" s="36"/>
      <c r="AL4" s="4"/>
      <c r="AM4" s="16"/>
    </row>
    <row r="5" spans="1:39" ht="15" customHeight="1" x14ac:dyDescent="0.25">
      <c r="A5" s="14"/>
      <c r="B5" s="4"/>
      <c r="C5" s="47" t="s">
        <v>3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3"/>
      <c r="AK5" s="42"/>
      <c r="AL5" s="4"/>
      <c r="AM5" s="16"/>
    </row>
    <row r="6" spans="1:39" ht="15" customHeight="1" x14ac:dyDescent="0.25">
      <c r="A6" s="14"/>
      <c r="B6" s="4"/>
      <c r="C6" s="41" t="s">
        <v>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3"/>
      <c r="AK6" s="42"/>
      <c r="AL6" s="4"/>
      <c r="AM6" s="16"/>
    </row>
    <row r="7" spans="1:39" ht="15" customHeight="1" x14ac:dyDescent="0.25">
      <c r="A7" s="14"/>
      <c r="B7" s="4"/>
      <c r="C7" s="47" t="s">
        <v>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3"/>
      <c r="AK7" s="42"/>
      <c r="AL7" s="4"/>
      <c r="AM7" s="16"/>
    </row>
    <row r="8" spans="1:39" ht="15" customHeight="1" x14ac:dyDescent="0.25">
      <c r="A8" s="14"/>
      <c r="B8" s="4"/>
      <c r="C8" s="48" t="s">
        <v>46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3"/>
      <c r="AK8" s="42"/>
      <c r="AL8" s="4"/>
      <c r="AM8" s="16"/>
    </row>
    <row r="9" spans="1:39" ht="15" customHeight="1" x14ac:dyDescent="0.25">
      <c r="A9" s="14"/>
      <c r="B9" s="4"/>
      <c r="C9" s="51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4"/>
      <c r="AM9" s="16"/>
    </row>
    <row r="10" spans="1:39" ht="12.95" customHeight="1" x14ac:dyDescent="0.25">
      <c r="A10" s="14"/>
      <c r="B10" s="4"/>
      <c r="C10" s="44" t="s">
        <v>7</v>
      </c>
      <c r="D10" s="46" t="s">
        <v>8</v>
      </c>
      <c r="E10" s="44" t="s">
        <v>9</v>
      </c>
      <c r="F10" s="46" t="s">
        <v>10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50"/>
      <c r="AJ10" s="44" t="s">
        <v>11</v>
      </c>
      <c r="AK10" s="46" t="s">
        <v>12</v>
      </c>
      <c r="AL10" s="4"/>
      <c r="AM10" s="16"/>
    </row>
    <row r="11" spans="1:39" ht="12.95" customHeight="1" x14ac:dyDescent="0.25">
      <c r="A11" s="14"/>
      <c r="B11" s="4"/>
      <c r="C11" s="45"/>
      <c r="D11" s="45"/>
      <c r="E11" s="45"/>
      <c r="F11" s="37">
        <v>2</v>
      </c>
      <c r="G11" s="37">
        <v>3</v>
      </c>
      <c r="H11" s="37">
        <v>4</v>
      </c>
      <c r="I11" s="37">
        <v>5</v>
      </c>
      <c r="J11" s="37">
        <v>6</v>
      </c>
      <c r="K11" s="37">
        <v>7</v>
      </c>
      <c r="L11" s="37">
        <v>8</v>
      </c>
      <c r="M11" s="37">
        <v>9</v>
      </c>
      <c r="N11" s="37">
        <v>10</v>
      </c>
      <c r="O11" s="37">
        <v>11</v>
      </c>
      <c r="P11" s="37">
        <v>12</v>
      </c>
      <c r="Q11" s="37">
        <v>13</v>
      </c>
      <c r="R11" s="37">
        <v>14</v>
      </c>
      <c r="S11" s="37">
        <v>15</v>
      </c>
      <c r="T11" s="37">
        <v>16</v>
      </c>
      <c r="U11" s="37">
        <v>17</v>
      </c>
      <c r="V11" s="37">
        <v>18</v>
      </c>
      <c r="W11" s="37">
        <v>19</v>
      </c>
      <c r="X11" s="37">
        <v>20</v>
      </c>
      <c r="Y11" s="37">
        <v>21</v>
      </c>
      <c r="Z11" s="37">
        <v>22</v>
      </c>
      <c r="AA11" s="37">
        <v>23</v>
      </c>
      <c r="AB11" s="37">
        <v>24</v>
      </c>
      <c r="AC11" s="37">
        <v>25</v>
      </c>
      <c r="AD11" s="37">
        <v>26</v>
      </c>
      <c r="AE11" s="37">
        <v>27</v>
      </c>
      <c r="AF11" s="37">
        <v>28</v>
      </c>
      <c r="AG11" s="37">
        <v>29</v>
      </c>
      <c r="AH11" s="37">
        <v>30</v>
      </c>
      <c r="AI11" s="37">
        <v>31</v>
      </c>
      <c r="AJ11" s="45"/>
      <c r="AK11" s="45"/>
      <c r="AL11" s="4"/>
      <c r="AM11" s="16"/>
    </row>
    <row r="12" spans="1:39" ht="12.95" customHeight="1" x14ac:dyDescent="0.25">
      <c r="A12" s="14"/>
      <c r="B12" s="4"/>
      <c r="C12" s="38">
        <v>1</v>
      </c>
      <c r="D12" s="6" t="s">
        <v>13</v>
      </c>
      <c r="E12" s="6" t="s">
        <v>14</v>
      </c>
      <c r="F12" s="7"/>
      <c r="G12" s="7"/>
      <c r="H12" s="7"/>
      <c r="I12" s="7">
        <v>2</v>
      </c>
      <c r="J12" s="7"/>
      <c r="K12" s="40"/>
      <c r="L12" s="40"/>
      <c r="M12" s="7"/>
      <c r="N12" s="7"/>
      <c r="O12" s="7"/>
      <c r="P12" s="7">
        <v>2</v>
      </c>
      <c r="Q12" s="7"/>
      <c r="R12" s="40"/>
      <c r="S12" s="40"/>
      <c r="T12" s="7"/>
      <c r="U12" s="7"/>
      <c r="V12" s="7"/>
      <c r="W12" s="7">
        <v>2</v>
      </c>
      <c r="X12" s="7"/>
      <c r="Y12" s="40"/>
      <c r="Z12" s="40"/>
      <c r="AA12" s="7"/>
      <c r="AB12" s="7"/>
      <c r="AC12" s="7"/>
      <c r="AD12" s="7">
        <v>2</v>
      </c>
      <c r="AE12" s="7"/>
      <c r="AF12" s="40"/>
      <c r="AG12" s="40"/>
      <c r="AH12" s="7"/>
      <c r="AI12" s="7"/>
      <c r="AJ12" s="37">
        <f ca="1">IF(SUM(OFFSET(AJ12,0,-1):OFFSET(E12,0,1))=0,"Очікую",SUM(OFFSET(AJ12,0,-1):OFFSET(E12,0,1)))</f>
        <v>8</v>
      </c>
      <c r="AK12" s="37"/>
      <c r="AL12" s="4"/>
      <c r="AM12" s="16"/>
    </row>
    <row r="13" spans="1:39" ht="12.95" customHeight="1" x14ac:dyDescent="0.25">
      <c r="A13" s="14"/>
      <c r="B13" s="4"/>
      <c r="C13" s="38">
        <v>2</v>
      </c>
      <c r="D13" s="6" t="s">
        <v>15</v>
      </c>
      <c r="E13" s="6" t="s">
        <v>16</v>
      </c>
      <c r="F13" s="7"/>
      <c r="G13" s="7"/>
      <c r="H13" s="7"/>
      <c r="I13" s="7">
        <v>2</v>
      </c>
      <c r="J13" s="7">
        <v>2</v>
      </c>
      <c r="K13" s="40"/>
      <c r="L13" s="40"/>
      <c r="M13" s="7"/>
      <c r="N13" s="7"/>
      <c r="O13" s="7"/>
      <c r="P13" s="7"/>
      <c r="Q13" s="7">
        <v>2</v>
      </c>
      <c r="R13" s="40"/>
      <c r="S13" s="40"/>
      <c r="T13" s="7"/>
      <c r="U13" s="7"/>
      <c r="V13" s="7"/>
      <c r="W13" s="7">
        <v>2</v>
      </c>
      <c r="X13" s="7">
        <v>2</v>
      </c>
      <c r="Y13" s="40"/>
      <c r="Z13" s="40"/>
      <c r="AA13" s="7"/>
      <c r="AB13" s="7"/>
      <c r="AC13" s="7"/>
      <c r="AD13" s="7"/>
      <c r="AE13" s="7">
        <v>2</v>
      </c>
      <c r="AF13" s="40"/>
      <c r="AG13" s="40"/>
      <c r="AH13" s="7"/>
      <c r="AI13" s="7"/>
      <c r="AJ13" s="37">
        <f ca="1">IF(SUM(OFFSET(AJ13,0,-1):OFFSET(E13,0,1))=0,"Очікую",SUM(OFFSET(AJ13,0,-1):OFFSET(E13,0,1)))</f>
        <v>12</v>
      </c>
      <c r="AK13" s="37"/>
      <c r="AL13" s="4"/>
      <c r="AM13" s="16"/>
    </row>
    <row r="14" spans="1:39" ht="12.95" customHeight="1" x14ac:dyDescent="0.25">
      <c r="A14" s="14"/>
      <c r="B14" s="4"/>
      <c r="C14" s="38">
        <v>3</v>
      </c>
      <c r="D14" s="6" t="s">
        <v>17</v>
      </c>
      <c r="E14" s="6" t="s">
        <v>18</v>
      </c>
      <c r="F14" s="7">
        <v>2</v>
      </c>
      <c r="G14" s="7"/>
      <c r="H14" s="7"/>
      <c r="I14" s="7"/>
      <c r="J14" s="7"/>
      <c r="K14" s="40"/>
      <c r="L14" s="40"/>
      <c r="M14" s="7">
        <v>2</v>
      </c>
      <c r="N14" s="7"/>
      <c r="O14" s="7"/>
      <c r="P14" s="7"/>
      <c r="Q14" s="7"/>
      <c r="R14" s="40"/>
      <c r="S14" s="40"/>
      <c r="T14" s="7">
        <v>2</v>
      </c>
      <c r="U14" s="7"/>
      <c r="V14" s="7"/>
      <c r="W14" s="7"/>
      <c r="X14" s="7"/>
      <c r="Y14" s="40"/>
      <c r="Z14" s="40"/>
      <c r="AA14" s="7">
        <v>2</v>
      </c>
      <c r="AB14" s="7"/>
      <c r="AC14" s="7"/>
      <c r="AD14" s="7"/>
      <c r="AE14" s="7"/>
      <c r="AF14" s="40"/>
      <c r="AG14" s="40"/>
      <c r="AH14" s="7">
        <v>2</v>
      </c>
      <c r="AI14" s="7"/>
      <c r="AJ14" s="37">
        <f ca="1">IF(SUM(OFFSET(AJ14,0,-1):OFFSET(E14,0,1))=0,"Очікую",SUM(OFFSET(AJ14,0,-1):OFFSET(E14,0,1)))</f>
        <v>10</v>
      </c>
      <c r="AK14" s="37"/>
      <c r="AL14" s="4"/>
      <c r="AM14" s="16"/>
    </row>
    <row r="15" spans="1:39" ht="12.95" customHeight="1" x14ac:dyDescent="0.25">
      <c r="A15" s="14"/>
      <c r="B15" s="4"/>
      <c r="C15" s="38">
        <v>4</v>
      </c>
      <c r="D15" s="8" t="s">
        <v>19</v>
      </c>
      <c r="E15" s="8" t="s">
        <v>14</v>
      </c>
      <c r="F15" s="7">
        <v>2</v>
      </c>
      <c r="G15" s="7"/>
      <c r="H15" s="7"/>
      <c r="I15" s="7"/>
      <c r="J15" s="7"/>
      <c r="K15" s="40"/>
      <c r="L15" s="40"/>
      <c r="M15" s="7">
        <v>2</v>
      </c>
      <c r="N15" s="7"/>
      <c r="O15" s="7"/>
      <c r="P15" s="7"/>
      <c r="Q15" s="7"/>
      <c r="R15" s="40"/>
      <c r="S15" s="40"/>
      <c r="T15" s="7">
        <v>2</v>
      </c>
      <c r="U15" s="7"/>
      <c r="V15" s="7"/>
      <c r="W15" s="7"/>
      <c r="X15" s="7"/>
      <c r="Y15" s="40"/>
      <c r="Z15" s="40"/>
      <c r="AA15" s="7">
        <v>2</v>
      </c>
      <c r="AB15" s="7"/>
      <c r="AC15" s="7"/>
      <c r="AD15" s="7"/>
      <c r="AE15" s="7"/>
      <c r="AF15" s="40"/>
      <c r="AG15" s="40"/>
      <c r="AH15" s="7">
        <v>2</v>
      </c>
      <c r="AI15" s="7"/>
      <c r="AJ15" s="37">
        <f ca="1">IF(SUM(OFFSET(AJ15,0,-1):OFFSET(E15,0,1))=0,"Очікую",SUM(OFFSET(AJ15,0,-1):OFFSET(E15,0,1)))</f>
        <v>10</v>
      </c>
      <c r="AK15" s="37"/>
      <c r="AL15" s="4"/>
      <c r="AM15" s="16"/>
    </row>
    <row r="16" spans="1:39" ht="12.95" customHeight="1" x14ac:dyDescent="0.25">
      <c r="A16" s="14"/>
      <c r="B16" s="4"/>
      <c r="C16" s="38">
        <v>5</v>
      </c>
      <c r="D16" s="6" t="s">
        <v>20</v>
      </c>
      <c r="E16" s="6" t="s">
        <v>21</v>
      </c>
      <c r="F16" s="7"/>
      <c r="G16" s="7"/>
      <c r="H16" s="7"/>
      <c r="I16" s="7">
        <v>2</v>
      </c>
      <c r="J16" s="7"/>
      <c r="K16" s="40"/>
      <c r="L16" s="40"/>
      <c r="M16" s="7"/>
      <c r="N16" s="7"/>
      <c r="O16" s="7"/>
      <c r="P16" s="7">
        <v>2</v>
      </c>
      <c r="Q16" s="7"/>
      <c r="R16" s="40"/>
      <c r="S16" s="40"/>
      <c r="T16" s="7"/>
      <c r="U16" s="7"/>
      <c r="V16" s="7"/>
      <c r="W16" s="7">
        <v>2</v>
      </c>
      <c r="X16" s="7"/>
      <c r="Y16" s="40"/>
      <c r="Z16" s="40"/>
      <c r="AA16" s="7"/>
      <c r="AB16" s="7"/>
      <c r="AC16" s="7"/>
      <c r="AD16" s="7">
        <v>2</v>
      </c>
      <c r="AE16" s="7"/>
      <c r="AF16" s="40"/>
      <c r="AG16" s="40"/>
      <c r="AH16" s="7"/>
      <c r="AI16" s="7"/>
      <c r="AJ16" s="37">
        <f ca="1">IF(SUM(OFFSET(AJ16,0,-1):OFFSET(E16,0,1))=0,"Очікую",SUM(OFFSET(AJ16,0,-1):OFFSET(E16,0,1)))</f>
        <v>8</v>
      </c>
      <c r="AK16" s="37"/>
      <c r="AL16" s="4"/>
      <c r="AM16" s="16"/>
    </row>
    <row r="17" spans="1:39" ht="12.95" customHeight="1" x14ac:dyDescent="0.25">
      <c r="A17" s="14"/>
      <c r="B17" s="4"/>
      <c r="C17" s="38">
        <v>6</v>
      </c>
      <c r="D17" s="8" t="s">
        <v>22</v>
      </c>
      <c r="E17" s="8" t="s">
        <v>23</v>
      </c>
      <c r="F17" s="7"/>
      <c r="G17" s="7"/>
      <c r="H17" s="7">
        <v>2</v>
      </c>
      <c r="I17" s="7"/>
      <c r="J17" s="7"/>
      <c r="K17" s="40"/>
      <c r="L17" s="40"/>
      <c r="M17" s="7"/>
      <c r="N17" s="7">
        <v>2</v>
      </c>
      <c r="O17" s="7">
        <v>2</v>
      </c>
      <c r="P17" s="7"/>
      <c r="Q17" s="7"/>
      <c r="R17" s="40"/>
      <c r="S17" s="40"/>
      <c r="T17" s="7"/>
      <c r="U17" s="7"/>
      <c r="V17" s="7">
        <v>2</v>
      </c>
      <c r="W17" s="7"/>
      <c r="X17" s="7"/>
      <c r="Y17" s="40"/>
      <c r="Z17" s="40"/>
      <c r="AA17" s="7"/>
      <c r="AB17" s="7">
        <v>2</v>
      </c>
      <c r="AC17" s="7">
        <v>2</v>
      </c>
      <c r="AD17" s="7"/>
      <c r="AE17" s="7"/>
      <c r="AF17" s="40"/>
      <c r="AG17" s="40"/>
      <c r="AH17" s="7"/>
      <c r="AI17" s="7"/>
      <c r="AJ17" s="37">
        <f ca="1">IF(SUM(OFFSET(AJ17,0,-1):OFFSET(E17,0,1))=0,"Очікую",SUM(OFFSET(AJ17,0,-1):OFFSET(E17,0,1)))</f>
        <v>12</v>
      </c>
      <c r="AK17" s="37"/>
      <c r="AL17" s="4"/>
      <c r="AM17" s="16"/>
    </row>
    <row r="18" spans="1:39" ht="12.95" customHeight="1" x14ac:dyDescent="0.25">
      <c r="A18" s="14"/>
      <c r="B18" s="4"/>
      <c r="C18" s="38">
        <v>7</v>
      </c>
      <c r="D18" s="6" t="s">
        <v>24</v>
      </c>
      <c r="E18" s="6" t="s">
        <v>25</v>
      </c>
      <c r="F18" s="7"/>
      <c r="G18" s="7"/>
      <c r="H18" s="7"/>
      <c r="I18" s="7">
        <v>2</v>
      </c>
      <c r="J18" s="7"/>
      <c r="K18" s="40"/>
      <c r="L18" s="40"/>
      <c r="M18" s="7"/>
      <c r="N18" s="7"/>
      <c r="O18" s="7"/>
      <c r="P18" s="7">
        <v>2</v>
      </c>
      <c r="Q18" s="7"/>
      <c r="R18" s="40"/>
      <c r="S18" s="40"/>
      <c r="T18" s="7"/>
      <c r="U18" s="7"/>
      <c r="V18" s="7"/>
      <c r="W18" s="7">
        <v>2</v>
      </c>
      <c r="X18" s="7"/>
      <c r="Y18" s="40"/>
      <c r="Z18" s="40"/>
      <c r="AA18" s="7"/>
      <c r="AB18" s="7"/>
      <c r="AC18" s="7"/>
      <c r="AD18" s="7">
        <v>2</v>
      </c>
      <c r="AE18" s="7"/>
      <c r="AF18" s="40"/>
      <c r="AG18" s="40"/>
      <c r="AH18" s="7"/>
      <c r="AI18" s="7"/>
      <c r="AJ18" s="37">
        <f ca="1">IF(SUM(OFFSET(AJ18,0,-1):OFFSET(E18,0,1))=0,"Очікую",SUM(OFFSET(AJ18,0,-1):OFFSET(E18,0,1)))</f>
        <v>8</v>
      </c>
      <c r="AK18" s="37"/>
      <c r="AL18" s="4"/>
      <c r="AM18" s="16"/>
    </row>
    <row r="19" spans="1:39" ht="12.95" customHeight="1" x14ac:dyDescent="0.25">
      <c r="A19" s="14"/>
      <c r="B19" s="4"/>
      <c r="C19" s="38">
        <v>8</v>
      </c>
      <c r="D19" s="6" t="s">
        <v>26</v>
      </c>
      <c r="E19" s="6" t="s">
        <v>27</v>
      </c>
      <c r="F19" s="7"/>
      <c r="G19" s="7"/>
      <c r="H19" s="7"/>
      <c r="I19" s="7"/>
      <c r="J19" s="7"/>
      <c r="K19" s="40"/>
      <c r="L19" s="40"/>
      <c r="M19" s="7"/>
      <c r="N19" s="7"/>
      <c r="O19" s="7"/>
      <c r="P19" s="7">
        <v>2</v>
      </c>
      <c r="Q19" s="7"/>
      <c r="R19" s="40"/>
      <c r="S19" s="40"/>
      <c r="T19" s="7"/>
      <c r="U19" s="7"/>
      <c r="V19" s="7"/>
      <c r="W19" s="7"/>
      <c r="X19" s="7"/>
      <c r="Y19" s="40"/>
      <c r="Z19" s="40"/>
      <c r="AA19" s="7"/>
      <c r="AB19" s="7"/>
      <c r="AC19" s="7"/>
      <c r="AD19" s="7">
        <v>2</v>
      </c>
      <c r="AE19" s="7"/>
      <c r="AF19" s="40"/>
      <c r="AG19" s="40"/>
      <c r="AH19" s="7"/>
      <c r="AI19" s="7"/>
      <c r="AJ19" s="37">
        <f ca="1">IF(SUM(OFFSET(AJ19,0,-1):OFFSET(E19,0,1))=0,"Очікую",SUM(OFFSET(AJ19,0,-1):OFFSET(E19,0,1)))</f>
        <v>4</v>
      </c>
      <c r="AK19" s="37"/>
      <c r="AL19" s="4"/>
      <c r="AM19" s="16"/>
    </row>
    <row r="20" spans="1:39" ht="12.95" customHeight="1" x14ac:dyDescent="0.25">
      <c r="A20" s="14"/>
      <c r="B20" s="4"/>
      <c r="C20" s="38">
        <v>9</v>
      </c>
      <c r="D20" s="6" t="s">
        <v>28</v>
      </c>
      <c r="E20" s="6" t="s">
        <v>29</v>
      </c>
      <c r="F20" s="7"/>
      <c r="G20" s="7"/>
      <c r="H20" s="7">
        <v>2</v>
      </c>
      <c r="I20" s="7"/>
      <c r="J20" s="7"/>
      <c r="K20" s="40"/>
      <c r="L20" s="40"/>
      <c r="M20" s="7"/>
      <c r="N20" s="7"/>
      <c r="O20" s="7">
        <v>2</v>
      </c>
      <c r="P20" s="7"/>
      <c r="Q20" s="7"/>
      <c r="R20" s="40"/>
      <c r="S20" s="40"/>
      <c r="T20" s="7"/>
      <c r="U20" s="7"/>
      <c r="V20" s="7">
        <v>2</v>
      </c>
      <c r="W20" s="7"/>
      <c r="X20" s="7"/>
      <c r="Y20" s="40"/>
      <c r="Z20" s="40"/>
      <c r="AA20" s="7"/>
      <c r="AB20" s="7"/>
      <c r="AC20" s="7">
        <v>2</v>
      </c>
      <c r="AD20" s="7"/>
      <c r="AE20" s="7"/>
      <c r="AF20" s="40"/>
      <c r="AG20" s="40"/>
      <c r="AH20" s="7"/>
      <c r="AI20" s="7"/>
      <c r="AJ20" s="37">
        <f ca="1">IF(SUM(OFFSET(AJ20,0,-1):OFFSET(E20,0,1))=0,"Очікую",SUM(OFFSET(AJ20,0,-1):OFFSET(E20,0,1)))</f>
        <v>8</v>
      </c>
      <c r="AK20" s="37"/>
      <c r="AL20" s="4"/>
      <c r="AM20" s="16"/>
    </row>
    <row r="21" spans="1:39" ht="12.95" customHeight="1" x14ac:dyDescent="0.25">
      <c r="A21" s="14"/>
      <c r="B21" s="4"/>
      <c r="C21" s="38">
        <v>10</v>
      </c>
      <c r="D21" s="6" t="s">
        <v>30</v>
      </c>
      <c r="E21" s="6" t="s">
        <v>44</v>
      </c>
      <c r="F21" s="7">
        <v>2</v>
      </c>
      <c r="G21" s="7"/>
      <c r="H21" s="7"/>
      <c r="I21" s="7"/>
      <c r="J21" s="7"/>
      <c r="K21" s="40"/>
      <c r="L21" s="40"/>
      <c r="M21" s="7">
        <v>4</v>
      </c>
      <c r="N21" s="7"/>
      <c r="O21" s="7"/>
      <c r="P21" s="7"/>
      <c r="Q21" s="7"/>
      <c r="R21" s="40"/>
      <c r="S21" s="40"/>
      <c r="T21" s="7">
        <v>2</v>
      </c>
      <c r="U21" s="7"/>
      <c r="V21" s="7"/>
      <c r="W21" s="7"/>
      <c r="X21" s="7"/>
      <c r="Y21" s="40"/>
      <c r="Z21" s="40"/>
      <c r="AA21" s="7">
        <v>4</v>
      </c>
      <c r="AB21" s="7"/>
      <c r="AC21" s="7"/>
      <c r="AD21" s="7"/>
      <c r="AE21" s="7"/>
      <c r="AF21" s="40"/>
      <c r="AG21" s="40"/>
      <c r="AH21" s="7">
        <v>2</v>
      </c>
      <c r="AI21" s="7"/>
      <c r="AJ21" s="37">
        <f ca="1">IF(SUM(OFFSET(AJ21,0,-1):OFFSET(E21,0,1))=0,"Очікую",SUM(OFFSET(AJ21,0,-1):OFFSET(E21,0,1)))</f>
        <v>14</v>
      </c>
      <c r="AK21" s="37"/>
      <c r="AL21" s="4"/>
      <c r="AM21" s="16"/>
    </row>
    <row r="22" spans="1:39" ht="12.95" customHeight="1" x14ac:dyDescent="0.25">
      <c r="A22" s="14"/>
      <c r="B22" s="4"/>
      <c r="C22" s="38">
        <v>11</v>
      </c>
      <c r="D22" s="6" t="s">
        <v>32</v>
      </c>
      <c r="E22" s="6" t="s">
        <v>42</v>
      </c>
      <c r="F22" s="7"/>
      <c r="G22" s="7"/>
      <c r="H22" s="7">
        <v>2</v>
      </c>
      <c r="I22" s="7"/>
      <c r="J22" s="7"/>
      <c r="K22" s="40"/>
      <c r="L22" s="40"/>
      <c r="M22" s="7"/>
      <c r="N22" s="7"/>
      <c r="O22" s="7">
        <v>2</v>
      </c>
      <c r="P22" s="7"/>
      <c r="Q22" s="7"/>
      <c r="R22" s="40"/>
      <c r="S22" s="40"/>
      <c r="T22" s="7"/>
      <c r="U22" s="7"/>
      <c r="V22" s="7">
        <v>2</v>
      </c>
      <c r="W22" s="7"/>
      <c r="X22" s="7"/>
      <c r="Y22" s="40"/>
      <c r="Z22" s="40"/>
      <c r="AA22" s="7"/>
      <c r="AB22" s="7"/>
      <c r="AC22" s="7">
        <v>2</v>
      </c>
      <c r="AD22" s="7"/>
      <c r="AE22" s="7"/>
      <c r="AF22" s="40"/>
      <c r="AG22" s="40"/>
      <c r="AH22" s="7"/>
      <c r="AI22" s="7"/>
      <c r="AJ22" s="37">
        <f ca="1">IF(SUM(OFFSET(AJ22,0,-1):OFFSET(E22,0,1))=0,"Очікую",SUM(OFFSET(AJ22,0,-1):OFFSET(E22,0,1)))</f>
        <v>8</v>
      </c>
      <c r="AK22" s="37"/>
      <c r="AL22" s="4"/>
      <c r="AM22" s="16"/>
    </row>
    <row r="23" spans="1:39" ht="12.95" customHeight="1" x14ac:dyDescent="0.25">
      <c r="A23" s="14"/>
      <c r="B23" s="4"/>
      <c r="C23" s="38">
        <v>12</v>
      </c>
      <c r="D23" s="6" t="s">
        <v>34</v>
      </c>
      <c r="E23" s="6" t="s">
        <v>42</v>
      </c>
      <c r="F23" s="7"/>
      <c r="G23" s="7"/>
      <c r="H23" s="7">
        <v>2</v>
      </c>
      <c r="I23" s="7"/>
      <c r="J23" s="7"/>
      <c r="K23" s="40"/>
      <c r="L23" s="40"/>
      <c r="M23" s="7"/>
      <c r="N23" s="7"/>
      <c r="O23" s="7">
        <v>2</v>
      </c>
      <c r="P23" s="7"/>
      <c r="Q23" s="7"/>
      <c r="R23" s="40"/>
      <c r="S23" s="40"/>
      <c r="T23" s="7"/>
      <c r="U23" s="7"/>
      <c r="V23" s="7">
        <v>2</v>
      </c>
      <c r="W23" s="7"/>
      <c r="X23" s="7"/>
      <c r="Y23" s="40"/>
      <c r="Z23" s="40"/>
      <c r="AA23" s="7"/>
      <c r="AB23" s="7"/>
      <c r="AC23" s="7">
        <v>2</v>
      </c>
      <c r="AD23" s="7"/>
      <c r="AE23" s="7"/>
      <c r="AF23" s="40"/>
      <c r="AG23" s="40"/>
      <c r="AH23" s="7"/>
      <c r="AI23" s="7"/>
      <c r="AJ23" s="37">
        <f ca="1">IF(SUM(OFFSET(AJ23,0,-1):OFFSET(E23,0,1))=0,"Очікую",SUM(OFFSET(AJ23,0,-1):OFFSET(E23,0,1)))</f>
        <v>8</v>
      </c>
      <c r="AK23" s="37"/>
      <c r="AL23" s="4"/>
      <c r="AM23" s="16"/>
    </row>
    <row r="24" spans="1:39" ht="12.95" customHeight="1" x14ac:dyDescent="0.25">
      <c r="A24" s="14"/>
      <c r="B24" s="4"/>
      <c r="C24" s="38">
        <v>13</v>
      </c>
      <c r="D24" s="6" t="s">
        <v>35</v>
      </c>
      <c r="E24" s="6" t="s">
        <v>36</v>
      </c>
      <c r="F24" s="7"/>
      <c r="G24" s="7"/>
      <c r="H24" s="7"/>
      <c r="I24" s="7"/>
      <c r="J24" s="7">
        <v>2</v>
      </c>
      <c r="K24" s="40"/>
      <c r="L24" s="40"/>
      <c r="M24" s="7"/>
      <c r="N24" s="7"/>
      <c r="O24" s="7"/>
      <c r="P24" s="7"/>
      <c r="Q24" s="7">
        <v>2</v>
      </c>
      <c r="R24" s="40"/>
      <c r="S24" s="40"/>
      <c r="T24" s="7"/>
      <c r="U24" s="7"/>
      <c r="V24" s="7"/>
      <c r="W24" s="7"/>
      <c r="X24" s="7">
        <v>2</v>
      </c>
      <c r="Y24" s="40"/>
      <c r="Z24" s="40"/>
      <c r="AA24" s="7"/>
      <c r="AB24" s="7"/>
      <c r="AC24" s="7"/>
      <c r="AD24" s="7"/>
      <c r="AE24" s="7">
        <v>2</v>
      </c>
      <c r="AF24" s="40"/>
      <c r="AG24" s="40"/>
      <c r="AH24" s="7"/>
      <c r="AI24" s="7"/>
      <c r="AJ24" s="37">
        <f ca="1">IF(SUM(OFFSET(AJ24,0,-1):OFFSET(E24,0,1))=0,"Очікую",SUM(OFFSET(AJ24,0,-1):OFFSET(E24,0,1)))</f>
        <v>8</v>
      </c>
      <c r="AK24" s="37"/>
      <c r="AL24" s="4"/>
      <c r="AM24" s="16"/>
    </row>
    <row r="25" spans="1:39" ht="12.95" customHeight="1" x14ac:dyDescent="0.25">
      <c r="A25" s="14"/>
      <c r="B25" s="4"/>
      <c r="C25" s="38">
        <v>14</v>
      </c>
      <c r="D25" s="6" t="s">
        <v>37</v>
      </c>
      <c r="E25" s="6" t="s">
        <v>45</v>
      </c>
      <c r="F25" s="7"/>
      <c r="G25" s="7">
        <v>2</v>
      </c>
      <c r="H25" s="7"/>
      <c r="I25" s="7"/>
      <c r="J25" s="7"/>
      <c r="K25" s="40"/>
      <c r="L25" s="40"/>
      <c r="M25" s="7"/>
      <c r="N25" s="7">
        <v>2</v>
      </c>
      <c r="O25" s="7"/>
      <c r="P25" s="7"/>
      <c r="Q25" s="7">
        <v>2</v>
      </c>
      <c r="R25" s="40"/>
      <c r="S25" s="40"/>
      <c r="T25" s="7"/>
      <c r="U25" s="7">
        <v>2</v>
      </c>
      <c r="V25" s="7"/>
      <c r="W25" s="7"/>
      <c r="X25" s="7"/>
      <c r="Y25" s="40"/>
      <c r="Z25" s="40"/>
      <c r="AA25" s="7"/>
      <c r="AB25" s="7">
        <v>2</v>
      </c>
      <c r="AC25" s="7"/>
      <c r="AD25" s="7"/>
      <c r="AE25" s="7">
        <v>2</v>
      </c>
      <c r="AF25" s="40"/>
      <c r="AG25" s="40"/>
      <c r="AH25" s="7"/>
      <c r="AI25" s="7">
        <v>2</v>
      </c>
      <c r="AJ25" s="37">
        <f ca="1">IF(SUM(OFFSET(AJ25,0,-1):OFFSET(E25,0,1))=0,"Очікую",SUM(OFFSET(AJ25,0,-1):OFFSET(E25,0,1)))</f>
        <v>14</v>
      </c>
      <c r="AK25" s="37"/>
      <c r="AL25" s="4"/>
      <c r="AM25" s="16"/>
    </row>
    <row r="26" spans="1:39" ht="12.95" customHeight="1" x14ac:dyDescent="0.25">
      <c r="A26" s="14"/>
      <c r="B26" s="4"/>
      <c r="C26" s="38">
        <v>15</v>
      </c>
      <c r="D26" s="6" t="s">
        <v>39</v>
      </c>
      <c r="E26" s="6" t="s">
        <v>47</v>
      </c>
      <c r="F26" s="7"/>
      <c r="G26" s="7">
        <v>2</v>
      </c>
      <c r="H26" s="7"/>
      <c r="I26" s="7"/>
      <c r="J26" s="7"/>
      <c r="K26" s="40"/>
      <c r="L26" s="40"/>
      <c r="M26" s="7"/>
      <c r="N26" s="7">
        <v>2</v>
      </c>
      <c r="O26" s="7"/>
      <c r="P26" s="7"/>
      <c r="Q26" s="7"/>
      <c r="R26" s="40"/>
      <c r="S26" s="40"/>
      <c r="T26" s="7"/>
      <c r="U26" s="7">
        <v>2</v>
      </c>
      <c r="V26" s="7"/>
      <c r="W26" s="7"/>
      <c r="X26" s="7"/>
      <c r="Y26" s="40"/>
      <c r="Z26" s="40"/>
      <c r="AA26" s="7"/>
      <c r="AB26" s="7">
        <v>2</v>
      </c>
      <c r="AC26" s="7"/>
      <c r="AD26" s="7"/>
      <c r="AE26" s="7"/>
      <c r="AF26" s="40"/>
      <c r="AG26" s="40"/>
      <c r="AH26" s="7"/>
      <c r="AI26" s="7">
        <v>2</v>
      </c>
      <c r="AJ26" s="37">
        <f ca="1">IF(SUM(OFFSET(AJ26,0,-1):OFFSET(E26,0,1))=0,"Очікую",SUM(OFFSET(AJ26,0,-1):OFFSET(E26,0,1)))</f>
        <v>10</v>
      </c>
      <c r="AK26" s="37"/>
      <c r="AL26" s="4"/>
      <c r="AM26" s="16"/>
    </row>
    <row r="27" spans="1:39" ht="12.95" customHeight="1" x14ac:dyDescent="0.25">
      <c r="A27" s="14"/>
      <c r="B27" s="4"/>
      <c r="C27" s="36"/>
      <c r="D27" s="36"/>
      <c r="E27" s="36"/>
      <c r="F27" s="37">
        <f ca="1">IF($AJ27="Очікую","Оч",SUM(OFFSET(F27,-1,0):OFFSET(F11,1,0)))</f>
        <v>6</v>
      </c>
      <c r="G27" s="37">
        <f ca="1">IF($AJ27="Очікую","Оч",SUM(OFFSET(G27,-1,0):OFFSET(G11,1,0)))</f>
        <v>4</v>
      </c>
      <c r="H27" s="37">
        <f ca="1">IF($AJ27="Очікую","Оч",SUM(OFFSET(H27,-1,0):OFFSET(H11,1,0)))</f>
        <v>8</v>
      </c>
      <c r="I27" s="37">
        <f ca="1">IF($AJ27="Очікую","Оч",SUM(OFFSET(I27,-1,0):OFFSET(I11,1,0)))</f>
        <v>8</v>
      </c>
      <c r="J27" s="37">
        <f ca="1">IF($AJ27="Очікую","Оч",SUM(OFFSET(J27,-1,0):OFFSET(J11,1,0)))</f>
        <v>4</v>
      </c>
      <c r="K27" s="37">
        <f ca="1">IF($AJ27="Очікую","Оч",SUM(OFFSET(K27,-1,0):OFFSET(K11,1,0)))</f>
        <v>0</v>
      </c>
      <c r="L27" s="37">
        <f ca="1">IF($AJ27="Очікую","Оч",SUM(OFFSET(L27,-1,0):OFFSET(L11,1,0)))</f>
        <v>0</v>
      </c>
      <c r="M27" s="37">
        <f ca="1">IF($AJ27="Очікую","Оч",SUM(OFFSET(M27,-1,0):OFFSET(M11,1,0)))</f>
        <v>8</v>
      </c>
      <c r="N27" s="37">
        <f ca="1">IF($AJ27="Очікую","Оч",SUM(OFFSET(N27,-1,0):OFFSET(N11,1,0)))</f>
        <v>6</v>
      </c>
      <c r="O27" s="37">
        <f ca="1">IF($AJ27="Очікую","Оч",SUM(OFFSET(O27,-1,0):OFFSET(O11,1,0)))</f>
        <v>8</v>
      </c>
      <c r="P27" s="37">
        <f ca="1">IF($AJ27="Очікую","Оч",SUM(OFFSET(P27,-1,0):OFFSET(P11,1,0)))</f>
        <v>8</v>
      </c>
      <c r="Q27" s="37">
        <f ca="1">IF($AJ27="Очікую","Оч",SUM(OFFSET(Q27,-1,0):OFFSET(Q11,1,0)))</f>
        <v>6</v>
      </c>
      <c r="R27" s="37">
        <f ca="1">IF($AJ27="Очікую","Оч",SUM(OFFSET(R27,-1,0):OFFSET(R11,1,0)))</f>
        <v>0</v>
      </c>
      <c r="S27" s="37">
        <f ca="1">IF($AJ27="Очікую","Оч",SUM(OFFSET(S27,-1,0):OFFSET(S11,1,0)))</f>
        <v>0</v>
      </c>
      <c r="T27" s="37">
        <f ca="1">IF($AJ27="Очікую","Оч",SUM(OFFSET(T27,-1,0):OFFSET(T11,1,0)))</f>
        <v>6</v>
      </c>
      <c r="U27" s="37">
        <f ca="1">IF($AJ27="Очікую","Оч",SUM(OFFSET(U27,-1,0):OFFSET(U11,1,0)))</f>
        <v>4</v>
      </c>
      <c r="V27" s="37">
        <f ca="1">IF($AJ27="Очікую","Оч",SUM(OFFSET(V27,-1,0):OFFSET(V11,1,0)))</f>
        <v>8</v>
      </c>
      <c r="W27" s="37">
        <f ca="1">IF($AJ27="Очікую","Оч",SUM(OFFSET(W27,-1,0):OFFSET(W11,1,0)))</f>
        <v>8</v>
      </c>
      <c r="X27" s="37">
        <f ca="1">IF($AJ27="Очікую","Оч",SUM(OFFSET(X27,-1,0):OFFSET(X11,1,0)))</f>
        <v>4</v>
      </c>
      <c r="Y27" s="37">
        <f ca="1">IF($AJ27="Очікую","Оч",SUM(OFFSET(Y27,-1,0):OFFSET(Y11,1,0)))</f>
        <v>0</v>
      </c>
      <c r="Z27" s="37">
        <f ca="1">IF($AJ27="Очікую","Оч",SUM(OFFSET(Z27,-1,0):OFFSET(Z11,1,0)))</f>
        <v>0</v>
      </c>
      <c r="AA27" s="37">
        <f ca="1">IF($AJ27="Очікую","Оч",SUM(OFFSET(AA27,-1,0):OFFSET(AA11,1,0)))</f>
        <v>8</v>
      </c>
      <c r="AB27" s="37">
        <f ca="1">IF($AJ27="Очікую","Оч",SUM(OFFSET(AB27,-1,0):OFFSET(AB11,1,0)))</f>
        <v>6</v>
      </c>
      <c r="AC27" s="37">
        <f ca="1">IF($AJ27="Очікую","Оч",SUM(OFFSET(AC27,-1,0):OFFSET(AC11,1,0)))</f>
        <v>8</v>
      </c>
      <c r="AD27" s="37">
        <f ca="1">IF($AJ27="Очікую","Оч",SUM(OFFSET(AD27,-1,0):OFFSET(AD11,1,0)))</f>
        <v>8</v>
      </c>
      <c r="AE27" s="37">
        <f ca="1">IF($AJ27="Очікую","Оч",SUM(OFFSET(AE27,-1,0):OFFSET(AE11,1,0)))</f>
        <v>6</v>
      </c>
      <c r="AF27" s="37">
        <f ca="1">IF($AJ27="Очікую","Оч",SUM(OFFSET(AF27,-1,0):OFFSET(AF11,1,0)))</f>
        <v>0</v>
      </c>
      <c r="AG27" s="37">
        <f ca="1">IF($AJ27="Очікую","Оч",SUM(OFFSET(AG27,-1,0):OFFSET(AG11,1,0)))</f>
        <v>0</v>
      </c>
      <c r="AH27" s="37">
        <f ca="1">IF($AJ27="Очікую","Оч",SUM(OFFSET(AH27,-1,0):OFFSET(AH11,1,0)))</f>
        <v>6</v>
      </c>
      <c r="AI27" s="37">
        <f ca="1">IF($AJ27="Очікую","Оч",SUM(OFFSET(AI27,-1,0):OFFSET(AI11,1,0)))</f>
        <v>4</v>
      </c>
      <c r="AJ27" s="37">
        <f ca="1">IF(SUM(OFFSET(AJ27,-1,0):OFFSET(AJ11,1,0))=0,"Очікую",SUM(OFFSET(AJ27,-1,0):OFFSET(AJ11,1,0)))</f>
        <v>142</v>
      </c>
      <c r="AK27" s="36"/>
      <c r="AL27" s="4"/>
      <c r="AM27" s="16"/>
    </row>
    <row r="28" spans="1:39" ht="12.95" customHeight="1" x14ac:dyDescent="0.25">
      <c r="A28" s="14"/>
      <c r="B28" s="4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4"/>
      <c r="AM28" s="16"/>
    </row>
    <row r="29" spans="1:39" ht="12.95" customHeight="1" x14ac:dyDescent="0.25">
      <c r="A29" s="14"/>
      <c r="B29" s="4"/>
      <c r="C29" s="36"/>
      <c r="D29" s="36"/>
      <c r="E29" s="3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36"/>
      <c r="AK29" s="36"/>
      <c r="AL29" s="4"/>
      <c r="AM29" s="16"/>
    </row>
    <row r="30" spans="1:39" ht="12.95" customHeight="1" x14ac:dyDescent="0.25">
      <c r="A30" s="14"/>
      <c r="B30" s="4"/>
      <c r="C30" s="41" t="s">
        <v>58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3"/>
      <c r="AK30" s="42"/>
      <c r="AL30" s="4"/>
      <c r="AM30" s="16"/>
    </row>
    <row r="31" spans="1:39" ht="12.95" customHeight="1" x14ac:dyDescent="0.2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16"/>
    </row>
    <row r="32" spans="1:39" ht="12.95" customHeight="1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2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  <row r="47" ht="12" hidden="1" customHeight="1" x14ac:dyDescent="0.25"/>
  </sheetData>
  <mergeCells count="14"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  <mergeCell ref="C9:AK9"/>
  </mergeCells>
  <printOptions horizontalCentered="1"/>
  <pageMargins left="0.19685039370078741" right="0.19685039370078741" top="0.19685039370078741" bottom="0.19685039370078741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47"/>
  <sheetViews>
    <sheetView tabSelected="1" zoomScaleNormal="100" workbookViewId="0">
      <selection activeCell="C30" sqref="C30:AK30"/>
    </sheetView>
  </sheetViews>
  <sheetFormatPr defaultColWidth="0" defaultRowHeight="12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35" width="2.08984375" style="2" customWidth="1"/>
    <col min="36" max="36" width="4" customWidth="1"/>
    <col min="37" max="37" width="5.54296875" style="2" customWidth="1"/>
    <col min="38" max="39" width="1.453125" style="2" customWidth="1"/>
    <col min="40" max="40" width="13" hidden="1" customWidth="1"/>
    <col min="41" max="41" width="5.81640625" style="2" hidden="1" customWidth="1"/>
    <col min="42" max="16384" width="5.81640625" style="2" hidden="1"/>
  </cols>
  <sheetData>
    <row r="1" spans="1:39" s="3" customFormat="1" ht="12" customHeight="1" thickBot="1" x14ac:dyDescent="0.3">
      <c r="A1" s="11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0"/>
    </row>
    <row r="2" spans="1:39" s="1" customFormat="1" ht="12" customHeight="1" x14ac:dyDescent="0.25">
      <c r="A2" s="1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6"/>
    </row>
    <row r="3" spans="1:39" ht="15" customHeight="1" x14ac:dyDescent="0.25">
      <c r="A3" s="14"/>
      <c r="B3" s="4"/>
      <c r="C3" s="5"/>
      <c r="D3" s="54" t="s">
        <v>1</v>
      </c>
      <c r="E3" s="4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4"/>
      <c r="AM3" s="16"/>
    </row>
    <row r="4" spans="1:39" ht="65.099999999999994" customHeight="1" x14ac:dyDescent="0.25">
      <c r="A4" s="14"/>
      <c r="B4" s="4"/>
      <c r="C4" s="36"/>
      <c r="D4" s="53" t="s">
        <v>2</v>
      </c>
      <c r="E4" s="42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6"/>
      <c r="AK4" s="36"/>
      <c r="AL4" s="4"/>
      <c r="AM4" s="16"/>
    </row>
    <row r="5" spans="1:39" ht="15" customHeight="1" x14ac:dyDescent="0.25">
      <c r="A5" s="14"/>
      <c r="B5" s="4"/>
      <c r="C5" s="47" t="s">
        <v>3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3"/>
      <c r="AK5" s="42"/>
      <c r="AL5" s="4"/>
      <c r="AM5" s="16"/>
    </row>
    <row r="6" spans="1:39" ht="15" customHeight="1" x14ac:dyDescent="0.25">
      <c r="A6" s="14"/>
      <c r="B6" s="4"/>
      <c r="C6" s="41" t="s">
        <v>4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3"/>
      <c r="AK6" s="42"/>
      <c r="AL6" s="4"/>
      <c r="AM6" s="16"/>
    </row>
    <row r="7" spans="1:39" ht="15" customHeight="1" x14ac:dyDescent="0.25">
      <c r="A7" s="14"/>
      <c r="B7" s="4"/>
      <c r="C7" s="47" t="s">
        <v>5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3"/>
      <c r="AK7" s="42"/>
      <c r="AL7" s="4"/>
      <c r="AM7" s="16"/>
    </row>
    <row r="8" spans="1:39" ht="15" customHeight="1" x14ac:dyDescent="0.25">
      <c r="A8" s="14"/>
      <c r="B8" s="4"/>
      <c r="C8" s="48" t="s">
        <v>48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3"/>
      <c r="AK8" s="42"/>
      <c r="AL8" s="4"/>
      <c r="AM8" s="16"/>
    </row>
    <row r="9" spans="1:39" ht="15" customHeight="1" x14ac:dyDescent="0.25">
      <c r="A9" s="14"/>
      <c r="B9" s="4"/>
      <c r="C9" s="51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4"/>
      <c r="AM9" s="16"/>
    </row>
    <row r="10" spans="1:39" ht="12.95" customHeight="1" x14ac:dyDescent="0.25">
      <c r="A10" s="14"/>
      <c r="B10" s="4"/>
      <c r="C10" s="44" t="s">
        <v>7</v>
      </c>
      <c r="D10" s="46" t="s">
        <v>8</v>
      </c>
      <c r="E10" s="44" t="s">
        <v>9</v>
      </c>
      <c r="F10" s="46" t="s">
        <v>10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50"/>
      <c r="AJ10" s="44" t="s">
        <v>11</v>
      </c>
      <c r="AK10" s="46" t="s">
        <v>12</v>
      </c>
      <c r="AL10" s="4"/>
      <c r="AM10" s="16"/>
    </row>
    <row r="11" spans="1:39" ht="12.95" customHeight="1" x14ac:dyDescent="0.25">
      <c r="A11" s="14"/>
      <c r="B11" s="4"/>
      <c r="C11" s="45"/>
      <c r="D11" s="45"/>
      <c r="E11" s="45"/>
      <c r="F11" s="37">
        <v>2</v>
      </c>
      <c r="G11" s="37">
        <v>3</v>
      </c>
      <c r="H11" s="37">
        <v>4</v>
      </c>
      <c r="I11" s="37">
        <v>5</v>
      </c>
      <c r="J11" s="37">
        <v>6</v>
      </c>
      <c r="K11" s="37">
        <v>7</v>
      </c>
      <c r="L11" s="37">
        <v>8</v>
      </c>
      <c r="M11" s="37">
        <v>9</v>
      </c>
      <c r="N11" s="37">
        <v>10</v>
      </c>
      <c r="O11" s="37">
        <v>11</v>
      </c>
      <c r="P11" s="37">
        <v>12</v>
      </c>
      <c r="Q11" s="37">
        <v>13</v>
      </c>
      <c r="R11" s="37">
        <v>14</v>
      </c>
      <c r="S11" s="37">
        <v>15</v>
      </c>
      <c r="T11" s="37">
        <v>16</v>
      </c>
      <c r="U11" s="37">
        <v>17</v>
      </c>
      <c r="V11" s="37">
        <v>18</v>
      </c>
      <c r="W11" s="37">
        <v>19</v>
      </c>
      <c r="X11" s="37">
        <v>20</v>
      </c>
      <c r="Y11" s="37">
        <v>21</v>
      </c>
      <c r="Z11" s="37">
        <v>22</v>
      </c>
      <c r="AA11" s="37">
        <v>23</v>
      </c>
      <c r="AB11" s="37">
        <v>24</v>
      </c>
      <c r="AC11" s="37">
        <v>25</v>
      </c>
      <c r="AD11" s="37">
        <v>26</v>
      </c>
      <c r="AE11" s="37">
        <v>27</v>
      </c>
      <c r="AF11" s="37">
        <v>28</v>
      </c>
      <c r="AG11" s="37">
        <v>29</v>
      </c>
      <c r="AH11" s="37">
        <v>30</v>
      </c>
      <c r="AI11" s="37">
        <v>31</v>
      </c>
      <c r="AJ11" s="45"/>
      <c r="AK11" s="45"/>
      <c r="AL11" s="4"/>
      <c r="AM11" s="16"/>
    </row>
    <row r="12" spans="1:39" ht="12.95" customHeight="1" x14ac:dyDescent="0.25">
      <c r="A12" s="14"/>
      <c r="B12" s="4"/>
      <c r="C12" s="38">
        <v>1</v>
      </c>
      <c r="D12" s="6" t="s">
        <v>13</v>
      </c>
      <c r="E12" s="6" t="s">
        <v>14</v>
      </c>
      <c r="F12" s="7"/>
      <c r="G12" s="7"/>
      <c r="H12" s="7"/>
      <c r="I12" s="7">
        <v>2</v>
      </c>
      <c r="J12" s="7"/>
      <c r="K12" s="40"/>
      <c r="L12" s="40"/>
      <c r="M12" s="7"/>
      <c r="N12" s="7"/>
      <c r="O12" s="7"/>
      <c r="P12" s="7">
        <v>2</v>
      </c>
      <c r="Q12" s="7"/>
      <c r="R12" s="40"/>
      <c r="S12" s="40"/>
      <c r="T12" s="7"/>
      <c r="U12" s="7"/>
      <c r="V12" s="7"/>
      <c r="W12" s="7">
        <v>2</v>
      </c>
      <c r="X12" s="7"/>
      <c r="Y12" s="40"/>
      <c r="Z12" s="40"/>
      <c r="AA12" s="7"/>
      <c r="AB12" s="7"/>
      <c r="AC12" s="7"/>
      <c r="AD12" s="7">
        <v>2</v>
      </c>
      <c r="AE12" s="7"/>
      <c r="AF12" s="40"/>
      <c r="AG12" s="40"/>
      <c r="AH12" s="7"/>
      <c r="AI12" s="7"/>
      <c r="AJ12" s="37">
        <f ca="1">IF(SUM(OFFSET(AJ12,0,-1):OFFSET(E12,0,1))=0,"Очікую",SUM(OFFSET(AJ12,0,-1):OFFSET(E12,0,1)))</f>
        <v>8</v>
      </c>
      <c r="AK12" s="37"/>
      <c r="AL12" s="4"/>
      <c r="AM12" s="16"/>
    </row>
    <row r="13" spans="1:39" ht="12.95" customHeight="1" x14ac:dyDescent="0.25">
      <c r="A13" s="14"/>
      <c r="B13" s="4"/>
      <c r="C13" s="38">
        <v>2</v>
      </c>
      <c r="D13" s="6" t="s">
        <v>15</v>
      </c>
      <c r="E13" s="6" t="s">
        <v>16</v>
      </c>
      <c r="F13" s="7"/>
      <c r="G13" s="7"/>
      <c r="H13" s="7"/>
      <c r="I13" s="7">
        <v>2</v>
      </c>
      <c r="J13" s="7"/>
      <c r="K13" s="40"/>
      <c r="L13" s="40"/>
      <c r="M13" s="7"/>
      <c r="N13" s="7"/>
      <c r="O13" s="7"/>
      <c r="P13" s="7">
        <v>2</v>
      </c>
      <c r="Q13" s="7">
        <v>2</v>
      </c>
      <c r="R13" s="40"/>
      <c r="S13" s="40"/>
      <c r="T13" s="7"/>
      <c r="U13" s="7"/>
      <c r="V13" s="7"/>
      <c r="W13" s="7">
        <v>2</v>
      </c>
      <c r="X13" s="7"/>
      <c r="Y13" s="40"/>
      <c r="Z13" s="40"/>
      <c r="AA13" s="7"/>
      <c r="AB13" s="7"/>
      <c r="AC13" s="7"/>
      <c r="AD13" s="7">
        <v>2</v>
      </c>
      <c r="AE13" s="7">
        <v>2</v>
      </c>
      <c r="AF13" s="40"/>
      <c r="AG13" s="40"/>
      <c r="AH13" s="7"/>
      <c r="AI13" s="7"/>
      <c r="AJ13" s="37">
        <f ca="1">IF(SUM(OFFSET(AJ13,0,-1):OFFSET(E13,0,1))=0,"Очікую",SUM(OFFSET(AJ13,0,-1):OFFSET(E13,0,1)))</f>
        <v>12</v>
      </c>
      <c r="AK13" s="37"/>
      <c r="AL13" s="4"/>
      <c r="AM13" s="16"/>
    </row>
    <row r="14" spans="1:39" ht="12.95" customHeight="1" x14ac:dyDescent="0.25">
      <c r="A14" s="14"/>
      <c r="B14" s="4"/>
      <c r="C14" s="38">
        <v>3</v>
      </c>
      <c r="D14" s="6" t="s">
        <v>17</v>
      </c>
      <c r="E14" s="6" t="s">
        <v>18</v>
      </c>
      <c r="F14" s="7">
        <v>2</v>
      </c>
      <c r="G14" s="7"/>
      <c r="H14" s="7"/>
      <c r="I14" s="7"/>
      <c r="J14" s="7"/>
      <c r="K14" s="40"/>
      <c r="L14" s="40"/>
      <c r="M14" s="7">
        <v>2</v>
      </c>
      <c r="N14" s="7"/>
      <c r="O14" s="7"/>
      <c r="P14" s="7"/>
      <c r="Q14" s="7"/>
      <c r="R14" s="40"/>
      <c r="S14" s="40"/>
      <c r="T14" s="7">
        <v>2</v>
      </c>
      <c r="U14" s="7"/>
      <c r="V14" s="7"/>
      <c r="W14" s="7"/>
      <c r="X14" s="7"/>
      <c r="Y14" s="40"/>
      <c r="Z14" s="40"/>
      <c r="AA14" s="7">
        <v>2</v>
      </c>
      <c r="AB14" s="7"/>
      <c r="AC14" s="7"/>
      <c r="AD14" s="7"/>
      <c r="AE14" s="7"/>
      <c r="AF14" s="40"/>
      <c r="AG14" s="40"/>
      <c r="AH14" s="7">
        <v>2</v>
      </c>
      <c r="AI14" s="7"/>
      <c r="AJ14" s="37">
        <f ca="1">IF(SUM(OFFSET(AJ14,0,-1):OFFSET(E14,0,1))=0,"Очікую",SUM(OFFSET(AJ14,0,-1):OFFSET(E14,0,1)))</f>
        <v>10</v>
      </c>
      <c r="AK14" s="37"/>
      <c r="AL14" s="4"/>
      <c r="AM14" s="16"/>
    </row>
    <row r="15" spans="1:39" ht="12.95" customHeight="1" x14ac:dyDescent="0.25">
      <c r="A15" s="14"/>
      <c r="B15" s="4"/>
      <c r="C15" s="38">
        <v>4</v>
      </c>
      <c r="D15" s="8" t="s">
        <v>19</v>
      </c>
      <c r="E15" s="8" t="s">
        <v>14</v>
      </c>
      <c r="F15" s="7"/>
      <c r="G15" s="7"/>
      <c r="H15" s="7">
        <v>2</v>
      </c>
      <c r="I15" s="7"/>
      <c r="J15" s="7"/>
      <c r="K15" s="40"/>
      <c r="L15" s="40"/>
      <c r="M15" s="7"/>
      <c r="N15" s="7"/>
      <c r="O15" s="7">
        <v>2</v>
      </c>
      <c r="P15" s="7"/>
      <c r="Q15" s="7"/>
      <c r="R15" s="40"/>
      <c r="S15" s="40"/>
      <c r="T15" s="7"/>
      <c r="U15" s="7"/>
      <c r="V15" s="7">
        <v>2</v>
      </c>
      <c r="W15" s="7"/>
      <c r="X15" s="7"/>
      <c r="Y15" s="40"/>
      <c r="Z15" s="40"/>
      <c r="AA15" s="7"/>
      <c r="AB15" s="7"/>
      <c r="AC15" s="7">
        <v>2</v>
      </c>
      <c r="AD15" s="7"/>
      <c r="AE15" s="7"/>
      <c r="AF15" s="40"/>
      <c r="AG15" s="40"/>
      <c r="AH15" s="7"/>
      <c r="AI15" s="7"/>
      <c r="AJ15" s="37">
        <f ca="1">IF(SUM(OFFSET(AJ15,0,-1):OFFSET(E15,0,1))=0,"Очікую",SUM(OFFSET(AJ15,0,-1):OFFSET(E15,0,1)))</f>
        <v>8</v>
      </c>
      <c r="AK15" s="37"/>
      <c r="AL15" s="4"/>
      <c r="AM15" s="16"/>
    </row>
    <row r="16" spans="1:39" ht="12.95" customHeight="1" x14ac:dyDescent="0.25">
      <c r="A16" s="14"/>
      <c r="B16" s="4"/>
      <c r="C16" s="38">
        <v>5</v>
      </c>
      <c r="D16" s="6" t="s">
        <v>20</v>
      </c>
      <c r="E16" s="6" t="s">
        <v>21</v>
      </c>
      <c r="F16" s="7"/>
      <c r="G16" s="7"/>
      <c r="H16" s="7"/>
      <c r="I16" s="7">
        <v>2</v>
      </c>
      <c r="J16" s="7"/>
      <c r="K16" s="40"/>
      <c r="L16" s="40"/>
      <c r="M16" s="7"/>
      <c r="N16" s="7"/>
      <c r="O16" s="7"/>
      <c r="P16" s="7">
        <v>2</v>
      </c>
      <c r="Q16" s="7"/>
      <c r="R16" s="40"/>
      <c r="S16" s="40"/>
      <c r="T16" s="7"/>
      <c r="U16" s="7"/>
      <c r="V16" s="7"/>
      <c r="W16" s="7">
        <v>2</v>
      </c>
      <c r="X16" s="7"/>
      <c r="Y16" s="40"/>
      <c r="Z16" s="40"/>
      <c r="AA16" s="7"/>
      <c r="AB16" s="7"/>
      <c r="AC16" s="7"/>
      <c r="AD16" s="7">
        <v>2</v>
      </c>
      <c r="AE16" s="7"/>
      <c r="AF16" s="40"/>
      <c r="AG16" s="40"/>
      <c r="AH16" s="7"/>
      <c r="AI16" s="7"/>
      <c r="AJ16" s="37">
        <f ca="1">IF(SUM(OFFSET(AJ16,0,-1):OFFSET(E16,0,1))=0,"Очікую",SUM(OFFSET(AJ16,0,-1):OFFSET(E16,0,1)))</f>
        <v>8</v>
      </c>
      <c r="AK16" s="37"/>
      <c r="AL16" s="4"/>
      <c r="AM16" s="16"/>
    </row>
    <row r="17" spans="1:39" ht="12.95" customHeight="1" x14ac:dyDescent="0.25">
      <c r="A17" s="14"/>
      <c r="B17" s="4"/>
      <c r="C17" s="38">
        <v>6</v>
      </c>
      <c r="D17" s="8" t="s">
        <v>22</v>
      </c>
      <c r="E17" s="8" t="s">
        <v>23</v>
      </c>
      <c r="F17" s="7">
        <v>2</v>
      </c>
      <c r="G17" s="7"/>
      <c r="H17" s="7"/>
      <c r="I17" s="7"/>
      <c r="J17" s="7">
        <v>2</v>
      </c>
      <c r="K17" s="40"/>
      <c r="L17" s="40"/>
      <c r="M17" s="7">
        <v>2</v>
      </c>
      <c r="N17" s="7"/>
      <c r="O17" s="7"/>
      <c r="P17" s="7"/>
      <c r="Q17" s="7"/>
      <c r="R17" s="40">
        <v>2</v>
      </c>
      <c r="S17" s="40"/>
      <c r="T17" s="7">
        <v>2</v>
      </c>
      <c r="U17" s="7"/>
      <c r="V17" s="7"/>
      <c r="W17" s="7"/>
      <c r="X17" s="7">
        <v>2</v>
      </c>
      <c r="Y17" s="40"/>
      <c r="Z17" s="40"/>
      <c r="AA17" s="7">
        <v>2</v>
      </c>
      <c r="AB17" s="7"/>
      <c r="AC17" s="7"/>
      <c r="AD17" s="7"/>
      <c r="AE17" s="7"/>
      <c r="AF17" s="40"/>
      <c r="AG17" s="40"/>
      <c r="AH17" s="7">
        <v>2</v>
      </c>
      <c r="AI17" s="7"/>
      <c r="AJ17" s="37">
        <f ca="1">IF(SUM(OFFSET(AJ17,0,-1):OFFSET(E17,0,1))=0,"Очікую",SUM(OFFSET(AJ17,0,-1):OFFSET(E17,0,1)))</f>
        <v>16</v>
      </c>
      <c r="AK17" s="37"/>
      <c r="AL17" s="4"/>
      <c r="AM17" s="16"/>
    </row>
    <row r="18" spans="1:39" ht="12.95" customHeight="1" x14ac:dyDescent="0.25">
      <c r="A18" s="14"/>
      <c r="B18" s="4"/>
      <c r="C18" s="38">
        <v>7</v>
      </c>
      <c r="D18" s="6" t="s">
        <v>24</v>
      </c>
      <c r="E18" s="6" t="s">
        <v>25</v>
      </c>
      <c r="F18" s="7"/>
      <c r="G18" s="7"/>
      <c r="H18" s="7"/>
      <c r="I18" s="7">
        <v>2</v>
      </c>
      <c r="J18" s="7"/>
      <c r="K18" s="40"/>
      <c r="L18" s="40"/>
      <c r="M18" s="7"/>
      <c r="N18" s="7"/>
      <c r="O18" s="7"/>
      <c r="P18" s="7">
        <v>2</v>
      </c>
      <c r="Q18" s="7"/>
      <c r="R18" s="40"/>
      <c r="S18" s="40"/>
      <c r="T18" s="7"/>
      <c r="U18" s="7"/>
      <c r="V18" s="7"/>
      <c r="W18" s="7">
        <v>2</v>
      </c>
      <c r="X18" s="7"/>
      <c r="Y18" s="40"/>
      <c r="Z18" s="40"/>
      <c r="AA18" s="7"/>
      <c r="AB18" s="7"/>
      <c r="AC18" s="7"/>
      <c r="AD18" s="7">
        <v>2</v>
      </c>
      <c r="AE18" s="7"/>
      <c r="AF18" s="40"/>
      <c r="AG18" s="40"/>
      <c r="AH18" s="7"/>
      <c r="AI18" s="7"/>
      <c r="AJ18" s="37">
        <f ca="1">IF(SUM(OFFSET(AJ18,0,-1):OFFSET(E18,0,1))=0,"Очікую",SUM(OFFSET(AJ18,0,-1):OFFSET(E18,0,1)))</f>
        <v>8</v>
      </c>
      <c r="AK18" s="37"/>
      <c r="AL18" s="4"/>
      <c r="AM18" s="16"/>
    </row>
    <row r="19" spans="1:39" ht="12.95" customHeight="1" x14ac:dyDescent="0.25">
      <c r="A19" s="14"/>
      <c r="B19" s="4"/>
      <c r="C19" s="38">
        <v>8</v>
      </c>
      <c r="D19" s="6" t="s">
        <v>26</v>
      </c>
      <c r="E19" s="6" t="s">
        <v>27</v>
      </c>
      <c r="F19" s="7"/>
      <c r="G19" s="7"/>
      <c r="H19" s="7"/>
      <c r="I19" s="7"/>
      <c r="J19" s="7"/>
      <c r="K19" s="40"/>
      <c r="L19" s="40"/>
      <c r="M19" s="7"/>
      <c r="N19" s="7"/>
      <c r="O19" s="7"/>
      <c r="P19" s="7"/>
      <c r="Q19" s="7">
        <v>2</v>
      </c>
      <c r="R19" s="40"/>
      <c r="S19" s="40"/>
      <c r="T19" s="7"/>
      <c r="U19" s="7"/>
      <c r="V19" s="7"/>
      <c r="W19" s="7"/>
      <c r="X19" s="7"/>
      <c r="Y19" s="40"/>
      <c r="Z19" s="40"/>
      <c r="AA19" s="7"/>
      <c r="AB19" s="7"/>
      <c r="AC19" s="7"/>
      <c r="AD19" s="7"/>
      <c r="AE19" s="7">
        <v>2</v>
      </c>
      <c r="AF19" s="40"/>
      <c r="AG19" s="40"/>
      <c r="AH19" s="7"/>
      <c r="AI19" s="7"/>
      <c r="AJ19" s="37">
        <f ca="1">IF(SUM(OFFSET(AJ19,0,-1):OFFSET(E19,0,1))=0,"Очікую",SUM(OFFSET(AJ19,0,-1):OFFSET(E19,0,1)))</f>
        <v>4</v>
      </c>
      <c r="AK19" s="37"/>
      <c r="AL19" s="4"/>
      <c r="AM19" s="16"/>
    </row>
    <row r="20" spans="1:39" ht="12.95" customHeight="1" x14ac:dyDescent="0.25">
      <c r="A20" s="14"/>
      <c r="B20" s="4"/>
      <c r="C20" s="38">
        <v>9</v>
      </c>
      <c r="D20" s="6" t="s">
        <v>28</v>
      </c>
      <c r="E20" s="6" t="s">
        <v>29</v>
      </c>
      <c r="F20" s="7"/>
      <c r="G20" s="7"/>
      <c r="H20" s="7">
        <v>2</v>
      </c>
      <c r="I20" s="7"/>
      <c r="J20" s="7"/>
      <c r="K20" s="40"/>
      <c r="L20" s="40"/>
      <c r="M20" s="7"/>
      <c r="N20" s="7"/>
      <c r="O20" s="7">
        <v>2</v>
      </c>
      <c r="P20" s="7"/>
      <c r="Q20" s="7"/>
      <c r="R20" s="40"/>
      <c r="S20" s="40"/>
      <c r="T20" s="7"/>
      <c r="U20" s="7"/>
      <c r="V20" s="7">
        <v>2</v>
      </c>
      <c r="W20" s="7"/>
      <c r="X20" s="7"/>
      <c r="Y20" s="40"/>
      <c r="Z20" s="40"/>
      <c r="AA20" s="7"/>
      <c r="AB20" s="7"/>
      <c r="AC20" s="7">
        <v>2</v>
      </c>
      <c r="AD20" s="7"/>
      <c r="AE20" s="7"/>
      <c r="AF20" s="40"/>
      <c r="AG20" s="40"/>
      <c r="AH20" s="7"/>
      <c r="AI20" s="7"/>
      <c r="AJ20" s="37">
        <f ca="1">IF(SUM(OFFSET(AJ20,0,-1):OFFSET(E20,0,1))=0,"Очікую",SUM(OFFSET(AJ20,0,-1):OFFSET(E20,0,1)))</f>
        <v>8</v>
      </c>
      <c r="AK20" s="37"/>
      <c r="AL20" s="4"/>
      <c r="AM20" s="16"/>
    </row>
    <row r="21" spans="1:39" ht="12.95" customHeight="1" x14ac:dyDescent="0.25">
      <c r="A21" s="14"/>
      <c r="B21" s="4"/>
      <c r="C21" s="38">
        <v>10</v>
      </c>
      <c r="D21" s="6" t="s">
        <v>30</v>
      </c>
      <c r="E21" s="6" t="s">
        <v>44</v>
      </c>
      <c r="F21" s="7"/>
      <c r="G21" s="7">
        <v>4</v>
      </c>
      <c r="H21" s="7"/>
      <c r="I21" s="7"/>
      <c r="J21" s="7"/>
      <c r="K21" s="40"/>
      <c r="L21" s="40"/>
      <c r="M21" s="7"/>
      <c r="N21" s="7">
        <v>2</v>
      </c>
      <c r="O21" s="7"/>
      <c r="P21" s="7"/>
      <c r="Q21" s="7"/>
      <c r="R21" s="40"/>
      <c r="S21" s="40"/>
      <c r="T21" s="7"/>
      <c r="U21" s="7">
        <v>4</v>
      </c>
      <c r="V21" s="7"/>
      <c r="W21" s="7"/>
      <c r="X21" s="7"/>
      <c r="Y21" s="40"/>
      <c r="Z21" s="40"/>
      <c r="AA21" s="7"/>
      <c r="AB21" s="7">
        <v>2</v>
      </c>
      <c r="AC21" s="7"/>
      <c r="AD21" s="7"/>
      <c r="AE21" s="7"/>
      <c r="AF21" s="40"/>
      <c r="AG21" s="40"/>
      <c r="AH21" s="7"/>
      <c r="AI21" s="7">
        <v>4</v>
      </c>
      <c r="AJ21" s="37">
        <f ca="1">IF(SUM(OFFSET(AJ21,0,-1):OFFSET(E21,0,1))=0,"Очікую",SUM(OFFSET(AJ21,0,-1):OFFSET(E21,0,1)))</f>
        <v>16</v>
      </c>
      <c r="AK21" s="37"/>
      <c r="AL21" s="4"/>
      <c r="AM21" s="16"/>
    </row>
    <row r="22" spans="1:39" ht="12.95" customHeight="1" x14ac:dyDescent="0.25">
      <c r="A22" s="14"/>
      <c r="B22" s="4"/>
      <c r="C22" s="38">
        <v>11</v>
      </c>
      <c r="D22" s="6" t="s">
        <v>32</v>
      </c>
      <c r="E22" s="6" t="s">
        <v>33</v>
      </c>
      <c r="F22" s="7">
        <v>2</v>
      </c>
      <c r="G22" s="7"/>
      <c r="H22" s="7"/>
      <c r="I22" s="7"/>
      <c r="J22" s="7"/>
      <c r="K22" s="40"/>
      <c r="L22" s="40"/>
      <c r="M22" s="7">
        <v>2</v>
      </c>
      <c r="N22" s="7"/>
      <c r="O22" s="7"/>
      <c r="P22" s="7"/>
      <c r="Q22" s="7"/>
      <c r="R22" s="40"/>
      <c r="S22" s="40"/>
      <c r="T22" s="7">
        <v>2</v>
      </c>
      <c r="U22" s="7"/>
      <c r="V22" s="7"/>
      <c r="W22" s="7"/>
      <c r="X22" s="7"/>
      <c r="Y22" s="40"/>
      <c r="Z22" s="40"/>
      <c r="AA22" s="7">
        <v>2</v>
      </c>
      <c r="AB22" s="7"/>
      <c r="AC22" s="7"/>
      <c r="AD22" s="7"/>
      <c r="AE22" s="7"/>
      <c r="AF22" s="40"/>
      <c r="AG22" s="40"/>
      <c r="AH22" s="7">
        <v>2</v>
      </c>
      <c r="AI22" s="7"/>
      <c r="AJ22" s="37">
        <f ca="1">IF(SUM(OFFSET(AJ22,0,-1):OFFSET(E22,0,1))=0,"Очікую",SUM(OFFSET(AJ22,0,-1):OFFSET(E22,0,1)))</f>
        <v>10</v>
      </c>
      <c r="AK22" s="37"/>
      <c r="AL22" s="4"/>
      <c r="AM22" s="16"/>
    </row>
    <row r="23" spans="1:39" ht="12.95" customHeight="1" x14ac:dyDescent="0.25">
      <c r="A23" s="14"/>
      <c r="B23" s="4"/>
      <c r="C23" s="38">
        <v>12</v>
      </c>
      <c r="D23" s="6" t="s">
        <v>34</v>
      </c>
      <c r="E23" s="6" t="s">
        <v>33</v>
      </c>
      <c r="F23" s="7">
        <v>2</v>
      </c>
      <c r="G23" s="7"/>
      <c r="H23" s="7"/>
      <c r="I23" s="7"/>
      <c r="J23" s="7"/>
      <c r="K23" s="40"/>
      <c r="L23" s="40"/>
      <c r="M23" s="7">
        <v>2</v>
      </c>
      <c r="N23" s="7"/>
      <c r="O23" s="7"/>
      <c r="P23" s="7"/>
      <c r="Q23" s="7"/>
      <c r="R23" s="40"/>
      <c r="S23" s="40"/>
      <c r="T23" s="7">
        <v>2</v>
      </c>
      <c r="U23" s="7"/>
      <c r="V23" s="7"/>
      <c r="W23" s="7"/>
      <c r="X23" s="7"/>
      <c r="Y23" s="40"/>
      <c r="Z23" s="40"/>
      <c r="AA23" s="7">
        <v>2</v>
      </c>
      <c r="AB23" s="7"/>
      <c r="AC23" s="7"/>
      <c r="AD23" s="7"/>
      <c r="AE23" s="7"/>
      <c r="AF23" s="40"/>
      <c r="AG23" s="40"/>
      <c r="AH23" s="7">
        <v>2</v>
      </c>
      <c r="AI23" s="7"/>
      <c r="AJ23" s="37">
        <f ca="1">IF(SUM(OFFSET(AJ23,0,-1):OFFSET(E23,0,1))=0,"Очікую",SUM(OFFSET(AJ23,0,-1):OFFSET(E23,0,1)))</f>
        <v>10</v>
      </c>
      <c r="AK23" s="37"/>
      <c r="AL23" s="4"/>
      <c r="AM23" s="16"/>
    </row>
    <row r="24" spans="1:39" ht="12.95" customHeight="1" x14ac:dyDescent="0.25">
      <c r="A24" s="14"/>
      <c r="B24" s="4"/>
      <c r="C24" s="38">
        <v>13</v>
      </c>
      <c r="D24" s="6" t="s">
        <v>35</v>
      </c>
      <c r="E24" s="6" t="s">
        <v>36</v>
      </c>
      <c r="F24" s="7"/>
      <c r="G24" s="7"/>
      <c r="H24" s="7"/>
      <c r="I24" s="7"/>
      <c r="J24" s="7">
        <v>2</v>
      </c>
      <c r="K24" s="40"/>
      <c r="L24" s="40"/>
      <c r="M24" s="7"/>
      <c r="N24" s="7"/>
      <c r="O24" s="7"/>
      <c r="P24" s="7"/>
      <c r="Q24" s="7">
        <v>2</v>
      </c>
      <c r="R24" s="40"/>
      <c r="S24" s="40"/>
      <c r="T24" s="7"/>
      <c r="U24" s="7"/>
      <c r="V24" s="7"/>
      <c r="W24" s="7"/>
      <c r="X24" s="7">
        <v>2</v>
      </c>
      <c r="Y24" s="40"/>
      <c r="Z24" s="40"/>
      <c r="AA24" s="7"/>
      <c r="AB24" s="7"/>
      <c r="AC24" s="7"/>
      <c r="AD24" s="7"/>
      <c r="AE24" s="7">
        <v>2</v>
      </c>
      <c r="AF24" s="40"/>
      <c r="AG24" s="40"/>
      <c r="AH24" s="7"/>
      <c r="AI24" s="7"/>
      <c r="AJ24" s="37">
        <f ca="1">IF(SUM(OFFSET(AJ24,0,-1):OFFSET(E24,0,1))=0,"Очікую",SUM(OFFSET(AJ24,0,-1):OFFSET(E24,0,1)))</f>
        <v>8</v>
      </c>
      <c r="AK24" s="37"/>
      <c r="AL24" s="4"/>
      <c r="AM24" s="16"/>
    </row>
    <row r="25" spans="1:39" ht="12.95" customHeight="1" x14ac:dyDescent="0.25">
      <c r="A25" s="14"/>
      <c r="B25" s="4"/>
      <c r="C25" s="38">
        <v>14</v>
      </c>
      <c r="D25" s="6" t="s">
        <v>37</v>
      </c>
      <c r="E25" s="6" t="s">
        <v>45</v>
      </c>
      <c r="F25" s="7"/>
      <c r="G25" s="7"/>
      <c r="H25" s="7"/>
      <c r="I25" s="7"/>
      <c r="J25" s="7">
        <v>2</v>
      </c>
      <c r="K25" s="40"/>
      <c r="L25" s="40"/>
      <c r="M25" s="7"/>
      <c r="N25" s="7">
        <v>2</v>
      </c>
      <c r="O25" s="7"/>
      <c r="P25" s="7"/>
      <c r="Q25" s="7">
        <v>2</v>
      </c>
      <c r="R25" s="40"/>
      <c r="S25" s="40"/>
      <c r="T25" s="7"/>
      <c r="U25" s="7"/>
      <c r="V25" s="7"/>
      <c r="W25" s="7"/>
      <c r="X25" s="7">
        <v>2</v>
      </c>
      <c r="Y25" s="40"/>
      <c r="Z25" s="40"/>
      <c r="AA25" s="7"/>
      <c r="AB25" s="7">
        <v>2</v>
      </c>
      <c r="AC25" s="7"/>
      <c r="AD25" s="7"/>
      <c r="AE25" s="7">
        <v>2</v>
      </c>
      <c r="AF25" s="40"/>
      <c r="AG25" s="40"/>
      <c r="AH25" s="7"/>
      <c r="AI25" s="7"/>
      <c r="AJ25" s="37">
        <f ca="1">IF(SUM(OFFSET(AJ25,0,-1):OFFSET(E25,0,1))=0,"Очікую",SUM(OFFSET(AJ25,0,-1):OFFSET(E25,0,1)))</f>
        <v>12</v>
      </c>
      <c r="AK25" s="37"/>
      <c r="AL25" s="4"/>
      <c r="AM25" s="16"/>
    </row>
    <row r="26" spans="1:39" ht="12.95" customHeight="1" x14ac:dyDescent="0.25">
      <c r="A26" s="14"/>
      <c r="B26" s="4"/>
      <c r="C26" s="38">
        <v>15</v>
      </c>
      <c r="D26" s="6" t="s">
        <v>39</v>
      </c>
      <c r="E26" s="6" t="s">
        <v>47</v>
      </c>
      <c r="F26" s="7"/>
      <c r="G26" s="7">
        <v>2</v>
      </c>
      <c r="H26" s="7"/>
      <c r="I26" s="7"/>
      <c r="J26" s="7"/>
      <c r="K26" s="40"/>
      <c r="L26" s="40"/>
      <c r="M26" s="7"/>
      <c r="N26" s="7">
        <v>2</v>
      </c>
      <c r="O26" s="7"/>
      <c r="P26" s="7"/>
      <c r="Q26" s="7"/>
      <c r="R26" s="40"/>
      <c r="S26" s="40"/>
      <c r="T26" s="7"/>
      <c r="U26" s="7">
        <v>2</v>
      </c>
      <c r="V26" s="7"/>
      <c r="W26" s="7"/>
      <c r="X26" s="7"/>
      <c r="Y26" s="40"/>
      <c r="Z26" s="40"/>
      <c r="AA26" s="7"/>
      <c r="AB26" s="7">
        <v>2</v>
      </c>
      <c r="AC26" s="7"/>
      <c r="AD26" s="7"/>
      <c r="AE26" s="7"/>
      <c r="AF26" s="40"/>
      <c r="AG26" s="40"/>
      <c r="AH26" s="7"/>
      <c r="AI26" s="7">
        <v>2</v>
      </c>
      <c r="AJ26" s="37">
        <f ca="1">IF(SUM(OFFSET(AJ26,0,-1):OFFSET(E26,0,1))=0,"Очікую",SUM(OFFSET(AJ26,0,-1):OFFSET(E26,0,1)))</f>
        <v>10</v>
      </c>
      <c r="AK26" s="37"/>
      <c r="AL26" s="4"/>
      <c r="AM26" s="16"/>
    </row>
    <row r="27" spans="1:39" ht="12.95" customHeight="1" x14ac:dyDescent="0.25">
      <c r="A27" s="14"/>
      <c r="B27" s="4"/>
      <c r="C27" s="36"/>
      <c r="D27" s="36"/>
      <c r="E27" s="36"/>
      <c r="F27" s="37">
        <f ca="1">IF($AJ27="Очікую","Оч",SUM(OFFSET(F27,-1,0):OFFSET(F11,1,0)))</f>
        <v>8</v>
      </c>
      <c r="G27" s="37">
        <f ca="1">IF($AJ27="Очікую","Оч",SUM(OFFSET(G27,-1,0):OFFSET(G11,1,0)))</f>
        <v>6</v>
      </c>
      <c r="H27" s="37">
        <f ca="1">IF($AJ27="Очікую","Оч",SUM(OFFSET(H27,-1,0):OFFSET(H11,1,0)))</f>
        <v>4</v>
      </c>
      <c r="I27" s="37">
        <f ca="1">IF($AJ27="Очікую","Оч",SUM(OFFSET(I27,-1,0):OFFSET(I11,1,0)))</f>
        <v>8</v>
      </c>
      <c r="J27" s="37">
        <f ca="1">IF($AJ27="Очікую","Оч",SUM(OFFSET(J27,-1,0):OFFSET(J11,1,0)))</f>
        <v>6</v>
      </c>
      <c r="K27" s="37">
        <f ca="1">IF($AJ27="Очікую","Оч",SUM(OFFSET(K27,-1,0):OFFSET(K11,1,0)))</f>
        <v>0</v>
      </c>
      <c r="L27" s="37">
        <f ca="1">IF($AJ27="Очікую","Оч",SUM(OFFSET(L27,-1,0):OFFSET(L11,1,0)))</f>
        <v>0</v>
      </c>
      <c r="M27" s="37">
        <f ca="1">IF($AJ27="Очікую","Оч",SUM(OFFSET(M27,-1,0):OFFSET(M11,1,0)))</f>
        <v>8</v>
      </c>
      <c r="N27" s="37">
        <f ca="1">IF($AJ27="Очікую","Оч",SUM(OFFSET(N27,-1,0):OFFSET(N11,1,0)))</f>
        <v>6</v>
      </c>
      <c r="O27" s="37">
        <f ca="1">IF($AJ27="Очікую","Оч",SUM(OFFSET(O27,-1,0):OFFSET(O11,1,0)))</f>
        <v>4</v>
      </c>
      <c r="P27" s="37">
        <f ca="1">IF($AJ27="Очікую","Оч",SUM(OFFSET(P27,-1,0):OFFSET(P11,1,0)))</f>
        <v>8</v>
      </c>
      <c r="Q27" s="37">
        <f ca="1">IF($AJ27="Очікую","Оч",SUM(OFFSET(Q27,-1,0):OFFSET(Q11,1,0)))</f>
        <v>8</v>
      </c>
      <c r="R27" s="37">
        <f ca="1">IF($AJ27="Очікую","Оч",SUM(OFFSET(R27,-1,0):OFFSET(R11,1,0)))</f>
        <v>2</v>
      </c>
      <c r="S27" s="37">
        <f ca="1">IF($AJ27="Очікую","Оч",SUM(OFFSET(S27,-1,0):OFFSET(S11,1,0)))</f>
        <v>0</v>
      </c>
      <c r="T27" s="37">
        <f ca="1">IF($AJ27="Очікую","Оч",SUM(OFFSET(T27,-1,0):OFFSET(T11,1,0)))</f>
        <v>8</v>
      </c>
      <c r="U27" s="37">
        <f ca="1">IF($AJ27="Очікую","Оч",SUM(OFFSET(U27,-1,0):OFFSET(U11,1,0)))</f>
        <v>6</v>
      </c>
      <c r="V27" s="37">
        <f ca="1">IF($AJ27="Очікую","Оч",SUM(OFFSET(V27,-1,0):OFFSET(V11,1,0)))</f>
        <v>4</v>
      </c>
      <c r="W27" s="37">
        <f ca="1">IF($AJ27="Очікую","Оч",SUM(OFFSET(W27,-1,0):OFFSET(W11,1,0)))</f>
        <v>8</v>
      </c>
      <c r="X27" s="37">
        <f ca="1">IF($AJ27="Очікую","Оч",SUM(OFFSET(X27,-1,0):OFFSET(X11,1,0)))</f>
        <v>6</v>
      </c>
      <c r="Y27" s="37">
        <f ca="1">IF($AJ27="Очікую","Оч",SUM(OFFSET(Y27,-1,0):OFFSET(Y11,1,0)))</f>
        <v>0</v>
      </c>
      <c r="Z27" s="37">
        <f ca="1">IF($AJ27="Очікую","Оч",SUM(OFFSET(Z27,-1,0):OFFSET(Z11,1,0)))</f>
        <v>0</v>
      </c>
      <c r="AA27" s="37">
        <f ca="1">IF($AJ27="Очікую","Оч",SUM(OFFSET(AA27,-1,0):OFFSET(AA11,1,0)))</f>
        <v>8</v>
      </c>
      <c r="AB27" s="37">
        <f ca="1">IF($AJ27="Очікую","Оч",SUM(OFFSET(AB27,-1,0):OFFSET(AB11,1,0)))</f>
        <v>6</v>
      </c>
      <c r="AC27" s="37">
        <f ca="1">IF($AJ27="Очікую","Оч",SUM(OFFSET(AC27,-1,0):OFFSET(AC11,1,0)))</f>
        <v>4</v>
      </c>
      <c r="AD27" s="37">
        <f ca="1">IF($AJ27="Очікую","Оч",SUM(OFFSET(AD27,-1,0):OFFSET(AD11,1,0)))</f>
        <v>8</v>
      </c>
      <c r="AE27" s="37">
        <f ca="1">IF($AJ27="Очікую","Оч",SUM(OFFSET(AE27,-1,0):OFFSET(AE11,1,0)))</f>
        <v>8</v>
      </c>
      <c r="AF27" s="37">
        <f ca="1">IF($AJ27="Очікую","Оч",SUM(OFFSET(AF27,-1,0):OFFSET(AF11,1,0)))</f>
        <v>0</v>
      </c>
      <c r="AG27" s="37">
        <f ca="1">IF($AJ27="Очікую","Оч",SUM(OFFSET(AG27,-1,0):OFFSET(AG11,1,0)))</f>
        <v>0</v>
      </c>
      <c r="AH27" s="37">
        <f ca="1">IF($AJ27="Очікую","Оч",SUM(OFFSET(AH27,-1,0):OFFSET(AH11,1,0)))</f>
        <v>8</v>
      </c>
      <c r="AI27" s="37">
        <f ca="1">IF($AJ27="Очікую","Оч",SUM(OFFSET(AI27,-1,0):OFFSET(AI11,1,0)))</f>
        <v>6</v>
      </c>
      <c r="AJ27" s="37">
        <f ca="1">IF(SUM(OFFSET(AJ27,-1,0):OFFSET(AJ11,1,0))=0,"Очікую",SUM(OFFSET(AJ27,-1,0):OFFSET(AJ11,1,0)))</f>
        <v>148</v>
      </c>
      <c r="AK27" s="36"/>
      <c r="AL27" s="4"/>
      <c r="AM27" s="16"/>
    </row>
    <row r="28" spans="1:39" ht="12.95" customHeight="1" x14ac:dyDescent="0.25">
      <c r="A28" s="14"/>
      <c r="B28" s="4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4"/>
      <c r="AM28" s="16"/>
    </row>
    <row r="29" spans="1:39" ht="12.95" customHeight="1" x14ac:dyDescent="0.25">
      <c r="A29" s="14"/>
      <c r="B29" s="4"/>
      <c r="C29" s="36"/>
      <c r="D29" s="36"/>
      <c r="E29" s="3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36"/>
      <c r="AK29" s="36"/>
      <c r="AL29" s="4"/>
      <c r="AM29" s="16"/>
    </row>
    <row r="30" spans="1:39" ht="12.95" customHeight="1" x14ac:dyDescent="0.25">
      <c r="A30" s="14"/>
      <c r="B30" s="4"/>
      <c r="C30" s="41" t="s">
        <v>58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3"/>
      <c r="AK30" s="42"/>
      <c r="AL30" s="4"/>
      <c r="AM30" s="16"/>
    </row>
    <row r="31" spans="1:39" ht="12.95" customHeight="1" x14ac:dyDescent="0.2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16"/>
    </row>
    <row r="32" spans="1:39" ht="12.95" customHeight="1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2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thickBot="1" x14ac:dyDescent="0.3"/>
    <row r="47" ht="12" hidden="1" customHeight="1" x14ac:dyDescent="0.25"/>
  </sheetData>
  <mergeCells count="14"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  <mergeCell ref="C9:AK9"/>
  </mergeCells>
  <printOptions horizontalCentered="1"/>
  <pageMargins left="0.19685039370078741" right="0.19685039370078741" top="0.19685039370078741" bottom="0.19685039370078741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BF158"/>
  <sheetViews>
    <sheetView topLeftCell="A10" zoomScaleNormal="100" workbookViewId="0">
      <selection activeCell="J29" sqref="J29"/>
    </sheetView>
  </sheetViews>
  <sheetFormatPr defaultColWidth="0" defaultRowHeight="0" customHeight="1" zeroHeight="1" x14ac:dyDescent="0.25"/>
  <cols>
    <col min="1" max="2" width="1.453125" style="2" customWidth="1"/>
    <col min="3" max="3" width="3.6328125" style="2" customWidth="1"/>
    <col min="4" max="4" width="16.453125" style="2" customWidth="1"/>
    <col min="5" max="10" width="6.81640625" style="2" customWidth="1"/>
    <col min="11" max="12" width="1.453125" customWidth="1"/>
    <col min="13" max="20" width="13" hidden="1" customWidth="1"/>
    <col min="21" max="21" width="1.453125" style="2" hidden="1" customWidth="1"/>
    <col min="22" max="22" width="13" hidden="1" customWidth="1"/>
    <col min="23" max="58" width="0" style="2" hidden="1" customWidth="1"/>
    <col min="59" max="59" width="5.81640625" style="2" hidden="1" customWidth="1"/>
    <col min="60" max="16384" width="5.81640625" style="2" hidden="1"/>
  </cols>
  <sheetData>
    <row r="1" spans="1:12" s="3" customFormat="1" ht="12" customHeight="1" thickBot="1" x14ac:dyDescent="0.3">
      <c r="A1" s="11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0"/>
    </row>
    <row r="2" spans="1:12" s="1" customFormat="1" ht="12" customHeight="1" x14ac:dyDescent="0.25">
      <c r="A2" s="14"/>
      <c r="B2" s="4"/>
      <c r="C2" s="17"/>
      <c r="D2" s="17"/>
      <c r="E2" s="17"/>
      <c r="F2" s="17"/>
      <c r="G2" s="17"/>
      <c r="H2" s="17"/>
      <c r="I2" s="17"/>
      <c r="J2" s="17"/>
      <c r="K2" s="4"/>
      <c r="L2" s="16"/>
    </row>
    <row r="3" spans="1:12" ht="15" customHeight="1" x14ac:dyDescent="0.25">
      <c r="A3" s="14"/>
      <c r="B3" s="4"/>
      <c r="C3" s="56" t="s">
        <v>1</v>
      </c>
      <c r="D3" s="42"/>
      <c r="E3" s="42"/>
      <c r="F3" s="42"/>
      <c r="G3" s="42"/>
      <c r="H3" s="42"/>
      <c r="I3" s="42"/>
      <c r="J3" s="42"/>
      <c r="K3" s="4"/>
      <c r="L3" s="16"/>
    </row>
    <row r="4" spans="1:12" ht="80.099999999999994" customHeight="1" x14ac:dyDescent="0.25">
      <c r="A4" s="14"/>
      <c r="B4" s="4"/>
      <c r="C4" s="55" t="s">
        <v>49</v>
      </c>
      <c r="D4" s="42"/>
      <c r="E4" s="42"/>
      <c r="F4" s="42"/>
      <c r="G4" s="42"/>
      <c r="H4" s="42"/>
      <c r="I4" s="42"/>
      <c r="J4" s="42"/>
      <c r="K4" s="4"/>
      <c r="L4" s="16"/>
    </row>
    <row r="5" spans="1:12" ht="20.100000000000001" customHeight="1" x14ac:dyDescent="0.25">
      <c r="A5" s="14"/>
      <c r="B5" s="4"/>
      <c r="C5" s="18"/>
      <c r="D5" s="18"/>
      <c r="E5" s="18"/>
      <c r="F5" s="18"/>
      <c r="G5" s="18"/>
      <c r="H5" s="18"/>
      <c r="I5" s="18"/>
      <c r="J5" s="18"/>
      <c r="K5" s="4"/>
      <c r="L5" s="16"/>
    </row>
    <row r="6" spans="1:12" ht="18" customHeight="1" x14ac:dyDescent="0.25">
      <c r="A6" s="14"/>
      <c r="B6" s="4"/>
      <c r="C6" s="57" t="s">
        <v>50</v>
      </c>
      <c r="D6" s="42"/>
      <c r="E6" s="42"/>
      <c r="F6" s="42"/>
      <c r="G6" s="42"/>
      <c r="H6" s="42"/>
      <c r="I6" s="42"/>
      <c r="J6" s="42"/>
      <c r="K6" s="4"/>
      <c r="L6" s="16"/>
    </row>
    <row r="7" spans="1:12" ht="18.95" customHeight="1" x14ac:dyDescent="0.25">
      <c r="A7" s="14"/>
      <c r="B7" s="4"/>
      <c r="C7" s="19"/>
      <c r="D7" s="19"/>
      <c r="E7" s="19"/>
      <c r="F7" s="19"/>
      <c r="G7" s="19"/>
      <c r="H7" s="19"/>
      <c r="I7" s="19"/>
      <c r="J7" s="19"/>
      <c r="K7" s="4"/>
      <c r="L7" s="16"/>
    </row>
    <row r="8" spans="1:12" ht="18.75" customHeight="1" x14ac:dyDescent="0.25">
      <c r="A8" s="14"/>
      <c r="B8" s="4"/>
      <c r="C8" s="58" t="s">
        <v>5</v>
      </c>
      <c r="D8" s="49"/>
      <c r="E8" s="49"/>
      <c r="F8" s="49"/>
      <c r="G8" s="49"/>
      <c r="H8" s="49"/>
      <c r="I8" s="49"/>
      <c r="J8" s="50"/>
      <c r="K8" s="4"/>
      <c r="L8" s="16"/>
    </row>
    <row r="9" spans="1:12" ht="36.950000000000003" customHeight="1" x14ac:dyDescent="0.25">
      <c r="A9" s="14"/>
      <c r="B9" s="4"/>
      <c r="C9" s="20" t="s">
        <v>7</v>
      </c>
      <c r="D9" s="21" t="s">
        <v>51</v>
      </c>
      <c r="E9" s="22" t="s">
        <v>52</v>
      </c>
      <c r="F9" s="22" t="s">
        <v>53</v>
      </c>
      <c r="G9" s="22" t="s">
        <v>54</v>
      </c>
      <c r="H9" s="22" t="s">
        <v>55</v>
      </c>
      <c r="I9" s="22" t="s">
        <v>56</v>
      </c>
      <c r="J9" s="20" t="s">
        <v>57</v>
      </c>
      <c r="K9" s="4"/>
      <c r="L9" s="16"/>
    </row>
    <row r="10" spans="1:12" ht="18.75" customHeight="1" x14ac:dyDescent="0.25">
      <c r="A10" s="14"/>
      <c r="B10" s="4"/>
      <c r="C10" s="23">
        <v>1</v>
      </c>
      <c r="D10" s="24" t="s">
        <v>27</v>
      </c>
      <c r="E10" s="25">
        <f ca="1">'25-1'!$AJ$19</f>
        <v>4</v>
      </c>
      <c r="F10" s="25">
        <f ca="1">'25-2'!$AJ$19</f>
        <v>4</v>
      </c>
      <c r="G10" s="25">
        <f ca="1">'25-3'!$AJ$19</f>
        <v>4</v>
      </c>
      <c r="H10" s="25">
        <f ca="1">'25-4'!$AJ$19</f>
        <v>4</v>
      </c>
      <c r="I10" s="25">
        <f ca="1">'25-5'!$AJ$19</f>
        <v>4</v>
      </c>
      <c r="J10" s="26">
        <f ca="1">IF(SUM(OFFSET(J10,0,-1):OFFSET(D10,0,1))=0,"Очікую",SUM(OFFSET(J10,0,-1):OFFSET(D10,0,1)))</f>
        <v>20</v>
      </c>
      <c r="K10" s="4"/>
      <c r="L10" s="16"/>
    </row>
    <row r="11" spans="1:12" ht="18.75" customHeight="1" x14ac:dyDescent="0.25">
      <c r="A11" s="14"/>
      <c r="B11" s="4"/>
      <c r="C11" s="23">
        <v>2</v>
      </c>
      <c r="D11" s="27" t="s">
        <v>42</v>
      </c>
      <c r="E11" s="28"/>
      <c r="F11" s="28">
        <f ca="1">'25-2'!$AJ$22 + '25-2'!$AJ$23</f>
        <v>16</v>
      </c>
      <c r="G11" s="28"/>
      <c r="H11" s="28">
        <f ca="1">'25-4'!$AJ$22 + '25-4'!$AJ$23</f>
        <v>16</v>
      </c>
      <c r="I11" s="28"/>
      <c r="J11" s="26">
        <f ca="1">IF(SUM(OFFSET(J11,0,-1):OFFSET(D11,0,1))=0,"Очікую",SUM(OFFSET(J11,0,-1):OFFSET(D11,0,1)))</f>
        <v>32</v>
      </c>
      <c r="K11" s="4"/>
      <c r="L11" s="16"/>
    </row>
    <row r="12" spans="1:12" ht="18.75" customHeight="1" x14ac:dyDescent="0.25">
      <c r="A12" s="14"/>
      <c r="B12" s="4"/>
      <c r="C12" s="23">
        <v>3</v>
      </c>
      <c r="D12" s="27" t="s">
        <v>21</v>
      </c>
      <c r="E12" s="28">
        <f ca="1">'25-1'!$AJ$16</f>
        <v>10</v>
      </c>
      <c r="F12" s="28">
        <f ca="1">'25-2'!$AJ$16</f>
        <v>8</v>
      </c>
      <c r="G12" s="28">
        <f ca="1">'25-3'!$AJ$16</f>
        <v>8</v>
      </c>
      <c r="H12" s="28">
        <f ca="1">'25-4'!$AJ$16</f>
        <v>8</v>
      </c>
      <c r="I12" s="28">
        <f ca="1">'25-5'!$AJ$16</f>
        <v>8</v>
      </c>
      <c r="J12" s="26">
        <f ca="1">IF(SUM(OFFSET(J12,0,-1):OFFSET(D12,0,1))=0,"Очікую",SUM(OFFSET(J12,0,-1):OFFSET(D12,0,1)))</f>
        <v>42</v>
      </c>
      <c r="K12" s="4"/>
      <c r="L12" s="16"/>
    </row>
    <row r="13" spans="1:12" ht="18.75" customHeight="1" x14ac:dyDescent="0.25">
      <c r="A13" s="14"/>
      <c r="B13" s="4"/>
      <c r="C13" s="23">
        <v>4</v>
      </c>
      <c r="D13" s="24" t="s">
        <v>31</v>
      </c>
      <c r="E13" s="25">
        <f ca="1">'25-1'!$AJ$21</f>
        <v>16</v>
      </c>
      <c r="F13" s="25">
        <f ca="1">'25-2'!$AJ$21</f>
        <v>14</v>
      </c>
      <c r="G13" s="25"/>
      <c r="H13" s="25"/>
      <c r="I13" s="25"/>
      <c r="J13" s="26">
        <f ca="1">IF(SUM(OFFSET(J13,0,-1):OFFSET(D13,0,1))=0,"Очікую",SUM(OFFSET(J13,0,-1):OFFSET(D13,0,1)))</f>
        <v>30</v>
      </c>
      <c r="K13" s="4"/>
      <c r="L13" s="16"/>
    </row>
    <row r="14" spans="1:12" ht="18.75" customHeight="1" x14ac:dyDescent="0.25">
      <c r="A14" s="14"/>
      <c r="B14" s="4"/>
      <c r="C14" s="23">
        <v>5</v>
      </c>
      <c r="D14" s="27" t="s">
        <v>38</v>
      </c>
      <c r="E14" s="29">
        <f ca="1">'25-1'!$AJ$25</f>
        <v>14</v>
      </c>
      <c r="F14" s="29">
        <f ca="1">'25-2'!$AJ$25</f>
        <v>12</v>
      </c>
      <c r="G14" s="29"/>
      <c r="H14" s="29"/>
      <c r="I14" s="29"/>
      <c r="J14" s="26">
        <f ca="1">IF(SUM(OFFSET(J14,0,-1):OFFSET(D14,0,1))=0,"Очікую",SUM(OFFSET(J14,0,-1):OFFSET(D14,0,1)))</f>
        <v>26</v>
      </c>
      <c r="K14" s="4"/>
      <c r="L14" s="16"/>
    </row>
    <row r="15" spans="1:12" ht="18.75" customHeight="1" x14ac:dyDescent="0.25">
      <c r="A15" s="14"/>
      <c r="B15" s="4"/>
      <c r="C15" s="23">
        <v>6</v>
      </c>
      <c r="D15" s="27" t="s">
        <v>16</v>
      </c>
      <c r="E15" s="28">
        <f ca="1">'25-1'!$AJ$13</f>
        <v>12</v>
      </c>
      <c r="F15" s="28">
        <f ca="1">'25-2'!$AJ$13</f>
        <v>12</v>
      </c>
      <c r="G15" s="28">
        <f ca="1">'25-3'!$AJ$13</f>
        <v>12</v>
      </c>
      <c r="H15" s="28">
        <f ca="1">'25-4'!$AJ$13</f>
        <v>12</v>
      </c>
      <c r="I15" s="28">
        <f ca="1">'25-5'!$AJ$13</f>
        <v>12</v>
      </c>
      <c r="J15" s="26">
        <f ca="1">IF(SUM(OFFSET(J15,0,-1):OFFSET(D15,0,1))=0,"Очікую",SUM(OFFSET(J15,0,-1):OFFSET(D15,0,1)))</f>
        <v>60</v>
      </c>
      <c r="K15" s="4"/>
      <c r="L15" s="16"/>
    </row>
    <row r="16" spans="1:12" ht="18.75" customHeight="1" x14ac:dyDescent="0.25">
      <c r="A16" s="14"/>
      <c r="B16" s="4"/>
      <c r="C16" s="23">
        <v>7</v>
      </c>
      <c r="D16" s="27" t="s">
        <v>45</v>
      </c>
      <c r="E16" s="28"/>
      <c r="F16" s="28"/>
      <c r="G16" s="28">
        <f ca="1">'25-3'!$AJ$25</f>
        <v>14</v>
      </c>
      <c r="H16" s="28">
        <f ca="1">'25-4'!$AJ$25</f>
        <v>14</v>
      </c>
      <c r="I16" s="28">
        <f ca="1">'25-5'!$AJ$25</f>
        <v>12</v>
      </c>
      <c r="J16" s="26">
        <f ca="1">IF(SUM(OFFSET(J16,0,-1):OFFSET(D16,0,1))=0,"Очікую",SUM(OFFSET(J16,0,-1):OFFSET(D16,0,1)))</f>
        <v>40</v>
      </c>
      <c r="K16" s="4"/>
      <c r="L16" s="16"/>
    </row>
    <row r="17" spans="1:12" ht="18.75" customHeight="1" x14ac:dyDescent="0.25">
      <c r="A17" s="14"/>
      <c r="B17" s="4"/>
      <c r="C17" s="23">
        <v>8</v>
      </c>
      <c r="D17" s="27" t="s">
        <v>44</v>
      </c>
      <c r="E17" s="28"/>
      <c r="F17" s="28"/>
      <c r="G17" s="28">
        <f ca="1">'25-3'!$AJ$21</f>
        <v>16</v>
      </c>
      <c r="H17" s="28">
        <f ca="1">'25-4'!$AJ$21</f>
        <v>14</v>
      </c>
      <c r="I17" s="28">
        <f ca="1">'25-5'!$AJ$21</f>
        <v>16</v>
      </c>
      <c r="J17" s="26">
        <f ca="1">IF(SUM(OFFSET(J17,0,-1):OFFSET(D17,0,1))=0,"Очікую",SUM(OFFSET(J17,0,-1):OFFSET(D17,0,1)))</f>
        <v>46</v>
      </c>
      <c r="K17" s="4"/>
      <c r="L17" s="16"/>
    </row>
    <row r="18" spans="1:12" ht="18.75" customHeight="1" x14ac:dyDescent="0.25">
      <c r="A18" s="14"/>
      <c r="B18" s="4"/>
      <c r="C18" s="23">
        <v>9</v>
      </c>
      <c r="D18" s="27" t="s">
        <v>36</v>
      </c>
      <c r="E18" s="28">
        <f ca="1">'25-1'!$AJ$24</f>
        <v>10</v>
      </c>
      <c r="F18" s="28">
        <f ca="1">'25-2'!$AJ$24</f>
        <v>10</v>
      </c>
      <c r="G18" s="28">
        <f ca="1">'25-3'!$AJ$24</f>
        <v>8</v>
      </c>
      <c r="H18" s="28">
        <f ca="1">'25-4'!$AJ$24</f>
        <v>8</v>
      </c>
      <c r="I18" s="28">
        <f ca="1">'25-5'!$AJ$24</f>
        <v>8</v>
      </c>
      <c r="J18" s="26">
        <f ca="1">IF(SUM(OFFSET(J18,0,-1):OFFSET(D18,0,1))=0,"Очікую",SUM(OFFSET(J18,0,-1):OFFSET(D18,0,1)))</f>
        <v>44</v>
      </c>
      <c r="K18" s="4"/>
      <c r="L18" s="16"/>
    </row>
    <row r="19" spans="1:12" ht="18.75" customHeight="1" x14ac:dyDescent="0.25">
      <c r="A19" s="14"/>
      <c r="B19" s="4"/>
      <c r="C19" s="23">
        <v>10</v>
      </c>
      <c r="D19" s="27" t="s">
        <v>23</v>
      </c>
      <c r="E19" s="28">
        <f ca="1">'25-1'!$AJ$17</f>
        <v>12</v>
      </c>
      <c r="F19" s="28">
        <f ca="1">'25-2'!$AJ$17</f>
        <v>16</v>
      </c>
      <c r="G19" s="28">
        <f ca="1">'25-3'!$AJ$17</f>
        <v>14</v>
      </c>
      <c r="H19" s="28">
        <f ca="1">'25-4'!$AJ$17</f>
        <v>12</v>
      </c>
      <c r="I19" s="28">
        <f ca="1">'25-5'!$AJ$17</f>
        <v>16</v>
      </c>
      <c r="J19" s="26">
        <f ca="1">IF(SUM(OFFSET(J19,0,-1):OFFSET(D19,0,1))=0,"Очікую",SUM(OFFSET(J19,0,-1):OFFSET(D19,0,1)))</f>
        <v>70</v>
      </c>
      <c r="K19" s="4"/>
      <c r="L19" s="16"/>
    </row>
    <row r="20" spans="1:12" ht="18.75" customHeight="1" x14ac:dyDescent="0.25">
      <c r="A20" s="14"/>
      <c r="B20" s="4"/>
      <c r="C20" s="23">
        <v>11</v>
      </c>
      <c r="D20" s="24" t="s">
        <v>29</v>
      </c>
      <c r="E20" s="25">
        <f ca="1">'25-1'!$AJ$20</f>
        <v>10</v>
      </c>
      <c r="F20" s="25">
        <f ca="1">'25-2'!$AJ$20</f>
        <v>10</v>
      </c>
      <c r="G20" s="25">
        <f ca="1">'25-3'!$AJ$20</f>
        <v>10</v>
      </c>
      <c r="H20" s="25">
        <f ca="1">'25-4'!$AJ$20</f>
        <v>8</v>
      </c>
      <c r="I20" s="25">
        <f ca="1">'25-5'!$AJ$20</f>
        <v>8</v>
      </c>
      <c r="J20" s="26">
        <f ca="1">IF(SUM(OFFSET(J20,0,-1):OFFSET(D20,0,1))=0,"Очікую",SUM(OFFSET(J20,0,-1):OFFSET(D20,0,1)))</f>
        <v>46</v>
      </c>
      <c r="K20" s="4"/>
      <c r="L20" s="16"/>
    </row>
    <row r="21" spans="1:12" ht="18.75" customHeight="1" x14ac:dyDescent="0.25">
      <c r="A21" s="14"/>
      <c r="B21" s="4"/>
      <c r="C21" s="23">
        <v>12</v>
      </c>
      <c r="D21" s="30" t="s">
        <v>18</v>
      </c>
      <c r="E21" s="28">
        <f ca="1">'25-1'!$AJ$14</f>
        <v>8</v>
      </c>
      <c r="F21" s="28">
        <f ca="1">'25-2'!$AJ$14</f>
        <v>10</v>
      </c>
      <c r="G21" s="28">
        <f ca="1">'25-3'!$AJ$14</f>
        <v>10</v>
      </c>
      <c r="H21" s="28">
        <f ca="1">'25-4'!$AJ$14</f>
        <v>10</v>
      </c>
      <c r="I21" s="28">
        <f ca="1">'25-5'!$AJ$14</f>
        <v>10</v>
      </c>
      <c r="J21" s="26">
        <f ca="1">IF(SUM(OFFSET(J21,0,-1):OFFSET(D21,0,1))=0,"Очікую",SUM(OFFSET(J21,0,-1):OFFSET(D21,0,1)))</f>
        <v>48</v>
      </c>
      <c r="K21" s="4"/>
      <c r="L21" s="16"/>
    </row>
    <row r="22" spans="1:12" ht="18.75" customHeight="1" x14ac:dyDescent="0.25">
      <c r="A22" s="14"/>
      <c r="B22" s="4"/>
      <c r="C22" s="23">
        <v>13</v>
      </c>
      <c r="D22" s="27" t="s">
        <v>14</v>
      </c>
      <c r="E22" s="25">
        <f ca="1">'25-1'!$AJ$12 + '25-1'!$AJ$15</f>
        <v>18</v>
      </c>
      <c r="F22" s="25">
        <f ca="1">'25-2'!$AJ$12 + '25-2'!$AJ$15</f>
        <v>18</v>
      </c>
      <c r="G22" s="25">
        <f ca="1">'25-3'!$AJ$12 + '25-3'!$AJ$15</f>
        <v>18</v>
      </c>
      <c r="H22" s="25">
        <f ca="1">'25-4'!$AJ$12 + '25-4'!$AJ$15</f>
        <v>18</v>
      </c>
      <c r="I22" s="25">
        <f ca="1">'25-5'!$AJ$12 + '25-5'!$AJ$15</f>
        <v>16</v>
      </c>
      <c r="J22" s="26">
        <f ca="1">IF(SUM(OFFSET(J22,0,-1):OFFSET(D22,0,1))=0,"Очікую",SUM(OFFSET(J22,0,-1):OFFSET(D22,0,1)))</f>
        <v>88</v>
      </c>
      <c r="K22" s="4"/>
      <c r="L22" s="16"/>
    </row>
    <row r="23" spans="1:12" ht="18.75" customHeight="1" x14ac:dyDescent="0.25">
      <c r="A23" s="14"/>
      <c r="B23" s="4"/>
      <c r="C23" s="23">
        <v>14</v>
      </c>
      <c r="D23" s="24" t="s">
        <v>25</v>
      </c>
      <c r="E23" s="25">
        <f ca="1">'25-1'!$AJ$18</f>
        <v>8</v>
      </c>
      <c r="F23" s="25">
        <f ca="1">'25-2'!$AJ$18</f>
        <v>8</v>
      </c>
      <c r="G23" s="25">
        <f ca="1">'25-3'!$AJ$18</f>
        <v>8</v>
      </c>
      <c r="H23" s="25">
        <f ca="1">'25-4'!$AJ$18</f>
        <v>8</v>
      </c>
      <c r="I23" s="25">
        <f ca="1">'25-5'!$AJ$18</f>
        <v>8</v>
      </c>
      <c r="J23" s="26">
        <f ca="1">IF(SUM(OFFSET(J23,0,-1):OFFSET(D23,0,1))=0,"Очікую",SUM(OFFSET(J23,0,-1):OFFSET(D23,0,1)))</f>
        <v>40</v>
      </c>
      <c r="K23" s="4"/>
      <c r="L23" s="16"/>
    </row>
    <row r="24" spans="1:12" ht="18.75" customHeight="1" x14ac:dyDescent="0.25">
      <c r="A24" s="14"/>
      <c r="B24" s="4"/>
      <c r="C24" s="23">
        <v>15</v>
      </c>
      <c r="D24" s="30" t="s">
        <v>47</v>
      </c>
      <c r="E24" s="25"/>
      <c r="F24" s="25"/>
      <c r="G24" s="25"/>
      <c r="H24" s="25">
        <f ca="1">'25-4'!$AJ$26</f>
        <v>10</v>
      </c>
      <c r="I24" s="25">
        <f ca="1">'25-5'!$AJ$26</f>
        <v>10</v>
      </c>
      <c r="J24" s="26">
        <f ca="1">IF(SUM(OFFSET(J24,0,-1):OFFSET(D24,0,1))=0,"Очікую",SUM(OFFSET(J24,0,-1):OFFSET(D24,0,1)))</f>
        <v>20</v>
      </c>
      <c r="K24" s="4"/>
      <c r="L24" s="16"/>
    </row>
    <row r="25" spans="1:12" ht="18.75" customHeight="1" x14ac:dyDescent="0.25">
      <c r="A25" s="14"/>
      <c r="B25" s="4"/>
      <c r="C25" s="23">
        <v>16</v>
      </c>
      <c r="D25" s="27" t="s">
        <v>40</v>
      </c>
      <c r="E25" s="28">
        <f ca="1">'25-1'!$AJ$26</f>
        <v>8</v>
      </c>
      <c r="F25" s="28">
        <f ca="1">'25-2'!$AJ$26</f>
        <v>8</v>
      </c>
      <c r="G25" s="28">
        <f ca="1">'25-3'!$AJ$26</f>
        <v>8</v>
      </c>
      <c r="H25" s="28"/>
      <c r="I25" s="28"/>
      <c r="J25" s="26">
        <f ca="1">IF(SUM(OFFSET(J25,0,-1):OFFSET(D25,0,1))=0,"Очікую",SUM(OFFSET(J25,0,-1):OFFSET(D25,0,1)))</f>
        <v>24</v>
      </c>
      <c r="K25" s="4"/>
      <c r="L25" s="16"/>
    </row>
    <row r="26" spans="1:12" ht="18.75" customHeight="1" x14ac:dyDescent="0.25">
      <c r="A26" s="14"/>
      <c r="B26" s="4"/>
      <c r="C26" s="23">
        <v>17</v>
      </c>
      <c r="D26" s="27" t="s">
        <v>33</v>
      </c>
      <c r="E26" s="28">
        <f ca="1">'25-1'!$AJ$22 + '25-1'!$AJ$23</f>
        <v>16</v>
      </c>
      <c r="F26" s="28"/>
      <c r="G26" s="28">
        <f ca="1">'25-3'!$AJ$22 + '25-3'!$AJ$23</f>
        <v>20</v>
      </c>
      <c r="H26" s="28"/>
      <c r="I26" s="28">
        <f ca="1">'25-5'!$AJ$22 + '25-5'!$AJ$23</f>
        <v>20</v>
      </c>
      <c r="J26" s="26">
        <f ca="1">IF(SUM(OFFSET(J26,0,-1):OFFSET(D26,0,1))=0,"Очікую",SUM(OFFSET(J26,0,-1):OFFSET(D26,0,1)))</f>
        <v>56</v>
      </c>
      <c r="K26" s="4"/>
      <c r="L26" s="16"/>
    </row>
    <row r="27" spans="1:12" ht="18.75" customHeight="1" x14ac:dyDescent="0.25">
      <c r="A27" s="14"/>
      <c r="B27" s="4"/>
      <c r="C27" s="31"/>
      <c r="D27" s="31"/>
      <c r="E27" s="32">
        <f ca="1">IF(SUM(OFFSET(E27,-1,0):OFFSET(E9,1,0))=0,"Очікую",SUM(OFFSET(E27,-1,0):OFFSET(E9,1,0)))</f>
        <v>146</v>
      </c>
      <c r="F27" s="32">
        <f ca="1">IF(SUM(OFFSET(F27,-1,0):OFFSET(F9,1,0))=0,"Очікую",SUM(OFFSET(F27,-1,0):OFFSET(F9,1,0)))</f>
        <v>146</v>
      </c>
      <c r="G27" s="32">
        <f ca="1">IF(SUM(OFFSET(G27,-1,0):OFFSET(G9,1,0))=0,"Очікую",SUM(OFFSET(G27,-1,0):OFFSET(G9,1,0)))</f>
        <v>150</v>
      </c>
      <c r="H27" s="32">
        <f ca="1">IF(SUM(OFFSET(H27,-1,0):OFFSET(H9,1,0))=0,"Очікую",SUM(OFFSET(H27,-1,0):OFFSET(H9,1,0)))</f>
        <v>142</v>
      </c>
      <c r="I27" s="32">
        <f ca="1">IF(SUM(OFFSET(I27,-1,0):OFFSET(I9,1,0))=0,"Очікую",SUM(OFFSET(I27,-1,0):OFFSET(I9,1,0)))</f>
        <v>148</v>
      </c>
      <c r="J27" s="26">
        <f ca="1">IF(SUM(OFFSET(J27,-1,0):OFFSET(J9,1,0))=0,"Очікую",SUM(OFFSET(J27,-1,0):OFFSET(J9,1,0)))</f>
        <v>732</v>
      </c>
      <c r="K27" s="4"/>
      <c r="L27" s="16"/>
    </row>
    <row r="28" spans="1:12" ht="18.75" customHeight="1" x14ac:dyDescent="0.25">
      <c r="A28" s="14"/>
      <c r="B28" s="4"/>
      <c r="C28" s="39"/>
      <c r="D28" s="33"/>
      <c r="E28" s="34"/>
      <c r="F28" s="34"/>
      <c r="G28" s="34"/>
      <c r="H28" s="34"/>
      <c r="I28" s="34"/>
      <c r="J28" s="20" t="s">
        <v>57</v>
      </c>
      <c r="K28" s="4"/>
      <c r="L28" s="16"/>
    </row>
    <row r="29" spans="1:12" ht="18.75" customHeight="1" x14ac:dyDescent="0.25">
      <c r="A29" s="14"/>
      <c r="B29" s="4"/>
      <c r="C29" s="39"/>
      <c r="D29" s="31"/>
      <c r="E29" s="34"/>
      <c r="F29" s="34"/>
      <c r="G29" s="34"/>
      <c r="H29" s="34"/>
      <c r="I29" s="34"/>
      <c r="J29" s="34"/>
      <c r="K29" s="4"/>
      <c r="L29" s="16"/>
    </row>
    <row r="30" spans="1:12" ht="18.75" customHeight="1" x14ac:dyDescent="0.25">
      <c r="A30" s="14"/>
      <c r="B30" s="4"/>
      <c r="C30" s="56" t="s">
        <v>58</v>
      </c>
      <c r="D30" s="42"/>
      <c r="E30" s="42"/>
      <c r="F30" s="42"/>
      <c r="G30" s="42"/>
      <c r="H30" s="42"/>
      <c r="I30" s="42"/>
      <c r="J30" s="42"/>
      <c r="K30" s="4"/>
      <c r="L30" s="16"/>
    </row>
    <row r="31" spans="1:12" ht="18.75" customHeight="1" x14ac:dyDescent="0.25">
      <c r="A31" s="14"/>
      <c r="B31" s="4"/>
      <c r="C31" s="17"/>
      <c r="D31" s="17"/>
      <c r="E31" s="17"/>
      <c r="F31" s="17"/>
      <c r="G31" s="17"/>
      <c r="H31" s="17"/>
      <c r="I31" s="17"/>
      <c r="J31" s="17"/>
      <c r="K31" s="4"/>
      <c r="L31" s="16"/>
    </row>
    <row r="32" spans="1:12" ht="18.75" customHeight="1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2"/>
    </row>
    <row r="33" ht="18.75" hidden="1" customHeight="1" x14ac:dyDescent="0.25"/>
    <row r="34" ht="18.75" hidden="1" customHeight="1" x14ac:dyDescent="0.25"/>
    <row r="35" ht="18.75" hidden="1" customHeight="1" x14ac:dyDescent="0.25"/>
    <row r="36" ht="18.75" hidden="1" customHeight="1" x14ac:dyDescent="0.25"/>
    <row r="37" ht="18.75" hidden="1" customHeight="1" x14ac:dyDescent="0.25"/>
    <row r="38" ht="18.75" hidden="1" customHeight="1" x14ac:dyDescent="0.25"/>
    <row r="39" ht="18.75" hidden="1" customHeight="1" x14ac:dyDescent="0.25"/>
    <row r="40" ht="18.75" hidden="1" customHeight="1" x14ac:dyDescent="0.25"/>
    <row r="41" ht="18.75" hidden="1" customHeight="1" x14ac:dyDescent="0.25"/>
    <row r="42" ht="18.75" hidden="1" customHeight="1" x14ac:dyDescent="0.25"/>
    <row r="43" ht="18.75" hidden="1" customHeight="1" x14ac:dyDescent="0.25"/>
    <row r="44" ht="18.75" hidden="1" customHeight="1" x14ac:dyDescent="0.25"/>
    <row r="45" ht="18.75" hidden="1" customHeight="1" x14ac:dyDescent="0.25"/>
    <row r="46" ht="18.75" hidden="1" customHeight="1" x14ac:dyDescent="0.25"/>
    <row r="47" ht="18.75" hidden="1" customHeight="1" x14ac:dyDescent="0.25"/>
    <row r="48" ht="18.75" hidden="1" customHeight="1" x14ac:dyDescent="0.25"/>
    <row r="49" ht="18.75" hidden="1" customHeight="1" x14ac:dyDescent="0.25"/>
    <row r="50" ht="18.75" hidden="1" customHeight="1" x14ac:dyDescent="0.25"/>
    <row r="51" ht="18.75" hidden="1" customHeight="1" x14ac:dyDescent="0.25"/>
    <row r="52" ht="18.75" hidden="1" customHeight="1" x14ac:dyDescent="0.25"/>
    <row r="53" ht="18.75" hidden="1" customHeight="1" x14ac:dyDescent="0.25"/>
    <row r="54" ht="18.75" hidden="1" customHeight="1" x14ac:dyDescent="0.25"/>
    <row r="55" ht="18.75" hidden="1" customHeight="1" x14ac:dyDescent="0.25"/>
    <row r="56" ht="18.75" hidden="1" customHeight="1" x14ac:dyDescent="0.25"/>
    <row r="57" ht="18.75" hidden="1" customHeight="1" x14ac:dyDescent="0.25"/>
    <row r="58" ht="18.75" hidden="1" customHeight="1" x14ac:dyDescent="0.25"/>
    <row r="59" ht="18.75" hidden="1" customHeight="1" x14ac:dyDescent="0.25"/>
    <row r="60" ht="18.75" hidden="1" customHeight="1" x14ac:dyDescent="0.25"/>
    <row r="61" ht="18.75" hidden="1" customHeight="1" x14ac:dyDescent="0.25"/>
    <row r="62" ht="18.75" hidden="1" customHeight="1" x14ac:dyDescent="0.25"/>
    <row r="63" ht="18.75" hidden="1" customHeight="1" x14ac:dyDescent="0.25"/>
    <row r="64" ht="18.75" hidden="1" customHeight="1" x14ac:dyDescent="0.25"/>
    <row r="65" ht="18.75" hidden="1" customHeight="1" x14ac:dyDescent="0.25"/>
    <row r="66" ht="18.75" hidden="1" customHeight="1" x14ac:dyDescent="0.25"/>
    <row r="67" ht="18.75" hidden="1" customHeight="1" x14ac:dyDescent="0.25"/>
    <row r="68" ht="18.75" hidden="1" customHeight="1" x14ac:dyDescent="0.25"/>
    <row r="69" ht="18.75" hidden="1" customHeight="1" x14ac:dyDescent="0.25"/>
    <row r="70" ht="18.75" hidden="1" customHeight="1" x14ac:dyDescent="0.25"/>
    <row r="71" ht="18.75" hidden="1" customHeight="1" x14ac:dyDescent="0.25"/>
    <row r="72" ht="18.75" hidden="1" customHeight="1" x14ac:dyDescent="0.25"/>
    <row r="73" ht="18.75" hidden="1" customHeight="1" x14ac:dyDescent="0.25"/>
    <row r="74" ht="18.75" hidden="1" customHeight="1" x14ac:dyDescent="0.25"/>
    <row r="75" ht="18.75" hidden="1" customHeight="1" x14ac:dyDescent="0.25"/>
    <row r="76" ht="18.75" hidden="1" customHeight="1" x14ac:dyDescent="0.25"/>
    <row r="77" ht="18.75" hidden="1" customHeight="1" x14ac:dyDescent="0.25"/>
    <row r="78" ht="18.75" hidden="1" customHeight="1" x14ac:dyDescent="0.25"/>
    <row r="79" ht="18.75" hidden="1" customHeight="1" x14ac:dyDescent="0.25"/>
    <row r="80" ht="18.75" hidden="1" customHeight="1" x14ac:dyDescent="0.25"/>
    <row r="81" ht="18.75" hidden="1" customHeight="1" x14ac:dyDescent="0.25"/>
    <row r="82" ht="18.75" hidden="1" customHeight="1" x14ac:dyDescent="0.25"/>
    <row r="83" ht="18.75" hidden="1" customHeight="1" x14ac:dyDescent="0.25"/>
    <row r="84" ht="18.75" hidden="1" customHeight="1" x14ac:dyDescent="0.25"/>
    <row r="85" ht="18.75" hidden="1" customHeight="1" x14ac:dyDescent="0.25"/>
    <row r="86" ht="18.75" hidden="1" customHeight="1" x14ac:dyDescent="0.25"/>
    <row r="87" ht="18.75" hidden="1" customHeight="1" x14ac:dyDescent="0.25"/>
    <row r="88" ht="18.75" hidden="1" customHeight="1" x14ac:dyDescent="0.25"/>
    <row r="89" ht="18.75" hidden="1" customHeight="1" x14ac:dyDescent="0.25"/>
    <row r="90" ht="18.75" hidden="1" customHeight="1" x14ac:dyDescent="0.25"/>
    <row r="91" ht="18.75" hidden="1" customHeight="1" x14ac:dyDescent="0.25"/>
    <row r="92" ht="18.75" hidden="1" customHeight="1" x14ac:dyDescent="0.25"/>
    <row r="93" ht="18.75" hidden="1" customHeight="1" x14ac:dyDescent="0.25"/>
    <row r="94" ht="18.75" hidden="1" customHeight="1" x14ac:dyDescent="0.25"/>
    <row r="95" ht="18.75" hidden="1" customHeight="1" x14ac:dyDescent="0.25"/>
    <row r="96" ht="18.75" hidden="1" customHeight="1" x14ac:dyDescent="0.25"/>
    <row r="97" ht="18.75" hidden="1" customHeight="1" x14ac:dyDescent="0.25"/>
    <row r="98" ht="18.75" hidden="1" customHeight="1" x14ac:dyDescent="0.25"/>
    <row r="99" ht="18.75" hidden="1" customHeight="1" x14ac:dyDescent="0.25"/>
    <row r="100" ht="18.75" hidden="1" customHeight="1" x14ac:dyDescent="0.25"/>
    <row r="101" ht="18.75" hidden="1" customHeight="1" x14ac:dyDescent="0.25"/>
    <row r="102" ht="18.75" hidden="1" customHeight="1" x14ac:dyDescent="0.25"/>
    <row r="103" ht="18.75" hidden="1" customHeight="1" x14ac:dyDescent="0.25"/>
    <row r="104" ht="18.75" hidden="1" customHeight="1" x14ac:dyDescent="0.25"/>
    <row r="105" ht="18.75" hidden="1" customHeight="1" x14ac:dyDescent="0.25"/>
    <row r="106" ht="18.75" hidden="1" customHeight="1" x14ac:dyDescent="0.25"/>
    <row r="107" ht="18.75" hidden="1" customHeight="1" x14ac:dyDescent="0.25"/>
    <row r="108" ht="18.75" hidden="1" customHeight="1" x14ac:dyDescent="0.25"/>
    <row r="109" ht="18.75" hidden="1" customHeight="1" x14ac:dyDescent="0.25"/>
    <row r="110" ht="18.75" hidden="1" customHeight="1" x14ac:dyDescent="0.25"/>
    <row r="111" ht="18.75" hidden="1" customHeight="1" x14ac:dyDescent="0.25"/>
    <row r="112" ht="18.75" hidden="1" customHeight="1" x14ac:dyDescent="0.25"/>
    <row r="113" ht="18.75" hidden="1" customHeight="1" x14ac:dyDescent="0.25"/>
    <row r="114" ht="12.95" hidden="1" customHeight="1" thickBot="1" x14ac:dyDescent="0.3"/>
    <row r="115" ht="12" hidden="1" customHeight="1" x14ac:dyDescent="0.25"/>
    <row r="116" ht="12" hidden="1" customHeight="1" x14ac:dyDescent="0.25"/>
    <row r="117" ht="12" hidden="1" customHeight="1" x14ac:dyDescent="0.25"/>
    <row r="118" ht="12" hidden="1" customHeight="1" x14ac:dyDescent="0.25"/>
    <row r="119" ht="12" hidden="1" customHeight="1" x14ac:dyDescent="0.25"/>
    <row r="120" ht="12" hidden="1" customHeight="1" x14ac:dyDescent="0.25"/>
    <row r="121" ht="12" hidden="1" customHeight="1" x14ac:dyDescent="0.25"/>
    <row r="122" ht="12" hidden="1" customHeight="1" x14ac:dyDescent="0.25"/>
    <row r="123" ht="12" hidden="1" customHeight="1" x14ac:dyDescent="0.25"/>
    <row r="124" ht="12" hidden="1" customHeight="1" x14ac:dyDescent="0.25"/>
    <row r="125" ht="12" hidden="1" customHeight="1" x14ac:dyDescent="0.25"/>
    <row r="126" ht="12" hidden="1" customHeight="1" x14ac:dyDescent="0.25"/>
    <row r="127" ht="12" hidden="1" customHeight="1" x14ac:dyDescent="0.25"/>
    <row r="128" ht="12" hidden="1" customHeight="1" x14ac:dyDescent="0.25"/>
    <row r="129" ht="12" hidden="1" customHeight="1" x14ac:dyDescent="0.25"/>
    <row r="130" ht="12" hidden="1" customHeight="1" x14ac:dyDescent="0.25"/>
    <row r="131" ht="12" hidden="1" customHeight="1" x14ac:dyDescent="0.25"/>
    <row r="132" ht="12" hidden="1" customHeight="1" x14ac:dyDescent="0.25"/>
    <row r="133" ht="12" hidden="1" customHeight="1" x14ac:dyDescent="0.25"/>
    <row r="134" ht="12" hidden="1" customHeight="1" x14ac:dyDescent="0.25"/>
    <row r="135" ht="12" hidden="1" customHeight="1" x14ac:dyDescent="0.25"/>
    <row r="136" ht="12" hidden="1" customHeight="1" x14ac:dyDescent="0.25"/>
    <row r="137" ht="12" hidden="1" customHeight="1" x14ac:dyDescent="0.25"/>
    <row r="138" ht="12" hidden="1" customHeight="1" x14ac:dyDescent="0.25"/>
    <row r="139" ht="12" hidden="1" customHeight="1" x14ac:dyDescent="0.25"/>
    <row r="140" ht="12" hidden="1" customHeight="1" x14ac:dyDescent="0.25"/>
    <row r="141" ht="12" hidden="1" customHeight="1" x14ac:dyDescent="0.25"/>
    <row r="142" ht="12" hidden="1" customHeight="1" x14ac:dyDescent="0.25"/>
    <row r="143" ht="12" hidden="1" customHeight="1" x14ac:dyDescent="0.25"/>
    <row r="144" ht="12" hidden="1" customHeight="1" x14ac:dyDescent="0.25"/>
    <row r="145" ht="12" hidden="1" customHeight="1" x14ac:dyDescent="0.25"/>
    <row r="146" ht="12" hidden="1" customHeight="1" x14ac:dyDescent="0.25"/>
    <row r="147" ht="12" hidden="1" customHeight="1" x14ac:dyDescent="0.25"/>
    <row r="148" ht="12" hidden="1" customHeight="1" x14ac:dyDescent="0.25"/>
    <row r="149" ht="12" hidden="1" customHeight="1" x14ac:dyDescent="0.25"/>
    <row r="150" ht="12" hidden="1" customHeight="1" x14ac:dyDescent="0.25"/>
    <row r="151" ht="12" hidden="1" customHeight="1" x14ac:dyDescent="0.25"/>
    <row r="152" ht="12" hidden="1" customHeight="1" x14ac:dyDescent="0.25"/>
    <row r="153" ht="12" hidden="1" customHeight="1" x14ac:dyDescent="0.25"/>
    <row r="154" ht="12" hidden="1" customHeight="1" x14ac:dyDescent="0.25"/>
    <row r="155" ht="12" hidden="1" customHeight="1" x14ac:dyDescent="0.25"/>
    <row r="156" ht="12" hidden="1" customHeight="1" x14ac:dyDescent="0.25"/>
    <row r="157" ht="12" hidden="1" customHeight="1" x14ac:dyDescent="0.25"/>
    <row r="158" ht="12" hidden="1" customHeight="1" x14ac:dyDescent="0.25"/>
  </sheetData>
  <mergeCells count="5">
    <mergeCell ref="C4:J4"/>
    <mergeCell ref="C3:J3"/>
    <mergeCell ref="C30:J30"/>
    <mergeCell ref="C6:J6"/>
    <mergeCell ref="C8:J8"/>
  </mergeCells>
  <printOptions horizontalCentered="1"/>
  <pageMargins left="0.19685039370078741" right="0.19685039370078741" top="0.19685039370078741" bottom="0.19685039370078741" header="0" footer="0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25-1</vt:lpstr>
      <vt:lpstr>25-2</vt:lpstr>
      <vt:lpstr>25-3</vt:lpstr>
      <vt:lpstr>25-4</vt:lpstr>
      <vt:lpstr>25-5</vt:lpstr>
      <vt:lpstr>Зведена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  <vt:lpstr>Зведена!Область_печати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SURKOV</dc:creator>
  <cp:lastModifiedBy>K404</cp:lastModifiedBy>
  <cp:lastPrinted>2026-04-08T10:32:33Z</cp:lastPrinted>
  <dcterms:created xsi:type="dcterms:W3CDTF">2024-10-09T11:05:57Z</dcterms:created>
  <dcterms:modified xsi:type="dcterms:W3CDTF">2026-04-08T10:33:00Z</dcterms:modified>
</cp:coreProperties>
</file>