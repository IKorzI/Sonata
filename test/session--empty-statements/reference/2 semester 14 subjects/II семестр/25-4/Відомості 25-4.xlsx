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'Загальна'!$C$3:$S$47</definedName>
    <definedName name="A1048577" localSheetId="1">#REF!</definedName>
    <definedName name="Ф80" localSheetId="1">#REF!</definedName>
    <definedName name="_xlnm.Print_Area" localSheetId="1">'Зведена G3'!$C$3:$S$35</definedName>
    <definedName name="A1048577" localSheetId="2">#REF!</definedName>
    <definedName name="Ф80" localSheetId="2">#REF!</definedName>
    <definedName name="_xlnm.Print_Area" localSheetId="2">'Зведена G5'!$C$3:$S$30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9">
        <f>IFERROR(AVERAGE($F39:S39),"Очікую")</f>
        <v/>
      </c>
      <c r="U39" s="20" t="n"/>
      <c r="V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6" t="n"/>
      <c r="U40" s="20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6" t="n"/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IFERROR(AVERAGE(F40:S40),"Очікую")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IFERROR(AVERAGE($F41:S41),"Очікую")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52" t="n"/>
      <c r="R44" s="52" t="n"/>
      <c r="S44" s="52" t="n"/>
      <c r="T44" s="52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54" t="n"/>
      <c r="P45" s="54" t="inlineStr"/>
      <c r="Q45" s="54" t="n"/>
      <c r="R45" s="54" t="n"/>
      <c r="S45" s="54" t="n"/>
      <c r="T45" s="54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52" t="n"/>
      <c r="P46" s="52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IF(F44="Очікую","Очікую",IF(F44-COUNTIF($T$10:$T38," - ")&lt;ROUNDDOWN(F44*0.45,0),F44-COUNTIF($T$10:$T38," - "),ROUNDDOWN(F44*0.45,0)))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>
        <is>
          <t>Маргарита БРІТІКОВА</t>
        </is>
      </c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5" t="n"/>
      <c r="V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59" t="n"/>
      <c r="V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«Електрична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'Загальна'!P45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")&lt;ROUNDDOWN(F32*0.45,0),F32-COUNTIF($T$10:$T26," - "),ROUNDDOWN(F32*0.45,0)))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Маргарита БРІТІКОВА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«Електроніка, електронні комунікації, приладобудування та радіотехніка»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9">
        <f>IFERROR(AVERAGE($F22:S22),"Очікую")</f>
        <v/>
      </c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IFERROR(AVERAGE(F23:S23),"Очікую")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6" t="n"/>
      <c r="M28" s="6" t="n"/>
      <c r="N28" s="6" t="n"/>
      <c r="O28" s="56" t="n"/>
      <c r="P28" s="54">
        <f>'Загальна'!P45</f>
        <v/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6" t="n"/>
      <c r="M29" s="6" t="n"/>
      <c r="N29" s="6" t="n"/>
      <c r="O29" s="56" t="n"/>
      <c r="P29" s="52" t="n"/>
      <c r="Q29" s="52" t="n"/>
      <c r="R29" s="52" t="n"/>
      <c r="S29" s="52" t="n"/>
      <c r="T29" s="52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IF(F27="Очікую","Очікую",IF(F27-COUNTIF($T$10:$T21," - ")&lt;ROUNDDOWN(F27*0.45,0),F27-COUNTIF($T$10:$T21," - "),ROUNDDOWN(F27*0.45,0)))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6" t="n"/>
      <c r="M30" s="6" t="n"/>
      <c r="N30" s="6" t="n"/>
      <c r="O30" s="56" t="n"/>
      <c r="P30" s="54" t="inlineStr">
        <is>
          <t>Маргарита БРІТІКОВА</t>
        </is>
      </c>
      <c r="Q30" s="54" t="n"/>
      <c r="R30" s="54" t="n"/>
      <c r="S30" s="54" t="n"/>
      <c r="T30" s="54" t="n"/>
      <c r="U30" s="20" t="n"/>
      <c r="V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5" t="n"/>
      <c r="V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2026-06-22T16:44:00Z</dcterms:modified>
  <cp:lastModifiedBy>Maxim</cp:lastModifiedBy>
  <cp:lastPrinted>2026-01-07T15:30:50Z</cp:lastPrinted>
</cp:coreProperties>
</file>