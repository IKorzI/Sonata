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'Загальна'!$C$3:$S$49</definedName>
    <definedName name="A1048577" localSheetId="1">#REF!</definedName>
    <definedName name="Ф80" localSheetId="1">#REF!</definedName>
    <definedName name="_xlnm.Print_Area" localSheetId="1">'Зведена G13'!$C$3:$S$31</definedName>
    <definedName name="A1048577" localSheetId="2">#REF!</definedName>
    <definedName name="Ф80" localSheetId="2">#REF!</definedName>
    <definedName name="_xlnm.Print_Area" localSheetId="2">'Зведена J2'!$C$3:$S$31</definedName>
    <definedName name="A1048577" localSheetId="3">#REF!</definedName>
    <definedName name="Ф80" localSheetId="3">#REF!</definedName>
    <definedName name="_xlnm.Print_Area" localSheetId="3">'Зведена J3'!$C$3:$S$23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9">
        <f>IFERROR(AVERAGE($F41:S41),"Очікую")</f>
        <v/>
      </c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IFERROR(AVERAGE(F42:S42),"Очікую")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IFERROR(AVERAGE($F43:S43),"Очікую")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IF(COUNTIF($C$10:$C40,"=B")=0,IF(COUNTIF($C$10:$C40,"=K")=0,"Очікую",0),COUNTIF($C$10:$C40,"=B"))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IF(COUNTIF($C$10:$C40,"=K")=0,IF(COUNTIF($C$10:$C40,"=B")=0,"Очікую",0),COUNTIF($C$10:$C40,"=K"))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/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52" t="n"/>
      <c r="P48" s="52" t="n"/>
      <c r="Q48" s="52" t="n"/>
      <c r="R48" s="52" t="n"/>
      <c r="S48" s="52" t="n"/>
      <c r="T48" s="52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IF(F46="Очікую","Очікую",IF(F46-COUNTIF($T$10:$T40," - ")&lt;ROUNDDOWN(F46*0.45,0),F46-COUNTIF($T$10:$T40," - "),ROUNDDOWN(F46*0.45,0)))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54" t="n"/>
      <c r="P49" s="54" t="inlineStr">
        <is>
          <t>Маргарита БРІТІКОВА</t>
        </is>
      </c>
      <c r="Q49" s="54" t="n"/>
      <c r="R49" s="54" t="n"/>
      <c r="S49" s="54" t="n"/>
      <c r="T49" s="54" t="n"/>
      <c r="U49" s="20" t="n"/>
      <c r="V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5" t="n"/>
      <c r="V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59" t="n"/>
      <c r="V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«Харчові технології»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'Загальна'!C17</f>
        <v/>
      </c>
      <c r="D12" s="47" t="n">
        <v>3</v>
      </c>
      <c r="E12" s="48">
        <f>'Загальна'!E17</f>
        <v/>
      </c>
      <c r="F12" s="49">
        <f>'Загальна'!F17</f>
        <v/>
      </c>
      <c r="G12" s="49">
        <f>'Загальна'!G17</f>
        <v/>
      </c>
      <c r="H12" s="49">
        <f>'Загальна'!H17</f>
        <v/>
      </c>
      <c r="I12" s="49">
        <f>'Загальна'!I17</f>
        <v/>
      </c>
      <c r="J12" s="49">
        <f>'Загальна'!J17</f>
        <v/>
      </c>
      <c r="K12" s="49">
        <f>'Загальна'!K17</f>
        <v/>
      </c>
      <c r="L12" s="49">
        <f>'Загальна'!L17</f>
        <v/>
      </c>
      <c r="M12" s="49">
        <f>'Загальна'!M17</f>
        <v/>
      </c>
      <c r="N12" s="49">
        <f>'Загальна'!N17</f>
        <v/>
      </c>
      <c r="O12" s="49">
        <f>'Загальна'!O17</f>
        <v/>
      </c>
      <c r="P12" s="49">
        <f>'Загальна'!P17</f>
        <v/>
      </c>
      <c r="Q12" s="49">
        <f>'Загальна'!Q17</f>
        <v/>
      </c>
      <c r="R12" s="49">
        <f>'Загальна'!R17</f>
        <v/>
      </c>
      <c r="S12" s="49">
        <f>'Загальна'!S17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'Загальна'!C18</f>
        <v/>
      </c>
      <c r="D13" s="47" t="n">
        <v>4</v>
      </c>
      <c r="E13" s="48">
        <f>'Загальна'!E18</f>
        <v/>
      </c>
      <c r="F13" s="49">
        <f>'Загальна'!F18</f>
        <v/>
      </c>
      <c r="G13" s="49">
        <f>'Загальна'!G18</f>
        <v/>
      </c>
      <c r="H13" s="49">
        <f>'Загальна'!H18</f>
        <v/>
      </c>
      <c r="I13" s="49">
        <f>'Загальна'!I18</f>
        <v/>
      </c>
      <c r="J13" s="49">
        <f>'Загальна'!J18</f>
        <v/>
      </c>
      <c r="K13" s="49">
        <f>'Загальна'!K18</f>
        <v/>
      </c>
      <c r="L13" s="49">
        <f>'Загальна'!L18</f>
        <v/>
      </c>
      <c r="M13" s="49">
        <f>'Загальна'!M18</f>
        <v/>
      </c>
      <c r="N13" s="49">
        <f>'Загальна'!N18</f>
        <v/>
      </c>
      <c r="O13" s="49">
        <f>'Загальна'!O18</f>
        <v/>
      </c>
      <c r="P13" s="49">
        <f>'Загальна'!P18</f>
        <v/>
      </c>
      <c r="Q13" s="49">
        <f>'Загальна'!Q18</f>
        <v/>
      </c>
      <c r="R13" s="49">
        <f>'Загальна'!R18</f>
        <v/>
      </c>
      <c r="S13" s="49">
        <f>'Загальна'!S18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'Загальна'!C20</f>
        <v/>
      </c>
      <c r="D14" s="47" t="n">
        <v>5</v>
      </c>
      <c r="E14" s="48">
        <f>'Загальна'!E20</f>
        <v/>
      </c>
      <c r="F14" s="49">
        <f>'Загальна'!F20</f>
        <v/>
      </c>
      <c r="G14" s="49">
        <f>'Загальна'!G20</f>
        <v/>
      </c>
      <c r="H14" s="49">
        <f>'Загальна'!H20</f>
        <v/>
      </c>
      <c r="I14" s="49">
        <f>'Загальна'!I20</f>
        <v/>
      </c>
      <c r="J14" s="49">
        <f>'Загальна'!J20</f>
        <v/>
      </c>
      <c r="K14" s="49">
        <f>'Загальна'!K20</f>
        <v/>
      </c>
      <c r="L14" s="49">
        <f>'Загальна'!L20</f>
        <v/>
      </c>
      <c r="M14" s="49">
        <f>'Загальна'!M20</f>
        <v/>
      </c>
      <c r="N14" s="49">
        <f>'Загальна'!N20</f>
        <v/>
      </c>
      <c r="O14" s="49">
        <f>'Загальна'!O20</f>
        <v/>
      </c>
      <c r="P14" s="49">
        <f>'Загальна'!P20</f>
        <v/>
      </c>
      <c r="Q14" s="49">
        <f>'Загальна'!Q20</f>
        <v/>
      </c>
      <c r="R14" s="49">
        <f>'Загальна'!R20</f>
        <v/>
      </c>
      <c r="S14" s="49">
        <f>'Загальна'!S20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'Загальна'!C23</f>
        <v/>
      </c>
      <c r="D15" s="47" t="n">
        <v>6</v>
      </c>
      <c r="E15" s="48">
        <f>'Загальна'!E23</f>
        <v/>
      </c>
      <c r="F15" s="49">
        <f>'Загальна'!F23</f>
        <v/>
      </c>
      <c r="G15" s="49">
        <f>'Загальна'!G23</f>
        <v/>
      </c>
      <c r="H15" s="49">
        <f>'Загальна'!H23</f>
        <v/>
      </c>
      <c r="I15" s="49">
        <f>'Загальна'!I23</f>
        <v/>
      </c>
      <c r="J15" s="49">
        <f>'Загальна'!J23</f>
        <v/>
      </c>
      <c r="K15" s="49">
        <f>'Загальна'!K23</f>
        <v/>
      </c>
      <c r="L15" s="49">
        <f>'Загальна'!L23</f>
        <v/>
      </c>
      <c r="M15" s="49">
        <f>'Загальна'!M23</f>
        <v/>
      </c>
      <c r="N15" s="49">
        <f>'Загальна'!N23</f>
        <v/>
      </c>
      <c r="O15" s="49">
        <f>'Загальна'!O23</f>
        <v/>
      </c>
      <c r="P15" s="49">
        <f>'Загальна'!P23</f>
        <v/>
      </c>
      <c r="Q15" s="49">
        <f>'Загальна'!Q23</f>
        <v/>
      </c>
      <c r="R15" s="49">
        <f>'Загальна'!R23</f>
        <v/>
      </c>
      <c r="S15" s="49">
        <f>'Загальна'!S23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'Загальна'!C26</f>
        <v/>
      </c>
      <c r="D17" s="47" t="n">
        <v>8</v>
      </c>
      <c r="E17" s="48">
        <f>'Загальна'!E26</f>
        <v/>
      </c>
      <c r="F17" s="49">
        <f>'Загальна'!F26</f>
        <v/>
      </c>
      <c r="G17" s="49">
        <f>'Загальна'!G26</f>
        <v/>
      </c>
      <c r="H17" s="49">
        <f>'Загальна'!H26</f>
        <v/>
      </c>
      <c r="I17" s="49">
        <f>'Загальна'!I26</f>
        <v/>
      </c>
      <c r="J17" s="49">
        <f>'Загальна'!J26</f>
        <v/>
      </c>
      <c r="K17" s="49">
        <f>'Загальна'!K26</f>
        <v/>
      </c>
      <c r="L17" s="49">
        <f>'Загальна'!L26</f>
        <v/>
      </c>
      <c r="M17" s="49">
        <f>'Загальна'!M26</f>
        <v/>
      </c>
      <c r="N17" s="49">
        <f>'Загальна'!N26</f>
        <v/>
      </c>
      <c r="O17" s="49">
        <f>'Загальна'!O26</f>
        <v/>
      </c>
      <c r="P17" s="49">
        <f>'Загальна'!P26</f>
        <v/>
      </c>
      <c r="Q17" s="49">
        <f>'Загальна'!Q26</f>
        <v/>
      </c>
      <c r="R17" s="49">
        <f>'Загальна'!R26</f>
        <v/>
      </c>
      <c r="S17" s="49">
        <f>'Загальна'!S26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'Загальна'!C27</f>
        <v/>
      </c>
      <c r="D18" s="47" t="n">
        <v>9</v>
      </c>
      <c r="E18" s="48">
        <f>'Загальна'!E27</f>
        <v/>
      </c>
      <c r="F18" s="49">
        <f>'Загальна'!F27</f>
        <v/>
      </c>
      <c r="G18" s="49">
        <f>'Загальна'!G27</f>
        <v/>
      </c>
      <c r="H18" s="49">
        <f>'Загальна'!H27</f>
        <v/>
      </c>
      <c r="I18" s="49">
        <f>'Загальна'!I27</f>
        <v/>
      </c>
      <c r="J18" s="49">
        <f>'Загальна'!J27</f>
        <v/>
      </c>
      <c r="K18" s="49">
        <f>'Загальна'!K27</f>
        <v/>
      </c>
      <c r="L18" s="49">
        <f>'Загальна'!L27</f>
        <v/>
      </c>
      <c r="M18" s="49">
        <f>'Загальна'!M27</f>
        <v/>
      </c>
      <c r="N18" s="49">
        <f>'Загальна'!N27</f>
        <v/>
      </c>
      <c r="O18" s="49">
        <f>'Загальна'!O27</f>
        <v/>
      </c>
      <c r="P18" s="49">
        <f>'Загальна'!P27</f>
        <v/>
      </c>
      <c r="Q18" s="49">
        <f>'Загальна'!Q27</f>
        <v/>
      </c>
      <c r="R18" s="49">
        <f>'Загальна'!R27</f>
        <v/>
      </c>
      <c r="S18" s="49">
        <f>'Загальна'!S27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'Загальна'!C33</f>
        <v/>
      </c>
      <c r="D22" s="47" t="n">
        <v>13</v>
      </c>
      <c r="E22" s="48">
        <f>'Загальна'!E33</f>
        <v/>
      </c>
      <c r="F22" s="49">
        <f>'Загальна'!F33</f>
        <v/>
      </c>
      <c r="G22" s="49">
        <f>'Загальна'!G33</f>
        <v/>
      </c>
      <c r="H22" s="49">
        <f>'Загальна'!H33</f>
        <v/>
      </c>
      <c r="I22" s="49">
        <f>'Загальна'!I33</f>
        <v/>
      </c>
      <c r="J22" s="49">
        <f>'Загальна'!J33</f>
        <v/>
      </c>
      <c r="K22" s="49">
        <f>'Загальна'!K33</f>
        <v/>
      </c>
      <c r="L22" s="49">
        <f>'Загальна'!L33</f>
        <v/>
      </c>
      <c r="M22" s="49">
        <f>'Загальна'!M33</f>
        <v/>
      </c>
      <c r="N22" s="49">
        <f>'Загальна'!N33</f>
        <v/>
      </c>
      <c r="O22" s="49">
        <f>'Загальна'!O33</f>
        <v/>
      </c>
      <c r="P22" s="49">
        <f>'Загальна'!P33</f>
        <v/>
      </c>
      <c r="Q22" s="49">
        <f>'Загальна'!Q33</f>
        <v/>
      </c>
      <c r="R22" s="49">
        <f>'Загальна'!R33</f>
        <v/>
      </c>
      <c r="S22" s="49">
        <f>'Загальна'!S33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")&lt;ROUNDDOWN(F28*0.45,0),F28-COUNTIF($T$10:$T22," - "),ROUNDDOWN(F28*0.45,0)))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Маргарита БРІТІКОВА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«Готельно-ресторанна справа та кейтеринг»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'Загальна'!C24</f>
        <v/>
      </c>
      <c r="D10" s="47" t="n">
        <v>1</v>
      </c>
      <c r="E10" s="48">
        <f>'Загальна'!E24</f>
        <v/>
      </c>
      <c r="F10" s="49">
        <f>'Загальна'!F24</f>
        <v/>
      </c>
      <c r="G10" s="49">
        <f>'Загальна'!G24</f>
        <v/>
      </c>
      <c r="H10" s="49">
        <f>'Загальна'!H24</f>
        <v/>
      </c>
      <c r="I10" s="49">
        <f>'Загальна'!I24</f>
        <v/>
      </c>
      <c r="J10" s="49">
        <f>'Загальна'!J24</f>
        <v/>
      </c>
      <c r="K10" s="49">
        <f>'Загальна'!K24</f>
        <v/>
      </c>
      <c r="L10" s="49">
        <f>'Загальна'!L24</f>
        <v/>
      </c>
      <c r="M10" s="49">
        <f>'Загальна'!M24</f>
        <v/>
      </c>
      <c r="N10" s="49">
        <f>'Загальна'!N24</f>
        <v/>
      </c>
      <c r="O10" s="49">
        <f>'Загальна'!O24</f>
        <v/>
      </c>
      <c r="P10" s="49">
        <f>'Загальна'!P24</f>
        <v/>
      </c>
      <c r="Q10" s="49">
        <f>'Загальна'!Q24</f>
        <v/>
      </c>
      <c r="R10" s="49">
        <f>'Загальна'!R24</f>
        <v/>
      </c>
      <c r="S10" s="49">
        <f>'Загальна'!S24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'Загальна'!C37</f>
        <v/>
      </c>
      <c r="D11" s="47" t="n">
        <v>2</v>
      </c>
      <c r="E11" s="48">
        <f>'Загальна'!E37</f>
        <v/>
      </c>
      <c r="F11" s="49">
        <f>'Загальна'!F37</f>
        <v/>
      </c>
      <c r="G11" s="49">
        <f>'Загальна'!G37</f>
        <v/>
      </c>
      <c r="H11" s="49">
        <f>'Загальна'!H37</f>
        <v/>
      </c>
      <c r="I11" s="49">
        <f>'Загальна'!I37</f>
        <v/>
      </c>
      <c r="J11" s="49">
        <f>'Загальна'!J37</f>
        <v/>
      </c>
      <c r="K11" s="49">
        <f>'Загальна'!K37</f>
        <v/>
      </c>
      <c r="L11" s="49">
        <f>'Загальна'!L37</f>
        <v/>
      </c>
      <c r="M11" s="49">
        <f>'Загальна'!M37</f>
        <v/>
      </c>
      <c r="N11" s="49">
        <f>'Загальна'!N37</f>
        <v/>
      </c>
      <c r="O11" s="49">
        <f>'Загальна'!O37</f>
        <v/>
      </c>
      <c r="P11" s="49">
        <f>'Загальна'!P37</f>
        <v/>
      </c>
      <c r="Q11" s="49">
        <f>'Загальна'!Q37</f>
        <v/>
      </c>
      <c r="R11" s="49">
        <f>'Загальна'!R37</f>
        <v/>
      </c>
      <c r="S11" s="49">
        <f>'Загальна'!S37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'Загальна'!C40</f>
        <v/>
      </c>
      <c r="D12" s="47" t="n">
        <v>3</v>
      </c>
      <c r="E12" s="48">
        <f>'Загальна'!E40</f>
        <v/>
      </c>
      <c r="F12" s="49">
        <f>'Загальна'!F40</f>
        <v/>
      </c>
      <c r="G12" s="49">
        <f>'Загальна'!G40</f>
        <v/>
      </c>
      <c r="H12" s="49">
        <f>'Загальна'!H40</f>
        <v/>
      </c>
      <c r="I12" s="49">
        <f>'Загальна'!I40</f>
        <v/>
      </c>
      <c r="J12" s="49">
        <f>'Загальна'!J40</f>
        <v/>
      </c>
      <c r="K12" s="49">
        <f>'Загальна'!K40</f>
        <v/>
      </c>
      <c r="L12" s="49">
        <f>'Загальна'!L40</f>
        <v/>
      </c>
      <c r="M12" s="49">
        <f>'Загальна'!M40</f>
        <v/>
      </c>
      <c r="N12" s="49">
        <f>'Загальна'!N40</f>
        <v/>
      </c>
      <c r="O12" s="49">
        <f>'Загальна'!O40</f>
        <v/>
      </c>
      <c r="P12" s="49">
        <f>'Загальна'!P40</f>
        <v/>
      </c>
      <c r="Q12" s="49">
        <f>'Загальна'!Q40</f>
        <v/>
      </c>
      <c r="R12" s="49">
        <f>'Загальна'!R40</f>
        <v/>
      </c>
      <c r="S12" s="49">
        <f>'Загальна'!S40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'Загальна'!C10</f>
        <v/>
      </c>
      <c r="D13" s="47" t="n">
        <v>4</v>
      </c>
      <c r="E13" s="48">
        <f>'Загальна'!E10</f>
        <v/>
      </c>
      <c r="F13" s="49">
        <f>'Загальна'!F10</f>
        <v/>
      </c>
      <c r="G13" s="49">
        <f>'Загальна'!G10</f>
        <v/>
      </c>
      <c r="H13" s="49">
        <f>'Загальна'!H10</f>
        <v/>
      </c>
      <c r="I13" s="49">
        <f>'Загальна'!I10</f>
        <v/>
      </c>
      <c r="J13" s="49">
        <f>'Загальна'!J10</f>
        <v/>
      </c>
      <c r="K13" s="49">
        <f>'Загальна'!K10</f>
        <v/>
      </c>
      <c r="L13" s="49">
        <f>'Загальна'!L10</f>
        <v/>
      </c>
      <c r="M13" s="49">
        <f>'Загальна'!M10</f>
        <v/>
      </c>
      <c r="N13" s="49">
        <f>'Загальна'!N10</f>
        <v/>
      </c>
      <c r="O13" s="49">
        <f>'Загальна'!O10</f>
        <v/>
      </c>
      <c r="P13" s="49">
        <f>'Загальна'!P10</f>
        <v/>
      </c>
      <c r="Q13" s="49">
        <f>'Загальна'!Q10</f>
        <v/>
      </c>
      <c r="R13" s="49">
        <f>'Загальна'!R10</f>
        <v/>
      </c>
      <c r="S13" s="49">
        <f>'Загальна'!S10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'Загальна'!C11</f>
        <v/>
      </c>
      <c r="D14" s="47" t="n">
        <v>5</v>
      </c>
      <c r="E14" s="48">
        <f>'Загальна'!E11</f>
        <v/>
      </c>
      <c r="F14" s="49">
        <f>'Загальна'!F11</f>
        <v/>
      </c>
      <c r="G14" s="49">
        <f>'Загальна'!G11</f>
        <v/>
      </c>
      <c r="H14" s="49">
        <f>'Загальна'!H11</f>
        <v/>
      </c>
      <c r="I14" s="49">
        <f>'Загальна'!I11</f>
        <v/>
      </c>
      <c r="J14" s="49">
        <f>'Загальна'!J11</f>
        <v/>
      </c>
      <c r="K14" s="49">
        <f>'Загальна'!K11</f>
        <v/>
      </c>
      <c r="L14" s="49">
        <f>'Загальна'!L11</f>
        <v/>
      </c>
      <c r="M14" s="49">
        <f>'Загальна'!M11</f>
        <v/>
      </c>
      <c r="N14" s="49">
        <f>'Загальна'!N11</f>
        <v/>
      </c>
      <c r="O14" s="49">
        <f>'Загальна'!O11</f>
        <v/>
      </c>
      <c r="P14" s="49">
        <f>'Загальна'!P11</f>
        <v/>
      </c>
      <c r="Q14" s="49">
        <f>'Загальна'!Q11</f>
        <v/>
      </c>
      <c r="R14" s="49">
        <f>'Загальна'!R11</f>
        <v/>
      </c>
      <c r="S14" s="49">
        <f>'Загальна'!S11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'Загальна'!C12</f>
        <v/>
      </c>
      <c r="D15" s="47" t="n">
        <v>6</v>
      </c>
      <c r="E15" s="48">
        <f>'Загальна'!E12</f>
        <v/>
      </c>
      <c r="F15" s="49">
        <f>'Загальна'!F12</f>
        <v/>
      </c>
      <c r="G15" s="49">
        <f>'Загальна'!G12</f>
        <v/>
      </c>
      <c r="H15" s="49">
        <f>'Загальна'!H12</f>
        <v/>
      </c>
      <c r="I15" s="49">
        <f>'Загальна'!I12</f>
        <v/>
      </c>
      <c r="J15" s="49">
        <f>'Загальна'!J12</f>
        <v/>
      </c>
      <c r="K15" s="49">
        <f>'Загальна'!K12</f>
        <v/>
      </c>
      <c r="L15" s="49">
        <f>'Загальна'!L12</f>
        <v/>
      </c>
      <c r="M15" s="49">
        <f>'Загальна'!M12</f>
        <v/>
      </c>
      <c r="N15" s="49">
        <f>'Загальна'!N12</f>
        <v/>
      </c>
      <c r="O15" s="49">
        <f>'Загальна'!O12</f>
        <v/>
      </c>
      <c r="P15" s="49">
        <f>'Загальна'!P12</f>
        <v/>
      </c>
      <c r="Q15" s="49">
        <f>'Загальна'!Q12</f>
        <v/>
      </c>
      <c r="R15" s="49">
        <f>'Загальна'!R12</f>
        <v/>
      </c>
      <c r="S15" s="49">
        <f>'Загальна'!S12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'Загальна'!C14</f>
        <v/>
      </c>
      <c r="D16" s="47" t="n">
        <v>7</v>
      </c>
      <c r="E16" s="48">
        <f>'Загальна'!E14</f>
        <v/>
      </c>
      <c r="F16" s="49">
        <f>'Загальна'!F14</f>
        <v/>
      </c>
      <c r="G16" s="49">
        <f>'Загальна'!G14</f>
        <v/>
      </c>
      <c r="H16" s="49">
        <f>'Загальна'!H14</f>
        <v/>
      </c>
      <c r="I16" s="49">
        <f>'Загальна'!I14</f>
        <v/>
      </c>
      <c r="J16" s="49">
        <f>'Загальна'!J14</f>
        <v/>
      </c>
      <c r="K16" s="49">
        <f>'Загальна'!K14</f>
        <v/>
      </c>
      <c r="L16" s="49">
        <f>'Загальна'!L14</f>
        <v/>
      </c>
      <c r="M16" s="49">
        <f>'Загальна'!M14</f>
        <v/>
      </c>
      <c r="N16" s="49">
        <f>'Загальна'!N14</f>
        <v/>
      </c>
      <c r="O16" s="49">
        <f>'Загальна'!O14</f>
        <v/>
      </c>
      <c r="P16" s="49">
        <f>'Загальна'!P14</f>
        <v/>
      </c>
      <c r="Q16" s="49">
        <f>'Загальна'!Q14</f>
        <v/>
      </c>
      <c r="R16" s="49">
        <f>'Загальна'!R14</f>
        <v/>
      </c>
      <c r="S16" s="49">
        <f>'Загальна'!S14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'Загальна'!C21</f>
        <v/>
      </c>
      <c r="D17" s="47" t="n">
        <v>8</v>
      </c>
      <c r="E17" s="48">
        <f>'Загальна'!E21</f>
        <v/>
      </c>
      <c r="F17" s="49">
        <f>'Загальна'!F21</f>
        <v/>
      </c>
      <c r="G17" s="49">
        <f>'Загальна'!G21</f>
        <v/>
      </c>
      <c r="H17" s="49">
        <f>'Загальна'!H21</f>
        <v/>
      </c>
      <c r="I17" s="49">
        <f>'Загальна'!I21</f>
        <v/>
      </c>
      <c r="J17" s="49">
        <f>'Загальна'!J21</f>
        <v/>
      </c>
      <c r="K17" s="49">
        <f>'Загальна'!K21</f>
        <v/>
      </c>
      <c r="L17" s="49">
        <f>'Загальна'!L21</f>
        <v/>
      </c>
      <c r="M17" s="49">
        <f>'Загальна'!M21</f>
        <v/>
      </c>
      <c r="N17" s="49">
        <f>'Загальна'!N21</f>
        <v/>
      </c>
      <c r="O17" s="49">
        <f>'Загальна'!O21</f>
        <v/>
      </c>
      <c r="P17" s="49">
        <f>'Загальна'!P21</f>
        <v/>
      </c>
      <c r="Q17" s="49">
        <f>'Загальна'!Q21</f>
        <v/>
      </c>
      <c r="R17" s="49">
        <f>'Загальна'!R21</f>
        <v/>
      </c>
      <c r="S17" s="49">
        <f>'Загальна'!S21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'Загальна'!C22</f>
        <v/>
      </c>
      <c r="D18" s="47" t="n">
        <v>9</v>
      </c>
      <c r="E18" s="48">
        <f>'Загальна'!E22</f>
        <v/>
      </c>
      <c r="F18" s="49">
        <f>'Загальна'!F22</f>
        <v/>
      </c>
      <c r="G18" s="49">
        <f>'Загальна'!G22</f>
        <v/>
      </c>
      <c r="H18" s="49">
        <f>'Загальна'!H22</f>
        <v/>
      </c>
      <c r="I18" s="49">
        <f>'Загальна'!I22</f>
        <v/>
      </c>
      <c r="J18" s="49">
        <f>'Загальна'!J22</f>
        <v/>
      </c>
      <c r="K18" s="49">
        <f>'Загальна'!K22</f>
        <v/>
      </c>
      <c r="L18" s="49">
        <f>'Загальна'!L22</f>
        <v/>
      </c>
      <c r="M18" s="49">
        <f>'Загальна'!M22</f>
        <v/>
      </c>
      <c r="N18" s="49">
        <f>'Загальна'!N22</f>
        <v/>
      </c>
      <c r="O18" s="49">
        <f>'Загальна'!O22</f>
        <v/>
      </c>
      <c r="P18" s="49">
        <f>'Загальна'!P22</f>
        <v/>
      </c>
      <c r="Q18" s="49">
        <f>'Загальна'!Q22</f>
        <v/>
      </c>
      <c r="R18" s="49">
        <f>'Загальна'!R22</f>
        <v/>
      </c>
      <c r="S18" s="49">
        <f>'Загальна'!S22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'Загальна'!C31</f>
        <v/>
      </c>
      <c r="D19" s="47" t="n">
        <v>10</v>
      </c>
      <c r="E19" s="48">
        <f>'Загальна'!E31</f>
        <v/>
      </c>
      <c r="F19" s="49">
        <f>'Загальна'!F31</f>
        <v/>
      </c>
      <c r="G19" s="49">
        <f>'Загальна'!G31</f>
        <v/>
      </c>
      <c r="H19" s="49">
        <f>'Загальна'!H31</f>
        <v/>
      </c>
      <c r="I19" s="49">
        <f>'Загальна'!I31</f>
        <v/>
      </c>
      <c r="J19" s="49">
        <f>'Загальна'!J31</f>
        <v/>
      </c>
      <c r="K19" s="49">
        <f>'Загальна'!K31</f>
        <v/>
      </c>
      <c r="L19" s="49">
        <f>'Загальна'!L31</f>
        <v/>
      </c>
      <c r="M19" s="49">
        <f>'Загальна'!M31</f>
        <v/>
      </c>
      <c r="N19" s="49">
        <f>'Загальна'!N31</f>
        <v/>
      </c>
      <c r="O19" s="49">
        <f>'Загальна'!O31</f>
        <v/>
      </c>
      <c r="P19" s="49">
        <f>'Загальна'!P31</f>
        <v/>
      </c>
      <c r="Q19" s="49">
        <f>'Загальна'!Q31</f>
        <v/>
      </c>
      <c r="R19" s="49">
        <f>'Загальна'!R31</f>
        <v/>
      </c>
      <c r="S19" s="49">
        <f>'Загальна'!S31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'Загальна'!C32</f>
        <v/>
      </c>
      <c r="D20" s="47" t="n">
        <v>11</v>
      </c>
      <c r="E20" s="48">
        <f>'Загальна'!E32</f>
        <v/>
      </c>
      <c r="F20" s="49">
        <f>'Загальна'!F32</f>
        <v/>
      </c>
      <c r="G20" s="49">
        <f>'Загальна'!G32</f>
        <v/>
      </c>
      <c r="H20" s="49">
        <f>'Загальна'!H32</f>
        <v/>
      </c>
      <c r="I20" s="49">
        <f>'Загальна'!I32</f>
        <v/>
      </c>
      <c r="J20" s="49">
        <f>'Загальна'!J32</f>
        <v/>
      </c>
      <c r="K20" s="49">
        <f>'Загальна'!K32</f>
        <v/>
      </c>
      <c r="L20" s="49">
        <f>'Загальна'!L32</f>
        <v/>
      </c>
      <c r="M20" s="49">
        <f>'Загальна'!M32</f>
        <v/>
      </c>
      <c r="N20" s="49">
        <f>'Загальна'!N32</f>
        <v/>
      </c>
      <c r="O20" s="49">
        <f>'Загальна'!O32</f>
        <v/>
      </c>
      <c r="P20" s="49">
        <f>'Загальна'!P32</f>
        <v/>
      </c>
      <c r="Q20" s="49">
        <f>'Загальна'!Q32</f>
        <v/>
      </c>
      <c r="R20" s="49">
        <f>'Загальна'!R32</f>
        <v/>
      </c>
      <c r="S20" s="49">
        <f>'Загальна'!S32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'Загальна'!C36</f>
        <v/>
      </c>
      <c r="D21" s="47" t="n">
        <v>12</v>
      </c>
      <c r="E21" s="48">
        <f>'Загальна'!E36</f>
        <v/>
      </c>
      <c r="F21" s="49">
        <f>'Загальна'!F36</f>
        <v/>
      </c>
      <c r="G21" s="49">
        <f>'Загальна'!G36</f>
        <v/>
      </c>
      <c r="H21" s="49">
        <f>'Загальна'!H36</f>
        <v/>
      </c>
      <c r="I21" s="49">
        <f>'Загальна'!I36</f>
        <v/>
      </c>
      <c r="J21" s="49">
        <f>'Загальна'!J36</f>
        <v/>
      </c>
      <c r="K21" s="49">
        <f>'Загальна'!K36</f>
        <v/>
      </c>
      <c r="L21" s="49">
        <f>'Загальна'!L36</f>
        <v/>
      </c>
      <c r="M21" s="49">
        <f>'Загальна'!M36</f>
        <v/>
      </c>
      <c r="N21" s="49">
        <f>'Загальна'!N36</f>
        <v/>
      </c>
      <c r="O21" s="49">
        <f>'Загальна'!O36</f>
        <v/>
      </c>
      <c r="P21" s="49">
        <f>'Загальна'!P36</f>
        <v/>
      </c>
      <c r="Q21" s="49">
        <f>'Загальна'!Q36</f>
        <v/>
      </c>
      <c r="R21" s="49">
        <f>'Загальна'!R36</f>
        <v/>
      </c>
      <c r="S21" s="49">
        <f>'Загальна'!S36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")&lt;ROUNDDOWN(F28*0.45,0),F28-COUNTIF($T$10:$T22," - "),ROUNDDOWN(F28*0.45,0)))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Маргарита БРІТІКОВА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«Туризм та рекреація»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'Загальна'!C19</f>
        <v/>
      </c>
      <c r="D11" s="47" t="n">
        <v>2</v>
      </c>
      <c r="E11" s="48">
        <f>'Загальна'!E19</f>
        <v/>
      </c>
      <c r="F11" s="49">
        <f>'Загальна'!F19</f>
        <v/>
      </c>
      <c r="G11" s="49">
        <f>'Загальна'!G19</f>
        <v/>
      </c>
      <c r="H11" s="49">
        <f>'Загальна'!H19</f>
        <v/>
      </c>
      <c r="I11" s="49">
        <f>'Загальна'!I19</f>
        <v/>
      </c>
      <c r="J11" s="49">
        <f>'Загальна'!J19</f>
        <v/>
      </c>
      <c r="K11" s="49">
        <f>'Загальна'!K19</f>
        <v/>
      </c>
      <c r="L11" s="49">
        <f>'Загальна'!L19</f>
        <v/>
      </c>
      <c r="M11" s="49">
        <f>'Загальна'!M19</f>
        <v/>
      </c>
      <c r="N11" s="49">
        <f>'Загальна'!N19</f>
        <v/>
      </c>
      <c r="O11" s="49">
        <f>'Загальна'!O19</f>
        <v/>
      </c>
      <c r="P11" s="49">
        <f>'Загальна'!P19</f>
        <v/>
      </c>
      <c r="Q11" s="49">
        <f>'Загальна'!Q19</f>
        <v/>
      </c>
      <c r="R11" s="49">
        <f>'Загальна'!R19</f>
        <v/>
      </c>
      <c r="S11" s="49">
        <f>'Загальна'!S19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'Загальна'!C34</f>
        <v/>
      </c>
      <c r="D12" s="47" t="n">
        <v>3</v>
      </c>
      <c r="E12" s="48">
        <f>'Загальна'!E34</f>
        <v/>
      </c>
      <c r="F12" s="49">
        <f>'Загальна'!F34</f>
        <v/>
      </c>
      <c r="G12" s="49">
        <f>'Загальна'!G34</f>
        <v/>
      </c>
      <c r="H12" s="49">
        <f>'Загальна'!H34</f>
        <v/>
      </c>
      <c r="I12" s="49">
        <f>'Загальна'!I34</f>
        <v/>
      </c>
      <c r="J12" s="49">
        <f>'Загальна'!J34</f>
        <v/>
      </c>
      <c r="K12" s="49">
        <f>'Загальна'!K34</f>
        <v/>
      </c>
      <c r="L12" s="49">
        <f>'Загальна'!L34</f>
        <v/>
      </c>
      <c r="M12" s="49">
        <f>'Загальна'!M34</f>
        <v/>
      </c>
      <c r="N12" s="49">
        <f>'Загальна'!N34</f>
        <v/>
      </c>
      <c r="O12" s="49">
        <f>'Загальна'!O34</f>
        <v/>
      </c>
      <c r="P12" s="49">
        <f>'Загальна'!P34</f>
        <v/>
      </c>
      <c r="Q12" s="49">
        <f>'Загальна'!Q34</f>
        <v/>
      </c>
      <c r="R12" s="49">
        <f>'Загальна'!R34</f>
        <v/>
      </c>
      <c r="S12" s="49">
        <f>'Загальна'!S34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'Загальна'!C35</f>
        <v/>
      </c>
      <c r="D13" s="47" t="n">
        <v>4</v>
      </c>
      <c r="E13" s="48">
        <f>'Загальна'!E35</f>
        <v/>
      </c>
      <c r="F13" s="49">
        <f>'Загальна'!F35</f>
        <v/>
      </c>
      <c r="G13" s="49">
        <f>'Загальна'!G35</f>
        <v/>
      </c>
      <c r="H13" s="49">
        <f>'Загальна'!H35</f>
        <v/>
      </c>
      <c r="I13" s="49">
        <f>'Загальна'!I35</f>
        <v/>
      </c>
      <c r="J13" s="49">
        <f>'Загальна'!J35</f>
        <v/>
      </c>
      <c r="K13" s="49">
        <f>'Загальна'!K35</f>
        <v/>
      </c>
      <c r="L13" s="49">
        <f>'Загальна'!L35</f>
        <v/>
      </c>
      <c r="M13" s="49">
        <f>'Загальна'!M35</f>
        <v/>
      </c>
      <c r="N13" s="49">
        <f>'Загальна'!N35</f>
        <v/>
      </c>
      <c r="O13" s="49">
        <f>'Загальна'!O35</f>
        <v/>
      </c>
      <c r="P13" s="49">
        <f>'Загальна'!P35</f>
        <v/>
      </c>
      <c r="Q13" s="49">
        <f>'Загальна'!Q35</f>
        <v/>
      </c>
      <c r="R13" s="49">
        <f>'Загальна'!R35</f>
        <v/>
      </c>
      <c r="S13" s="49">
        <f>'Загальна'!S35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'Загальна'!C39</f>
        <v/>
      </c>
      <c r="D14" s="47" t="n">
        <v>5</v>
      </c>
      <c r="E14" s="48">
        <f>'Загальна'!E39</f>
        <v/>
      </c>
      <c r="F14" s="49">
        <f>'Загальна'!F39</f>
        <v/>
      </c>
      <c r="G14" s="49">
        <f>'Загальна'!G39</f>
        <v/>
      </c>
      <c r="H14" s="49">
        <f>'Загальна'!H39</f>
        <v/>
      </c>
      <c r="I14" s="49">
        <f>'Загальна'!I39</f>
        <v/>
      </c>
      <c r="J14" s="49">
        <f>'Загальна'!J39</f>
        <v/>
      </c>
      <c r="K14" s="49">
        <f>'Загальна'!K39</f>
        <v/>
      </c>
      <c r="L14" s="49">
        <f>'Загальна'!L39</f>
        <v/>
      </c>
      <c r="M14" s="49">
        <f>'Загальна'!M39</f>
        <v/>
      </c>
      <c r="N14" s="49">
        <f>'Загальна'!N39</f>
        <v/>
      </c>
      <c r="O14" s="49">
        <f>'Загальна'!O39</f>
        <v/>
      </c>
      <c r="P14" s="49">
        <f>'Загальна'!P39</f>
        <v/>
      </c>
      <c r="Q14" s="49">
        <f>'Загальна'!Q39</f>
        <v/>
      </c>
      <c r="R14" s="49">
        <f>'Загальна'!R39</f>
        <v/>
      </c>
      <c r="S14" s="49">
        <f>'Загальна'!S39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9">
        <f>IFERROR(AVERAGE($F15:S15),"Очікую")</f>
        <v/>
      </c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IFERROR(AVERAGE(F16:S16),"Очікую")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IFERROR(AVERAGE($F17:S17),"Очікую")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IF(COUNTIF($C$10:$C14,"=B")=0,IF(COUNTIF($C$10:$C14,"=K")=0,"Очікую",0),COUNTIF($C$10:$C14,"=B"))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52" t="n"/>
      <c r="R20" s="52" t="n"/>
      <c r="S20" s="52" t="n"/>
      <c r="T20" s="52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IF(COUNTIF($C$10:$C14,"=K")=0,IF(COUNTIF($C$10:$C14,"=B")=0,"Очікую",0),COUNTIF($C$10:$C14,"=K"))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6" t="n"/>
      <c r="M21" s="6" t="n"/>
      <c r="N21" s="6" t="n"/>
      <c r="O21" s="56" t="n"/>
      <c r="P21" s="54">
        <f>'Загальна'!P47</f>
        <v/>
      </c>
      <c r="Q21" s="54" t="n"/>
      <c r="R21" s="54" t="n"/>
      <c r="S21" s="54" t="n"/>
      <c r="T21" s="54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6" t="n"/>
      <c r="M22" s="6" t="n"/>
      <c r="N22" s="6" t="n"/>
      <c r="O22" s="56" t="n"/>
      <c r="P22" s="52" t="n"/>
      <c r="Q22" s="52" t="n"/>
      <c r="R22" s="52" t="n"/>
      <c r="S22" s="52" t="n"/>
      <c r="T22" s="52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IF(F20="Очікую","Очікую",IF(F20-COUNTIF($T$10:$T14," - ")&lt;ROUNDDOWN(F20*0.45,0),F20-COUNTIF($T$10:$T14," - "),ROUNDDOWN(F20*0.45,0)))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6" t="n"/>
      <c r="M23" s="6" t="n"/>
      <c r="N23" s="6" t="n"/>
      <c r="O23" s="56" t="n"/>
      <c r="P23" s="54" t="inlineStr">
        <is>
          <t>Маргарита БРІТІКОВА</t>
        </is>
      </c>
      <c r="Q23" s="54" t="n"/>
      <c r="R23" s="54" t="n"/>
      <c r="S23" s="54" t="n"/>
      <c r="T23" s="54" t="n"/>
      <c r="U23" s="20" t="n"/>
      <c r="V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5" t="n"/>
      <c r="V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2026-06-22T16:44:01Z</dcterms:modified>
  <cp:lastModifiedBy>Maxim</cp:lastModifiedBy>
  <cp:lastPrinted>2026-01-07T15:30:50Z</cp:lastPrinted>
</cp:coreProperties>
</file>