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E2'!$C$3:$S$28</definedName>
    <definedName name="A1048577" localSheetId="2">#REF!</definedName>
    <definedName name="Ф80" localSheetId="2">#REF!</definedName>
    <definedName name="_xlnm.Print_Area" localSheetId="2">'Зведена G1'!$C$3:$S$26</definedName>
    <definedName name="A1048577" localSheetId="3">#REF!</definedName>
    <definedName name="Ф80" localSheetId="3">#REF!</definedName>
    <definedName name="_xlnm.Print_Area" localSheetId="3">'Зведена G7'!$C$3:$S$35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")&lt;ROUNDDOWN(F50*0.45,0),F50-COUNTIF($T$10:$T44,"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9">
        <f>IFERROR(AVERAGE($F20:S20),"Очікую")</f>
        <v/>
      </c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IFERROR(AVERAGE(F21:S21),"Очікую")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IFERROR(AVERAGE($F22:S22),"Очікую")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6" t="n"/>
      <c r="M26" s="6" t="n"/>
      <c r="N26" s="6" t="n"/>
      <c r="O26" s="56" t="n"/>
      <c r="P26" s="54">
        <f>'Загальна'!P51</f>
        <v/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6" t="n"/>
      <c r="M27" s="6" t="n"/>
      <c r="N27" s="6" t="n"/>
      <c r="O27" s="56" t="n"/>
      <c r="P27" s="52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IF(F25="Очікую","Очікую",IF(F25-COUNTIF($T$10:$T19," - ")&lt;ROUNDDOWN(F25*0.45,0),F25-COUNTIF($T$10:$T19," - "),ROUNDDOWN(F25*0.45,0)))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6" t="n"/>
      <c r="M28" s="6" t="n"/>
      <c r="N28" s="6" t="n"/>
      <c r="O28" s="56" t="n"/>
      <c r="P28" s="54" t="inlineStr">
        <is>
          <t>Маргарита БРІТІКОВА</t>
        </is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5" t="n"/>
      <c r="V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9">
        <f>IFERROR(AVERAGE($F18:S18),"Очікую")</f>
        <v/>
      </c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IFERROR(AVERAGE(F19:S19),"Очікую")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IFERROR(AVERAGE($F20:S20),"Очікую")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2" t="n"/>
      <c r="R23" s="52" t="n"/>
      <c r="S23" s="52" t="n"/>
      <c r="T23" s="52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6" t="n"/>
      <c r="M24" s="6" t="n"/>
      <c r="N24" s="6" t="n"/>
      <c r="O24" s="56" t="n"/>
      <c r="P24" s="54">
        <f>'Загальна'!P51</f>
        <v/>
      </c>
      <c r="Q24" s="54" t="n"/>
      <c r="R24" s="54" t="n"/>
      <c r="S24" s="54" t="n"/>
      <c r="T24" s="54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6" t="n"/>
      <c r="M25" s="6" t="n"/>
      <c r="N25" s="6" t="n"/>
      <c r="O25" s="56" t="n"/>
      <c r="P25" s="52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IF(F23="Очікую","Очікую",IF(F23-COUNTIF($T$10:$T17," - ")&lt;ROUNDDOWN(F23*0.45,0),F23-COUNTIF($T$10:$T17," - "),ROUNDDOWN(F23*0.45,0)))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6" t="n"/>
      <c r="M26" s="6" t="n"/>
      <c r="N26" s="6" t="n"/>
      <c r="O26" s="56" t="n"/>
      <c r="P26" s="54" t="inlineStr">
        <is>
          <t>Маргарита БРІТІКОВА</t>
        </is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5" t="n"/>
      <c r="V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«Автоматизація, комп'ютерно-інтегровані технології та робототехніка»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'Загальна'!P51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")&lt;ROUNDDOWN(F32*0.45,0),F32-COUNTIF($T$10:$T26," - "),ROUNDDOWN(F32*0.45,0)))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Маргарита БРІТІКОВА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2026-06-22T16:44:06Z</dcterms:modified>
  <cp:lastModifiedBy>Maxim</cp:lastModifiedBy>
  <cp:lastPrinted>2026-01-07T15:30:50Z</cp:lastPrinted>
</cp:coreProperties>
</file>