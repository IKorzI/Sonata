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E2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Зведена G7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'Загальна'!$C$3:$T$53</definedName>
    <definedName name="A1048577" localSheetId="1">#REF!</definedName>
    <definedName name="Ф80" localSheetId="1">#REF!</definedName>
    <definedName name="_xlnm.Print_Area" localSheetId="1">'Зведена E2'!$C$3:$T$28</definedName>
    <definedName name="A1048577" localSheetId="2">#REF!</definedName>
    <definedName name="Ф80" localSheetId="2">#REF!</definedName>
    <definedName name="_xlnm.Print_Area" localSheetId="2">'Зведена G1'!$C$3:$T$26</definedName>
    <definedName name="A1048577" localSheetId="3">#REF!</definedName>
    <definedName name="Ф80" localSheetId="3">#REF!</definedName>
    <definedName name="_xlnm.Print_Area" localSheetId="3">'Зведена G7'!$C$3:$T$35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5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Багаєв Дмитро Михайлович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Бєлов Миколай Михайлович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Богомолов Єгор Русланович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Бондаренко Анна Юріївна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Бондаренко Олександр Сергійович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Буюклі Христина Станіславівна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Голам-Сарвар Сабріна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Горевой Костянтин Юрійович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Грідін Олег Володимирович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Гусева Анна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Гуткан Алла Павлівна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Дімітрова Аделіна Віталіївна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Довгополий Олександр Анатолійович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Єлькін Владислав Леонідович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Єсманчук Дмитро Сергійович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Загіченко Матвій Олександрович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Казанджій Гліб Миколайович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Капістеринський Ілля Сергійович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Краснов Кірілл Олександрович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Ляліна Дар`я Михайлівна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Марецький Максим Іванович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Мельник Олександр Дмитрович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Олійник Олег Сергійович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Півоварова Анастасія Володимирівна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Півоварова Олександра Володимирівна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Погребной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Б</t>
        </is>
      </c>
      <c r="D36" s="47" t="n">
        <v>27</v>
      </c>
      <c r="E36" s="48" t="inlineStr">
        <is>
          <t>Романчук Маргарита Вадимівна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Русавський Максим Андрійович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Б</t>
        </is>
      </c>
      <c r="D38" s="47" t="n">
        <v>29</v>
      </c>
      <c r="E38" s="48" t="inlineStr">
        <is>
          <t>Савкін Макар Максимович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Б</t>
        </is>
      </c>
      <c r="D39" s="47" t="n">
        <v>30</v>
      </c>
      <c r="E39" s="48" t="inlineStr">
        <is>
          <t>Савчук Станіслав Олександрович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К</t>
        </is>
      </c>
      <c r="D40" s="47" t="n">
        <v>31</v>
      </c>
      <c r="E40" s="48" t="inlineStr">
        <is>
          <t>Солтус Денис Віталійович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Б</t>
        </is>
      </c>
      <c r="D41" s="47" t="n">
        <v>32</v>
      </c>
      <c r="E41" s="48" t="inlineStr">
        <is>
          <t>Стойков Дмитро Геннадійович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Б</t>
        </is>
      </c>
      <c r="D42" s="47" t="n">
        <v>33</v>
      </c>
      <c r="E42" s="48" t="inlineStr">
        <is>
          <t>Татарчук Антон Сергійович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Чумляр Михайло Володимирович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К</t>
        </is>
      </c>
      <c r="D44" s="47" t="n">
        <v>35</v>
      </c>
      <c r="E44" s="48" t="inlineStr">
        <is>
          <t>Янчий Георгій Сергійович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Середній бал успішності з дисципліни</t>
        </is>
      </c>
      <c r="F45" s="8">
        <f>IF(SUM(F$10:F44)=0,IF(COUNTA(F$10:F44)=0,"Очікую",0),SUM(F$10:F44)/$D44)</f>
        <v/>
      </c>
      <c r="G45" s="8">
        <f>IF(SUM(G$10:G44)=0,IF(COUNTA(G$10:G44)=0,"Очікую",0),SUM(G$10:G44)/$D44)</f>
        <v/>
      </c>
      <c r="H45" s="8">
        <f>IF(SUM(H$10:H44)=0,IF(COUNTA(H$10:H44)=0,"Очікую",0),SUM(H$10:H44)/$D44)</f>
        <v/>
      </c>
      <c r="I45" s="8">
        <f>IF(SUM(I$10:I44)=0,IF(COUNTA(I$10:I44)=0,"Очікую",0),SUM(I$10:I44)/$D44)</f>
        <v/>
      </c>
      <c r="J45" s="8">
        <f>IF(SUM(J$10:J44)=0,IF(COUNTA(J$10:J44)=0,"Очікую",0),SUM(J$10:J44)/$D44)</f>
        <v/>
      </c>
      <c r="K45" s="8">
        <f>IF(SUM(K$10:K44)=0,IF(COUNTA(K$10:K44)=0,"Очікую",0),SUM(K$10:K44)/$D44)</f>
        <v/>
      </c>
      <c r="L45" s="8">
        <f>IF(SUM(L$10:L44)=0,IF(COUNTA(L$10:L44)=0,"Очікую",0),SUM(L$10:L44)/$D44)</f>
        <v/>
      </c>
      <c r="M45" s="8">
        <f>IF(SUM(M$10:M44)=0,IF(COUNTA(M$10:M44)=0,"Очікую",0),SUM(M$10:M44)/$D44)</f>
        <v/>
      </c>
      <c r="N45" s="8">
        <f>IF(SUM(N$10:N44)=0,IF(COUNTA(N$10:N44)=0,"Очікую",0),SUM(N$10:N44)/$D44)</f>
        <v/>
      </c>
      <c r="O45" s="8">
        <f>IF(SUM(O$10:O44)=0,IF(COUNTA(O$10:O44)=0,"Очікую",0),SUM(O$10:O44)/$D44)</f>
        <v/>
      </c>
      <c r="P45" s="8">
        <f>IF(SUM(P$10:P44)=0,IF(COUNTA(P$10:P44)=0,"Очікую",0),SUM(P$10:P44)/$D44)</f>
        <v/>
      </c>
      <c r="Q45" s="8">
        <f>IF(SUM(Q$10:Q44)=0,IF(COUNTA(Q$10:Q44)=0,"Очікую",0),SUM(Q$10:Q44)/$D44)</f>
        <v/>
      </c>
      <c r="R45" s="8">
        <f>IF(SUM(R$10:R44)=0,IF(COUNTA(R$10:R44)=0,"Очікую",0),SUM(R$10:R44)/$D44)</f>
        <v/>
      </c>
      <c r="S45" s="8">
        <f>IF(SUM(S$10:S44)=0,IF(COUNTA(S$10:S44)=0,"Очікую",0),SUM(S$10:S44)/$D44)</f>
        <v/>
      </c>
      <c r="T45" s="8">
        <f>IF(SUM(T$10:T44)=0,IF(COUNTA(T$10:T44)=0,"Очікую",0),SUM(T$10:T44)/$D44)</f>
        <v/>
      </c>
      <c r="U45" s="9">
        <f>IFERROR(AVERAGE($F45:T45),"Очікую")</f>
        <v/>
      </c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Абсолютна успішність</t>
        </is>
      </c>
      <c r="F46" s="43">
        <f>IF(SUM(F$10:F44)=0,IF(COUNTA(F$10:F44)=0,"Очікую",0),IF(COUNTIF(F$10:F44,"&gt;=4")=0,0,COUNTIF(F$10:F44,"&gt;=4")/$D44*100))</f>
        <v/>
      </c>
      <c r="G46" s="43">
        <f>IF(SUM(G$10:G44)=0,IF(COUNTA(G$10:G44)=0,"Очікую",0),IF(COUNTIF(G$10:G44,"&gt;=4")=0,0,COUNTIF(G$10:G44,"&gt;=4")/$D44*100))</f>
        <v/>
      </c>
      <c r="H46" s="43">
        <f>IF(SUM(H$10:H44)=0,IF(COUNTA(H$10:H44)=0,"Очікую",0),IF(COUNTIF(H$10:H44,"&gt;=4")=0,0,COUNTIF(H$10:H44,"&gt;=4")/$D44*100))</f>
        <v/>
      </c>
      <c r="I46" s="43">
        <f>IF(SUM(I$10:I44)=0,IF(COUNTA(I$10:I44)=0,"Очікую",0),IF(COUNTIF(I$10:I44,"&gt;=4")=0,0,COUNTIF(I$10:I44,"&gt;=4")/$D44*100))</f>
        <v/>
      </c>
      <c r="J46" s="43">
        <f>IF(SUM(J$10:J44)=0,IF(COUNTA(J$10:J44)=0,"Очікую",0),IF(COUNTIF(J$10:J44,"&gt;=4")=0,0,COUNTIF(J$10:J44,"&gt;=4")/$D44*100))</f>
        <v/>
      </c>
      <c r="K46" s="43">
        <f>IF(SUM(K$10:K44)=0,IF(COUNTA(K$10:K44)=0,"Очікую",0),IF(COUNTIF(K$10:K44,"&gt;=4")=0,0,COUNTIF(K$10:K44,"&gt;=4")/$D44*100))</f>
        <v/>
      </c>
      <c r="L46" s="43">
        <f>IF(SUM(L$10:L44)=0,IF(COUNTA(L$10:L44)=0,"Очікую",0),IF(COUNTIF(L$10:L44,"&gt;=4")=0,0,COUNTIF(L$10:L44,"&gt;=4")/$D44*100))</f>
        <v/>
      </c>
      <c r="M46" s="43">
        <f>IF(SUM(M$10:M44)=0,IF(COUNTA(M$10:M44)=0,"Очікую",0),IF(COUNTIF(M$10:M44,"&gt;=4")=0,0,COUNTIF(M$10:M44,"&gt;=4")/$D44*100))</f>
        <v/>
      </c>
      <c r="N46" s="43">
        <f>IF(SUM(N$10:N44)=0,IF(COUNTA(N$10:N44)=0,"Очікую",0),IF(COUNTIF(N$10:N44,"&gt;=4")=0,0,COUNTIF(N$10:N44,"&gt;=4")/$D44*100))</f>
        <v/>
      </c>
      <c r="O46" s="43">
        <f>IF(SUM(O$10:O44)=0,IF(COUNTA(O$10:O44)=0,"Очікую",0),IF(COUNTIF(O$10:O44,"&gt;=4")=0,0,COUNTIF(O$10:O44,"&gt;=4")/$D44*100))</f>
        <v/>
      </c>
      <c r="P46" s="43">
        <f>IF(SUM(P$10:P44)=0,IF(COUNTA(P$10:P44)=0,"Очікую",0),IF(COUNTIF(P$10:P44,"&gt;=4")=0,0,COUNTIF(P$10:P44,"&gt;=4")/$D44*100))</f>
        <v/>
      </c>
      <c r="Q46" s="43">
        <f>IF(SUM(Q$10:Q44)=0,IF(COUNTA(Q$10:Q44)=0,"Очікую",0),IF(COUNTIF(Q$10:Q44,"&gt;=4")=0,0,COUNTIF(Q$10:Q44,"&gt;=4")/$D44*100))</f>
        <v/>
      </c>
      <c r="R46" s="43">
        <f>IF(SUM(R$10:R44)=0,IF(COUNTA(R$10:R44)=0,"Очікую",0),IF(COUNTIF(R$10:R44,"&gt;=4")=0,0,COUNTIF(R$10:R44,"&gt;=4")/$D44*100))</f>
        <v/>
      </c>
      <c r="S46" s="43">
        <f>IF(SUM(S$10:S44)=0,IF(COUNTA(S$10:S44)=0,"Очікую",0),IF(COUNTIF(S$10:S44,"&gt;=4")=0,0,COUNTIF(S$10:S44,"&gt;=4")/$D44*100))</f>
        <v/>
      </c>
      <c r="T46" s="43">
        <f>IF(SUM(T$10:T44)=0,IF(COUNTA(T$10:T44)=0,"Очікую",0),IF(COUNTIF(T$10:T44,"&gt;=4")=0,0,COUNTIF(T$10:T44,"&gt;=4")/$D44*100))</f>
        <v/>
      </c>
      <c r="U46" s="6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Якісна успішність</t>
        </is>
      </c>
      <c r="F47" s="43">
        <f>IF(SUM(F$10:F44)=0,IF(COUNTA(F$10:F44)=0,"Очікую",0),IF(COUNTIF(F$10:F44,"&gt;=7")=0,0,COUNTIF(F$10:F44,"&gt;=7")/$D44*100))</f>
        <v/>
      </c>
      <c r="G47" s="43">
        <f>IF(SUM(G$10:G44)=0,IF(COUNTA(G$10:G44)=0,"Очікую",0),IF(COUNTIF(G$10:G44,"&gt;=7")=0,0,COUNTIF(G$10:G44,"&gt;=7")/$D44*100))</f>
        <v/>
      </c>
      <c r="H47" s="43">
        <f>IF(SUM(H$10:H44)=0,IF(COUNTA(H$10:H44)=0,"Очікую",0),IF(COUNTIF(H$10:H44,"&gt;=7")=0,0,COUNTIF(H$10:H44,"&gt;=7")/$D44*100))</f>
        <v/>
      </c>
      <c r="I47" s="43">
        <f>IF(SUM(I$10:I44)=0,IF(COUNTA(I$10:I44)=0,"Очікую",0),IF(COUNTIF(I$10:I44,"&gt;=7")=0,0,COUNTIF(I$10:I44,"&gt;=7")/$D44*100))</f>
        <v/>
      </c>
      <c r="J47" s="43">
        <f>IF(SUM(J$10:J44)=0,IF(COUNTA(J$10:J44)=0,"Очікую",0),IF(COUNTIF(J$10:J44,"&gt;=7")=0,0,COUNTIF(J$10:J44,"&gt;=7")/$D44*100))</f>
        <v/>
      </c>
      <c r="K47" s="43">
        <f>IF(SUM(K$10:K44)=0,IF(COUNTA(K$10:K44)=0,"Очікую",0),IF(COUNTIF(K$10:K44,"&gt;=7")=0,0,COUNTIF(K$10:K44,"&gt;=7")/$D44*100))</f>
        <v/>
      </c>
      <c r="L47" s="43">
        <f>IF(SUM(L$10:L44)=0,IF(COUNTA(L$10:L44)=0,"Очікую",0),IF(COUNTIF(L$10:L44,"&gt;=7")=0,0,COUNTIF(L$10:L44,"&gt;=7")/$D44*100))</f>
        <v/>
      </c>
      <c r="M47" s="43">
        <f>IF(SUM(M$10:M44)=0,IF(COUNTA(M$10:M44)=0,"Очікую",0),IF(COUNTIF(M$10:M44,"&gt;=7")=0,0,COUNTIF(M$10:M44,"&gt;=7")/$D44*100))</f>
        <v/>
      </c>
      <c r="N47" s="43">
        <f>IF(SUM(N$10:N44)=0,IF(COUNTA(N$10:N44)=0,"Очікую",0),IF(COUNTIF(N$10:N44,"&gt;=7")=0,0,COUNTIF(N$10:N44,"&gt;=7")/$D44*100))</f>
        <v/>
      </c>
      <c r="O47" s="43">
        <f>IF(SUM(O$10:O44)=0,IF(COUNTA(O$10:O44)=0,"Очікую",0),IF(COUNTIF(O$10:O44,"&gt;=7")=0,0,COUNTIF(O$10:O44,"&gt;=7")/$D44*100))</f>
        <v/>
      </c>
      <c r="P47" s="43">
        <f>IF(SUM(P$10:P44)=0,IF(COUNTA(P$10:P44)=0,"Очікую",0),IF(COUNTIF(P$10:P44,"&gt;=7")=0,0,COUNTIF(P$10:P44,"&gt;=7")/$D44*100))</f>
        <v/>
      </c>
      <c r="Q47" s="43">
        <f>IF(SUM(Q$10:Q44)=0,IF(COUNTA(Q$10:Q44)=0,"Очікую",0),IF(COUNTIF(Q$10:Q44,"&gt;=7")=0,0,COUNTIF(Q$10:Q44,"&gt;=7")/$D44*100))</f>
        <v/>
      </c>
      <c r="R47" s="43">
        <f>IF(SUM(R$10:R44)=0,IF(COUNTA(R$10:R44)=0,"Очікую",0),IF(COUNTIF(R$10:R44,"&gt;=7")=0,0,COUNTIF(R$10:R44,"&gt;=7")/$D44*100))</f>
        <v/>
      </c>
      <c r="S47" s="43">
        <f>IF(SUM(S$10:S44)=0,IF(COUNTA(S$10:S44)=0,"Очікую",0),IF(COUNTIF(S$10:S44,"&gt;=7")=0,0,COUNTIF(S$10:S44,"&gt;=7")/$D44*100))</f>
        <v/>
      </c>
      <c r="T47" s="43">
        <f>IF(SUM(T$10:T44)=0,IF(COUNTA(T$10:T44)=0,"Очікую",0),IF(COUNTIF(T$10:T44,"&gt;=7")=0,0,COUNTIF(T$10:T44,"&gt;=7")/$D44*100))</f>
        <v/>
      </c>
      <c r="U47" s="6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 по групі</t>
        </is>
      </c>
      <c r="F48" s="8">
        <f>IFERROR(AVERAGE(F46:T46),"Очікую")</f>
        <v/>
      </c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 по групі</t>
        </is>
      </c>
      <c r="F49" s="8">
        <f>IFERROR(AVERAGE($F47:T47),"Очікую")</f>
        <v/>
      </c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Кількість бюджетників</t>
        </is>
      </c>
      <c r="F50" s="63">
        <f>IF(COUNTIF($C$10:$C44,"=B")=0,IF(COUNTIF($C$10:$C44,"=K")=0,"Очікую",0),COUNTIF($C$10:$C44,"=B"))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52" t="n"/>
      <c r="S50" s="52" t="n"/>
      <c r="T50" s="52" t="n"/>
      <c r="U50" s="52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Кількість контрактників</t>
        </is>
      </c>
      <c r="F51" s="63">
        <f>IF(COUNTIF($C$10:$C44,"=K")=0,IF(COUNTIF($C$10:$C44,"=B")=0,"Очікую",0),COUNTIF($C$10:$C44,"=K"))</f>
        <v/>
      </c>
      <c r="G51" s="6" t="n"/>
      <c r="H51" s="58" t="inlineStr">
        <is>
          <t>Класний керівник</t>
        </is>
      </c>
      <c r="I51" s="6" t="n"/>
      <c r="J51" s="6" t="n"/>
      <c r="K51" s="6" t="n"/>
      <c r="L51" s="6" t="n"/>
      <c r="M51" s="6" t="n"/>
      <c r="N51" s="6" t="n"/>
      <c r="O51" s="6" t="n"/>
      <c r="P51" s="54" t="inlineStr"/>
      <c r="Q51" s="54" t="n"/>
      <c r="R51" s="54" t="n"/>
      <c r="S51" s="54" t="n"/>
      <c r="T51" s="54" t="n"/>
      <c r="U51" s="54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соціального контингенту</t>
        </is>
      </c>
      <c r="F52" s="4" t="n"/>
      <c r="G52" s="6" t="n"/>
      <c r="H52" s="53" t="n"/>
      <c r="I52" s="6" t="n"/>
      <c r="J52" s="6" t="n"/>
      <c r="K52" s="6" t="n"/>
      <c r="L52" s="6" t="n"/>
      <c r="M52" s="6" t="n"/>
      <c r="N52" s="6" t="n"/>
      <c r="O52" s="6" t="n"/>
      <c r="P52" s="52" t="n"/>
      <c r="Q52" s="52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Вийшли на стипендію</t>
        </is>
      </c>
      <c r="F53" s="63">
        <f>IF(F50="Очікую","Очікую",IF(F50-COUNTIF($U$10:$U44," - ")&lt;ROUNDDOWN(F50*0.45,0),F50-COUNTIF($U$10:$U44," - "),ROUNDDOWN(F50*0.45,0)))</f>
        <v/>
      </c>
      <c r="G53" s="6" t="n"/>
      <c r="H53" s="54" t="inlineStr">
        <is>
          <t>Завідувач відділення ПЗСО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>
        <is>
          <t>Маргарита БРІТІКОВА</t>
        </is>
      </c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21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5" t="n"/>
      <c r="W54" s="39" t="n"/>
    </row>
    <row r="55" ht="15" customFormat="1" customHeight="1" s="11">
      <c r="A55" s="38" t="n"/>
      <c r="B55" s="38" t="n"/>
      <c r="C55" s="38" t="n"/>
      <c r="D55" s="38" t="n"/>
      <c r="E55" s="38" t="n"/>
      <c r="F55" s="38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59" t="n"/>
      <c r="W55" s="39" t="n"/>
    </row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«Екологія»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'Загальна'!C15</f>
        <v/>
      </c>
      <c r="D10" s="47" t="n">
        <v>1</v>
      </c>
      <c r="E10" s="48">
        <f>'Загальна'!E15</f>
        <v/>
      </c>
      <c r="F10" s="49">
        <f>'Загальна'!F15</f>
        <v/>
      </c>
      <c r="G10" s="49">
        <f>'Загальна'!G15</f>
        <v/>
      </c>
      <c r="H10" s="49">
        <f>'Загальна'!H15</f>
        <v/>
      </c>
      <c r="I10" s="49">
        <f>'Загальна'!I15</f>
        <v/>
      </c>
      <c r="J10" s="49">
        <f>'Загальна'!J15</f>
        <v/>
      </c>
      <c r="K10" s="49">
        <f>'Загальна'!K15</f>
        <v/>
      </c>
      <c r="L10" s="49">
        <f>'Загальна'!L15</f>
        <v/>
      </c>
      <c r="M10" s="49">
        <f>'Загальна'!M15</f>
        <v/>
      </c>
      <c r="N10" s="49">
        <f>'Загальна'!N15</f>
        <v/>
      </c>
      <c r="O10" s="49">
        <f>'Загальна'!O15</f>
        <v/>
      </c>
      <c r="P10" s="49">
        <f>'Загальна'!P15</f>
        <v/>
      </c>
      <c r="Q10" s="49">
        <f>'Загальна'!Q15</f>
        <v/>
      </c>
      <c r="R10" s="49">
        <f>'Загальна'!R15</f>
        <v/>
      </c>
      <c r="S10" s="49">
        <f>'Загальна'!S15</f>
        <v/>
      </c>
      <c r="T10" s="49">
        <f>'Загальна'!T15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'Загальна'!C16</f>
        <v/>
      </c>
      <c r="D11" s="47" t="n">
        <v>2</v>
      </c>
      <c r="E11" s="48">
        <f>'Загальна'!E16</f>
        <v/>
      </c>
      <c r="F11" s="49">
        <f>'Загальна'!F16</f>
        <v/>
      </c>
      <c r="G11" s="49">
        <f>'Загальна'!G16</f>
        <v/>
      </c>
      <c r="H11" s="49">
        <f>'Загальна'!H16</f>
        <v/>
      </c>
      <c r="I11" s="49">
        <f>'Загальна'!I16</f>
        <v/>
      </c>
      <c r="J11" s="49">
        <f>'Загальна'!J16</f>
        <v/>
      </c>
      <c r="K11" s="49">
        <f>'Загальна'!K16</f>
        <v/>
      </c>
      <c r="L11" s="49">
        <f>'Загальна'!L16</f>
        <v/>
      </c>
      <c r="M11" s="49">
        <f>'Загальна'!M16</f>
        <v/>
      </c>
      <c r="N11" s="49">
        <f>'Загальна'!N16</f>
        <v/>
      </c>
      <c r="O11" s="49">
        <f>'Загальна'!O16</f>
        <v/>
      </c>
      <c r="P11" s="49">
        <f>'Загальна'!P16</f>
        <v/>
      </c>
      <c r="Q11" s="49">
        <f>'Загальна'!Q16</f>
        <v/>
      </c>
      <c r="R11" s="49">
        <f>'Загальна'!R16</f>
        <v/>
      </c>
      <c r="S11" s="49">
        <f>'Загальна'!S16</f>
        <v/>
      </c>
      <c r="T11" s="49">
        <f>'Загальна'!T16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'Загальна'!C19</f>
        <v/>
      </c>
      <c r="D12" s="47" t="n">
        <v>3</v>
      </c>
      <c r="E12" s="48">
        <f>'Загальна'!E19</f>
        <v/>
      </c>
      <c r="F12" s="49">
        <f>'Загальна'!F19</f>
        <v/>
      </c>
      <c r="G12" s="49">
        <f>'Загальна'!G19</f>
        <v/>
      </c>
      <c r="H12" s="49">
        <f>'Загальна'!H19</f>
        <v/>
      </c>
      <c r="I12" s="49">
        <f>'Загальна'!I19</f>
        <v/>
      </c>
      <c r="J12" s="49">
        <f>'Загальна'!J19</f>
        <v/>
      </c>
      <c r="K12" s="49">
        <f>'Загальна'!K19</f>
        <v/>
      </c>
      <c r="L12" s="49">
        <f>'Загальна'!L19</f>
        <v/>
      </c>
      <c r="M12" s="49">
        <f>'Загальна'!M19</f>
        <v/>
      </c>
      <c r="N12" s="49">
        <f>'Загальна'!N19</f>
        <v/>
      </c>
      <c r="O12" s="49">
        <f>'Загальна'!O19</f>
        <v/>
      </c>
      <c r="P12" s="49">
        <f>'Загальна'!P19</f>
        <v/>
      </c>
      <c r="Q12" s="49">
        <f>'Загальна'!Q19</f>
        <v/>
      </c>
      <c r="R12" s="49">
        <f>'Загальна'!R19</f>
        <v/>
      </c>
      <c r="S12" s="49">
        <f>'Загальна'!S19</f>
        <v/>
      </c>
      <c r="T12" s="49">
        <f>'Загальна'!T19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'Загальна'!C20</f>
        <v/>
      </c>
      <c r="D13" s="47" t="n">
        <v>4</v>
      </c>
      <c r="E13" s="48">
        <f>'Загальна'!E20</f>
        <v/>
      </c>
      <c r="F13" s="49">
        <f>'Загальна'!F20</f>
        <v/>
      </c>
      <c r="G13" s="49">
        <f>'Загальна'!G20</f>
        <v/>
      </c>
      <c r="H13" s="49">
        <f>'Загальна'!H20</f>
        <v/>
      </c>
      <c r="I13" s="49">
        <f>'Загальна'!I20</f>
        <v/>
      </c>
      <c r="J13" s="49">
        <f>'Загальна'!J20</f>
        <v/>
      </c>
      <c r="K13" s="49">
        <f>'Загальна'!K20</f>
        <v/>
      </c>
      <c r="L13" s="49">
        <f>'Загальна'!L20</f>
        <v/>
      </c>
      <c r="M13" s="49">
        <f>'Загальна'!M20</f>
        <v/>
      </c>
      <c r="N13" s="49">
        <f>'Загальна'!N20</f>
        <v/>
      </c>
      <c r="O13" s="49">
        <f>'Загальна'!O20</f>
        <v/>
      </c>
      <c r="P13" s="49">
        <f>'Загальна'!P20</f>
        <v/>
      </c>
      <c r="Q13" s="49">
        <f>'Загальна'!Q20</f>
        <v/>
      </c>
      <c r="R13" s="49">
        <f>'Загальна'!R20</f>
        <v/>
      </c>
      <c r="S13" s="49">
        <f>'Загальна'!S20</f>
        <v/>
      </c>
      <c r="T13" s="49">
        <f>'Загальна'!T20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'Загальна'!C22</f>
        <v/>
      </c>
      <c r="D14" s="47" t="n">
        <v>5</v>
      </c>
      <c r="E14" s="48">
        <f>'Загальна'!E22</f>
        <v/>
      </c>
      <c r="F14" s="49">
        <f>'Загальна'!F22</f>
        <v/>
      </c>
      <c r="G14" s="49">
        <f>'Загальна'!G22</f>
        <v/>
      </c>
      <c r="H14" s="49">
        <f>'Загальна'!H22</f>
        <v/>
      </c>
      <c r="I14" s="49">
        <f>'Загальна'!I22</f>
        <v/>
      </c>
      <c r="J14" s="49">
        <f>'Загальна'!J22</f>
        <v/>
      </c>
      <c r="K14" s="49">
        <f>'Загальна'!K22</f>
        <v/>
      </c>
      <c r="L14" s="49">
        <f>'Загальна'!L22</f>
        <v/>
      </c>
      <c r="M14" s="49">
        <f>'Загальна'!M22</f>
        <v/>
      </c>
      <c r="N14" s="49">
        <f>'Загальна'!N22</f>
        <v/>
      </c>
      <c r="O14" s="49">
        <f>'Загальна'!O22</f>
        <v/>
      </c>
      <c r="P14" s="49">
        <f>'Загальна'!P22</f>
        <v/>
      </c>
      <c r="Q14" s="49">
        <f>'Загальна'!Q22</f>
        <v/>
      </c>
      <c r="R14" s="49">
        <f>'Загальна'!R22</f>
        <v/>
      </c>
      <c r="S14" s="49">
        <f>'Загальна'!S22</f>
        <v/>
      </c>
      <c r="T14" s="49">
        <f>'Загальна'!T22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'Загальна'!C24</f>
        <v/>
      </c>
      <c r="D15" s="47" t="n">
        <v>6</v>
      </c>
      <c r="E15" s="48">
        <f>'Загальна'!E24</f>
        <v/>
      </c>
      <c r="F15" s="49">
        <f>'Загальна'!F24</f>
        <v/>
      </c>
      <c r="G15" s="49">
        <f>'Загальна'!G24</f>
        <v/>
      </c>
      <c r="H15" s="49">
        <f>'Загальна'!H24</f>
        <v/>
      </c>
      <c r="I15" s="49">
        <f>'Загальна'!I24</f>
        <v/>
      </c>
      <c r="J15" s="49">
        <f>'Загальна'!J24</f>
        <v/>
      </c>
      <c r="K15" s="49">
        <f>'Загальна'!K24</f>
        <v/>
      </c>
      <c r="L15" s="49">
        <f>'Загальна'!L24</f>
        <v/>
      </c>
      <c r="M15" s="49">
        <f>'Загальна'!M24</f>
        <v/>
      </c>
      <c r="N15" s="49">
        <f>'Загальна'!N24</f>
        <v/>
      </c>
      <c r="O15" s="49">
        <f>'Загальна'!O24</f>
        <v/>
      </c>
      <c r="P15" s="49">
        <f>'Загальна'!P24</f>
        <v/>
      </c>
      <c r="Q15" s="49">
        <f>'Загальна'!Q24</f>
        <v/>
      </c>
      <c r="R15" s="49">
        <f>'Загальна'!R24</f>
        <v/>
      </c>
      <c r="S15" s="49">
        <f>'Загальна'!S24</f>
        <v/>
      </c>
      <c r="T15" s="49">
        <f>'Загальна'!T24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'Загальна'!C29</f>
        <v/>
      </c>
      <c r="D17" s="47" t="n">
        <v>8</v>
      </c>
      <c r="E17" s="48">
        <f>'Загальна'!E29</f>
        <v/>
      </c>
      <c r="F17" s="49">
        <f>'Загальна'!F29</f>
        <v/>
      </c>
      <c r="G17" s="49">
        <f>'Загальна'!G29</f>
        <v/>
      </c>
      <c r="H17" s="49">
        <f>'Загальна'!H29</f>
        <v/>
      </c>
      <c r="I17" s="49">
        <f>'Загальна'!I29</f>
        <v/>
      </c>
      <c r="J17" s="49">
        <f>'Загальна'!J29</f>
        <v/>
      </c>
      <c r="K17" s="49">
        <f>'Загальна'!K29</f>
        <v/>
      </c>
      <c r="L17" s="49">
        <f>'Загальна'!L29</f>
        <v/>
      </c>
      <c r="M17" s="49">
        <f>'Загальна'!M29</f>
        <v/>
      </c>
      <c r="N17" s="49">
        <f>'Загальна'!N29</f>
        <v/>
      </c>
      <c r="O17" s="49">
        <f>'Загальна'!O29</f>
        <v/>
      </c>
      <c r="P17" s="49">
        <f>'Загальна'!P29</f>
        <v/>
      </c>
      <c r="Q17" s="49">
        <f>'Загальна'!Q29</f>
        <v/>
      </c>
      <c r="R17" s="49">
        <f>'Загальна'!R29</f>
        <v/>
      </c>
      <c r="S17" s="49">
        <f>'Загальна'!S29</f>
        <v/>
      </c>
      <c r="T17" s="49">
        <f>'Загальна'!T29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'Загальна'!C30</f>
        <v/>
      </c>
      <c r="D18" s="47" t="n">
        <v>9</v>
      </c>
      <c r="E18" s="48">
        <f>'Загальна'!E30</f>
        <v/>
      </c>
      <c r="F18" s="49">
        <f>'Загальна'!F30</f>
        <v/>
      </c>
      <c r="G18" s="49">
        <f>'Загальна'!G30</f>
        <v/>
      </c>
      <c r="H18" s="49">
        <f>'Загальна'!H30</f>
        <v/>
      </c>
      <c r="I18" s="49">
        <f>'Загальна'!I30</f>
        <v/>
      </c>
      <c r="J18" s="49">
        <f>'Загальна'!J30</f>
        <v/>
      </c>
      <c r="K18" s="49">
        <f>'Загальна'!K30</f>
        <v/>
      </c>
      <c r="L18" s="49">
        <f>'Загальна'!L30</f>
        <v/>
      </c>
      <c r="M18" s="49">
        <f>'Загальна'!M30</f>
        <v/>
      </c>
      <c r="N18" s="49">
        <f>'Загальна'!N30</f>
        <v/>
      </c>
      <c r="O18" s="49">
        <f>'Загальна'!O30</f>
        <v/>
      </c>
      <c r="P18" s="49">
        <f>'Загальна'!P30</f>
        <v/>
      </c>
      <c r="Q18" s="49">
        <f>'Загальна'!Q30</f>
        <v/>
      </c>
      <c r="R18" s="49">
        <f>'Загальна'!R30</f>
        <v/>
      </c>
      <c r="S18" s="49">
        <f>'Загальна'!S30</f>
        <v/>
      </c>
      <c r="T18" s="49">
        <f>'Загальна'!T30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'Загальна'!C39</f>
        <v/>
      </c>
      <c r="D19" s="47" t="n">
        <v>10</v>
      </c>
      <c r="E19" s="48">
        <f>'Загальна'!E39</f>
        <v/>
      </c>
      <c r="F19" s="49">
        <f>'Загальна'!F39</f>
        <v/>
      </c>
      <c r="G19" s="49">
        <f>'Загальна'!G39</f>
        <v/>
      </c>
      <c r="H19" s="49">
        <f>'Загальна'!H39</f>
        <v/>
      </c>
      <c r="I19" s="49">
        <f>'Загальна'!I39</f>
        <v/>
      </c>
      <c r="J19" s="49">
        <f>'Загальна'!J39</f>
        <v/>
      </c>
      <c r="K19" s="49">
        <f>'Загальна'!K39</f>
        <v/>
      </c>
      <c r="L19" s="49">
        <f>'Загальна'!L39</f>
        <v/>
      </c>
      <c r="M19" s="49">
        <f>'Загальна'!M39</f>
        <v/>
      </c>
      <c r="N19" s="49">
        <f>'Загальна'!N39</f>
        <v/>
      </c>
      <c r="O19" s="49">
        <f>'Загальна'!O39</f>
        <v/>
      </c>
      <c r="P19" s="49">
        <f>'Загальна'!P39</f>
        <v/>
      </c>
      <c r="Q19" s="49">
        <f>'Загальна'!Q39</f>
        <v/>
      </c>
      <c r="R19" s="49">
        <f>'Загальна'!R39</f>
        <v/>
      </c>
      <c r="S19" s="49">
        <f>'Загальна'!S39</f>
        <v/>
      </c>
      <c r="T19" s="49">
        <f>'Загальна'!T39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Середній бал успішності з дисципліни</t>
        </is>
      </c>
      <c r="F20" s="8">
        <f>IF(SUM(F$10:F19)=0,IF(COUNTA(F$10:F19)=0,"Очікую",0),SUM(F$10:F19)/$D19)</f>
        <v/>
      </c>
      <c r="G20" s="8">
        <f>IF(SUM(G$10:G19)=0,IF(COUNTA(G$10:G19)=0,"Очікую",0),SUM(G$10:G19)/$D19)</f>
        <v/>
      </c>
      <c r="H20" s="8">
        <f>IF(SUM(H$10:H19)=0,IF(COUNTA(H$10:H19)=0,"Очікую",0),SUM(H$10:H19)/$D19)</f>
        <v/>
      </c>
      <c r="I20" s="8">
        <f>IF(SUM(I$10:I19)=0,IF(COUNTA(I$10:I19)=0,"Очікую",0),SUM(I$10:I19)/$D19)</f>
        <v/>
      </c>
      <c r="J20" s="8">
        <f>IF(SUM(J$10:J19)=0,IF(COUNTA(J$10:J19)=0,"Очікую",0),SUM(J$10:J19)/$D19)</f>
        <v/>
      </c>
      <c r="K20" s="8">
        <f>IF(SUM(K$10:K19)=0,IF(COUNTA(K$10:K19)=0,"Очікую",0),SUM(K$10:K19)/$D19)</f>
        <v/>
      </c>
      <c r="L20" s="8">
        <f>IF(SUM(L$10:L19)=0,IF(COUNTA(L$10:L19)=0,"Очікую",0),SUM(L$10:L19)/$D19)</f>
        <v/>
      </c>
      <c r="M20" s="8">
        <f>IF(SUM(M$10:M19)=0,IF(COUNTA(M$10:M19)=0,"Очікую",0),SUM(M$10:M19)/$D19)</f>
        <v/>
      </c>
      <c r="N20" s="8">
        <f>IF(SUM(N$10:N19)=0,IF(COUNTA(N$10:N19)=0,"Очікую",0),SUM(N$10:N19)/$D19)</f>
        <v/>
      </c>
      <c r="O20" s="8">
        <f>IF(SUM(O$10:O19)=0,IF(COUNTA(O$10:O19)=0,"Очікую",0),SUM(O$10:O19)/$D19)</f>
        <v/>
      </c>
      <c r="P20" s="8">
        <f>IF(SUM(P$10:P19)=0,IF(COUNTA(P$10:P19)=0,"Очікую",0),SUM(P$10:P19)/$D19)</f>
        <v/>
      </c>
      <c r="Q20" s="8">
        <f>IF(SUM(Q$10:Q19)=0,IF(COUNTA(Q$10:Q19)=0,"Очікую",0),SUM(Q$10:Q19)/$D19)</f>
        <v/>
      </c>
      <c r="R20" s="8">
        <f>IF(SUM(R$10:R19)=0,IF(COUNTA(R$10:R19)=0,"Очікую",0),SUM(R$10:R19)/$D19)</f>
        <v/>
      </c>
      <c r="S20" s="8">
        <f>IF(SUM(S$10:S19)=0,IF(COUNTA(S$10:S19)=0,"Очікую",0),SUM(S$10:S19)/$D19)</f>
        <v/>
      </c>
      <c r="T20" s="8">
        <f>IF(SUM(T$10:T19)=0,IF(COUNTA(T$10:T19)=0,"Очікую",0),SUM(T$10:T19)/$D19)</f>
        <v/>
      </c>
      <c r="U20" s="9">
        <f>IFERROR(AVERAGE($F20:T20),"Очікую")</f>
        <v/>
      </c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</t>
        </is>
      </c>
      <c r="F21" s="43">
        <f>IF(SUM(F$10:F19)=0,IF(COUNTA(F$10:F19)=0,"Очікую",0),IF(COUNTIF(F$10:F19,"&gt;=4")=0,0,COUNTIF(F$10:F19,"&gt;=4")/$D19*100))</f>
        <v/>
      </c>
      <c r="G21" s="43">
        <f>IF(SUM(G$10:G19)=0,IF(COUNTA(G$10:G19)=0,"Очікую",0),IF(COUNTIF(G$10:G19,"&gt;=4")=0,0,COUNTIF(G$10:G19,"&gt;=4")/$D19*100))</f>
        <v/>
      </c>
      <c r="H21" s="43">
        <f>IF(SUM(H$10:H19)=0,IF(COUNTA(H$10:H19)=0,"Очікую",0),IF(COUNTIF(H$10:H19,"&gt;=4")=0,0,COUNTIF(H$10:H19,"&gt;=4")/$D19*100))</f>
        <v/>
      </c>
      <c r="I21" s="43">
        <f>IF(SUM(I$10:I19)=0,IF(COUNTA(I$10:I19)=0,"Очікую",0),IF(COUNTIF(I$10:I19,"&gt;=4")=0,0,COUNTIF(I$10:I19,"&gt;=4")/$D19*100))</f>
        <v/>
      </c>
      <c r="J21" s="43">
        <f>IF(SUM(J$10:J19)=0,IF(COUNTA(J$10:J19)=0,"Очікую",0),IF(COUNTIF(J$10:J19,"&gt;=4")=0,0,COUNTIF(J$10:J19,"&gt;=4")/$D19*100))</f>
        <v/>
      </c>
      <c r="K21" s="43">
        <f>IF(SUM(K$10:K19)=0,IF(COUNTA(K$10:K19)=0,"Очікую",0),IF(COUNTIF(K$10:K19,"&gt;=4")=0,0,COUNTIF(K$10:K19,"&gt;=4")/$D19*100))</f>
        <v/>
      </c>
      <c r="L21" s="43">
        <f>IF(SUM(L$10:L19)=0,IF(COUNTA(L$10:L19)=0,"Очікую",0),IF(COUNTIF(L$10:L19,"&gt;=4")=0,0,COUNTIF(L$10:L19,"&gt;=4")/$D19*100))</f>
        <v/>
      </c>
      <c r="M21" s="43">
        <f>IF(SUM(M$10:M19)=0,IF(COUNTA(M$10:M19)=0,"Очікую",0),IF(COUNTIF(M$10:M19,"&gt;=4")=0,0,COUNTIF(M$10:M19,"&gt;=4")/$D19*100))</f>
        <v/>
      </c>
      <c r="N21" s="43">
        <f>IF(SUM(N$10:N19)=0,IF(COUNTA(N$10:N19)=0,"Очікую",0),IF(COUNTIF(N$10:N19,"&gt;=4")=0,0,COUNTIF(N$10:N19,"&gt;=4")/$D19*100))</f>
        <v/>
      </c>
      <c r="O21" s="43">
        <f>IF(SUM(O$10:O19)=0,IF(COUNTA(O$10:O19)=0,"Очікую",0),IF(COUNTIF(O$10:O19,"&gt;=4")=0,0,COUNTIF(O$10:O19,"&gt;=4")/$D19*100))</f>
        <v/>
      </c>
      <c r="P21" s="43">
        <f>IF(SUM(P$10:P19)=0,IF(COUNTA(P$10:P19)=0,"Очікую",0),IF(COUNTIF(P$10:P19,"&gt;=4")=0,0,COUNTIF(P$10:P19,"&gt;=4")/$D19*100))</f>
        <v/>
      </c>
      <c r="Q21" s="43">
        <f>IF(SUM(Q$10:Q19)=0,IF(COUNTA(Q$10:Q19)=0,"Очікую",0),IF(COUNTIF(Q$10:Q19,"&gt;=4")=0,0,COUNTIF(Q$10:Q19,"&gt;=4")/$D19*100))</f>
        <v/>
      </c>
      <c r="R21" s="43">
        <f>IF(SUM(R$10:R19)=0,IF(COUNTA(R$10:R19)=0,"Очікую",0),IF(COUNTIF(R$10:R19,"&gt;=4")=0,0,COUNTIF(R$10:R19,"&gt;=4")/$D19*100))</f>
        <v/>
      </c>
      <c r="S21" s="43">
        <f>IF(SUM(S$10:S19)=0,IF(COUNTA(S$10:S19)=0,"Очікую",0),IF(COUNTIF(S$10:S19,"&gt;=4")=0,0,COUNTIF(S$10:S19,"&gt;=4")/$D19*100))</f>
        <v/>
      </c>
      <c r="T21" s="43">
        <f>IF(SUM(T$10:T19)=0,IF(COUNTA(T$10:T19)=0,"Очікую",0),IF(COUNTIF(T$10:T19,"&gt;=4")=0,0,COUNTIF(T$10:T19,"&gt;=4")/$D19*100))</f>
        <v/>
      </c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</t>
        </is>
      </c>
      <c r="F22" s="43">
        <f>IF(SUM(F$10:F19)=0,IF(COUNTA(F$10:F19)=0,"Очікую",0),IF(COUNTIF(F$10:F19,"&gt;=7")=0,0,COUNTIF(F$10:F19,"&gt;=7")/$D19*100))</f>
        <v/>
      </c>
      <c r="G22" s="43">
        <f>IF(SUM(G$10:G19)=0,IF(COUNTA(G$10:G19)=0,"Очікую",0),IF(COUNTIF(G$10:G19,"&gt;=7")=0,0,COUNTIF(G$10:G19,"&gt;=7")/$D19*100))</f>
        <v/>
      </c>
      <c r="H22" s="43">
        <f>IF(SUM(H$10:H19)=0,IF(COUNTA(H$10:H19)=0,"Очікую",0),IF(COUNTIF(H$10:H19,"&gt;=7")=0,0,COUNTIF(H$10:H19,"&gt;=7")/$D19*100))</f>
        <v/>
      </c>
      <c r="I22" s="43">
        <f>IF(SUM(I$10:I19)=0,IF(COUNTA(I$10:I19)=0,"Очікую",0),IF(COUNTIF(I$10:I19,"&gt;=7")=0,0,COUNTIF(I$10:I19,"&gt;=7")/$D19*100))</f>
        <v/>
      </c>
      <c r="J22" s="43">
        <f>IF(SUM(J$10:J19)=0,IF(COUNTA(J$10:J19)=0,"Очікую",0),IF(COUNTIF(J$10:J19,"&gt;=7")=0,0,COUNTIF(J$10:J19,"&gt;=7")/$D19*100))</f>
        <v/>
      </c>
      <c r="K22" s="43">
        <f>IF(SUM(K$10:K19)=0,IF(COUNTA(K$10:K19)=0,"Очікую",0),IF(COUNTIF(K$10:K19,"&gt;=7")=0,0,COUNTIF(K$10:K19,"&gt;=7")/$D19*100))</f>
        <v/>
      </c>
      <c r="L22" s="43">
        <f>IF(SUM(L$10:L19)=0,IF(COUNTA(L$10:L19)=0,"Очікую",0),IF(COUNTIF(L$10:L19,"&gt;=7")=0,0,COUNTIF(L$10:L19,"&gt;=7")/$D19*100))</f>
        <v/>
      </c>
      <c r="M22" s="43">
        <f>IF(SUM(M$10:M19)=0,IF(COUNTA(M$10:M19)=0,"Очікую",0),IF(COUNTIF(M$10:M19,"&gt;=7")=0,0,COUNTIF(M$10:M19,"&gt;=7")/$D19*100))</f>
        <v/>
      </c>
      <c r="N22" s="43">
        <f>IF(SUM(N$10:N19)=0,IF(COUNTA(N$10:N19)=0,"Очікую",0),IF(COUNTIF(N$10:N19,"&gt;=7")=0,0,COUNTIF(N$10:N19,"&gt;=7")/$D19*100))</f>
        <v/>
      </c>
      <c r="O22" s="43">
        <f>IF(SUM(O$10:O19)=0,IF(COUNTA(O$10:O19)=0,"Очікую",0),IF(COUNTIF(O$10:O19,"&gt;=7")=0,0,COUNTIF(O$10:O19,"&gt;=7")/$D19*100))</f>
        <v/>
      </c>
      <c r="P22" s="43">
        <f>IF(SUM(P$10:P19)=0,IF(COUNTA(P$10:P19)=0,"Очікую",0),IF(COUNTIF(P$10:P19,"&gt;=7")=0,0,COUNTIF(P$10:P19,"&gt;=7")/$D19*100))</f>
        <v/>
      </c>
      <c r="Q22" s="43">
        <f>IF(SUM(Q$10:Q19)=0,IF(COUNTA(Q$10:Q19)=0,"Очікую",0),IF(COUNTIF(Q$10:Q19,"&gt;=7")=0,0,COUNTIF(Q$10:Q19,"&gt;=7")/$D19*100))</f>
        <v/>
      </c>
      <c r="R22" s="43">
        <f>IF(SUM(R$10:R19)=0,IF(COUNTA(R$10:R19)=0,"Очікую",0),IF(COUNTIF(R$10:R19,"&gt;=7")=0,0,COUNTIF(R$10:R19,"&gt;=7")/$D19*100))</f>
        <v/>
      </c>
      <c r="S22" s="43">
        <f>IF(SUM(S$10:S19)=0,IF(COUNTA(S$10:S19)=0,"Очікую",0),IF(COUNTIF(S$10:S19,"&gt;=7")=0,0,COUNTIF(S$10:S19,"&gt;=7")/$D19*100))</f>
        <v/>
      </c>
      <c r="T22" s="43">
        <f>IF(SUM(T$10:T19)=0,IF(COUNTA(T$10:T19)=0,"Очікую",0),IF(COUNTIF(T$10:T19,"&gt;=7")=0,0,COUNTIF(T$10:T19,"&gt;=7")/$D19*100))</f>
        <v/>
      </c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 по групі</t>
        </is>
      </c>
      <c r="F23" s="8">
        <f>IFERROR(AVERAGE(F21:T21),"Очікую")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 по групі</t>
        </is>
      </c>
      <c r="F24" s="8">
        <f>IFERROR(AVERAGE($F22:T22),"Очікую")</f>
        <v/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бюджетників</t>
        </is>
      </c>
      <c r="F25" s="63">
        <f>IF(COUNTIF($C$10:$C19,"=B")=0,IF(COUNTIF($C$10:$C19,"=K")=0,"Очікую",0),COUNTIF($C$10:$C19,"=B"))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Кількість контрактників</t>
        </is>
      </c>
      <c r="F26" s="63">
        <f>IF(COUNTIF($C$10:$C19,"=K")=0,IF(COUNTIF($C$10:$C19,"=B")=0,"Очікую",0),COUNTIF($C$10:$C19,"=K"))</f>
        <v/>
      </c>
      <c r="G26" s="6" t="n"/>
      <c r="H26" s="55" t="inlineStr">
        <is>
          <t>Класний керівник</t>
        </is>
      </c>
      <c r="I26" s="55" t="n"/>
      <c r="J26" s="55" t="n"/>
      <c r="K26" s="55" t="n"/>
      <c r="L26" s="55" t="n"/>
      <c r="M26" s="6" t="n"/>
      <c r="N26" s="6" t="n"/>
      <c r="O26" s="6" t="n"/>
      <c r="P26" s="56">
        <f>'Загальна'!P51</f>
        <v/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соціального контингенту</t>
        </is>
      </c>
      <c r="F27" s="4" t="n"/>
      <c r="G27" s="6" t="n"/>
      <c r="H27" s="55" t="n"/>
      <c r="I27" s="55" t="n"/>
      <c r="J27" s="55" t="n"/>
      <c r="K27" s="55" t="n"/>
      <c r="L27" s="55" t="n"/>
      <c r="M27" s="6" t="n"/>
      <c r="N27" s="6" t="n"/>
      <c r="O27" s="6" t="n"/>
      <c r="P27" s="56" t="n"/>
      <c r="Q27" s="52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Вийшли на стипендію</t>
        </is>
      </c>
      <c r="F28" s="63">
        <f>IF(F25="Очікую","Очікую",IF(F25-COUNTIF($U$10:$U19," - ")&lt;ROUNDDOWN(F25*0.45,0),F25-COUNTIF($U$10:$U19," - "),ROUNDDOWN(F25*0.45,0)))</f>
        <v/>
      </c>
      <c r="G28" s="6" t="n"/>
      <c r="H28" s="56" t="inlineStr">
        <is>
          <t>Завідувач відділення ПЗСО</t>
        </is>
      </c>
      <c r="I28" s="56" t="n"/>
      <c r="J28" s="56" t="n"/>
      <c r="K28" s="56" t="n"/>
      <c r="L28" s="56" t="n"/>
      <c r="M28" s="6" t="n"/>
      <c r="N28" s="6" t="n"/>
      <c r="O28" s="6" t="n"/>
      <c r="P28" s="56" t="inlineStr">
        <is>
          <t>Маргарита БРІТІКОВА</t>
        </is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21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5" t="n"/>
      <c r="W29" s="39" t="n"/>
    </row>
    <row r="30" ht="15" customFormat="1" customHeight="1" s="11">
      <c r="A30" s="38" t="n"/>
      <c r="B30" s="38" t="n"/>
      <c r="C30" s="38" t="n"/>
      <c r="D30" s="38" t="n"/>
      <c r="E30" s="38" t="n"/>
      <c r="F30" s="38" t="n"/>
      <c r="G30" s="38" t="n"/>
      <c r="H30" s="38" t="n"/>
      <c r="I30" s="38" t="n"/>
      <c r="J30" s="38" t="n"/>
      <c r="K30" s="38" t="n"/>
      <c r="L30" s="38" t="n"/>
      <c r="M30" s="38" t="n"/>
      <c r="N30" s="38" t="n"/>
      <c r="O30" s="38" t="n"/>
      <c r="P30" s="38" t="n"/>
      <c r="Q30" s="38" t="n"/>
      <c r="R30" s="38" t="n"/>
      <c r="S30" s="38" t="n"/>
      <c r="T30" s="38" t="n"/>
      <c r="U30" s="38" t="n"/>
      <c r="V30" s="38" t="n"/>
      <c r="W30" s="39" t="n"/>
    </row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'Загальна'!C26</f>
        <v/>
      </c>
      <c r="D14" s="47" t="n">
        <v>5</v>
      </c>
      <c r="E14" s="48">
        <f>'Загальна'!E26</f>
        <v/>
      </c>
      <c r="F14" s="49">
        <f>'Загальна'!F26</f>
        <v/>
      </c>
      <c r="G14" s="49">
        <f>'Загальна'!G26</f>
        <v/>
      </c>
      <c r="H14" s="49">
        <f>'Загальна'!H26</f>
        <v/>
      </c>
      <c r="I14" s="49">
        <f>'Загальна'!I26</f>
        <v/>
      </c>
      <c r="J14" s="49">
        <f>'Загальна'!J26</f>
        <v/>
      </c>
      <c r="K14" s="49">
        <f>'Загальна'!K26</f>
        <v/>
      </c>
      <c r="L14" s="49">
        <f>'Загальна'!L26</f>
        <v/>
      </c>
      <c r="M14" s="49">
        <f>'Загальна'!M26</f>
        <v/>
      </c>
      <c r="N14" s="49">
        <f>'Загальна'!N26</f>
        <v/>
      </c>
      <c r="O14" s="49">
        <f>'Загальна'!O26</f>
        <v/>
      </c>
      <c r="P14" s="49">
        <f>'Загальна'!P26</f>
        <v/>
      </c>
      <c r="Q14" s="49">
        <f>'Загальна'!Q26</f>
        <v/>
      </c>
      <c r="R14" s="49">
        <f>'Загальна'!R26</f>
        <v/>
      </c>
      <c r="S14" s="49">
        <f>'Загальна'!S26</f>
        <v/>
      </c>
      <c r="T14" s="49">
        <f>'Загальна'!T26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'Загальна'!C32</f>
        <v/>
      </c>
      <c r="D15" s="47" t="n">
        <v>6</v>
      </c>
      <c r="E15" s="48">
        <f>'Загальна'!E32</f>
        <v/>
      </c>
      <c r="F15" s="49">
        <f>'Загальна'!F32</f>
        <v/>
      </c>
      <c r="G15" s="49">
        <f>'Загальна'!G32</f>
        <v/>
      </c>
      <c r="H15" s="49">
        <f>'Загальна'!H32</f>
        <v/>
      </c>
      <c r="I15" s="49">
        <f>'Загальна'!I32</f>
        <v/>
      </c>
      <c r="J15" s="49">
        <f>'Загальна'!J32</f>
        <v/>
      </c>
      <c r="K15" s="49">
        <f>'Загальна'!K32</f>
        <v/>
      </c>
      <c r="L15" s="49">
        <f>'Загальна'!L32</f>
        <v/>
      </c>
      <c r="M15" s="49">
        <f>'Загальна'!M32</f>
        <v/>
      </c>
      <c r="N15" s="49">
        <f>'Загальна'!N32</f>
        <v/>
      </c>
      <c r="O15" s="49">
        <f>'Загальна'!O32</f>
        <v/>
      </c>
      <c r="P15" s="49">
        <f>'Загальна'!P32</f>
        <v/>
      </c>
      <c r="Q15" s="49">
        <f>'Загальна'!Q32</f>
        <v/>
      </c>
      <c r="R15" s="49">
        <f>'Загальна'!R32</f>
        <v/>
      </c>
      <c r="S15" s="49">
        <f>'Загальна'!S32</f>
        <v/>
      </c>
      <c r="T15" s="49">
        <f>'Загальна'!T32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'Загальна'!C36</f>
        <v/>
      </c>
      <c r="D16" s="47" t="n">
        <v>7</v>
      </c>
      <c r="E16" s="48">
        <f>'Загальна'!E36</f>
        <v/>
      </c>
      <c r="F16" s="49">
        <f>'Загальна'!F36</f>
        <v/>
      </c>
      <c r="G16" s="49">
        <f>'Загальна'!G36</f>
        <v/>
      </c>
      <c r="H16" s="49">
        <f>'Загальна'!H36</f>
        <v/>
      </c>
      <c r="I16" s="49">
        <f>'Загальна'!I36</f>
        <v/>
      </c>
      <c r="J16" s="49">
        <f>'Загальна'!J36</f>
        <v/>
      </c>
      <c r="K16" s="49">
        <f>'Загальна'!K36</f>
        <v/>
      </c>
      <c r="L16" s="49">
        <f>'Загальна'!L36</f>
        <v/>
      </c>
      <c r="M16" s="49">
        <f>'Загальна'!M36</f>
        <v/>
      </c>
      <c r="N16" s="49">
        <f>'Загальна'!N36</f>
        <v/>
      </c>
      <c r="O16" s="49">
        <f>'Загальна'!O36</f>
        <v/>
      </c>
      <c r="P16" s="49">
        <f>'Загальна'!P36</f>
        <v/>
      </c>
      <c r="Q16" s="49">
        <f>'Загальна'!Q36</f>
        <v/>
      </c>
      <c r="R16" s="49">
        <f>'Загальна'!R36</f>
        <v/>
      </c>
      <c r="S16" s="49">
        <f>'Загальна'!S36</f>
        <v/>
      </c>
      <c r="T16" s="49">
        <f>'Загальна'!T36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'Загальна'!C42</f>
        <v/>
      </c>
      <c r="D17" s="47" t="n">
        <v>8</v>
      </c>
      <c r="E17" s="48">
        <f>'Загальна'!E42</f>
        <v/>
      </c>
      <c r="F17" s="49">
        <f>'Загальна'!F42</f>
        <v/>
      </c>
      <c r="G17" s="49">
        <f>'Загальна'!G42</f>
        <v/>
      </c>
      <c r="H17" s="49">
        <f>'Загальна'!H42</f>
        <v/>
      </c>
      <c r="I17" s="49">
        <f>'Загальна'!I42</f>
        <v/>
      </c>
      <c r="J17" s="49">
        <f>'Загальна'!J42</f>
        <v/>
      </c>
      <c r="K17" s="49">
        <f>'Загальна'!K42</f>
        <v/>
      </c>
      <c r="L17" s="49">
        <f>'Загальна'!L42</f>
        <v/>
      </c>
      <c r="M17" s="49">
        <f>'Загальна'!M42</f>
        <v/>
      </c>
      <c r="N17" s="49">
        <f>'Загальна'!N42</f>
        <v/>
      </c>
      <c r="O17" s="49">
        <f>'Загальна'!O42</f>
        <v/>
      </c>
      <c r="P17" s="49">
        <f>'Загальна'!P42</f>
        <v/>
      </c>
      <c r="Q17" s="49">
        <f>'Загальна'!Q42</f>
        <v/>
      </c>
      <c r="R17" s="49">
        <f>'Загальна'!R42</f>
        <v/>
      </c>
      <c r="S17" s="49">
        <f>'Загальна'!S42</f>
        <v/>
      </c>
      <c r="T17" s="49">
        <f>'Загальна'!T42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Середній бал успішності з дисципліни</t>
        </is>
      </c>
      <c r="F18" s="8">
        <f>IF(SUM(F$10:F17)=0,IF(COUNTA(F$10:F17)=0,"Очікую",0),SUM(F$10:F17)/$D17)</f>
        <v/>
      </c>
      <c r="G18" s="8">
        <f>IF(SUM(G$10:G17)=0,IF(COUNTA(G$10:G17)=0,"Очікую",0),SUM(G$10:G17)/$D17)</f>
        <v/>
      </c>
      <c r="H18" s="8">
        <f>IF(SUM(H$10:H17)=0,IF(COUNTA(H$10:H17)=0,"Очікую",0),SUM(H$10:H17)/$D17)</f>
        <v/>
      </c>
      <c r="I18" s="8">
        <f>IF(SUM(I$10:I17)=0,IF(COUNTA(I$10:I17)=0,"Очікую",0),SUM(I$10:I17)/$D17)</f>
        <v/>
      </c>
      <c r="J18" s="8">
        <f>IF(SUM(J$10:J17)=0,IF(COUNTA(J$10:J17)=0,"Очікую",0),SUM(J$10:J17)/$D17)</f>
        <v/>
      </c>
      <c r="K18" s="8">
        <f>IF(SUM(K$10:K17)=0,IF(COUNTA(K$10:K17)=0,"Очікую",0),SUM(K$10:K17)/$D17)</f>
        <v/>
      </c>
      <c r="L18" s="8">
        <f>IF(SUM(L$10:L17)=0,IF(COUNTA(L$10:L17)=0,"Очікую",0),SUM(L$10:L17)/$D17)</f>
        <v/>
      </c>
      <c r="M18" s="8">
        <f>IF(SUM(M$10:M17)=0,IF(COUNTA(M$10:M17)=0,"Очікую",0),SUM(M$10:M17)/$D17)</f>
        <v/>
      </c>
      <c r="N18" s="8">
        <f>IF(SUM(N$10:N17)=0,IF(COUNTA(N$10:N17)=0,"Очікую",0),SUM(N$10:N17)/$D17)</f>
        <v/>
      </c>
      <c r="O18" s="8">
        <f>IF(SUM(O$10:O17)=0,IF(COUNTA(O$10:O17)=0,"Очікую",0),SUM(O$10:O17)/$D17)</f>
        <v/>
      </c>
      <c r="P18" s="8">
        <f>IF(SUM(P$10:P17)=0,IF(COUNTA(P$10:P17)=0,"Очікую",0),SUM(P$10:P17)/$D17)</f>
        <v/>
      </c>
      <c r="Q18" s="8">
        <f>IF(SUM(Q$10:Q17)=0,IF(COUNTA(Q$10:Q17)=0,"Очікую",0),SUM(Q$10:Q17)/$D17)</f>
        <v/>
      </c>
      <c r="R18" s="8">
        <f>IF(SUM(R$10:R17)=0,IF(COUNTA(R$10:R17)=0,"Очікую",0),SUM(R$10:R17)/$D17)</f>
        <v/>
      </c>
      <c r="S18" s="8">
        <f>IF(SUM(S$10:S17)=0,IF(COUNTA(S$10:S17)=0,"Очікую",0),SUM(S$10:S17)/$D17)</f>
        <v/>
      </c>
      <c r="T18" s="8">
        <f>IF(SUM(T$10:T17)=0,IF(COUNTA(T$10:T17)=0,"Очікую",0),SUM(T$10:T17)/$D17)</f>
        <v/>
      </c>
      <c r="U18" s="9">
        <f>IFERROR(AVERAGE($F18:T18),"Очікую")</f>
        <v/>
      </c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Абсолютна успішність</t>
        </is>
      </c>
      <c r="F19" s="43">
        <f>IF(SUM(F$10:F17)=0,IF(COUNTA(F$10:F17)=0,"Очікую",0),IF(COUNTIF(F$10:F17,"&gt;=4")=0,0,COUNTIF(F$10:F17,"&gt;=4")/$D17*100))</f>
        <v/>
      </c>
      <c r="G19" s="43">
        <f>IF(SUM(G$10:G17)=0,IF(COUNTA(G$10:G17)=0,"Очікую",0),IF(COUNTIF(G$10:G17,"&gt;=4")=0,0,COUNTIF(G$10:G17,"&gt;=4")/$D17*100))</f>
        <v/>
      </c>
      <c r="H19" s="43">
        <f>IF(SUM(H$10:H17)=0,IF(COUNTA(H$10:H17)=0,"Очікую",0),IF(COUNTIF(H$10:H17,"&gt;=4")=0,0,COUNTIF(H$10:H17,"&gt;=4")/$D17*100))</f>
        <v/>
      </c>
      <c r="I19" s="43">
        <f>IF(SUM(I$10:I17)=0,IF(COUNTA(I$10:I17)=0,"Очікую",0),IF(COUNTIF(I$10:I17,"&gt;=4")=0,0,COUNTIF(I$10:I17,"&gt;=4")/$D17*100))</f>
        <v/>
      </c>
      <c r="J19" s="43">
        <f>IF(SUM(J$10:J17)=0,IF(COUNTA(J$10:J17)=0,"Очікую",0),IF(COUNTIF(J$10:J17,"&gt;=4")=0,0,COUNTIF(J$10:J17,"&gt;=4")/$D17*100))</f>
        <v/>
      </c>
      <c r="K19" s="43">
        <f>IF(SUM(K$10:K17)=0,IF(COUNTA(K$10:K17)=0,"Очікую",0),IF(COUNTIF(K$10:K17,"&gt;=4")=0,0,COUNTIF(K$10:K17,"&gt;=4")/$D17*100))</f>
        <v/>
      </c>
      <c r="L19" s="43">
        <f>IF(SUM(L$10:L17)=0,IF(COUNTA(L$10:L17)=0,"Очікую",0),IF(COUNTIF(L$10:L17,"&gt;=4")=0,0,COUNTIF(L$10:L17,"&gt;=4")/$D17*100))</f>
        <v/>
      </c>
      <c r="M19" s="43">
        <f>IF(SUM(M$10:M17)=0,IF(COUNTA(M$10:M17)=0,"Очікую",0),IF(COUNTIF(M$10:M17,"&gt;=4")=0,0,COUNTIF(M$10:M17,"&gt;=4")/$D17*100))</f>
        <v/>
      </c>
      <c r="N19" s="43">
        <f>IF(SUM(N$10:N17)=0,IF(COUNTA(N$10:N17)=0,"Очікую",0),IF(COUNTIF(N$10:N17,"&gt;=4")=0,0,COUNTIF(N$10:N17,"&gt;=4")/$D17*100))</f>
        <v/>
      </c>
      <c r="O19" s="43">
        <f>IF(SUM(O$10:O17)=0,IF(COUNTA(O$10:O17)=0,"Очікую",0),IF(COUNTIF(O$10:O17,"&gt;=4")=0,0,COUNTIF(O$10:O17,"&gt;=4")/$D17*100))</f>
        <v/>
      </c>
      <c r="P19" s="43">
        <f>IF(SUM(P$10:P17)=0,IF(COUNTA(P$10:P17)=0,"Очікую",0),IF(COUNTIF(P$10:P17,"&gt;=4")=0,0,COUNTIF(P$10:P17,"&gt;=4")/$D17*100))</f>
        <v/>
      </c>
      <c r="Q19" s="43">
        <f>IF(SUM(Q$10:Q17)=0,IF(COUNTA(Q$10:Q17)=0,"Очікую",0),IF(COUNTIF(Q$10:Q17,"&gt;=4")=0,0,COUNTIF(Q$10:Q17,"&gt;=4")/$D17*100))</f>
        <v/>
      </c>
      <c r="R19" s="43">
        <f>IF(SUM(R$10:R17)=0,IF(COUNTA(R$10:R17)=0,"Очікую",0),IF(COUNTIF(R$10:R17,"&gt;=4")=0,0,COUNTIF(R$10:R17,"&gt;=4")/$D17*100))</f>
        <v/>
      </c>
      <c r="S19" s="43">
        <f>IF(SUM(S$10:S17)=0,IF(COUNTA(S$10:S17)=0,"Очікую",0),IF(COUNTIF(S$10:S17,"&gt;=4")=0,0,COUNTIF(S$10:S17,"&gt;=4")/$D17*100))</f>
        <v/>
      </c>
      <c r="T19" s="43">
        <f>IF(SUM(T$10:T17)=0,IF(COUNTA(T$10:T17)=0,"Очікую",0),IF(COUNTIF(T$10:T17,"&gt;=4")=0,0,COUNTIF(T$10:T17,"&gt;=4")/$D17*100))</f>
        <v/>
      </c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Якісна успішність</t>
        </is>
      </c>
      <c r="F20" s="43">
        <f>IF(SUM(F$10:F17)=0,IF(COUNTA(F$10:F17)=0,"Очікую",0),IF(COUNTIF(F$10:F17,"&gt;=7")=0,0,COUNTIF(F$10:F17,"&gt;=7")/$D17*100))</f>
        <v/>
      </c>
      <c r="G20" s="43">
        <f>IF(SUM(G$10:G17)=0,IF(COUNTA(G$10:G17)=0,"Очікую",0),IF(COUNTIF(G$10:G17,"&gt;=7")=0,0,COUNTIF(G$10:G17,"&gt;=7")/$D17*100))</f>
        <v/>
      </c>
      <c r="H20" s="43">
        <f>IF(SUM(H$10:H17)=0,IF(COUNTA(H$10:H17)=0,"Очікую",0),IF(COUNTIF(H$10:H17,"&gt;=7")=0,0,COUNTIF(H$10:H17,"&gt;=7")/$D17*100))</f>
        <v/>
      </c>
      <c r="I20" s="43">
        <f>IF(SUM(I$10:I17)=0,IF(COUNTA(I$10:I17)=0,"Очікую",0),IF(COUNTIF(I$10:I17,"&gt;=7")=0,0,COUNTIF(I$10:I17,"&gt;=7")/$D17*100))</f>
        <v/>
      </c>
      <c r="J20" s="43">
        <f>IF(SUM(J$10:J17)=0,IF(COUNTA(J$10:J17)=0,"Очікую",0),IF(COUNTIF(J$10:J17,"&gt;=7")=0,0,COUNTIF(J$10:J17,"&gt;=7")/$D17*100))</f>
        <v/>
      </c>
      <c r="K20" s="43">
        <f>IF(SUM(K$10:K17)=0,IF(COUNTA(K$10:K17)=0,"Очікую",0),IF(COUNTIF(K$10:K17,"&gt;=7")=0,0,COUNTIF(K$10:K17,"&gt;=7")/$D17*100))</f>
        <v/>
      </c>
      <c r="L20" s="43">
        <f>IF(SUM(L$10:L17)=0,IF(COUNTA(L$10:L17)=0,"Очікую",0),IF(COUNTIF(L$10:L17,"&gt;=7")=0,0,COUNTIF(L$10:L17,"&gt;=7")/$D17*100))</f>
        <v/>
      </c>
      <c r="M20" s="43">
        <f>IF(SUM(M$10:M17)=0,IF(COUNTA(M$10:M17)=0,"Очікую",0),IF(COUNTIF(M$10:M17,"&gt;=7")=0,0,COUNTIF(M$10:M17,"&gt;=7")/$D17*100))</f>
        <v/>
      </c>
      <c r="N20" s="43">
        <f>IF(SUM(N$10:N17)=0,IF(COUNTA(N$10:N17)=0,"Очікую",0),IF(COUNTIF(N$10:N17,"&gt;=7")=0,0,COUNTIF(N$10:N17,"&gt;=7")/$D17*100))</f>
        <v/>
      </c>
      <c r="O20" s="43">
        <f>IF(SUM(O$10:O17)=0,IF(COUNTA(O$10:O17)=0,"Очікую",0),IF(COUNTIF(O$10:O17,"&gt;=7")=0,0,COUNTIF(O$10:O17,"&gt;=7")/$D17*100))</f>
        <v/>
      </c>
      <c r="P20" s="43">
        <f>IF(SUM(P$10:P17)=0,IF(COUNTA(P$10:P17)=0,"Очікую",0),IF(COUNTIF(P$10:P17,"&gt;=7")=0,0,COUNTIF(P$10:P17,"&gt;=7")/$D17*100))</f>
        <v/>
      </c>
      <c r="Q20" s="43">
        <f>IF(SUM(Q$10:Q17)=0,IF(COUNTA(Q$10:Q17)=0,"Очікую",0),IF(COUNTIF(Q$10:Q17,"&gt;=7")=0,0,COUNTIF(Q$10:Q17,"&gt;=7")/$D17*100))</f>
        <v/>
      </c>
      <c r="R20" s="43">
        <f>IF(SUM(R$10:R17)=0,IF(COUNTA(R$10:R17)=0,"Очікую",0),IF(COUNTIF(R$10:R17,"&gt;=7")=0,0,COUNTIF(R$10:R17,"&gt;=7")/$D17*100))</f>
        <v/>
      </c>
      <c r="S20" s="43">
        <f>IF(SUM(S$10:S17)=0,IF(COUNTA(S$10:S17)=0,"Очікую",0),IF(COUNTIF(S$10:S17,"&gt;=7")=0,0,COUNTIF(S$10:S17,"&gt;=7")/$D17*100))</f>
        <v/>
      </c>
      <c r="T20" s="43">
        <f>IF(SUM(T$10:T17)=0,IF(COUNTA(T$10:T17)=0,"Очікую",0),IF(COUNTIF(T$10:T17,"&gt;=7")=0,0,COUNTIF(T$10:T17,"&gt;=7")/$D17*100))</f>
        <v/>
      </c>
      <c r="U20" s="6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Абсолютна успішність по групі</t>
        </is>
      </c>
      <c r="F21" s="8">
        <f>IFERROR(AVERAGE(F19:T19),"Очікую")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Якісна успішність по групі</t>
        </is>
      </c>
      <c r="F22" s="8">
        <f>IFERROR(AVERAGE($F20:T20),"Очікую")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бюджетників</t>
        </is>
      </c>
      <c r="F23" s="63">
        <f>IF(COUNTIF($C$10:$C17,"=B")=0,IF(COUNTIF($C$10:$C17,"=K")=0,"Очікую",0),COUNTIF($C$10:$C17,"=B"))</f>
        <v/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2" t="n"/>
      <c r="S23" s="52" t="n"/>
      <c r="T23" s="52" t="n"/>
      <c r="U23" s="52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контрактників</t>
        </is>
      </c>
      <c r="F24" s="63">
        <f>IF(COUNTIF($C$10:$C17,"=K")=0,IF(COUNTIF($C$10:$C17,"=B")=0,"Очікую",0),COUNTIF($C$10:$C17,"=K"))</f>
        <v/>
      </c>
      <c r="G24" s="6" t="n"/>
      <c r="H24" s="55" t="inlineStr">
        <is>
          <t>Класний керівник</t>
        </is>
      </c>
      <c r="I24" s="55" t="n"/>
      <c r="J24" s="55" t="n"/>
      <c r="K24" s="55" t="n"/>
      <c r="L24" s="55" t="n"/>
      <c r="M24" s="6" t="n"/>
      <c r="N24" s="6" t="n"/>
      <c r="O24" s="6" t="n"/>
      <c r="P24" s="56">
        <f>'Загальна'!P51</f>
        <v/>
      </c>
      <c r="Q24" s="54" t="n"/>
      <c r="R24" s="54" t="n"/>
      <c r="S24" s="54" t="n"/>
      <c r="T24" s="54" t="n"/>
      <c r="U24" s="54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Кількість соціального контингенту</t>
        </is>
      </c>
      <c r="F25" s="4" t="n"/>
      <c r="G25" s="6" t="n"/>
      <c r="H25" s="55" t="n"/>
      <c r="I25" s="55" t="n"/>
      <c r="J25" s="55" t="n"/>
      <c r="K25" s="55" t="n"/>
      <c r="L25" s="55" t="n"/>
      <c r="M25" s="6" t="n"/>
      <c r="N25" s="6" t="n"/>
      <c r="O25" s="6" t="n"/>
      <c r="P25" s="56" t="n"/>
      <c r="Q25" s="52" t="n"/>
      <c r="R25" s="52" t="n"/>
      <c r="S25" s="52" t="n"/>
      <c r="T25" s="52" t="n"/>
      <c r="U25" s="52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Вийшли на стипендію</t>
        </is>
      </c>
      <c r="F26" s="63">
        <f>IF(F23="Очікую","Очікую",IF(F23-COUNTIF($U$10:$U17," - ")&lt;ROUNDDOWN(F23*0.45,0),F23-COUNTIF($U$10:$U17," - "),ROUNDDOWN(F23*0.45,0)))</f>
        <v/>
      </c>
      <c r="G26" s="6" t="n"/>
      <c r="H26" s="56" t="inlineStr">
        <is>
          <t>Завідувач відділення ПЗСО</t>
        </is>
      </c>
      <c r="I26" s="56" t="n"/>
      <c r="J26" s="56" t="n"/>
      <c r="K26" s="56" t="n"/>
      <c r="L26" s="56" t="n"/>
      <c r="M26" s="6" t="n"/>
      <c r="N26" s="6" t="n"/>
      <c r="O26" s="6" t="n"/>
      <c r="P26" s="56" t="inlineStr">
        <is>
          <t>Маргарита БРІТІКОВА</t>
        </is>
      </c>
      <c r="Q26" s="54" t="n"/>
      <c r="R26" s="54" t="n"/>
      <c r="S26" s="54" t="n"/>
      <c r="T26" s="54" t="n"/>
      <c r="U26" s="54" t="n"/>
      <c r="V26" s="20" t="n"/>
      <c r="W26" s="39" t="n"/>
    </row>
    <row r="27" ht="15" customFormat="1" customHeight="1" s="11">
      <c r="A27" s="40" t="n"/>
      <c r="B27" s="21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5" t="n"/>
      <c r="W27" s="39" t="n"/>
    </row>
    <row r="28" ht="15" customFormat="1" customHeight="1" s="11">
      <c r="A28" s="38" t="n"/>
      <c r="B28" s="38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8" t="n"/>
      <c r="O28" s="38" t="n"/>
      <c r="P28" s="38" t="n"/>
      <c r="Q28" s="38" t="n"/>
      <c r="R28" s="38" t="n"/>
      <c r="S28" s="38" t="n"/>
      <c r="T28" s="38" t="n"/>
      <c r="U28" s="38" t="n"/>
      <c r="V28" s="38" t="n"/>
      <c r="W28" s="39" t="n"/>
    </row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G7 «Автоматизація, комп'ютерно-інтегровані технології та робототехніка»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25-3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'Загальна'!C17</f>
        <v/>
      </c>
      <c r="D13" s="47" t="n">
        <v>4</v>
      </c>
      <c r="E13" s="48">
        <f>'Загальна'!E17</f>
        <v/>
      </c>
      <c r="F13" s="49">
        <f>'Загальна'!F17</f>
        <v/>
      </c>
      <c r="G13" s="49">
        <f>'Загальна'!G17</f>
        <v/>
      </c>
      <c r="H13" s="49">
        <f>'Загальна'!H17</f>
        <v/>
      </c>
      <c r="I13" s="49">
        <f>'Загальна'!I17</f>
        <v/>
      </c>
      <c r="J13" s="49">
        <f>'Загальна'!J17</f>
        <v/>
      </c>
      <c r="K13" s="49">
        <f>'Загальна'!K17</f>
        <v/>
      </c>
      <c r="L13" s="49">
        <f>'Загальна'!L17</f>
        <v/>
      </c>
      <c r="M13" s="49">
        <f>'Загальна'!M17</f>
        <v/>
      </c>
      <c r="N13" s="49">
        <f>'Загальна'!N17</f>
        <v/>
      </c>
      <c r="O13" s="49">
        <f>'Загальна'!O17</f>
        <v/>
      </c>
      <c r="P13" s="49">
        <f>'Загальна'!P17</f>
        <v/>
      </c>
      <c r="Q13" s="49">
        <f>'Загальна'!Q17</f>
        <v/>
      </c>
      <c r="R13" s="49">
        <f>'Загальна'!R17</f>
        <v/>
      </c>
      <c r="S13" s="49">
        <f>'Загальна'!S17</f>
        <v/>
      </c>
      <c r="T13" s="49">
        <f>'Загальна'!T17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'Загальна'!C23</f>
        <v/>
      </c>
      <c r="D14" s="47" t="n">
        <v>5</v>
      </c>
      <c r="E14" s="48">
        <f>'Загальна'!E23</f>
        <v/>
      </c>
      <c r="F14" s="49">
        <f>'Загальна'!F23</f>
        <v/>
      </c>
      <c r="G14" s="49">
        <f>'Загальна'!G23</f>
        <v/>
      </c>
      <c r="H14" s="49">
        <f>'Загальна'!H23</f>
        <v/>
      </c>
      <c r="I14" s="49">
        <f>'Загальна'!I23</f>
        <v/>
      </c>
      <c r="J14" s="49">
        <f>'Загальна'!J23</f>
        <v/>
      </c>
      <c r="K14" s="49">
        <f>'Загальна'!K23</f>
        <v/>
      </c>
      <c r="L14" s="49">
        <f>'Загальна'!L23</f>
        <v/>
      </c>
      <c r="M14" s="49">
        <f>'Загальна'!M23</f>
        <v/>
      </c>
      <c r="N14" s="49">
        <f>'Загальна'!N23</f>
        <v/>
      </c>
      <c r="O14" s="49">
        <f>'Загальна'!O23</f>
        <v/>
      </c>
      <c r="P14" s="49">
        <f>'Загальна'!P23</f>
        <v/>
      </c>
      <c r="Q14" s="49">
        <f>'Загальна'!Q23</f>
        <v/>
      </c>
      <c r="R14" s="49">
        <f>'Загальна'!R23</f>
        <v/>
      </c>
      <c r="S14" s="49">
        <f>'Загальна'!S23</f>
        <v/>
      </c>
      <c r="T14" s="49">
        <f>'Загальна'!T23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'Загальна'!C27</f>
        <v/>
      </c>
      <c r="D15" s="47" t="n">
        <v>6</v>
      </c>
      <c r="E15" s="48">
        <f>'Загальна'!E27</f>
        <v/>
      </c>
      <c r="F15" s="49">
        <f>'Загальна'!F27</f>
        <v/>
      </c>
      <c r="G15" s="49">
        <f>'Загальна'!G27</f>
        <v/>
      </c>
      <c r="H15" s="49">
        <f>'Загальна'!H27</f>
        <v/>
      </c>
      <c r="I15" s="49">
        <f>'Загальна'!I27</f>
        <v/>
      </c>
      <c r="J15" s="49">
        <f>'Загальна'!J27</f>
        <v/>
      </c>
      <c r="K15" s="49">
        <f>'Загальна'!K27</f>
        <v/>
      </c>
      <c r="L15" s="49">
        <f>'Загальна'!L27</f>
        <v/>
      </c>
      <c r="M15" s="49">
        <f>'Загальна'!M27</f>
        <v/>
      </c>
      <c r="N15" s="49">
        <f>'Загальна'!N27</f>
        <v/>
      </c>
      <c r="O15" s="49">
        <f>'Загальна'!O27</f>
        <v/>
      </c>
      <c r="P15" s="49">
        <f>'Загальна'!P27</f>
        <v/>
      </c>
      <c r="Q15" s="49">
        <f>'Загальна'!Q27</f>
        <v/>
      </c>
      <c r="R15" s="49">
        <f>'Загальна'!R27</f>
        <v/>
      </c>
      <c r="S15" s="49">
        <f>'Загальна'!S27</f>
        <v/>
      </c>
      <c r="T15" s="49">
        <f>'Загальна'!T27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'Загальна'!C28</f>
        <v/>
      </c>
      <c r="D16" s="47" t="n">
        <v>7</v>
      </c>
      <c r="E16" s="48">
        <f>'Загальна'!E28</f>
        <v/>
      </c>
      <c r="F16" s="49">
        <f>'Загальна'!F28</f>
        <v/>
      </c>
      <c r="G16" s="49">
        <f>'Загальна'!G28</f>
        <v/>
      </c>
      <c r="H16" s="49">
        <f>'Загальна'!H28</f>
        <v/>
      </c>
      <c r="I16" s="49">
        <f>'Загальна'!I28</f>
        <v/>
      </c>
      <c r="J16" s="49">
        <f>'Загальна'!J28</f>
        <v/>
      </c>
      <c r="K16" s="49">
        <f>'Загальна'!K28</f>
        <v/>
      </c>
      <c r="L16" s="49">
        <f>'Загальна'!L28</f>
        <v/>
      </c>
      <c r="M16" s="49">
        <f>'Загальна'!M28</f>
        <v/>
      </c>
      <c r="N16" s="49">
        <f>'Загальна'!N28</f>
        <v/>
      </c>
      <c r="O16" s="49">
        <f>'Загальна'!O28</f>
        <v/>
      </c>
      <c r="P16" s="49">
        <f>'Загальна'!P28</f>
        <v/>
      </c>
      <c r="Q16" s="49">
        <f>'Загальна'!Q28</f>
        <v/>
      </c>
      <c r="R16" s="49">
        <f>'Загальна'!R28</f>
        <v/>
      </c>
      <c r="S16" s="49">
        <f>'Загальна'!S28</f>
        <v/>
      </c>
      <c r="T16" s="49">
        <f>'Загальна'!T28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'Загальна'!C37</f>
        <v/>
      </c>
      <c r="D21" s="47" t="n">
        <v>12</v>
      </c>
      <c r="E21" s="48">
        <f>'Загальна'!E37</f>
        <v/>
      </c>
      <c r="F21" s="49">
        <f>'Загальна'!F37</f>
        <v/>
      </c>
      <c r="G21" s="49">
        <f>'Загальна'!G37</f>
        <v/>
      </c>
      <c r="H21" s="49">
        <f>'Загальна'!H37</f>
        <v/>
      </c>
      <c r="I21" s="49">
        <f>'Загальна'!I37</f>
        <v/>
      </c>
      <c r="J21" s="49">
        <f>'Загальна'!J37</f>
        <v/>
      </c>
      <c r="K21" s="49">
        <f>'Загальна'!K37</f>
        <v/>
      </c>
      <c r="L21" s="49">
        <f>'Загальна'!L37</f>
        <v/>
      </c>
      <c r="M21" s="49">
        <f>'Загальна'!M37</f>
        <v/>
      </c>
      <c r="N21" s="49">
        <f>'Загальна'!N37</f>
        <v/>
      </c>
      <c r="O21" s="49">
        <f>'Загальна'!O37</f>
        <v/>
      </c>
      <c r="P21" s="49">
        <f>'Загальна'!P37</f>
        <v/>
      </c>
      <c r="Q21" s="49">
        <f>'Загальна'!Q37</f>
        <v/>
      </c>
      <c r="R21" s="49">
        <f>'Загальна'!R37</f>
        <v/>
      </c>
      <c r="S21" s="49">
        <f>'Загальна'!S37</f>
        <v/>
      </c>
      <c r="T21" s="49">
        <f>'Загальна'!T37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'Загальна'!C40</f>
        <v/>
      </c>
      <c r="D23" s="47" t="n">
        <v>14</v>
      </c>
      <c r="E23" s="48">
        <f>'Загальна'!E40</f>
        <v/>
      </c>
      <c r="F23" s="49">
        <f>'Загальна'!F40</f>
        <v/>
      </c>
      <c r="G23" s="49">
        <f>'Загальна'!G40</f>
        <v/>
      </c>
      <c r="H23" s="49">
        <f>'Загальна'!H40</f>
        <v/>
      </c>
      <c r="I23" s="49">
        <f>'Загальна'!I40</f>
        <v/>
      </c>
      <c r="J23" s="49">
        <f>'Загальна'!J40</f>
        <v/>
      </c>
      <c r="K23" s="49">
        <f>'Загальна'!K40</f>
        <v/>
      </c>
      <c r="L23" s="49">
        <f>'Загальна'!L40</f>
        <v/>
      </c>
      <c r="M23" s="49">
        <f>'Загальна'!M40</f>
        <v/>
      </c>
      <c r="N23" s="49">
        <f>'Загальна'!N40</f>
        <v/>
      </c>
      <c r="O23" s="49">
        <f>'Загальна'!O40</f>
        <v/>
      </c>
      <c r="P23" s="49">
        <f>'Загальна'!P40</f>
        <v/>
      </c>
      <c r="Q23" s="49">
        <f>'Загальна'!Q40</f>
        <v/>
      </c>
      <c r="R23" s="49">
        <f>'Загальна'!R40</f>
        <v/>
      </c>
      <c r="S23" s="49">
        <f>'Загальна'!S40</f>
        <v/>
      </c>
      <c r="T23" s="49">
        <f>'Загальна'!T40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'Загальна'!C41</f>
        <v/>
      </c>
      <c r="D24" s="47" t="n">
        <v>15</v>
      </c>
      <c r="E24" s="48">
        <f>'Загальна'!E41</f>
        <v/>
      </c>
      <c r="F24" s="49">
        <f>'Загальна'!F41</f>
        <v/>
      </c>
      <c r="G24" s="49">
        <f>'Загальна'!G41</f>
        <v/>
      </c>
      <c r="H24" s="49">
        <f>'Загальна'!H41</f>
        <v/>
      </c>
      <c r="I24" s="49">
        <f>'Загальна'!I41</f>
        <v/>
      </c>
      <c r="J24" s="49">
        <f>'Загальна'!J41</f>
        <v/>
      </c>
      <c r="K24" s="49">
        <f>'Загальна'!K41</f>
        <v/>
      </c>
      <c r="L24" s="49">
        <f>'Загальна'!L41</f>
        <v/>
      </c>
      <c r="M24" s="49">
        <f>'Загальна'!M41</f>
        <v/>
      </c>
      <c r="N24" s="49">
        <f>'Загальна'!N41</f>
        <v/>
      </c>
      <c r="O24" s="49">
        <f>'Загальна'!O41</f>
        <v/>
      </c>
      <c r="P24" s="49">
        <f>'Загальна'!P41</f>
        <v/>
      </c>
      <c r="Q24" s="49">
        <f>'Загальна'!Q41</f>
        <v/>
      </c>
      <c r="R24" s="49">
        <f>'Загальна'!R41</f>
        <v/>
      </c>
      <c r="S24" s="49">
        <f>'Загальна'!S41</f>
        <v/>
      </c>
      <c r="T24" s="49">
        <f>'Загальна'!T41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'Загальна'!C43</f>
        <v/>
      </c>
      <c r="D25" s="47" t="n">
        <v>16</v>
      </c>
      <c r="E25" s="48">
        <f>'Загальна'!E43</f>
        <v/>
      </c>
      <c r="F25" s="49">
        <f>'Загальна'!F43</f>
        <v/>
      </c>
      <c r="G25" s="49">
        <f>'Загальна'!G43</f>
        <v/>
      </c>
      <c r="H25" s="49">
        <f>'Загальна'!H43</f>
        <v/>
      </c>
      <c r="I25" s="49">
        <f>'Загальна'!I43</f>
        <v/>
      </c>
      <c r="J25" s="49">
        <f>'Загальна'!J43</f>
        <v/>
      </c>
      <c r="K25" s="49">
        <f>'Загальна'!K43</f>
        <v/>
      </c>
      <c r="L25" s="49">
        <f>'Загальна'!L43</f>
        <v/>
      </c>
      <c r="M25" s="49">
        <f>'Загальна'!M43</f>
        <v/>
      </c>
      <c r="N25" s="49">
        <f>'Загальна'!N43</f>
        <v/>
      </c>
      <c r="O25" s="49">
        <f>'Загальна'!O43</f>
        <v/>
      </c>
      <c r="P25" s="49">
        <f>'Загальна'!P43</f>
        <v/>
      </c>
      <c r="Q25" s="49">
        <f>'Загальна'!Q43</f>
        <v/>
      </c>
      <c r="R25" s="49">
        <f>'Загальна'!R43</f>
        <v/>
      </c>
      <c r="S25" s="49">
        <f>'Загальна'!S43</f>
        <v/>
      </c>
      <c r="T25" s="49">
        <f>'Загальна'!T43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'Загальна'!C44</f>
        <v/>
      </c>
      <c r="D26" s="47" t="n">
        <v>17</v>
      </c>
      <c r="E26" s="48">
        <f>'Загальна'!E44</f>
        <v/>
      </c>
      <c r="F26" s="49">
        <f>'Загальна'!F44</f>
        <v/>
      </c>
      <c r="G26" s="49">
        <f>'Загальна'!G44</f>
        <v/>
      </c>
      <c r="H26" s="49">
        <f>'Загальна'!H44</f>
        <v/>
      </c>
      <c r="I26" s="49">
        <f>'Загальна'!I44</f>
        <v/>
      </c>
      <c r="J26" s="49">
        <f>'Загальна'!J44</f>
        <v/>
      </c>
      <c r="K26" s="49">
        <f>'Загальна'!K44</f>
        <v/>
      </c>
      <c r="L26" s="49">
        <f>'Загальна'!L44</f>
        <v/>
      </c>
      <c r="M26" s="49">
        <f>'Загальна'!M44</f>
        <v/>
      </c>
      <c r="N26" s="49">
        <f>'Загальна'!N44</f>
        <v/>
      </c>
      <c r="O26" s="49">
        <f>'Загальна'!O44</f>
        <v/>
      </c>
      <c r="P26" s="49">
        <f>'Загальна'!P44</f>
        <v/>
      </c>
      <c r="Q26" s="49">
        <f>'Загальна'!Q44</f>
        <v/>
      </c>
      <c r="R26" s="49">
        <f>'Загальна'!R44</f>
        <v/>
      </c>
      <c r="S26" s="49">
        <f>'Загальна'!S44</f>
        <v/>
      </c>
      <c r="T26" s="49">
        <f>'Загальна'!T44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'Загальна'!P51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")&lt;ROUNDDOWN(F32*0.45,0),F32-COUNTIF($U$10:$U26,"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2026-06-22T16:43:48Z</dcterms:modified>
  <cp:lastModifiedBy>Maxim</cp:lastModifiedBy>
  <cp:lastPrinted>2026-01-07T15:30:50Z</cp:lastPrinted>
</cp:coreProperties>
</file>