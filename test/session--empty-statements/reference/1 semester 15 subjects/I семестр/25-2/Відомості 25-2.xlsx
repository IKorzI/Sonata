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16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'Загальна'!$C$3:$T$53</definedName>
    <definedName name="A1048577" localSheetId="1">#REF!</definedName>
    <definedName name="Ф80" localSheetId="1">#REF!</definedName>
    <definedName name="_xlnm.Print_Area" localSheetId="1">'Зведена D7'!$C$3:$T$33</definedName>
    <definedName name="A1048577" localSheetId="2">#REF!</definedName>
    <definedName name="Ф80" localSheetId="2">#REF!</definedName>
    <definedName name="_xlnm.Print_Area" localSheetId="2">'Зведена G1'!$C$3:$T$22</definedName>
    <definedName name="A1048577" localSheetId="3">#REF!</definedName>
    <definedName name="Ф80" localSheetId="3">#REF!</definedName>
    <definedName name="_xlnm.Print_Area" localSheetId="3">'Зведена G16'!$C$3:$T$34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Абаржі Юрій Петрович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Бабков Дмитро Юрійович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Бахчиванжи Валентин Іванович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Бондаренко Костянтин Петрович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Верещагін Володимир Миколайович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Гавалко Єва Володимирівна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Гайдаржи Ілля Іванович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Гальперина Анастасія Олексіївна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Господінов Дмитро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Григорашенко Олександра Олексіївна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Гроздя Роман Георгійович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Дмитришина Поліна Дмитрівна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Дмитрієв Міхаіл Олексійович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Дончев Василь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Дюльгер Данііл Іванович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Здор Денис Володимирович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Карабай Діана Денисівна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Князян Карен Ашотович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Коваленко Радислав Михайлович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Константинюк Іван Октавіанович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Літвінов Давид Євгенович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Мазілін Іван Вікторович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Мельничук Даніїл Олександрович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К</t>
        </is>
      </c>
      <c r="D33" s="47" t="n">
        <v>24</v>
      </c>
      <c r="E33" s="48" t="inlineStr">
        <is>
          <t>Мусат Микола Володиславович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Нейчев Сергій Федорович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Онофрійчук Андрій Миколайович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Письменний Кирило Віталійович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Подкопаєва Соф`я Андріївна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Пустовіт Дар`я Володимирівна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Семков Георгій Іванович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Сікорський Павло Євгенійович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Стрельбицька Аліна Русланівна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Чобан Валерія Анатоліївна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Шапатіна Марія Олександрівна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Шингілєвич Станіслав Віталійович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8">
        <f>IF(SUM(T$10:T44)=0,IF(COUNTA(T$10:T44)=0,"Очікую",0),SUM(T$10:T44)/$D44)</f>
        <v/>
      </c>
      <c r="U45" s="9">
        <f>IFERROR(AVERAGE($F45:T45),"Очікую")</f>
        <v/>
      </c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43">
        <f>IF(SUM(T$10:T44)=0,IF(COUNTA(T$10:T44)=0,"Очікую",0),IF(COUNTIF(T$10:T44,"&gt;=4")=0,0,COUNTIF(T$10:T44,"&gt;=4")/$D44*100))</f>
        <v/>
      </c>
      <c r="U46" s="6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43">
        <f>IF(SUM(T$10:T44)=0,IF(COUNTA(T$10:T44)=0,"Очікую",0),IF(COUNTIF(T$10:T44,"&gt;=7")=0,0,COUNTIF(T$10:T44,"&gt;=7")/$D44*100))</f>
        <v/>
      </c>
      <c r="U47" s="6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IFERROR(AVERAGE(F46:T46),"Очікую")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IFERROR(AVERAGE($F47:T47),"Очікую")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52" t="n"/>
      <c r="S50" s="52" t="n"/>
      <c r="T50" s="52" t="n"/>
      <c r="U50" s="52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6" t="n"/>
      <c r="P51" s="54" t="inlineStr"/>
      <c r="Q51" s="54" t="n"/>
      <c r="R51" s="54" t="n"/>
      <c r="S51" s="54" t="n"/>
      <c r="T51" s="54" t="n"/>
      <c r="U51" s="54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6" t="n"/>
      <c r="P52" s="52" t="n"/>
      <c r="Q52" s="52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IF(F50="Очікую","Очікую",IF(F50-COUNTIF($U$10:$U44," - ")&lt;ROUNDDOWN(F50*0.45,0),F50-COUNTIF($U$10:$U44," - "),ROUNDDOWN(F50*0.45,0)))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>
        <is>
          <t>Маргарита БРІТІКОВА</t>
        </is>
      </c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5" t="n"/>
      <c r="W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59" t="n"/>
      <c r="W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«Торгівля»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9">
        <f>'Загальна'!T11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'Загальна'!C17</f>
        <v/>
      </c>
      <c r="D11" s="47" t="n">
        <v>2</v>
      </c>
      <c r="E11" s="48">
        <f>'Загальна'!E17</f>
        <v/>
      </c>
      <c r="F11" s="49">
        <f>'Загальна'!F17</f>
        <v/>
      </c>
      <c r="G11" s="49">
        <f>'Загальна'!G17</f>
        <v/>
      </c>
      <c r="H11" s="49">
        <f>'Загальна'!H17</f>
        <v/>
      </c>
      <c r="I11" s="49">
        <f>'Загальна'!I17</f>
        <v/>
      </c>
      <c r="J11" s="49">
        <f>'Загальна'!J17</f>
        <v/>
      </c>
      <c r="K11" s="49">
        <f>'Загальна'!K17</f>
        <v/>
      </c>
      <c r="L11" s="49">
        <f>'Загальна'!L17</f>
        <v/>
      </c>
      <c r="M11" s="49">
        <f>'Загальна'!M17</f>
        <v/>
      </c>
      <c r="N11" s="49">
        <f>'Загальна'!N17</f>
        <v/>
      </c>
      <c r="O11" s="49">
        <f>'Загальна'!O17</f>
        <v/>
      </c>
      <c r="P11" s="49">
        <f>'Загальна'!P17</f>
        <v/>
      </c>
      <c r="Q11" s="49">
        <f>'Загальна'!Q17</f>
        <v/>
      </c>
      <c r="R11" s="49">
        <f>'Загальна'!R17</f>
        <v/>
      </c>
      <c r="S11" s="49">
        <f>'Загальна'!S17</f>
        <v/>
      </c>
      <c r="T11" s="49">
        <f>'Загальна'!T17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9">
        <f>'Загальна'!T19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9">
        <f>'Загальна'!T22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'Загальна'!C25</f>
        <v/>
      </c>
      <c r="D15" s="47" t="n">
        <v>6</v>
      </c>
      <c r="E15" s="48">
        <f>'Загальна'!E25</f>
        <v/>
      </c>
      <c r="F15" s="49">
        <f>'Загальна'!F25</f>
        <v/>
      </c>
      <c r="G15" s="49">
        <f>'Загальна'!G25</f>
        <v/>
      </c>
      <c r="H15" s="49">
        <f>'Загальна'!H25</f>
        <v/>
      </c>
      <c r="I15" s="49">
        <f>'Загальна'!I25</f>
        <v/>
      </c>
      <c r="J15" s="49">
        <f>'Загальна'!J25</f>
        <v/>
      </c>
      <c r="K15" s="49">
        <f>'Загальна'!K25</f>
        <v/>
      </c>
      <c r="L15" s="49">
        <f>'Загальна'!L25</f>
        <v/>
      </c>
      <c r="M15" s="49">
        <f>'Загальна'!M25</f>
        <v/>
      </c>
      <c r="N15" s="49">
        <f>'Загальна'!N25</f>
        <v/>
      </c>
      <c r="O15" s="49">
        <f>'Загальна'!O25</f>
        <v/>
      </c>
      <c r="P15" s="49">
        <f>'Загальна'!P25</f>
        <v/>
      </c>
      <c r="Q15" s="49">
        <f>'Загальна'!Q25</f>
        <v/>
      </c>
      <c r="R15" s="49">
        <f>'Загальна'!R25</f>
        <v/>
      </c>
      <c r="S15" s="49">
        <f>'Загальна'!S25</f>
        <v/>
      </c>
      <c r="T15" s="49">
        <f>'Загальна'!T25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'Загальна'!C26</f>
        <v/>
      </c>
      <c r="D16" s="47" t="n">
        <v>7</v>
      </c>
      <c r="E16" s="48">
        <f>'Загальна'!E26</f>
        <v/>
      </c>
      <c r="F16" s="49">
        <f>'Загальна'!F26</f>
        <v/>
      </c>
      <c r="G16" s="49">
        <f>'Загальна'!G26</f>
        <v/>
      </c>
      <c r="H16" s="49">
        <f>'Загальна'!H26</f>
        <v/>
      </c>
      <c r="I16" s="49">
        <f>'Загальна'!I26</f>
        <v/>
      </c>
      <c r="J16" s="49">
        <f>'Загальна'!J26</f>
        <v/>
      </c>
      <c r="K16" s="49">
        <f>'Загальна'!K26</f>
        <v/>
      </c>
      <c r="L16" s="49">
        <f>'Загальна'!L26</f>
        <v/>
      </c>
      <c r="M16" s="49">
        <f>'Загальна'!M26</f>
        <v/>
      </c>
      <c r="N16" s="49">
        <f>'Загальна'!N26</f>
        <v/>
      </c>
      <c r="O16" s="49">
        <f>'Загальна'!O26</f>
        <v/>
      </c>
      <c r="P16" s="49">
        <f>'Загальна'!P26</f>
        <v/>
      </c>
      <c r="Q16" s="49">
        <f>'Загальна'!Q26</f>
        <v/>
      </c>
      <c r="R16" s="49">
        <f>'Загальна'!R26</f>
        <v/>
      </c>
      <c r="S16" s="49">
        <f>'Загальна'!S26</f>
        <v/>
      </c>
      <c r="T16" s="49">
        <f>'Загальна'!T26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'Загальна'!C32</f>
        <v/>
      </c>
      <c r="D17" s="47" t="n">
        <v>8</v>
      </c>
      <c r="E17" s="48">
        <f>'Загальна'!E32</f>
        <v/>
      </c>
      <c r="F17" s="49">
        <f>'Загальна'!F32</f>
        <v/>
      </c>
      <c r="G17" s="49">
        <f>'Загальна'!G32</f>
        <v/>
      </c>
      <c r="H17" s="49">
        <f>'Загальна'!H32</f>
        <v/>
      </c>
      <c r="I17" s="49">
        <f>'Загальна'!I32</f>
        <v/>
      </c>
      <c r="J17" s="49">
        <f>'Загальна'!J32</f>
        <v/>
      </c>
      <c r="K17" s="49">
        <f>'Загальна'!K32</f>
        <v/>
      </c>
      <c r="L17" s="49">
        <f>'Загальна'!L32</f>
        <v/>
      </c>
      <c r="M17" s="49">
        <f>'Загальна'!M32</f>
        <v/>
      </c>
      <c r="N17" s="49">
        <f>'Загальна'!N32</f>
        <v/>
      </c>
      <c r="O17" s="49">
        <f>'Загальна'!O32</f>
        <v/>
      </c>
      <c r="P17" s="49">
        <f>'Загальна'!P32</f>
        <v/>
      </c>
      <c r="Q17" s="49">
        <f>'Загальна'!Q32</f>
        <v/>
      </c>
      <c r="R17" s="49">
        <f>'Загальна'!R32</f>
        <v/>
      </c>
      <c r="S17" s="49">
        <f>'Загальна'!S32</f>
        <v/>
      </c>
      <c r="T17" s="49">
        <f>'Загальна'!T32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'Загальна'!C37</f>
        <v/>
      </c>
      <c r="D19" s="47" t="n">
        <v>10</v>
      </c>
      <c r="E19" s="48">
        <f>'Загальна'!E37</f>
        <v/>
      </c>
      <c r="F19" s="49">
        <f>'Загальна'!F37</f>
        <v/>
      </c>
      <c r="G19" s="49">
        <f>'Загальна'!G37</f>
        <v/>
      </c>
      <c r="H19" s="49">
        <f>'Загальна'!H37</f>
        <v/>
      </c>
      <c r="I19" s="49">
        <f>'Загальна'!I37</f>
        <v/>
      </c>
      <c r="J19" s="49">
        <f>'Загальна'!J37</f>
        <v/>
      </c>
      <c r="K19" s="49">
        <f>'Загальна'!K37</f>
        <v/>
      </c>
      <c r="L19" s="49">
        <f>'Загальна'!L37</f>
        <v/>
      </c>
      <c r="M19" s="49">
        <f>'Загальна'!M37</f>
        <v/>
      </c>
      <c r="N19" s="49">
        <f>'Загальна'!N37</f>
        <v/>
      </c>
      <c r="O19" s="49">
        <f>'Загальна'!O37</f>
        <v/>
      </c>
      <c r="P19" s="49">
        <f>'Загальна'!P37</f>
        <v/>
      </c>
      <c r="Q19" s="49">
        <f>'Загальна'!Q37</f>
        <v/>
      </c>
      <c r="R19" s="49">
        <f>'Загальна'!R37</f>
        <v/>
      </c>
      <c r="S19" s="49">
        <f>'Загальна'!S37</f>
        <v/>
      </c>
      <c r="T19" s="49">
        <f>'Загальна'!T37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'Загальна'!C38</f>
        <v/>
      </c>
      <c r="D20" s="47" t="n">
        <v>11</v>
      </c>
      <c r="E20" s="48">
        <f>'Загальна'!E38</f>
        <v/>
      </c>
      <c r="F20" s="49">
        <f>'Загальна'!F38</f>
        <v/>
      </c>
      <c r="G20" s="49">
        <f>'Загальна'!G38</f>
        <v/>
      </c>
      <c r="H20" s="49">
        <f>'Загальна'!H38</f>
        <v/>
      </c>
      <c r="I20" s="49">
        <f>'Загальна'!I38</f>
        <v/>
      </c>
      <c r="J20" s="49">
        <f>'Загальна'!J38</f>
        <v/>
      </c>
      <c r="K20" s="49">
        <f>'Загальна'!K38</f>
        <v/>
      </c>
      <c r="L20" s="49">
        <f>'Загальна'!L38</f>
        <v/>
      </c>
      <c r="M20" s="49">
        <f>'Загальна'!M38</f>
        <v/>
      </c>
      <c r="N20" s="49">
        <f>'Загальна'!N38</f>
        <v/>
      </c>
      <c r="O20" s="49">
        <f>'Загальна'!O38</f>
        <v/>
      </c>
      <c r="P20" s="49">
        <f>'Загальна'!P38</f>
        <v/>
      </c>
      <c r="Q20" s="49">
        <f>'Загальна'!Q38</f>
        <v/>
      </c>
      <c r="R20" s="49">
        <f>'Загальна'!R38</f>
        <v/>
      </c>
      <c r="S20" s="49">
        <f>'Загальна'!S38</f>
        <v/>
      </c>
      <c r="T20" s="49">
        <f>'Загальна'!T38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'Загальна'!C41</f>
        <v/>
      </c>
      <c r="D21" s="47" t="n">
        <v>12</v>
      </c>
      <c r="E21" s="48">
        <f>'Загальна'!E41</f>
        <v/>
      </c>
      <c r="F21" s="49">
        <f>'Загальна'!F41</f>
        <v/>
      </c>
      <c r="G21" s="49">
        <f>'Загальна'!G41</f>
        <v/>
      </c>
      <c r="H21" s="49">
        <f>'Загальна'!H41</f>
        <v/>
      </c>
      <c r="I21" s="49">
        <f>'Загальна'!I41</f>
        <v/>
      </c>
      <c r="J21" s="49">
        <f>'Загальна'!J41</f>
        <v/>
      </c>
      <c r="K21" s="49">
        <f>'Загальна'!K41</f>
        <v/>
      </c>
      <c r="L21" s="49">
        <f>'Загальна'!L41</f>
        <v/>
      </c>
      <c r="M21" s="49">
        <f>'Загальна'!M41</f>
        <v/>
      </c>
      <c r="N21" s="49">
        <f>'Загальна'!N41</f>
        <v/>
      </c>
      <c r="O21" s="49">
        <f>'Загальна'!O41</f>
        <v/>
      </c>
      <c r="P21" s="49">
        <f>'Загальна'!P41</f>
        <v/>
      </c>
      <c r="Q21" s="49">
        <f>'Загальна'!Q41</f>
        <v/>
      </c>
      <c r="R21" s="49">
        <f>'Загальна'!R41</f>
        <v/>
      </c>
      <c r="S21" s="49">
        <f>'Загальна'!S41</f>
        <v/>
      </c>
      <c r="T21" s="49">
        <f>'Загальна'!T41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'Загальна'!C42</f>
        <v/>
      </c>
      <c r="D22" s="47" t="n">
        <v>13</v>
      </c>
      <c r="E22" s="48">
        <f>'Загальна'!E42</f>
        <v/>
      </c>
      <c r="F22" s="49">
        <f>'Загальна'!F42</f>
        <v/>
      </c>
      <c r="G22" s="49">
        <f>'Загальна'!G42</f>
        <v/>
      </c>
      <c r="H22" s="49">
        <f>'Загальна'!H42</f>
        <v/>
      </c>
      <c r="I22" s="49">
        <f>'Загальна'!I42</f>
        <v/>
      </c>
      <c r="J22" s="49">
        <f>'Загальна'!J42</f>
        <v/>
      </c>
      <c r="K22" s="49">
        <f>'Загальна'!K42</f>
        <v/>
      </c>
      <c r="L22" s="49">
        <f>'Загальна'!L42</f>
        <v/>
      </c>
      <c r="M22" s="49">
        <f>'Загальна'!M42</f>
        <v/>
      </c>
      <c r="N22" s="49">
        <f>'Загальна'!N42</f>
        <v/>
      </c>
      <c r="O22" s="49">
        <f>'Загальна'!O42</f>
        <v/>
      </c>
      <c r="P22" s="49">
        <f>'Загальна'!P42</f>
        <v/>
      </c>
      <c r="Q22" s="49">
        <f>'Загальна'!Q42</f>
        <v/>
      </c>
      <c r="R22" s="49">
        <f>'Загальна'!R42</f>
        <v/>
      </c>
      <c r="S22" s="49">
        <f>'Загальна'!S42</f>
        <v/>
      </c>
      <c r="T22" s="49">
        <f>'Загальна'!T42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'Загальна'!C43</f>
        <v/>
      </c>
      <c r="D23" s="47" t="n">
        <v>14</v>
      </c>
      <c r="E23" s="48">
        <f>'Загальна'!E43</f>
        <v/>
      </c>
      <c r="F23" s="49">
        <f>'Загальна'!F43</f>
        <v/>
      </c>
      <c r="G23" s="49">
        <f>'Загальна'!G43</f>
        <v/>
      </c>
      <c r="H23" s="49">
        <f>'Загальна'!H43</f>
        <v/>
      </c>
      <c r="I23" s="49">
        <f>'Загальна'!I43</f>
        <v/>
      </c>
      <c r="J23" s="49">
        <f>'Загальна'!J43</f>
        <v/>
      </c>
      <c r="K23" s="49">
        <f>'Загальна'!K43</f>
        <v/>
      </c>
      <c r="L23" s="49">
        <f>'Загальна'!L43</f>
        <v/>
      </c>
      <c r="M23" s="49">
        <f>'Загальна'!M43</f>
        <v/>
      </c>
      <c r="N23" s="49">
        <f>'Загальна'!N43</f>
        <v/>
      </c>
      <c r="O23" s="49">
        <f>'Загальна'!O43</f>
        <v/>
      </c>
      <c r="P23" s="49">
        <f>'Загальна'!P43</f>
        <v/>
      </c>
      <c r="Q23" s="49">
        <f>'Загальна'!Q43</f>
        <v/>
      </c>
      <c r="R23" s="49">
        <f>'Загальна'!R43</f>
        <v/>
      </c>
      <c r="S23" s="49">
        <f>'Загальна'!S43</f>
        <v/>
      </c>
      <c r="T23" s="49">
        <f>'Загальна'!T43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'Загальна'!C44</f>
        <v/>
      </c>
      <c r="D24" s="47" t="n">
        <v>15</v>
      </c>
      <c r="E24" s="48">
        <f>'Загальна'!E44</f>
        <v/>
      </c>
      <c r="F24" s="49">
        <f>'Загальна'!F44</f>
        <v/>
      </c>
      <c r="G24" s="49">
        <f>'Загальна'!G44</f>
        <v/>
      </c>
      <c r="H24" s="49">
        <f>'Загальна'!H44</f>
        <v/>
      </c>
      <c r="I24" s="49">
        <f>'Загальна'!I44</f>
        <v/>
      </c>
      <c r="J24" s="49">
        <f>'Загальна'!J44</f>
        <v/>
      </c>
      <c r="K24" s="49">
        <f>'Загальна'!K44</f>
        <v/>
      </c>
      <c r="L24" s="49">
        <f>'Загальна'!L44</f>
        <v/>
      </c>
      <c r="M24" s="49">
        <f>'Загальна'!M44</f>
        <v/>
      </c>
      <c r="N24" s="49">
        <f>'Загальна'!N44</f>
        <v/>
      </c>
      <c r="O24" s="49">
        <f>'Загальна'!O44</f>
        <v/>
      </c>
      <c r="P24" s="49">
        <f>'Загальна'!P44</f>
        <v/>
      </c>
      <c r="Q24" s="49">
        <f>'Загальна'!Q44</f>
        <v/>
      </c>
      <c r="R24" s="49">
        <f>'Загальна'!R44</f>
        <v/>
      </c>
      <c r="S24" s="49">
        <f>'Загальна'!S44</f>
        <v/>
      </c>
      <c r="T24" s="49">
        <f>'Загальна'!T44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Середній бал успішності з дисципліни</t>
        </is>
      </c>
      <c r="F25" s="8">
        <f>IF(SUM(F$10:F24)=0,IF(COUNTA(F$10:F24)=0,"Очікую",0),SUM(F$10:F24)/$D24)</f>
        <v/>
      </c>
      <c r="G25" s="8">
        <f>IF(SUM(G$10:G24)=0,IF(COUNTA(G$10:G24)=0,"Очікую",0),SUM(G$10:G24)/$D24)</f>
        <v/>
      </c>
      <c r="H25" s="8">
        <f>IF(SUM(H$10:H24)=0,IF(COUNTA(H$10:H24)=0,"Очікую",0),SUM(H$10:H24)/$D24)</f>
        <v/>
      </c>
      <c r="I25" s="8">
        <f>IF(SUM(I$10:I24)=0,IF(COUNTA(I$10:I24)=0,"Очікую",0),SUM(I$10:I24)/$D24)</f>
        <v/>
      </c>
      <c r="J25" s="8">
        <f>IF(SUM(J$10:J24)=0,IF(COUNTA(J$10:J24)=0,"Очікую",0),SUM(J$10:J24)/$D24)</f>
        <v/>
      </c>
      <c r="K25" s="8">
        <f>IF(SUM(K$10:K24)=0,IF(COUNTA(K$10:K24)=0,"Очікую",0),SUM(K$10:K24)/$D24)</f>
        <v/>
      </c>
      <c r="L25" s="8">
        <f>IF(SUM(L$10:L24)=0,IF(COUNTA(L$10:L24)=0,"Очікую",0),SUM(L$10:L24)/$D24)</f>
        <v/>
      </c>
      <c r="M25" s="8">
        <f>IF(SUM(M$10:M24)=0,IF(COUNTA(M$10:M24)=0,"Очікую",0),SUM(M$10:M24)/$D24)</f>
        <v/>
      </c>
      <c r="N25" s="8">
        <f>IF(SUM(N$10:N24)=0,IF(COUNTA(N$10:N24)=0,"Очікую",0),SUM(N$10:N24)/$D24)</f>
        <v/>
      </c>
      <c r="O25" s="8">
        <f>IF(SUM(O$10:O24)=0,IF(COUNTA(O$10:O24)=0,"Очікую",0),SUM(O$10:O24)/$D24)</f>
        <v/>
      </c>
      <c r="P25" s="8">
        <f>IF(SUM(P$10:P24)=0,IF(COUNTA(P$10:P24)=0,"Очікую",0),SUM(P$10:P24)/$D24)</f>
        <v/>
      </c>
      <c r="Q25" s="8">
        <f>IF(SUM(Q$10:Q24)=0,IF(COUNTA(Q$10:Q24)=0,"Очікую",0),SUM(Q$10:Q24)/$D24)</f>
        <v/>
      </c>
      <c r="R25" s="8">
        <f>IF(SUM(R$10:R24)=0,IF(COUNTA(R$10:R24)=0,"Очікую",0),SUM(R$10:R24)/$D24)</f>
        <v/>
      </c>
      <c r="S25" s="8">
        <f>IF(SUM(S$10:S24)=0,IF(COUNTA(S$10:S24)=0,"Очікую",0),SUM(S$10:S24)/$D24)</f>
        <v/>
      </c>
      <c r="T25" s="8">
        <f>IF(SUM(T$10:T24)=0,IF(COUNTA(T$10:T24)=0,"Очікую",0),SUM(T$10:T24)/$D24)</f>
        <v/>
      </c>
      <c r="U25" s="9">
        <f>IFERROR(AVERAGE($F25:T25),"Очікую")</f>
        <v/>
      </c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</t>
        </is>
      </c>
      <c r="F26" s="43">
        <f>IF(SUM(F$10:F24)=0,IF(COUNTA(F$10:F24)=0,"Очікую",0),IF(COUNTIF(F$10:F24,"&gt;=4")=0,0,COUNTIF(F$10:F24,"&gt;=4")/$D24*100))</f>
        <v/>
      </c>
      <c r="G26" s="43">
        <f>IF(SUM(G$10:G24)=0,IF(COUNTA(G$10:G24)=0,"Очікую",0),IF(COUNTIF(G$10:G24,"&gt;=4")=0,0,COUNTIF(G$10:G24,"&gt;=4")/$D24*100))</f>
        <v/>
      </c>
      <c r="H26" s="43">
        <f>IF(SUM(H$10:H24)=0,IF(COUNTA(H$10:H24)=0,"Очікую",0),IF(COUNTIF(H$10:H24,"&gt;=4")=0,0,COUNTIF(H$10:H24,"&gt;=4")/$D24*100))</f>
        <v/>
      </c>
      <c r="I26" s="43">
        <f>IF(SUM(I$10:I24)=0,IF(COUNTA(I$10:I24)=0,"Очікую",0),IF(COUNTIF(I$10:I24,"&gt;=4")=0,0,COUNTIF(I$10:I24,"&gt;=4")/$D24*100))</f>
        <v/>
      </c>
      <c r="J26" s="43">
        <f>IF(SUM(J$10:J24)=0,IF(COUNTA(J$10:J24)=0,"Очікую",0),IF(COUNTIF(J$10:J24,"&gt;=4")=0,0,COUNTIF(J$10:J24,"&gt;=4")/$D24*100))</f>
        <v/>
      </c>
      <c r="K26" s="43">
        <f>IF(SUM(K$10:K24)=0,IF(COUNTA(K$10:K24)=0,"Очікую",0),IF(COUNTIF(K$10:K24,"&gt;=4")=0,0,COUNTIF(K$10:K24,"&gt;=4")/$D24*100))</f>
        <v/>
      </c>
      <c r="L26" s="43">
        <f>IF(SUM(L$10:L24)=0,IF(COUNTA(L$10:L24)=0,"Очікую",0),IF(COUNTIF(L$10:L24,"&gt;=4")=0,0,COUNTIF(L$10:L24,"&gt;=4")/$D24*100))</f>
        <v/>
      </c>
      <c r="M26" s="43">
        <f>IF(SUM(M$10:M24)=0,IF(COUNTA(M$10:M24)=0,"Очікую",0),IF(COUNTIF(M$10:M24,"&gt;=4")=0,0,COUNTIF(M$10:M24,"&gt;=4")/$D24*100))</f>
        <v/>
      </c>
      <c r="N26" s="43">
        <f>IF(SUM(N$10:N24)=0,IF(COUNTA(N$10:N24)=0,"Очікую",0),IF(COUNTIF(N$10:N24,"&gt;=4")=0,0,COUNTIF(N$10:N24,"&gt;=4")/$D24*100))</f>
        <v/>
      </c>
      <c r="O26" s="43">
        <f>IF(SUM(O$10:O24)=0,IF(COUNTA(O$10:O24)=0,"Очікую",0),IF(COUNTIF(O$10:O24,"&gt;=4")=0,0,COUNTIF(O$10:O24,"&gt;=4")/$D24*100))</f>
        <v/>
      </c>
      <c r="P26" s="43">
        <f>IF(SUM(P$10:P24)=0,IF(COUNTA(P$10:P24)=0,"Очікую",0),IF(COUNTIF(P$10:P24,"&gt;=4")=0,0,COUNTIF(P$10:P24,"&gt;=4")/$D24*100))</f>
        <v/>
      </c>
      <c r="Q26" s="43">
        <f>IF(SUM(Q$10:Q24)=0,IF(COUNTA(Q$10:Q24)=0,"Очікую",0),IF(COUNTIF(Q$10:Q24,"&gt;=4")=0,0,COUNTIF(Q$10:Q24,"&gt;=4")/$D24*100))</f>
        <v/>
      </c>
      <c r="R26" s="43">
        <f>IF(SUM(R$10:R24)=0,IF(COUNTA(R$10:R24)=0,"Очікую",0),IF(COUNTIF(R$10:R24,"&gt;=4")=0,0,COUNTIF(R$10:R24,"&gt;=4")/$D24*100))</f>
        <v/>
      </c>
      <c r="S26" s="43">
        <f>IF(SUM(S$10:S24)=0,IF(COUNTA(S$10:S24)=0,"Очікую",0),IF(COUNTIF(S$10:S24,"&gt;=4")=0,0,COUNTIF(S$10:S24,"&gt;=4")/$D24*100))</f>
        <v/>
      </c>
      <c r="T26" s="43">
        <f>IF(SUM(T$10:T24)=0,IF(COUNTA(T$10:T24)=0,"Очікую",0),IF(COUNTIF(T$10:T24,"&gt;=4")=0,0,COUNTIF(T$10:T24,"&gt;=4")/$D24*100))</f>
        <v/>
      </c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</t>
        </is>
      </c>
      <c r="F27" s="43">
        <f>IF(SUM(F$10:F24)=0,IF(COUNTA(F$10:F24)=0,"Очікую",0),IF(COUNTIF(F$10:F24,"&gt;=7")=0,0,COUNTIF(F$10:F24,"&gt;=7")/$D24*100))</f>
        <v/>
      </c>
      <c r="G27" s="43">
        <f>IF(SUM(G$10:G24)=0,IF(COUNTA(G$10:G24)=0,"Очікую",0),IF(COUNTIF(G$10:G24,"&gt;=7")=0,0,COUNTIF(G$10:G24,"&gt;=7")/$D24*100))</f>
        <v/>
      </c>
      <c r="H27" s="43">
        <f>IF(SUM(H$10:H24)=0,IF(COUNTA(H$10:H24)=0,"Очікую",0),IF(COUNTIF(H$10:H24,"&gt;=7")=0,0,COUNTIF(H$10:H24,"&gt;=7")/$D24*100))</f>
        <v/>
      </c>
      <c r="I27" s="43">
        <f>IF(SUM(I$10:I24)=0,IF(COUNTA(I$10:I24)=0,"Очікую",0),IF(COUNTIF(I$10:I24,"&gt;=7")=0,0,COUNTIF(I$10:I24,"&gt;=7")/$D24*100))</f>
        <v/>
      </c>
      <c r="J27" s="43">
        <f>IF(SUM(J$10:J24)=0,IF(COUNTA(J$10:J24)=0,"Очікую",0),IF(COUNTIF(J$10:J24,"&gt;=7")=0,0,COUNTIF(J$10:J24,"&gt;=7")/$D24*100))</f>
        <v/>
      </c>
      <c r="K27" s="43">
        <f>IF(SUM(K$10:K24)=0,IF(COUNTA(K$10:K24)=0,"Очікую",0),IF(COUNTIF(K$10:K24,"&gt;=7")=0,0,COUNTIF(K$10:K24,"&gt;=7")/$D24*100))</f>
        <v/>
      </c>
      <c r="L27" s="43">
        <f>IF(SUM(L$10:L24)=0,IF(COUNTA(L$10:L24)=0,"Очікую",0),IF(COUNTIF(L$10:L24,"&gt;=7")=0,0,COUNTIF(L$10:L24,"&gt;=7")/$D24*100))</f>
        <v/>
      </c>
      <c r="M27" s="43">
        <f>IF(SUM(M$10:M24)=0,IF(COUNTA(M$10:M24)=0,"Очікую",0),IF(COUNTIF(M$10:M24,"&gt;=7")=0,0,COUNTIF(M$10:M24,"&gt;=7")/$D24*100))</f>
        <v/>
      </c>
      <c r="N27" s="43">
        <f>IF(SUM(N$10:N24)=0,IF(COUNTA(N$10:N24)=0,"Очікую",0),IF(COUNTIF(N$10:N24,"&gt;=7")=0,0,COUNTIF(N$10:N24,"&gt;=7")/$D24*100))</f>
        <v/>
      </c>
      <c r="O27" s="43">
        <f>IF(SUM(O$10:O24)=0,IF(COUNTA(O$10:O24)=0,"Очікую",0),IF(COUNTIF(O$10:O24,"&gt;=7")=0,0,COUNTIF(O$10:O24,"&gt;=7")/$D24*100))</f>
        <v/>
      </c>
      <c r="P27" s="43">
        <f>IF(SUM(P$10:P24)=0,IF(COUNTA(P$10:P24)=0,"Очікую",0),IF(COUNTIF(P$10:P24,"&gt;=7")=0,0,COUNTIF(P$10:P24,"&gt;=7")/$D24*100))</f>
        <v/>
      </c>
      <c r="Q27" s="43">
        <f>IF(SUM(Q$10:Q24)=0,IF(COUNTA(Q$10:Q24)=0,"Очікую",0),IF(COUNTIF(Q$10:Q24,"&gt;=7")=0,0,COUNTIF(Q$10:Q24,"&gt;=7")/$D24*100))</f>
        <v/>
      </c>
      <c r="R27" s="43">
        <f>IF(SUM(R$10:R24)=0,IF(COUNTA(R$10:R24)=0,"Очікую",0),IF(COUNTIF(R$10:R24,"&gt;=7")=0,0,COUNTIF(R$10:R24,"&gt;=7")/$D24*100))</f>
        <v/>
      </c>
      <c r="S27" s="43">
        <f>IF(SUM(S$10:S24)=0,IF(COUNTA(S$10:S24)=0,"Очікую",0),IF(COUNTIF(S$10:S24,"&gt;=7")=0,0,COUNTIF(S$10:S24,"&gt;=7")/$D24*100))</f>
        <v/>
      </c>
      <c r="T27" s="43">
        <f>IF(SUM(T$10:T24)=0,IF(COUNTA(T$10:T24)=0,"Очікую",0),IF(COUNTIF(T$10:T24,"&gt;=7")=0,0,COUNTIF(T$10:T24,"&gt;=7")/$D24*100))</f>
        <v/>
      </c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 по групі</t>
        </is>
      </c>
      <c r="F28" s="8">
        <f>IFERROR(AVERAGE(F26:T26),"Очікую")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 по групі</t>
        </is>
      </c>
      <c r="F29" s="8">
        <f>IFERROR(AVERAGE($F27:T27),"Очікую")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бюджетників</t>
        </is>
      </c>
      <c r="F30" s="63">
        <f>IF(COUNTIF($C$10:$C24,"=B")=0,IF(COUNTIF($C$10:$C24,"=K")=0,"Очікую",0),COUNTIF($C$10:$C24,"=B"))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контрактників</t>
        </is>
      </c>
      <c r="F31" s="63">
        <f>IF(COUNTIF($C$10:$C24,"=K")=0,IF(COUNTIF($C$10:$C24,"=B")=0,"Очікую",0),COUNTIF($C$10:$C24,"=K"))</f>
        <v/>
      </c>
      <c r="G31" s="6" t="n"/>
      <c r="H31" s="55" t="inlineStr">
        <is>
          <t>Класний керівник</t>
        </is>
      </c>
      <c r="I31" s="55" t="n"/>
      <c r="J31" s="55" t="n"/>
      <c r="K31" s="55" t="n"/>
      <c r="L31" s="55" t="n"/>
      <c r="M31" s="6" t="n"/>
      <c r="N31" s="6" t="n"/>
      <c r="O31" s="6" t="n"/>
      <c r="P31" s="56">
        <f>'Загальна'!P51</f>
        <v/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соціального контингенту</t>
        </is>
      </c>
      <c r="F32" s="4" t="n"/>
      <c r="G32" s="6" t="n"/>
      <c r="H32" s="55" t="n"/>
      <c r="I32" s="55" t="n"/>
      <c r="J32" s="55" t="n"/>
      <c r="K32" s="55" t="n"/>
      <c r="L32" s="55" t="n"/>
      <c r="M32" s="6" t="n"/>
      <c r="N32" s="6" t="n"/>
      <c r="O32" s="6" t="n"/>
      <c r="P32" s="56" t="n"/>
      <c r="Q32" s="52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Вийшли на стипендію</t>
        </is>
      </c>
      <c r="F33" s="63">
        <f>IF(F30="Очікую","Очікую",IF(F30-COUNTIF($U$10:$U24," - ")&lt;ROUNDDOWN(F30*0.45,0),F30-COUNTIF($U$10:$U24," - "),ROUNDDOWN(F30*0.45,0)))</f>
        <v/>
      </c>
      <c r="G33" s="6" t="n"/>
      <c r="H33" s="56" t="inlineStr">
        <is>
          <t>Завідувач відділення ПЗСО</t>
        </is>
      </c>
      <c r="I33" s="56" t="n"/>
      <c r="J33" s="56" t="n"/>
      <c r="K33" s="56" t="n"/>
      <c r="L33" s="56" t="n"/>
      <c r="M33" s="6" t="n"/>
      <c r="N33" s="6" t="n"/>
      <c r="O33" s="6" t="n"/>
      <c r="P33" s="56" t="inlineStr">
        <is>
          <t>Маргарита БРІТІКОВА</t>
        </is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21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5" t="n"/>
      <c r="W34" s="39" t="n"/>
    </row>
    <row r="35" ht="15" customFormat="1" customHeight="1" s="11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9" t="n"/>
    </row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4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«Хімічні технології та інженерія»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'Загальна'!C12</f>
        <v/>
      </c>
      <c r="D10" s="47" t="n">
        <v>1</v>
      </c>
      <c r="E10" s="48">
        <f>'Загальна'!E12</f>
        <v/>
      </c>
      <c r="F10" s="49">
        <f>'Загальна'!F12</f>
        <v/>
      </c>
      <c r="G10" s="49">
        <f>'Загальна'!G12</f>
        <v/>
      </c>
      <c r="H10" s="49">
        <f>'Загальна'!H12</f>
        <v/>
      </c>
      <c r="I10" s="49">
        <f>'Загальна'!I12</f>
        <v/>
      </c>
      <c r="J10" s="49">
        <f>'Загальна'!J12</f>
        <v/>
      </c>
      <c r="K10" s="49">
        <f>'Загальна'!K12</f>
        <v/>
      </c>
      <c r="L10" s="49">
        <f>'Загальна'!L12</f>
        <v/>
      </c>
      <c r="M10" s="49">
        <f>'Загальна'!M12</f>
        <v/>
      </c>
      <c r="N10" s="49">
        <f>'Загальна'!N12</f>
        <v/>
      </c>
      <c r="O10" s="49">
        <f>'Загальна'!O12</f>
        <v/>
      </c>
      <c r="P10" s="49">
        <f>'Загальна'!P12</f>
        <v/>
      </c>
      <c r="Q10" s="49">
        <f>'Загальна'!Q12</f>
        <v/>
      </c>
      <c r="R10" s="49">
        <f>'Загальна'!R12</f>
        <v/>
      </c>
      <c r="S10" s="49">
        <f>'Загальна'!S12</f>
        <v/>
      </c>
      <c r="T10" s="49">
        <f>'Загальна'!T12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'Загальна'!C27</f>
        <v/>
      </c>
      <c r="D12" s="47" t="n">
        <v>3</v>
      </c>
      <c r="E12" s="48">
        <f>'Загальна'!E27</f>
        <v/>
      </c>
      <c r="F12" s="49">
        <f>'Загальна'!F27</f>
        <v/>
      </c>
      <c r="G12" s="49">
        <f>'Загальна'!G27</f>
        <v/>
      </c>
      <c r="H12" s="49">
        <f>'Загальна'!H27</f>
        <v/>
      </c>
      <c r="I12" s="49">
        <f>'Загальна'!I27</f>
        <v/>
      </c>
      <c r="J12" s="49">
        <f>'Загальна'!J27</f>
        <v/>
      </c>
      <c r="K12" s="49">
        <f>'Загальна'!K27</f>
        <v/>
      </c>
      <c r="L12" s="49">
        <f>'Загальна'!L27</f>
        <v/>
      </c>
      <c r="M12" s="49">
        <f>'Загальна'!M27</f>
        <v/>
      </c>
      <c r="N12" s="49">
        <f>'Загальна'!N27</f>
        <v/>
      </c>
      <c r="O12" s="49">
        <f>'Загальна'!O27</f>
        <v/>
      </c>
      <c r="P12" s="49">
        <f>'Загальна'!P27</f>
        <v/>
      </c>
      <c r="Q12" s="49">
        <f>'Загальна'!Q27</f>
        <v/>
      </c>
      <c r="R12" s="49">
        <f>'Загальна'!R27</f>
        <v/>
      </c>
      <c r="S12" s="49">
        <f>'Загальна'!S27</f>
        <v/>
      </c>
      <c r="T12" s="49">
        <f>'Загальна'!T27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'Загальна'!C29</f>
        <v/>
      </c>
      <c r="D13" s="47" t="n">
        <v>4</v>
      </c>
      <c r="E13" s="48">
        <f>'Загальна'!E29</f>
        <v/>
      </c>
      <c r="F13" s="49">
        <f>'Загальна'!F29</f>
        <v/>
      </c>
      <c r="G13" s="49">
        <f>'Загальна'!G29</f>
        <v/>
      </c>
      <c r="H13" s="49">
        <f>'Загальна'!H29</f>
        <v/>
      </c>
      <c r="I13" s="49">
        <f>'Загальна'!I29</f>
        <v/>
      </c>
      <c r="J13" s="49">
        <f>'Загальна'!J29</f>
        <v/>
      </c>
      <c r="K13" s="49">
        <f>'Загальна'!K29</f>
        <v/>
      </c>
      <c r="L13" s="49">
        <f>'Загальна'!L29</f>
        <v/>
      </c>
      <c r="M13" s="49">
        <f>'Загальна'!M29</f>
        <v/>
      </c>
      <c r="N13" s="49">
        <f>'Загальна'!N29</f>
        <v/>
      </c>
      <c r="O13" s="49">
        <f>'Загальна'!O29</f>
        <v/>
      </c>
      <c r="P13" s="49">
        <f>'Загальна'!P29</f>
        <v/>
      </c>
      <c r="Q13" s="49">
        <f>'Загальна'!Q29</f>
        <v/>
      </c>
      <c r="R13" s="49">
        <f>'Загальна'!R29</f>
        <v/>
      </c>
      <c r="S13" s="49">
        <f>'Загальна'!S29</f>
        <v/>
      </c>
      <c r="T13" s="49">
        <f>'Загальна'!T29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Середній бал успішності з дисципліни</t>
        </is>
      </c>
      <c r="F14" s="8">
        <f>IF(SUM(F$10:F13)=0,IF(COUNTA(F$10:F13)=0,"Очікую",0),SUM(F$10:F13)/$D13)</f>
        <v/>
      </c>
      <c r="G14" s="8">
        <f>IF(SUM(G$10:G13)=0,IF(COUNTA(G$10:G13)=0,"Очікую",0),SUM(G$10:G13)/$D13)</f>
        <v/>
      </c>
      <c r="H14" s="8">
        <f>IF(SUM(H$10:H13)=0,IF(COUNTA(H$10:H13)=0,"Очікую",0),SUM(H$10:H13)/$D13)</f>
        <v/>
      </c>
      <c r="I14" s="8">
        <f>IF(SUM(I$10:I13)=0,IF(COUNTA(I$10:I13)=0,"Очікую",0),SUM(I$10:I13)/$D13)</f>
        <v/>
      </c>
      <c r="J14" s="8">
        <f>IF(SUM(J$10:J13)=0,IF(COUNTA(J$10:J13)=0,"Очікую",0),SUM(J$10:J13)/$D13)</f>
        <v/>
      </c>
      <c r="K14" s="8">
        <f>IF(SUM(K$10:K13)=0,IF(COUNTA(K$10:K13)=0,"Очікую",0),SUM(K$10:K13)/$D13)</f>
        <v/>
      </c>
      <c r="L14" s="8">
        <f>IF(SUM(L$10:L13)=0,IF(COUNTA(L$10:L13)=0,"Очікую",0),SUM(L$10:L13)/$D13)</f>
        <v/>
      </c>
      <c r="M14" s="8">
        <f>IF(SUM(M$10:M13)=0,IF(COUNTA(M$10:M13)=0,"Очікую",0),SUM(M$10:M13)/$D13)</f>
        <v/>
      </c>
      <c r="N14" s="8">
        <f>IF(SUM(N$10:N13)=0,IF(COUNTA(N$10:N13)=0,"Очікую",0),SUM(N$10:N13)/$D13)</f>
        <v/>
      </c>
      <c r="O14" s="8">
        <f>IF(SUM(O$10:O13)=0,IF(COUNTA(O$10:O13)=0,"Очікую",0),SUM(O$10:O13)/$D13)</f>
        <v/>
      </c>
      <c r="P14" s="8">
        <f>IF(SUM(P$10:P13)=0,IF(COUNTA(P$10:P13)=0,"Очікую",0),SUM(P$10:P13)/$D13)</f>
        <v/>
      </c>
      <c r="Q14" s="8">
        <f>IF(SUM(Q$10:Q13)=0,IF(COUNTA(Q$10:Q13)=0,"Очікую",0),SUM(Q$10:Q13)/$D13)</f>
        <v/>
      </c>
      <c r="R14" s="8">
        <f>IF(SUM(R$10:R13)=0,IF(COUNTA(R$10:R13)=0,"Очікую",0),SUM(R$10:R13)/$D13)</f>
        <v/>
      </c>
      <c r="S14" s="8">
        <f>IF(SUM(S$10:S13)=0,IF(COUNTA(S$10:S13)=0,"Очікую",0),SUM(S$10:S13)/$D13)</f>
        <v/>
      </c>
      <c r="T14" s="8">
        <f>IF(SUM(T$10:T13)=0,IF(COUNTA(T$10:T13)=0,"Очікую",0),SUM(T$10:T13)/$D13)</f>
        <v/>
      </c>
      <c r="U14" s="9">
        <f>IFERROR(AVERAGE($F14:T14),"Очікую")</f>
        <v/>
      </c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</t>
        </is>
      </c>
      <c r="F15" s="43">
        <f>IF(SUM(F$10:F13)=0,IF(COUNTA(F$10:F13)=0,"Очікую",0),IF(COUNTIF(F$10:F13,"&gt;=4")=0,0,COUNTIF(F$10:F13,"&gt;=4")/$D13*100))</f>
        <v/>
      </c>
      <c r="G15" s="43">
        <f>IF(SUM(G$10:G13)=0,IF(COUNTA(G$10:G13)=0,"Очікую",0),IF(COUNTIF(G$10:G13,"&gt;=4")=0,0,COUNTIF(G$10:G13,"&gt;=4")/$D13*100))</f>
        <v/>
      </c>
      <c r="H15" s="43">
        <f>IF(SUM(H$10:H13)=0,IF(COUNTA(H$10:H13)=0,"Очікую",0),IF(COUNTIF(H$10:H13,"&gt;=4")=0,0,COUNTIF(H$10:H13,"&gt;=4")/$D13*100))</f>
        <v/>
      </c>
      <c r="I15" s="43">
        <f>IF(SUM(I$10:I13)=0,IF(COUNTA(I$10:I13)=0,"Очікую",0),IF(COUNTIF(I$10:I13,"&gt;=4")=0,0,COUNTIF(I$10:I13,"&gt;=4")/$D13*100))</f>
        <v/>
      </c>
      <c r="J15" s="43">
        <f>IF(SUM(J$10:J13)=0,IF(COUNTA(J$10:J13)=0,"Очікую",0),IF(COUNTIF(J$10:J13,"&gt;=4")=0,0,COUNTIF(J$10:J13,"&gt;=4")/$D13*100))</f>
        <v/>
      </c>
      <c r="K15" s="43">
        <f>IF(SUM(K$10:K13)=0,IF(COUNTA(K$10:K13)=0,"Очікую",0),IF(COUNTIF(K$10:K13,"&gt;=4")=0,0,COUNTIF(K$10:K13,"&gt;=4")/$D13*100))</f>
        <v/>
      </c>
      <c r="L15" s="43">
        <f>IF(SUM(L$10:L13)=0,IF(COUNTA(L$10:L13)=0,"Очікую",0),IF(COUNTIF(L$10:L13,"&gt;=4")=0,0,COUNTIF(L$10:L13,"&gt;=4")/$D13*100))</f>
        <v/>
      </c>
      <c r="M15" s="43">
        <f>IF(SUM(M$10:M13)=0,IF(COUNTA(M$10:M13)=0,"Очікую",0),IF(COUNTIF(M$10:M13,"&gt;=4")=0,0,COUNTIF(M$10:M13,"&gt;=4")/$D13*100))</f>
        <v/>
      </c>
      <c r="N15" s="43">
        <f>IF(SUM(N$10:N13)=0,IF(COUNTA(N$10:N13)=0,"Очікую",0),IF(COUNTIF(N$10:N13,"&gt;=4")=0,0,COUNTIF(N$10:N13,"&gt;=4")/$D13*100))</f>
        <v/>
      </c>
      <c r="O15" s="43">
        <f>IF(SUM(O$10:O13)=0,IF(COUNTA(O$10:O13)=0,"Очікую",0),IF(COUNTIF(O$10:O13,"&gt;=4")=0,0,COUNTIF(O$10:O13,"&gt;=4")/$D13*100))</f>
        <v/>
      </c>
      <c r="P15" s="43">
        <f>IF(SUM(P$10:P13)=0,IF(COUNTA(P$10:P13)=0,"Очікую",0),IF(COUNTIF(P$10:P13,"&gt;=4")=0,0,COUNTIF(P$10:P13,"&gt;=4")/$D13*100))</f>
        <v/>
      </c>
      <c r="Q15" s="43">
        <f>IF(SUM(Q$10:Q13)=0,IF(COUNTA(Q$10:Q13)=0,"Очікую",0),IF(COUNTIF(Q$10:Q13,"&gt;=4")=0,0,COUNTIF(Q$10:Q13,"&gt;=4")/$D13*100))</f>
        <v/>
      </c>
      <c r="R15" s="43">
        <f>IF(SUM(R$10:R13)=0,IF(COUNTA(R$10:R13)=0,"Очікую",0),IF(COUNTIF(R$10:R13,"&gt;=4")=0,0,COUNTIF(R$10:R13,"&gt;=4")/$D13*100))</f>
        <v/>
      </c>
      <c r="S15" s="43">
        <f>IF(SUM(S$10:S13)=0,IF(COUNTA(S$10:S13)=0,"Очікую",0),IF(COUNTIF(S$10:S13,"&gt;=4")=0,0,COUNTIF(S$10:S13,"&gt;=4")/$D13*100))</f>
        <v/>
      </c>
      <c r="T15" s="43">
        <f>IF(SUM(T$10:T13)=0,IF(COUNTA(T$10:T13)=0,"Очікую",0),IF(COUNTIF(T$10:T13,"&gt;=4")=0,0,COUNTIF(T$10:T13,"&gt;=4")/$D13*100))</f>
        <v/>
      </c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</t>
        </is>
      </c>
      <c r="F16" s="43">
        <f>IF(SUM(F$10:F13)=0,IF(COUNTA(F$10:F13)=0,"Очікую",0),IF(COUNTIF(F$10:F13,"&gt;=7")=0,0,COUNTIF(F$10:F13,"&gt;=7")/$D13*100))</f>
        <v/>
      </c>
      <c r="G16" s="43">
        <f>IF(SUM(G$10:G13)=0,IF(COUNTA(G$10:G13)=0,"Очікую",0),IF(COUNTIF(G$10:G13,"&gt;=7")=0,0,COUNTIF(G$10:G13,"&gt;=7")/$D13*100))</f>
        <v/>
      </c>
      <c r="H16" s="43">
        <f>IF(SUM(H$10:H13)=0,IF(COUNTA(H$10:H13)=0,"Очікую",0),IF(COUNTIF(H$10:H13,"&gt;=7")=0,0,COUNTIF(H$10:H13,"&gt;=7")/$D13*100))</f>
        <v/>
      </c>
      <c r="I16" s="43">
        <f>IF(SUM(I$10:I13)=0,IF(COUNTA(I$10:I13)=0,"Очікую",0),IF(COUNTIF(I$10:I13,"&gt;=7")=0,0,COUNTIF(I$10:I13,"&gt;=7")/$D13*100))</f>
        <v/>
      </c>
      <c r="J16" s="43">
        <f>IF(SUM(J$10:J13)=0,IF(COUNTA(J$10:J13)=0,"Очікую",0),IF(COUNTIF(J$10:J13,"&gt;=7")=0,0,COUNTIF(J$10:J13,"&gt;=7")/$D13*100))</f>
        <v/>
      </c>
      <c r="K16" s="43">
        <f>IF(SUM(K$10:K13)=0,IF(COUNTA(K$10:K13)=0,"Очікую",0),IF(COUNTIF(K$10:K13,"&gt;=7")=0,0,COUNTIF(K$10:K13,"&gt;=7")/$D13*100))</f>
        <v/>
      </c>
      <c r="L16" s="43">
        <f>IF(SUM(L$10:L13)=0,IF(COUNTA(L$10:L13)=0,"Очікую",0),IF(COUNTIF(L$10:L13,"&gt;=7")=0,0,COUNTIF(L$10:L13,"&gt;=7")/$D13*100))</f>
        <v/>
      </c>
      <c r="M16" s="43">
        <f>IF(SUM(M$10:M13)=0,IF(COUNTA(M$10:M13)=0,"Очікую",0),IF(COUNTIF(M$10:M13,"&gt;=7")=0,0,COUNTIF(M$10:M13,"&gt;=7")/$D13*100))</f>
        <v/>
      </c>
      <c r="N16" s="43">
        <f>IF(SUM(N$10:N13)=0,IF(COUNTA(N$10:N13)=0,"Очікую",0),IF(COUNTIF(N$10:N13,"&gt;=7")=0,0,COUNTIF(N$10:N13,"&gt;=7")/$D13*100))</f>
        <v/>
      </c>
      <c r="O16" s="43">
        <f>IF(SUM(O$10:O13)=0,IF(COUNTA(O$10:O13)=0,"Очікую",0),IF(COUNTIF(O$10:O13,"&gt;=7")=0,0,COUNTIF(O$10:O13,"&gt;=7")/$D13*100))</f>
        <v/>
      </c>
      <c r="P16" s="43">
        <f>IF(SUM(P$10:P13)=0,IF(COUNTA(P$10:P13)=0,"Очікую",0),IF(COUNTIF(P$10:P13,"&gt;=7")=0,0,COUNTIF(P$10:P13,"&gt;=7")/$D13*100))</f>
        <v/>
      </c>
      <c r="Q16" s="43">
        <f>IF(SUM(Q$10:Q13)=0,IF(COUNTA(Q$10:Q13)=0,"Очікую",0),IF(COUNTIF(Q$10:Q13,"&gt;=7")=0,0,COUNTIF(Q$10:Q13,"&gt;=7")/$D13*100))</f>
        <v/>
      </c>
      <c r="R16" s="43">
        <f>IF(SUM(R$10:R13)=0,IF(COUNTA(R$10:R13)=0,"Очікую",0),IF(COUNTIF(R$10:R13,"&gt;=7")=0,0,COUNTIF(R$10:R13,"&gt;=7")/$D13*100))</f>
        <v/>
      </c>
      <c r="S16" s="43">
        <f>IF(SUM(S$10:S13)=0,IF(COUNTA(S$10:S13)=0,"Очікую",0),IF(COUNTIF(S$10:S13,"&gt;=7")=0,0,COUNTIF(S$10:S13,"&gt;=7")/$D13*100))</f>
        <v/>
      </c>
      <c r="T16" s="43">
        <f>IF(SUM(T$10:T13)=0,IF(COUNTA(T$10:T13)=0,"Очікую",0),IF(COUNTIF(T$10:T13,"&gt;=7")=0,0,COUNTIF(T$10:T13,"&gt;=7")/$D13*100))</f>
        <v/>
      </c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Абсолютна успішність по групі</t>
        </is>
      </c>
      <c r="F17" s="8">
        <f>IFERROR(AVERAGE(F15:T15),"Очікую")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Якісна успішність по групі</t>
        </is>
      </c>
      <c r="F18" s="8">
        <f>IFERROR(AVERAGE($F16:T16),"Очікую")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бюджетників</t>
        </is>
      </c>
      <c r="F19" s="63">
        <f>IF(COUNTIF($C$10:$C13,"=B")=0,IF(COUNTIF($C$10:$C13,"=K")=0,"Очікую",0),COUNTIF($C$10:$C13,"=B"))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52" t="n"/>
      <c r="S19" s="52" t="n"/>
      <c r="T19" s="52" t="n"/>
      <c r="U19" s="52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контрактників</t>
        </is>
      </c>
      <c r="F20" s="63">
        <f>IF(COUNTIF($C$10:$C13,"=K")=0,IF(COUNTIF($C$10:$C13,"=B")=0,"Очікую",0),COUNTIF($C$10:$C13,"=K"))</f>
        <v/>
      </c>
      <c r="G20" s="6" t="n"/>
      <c r="H20" s="55" t="inlineStr">
        <is>
          <t>Класний керівник</t>
        </is>
      </c>
      <c r="I20" s="55" t="n"/>
      <c r="J20" s="55" t="n"/>
      <c r="K20" s="55" t="n"/>
      <c r="L20" s="55" t="n"/>
      <c r="M20" s="6" t="n"/>
      <c r="N20" s="6" t="n"/>
      <c r="O20" s="6" t="n"/>
      <c r="P20" s="56">
        <f>'Загальна'!P51</f>
        <v/>
      </c>
      <c r="Q20" s="54" t="n"/>
      <c r="R20" s="54" t="n"/>
      <c r="S20" s="54" t="n"/>
      <c r="T20" s="54" t="n"/>
      <c r="U20" s="54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соціального контингенту</t>
        </is>
      </c>
      <c r="F21" s="4" t="n"/>
      <c r="G21" s="6" t="n"/>
      <c r="H21" s="55" t="n"/>
      <c r="I21" s="55" t="n"/>
      <c r="J21" s="55" t="n"/>
      <c r="K21" s="55" t="n"/>
      <c r="L21" s="55" t="n"/>
      <c r="M21" s="6" t="n"/>
      <c r="N21" s="6" t="n"/>
      <c r="O21" s="6" t="n"/>
      <c r="P21" s="56" t="n"/>
      <c r="Q21" s="52" t="n"/>
      <c r="R21" s="52" t="n"/>
      <c r="S21" s="52" t="n"/>
      <c r="T21" s="52" t="n"/>
      <c r="U21" s="52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Вийшли на стипендію</t>
        </is>
      </c>
      <c r="F22" s="63">
        <f>IF(F19="Очікую","Очікую",IF(F19-COUNTIF($U$10:$U13," - ")&lt;ROUNDDOWN(F19*0.45,0),F19-COUNTIF($U$10:$U13," - "),ROUNDDOWN(F19*0.45,0)))</f>
        <v/>
      </c>
      <c r="G22" s="6" t="n"/>
      <c r="H22" s="56" t="inlineStr">
        <is>
          <t>Завідувач відділення ПЗСО</t>
        </is>
      </c>
      <c r="I22" s="56" t="n"/>
      <c r="J22" s="56" t="n"/>
      <c r="K22" s="56" t="n"/>
      <c r="L22" s="56" t="n"/>
      <c r="M22" s="6" t="n"/>
      <c r="N22" s="6" t="n"/>
      <c r="O22" s="6" t="n"/>
      <c r="P22" s="56" t="inlineStr">
        <is>
          <t>Маргарита БРІТІКОВА</t>
        </is>
      </c>
      <c r="Q22" s="54" t="n"/>
      <c r="R22" s="54" t="n"/>
      <c r="S22" s="54" t="n"/>
      <c r="T22" s="54" t="n"/>
      <c r="U22" s="54" t="n"/>
      <c r="V22" s="20" t="n"/>
      <c r="W22" s="39" t="n"/>
    </row>
    <row r="23" ht="15" customFormat="1" customHeight="1" s="11">
      <c r="A23" s="40" t="n"/>
      <c r="B23" s="21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5" t="n"/>
      <c r="W23" s="39" t="n"/>
    </row>
    <row r="24" ht="15" customFormat="1" customHeight="1" s="1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9" t="n"/>
    </row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6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G16 «Гірництво та нафтогазові технології»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'Загальна'!C13</f>
        <v/>
      </c>
      <c r="D11" s="47" t="n">
        <v>2</v>
      </c>
      <c r="E11" s="48">
        <f>'Загальна'!E13</f>
        <v/>
      </c>
      <c r="F11" s="49">
        <f>'Загальна'!F13</f>
        <v/>
      </c>
      <c r="G11" s="49">
        <f>'Загальна'!G13</f>
        <v/>
      </c>
      <c r="H11" s="49">
        <f>'Загальна'!H13</f>
        <v/>
      </c>
      <c r="I11" s="49">
        <f>'Загальна'!I13</f>
        <v/>
      </c>
      <c r="J11" s="49">
        <f>'Загальна'!J13</f>
        <v/>
      </c>
      <c r="K11" s="49">
        <f>'Загальна'!K13</f>
        <v/>
      </c>
      <c r="L11" s="49">
        <f>'Загальна'!L13</f>
        <v/>
      </c>
      <c r="M11" s="49">
        <f>'Загальна'!M13</f>
        <v/>
      </c>
      <c r="N11" s="49">
        <f>'Загальна'!N13</f>
        <v/>
      </c>
      <c r="O11" s="49">
        <f>'Загальна'!O13</f>
        <v/>
      </c>
      <c r="P11" s="49">
        <f>'Загальна'!P13</f>
        <v/>
      </c>
      <c r="Q11" s="49">
        <f>'Загальна'!Q13</f>
        <v/>
      </c>
      <c r="R11" s="49">
        <f>'Загальна'!R13</f>
        <v/>
      </c>
      <c r="S11" s="49">
        <f>'Загальна'!S13</f>
        <v/>
      </c>
      <c r="T11" s="49">
        <f>'Загальна'!T13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'Загальна'!C15</f>
        <v/>
      </c>
      <c r="D12" s="47" t="n">
        <v>3</v>
      </c>
      <c r="E12" s="48">
        <f>'Загальна'!E15</f>
        <v/>
      </c>
      <c r="F12" s="49">
        <f>'Загальна'!F15</f>
        <v/>
      </c>
      <c r="G12" s="49">
        <f>'Загальна'!G15</f>
        <v/>
      </c>
      <c r="H12" s="49">
        <f>'Загальна'!H15</f>
        <v/>
      </c>
      <c r="I12" s="49">
        <f>'Загальна'!I15</f>
        <v/>
      </c>
      <c r="J12" s="49">
        <f>'Загальна'!J15</f>
        <v/>
      </c>
      <c r="K12" s="49">
        <f>'Загальна'!K15</f>
        <v/>
      </c>
      <c r="L12" s="49">
        <f>'Загальна'!L15</f>
        <v/>
      </c>
      <c r="M12" s="49">
        <f>'Загальна'!M15</f>
        <v/>
      </c>
      <c r="N12" s="49">
        <f>'Загальна'!N15</f>
        <v/>
      </c>
      <c r="O12" s="49">
        <f>'Загальна'!O15</f>
        <v/>
      </c>
      <c r="P12" s="49">
        <f>'Загальна'!P15</f>
        <v/>
      </c>
      <c r="Q12" s="49">
        <f>'Загальна'!Q15</f>
        <v/>
      </c>
      <c r="R12" s="49">
        <f>'Загальна'!R15</f>
        <v/>
      </c>
      <c r="S12" s="49">
        <f>'Загальна'!S15</f>
        <v/>
      </c>
      <c r="T12" s="49">
        <f>'Загальна'!T15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'Загальна'!C16</f>
        <v/>
      </c>
      <c r="D13" s="47" t="n">
        <v>4</v>
      </c>
      <c r="E13" s="48">
        <f>'Загальна'!E16</f>
        <v/>
      </c>
      <c r="F13" s="49">
        <f>'Загальна'!F16</f>
        <v/>
      </c>
      <c r="G13" s="49">
        <f>'Загальна'!G16</f>
        <v/>
      </c>
      <c r="H13" s="49">
        <f>'Загальна'!H16</f>
        <v/>
      </c>
      <c r="I13" s="49">
        <f>'Загальна'!I16</f>
        <v/>
      </c>
      <c r="J13" s="49">
        <f>'Загальна'!J16</f>
        <v/>
      </c>
      <c r="K13" s="49">
        <f>'Загальна'!K16</f>
        <v/>
      </c>
      <c r="L13" s="49">
        <f>'Загальна'!L16</f>
        <v/>
      </c>
      <c r="M13" s="49">
        <f>'Загальна'!M16</f>
        <v/>
      </c>
      <c r="N13" s="49">
        <f>'Загальна'!N16</f>
        <v/>
      </c>
      <c r="O13" s="49">
        <f>'Загальна'!O16</f>
        <v/>
      </c>
      <c r="P13" s="49">
        <f>'Загальна'!P16</f>
        <v/>
      </c>
      <c r="Q13" s="49">
        <f>'Загальна'!Q16</f>
        <v/>
      </c>
      <c r="R13" s="49">
        <f>'Загальна'!R16</f>
        <v/>
      </c>
      <c r="S13" s="49">
        <f>'Загальна'!S16</f>
        <v/>
      </c>
      <c r="T13" s="49">
        <f>'Загальна'!T16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'Загальна'!C18</f>
        <v/>
      </c>
      <c r="D14" s="47" t="n">
        <v>5</v>
      </c>
      <c r="E14" s="48">
        <f>'Загальна'!E18</f>
        <v/>
      </c>
      <c r="F14" s="49">
        <f>'Загальна'!F18</f>
        <v/>
      </c>
      <c r="G14" s="49">
        <f>'Загальна'!G18</f>
        <v/>
      </c>
      <c r="H14" s="49">
        <f>'Загальна'!H18</f>
        <v/>
      </c>
      <c r="I14" s="49">
        <f>'Загальна'!I18</f>
        <v/>
      </c>
      <c r="J14" s="49">
        <f>'Загальна'!J18</f>
        <v/>
      </c>
      <c r="K14" s="49">
        <f>'Загальна'!K18</f>
        <v/>
      </c>
      <c r="L14" s="49">
        <f>'Загальна'!L18</f>
        <v/>
      </c>
      <c r="M14" s="49">
        <f>'Загальна'!M18</f>
        <v/>
      </c>
      <c r="N14" s="49">
        <f>'Загальна'!N18</f>
        <v/>
      </c>
      <c r="O14" s="49">
        <f>'Загальна'!O18</f>
        <v/>
      </c>
      <c r="P14" s="49">
        <f>'Загальна'!P18</f>
        <v/>
      </c>
      <c r="Q14" s="49">
        <f>'Загальна'!Q18</f>
        <v/>
      </c>
      <c r="R14" s="49">
        <f>'Загальна'!R18</f>
        <v/>
      </c>
      <c r="S14" s="49">
        <f>'Загальна'!S18</f>
        <v/>
      </c>
      <c r="T14" s="49">
        <f>'Загальна'!T18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9">
        <f>'Загальна'!T20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'Загальна'!C23</f>
        <v/>
      </c>
      <c r="D16" s="47" t="n">
        <v>7</v>
      </c>
      <c r="E16" s="48">
        <f>'Загальна'!E23</f>
        <v/>
      </c>
      <c r="F16" s="49">
        <f>'Загальна'!F23</f>
        <v/>
      </c>
      <c r="G16" s="49">
        <f>'Загальна'!G23</f>
        <v/>
      </c>
      <c r="H16" s="49">
        <f>'Загальна'!H23</f>
        <v/>
      </c>
      <c r="I16" s="49">
        <f>'Загальна'!I23</f>
        <v/>
      </c>
      <c r="J16" s="49">
        <f>'Загальна'!J23</f>
        <v/>
      </c>
      <c r="K16" s="49">
        <f>'Загальна'!K23</f>
        <v/>
      </c>
      <c r="L16" s="49">
        <f>'Загальна'!L23</f>
        <v/>
      </c>
      <c r="M16" s="49">
        <f>'Загальна'!M23</f>
        <v/>
      </c>
      <c r="N16" s="49">
        <f>'Загальна'!N23</f>
        <v/>
      </c>
      <c r="O16" s="49">
        <f>'Загальна'!O23</f>
        <v/>
      </c>
      <c r="P16" s="49">
        <f>'Загальна'!P23</f>
        <v/>
      </c>
      <c r="Q16" s="49">
        <f>'Загальна'!Q23</f>
        <v/>
      </c>
      <c r="R16" s="49">
        <f>'Загальна'!R23</f>
        <v/>
      </c>
      <c r="S16" s="49">
        <f>'Загальна'!S23</f>
        <v/>
      </c>
      <c r="T16" s="49">
        <f>'Загальна'!T23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'Загальна'!C24</f>
        <v/>
      </c>
      <c r="D17" s="47" t="n">
        <v>8</v>
      </c>
      <c r="E17" s="48">
        <f>'Загальна'!E24</f>
        <v/>
      </c>
      <c r="F17" s="49">
        <f>'Загальна'!F24</f>
        <v/>
      </c>
      <c r="G17" s="49">
        <f>'Загальна'!G24</f>
        <v/>
      </c>
      <c r="H17" s="49">
        <f>'Загальна'!H24</f>
        <v/>
      </c>
      <c r="I17" s="49">
        <f>'Загальна'!I24</f>
        <v/>
      </c>
      <c r="J17" s="49">
        <f>'Загальна'!J24</f>
        <v/>
      </c>
      <c r="K17" s="49">
        <f>'Загальна'!K24</f>
        <v/>
      </c>
      <c r="L17" s="49">
        <f>'Загальна'!L24</f>
        <v/>
      </c>
      <c r="M17" s="49">
        <f>'Загальна'!M24</f>
        <v/>
      </c>
      <c r="N17" s="49">
        <f>'Загальна'!N24</f>
        <v/>
      </c>
      <c r="O17" s="49">
        <f>'Загальна'!O24</f>
        <v/>
      </c>
      <c r="P17" s="49">
        <f>'Загальна'!P24</f>
        <v/>
      </c>
      <c r="Q17" s="49">
        <f>'Загальна'!Q24</f>
        <v/>
      </c>
      <c r="R17" s="49">
        <f>'Загальна'!R24</f>
        <v/>
      </c>
      <c r="S17" s="49">
        <f>'Загальна'!S24</f>
        <v/>
      </c>
      <c r="T17" s="49">
        <f>'Загальна'!T24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'Загальна'!C28</f>
        <v/>
      </c>
      <c r="D18" s="47" t="n">
        <v>9</v>
      </c>
      <c r="E18" s="48">
        <f>'Загальна'!E28</f>
        <v/>
      </c>
      <c r="F18" s="49">
        <f>'Загальна'!F28</f>
        <v/>
      </c>
      <c r="G18" s="49">
        <f>'Загальна'!G28</f>
        <v/>
      </c>
      <c r="H18" s="49">
        <f>'Загальна'!H28</f>
        <v/>
      </c>
      <c r="I18" s="49">
        <f>'Загальна'!I28</f>
        <v/>
      </c>
      <c r="J18" s="49">
        <f>'Загальна'!J28</f>
        <v/>
      </c>
      <c r="K18" s="49">
        <f>'Загальна'!K28</f>
        <v/>
      </c>
      <c r="L18" s="49">
        <f>'Загальна'!L28</f>
        <v/>
      </c>
      <c r="M18" s="49">
        <f>'Загальна'!M28</f>
        <v/>
      </c>
      <c r="N18" s="49">
        <f>'Загальна'!N28</f>
        <v/>
      </c>
      <c r="O18" s="49">
        <f>'Загальна'!O28</f>
        <v/>
      </c>
      <c r="P18" s="49">
        <f>'Загальна'!P28</f>
        <v/>
      </c>
      <c r="Q18" s="49">
        <f>'Загальна'!Q28</f>
        <v/>
      </c>
      <c r="R18" s="49">
        <f>'Загальна'!R28</f>
        <v/>
      </c>
      <c r="S18" s="49">
        <f>'Загальна'!S28</f>
        <v/>
      </c>
      <c r="T18" s="49">
        <f>'Загальна'!T28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'Загальна'!C30</f>
        <v/>
      </c>
      <c r="D19" s="47" t="n">
        <v>10</v>
      </c>
      <c r="E19" s="48">
        <f>'Загальна'!E30</f>
        <v/>
      </c>
      <c r="F19" s="49">
        <f>'Загальна'!F30</f>
        <v/>
      </c>
      <c r="G19" s="49">
        <f>'Загальна'!G30</f>
        <v/>
      </c>
      <c r="H19" s="49">
        <f>'Загальна'!H30</f>
        <v/>
      </c>
      <c r="I19" s="49">
        <f>'Загальна'!I30</f>
        <v/>
      </c>
      <c r="J19" s="49">
        <f>'Загальна'!J30</f>
        <v/>
      </c>
      <c r="K19" s="49">
        <f>'Загальна'!K30</f>
        <v/>
      </c>
      <c r="L19" s="49">
        <f>'Загальна'!L30</f>
        <v/>
      </c>
      <c r="M19" s="49">
        <f>'Загальна'!M30</f>
        <v/>
      </c>
      <c r="N19" s="49">
        <f>'Загальна'!N30</f>
        <v/>
      </c>
      <c r="O19" s="49">
        <f>'Загальна'!O30</f>
        <v/>
      </c>
      <c r="P19" s="49">
        <f>'Загальна'!P30</f>
        <v/>
      </c>
      <c r="Q19" s="49">
        <f>'Загальна'!Q30</f>
        <v/>
      </c>
      <c r="R19" s="49">
        <f>'Загальна'!R30</f>
        <v/>
      </c>
      <c r="S19" s="49">
        <f>'Загальна'!S30</f>
        <v/>
      </c>
      <c r="T19" s="49">
        <f>'Загальна'!T30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'Загальна'!C31</f>
        <v/>
      </c>
      <c r="D20" s="47" t="n">
        <v>11</v>
      </c>
      <c r="E20" s="48">
        <f>'Загальна'!E31</f>
        <v/>
      </c>
      <c r="F20" s="49">
        <f>'Загальна'!F31</f>
        <v/>
      </c>
      <c r="G20" s="49">
        <f>'Загальна'!G31</f>
        <v/>
      </c>
      <c r="H20" s="49">
        <f>'Загальна'!H31</f>
        <v/>
      </c>
      <c r="I20" s="49">
        <f>'Загальна'!I31</f>
        <v/>
      </c>
      <c r="J20" s="49">
        <f>'Загальна'!J31</f>
        <v/>
      </c>
      <c r="K20" s="49">
        <f>'Загальна'!K31</f>
        <v/>
      </c>
      <c r="L20" s="49">
        <f>'Загальна'!L31</f>
        <v/>
      </c>
      <c r="M20" s="49">
        <f>'Загальна'!M31</f>
        <v/>
      </c>
      <c r="N20" s="49">
        <f>'Загальна'!N31</f>
        <v/>
      </c>
      <c r="O20" s="49">
        <f>'Загальна'!O31</f>
        <v/>
      </c>
      <c r="P20" s="49">
        <f>'Загальна'!P31</f>
        <v/>
      </c>
      <c r="Q20" s="49">
        <f>'Загальна'!Q31</f>
        <v/>
      </c>
      <c r="R20" s="49">
        <f>'Загальна'!R31</f>
        <v/>
      </c>
      <c r="S20" s="49">
        <f>'Загальна'!S31</f>
        <v/>
      </c>
      <c r="T20" s="49">
        <f>'Загальна'!T31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'Загальна'!C34</f>
        <v/>
      </c>
      <c r="D21" s="47" t="n">
        <v>12</v>
      </c>
      <c r="E21" s="48">
        <f>'Загальна'!E34</f>
        <v/>
      </c>
      <c r="F21" s="49">
        <f>'Загальна'!F34</f>
        <v/>
      </c>
      <c r="G21" s="49">
        <f>'Загальна'!G34</f>
        <v/>
      </c>
      <c r="H21" s="49">
        <f>'Загальна'!H34</f>
        <v/>
      </c>
      <c r="I21" s="49">
        <f>'Загальна'!I34</f>
        <v/>
      </c>
      <c r="J21" s="49">
        <f>'Загальна'!J34</f>
        <v/>
      </c>
      <c r="K21" s="49">
        <f>'Загальна'!K34</f>
        <v/>
      </c>
      <c r="L21" s="49">
        <f>'Загальна'!L34</f>
        <v/>
      </c>
      <c r="M21" s="49">
        <f>'Загальна'!M34</f>
        <v/>
      </c>
      <c r="N21" s="49">
        <f>'Загальна'!N34</f>
        <v/>
      </c>
      <c r="O21" s="49">
        <f>'Загальна'!O34</f>
        <v/>
      </c>
      <c r="P21" s="49">
        <f>'Загальна'!P34</f>
        <v/>
      </c>
      <c r="Q21" s="49">
        <f>'Загальна'!Q34</f>
        <v/>
      </c>
      <c r="R21" s="49">
        <f>'Загальна'!R34</f>
        <v/>
      </c>
      <c r="S21" s="49">
        <f>'Загальна'!S34</f>
        <v/>
      </c>
      <c r="T21" s="49">
        <f>'Загальна'!T34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'Загальна'!C35</f>
        <v/>
      </c>
      <c r="D22" s="47" t="n">
        <v>13</v>
      </c>
      <c r="E22" s="48">
        <f>'Загальна'!E35</f>
        <v/>
      </c>
      <c r="F22" s="49">
        <f>'Загальна'!F35</f>
        <v/>
      </c>
      <c r="G22" s="49">
        <f>'Загальна'!G35</f>
        <v/>
      </c>
      <c r="H22" s="49">
        <f>'Загальна'!H35</f>
        <v/>
      </c>
      <c r="I22" s="49">
        <f>'Загальна'!I35</f>
        <v/>
      </c>
      <c r="J22" s="49">
        <f>'Загальна'!J35</f>
        <v/>
      </c>
      <c r="K22" s="49">
        <f>'Загальна'!K35</f>
        <v/>
      </c>
      <c r="L22" s="49">
        <f>'Загальна'!L35</f>
        <v/>
      </c>
      <c r="M22" s="49">
        <f>'Загальна'!M35</f>
        <v/>
      </c>
      <c r="N22" s="49">
        <f>'Загальна'!N35</f>
        <v/>
      </c>
      <c r="O22" s="49">
        <f>'Загальна'!O35</f>
        <v/>
      </c>
      <c r="P22" s="49">
        <f>'Загальна'!P35</f>
        <v/>
      </c>
      <c r="Q22" s="49">
        <f>'Загальна'!Q35</f>
        <v/>
      </c>
      <c r="R22" s="49">
        <f>'Загальна'!R35</f>
        <v/>
      </c>
      <c r="S22" s="49">
        <f>'Загальна'!S35</f>
        <v/>
      </c>
      <c r="T22" s="49">
        <f>'Загальна'!T35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'Загальна'!C36</f>
        <v/>
      </c>
      <c r="D23" s="47" t="n">
        <v>14</v>
      </c>
      <c r="E23" s="48">
        <f>'Загальна'!E36</f>
        <v/>
      </c>
      <c r="F23" s="49">
        <f>'Загальна'!F36</f>
        <v/>
      </c>
      <c r="G23" s="49">
        <f>'Загальна'!G36</f>
        <v/>
      </c>
      <c r="H23" s="49">
        <f>'Загальна'!H36</f>
        <v/>
      </c>
      <c r="I23" s="49">
        <f>'Загальна'!I36</f>
        <v/>
      </c>
      <c r="J23" s="49">
        <f>'Загальна'!J36</f>
        <v/>
      </c>
      <c r="K23" s="49">
        <f>'Загальна'!K36</f>
        <v/>
      </c>
      <c r="L23" s="49">
        <f>'Загальна'!L36</f>
        <v/>
      </c>
      <c r="M23" s="49">
        <f>'Загальна'!M36</f>
        <v/>
      </c>
      <c r="N23" s="49">
        <f>'Загальна'!N36</f>
        <v/>
      </c>
      <c r="O23" s="49">
        <f>'Загальна'!O36</f>
        <v/>
      </c>
      <c r="P23" s="49">
        <f>'Загальна'!P36</f>
        <v/>
      </c>
      <c r="Q23" s="49">
        <f>'Загальна'!Q36</f>
        <v/>
      </c>
      <c r="R23" s="49">
        <f>'Загальна'!R36</f>
        <v/>
      </c>
      <c r="S23" s="49">
        <f>'Загальна'!S36</f>
        <v/>
      </c>
      <c r="T23" s="49">
        <f>'Загальна'!T36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'Загальна'!C39</f>
        <v/>
      </c>
      <c r="D24" s="47" t="n">
        <v>15</v>
      </c>
      <c r="E24" s="48">
        <f>'Загальна'!E39</f>
        <v/>
      </c>
      <c r="F24" s="49">
        <f>'Загальна'!F39</f>
        <v/>
      </c>
      <c r="G24" s="49">
        <f>'Загальна'!G39</f>
        <v/>
      </c>
      <c r="H24" s="49">
        <f>'Загальна'!H39</f>
        <v/>
      </c>
      <c r="I24" s="49">
        <f>'Загальна'!I39</f>
        <v/>
      </c>
      <c r="J24" s="49">
        <f>'Загальна'!J39</f>
        <v/>
      </c>
      <c r="K24" s="49">
        <f>'Загальна'!K39</f>
        <v/>
      </c>
      <c r="L24" s="49">
        <f>'Загальна'!L39</f>
        <v/>
      </c>
      <c r="M24" s="49">
        <f>'Загальна'!M39</f>
        <v/>
      </c>
      <c r="N24" s="49">
        <f>'Загальна'!N39</f>
        <v/>
      </c>
      <c r="O24" s="49">
        <f>'Загальна'!O39</f>
        <v/>
      </c>
      <c r="P24" s="49">
        <f>'Загальна'!P39</f>
        <v/>
      </c>
      <c r="Q24" s="49">
        <f>'Загальна'!Q39</f>
        <v/>
      </c>
      <c r="R24" s="49">
        <f>'Загальна'!R39</f>
        <v/>
      </c>
      <c r="S24" s="49">
        <f>'Загальна'!S39</f>
        <v/>
      </c>
      <c r="T24" s="49">
        <f>'Загальна'!T39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9">
        <f>'Загальна'!T40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Середній бал успішності з дисципліни</t>
        </is>
      </c>
      <c r="F26" s="8">
        <f>IF(SUM(F$10:F25)=0,IF(COUNTA(F$10:F25)=0,"Очікую",0),SUM(F$10:F25)/$D25)</f>
        <v/>
      </c>
      <c r="G26" s="8">
        <f>IF(SUM(G$10:G25)=0,IF(COUNTA(G$10:G25)=0,"Очікую",0),SUM(G$10:G25)/$D25)</f>
        <v/>
      </c>
      <c r="H26" s="8">
        <f>IF(SUM(H$10:H25)=0,IF(COUNTA(H$10:H25)=0,"Очікую",0),SUM(H$10:H25)/$D25)</f>
        <v/>
      </c>
      <c r="I26" s="8">
        <f>IF(SUM(I$10:I25)=0,IF(COUNTA(I$10:I25)=0,"Очікую",0),SUM(I$10:I25)/$D25)</f>
        <v/>
      </c>
      <c r="J26" s="8">
        <f>IF(SUM(J$10:J25)=0,IF(COUNTA(J$10:J25)=0,"Очікую",0),SUM(J$10:J25)/$D25)</f>
        <v/>
      </c>
      <c r="K26" s="8">
        <f>IF(SUM(K$10:K25)=0,IF(COUNTA(K$10:K25)=0,"Очікую",0),SUM(K$10:K25)/$D25)</f>
        <v/>
      </c>
      <c r="L26" s="8">
        <f>IF(SUM(L$10:L25)=0,IF(COUNTA(L$10:L25)=0,"Очікую",0),SUM(L$10:L25)/$D25)</f>
        <v/>
      </c>
      <c r="M26" s="8">
        <f>IF(SUM(M$10:M25)=0,IF(COUNTA(M$10:M25)=0,"Очікую",0),SUM(M$10:M25)/$D25)</f>
        <v/>
      </c>
      <c r="N26" s="8">
        <f>IF(SUM(N$10:N25)=0,IF(COUNTA(N$10:N25)=0,"Очікую",0),SUM(N$10:N25)/$D25)</f>
        <v/>
      </c>
      <c r="O26" s="8">
        <f>IF(SUM(O$10:O25)=0,IF(COUNTA(O$10:O25)=0,"Очікую",0),SUM(O$10:O25)/$D25)</f>
        <v/>
      </c>
      <c r="P26" s="8">
        <f>IF(SUM(P$10:P25)=0,IF(COUNTA(P$10:P25)=0,"Очікую",0),SUM(P$10:P25)/$D25)</f>
        <v/>
      </c>
      <c r="Q26" s="8">
        <f>IF(SUM(Q$10:Q25)=0,IF(COUNTA(Q$10:Q25)=0,"Очікую",0),SUM(Q$10:Q25)/$D25)</f>
        <v/>
      </c>
      <c r="R26" s="8">
        <f>IF(SUM(R$10:R25)=0,IF(COUNTA(R$10:R25)=0,"Очікую",0),SUM(R$10:R25)/$D25)</f>
        <v/>
      </c>
      <c r="S26" s="8">
        <f>IF(SUM(S$10:S25)=0,IF(COUNTA(S$10:S25)=0,"Очікую",0),SUM(S$10:S25)/$D25)</f>
        <v/>
      </c>
      <c r="T26" s="8">
        <f>IF(SUM(T$10:T25)=0,IF(COUNTA(T$10:T25)=0,"Очікую",0),SUM(T$10:T25)/$D25)</f>
        <v/>
      </c>
      <c r="U26" s="9">
        <f>IFERROR(AVERAGE($F26:T26),"Очікую")</f>
        <v/>
      </c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Абсолютна успішність</t>
        </is>
      </c>
      <c r="F27" s="43">
        <f>IF(SUM(F$10:F25)=0,IF(COUNTA(F$10:F25)=0,"Очікую",0),IF(COUNTIF(F$10:F25,"&gt;=4")=0,0,COUNTIF(F$10:F25,"&gt;=4")/$D25*100))</f>
        <v/>
      </c>
      <c r="G27" s="43">
        <f>IF(SUM(G$10:G25)=0,IF(COUNTA(G$10:G25)=0,"Очікую",0),IF(COUNTIF(G$10:G25,"&gt;=4")=0,0,COUNTIF(G$10:G25,"&gt;=4")/$D25*100))</f>
        <v/>
      </c>
      <c r="H27" s="43">
        <f>IF(SUM(H$10:H25)=0,IF(COUNTA(H$10:H25)=0,"Очікую",0),IF(COUNTIF(H$10:H25,"&gt;=4")=0,0,COUNTIF(H$10:H25,"&gt;=4")/$D25*100))</f>
        <v/>
      </c>
      <c r="I27" s="43">
        <f>IF(SUM(I$10:I25)=0,IF(COUNTA(I$10:I25)=0,"Очікую",0),IF(COUNTIF(I$10:I25,"&gt;=4")=0,0,COUNTIF(I$10:I25,"&gt;=4")/$D25*100))</f>
        <v/>
      </c>
      <c r="J27" s="43">
        <f>IF(SUM(J$10:J25)=0,IF(COUNTA(J$10:J25)=0,"Очікую",0),IF(COUNTIF(J$10:J25,"&gt;=4")=0,0,COUNTIF(J$10:J25,"&gt;=4")/$D25*100))</f>
        <v/>
      </c>
      <c r="K27" s="43">
        <f>IF(SUM(K$10:K25)=0,IF(COUNTA(K$10:K25)=0,"Очікую",0),IF(COUNTIF(K$10:K25,"&gt;=4")=0,0,COUNTIF(K$10:K25,"&gt;=4")/$D25*100))</f>
        <v/>
      </c>
      <c r="L27" s="43">
        <f>IF(SUM(L$10:L25)=0,IF(COUNTA(L$10:L25)=0,"Очікую",0),IF(COUNTIF(L$10:L25,"&gt;=4")=0,0,COUNTIF(L$10:L25,"&gt;=4")/$D25*100))</f>
        <v/>
      </c>
      <c r="M27" s="43">
        <f>IF(SUM(M$10:M25)=0,IF(COUNTA(M$10:M25)=0,"Очікую",0),IF(COUNTIF(M$10:M25,"&gt;=4")=0,0,COUNTIF(M$10:M25,"&gt;=4")/$D25*100))</f>
        <v/>
      </c>
      <c r="N27" s="43">
        <f>IF(SUM(N$10:N25)=0,IF(COUNTA(N$10:N25)=0,"Очікую",0),IF(COUNTIF(N$10:N25,"&gt;=4")=0,0,COUNTIF(N$10:N25,"&gt;=4")/$D25*100))</f>
        <v/>
      </c>
      <c r="O27" s="43">
        <f>IF(SUM(O$10:O25)=0,IF(COUNTA(O$10:O25)=0,"Очікую",0),IF(COUNTIF(O$10:O25,"&gt;=4")=0,0,COUNTIF(O$10:O25,"&gt;=4")/$D25*100))</f>
        <v/>
      </c>
      <c r="P27" s="43">
        <f>IF(SUM(P$10:P25)=0,IF(COUNTA(P$10:P25)=0,"Очікую",0),IF(COUNTIF(P$10:P25,"&gt;=4")=0,0,COUNTIF(P$10:P25,"&gt;=4")/$D25*100))</f>
        <v/>
      </c>
      <c r="Q27" s="43">
        <f>IF(SUM(Q$10:Q25)=0,IF(COUNTA(Q$10:Q25)=0,"Очікую",0),IF(COUNTIF(Q$10:Q25,"&gt;=4")=0,0,COUNTIF(Q$10:Q25,"&gt;=4")/$D25*100))</f>
        <v/>
      </c>
      <c r="R27" s="43">
        <f>IF(SUM(R$10:R25)=0,IF(COUNTA(R$10:R25)=0,"Очікую",0),IF(COUNTIF(R$10:R25,"&gt;=4")=0,0,COUNTIF(R$10:R25,"&gt;=4")/$D25*100))</f>
        <v/>
      </c>
      <c r="S27" s="43">
        <f>IF(SUM(S$10:S25)=0,IF(COUNTA(S$10:S25)=0,"Очікую",0),IF(COUNTIF(S$10:S25,"&gt;=4")=0,0,COUNTIF(S$10:S25,"&gt;=4")/$D25*100))</f>
        <v/>
      </c>
      <c r="T27" s="43">
        <f>IF(SUM(T$10:T25)=0,IF(COUNTA(T$10:T25)=0,"Очікую",0),IF(COUNTIF(T$10:T25,"&gt;=4")=0,0,COUNTIF(T$10:T25,"&gt;=4")/$D25*100))</f>
        <v/>
      </c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Якісна успішність</t>
        </is>
      </c>
      <c r="F28" s="43">
        <f>IF(SUM(F$10:F25)=0,IF(COUNTA(F$10:F25)=0,"Очікую",0),IF(COUNTIF(F$10:F25,"&gt;=7")=0,0,COUNTIF(F$10:F25,"&gt;=7")/$D25*100))</f>
        <v/>
      </c>
      <c r="G28" s="43">
        <f>IF(SUM(G$10:G25)=0,IF(COUNTA(G$10:G25)=0,"Очікую",0),IF(COUNTIF(G$10:G25,"&gt;=7")=0,0,COUNTIF(G$10:G25,"&gt;=7")/$D25*100))</f>
        <v/>
      </c>
      <c r="H28" s="43">
        <f>IF(SUM(H$10:H25)=0,IF(COUNTA(H$10:H25)=0,"Очікую",0),IF(COUNTIF(H$10:H25,"&gt;=7")=0,0,COUNTIF(H$10:H25,"&gt;=7")/$D25*100))</f>
        <v/>
      </c>
      <c r="I28" s="43">
        <f>IF(SUM(I$10:I25)=0,IF(COUNTA(I$10:I25)=0,"Очікую",0),IF(COUNTIF(I$10:I25,"&gt;=7")=0,0,COUNTIF(I$10:I25,"&gt;=7")/$D25*100))</f>
        <v/>
      </c>
      <c r="J28" s="43">
        <f>IF(SUM(J$10:J25)=0,IF(COUNTA(J$10:J25)=0,"Очікую",0),IF(COUNTIF(J$10:J25,"&gt;=7")=0,0,COUNTIF(J$10:J25,"&gt;=7")/$D25*100))</f>
        <v/>
      </c>
      <c r="K28" s="43">
        <f>IF(SUM(K$10:K25)=0,IF(COUNTA(K$10:K25)=0,"Очікую",0),IF(COUNTIF(K$10:K25,"&gt;=7")=0,0,COUNTIF(K$10:K25,"&gt;=7")/$D25*100))</f>
        <v/>
      </c>
      <c r="L28" s="43">
        <f>IF(SUM(L$10:L25)=0,IF(COUNTA(L$10:L25)=0,"Очікую",0),IF(COUNTIF(L$10:L25,"&gt;=7")=0,0,COUNTIF(L$10:L25,"&gt;=7")/$D25*100))</f>
        <v/>
      </c>
      <c r="M28" s="43">
        <f>IF(SUM(M$10:M25)=0,IF(COUNTA(M$10:M25)=0,"Очікую",0),IF(COUNTIF(M$10:M25,"&gt;=7")=0,0,COUNTIF(M$10:M25,"&gt;=7")/$D25*100))</f>
        <v/>
      </c>
      <c r="N28" s="43">
        <f>IF(SUM(N$10:N25)=0,IF(COUNTA(N$10:N25)=0,"Очікую",0),IF(COUNTIF(N$10:N25,"&gt;=7")=0,0,COUNTIF(N$10:N25,"&gt;=7")/$D25*100))</f>
        <v/>
      </c>
      <c r="O28" s="43">
        <f>IF(SUM(O$10:O25)=0,IF(COUNTA(O$10:O25)=0,"Очікую",0),IF(COUNTIF(O$10:O25,"&gt;=7")=0,0,COUNTIF(O$10:O25,"&gt;=7")/$D25*100))</f>
        <v/>
      </c>
      <c r="P28" s="43">
        <f>IF(SUM(P$10:P25)=0,IF(COUNTA(P$10:P25)=0,"Очікую",0),IF(COUNTIF(P$10:P25,"&gt;=7")=0,0,COUNTIF(P$10:P25,"&gt;=7")/$D25*100))</f>
        <v/>
      </c>
      <c r="Q28" s="43">
        <f>IF(SUM(Q$10:Q25)=0,IF(COUNTA(Q$10:Q25)=0,"Очікую",0),IF(COUNTIF(Q$10:Q25,"&gt;=7")=0,0,COUNTIF(Q$10:Q25,"&gt;=7")/$D25*100))</f>
        <v/>
      </c>
      <c r="R28" s="43">
        <f>IF(SUM(R$10:R25)=0,IF(COUNTA(R$10:R25)=0,"Очікую",0),IF(COUNTIF(R$10:R25,"&gt;=7")=0,0,COUNTIF(R$10:R25,"&gt;=7")/$D25*100))</f>
        <v/>
      </c>
      <c r="S28" s="43">
        <f>IF(SUM(S$10:S25)=0,IF(COUNTA(S$10:S25)=0,"Очікую",0),IF(COUNTIF(S$10:S25,"&gt;=7")=0,0,COUNTIF(S$10:S25,"&gt;=7")/$D25*100))</f>
        <v/>
      </c>
      <c r="T28" s="43">
        <f>IF(SUM(T$10:T25)=0,IF(COUNTA(T$10:T25)=0,"Очікую",0),IF(COUNTIF(T$10:T25,"&gt;=7")=0,0,COUNTIF(T$10:T25,"&gt;=7")/$D25*100))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 по групі</t>
        </is>
      </c>
      <c r="F29" s="8">
        <f>IFERROR(AVERAGE(F27:T27),"Очікую")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 по групі</t>
        </is>
      </c>
      <c r="F30" s="8">
        <f>IFERROR(AVERAGE($F28:T28),"Очікую")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бюджетників</t>
        </is>
      </c>
      <c r="F31" s="63">
        <f>IF(COUNTIF($C$10:$C25,"=B")=0,IF(COUNTIF($C$10:$C25,"=K")=0,"Очікую",0),COUNTIF($C$10:$C25,"=B"))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52" t="n"/>
      <c r="S31" s="52" t="n"/>
      <c r="T31" s="52" t="n"/>
      <c r="U31" s="52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контрактників</t>
        </is>
      </c>
      <c r="F32" s="63">
        <f>IF(COUNTIF($C$10:$C25,"=K")=0,IF(COUNTIF($C$10:$C25,"=B")=0,"Очікую",0),COUNTIF($C$10:$C25,"=K"))</f>
        <v/>
      </c>
      <c r="G32" s="6" t="n"/>
      <c r="H32" s="55" t="inlineStr">
        <is>
          <t>Класний керівник</t>
        </is>
      </c>
      <c r="I32" s="55" t="n"/>
      <c r="J32" s="55" t="n"/>
      <c r="K32" s="55" t="n"/>
      <c r="L32" s="55" t="n"/>
      <c r="M32" s="6" t="n"/>
      <c r="N32" s="6" t="n"/>
      <c r="O32" s="6" t="n"/>
      <c r="P32" s="56">
        <f>'Загальна'!P51</f>
        <v/>
      </c>
      <c r="Q32" s="54" t="n"/>
      <c r="R32" s="54" t="n"/>
      <c r="S32" s="54" t="n"/>
      <c r="T32" s="54" t="n"/>
      <c r="U32" s="54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соціального контингенту</t>
        </is>
      </c>
      <c r="F33" s="4" t="n"/>
      <c r="G33" s="6" t="n"/>
      <c r="H33" s="55" t="n"/>
      <c r="I33" s="55" t="n"/>
      <c r="J33" s="55" t="n"/>
      <c r="K33" s="55" t="n"/>
      <c r="L33" s="55" t="n"/>
      <c r="M33" s="6" t="n"/>
      <c r="N33" s="6" t="n"/>
      <c r="O33" s="6" t="n"/>
      <c r="P33" s="56" t="n"/>
      <c r="Q33" s="52" t="n"/>
      <c r="R33" s="52" t="n"/>
      <c r="S33" s="52" t="n"/>
      <c r="T33" s="52" t="n"/>
      <c r="U33" s="52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Вийшли на стипендію</t>
        </is>
      </c>
      <c r="F34" s="63">
        <f>IF(F31="Очікую","Очікую",IF(F31-COUNTIF($U$10:$U25," - ")&lt;ROUNDDOWN(F31*0.45,0),F31-COUNTIF($U$10:$U25," - "),ROUNDDOWN(F31*0.45,0)))</f>
        <v/>
      </c>
      <c r="G34" s="6" t="n"/>
      <c r="H34" s="56" t="inlineStr">
        <is>
          <t>Завідувач відділення ПЗСО</t>
        </is>
      </c>
      <c r="I34" s="56" t="n"/>
      <c r="J34" s="56" t="n"/>
      <c r="K34" s="56" t="n"/>
      <c r="L34" s="56" t="n"/>
      <c r="M34" s="6" t="n"/>
      <c r="N34" s="6" t="n"/>
      <c r="O34" s="6" t="n"/>
      <c r="P34" s="56" t="inlineStr">
        <is>
          <t>Маргарита БРІТІКОВА</t>
        </is>
      </c>
      <c r="Q34" s="54" t="n"/>
      <c r="R34" s="54" t="n"/>
      <c r="S34" s="54" t="n"/>
      <c r="T34" s="54" t="n"/>
      <c r="U34" s="54" t="n"/>
      <c r="V34" s="20" t="n"/>
      <c r="W34" s="39" t="n"/>
    </row>
    <row r="35" ht="15" customFormat="1" customHeight="1" s="11">
      <c r="A35" s="40" t="n"/>
      <c r="B35" s="2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5" t="n"/>
      <c r="W35" s="39" t="n"/>
    </row>
    <row r="36" ht="15" customFormat="1" customHeight="1" s="11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9" t="n"/>
    </row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2026-06-22T16:43:48Z</dcterms:modified>
  <cp:lastModifiedBy>Maxim</cp:lastModifiedBy>
  <cp:lastPrinted>2026-01-07T15:30:50Z</cp:lastPrinted>
</cp:coreProperties>
</file>