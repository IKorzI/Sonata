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'Загальна'!$C$3:$T$55</definedName>
    <definedName name="A1048577" localSheetId="1">#REF!</definedName>
    <definedName name="Ф80" localSheetId="1">#REF!</definedName>
    <definedName name="_xlnm.Print_Area" localSheetId="1">'Зведена D5'!$C$3:$T$38</definedName>
    <definedName name="A1048577" localSheetId="2">#REF!</definedName>
    <definedName name="Ф80" localSheetId="2">#REF!</definedName>
    <definedName name="_xlnm.Print_Area" localSheetId="2">'Зведена E2'!$C$3:$T$31</definedName>
    <definedName name="A1048577" localSheetId="3">#REF!</definedName>
    <definedName name="Ф80" localSheetId="3">#REF!</definedName>
    <definedName name="_xlnm.Print_Area" localSheetId="3">'Зведена G13'!$C$3:$T$19</definedName>
    <definedName name="A1048577" localSheetId="4">#REF!</definedName>
    <definedName name="Ф80" localSheetId="4">#REF!</definedName>
    <definedName name="_xlnm.Print_Area" localSheetId="4">'Зведена J2'!$C$3:$T$19</definedName>
    <definedName name="A1048577" localSheetId="5">#REF!</definedName>
    <definedName name="Ф80" localSheetId="5">#REF!</definedName>
    <definedName name="_xlnm.Print_Area" localSheetId="5">'Зведена J3'!$C$3:$T$20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2">
        <f>IF(COUNTIF($F45:T45,"=*")&gt;0,IF($C45="K","-"," - "),IF(COUNTIF($F45:T45,"&lt;4")&gt;0,IF($C45="K","-"," - "),(IFERROR(AVERAGE($F45:T45),"Очікую"))))</f>
        <v/>
      </c>
      <c r="V45" s="22" t="n"/>
      <c r="W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2">
        <f>IF(COUNTIF($F46:T46,"=*")&gt;0,IF($C46="K","-"," - "),IF(COUNTIF($F46:T46,"&lt;4")&gt;0,IF($C46="K","-"," - "),(IFERROR(AVERAGE($F46:T46),"Очікую"))))</f>
        <v/>
      </c>
      <c r="V46" s="22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8">
        <f>IF(SUM(T$10:T46)=0,IF(COUNTA(T$10:T46)=0,"Очікую",0),SUM(T$10:T46)/$D46)</f>
        <v/>
      </c>
      <c r="U47" s="9">
        <f>IFERROR(AVERAGE($F47:T47),"Очікую")</f>
        <v/>
      </c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43">
        <f>IF(SUM(T$10:T46)=0,IF(COUNTA(T$10:T46)=0,"Очікую",0),IF(COUNTIF(T$10:T46,"&gt;=4")=0,0,COUNTIF(T$10:T46,"&gt;=4")/$D46*100))</f>
        <v/>
      </c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43">
        <f>IF(SUM(T$10:T46)=0,IF(COUNTA(T$10:T46)=0,"Очікую",0),IF(COUNTIF(T$10:T46,"&gt;=7")=0,0,COUNTIF(T$10:T46,"&gt;=7")/$D46*100))</f>
        <v/>
      </c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IFERROR(AVERAGE(F48:T48),"Очікую")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IFERROR(AVERAGE($F49:T49),"Очікую")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/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6" t="n"/>
      <c r="P54" s="52" t="n"/>
      <c r="Q54" s="52" t="n"/>
      <c r="R54" s="52" t="n"/>
      <c r="S54" s="52" t="n"/>
      <c r="T54" s="52" t="n"/>
      <c r="U54" s="52" t="n"/>
      <c r="V54" s="20" t="n"/>
      <c r="W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IF(F52="Очікую","Очікую",IF(F52-COUNTIF($U$10:$U46," - ")&lt;ROUNDDOWN(F52*0.45,0),F52-COUNTIF($U$10:$U46," - "),ROUNDDOWN(F52*0.45,0)))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6" t="n"/>
      <c r="P55" s="54" t="inlineStr">
        <is>
          <t>Маргарита БРІТІКОВА</t>
        </is>
      </c>
      <c r="Q55" s="54" t="n"/>
      <c r="R55" s="54" t="n"/>
      <c r="S55" s="54" t="n"/>
      <c r="T55" s="54" t="n"/>
      <c r="U55" s="54" t="n"/>
      <c r="V55" s="20" t="n"/>
      <c r="W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5" t="n"/>
      <c r="W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59" t="n"/>
      <c r="W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«Маркетинг»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9">
        <f>'Загальна'!T12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9">
        <f>'Загальна'!T13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9">
        <f>'Загальна'!T15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9">
        <f>'Загальна'!T19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9">
        <f>'Загальна'!T22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9">
        <f>'Загальна'!T23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9">
        <f>'Загальна'!T25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9">
        <f>'Загальна'!T32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9">
        <f>'Загальна'!T33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9">
        <f>'Загальна'!T35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9">
        <f>'Загальна'!T41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9">
        <f>'Загальна'!T43</f>
        <v/>
      </c>
      <c r="U27" s="42">
        <f>IF(COUNTIF($F27:T27,"=*")&gt;0,IF($C27="K","-"," - "),IF(COUNTIF($F27:T27,"&lt;4")&gt;0,IF(C27="K","-","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9">
        <f>'Загальна'!T44</f>
        <v/>
      </c>
      <c r="U28" s="42">
        <f>IF(COUNTIF($F28:T28,"=*")&gt;0,IF($C28="K","-"," - "),IF(COUNTIF($F28:T28,"&lt;4")&gt;0,IF(C28="K","-","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9">
        <f>'Загальна'!T45</f>
        <v/>
      </c>
      <c r="U29" s="42">
        <f>IF(COUNTIF($F29:T29,"=*")&gt;0,IF($C29="K","-"," - "),IF(COUNTIF($F29:T29,"&lt;4")&gt;0,IF(C29="K","-","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8">
        <f>IF(SUM(T$10:T29)=0,IF(COUNTA(T$10:T29)=0,"Очікую",0),SUM(T$10:T29)/$D29)</f>
        <v/>
      </c>
      <c r="U30" s="9">
        <f>IFERROR(AVERAGE($F30:T30),"Очікую")</f>
        <v/>
      </c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43">
        <f>IF(SUM(T$10:T29)=0,IF(COUNTA(T$10:T29)=0,"Очікую",0),IF(COUNTIF(T$10:T29,"&gt;=4")=0,0,COUNTIF(T$10:T29,"&gt;=4")/$D29*100))</f>
        <v/>
      </c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43">
        <f>IF(SUM(T$10:T29)=0,IF(COUNTA(T$10:T29)=0,"Очікую",0),IF(COUNTIF(T$10:T29,"&gt;=7")=0,0,COUNTIF(T$10:T29,"&gt;=7")/$D29*100))</f>
        <v/>
      </c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IFERROR(AVERAGE(F31:T31),"Очікую")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IFERROR(AVERAGE($F32:T32),"Очікую")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55" t="n"/>
      <c r="M36" s="6" t="n"/>
      <c r="N36" s="6" t="n"/>
      <c r="O36" s="6" t="n"/>
      <c r="P36" s="56">
        <f>'Загальна'!P53</f>
        <v/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55" t="n"/>
      <c r="M37" s="6" t="n"/>
      <c r="N37" s="6" t="n"/>
      <c r="O37" s="6" t="n"/>
      <c r="P37" s="56" t="n"/>
      <c r="Q37" s="52" t="n"/>
      <c r="R37" s="52" t="n"/>
      <c r="S37" s="52" t="n"/>
      <c r="T37" s="52" t="n"/>
      <c r="U37" s="52" t="n"/>
      <c r="V37" s="20" t="n"/>
      <c r="W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IF(F35="Очікую","Очікую",IF(F35-COUNTIF($U$10:$U29," - ")&lt;ROUNDDOWN(F35*0.45,0),F35-COUNTIF($U$10:$U29," - "),ROUNDDOWN(F35*0.45,0)))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56" t="n"/>
      <c r="M38" s="6" t="n"/>
      <c r="N38" s="6" t="n"/>
      <c r="O38" s="6" t="n"/>
      <c r="P38" s="56" t="inlineStr">
        <is>
          <t>Маргарита БРІТІКОВА</t>
        </is>
      </c>
      <c r="Q38" s="54" t="n"/>
      <c r="R38" s="54" t="n"/>
      <c r="S38" s="54" t="n"/>
      <c r="T38" s="54" t="n"/>
      <c r="U38" s="54" t="n"/>
      <c r="V38" s="20" t="n"/>
      <c r="W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5" t="n"/>
      <c r="W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«Екологія»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9">
        <f>'Загальна'!T24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9">
        <f>'Загальна'!T27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9">
        <f>'Загальна'!T34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9">
        <f>'Загальна'!T36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9">
        <f>'Загальна'!T37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9">
        <f>'Загальна'!T42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9">
        <f>'Загальна'!T46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'Загальна'!P53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")&lt;ROUNDDOWN(F28*0.45,0),F28-COUNTIF($U$10:$U22,"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«Харчові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9">
        <f>'Загальна'!T38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")&lt;ROUNDDOWN(F16*0.45,0),F16-COUNTIF($U$10:$U10," - "),ROUNDDOWN(F16*0.45,0)))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Маргарита БРІТІКОВА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«Готельно-ресторанна справа та кейтеринг»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9">
        <f>'Загальна'!T17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")&lt;ROUNDDOWN(F16*0.45,0),F16-COUNTIF($U$10:$U10," - "),ROUNDDOWN(F16*0.45,0)))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Маргарита БРІТІКОВА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«Туризм та рекреація»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9">
        <f>'Загальна'!T39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8">
        <f>IF(SUM(T$10:T11)=0,IF(COUNTA(T$10:T11)=0,"Очікую",0),SUM(T$10:T11)/$D11)</f>
        <v/>
      </c>
      <c r="U12" s="9">
        <f>IFERROR(AVERAGE($F12:T12),"Очікую")</f>
        <v/>
      </c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43">
        <f>IF(SUM(T$10:T11)=0,IF(COUNTA(T$10:T11)=0,"Очікую",0),IF(COUNTIF(T$10:T11,"&gt;=4")=0,0,COUNTIF(T$10:T11,"&gt;=4")/$D11*100))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43">
        <f>IF(SUM(T$10:T11)=0,IF(COUNTA(T$10:T11)=0,"Очікую",0),IF(COUNTIF(T$10:T11,"&gt;=7")=0,0,COUNTIF(T$10:T11,"&gt;=7")/$D11*100))</f>
        <v/>
      </c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IFERROR(AVERAGE($F14:T14),"Очікую")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52" t="n"/>
      <c r="S17" s="52" t="n"/>
      <c r="T17" s="52" t="n"/>
      <c r="U17" s="52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55" t="n"/>
      <c r="M18" s="6" t="n"/>
      <c r="N18" s="6" t="n"/>
      <c r="O18" s="6" t="n"/>
      <c r="P18" s="56">
        <f>'Загальна'!P53</f>
        <v/>
      </c>
      <c r="Q18" s="54" t="n"/>
      <c r="R18" s="54" t="n"/>
      <c r="S18" s="54" t="n"/>
      <c r="T18" s="54" t="n"/>
      <c r="U18" s="54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55" t="n"/>
      <c r="M19" s="6" t="n"/>
      <c r="N19" s="6" t="n"/>
      <c r="O19" s="6" t="n"/>
      <c r="P19" s="56" t="n"/>
      <c r="Q19" s="52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IF(F17="Очікую","Очікую",IF(F17-COUNTIF($U$10:$U11," - ")&lt;ROUNDDOWN(F17*0.45,0),F17-COUNTIF($U$10:$U11," - "),ROUNDDOWN(F17*0.45,0)))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56" t="n"/>
      <c r="M20" s="6" t="n"/>
      <c r="N20" s="6" t="n"/>
      <c r="O20" s="6" t="n"/>
      <c r="P20" s="56" t="inlineStr">
        <is>
          <t>Маргарита БРІТІКОВА</t>
        </is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5" t="n"/>
      <c r="W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2026-06-22T16:44:16Z</dcterms:modified>
  <cp:lastModifiedBy>Maxim</cp:lastModifiedBy>
  <cp:lastPrinted>2026-01-07T15:30:50Z</cp:lastPrinted>
</cp:coreProperties>
</file>