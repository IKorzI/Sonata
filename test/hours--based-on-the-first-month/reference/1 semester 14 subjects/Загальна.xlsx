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51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'25-1'!$C$3:$K$18</definedName>
    <definedName name="A1048577" localSheetId="1">#REF!</definedName>
    <definedName name="Ф80" localSheetId="1">#REF!</definedName>
    <definedName name="_xlnm.Print_Area" localSheetId="1">'25-2'!$C$3:$K$18</definedName>
    <definedName name="A1048577" localSheetId="2">#REF!</definedName>
    <definedName name="Ф80" localSheetId="2">#REF!</definedName>
    <definedName name="_xlnm.Print_Area" localSheetId="2">'25-3'!$C$3:$K$18</definedName>
    <definedName name="A1048577" localSheetId="3">#REF!</definedName>
    <definedName name="Ф80" localSheetId="3">#REF!</definedName>
    <definedName name="_xlnm.Print_Area" localSheetId="3">'25-4'!$C$3:$K$18</definedName>
    <definedName name="A1048577" localSheetId="4">#REF!</definedName>
    <definedName name="Ф80" localSheetId="4">#REF!</definedName>
    <definedName name="_xlnm.Print_Area" localSheetId="4">'25-5'!$C$3:$K$18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sz val="12"/>
    </font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  <font>
      <name val="Arial Cyr"/>
      <charset val="204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BFBFB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2">
    <xf numFmtId="0" fontId="9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</cellStyleXfs>
  <cellXfs count="38">
    <xf numFmtId="0" fontId="0" fillId="0" borderId="0" pivotButton="0" quotePrefix="0" xfId="0"/>
    <xf numFmtId="0" fontId="5" fillId="3" borderId="0" applyAlignment="1" pivotButton="0" quotePrefix="0" xfId="26">
      <alignment horizontal="center" vertical="center"/>
    </xf>
    <xf numFmtId="0" fontId="10" fillId="2" borderId="0" applyAlignment="1" pivotButton="0" quotePrefix="0" xfId="27">
      <alignment vertical="center"/>
    </xf>
    <xf numFmtId="0" fontId="5" fillId="2" borderId="0" applyAlignment="1" pivotButton="0" quotePrefix="0" xfId="26">
      <alignment horizontal="center" vertical="center"/>
    </xf>
    <xf numFmtId="0" fontId="6" fillId="0" borderId="1" applyAlignment="1" pivotButton="0" quotePrefix="0" xfId="1">
      <alignment horizontal="left" vertical="center" wrapText="1"/>
    </xf>
    <xf numFmtId="0" fontId="6" fillId="0" borderId="1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 wrapText="1"/>
    </xf>
    <xf numFmtId="0" fontId="6" fillId="0" borderId="7" applyAlignment="1" pivotButton="0" quotePrefix="0" xfId="1">
      <alignment horizontal="left" vertical="center"/>
    </xf>
    <xf numFmtId="0" fontId="11" fillId="2" borderId="9" applyAlignment="1" pivotButton="0" quotePrefix="0" xfId="27">
      <alignment horizontal="center" vertical="center"/>
    </xf>
    <xf numFmtId="0" fontId="6" fillId="0" borderId="10" applyAlignment="1" pivotButton="0" quotePrefix="0" xfId="26">
      <alignment horizontal="center" vertical="center" wrapText="1"/>
    </xf>
    <xf numFmtId="0" fontId="6" fillId="4" borderId="10" applyAlignment="1" pivotButton="0" quotePrefix="0" xfId="26">
      <alignment horizontal="center" vertical="center" wrapText="1"/>
    </xf>
    <xf numFmtId="0" fontId="11" fillId="4" borderId="9" applyAlignment="1" pivotButton="0" quotePrefix="0" xfId="27">
      <alignment horizontal="center" vertical="center"/>
    </xf>
    <xf numFmtId="0" fontId="6" fillId="4" borderId="1" applyAlignment="1" pivotButton="0" quotePrefix="0" xfId="1">
      <alignment horizontal="left" vertical="center" wrapText="1"/>
    </xf>
    <xf numFmtId="0" fontId="6" fillId="4" borderId="7" applyAlignment="1" pivotButton="0" quotePrefix="0" xfId="1">
      <alignment horizontal="left" vertical="center" wrapText="1"/>
    </xf>
    <xf numFmtId="0" fontId="6" fillId="4" borderId="6" applyAlignment="1" pivotButton="0" quotePrefix="0" xfId="1">
      <alignment horizontal="left" vertical="center" wrapText="1"/>
    </xf>
    <xf numFmtId="0" fontId="6" fillId="4" borderId="11" applyAlignment="1" pivotButton="0" quotePrefix="0" xfId="1">
      <alignment horizontal="left" vertical="center" wrapText="1"/>
    </xf>
    <xf numFmtId="0" fontId="11" fillId="4" borderId="12" applyAlignment="1" pivotButton="0" quotePrefix="0" xfId="27">
      <alignment horizontal="center" vertical="center"/>
    </xf>
    <xf numFmtId="0" fontId="11" fillId="2" borderId="8" applyAlignment="1" pivotButton="0" quotePrefix="0" xfId="27">
      <alignment horizontal="center" vertical="center"/>
    </xf>
    <xf numFmtId="0" fontId="11" fillId="2" borderId="16" applyAlignment="1" pivotButton="0" quotePrefix="0" xfId="27">
      <alignment horizontal="center" vertical="center"/>
    </xf>
    <xf numFmtId="0" fontId="11" fillId="2" borderId="14" applyAlignment="1" pivotButton="0" quotePrefix="0" xfId="27">
      <alignment horizontal="center" vertical="center"/>
    </xf>
    <xf numFmtId="0" fontId="11" fillId="2" borderId="13" applyAlignment="1" pivotButton="0" quotePrefix="0" xfId="27">
      <alignment horizontal="center" vertical="center"/>
    </xf>
    <xf numFmtId="0" fontId="11" fillId="2" borderId="15" applyAlignment="1" pivotButton="0" quotePrefix="0" xfId="27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 wrapText="1"/>
    </xf>
    <xf numFmtId="0" fontId="6" fillId="4" borderId="6" applyAlignment="1" pivotButton="0" quotePrefix="0" xfId="1">
      <alignment horizontal="center" vertical="center" wrapText="1"/>
    </xf>
    <xf numFmtId="0" fontId="12" fillId="5" borderId="0" applyAlignment="1" applyProtection="1" pivotButton="0" quotePrefix="0" xfId="5">
      <alignment horizontal="center" vertical="center"/>
      <protection locked="1" hidden="1"/>
    </xf>
    <xf numFmtId="0" fontId="5" fillId="3" borderId="2" applyAlignment="1" pivotButton="0" quotePrefix="0" xfId="26">
      <alignment vertical="center"/>
    </xf>
    <xf numFmtId="0" fontId="5" fillId="3" borderId="5" applyAlignment="1" pivotButton="0" quotePrefix="0" xfId="26">
      <alignment vertical="center"/>
    </xf>
    <xf numFmtId="0" fontId="5" fillId="3" borderId="4" applyAlignment="1" pivotButton="0" quotePrefix="0" xfId="26">
      <alignment vertical="center"/>
    </xf>
    <xf numFmtId="0" fontId="5" fillId="3" borderId="3" applyAlignment="1" pivotButton="0" quotePrefix="0" xfId="26">
      <alignment vertical="center"/>
    </xf>
    <xf numFmtId="0" fontId="5" fillId="3" borderId="0" applyAlignment="1" pivotButton="0" quotePrefix="0" xfId="26">
      <alignment vertical="center"/>
    </xf>
    <xf numFmtId="0" fontId="11" fillId="2" borderId="13" applyAlignment="1" pivotButton="0" quotePrefix="0" xfId="27">
      <alignment horizontal="center" vertical="center"/>
    </xf>
    <xf numFmtId="0" fontId="11" fillId="2" borderId="14" applyAlignment="1" pivotButton="0" quotePrefix="0" xfId="27">
      <alignment horizontal="center" vertical="center"/>
    </xf>
    <xf numFmtId="0" fontId="11" fillId="2" borderId="15" applyAlignment="1" pivotButton="0" quotePrefix="0" xfId="27">
      <alignment horizontal="center" vertical="center"/>
    </xf>
    <xf numFmtId="0" fontId="0" fillId="0" borderId="19" pivotButton="0" quotePrefix="0" xfId="0"/>
    <xf numFmtId="0" fontId="0" fillId="0" borderId="16" pivotButton="0" quotePrefix="0" xfId="0"/>
  </cellXfs>
  <cellStyles count="32">
    <cellStyle name="Обычный" xfId="0" builtinId="0"/>
    <cellStyle name="Обычный 2" xfId="1"/>
    <cellStyle name="Обычный 10" xfId="2"/>
    <cellStyle name="Обычный 10 2" xfId="3"/>
    <cellStyle name="Обычный 11" xfId="4"/>
    <cellStyle name="Обычный 11 2" xfId="5"/>
    <cellStyle name="Обычный 12" xfId="6"/>
    <cellStyle name="Обычный 13" xfId="7"/>
    <cellStyle name="Обычный 13 2" xfId="8"/>
    <cellStyle name="Обычный 2 2" xfId="9"/>
    <cellStyle name="Обычный 2 3" xfId="10"/>
    <cellStyle name="Обычный 2 3 2" xfId="11"/>
    <cellStyle name="Обычный 2 4" xfId="12"/>
    <cellStyle name="Обычный 2 4 2" xfId="13"/>
    <cellStyle name="Обычный 2 5" xfId="14"/>
    <cellStyle name="Обычный 3" xfId="15"/>
    <cellStyle name="Обычный 3 2" xfId="16"/>
    <cellStyle name="Обычный 4" xfId="17"/>
    <cellStyle name="Обычный 4 2" xfId="18"/>
    <cellStyle name="Обычный 5" xfId="19"/>
    <cellStyle name="Обычный 6" xfId="20"/>
    <cellStyle name="Обычный 7" xfId="21"/>
    <cellStyle name="Обычный 8" xfId="22"/>
    <cellStyle name="Обычный 8 2" xfId="23"/>
    <cellStyle name="Обычный 9" xfId="24"/>
    <cellStyle name="Обычный 9 2" xfId="25"/>
    <cellStyle name="Обычный 14" xfId="26"/>
    <cellStyle name="Обычный 13 2 2" xfId="27"/>
    <cellStyle name="Обычный 2 6" xfId="28"/>
    <cellStyle name="Обычный 13 2 2 2" xfId="29"/>
    <cellStyle name="Обычный 13 2 2 3" xfId="30"/>
    <cellStyle name="Обычный 13 2 2 4" xfId="3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0">
    <tabColor rgb="FF0070C0"/>
    <outlinePr summaryBelow="1" summaryRight="1"/>
    <pageSetUpPr fitToPage="1"/>
  </sheetPr>
  <dimension ref="A1:M20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2" max="12"/>
    <col width="2.71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9"/>
    <col hidden="1" width="9.140625" customWidth="1" style="3" min="80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Вересень</t>
        </is>
      </c>
      <c r="H3" s="34" t="inlineStr">
        <is>
          <t>Жовтень</t>
        </is>
      </c>
      <c r="I3" s="18" t="inlineStr">
        <is>
          <t>Листопад</t>
        </is>
      </c>
      <c r="J3" s="34" t="inlineStr">
        <is>
          <t>Грудень</t>
        </is>
      </c>
      <c r="K3" s="17" t="inlineStr">
        <is>
          <t>Різниця</t>
        </is>
      </c>
      <c r="L3" s="2" t="n"/>
      <c r="M3" s="28" t="n"/>
    </row>
    <row r="4" ht="15" customFormat="1" customHeight="1" s="1">
      <c r="A4" s="30" t="n"/>
      <c r="B4" s="2" t="n"/>
      <c r="C4" s="9" t="n">
        <v>1</v>
      </c>
      <c r="D4" s="6" t="inlineStr">
        <is>
          <t>Біологія</t>
        </is>
      </c>
      <c r="E4" s="6" t="inlineStr">
        <is>
          <t>Богданенко О.В.</t>
        </is>
      </c>
      <c r="F4" s="8" t="n">
        <v>34</v>
      </c>
      <c r="G4" s="22">
        <f>'[Вересень.xlsx]25-1'!$AJ12</f>
        <v/>
      </c>
      <c r="H4" s="22">
        <f>'[Жовтень.xlsx]25-1'!$AK12</f>
        <v/>
      </c>
      <c r="I4" s="22">
        <f>'[Листопад.xlsx]25-1'!$AF12</f>
        <v/>
      </c>
      <c r="J4" s="22">
        <f>'[Грудень.xlsx]25-1'!$AK12</f>
        <v/>
      </c>
      <c r="K4" s="8">
        <f>IF(COUNTBLANK(F4:J4)&gt;0,"Очікую", IF(F4-SUM(G4:J4)=0,"0", IF(F4-SUM(G4:J4)&lt;0,"Надлишок " &amp; (F4-SUM(G4:J4))*(-1),"Не вистачає " &amp; F4-SUM(G4:J4))))</f>
        <v/>
      </c>
      <c r="L4" s="2" t="n"/>
      <c r="M4" s="28" t="n"/>
    </row>
    <row r="5" ht="15" customFormat="1" customHeight="1" s="1">
      <c r="A5" s="30" t="n"/>
      <c r="B5" s="2" t="n"/>
      <c r="C5" s="10" t="n">
        <v>2</v>
      </c>
      <c r="D5" s="12" t="inlineStr">
        <is>
          <t>Всесвітня історія</t>
        </is>
      </c>
      <c r="E5" s="13" t="inlineStr">
        <is>
          <t>Мельничук С.А.</t>
        </is>
      </c>
      <c r="F5" s="11" t="n">
        <v>34</v>
      </c>
      <c r="G5" s="23">
        <f>'[Вересень.xlsx]25-1'!$AJ13</f>
        <v/>
      </c>
      <c r="H5" s="23">
        <f>'[Жовтень.xlsx]25-1'!$AK13</f>
        <v/>
      </c>
      <c r="I5" s="23">
        <f>'[Листопад.xlsx]25-1'!$AF13</f>
        <v/>
      </c>
      <c r="J5" s="23">
        <f>'[Грудень.xlsx]25-1'!$AK13</f>
        <v/>
      </c>
      <c r="K5" s="11">
        <f>IF(COUNTBLANK(F5:J5)&gt;0,"Очікую", IF(F5-SUM(G5:J5)=0,"0", IF(F5-SUM(G5:J5)&lt;0,"Надлишок " &amp; (F5-SUM(G5:J5))*(-1),"Не вистачає " &amp; F5-SUM(G5:J5))))</f>
        <v/>
      </c>
      <c r="L5" s="2" t="n"/>
      <c r="M5" s="28" t="n"/>
    </row>
    <row r="6" ht="15" customFormat="1" customHeight="1" s="1">
      <c r="A6" s="30" t="n"/>
      <c r="B6" s="2" t="n"/>
      <c r="C6" s="9" t="n">
        <v>3</v>
      </c>
      <c r="D6" s="5" t="inlineStr">
        <is>
          <t>Географія</t>
        </is>
      </c>
      <c r="E6" s="7" t="inlineStr">
        <is>
          <t>Наговська Т.С.</t>
        </is>
      </c>
      <c r="F6" s="8" t="n">
        <v>40</v>
      </c>
      <c r="G6" s="24">
        <f>'[Вересень.xlsx]25-1'!$AJ14</f>
        <v/>
      </c>
      <c r="H6" s="24">
        <f>'[Жовтень.xlsx]25-1'!$AK14</f>
        <v/>
      </c>
      <c r="I6" s="24">
        <f>'[Листопад.xlsx]25-1'!$AF14</f>
        <v/>
      </c>
      <c r="J6" s="24">
        <f>'[Грудень.xlsx]25-1'!$AK14</f>
        <v/>
      </c>
      <c r="K6" s="8">
        <f>IF(COUNTBLANK(F6:J6)&gt;0,"Очікую", IF(F6-SUM(G6:J6)=0,"0", IF(F6-SUM(G6:J6)&lt;0,"Надлишок " &amp; (F6-SUM(G6:J6))*(-1),"Не вистачає " &amp; F6-SUM(G6:J6))))</f>
        <v/>
      </c>
      <c r="L6" s="2" t="n"/>
      <c r="M6" s="28" t="n"/>
    </row>
    <row r="7" ht="15" customFormat="1" customHeight="1" s="1">
      <c r="A7" s="30" t="n"/>
      <c r="B7" s="2" t="n"/>
      <c r="C7" s="10" t="n">
        <v>4</v>
      </c>
      <c r="D7" s="12" t="inlineStr">
        <is>
          <t>Зарубіжна література</t>
        </is>
      </c>
      <c r="E7" s="13" t="inlineStr">
        <is>
          <t>Бабенко Л.Е.</t>
        </is>
      </c>
      <c r="F7" s="11" t="n">
        <v>34</v>
      </c>
      <c r="G7" s="23">
        <f>'[Вересень.xlsx]25-1'!$AJ15</f>
        <v/>
      </c>
      <c r="H7" s="23">
        <f>'[Жовтень.xlsx]25-1'!$AK15</f>
        <v/>
      </c>
      <c r="I7" s="23">
        <f>'[Листопад.xlsx]25-1'!$AF15</f>
        <v/>
      </c>
      <c r="J7" s="23">
        <f>'[Грудень.xlsx]25-1'!$AK15</f>
        <v/>
      </c>
      <c r="K7" s="11">
        <f>IF(COUNTBLANK(F7:J7)&gt;0,"Очікую", IF(F7-SUM(G7:J7)=0,"0", IF(F7-SUM(G7:J7)&lt;0,"Надлишок " &amp; (F7-SUM(G7:J7))*(-1),"Не вистачає " &amp; F7-SUM(G7:J7))))</f>
        <v/>
      </c>
      <c r="L7" s="2" t="n"/>
      <c r="M7" s="28" t="n"/>
    </row>
    <row r="8" ht="15" customFormat="1" customHeight="1" s="1">
      <c r="A8" s="30" t="n"/>
      <c r="B8" s="2" t="n"/>
      <c r="C8" s="9" t="n">
        <v>5</v>
      </c>
      <c r="D8" s="5" t="inlineStr">
        <is>
          <t>Захист України</t>
        </is>
      </c>
      <c r="E8" s="7" t="inlineStr">
        <is>
          <t>Лазар В.І.</t>
        </is>
      </c>
      <c r="F8" s="8" t="n">
        <v>34</v>
      </c>
      <c r="G8" s="24">
        <f>'[Вересень.xlsx]25-1'!$AJ16</f>
        <v/>
      </c>
      <c r="H8" s="24">
        <f>'[Жовтень.xlsx]25-1'!$AK16</f>
        <v/>
      </c>
      <c r="I8" s="24">
        <f>'[Листопад.xlsx]25-1'!$AF16</f>
        <v/>
      </c>
      <c r="J8" s="24">
        <f>'[Грудень.xlsx]25-1'!$AK16</f>
        <v/>
      </c>
      <c r="K8" s="8">
        <f>IF(COUNTBLANK(F8:J8)&gt;0,"Очікую", IF(F8-SUM(G8:J8)=0,"0", IF(F8-SUM(G8:J8)&lt;0,"Надлишок " &amp; (F8-SUM(G8:J8))*(-1),"Не вистачає " &amp; F8-SUM(G8:J8))))</f>
        <v/>
      </c>
      <c r="L8" s="2" t="n"/>
      <c r="M8" s="28" t="n"/>
    </row>
    <row r="9" ht="15" customFormat="1" customHeight="1" s="1">
      <c r="A9" s="30" t="n"/>
      <c r="B9" s="2" t="n"/>
      <c r="C9" s="10" t="n">
        <v>6</v>
      </c>
      <c r="D9" s="12" t="inlineStr">
        <is>
          <t>Іноземна мова</t>
        </is>
      </c>
      <c r="E9" s="13" t="inlineStr">
        <is>
          <t>Нічик Н.О.</t>
        </is>
      </c>
      <c r="F9" s="11" t="n">
        <v>34</v>
      </c>
      <c r="G9" s="23">
        <f>'[Вересень.xlsx]25-1'!$AJ17</f>
        <v/>
      </c>
      <c r="H9" s="23">
        <f>'[Жовтень.xlsx]25-1'!$AK17</f>
        <v/>
      </c>
      <c r="I9" s="23">
        <f>'[Листопад.xlsx]25-1'!$AF17</f>
        <v/>
      </c>
      <c r="J9" s="23">
        <f>'[Грудень.xlsx]25-1'!$AK17</f>
        <v/>
      </c>
      <c r="K9" s="11">
        <f>IF(COUNTBLANK(F9:J9)&gt;0,"Очікую", IF(F9-SUM(G9:J9)=0,"0", IF(F9-SUM(G9:J9)&lt;0,"Надлишок " &amp; (F9-SUM(G9:J9))*(-1),"Не вистачає " &amp; F9-SUM(G9:J9))))</f>
        <v/>
      </c>
      <c r="L9" s="2" t="n"/>
      <c r="M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Інформатика</t>
        </is>
      </c>
      <c r="E10" s="6" t="inlineStr">
        <is>
          <t>Андрльє І.О.</t>
        </is>
      </c>
      <c r="F10" s="8" t="n">
        <v>34</v>
      </c>
      <c r="G10" s="25">
        <f>'[Вересень.xlsx]25-1'!$AJ18</f>
        <v/>
      </c>
      <c r="H10" s="25">
        <f>'[Жовтень.xlsx]25-1'!$AK18</f>
        <v/>
      </c>
      <c r="I10" s="25">
        <f>'[Листопад.xlsx]25-1'!$AF18</f>
        <v/>
      </c>
      <c r="J10" s="25">
        <f>'[Грудень.xlsx]25-1'!$AK18</f>
        <v/>
      </c>
      <c r="K10" s="8">
        <f>IF(COUNTBLANK(F10:J10)&gt;0,"Очікую", IF(F10-SUM(G10:J10)=0,"0", IF(F10-SUM(G10:J10)&lt;0,"Надлишок " &amp; (F10-SUM(G10:J10))*(-1),"Не вистачає " &amp; F10-SUM(G10:J10))))</f>
        <v/>
      </c>
      <c r="L10" s="2" t="n"/>
      <c r="M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Історія України</t>
        </is>
      </c>
      <c r="E11" s="13" t="inlineStr">
        <is>
          <t>Левчук Т.Г.</t>
        </is>
      </c>
      <c r="F11" s="11" t="n">
        <v>34</v>
      </c>
      <c r="G11" s="23">
        <f>'[Вересень.xlsx]25-1'!$AJ19</f>
        <v/>
      </c>
      <c r="H11" s="23">
        <f>'[Жовтень.xlsx]25-1'!$AK19</f>
        <v/>
      </c>
      <c r="I11" s="23">
        <f>'[Листопад.xlsx]25-1'!$AF19</f>
        <v/>
      </c>
      <c r="J11" s="23">
        <f>'[Грудень.xlsx]25-1'!$AK19</f>
        <v/>
      </c>
      <c r="K11" s="11">
        <f>IF(COUNTBLANK(F11:J11)&gt;0,"Очікую", IF(F11-SUM(G11:J11)=0,"0", IF(F11-SUM(G11:J11)&lt;0,"Надлишок " &amp; (F11-SUM(G11:J11))*(-1),"Не вистачає " &amp; F11-SUM(G11:J11))))</f>
        <v/>
      </c>
      <c r="L11" s="2" t="n"/>
      <c r="M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Математика</t>
        </is>
      </c>
      <c r="E12" s="6" t="inlineStr">
        <is>
          <t>Бондаренко О.С.</t>
        </is>
      </c>
      <c r="F12" s="8" t="n">
        <v>68</v>
      </c>
      <c r="G12" s="25">
        <f>'[Вересень.xlsx]25-1'!$AJ20</f>
        <v/>
      </c>
      <c r="H12" s="25">
        <f>'[Жовтень.xlsx]25-1'!$AK20</f>
        <v/>
      </c>
      <c r="I12" s="25">
        <f>'[Листопад.xlsx]25-1'!$AF20</f>
        <v/>
      </c>
      <c r="J12" s="25">
        <f>'[Грудень.xlsx]25-1'!$AK20</f>
        <v/>
      </c>
      <c r="K12" s="8">
        <f>IF(COUNTBLANK(F12:J12)&gt;0,"Очікую", IF(F12-SUM(G12:J12)=0,"0", IF(F12-SUM(G12:J12)&lt;0,"Надлишок " &amp; (F12-SUM(G12:J12))*(-1),"Не вистачає " &amp; F12-SUM(G12:J12))))</f>
        <v/>
      </c>
      <c r="L12" s="2" t="n"/>
      <c r="M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Українська література</t>
        </is>
      </c>
      <c r="E13" s="13" t="inlineStr">
        <is>
          <t>Юрченко О.Б.</t>
        </is>
      </c>
      <c r="F13" s="11" t="n">
        <v>34</v>
      </c>
      <c r="G13" s="23">
        <f>'[Вересень.xlsx]25-1'!$AJ21</f>
        <v/>
      </c>
      <c r="H13" s="23">
        <f>'[Жовтень.xlsx]25-1'!$AK21</f>
        <v/>
      </c>
      <c r="I13" s="23">
        <f>'[Листопад.xlsx]25-1'!$AF21</f>
        <v/>
      </c>
      <c r="J13" s="23">
        <f>'[Грудень.xlsx]25-1'!$AK21</f>
        <v/>
      </c>
      <c r="K13" s="11">
        <f>IF(COUNTBLANK(F13:J13)&gt;0,"Очікую", IF(F13-SUM(G13:J13)=0,"0", IF(F13-SUM(G13:J13)&lt;0,"Надлишок " &amp; (F13-SUM(G13:J13))*(-1),"Не вистачає " &amp; F13-SUM(G13:J13))))</f>
        <v/>
      </c>
      <c r="L13" s="2" t="n"/>
      <c r="M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мова</t>
        </is>
      </c>
      <c r="E14" s="7" t="inlineStr">
        <is>
          <t>Юрченко О.Б.</t>
        </is>
      </c>
      <c r="F14" s="8" t="n">
        <v>34</v>
      </c>
      <c r="G14" s="24">
        <f>'[Вересень.xlsx]25-1'!$AJ22</f>
        <v/>
      </c>
      <c r="H14" s="24">
        <f>'[Жовтень.xlsx]25-1'!$AK22</f>
        <v/>
      </c>
      <c r="I14" s="24">
        <f>'[Листопад.xlsx]25-1'!$AF22</f>
        <v/>
      </c>
      <c r="J14" s="24">
        <f>'[Грудень.xlsx]25-1'!$AK22</f>
        <v/>
      </c>
      <c r="K14" s="8">
        <f>IF(COUNTBLANK(F14:J14)&gt;0,"Очікую", IF(F14-SUM(G14:J14)=0,"0", IF(F14-SUM(G14:J14)&lt;0,"Надлишок " &amp; (F14-SUM(G14:J14))*(-1),"Не вистачає " &amp; F14-SUM(G14:J14))))</f>
        <v/>
      </c>
      <c r="L14" s="2" t="n"/>
      <c r="M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Фізика</t>
        </is>
      </c>
      <c r="E15" s="13" t="inlineStr">
        <is>
          <t>Калюта Н.М.</t>
        </is>
      </c>
      <c r="F15" s="11" t="n">
        <v>68</v>
      </c>
      <c r="G15" s="23">
        <f>'[Вересень.xlsx]25-1'!$AJ23</f>
        <v/>
      </c>
      <c r="H15" s="23">
        <f>'[Жовтень.xlsx]25-1'!$AK23</f>
        <v/>
      </c>
      <c r="I15" s="23">
        <f>'[Листопад.xlsx]25-1'!$AF23</f>
        <v/>
      </c>
      <c r="J15" s="23">
        <f>'[Грудень.xlsx]25-1'!$AK23</f>
        <v/>
      </c>
      <c r="K15" s="11">
        <f>IF(COUNTBLANK(F15:J15)&gt;0,"Очікую", IF(F15-SUM(G15:J15)=0,"0", IF(F15-SUM(G15:J15)&lt;0,"Надлишок " &amp; (F15-SUM(G15:J15))*(-1),"Не вистачає " &amp; F15-SUM(G15:J15))))</f>
        <v/>
      </c>
      <c r="L15" s="2" t="n"/>
      <c r="M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Фізична культура</t>
        </is>
      </c>
      <c r="E16" s="7" t="inlineStr">
        <is>
          <t>Возіян О.Г.</t>
        </is>
      </c>
      <c r="F16" s="8" t="n">
        <v>51</v>
      </c>
      <c r="G16" s="24">
        <f>'[Вересень.xlsx]25-1'!$AJ24</f>
        <v/>
      </c>
      <c r="H16" s="24">
        <f>'[Жовтень.xlsx]25-1'!$AK24</f>
        <v/>
      </c>
      <c r="I16" s="24">
        <f>'[Листопад.xlsx]25-1'!$AF24</f>
        <v/>
      </c>
      <c r="J16" s="24">
        <f>'[Грудень.xlsx]25-1'!$AK24</f>
        <v/>
      </c>
      <c r="K16" s="8">
        <f>IF(COUNTBLANK(F16:J16)&gt;0,"Очікую", IF(F16-SUM(G16:J16)=0,"0", IF(F16-SUM(G16:J16)&lt;0,"Надлишок " &amp; (F16-SUM(G16:J16))*(-1),"Не вистачає " &amp; F16-SUM(G16:J16))))</f>
        <v/>
      </c>
      <c r="L16" s="2" t="n"/>
      <c r="M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Хімія</t>
        </is>
      </c>
      <c r="E17" s="13" t="inlineStr">
        <is>
          <t>Сахно Н.О.</t>
        </is>
      </c>
      <c r="F17" s="11" t="n">
        <v>34</v>
      </c>
      <c r="G17" s="23">
        <f>'[Вересень.xlsx]25-1'!$AJ25</f>
        <v/>
      </c>
      <c r="H17" s="23">
        <f>'[Жовтень.xlsx]25-1'!$AK25</f>
        <v/>
      </c>
      <c r="I17" s="23">
        <f>'[Листопад.xlsx]25-1'!$AF25</f>
        <v/>
      </c>
      <c r="J17" s="23">
        <f>'[Грудень.xlsx]25-1'!$AK25</f>
        <v/>
      </c>
      <c r="K17" s="11">
        <f>IF(COUNTBLANK(F17:J17)&gt;0,"Очікую", IF(F17-SUM(G17:J17)=0,"0", IF(F17-SUM(G17:J17)&lt;0,"Надлишок " &amp; (F17-SUM(G17:J17))*(-1),"Не вистачає " &amp; F17-SUM(G17:J17))))</f>
        <v/>
      </c>
      <c r="L17" s="2" t="n"/>
      <c r="M17" s="28" t="n"/>
    </row>
    <row r="18" ht="15" customFormat="1" customHeight="1" s="1">
      <c r="A18" s="30" t="n"/>
      <c r="B18" s="2" t="n"/>
      <c r="C18" s="33" t="inlineStr">
        <is>
          <t>Всього</t>
        </is>
      </c>
      <c r="D18" s="36" t="n"/>
      <c r="E18" s="37" t="n"/>
      <c r="F18" s="17">
        <f>IF(COUNTBLANK(F4:F17)&gt;0,"Очікую",SUM(F4:F17))</f>
        <v/>
      </c>
      <c r="G18" s="18">
        <f>IF(COUNTBLANK(G4:G17)&gt;0,"Очікую",SUM(G4:G17))</f>
        <v/>
      </c>
      <c r="H18" s="34">
        <f>IF(COUNTBLANK(H4:H17)&gt;0,"Очікую",SUM(H4:H17))</f>
        <v/>
      </c>
      <c r="I18" s="34">
        <f>IF(COUNTBLANK(I4:I17)&gt;0,"Очікую",SUM(I4:I17))</f>
        <v/>
      </c>
      <c r="J18" s="34">
        <f>IF(COUNTBLANK(J4:J17)&gt;0,"Очікую",SUM(J4:J17))</f>
        <v/>
      </c>
      <c r="K18" s="17">
        <f>IF(COUNTIF(F18:J18,"Очікую")&gt;0,"Очікую", IF(F18-SUM(G18:J18)=0,"0", IF(F18-SUM(G18:J18)&lt;0,"Надлишок "&amp;(F18-SUM(G18:J18))*(-1),"Не вистачає "&amp;F18-SUM(G18:J18))))</f>
        <v/>
      </c>
      <c r="L18" s="2" t="n"/>
      <c r="M18" s="28" t="n"/>
    </row>
    <row r="19" ht="15" customFormat="1" customHeight="1" s="1">
      <c r="A19" s="3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8" t="n"/>
    </row>
    <row r="20" ht="15" customFormat="1" customHeight="1" s="1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32" t="n"/>
    </row>
    <row r="21" hidden="1" ht="15" customFormat="1" customHeight="1" s="1"/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8:E18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2.xml><?xml version="1.0" encoding="utf-8"?>
<worksheet xmlns="http://schemas.openxmlformats.org/spreadsheetml/2006/main">
  <sheetPr codeName="Лист1">
    <tabColor rgb="FF0070C0"/>
    <outlinePr summaryBelow="1" summaryRight="1"/>
    <pageSetUpPr fitToPage="1"/>
  </sheetPr>
  <dimension ref="A1:M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2" max="12"/>
    <col width="2.71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Вересень</t>
        </is>
      </c>
      <c r="H3" s="34" t="inlineStr">
        <is>
          <t>Жовтень</t>
        </is>
      </c>
      <c r="I3" s="18" t="inlineStr">
        <is>
          <t>Листопад</t>
        </is>
      </c>
      <c r="J3" s="34" t="inlineStr">
        <is>
          <t>Грудень</t>
        </is>
      </c>
      <c r="K3" s="17" t="inlineStr">
        <is>
          <t>Різниця</t>
        </is>
      </c>
      <c r="L3" s="2" t="n"/>
      <c r="M3" s="28" t="n"/>
    </row>
    <row r="4" ht="15" customFormat="1" customHeight="1" s="1">
      <c r="A4" s="30" t="n"/>
      <c r="B4" s="2" t="n"/>
      <c r="C4" s="9" t="n">
        <v>1</v>
      </c>
      <c r="D4" s="4" t="inlineStr">
        <is>
          <t>Біологія</t>
        </is>
      </c>
      <c r="E4" s="6" t="inlineStr">
        <is>
          <t>Богданенко О.В.</t>
        </is>
      </c>
      <c r="F4" s="8" t="n">
        <v>34</v>
      </c>
      <c r="G4" s="25">
        <f>'[Вересень.xlsx]25-2'!$AJ12</f>
        <v/>
      </c>
      <c r="H4" s="25">
        <f>'[Жовтень.xlsx]25-2'!$AK12</f>
        <v/>
      </c>
      <c r="I4" s="25">
        <f>'[Листопад.xlsx]25-2'!$AF12</f>
        <v/>
      </c>
      <c r="J4" s="25">
        <f>'[Грудень.xlsx]25-2'!$AK12</f>
        <v/>
      </c>
      <c r="K4" s="8">
        <f>IF(COUNTBLANK(F4:J4)&gt;0,"Очікую", IF(F4-SUM(G4:J4)=0,"0", IF(F4-SUM(G4:J4)&lt;0,"Надлишок " &amp; (F4-SUM(G4:J4))*(-1),"Не вистачає " &amp; F4-SUM(G4:J4))))</f>
        <v/>
      </c>
      <c r="L4" s="2" t="n"/>
      <c r="M4" s="28" t="n"/>
    </row>
    <row r="5" ht="15" customFormat="1" customHeight="1" s="1">
      <c r="A5" s="30" t="n"/>
      <c r="B5" s="2" t="n"/>
      <c r="C5" s="10" t="n">
        <v>2</v>
      </c>
      <c r="D5" s="12" t="inlineStr">
        <is>
          <t>Всесвітня історія</t>
        </is>
      </c>
      <c r="E5" s="13" t="inlineStr">
        <is>
          <t>Мельничук С.А.</t>
        </is>
      </c>
      <c r="F5" s="11" t="n">
        <v>34</v>
      </c>
      <c r="G5" s="23">
        <f>'[Вересень.xlsx]25-2'!$AJ13</f>
        <v/>
      </c>
      <c r="H5" s="23">
        <f>'[Жовтень.xlsx]25-2'!$AK13</f>
        <v/>
      </c>
      <c r="I5" s="23">
        <f>'[Листопад.xlsx]25-2'!$AF13</f>
        <v/>
      </c>
      <c r="J5" s="23">
        <f>'[Грудень.xlsx]25-2'!$AK13</f>
        <v/>
      </c>
      <c r="K5" s="11">
        <f>IF(COUNTBLANK(F5:J5)&gt;0,"Очікую", IF(F5-SUM(G5:J5)=0,"0", IF(F5-SUM(G5:J5)&lt;0,"Надлишок " &amp; (F5-SUM(G5:J5))*(-1),"Не вистачає " &amp; F5-SUM(G5:J5))))</f>
        <v/>
      </c>
      <c r="L5" s="2" t="n"/>
      <c r="M5" s="28" t="n"/>
    </row>
    <row r="6" ht="15" customFormat="1" customHeight="1" s="1">
      <c r="A6" s="30" t="n"/>
      <c r="B6" s="2" t="n"/>
      <c r="C6" s="9" t="n">
        <v>3</v>
      </c>
      <c r="D6" s="5" t="inlineStr">
        <is>
          <t>Географія</t>
        </is>
      </c>
      <c r="E6" s="7" t="inlineStr">
        <is>
          <t>Наговська Т.С.</t>
        </is>
      </c>
      <c r="F6" s="8" t="n">
        <v>40</v>
      </c>
      <c r="G6" s="24">
        <f>'[Вересень.xlsx]25-2'!$AJ14</f>
        <v/>
      </c>
      <c r="H6" s="24">
        <f>'[Жовтень.xlsx]25-2'!$AK14</f>
        <v/>
      </c>
      <c r="I6" s="24">
        <f>'[Листопад.xlsx]25-2'!$AF14</f>
        <v/>
      </c>
      <c r="J6" s="24">
        <f>'[Грудень.xlsx]25-2'!$AK14</f>
        <v/>
      </c>
      <c r="K6" s="8">
        <f>IF(COUNTBLANK(F6:J6)&gt;0,"Очікую", IF(F6-SUM(G6:J6)=0,"0", IF(F6-SUM(G6:J6)&lt;0,"Надлишок " &amp; (F6-SUM(G6:J6))*(-1),"Не вистачає " &amp; F6-SUM(G6:J6))))</f>
        <v/>
      </c>
      <c r="L6" s="2" t="n"/>
      <c r="M6" s="28" t="n"/>
    </row>
    <row r="7" ht="15" customFormat="1" customHeight="1" s="1">
      <c r="A7" s="30" t="n"/>
      <c r="B7" s="2" t="n"/>
      <c r="C7" s="10" t="n">
        <v>4</v>
      </c>
      <c r="D7" s="12" t="inlineStr">
        <is>
          <t>Зарубіжна література</t>
        </is>
      </c>
      <c r="E7" s="13" t="inlineStr">
        <is>
          <t>Бабенко Л. Е.</t>
        </is>
      </c>
      <c r="F7" s="11" t="n">
        <v>34</v>
      </c>
      <c r="G7" s="23">
        <f>'[Вересень.xlsx]25-2'!$AJ15</f>
        <v/>
      </c>
      <c r="H7" s="23">
        <f>'[Жовтень.xlsx]25-2'!$AK15</f>
        <v/>
      </c>
      <c r="I7" s="23">
        <f>'[Листопад.xlsx]25-2'!$AF15</f>
        <v/>
      </c>
      <c r="J7" s="23">
        <f>'[Грудень.xlsx]25-2'!$AK15</f>
        <v/>
      </c>
      <c r="K7" s="11">
        <f>IF(COUNTBLANK(F7:J7)&gt;0,"Очікую", IF(F7-SUM(G7:J7)=0,"0", IF(F7-SUM(G7:J7)&lt;0,"Надлишок " &amp; (F7-SUM(G7:J7))*(-1),"Не вистачає " &amp; F7-SUM(G7:J7))))</f>
        <v/>
      </c>
      <c r="L7" s="2" t="n"/>
      <c r="M7" s="28" t="n"/>
    </row>
    <row r="8" ht="15" customFormat="1" customHeight="1" s="1">
      <c r="A8" s="30" t="n"/>
      <c r="B8" s="2" t="n"/>
      <c r="C8" s="9" t="n">
        <v>5</v>
      </c>
      <c r="D8" s="5" t="inlineStr">
        <is>
          <t>Захист України</t>
        </is>
      </c>
      <c r="E8" s="7" t="inlineStr">
        <is>
          <t>Лазар В.І.</t>
        </is>
      </c>
      <c r="F8" s="8" t="n">
        <v>34</v>
      </c>
      <c r="G8" s="24">
        <f>'[Вересень.xlsx]25-2'!$AJ16</f>
        <v/>
      </c>
      <c r="H8" s="24">
        <f>'[Жовтень.xlsx]25-2'!$AK16</f>
        <v/>
      </c>
      <c r="I8" s="24">
        <f>'[Листопад.xlsx]25-2'!$AF16</f>
        <v/>
      </c>
      <c r="J8" s="24">
        <f>'[Грудень.xlsx]25-2'!$AK16</f>
        <v/>
      </c>
      <c r="K8" s="8">
        <f>IF(COUNTBLANK(F8:J8)&gt;0,"Очікую", IF(F8-SUM(G8:J8)=0,"0", IF(F8-SUM(G8:J8)&lt;0,"Надлишок " &amp; (F8-SUM(G8:J8))*(-1),"Не вистачає " &amp; F8-SUM(G8:J8))))</f>
        <v/>
      </c>
      <c r="L8" s="2" t="n"/>
      <c r="M8" s="28" t="n"/>
    </row>
    <row r="9" ht="15" customFormat="1" customHeight="1" s="1">
      <c r="A9" s="30" t="n"/>
      <c r="B9" s="2" t="n"/>
      <c r="C9" s="10" t="n">
        <v>6</v>
      </c>
      <c r="D9" s="12" t="inlineStr">
        <is>
          <t>Іноземна мова</t>
        </is>
      </c>
      <c r="E9" s="13" t="inlineStr">
        <is>
          <t>Нічик Н.О.</t>
        </is>
      </c>
      <c r="F9" s="11" t="n">
        <v>34</v>
      </c>
      <c r="G9" s="23">
        <f>'[Вересень.xlsx]25-2'!$AJ17</f>
        <v/>
      </c>
      <c r="H9" s="23">
        <f>'[Жовтень.xlsx]25-2'!$AK17</f>
        <v/>
      </c>
      <c r="I9" s="23">
        <f>'[Листопад.xlsx]25-2'!$AF17</f>
        <v/>
      </c>
      <c r="J9" s="23">
        <f>'[Грудень.xlsx]25-2'!$AK17</f>
        <v/>
      </c>
      <c r="K9" s="11">
        <f>IF(COUNTBLANK(F9:J9)&gt;0,"Очікую", IF(F9-SUM(G9:J9)=0,"0", IF(F9-SUM(G9:J9)&lt;0,"Надлишок " &amp; (F9-SUM(G9:J9))*(-1),"Не вистачає " &amp; F9-SUM(G9:J9))))</f>
        <v/>
      </c>
      <c r="L9" s="2" t="n"/>
      <c r="M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Інформатика</t>
        </is>
      </c>
      <c r="E10" s="6" t="inlineStr">
        <is>
          <t>Андрльє І.О.</t>
        </is>
      </c>
      <c r="F10" s="8" t="n">
        <v>34</v>
      </c>
      <c r="G10" s="25">
        <f>'[Вересень.xlsx]25-2'!$AJ18</f>
        <v/>
      </c>
      <c r="H10" s="25">
        <f>'[Жовтень.xlsx]25-2'!$AK18</f>
        <v/>
      </c>
      <c r="I10" s="25">
        <f>'[Листопад.xlsx]25-2'!$AF18</f>
        <v/>
      </c>
      <c r="J10" s="25">
        <f>'[Грудень.xlsx]25-2'!$AK18</f>
        <v/>
      </c>
      <c r="K10" s="8">
        <f>IF(COUNTBLANK(F10:J10)&gt;0,"Очікую", IF(F10-SUM(G10:J10)=0,"0", IF(F10-SUM(G10:J10)&lt;0,"Надлишок " &amp; (F10-SUM(G10:J10))*(-1),"Не вистачає " &amp; F10-SUM(G10:J10))))</f>
        <v/>
      </c>
      <c r="L10" s="2" t="n"/>
      <c r="M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Історія України</t>
        </is>
      </c>
      <c r="E11" s="13" t="inlineStr">
        <is>
          <t>Левчук Т.Г.</t>
        </is>
      </c>
      <c r="F11" s="11" t="n">
        <v>34</v>
      </c>
      <c r="G11" s="23">
        <f>'[Вересень.xlsx]25-2'!$AJ19</f>
        <v/>
      </c>
      <c r="H11" s="23">
        <f>'[Жовтень.xlsx]25-2'!$AK19</f>
        <v/>
      </c>
      <c r="I11" s="23">
        <f>'[Листопад.xlsx]25-2'!$AF19</f>
        <v/>
      </c>
      <c r="J11" s="23">
        <f>'[Грудень.xlsx]25-2'!$AK19</f>
        <v/>
      </c>
      <c r="K11" s="11">
        <f>IF(COUNTBLANK(F11:J11)&gt;0,"Очікую", IF(F11-SUM(G11:J11)=0,"0", IF(F11-SUM(G11:J11)&lt;0,"Надлишок " &amp; (F11-SUM(G11:J11))*(-1),"Не вистачає " &amp; F11-SUM(G11:J11))))</f>
        <v/>
      </c>
      <c r="L11" s="2" t="n"/>
      <c r="M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Математика</t>
        </is>
      </c>
      <c r="E12" s="6" t="inlineStr">
        <is>
          <t>Бондаренко О.С.</t>
        </is>
      </c>
      <c r="F12" s="8" t="n">
        <v>68</v>
      </c>
      <c r="G12" s="25">
        <f>'[Вересень.xlsx]25-2'!$AJ20</f>
        <v/>
      </c>
      <c r="H12" s="25">
        <f>'[Жовтень.xlsx]25-2'!$AK20</f>
        <v/>
      </c>
      <c r="I12" s="25">
        <f>'[Листопад.xlsx]25-2'!$AF20</f>
        <v/>
      </c>
      <c r="J12" s="25">
        <f>'[Грудень.xlsx]25-2'!$AK20</f>
        <v/>
      </c>
      <c r="K12" s="8">
        <f>IF(COUNTBLANK(F12:J12)&gt;0,"Очікую", IF(F12-SUM(G12:J12)=0,"0", IF(F12-SUM(G12:J12)&lt;0,"Надлишок " &amp; (F12-SUM(G12:J12))*(-1),"Не вистачає " &amp; F12-SUM(G12:J12))))</f>
        <v/>
      </c>
      <c r="L12" s="2" t="n"/>
      <c r="M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Українська література</t>
        </is>
      </c>
      <c r="E13" s="13" t="inlineStr">
        <is>
          <t>Антропова Л.І.</t>
        </is>
      </c>
      <c r="F13" s="11" t="n">
        <v>34</v>
      </c>
      <c r="G13" s="23">
        <f>'[Вересень.xlsx]25-2'!$AJ21</f>
        <v/>
      </c>
      <c r="H13" s="23">
        <f>'[Жовтень.xlsx]25-2'!$AK21</f>
        <v/>
      </c>
      <c r="I13" s="23">
        <f>'[Листопад.xlsx]25-2'!$AF21</f>
        <v/>
      </c>
      <c r="J13" s="23">
        <f>'[Грудень.xlsx]25-2'!$AK21</f>
        <v/>
      </c>
      <c r="K13" s="11">
        <f>IF(COUNTBLANK(F13:J13)&gt;0,"Очікую", IF(F13-SUM(G13:J13)=0,"0", IF(F13-SUM(G13:J13)&lt;0,"Надлишок " &amp; (F13-SUM(G13:J13))*(-1),"Не вистачає " &amp; F13-SUM(G13:J13))))</f>
        <v/>
      </c>
      <c r="L13" s="2" t="n"/>
      <c r="M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мова</t>
        </is>
      </c>
      <c r="E14" s="7" t="inlineStr">
        <is>
          <t>Антропова Л.І.</t>
        </is>
      </c>
      <c r="F14" s="8" t="n">
        <v>34</v>
      </c>
      <c r="G14" s="24">
        <f>'[Вересень.xlsx]25-2'!$AJ22</f>
        <v/>
      </c>
      <c r="H14" s="24">
        <f>'[Жовтень.xlsx]25-2'!$AK22</f>
        <v/>
      </c>
      <c r="I14" s="24">
        <f>'[Листопад.xlsx]25-2'!$AF22</f>
        <v/>
      </c>
      <c r="J14" s="24">
        <f>'[Грудень.xlsx]25-2'!$AK22</f>
        <v/>
      </c>
      <c r="K14" s="8">
        <f>IF(COUNTBLANK(F14:J14)&gt;0,"Очікую", IF(F14-SUM(G14:J14)=0,"0", IF(F14-SUM(G14:J14)&lt;0,"Надлишок " &amp; (F14-SUM(G14:J14))*(-1),"Не вистачає " &amp; F14-SUM(G14:J14))))</f>
        <v/>
      </c>
      <c r="L14" s="2" t="n"/>
      <c r="M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Фізика</t>
        </is>
      </c>
      <c r="E15" s="13" t="inlineStr">
        <is>
          <t>Калюта Н.М.</t>
        </is>
      </c>
      <c r="F15" s="11" t="n">
        <v>68</v>
      </c>
      <c r="G15" s="23">
        <f>'[Вересень.xlsx]25-2'!$AJ23</f>
        <v/>
      </c>
      <c r="H15" s="23">
        <f>'[Жовтень.xlsx]25-2'!$AK23</f>
        <v/>
      </c>
      <c r="I15" s="23">
        <f>'[Листопад.xlsx]25-2'!$AF23</f>
        <v/>
      </c>
      <c r="J15" s="23">
        <f>'[Грудень.xlsx]25-2'!$AK23</f>
        <v/>
      </c>
      <c r="K15" s="11">
        <f>IF(COUNTBLANK(F15:J15)&gt;0,"Очікую", IF(F15-SUM(G15:J15)=0,"0", IF(F15-SUM(G15:J15)&lt;0,"Надлишок " &amp; (F15-SUM(G15:J15))*(-1),"Не вистачає " &amp; F15-SUM(G15:J15))))</f>
        <v/>
      </c>
      <c r="L15" s="2" t="n"/>
      <c r="M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Фізична культура</t>
        </is>
      </c>
      <c r="E16" s="7" t="inlineStr">
        <is>
          <t>Возіян О.Г.</t>
        </is>
      </c>
      <c r="F16" s="8" t="n">
        <v>51</v>
      </c>
      <c r="G16" s="24">
        <f>'[Вересень.xlsx]25-2'!$AJ24</f>
        <v/>
      </c>
      <c r="H16" s="24">
        <f>'[Жовтень.xlsx]25-2'!$AK24</f>
        <v/>
      </c>
      <c r="I16" s="24">
        <f>'[Листопад.xlsx]25-2'!$AF24</f>
        <v/>
      </c>
      <c r="J16" s="24">
        <f>'[Грудень.xlsx]25-2'!$AK24</f>
        <v/>
      </c>
      <c r="K16" s="8">
        <f>IF(COUNTBLANK(F16:J16)&gt;0,"Очікую", IF(F16-SUM(G16:J16)=0,"0", IF(F16-SUM(G16:J16)&lt;0,"Надлишок " &amp; (F16-SUM(G16:J16))*(-1),"Не вистачає " &amp; F16-SUM(G16:J16))))</f>
        <v/>
      </c>
      <c r="L16" s="2" t="n"/>
      <c r="M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Хімія</t>
        </is>
      </c>
      <c r="E17" s="13" t="inlineStr">
        <is>
          <t>Сахно Н.О.</t>
        </is>
      </c>
      <c r="F17" s="11" t="n">
        <v>34</v>
      </c>
      <c r="G17" s="23">
        <f>'[Вересень.xlsx]25-2'!$AJ25</f>
        <v/>
      </c>
      <c r="H17" s="23">
        <f>'[Жовтень.xlsx]25-2'!$AK25</f>
        <v/>
      </c>
      <c r="I17" s="23">
        <f>'[Листопад.xlsx]25-2'!$AF25</f>
        <v/>
      </c>
      <c r="J17" s="23">
        <f>'[Грудень.xlsx]25-2'!$AK25</f>
        <v/>
      </c>
      <c r="K17" s="11">
        <f>IF(COUNTBLANK(F17:J17)&gt;0,"Очікую", IF(F17-SUM(G17:J17)=0,"0", IF(F17-SUM(G17:J17)&lt;0,"Надлишок " &amp; (F17-SUM(G17:J17))*(-1),"Не вистачає " &amp; F17-SUM(G17:J17))))</f>
        <v/>
      </c>
      <c r="L17" s="2" t="n"/>
      <c r="M17" s="28" t="n"/>
    </row>
    <row r="18" ht="15" customFormat="1" customHeight="1" s="1">
      <c r="A18" s="30" t="n"/>
      <c r="B18" s="2" t="n"/>
      <c r="C18" s="33" t="inlineStr">
        <is>
          <t>Всього</t>
        </is>
      </c>
      <c r="D18" s="36" t="n"/>
      <c r="E18" s="37" t="n"/>
      <c r="F18" s="17">
        <f>IF(COUNTBLANK(F4:F17)&gt;0,"Очікую",SUM(F4:F17))</f>
        <v/>
      </c>
      <c r="G18" s="18">
        <f>IF(COUNTBLANK(G4:G17)&gt;0,"Очікую",SUM(G4:G17))</f>
        <v/>
      </c>
      <c r="H18" s="34">
        <f>IF(COUNTBLANK(H4:H17)&gt;0,"Очікую",SUM(H4:H17))</f>
        <v/>
      </c>
      <c r="I18" s="34">
        <f>IF(COUNTBLANK(I4:I17)&gt;0,"Очікую",SUM(I4:I17))</f>
        <v/>
      </c>
      <c r="J18" s="34">
        <f>IF(COUNTBLANK(J4:J17)&gt;0,"Очікую",SUM(J4:J17))</f>
        <v/>
      </c>
      <c r="K18" s="17">
        <f>IF(COUNTIF(F18:J18,"Очікую")&gt;0,"Очікую", IF(F18-SUM(G18:J18)=0,"0", IF(F18-SUM(G18:J18)&lt;0,"Надлишок "&amp;(F18-SUM(G18:J18))*(-1),"Не вистачає "&amp;F18-SUM(G18:J18))))</f>
        <v/>
      </c>
      <c r="L18" s="2" t="n"/>
      <c r="M18" s="28" t="n"/>
    </row>
    <row r="19" ht="15" customFormat="1" customHeight="1" s="1">
      <c r="A19" s="3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8" t="n"/>
    </row>
    <row r="20" ht="15" customFormat="1" customHeight="1" s="1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32" t="n"/>
    </row>
    <row r="21" hidden="1" ht="15" customFormat="1" customHeight="1" s="1"/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8:E18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3.xml><?xml version="1.0" encoding="utf-8"?>
<worksheet xmlns="http://schemas.openxmlformats.org/spreadsheetml/2006/main">
  <sheetPr codeName="Лист2">
    <tabColor rgb="FF0070C0"/>
    <outlinePr summaryBelow="1" summaryRight="1"/>
    <pageSetUpPr fitToPage="1"/>
  </sheetPr>
  <dimension ref="A1:M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2" max="12"/>
    <col width="2.71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Вересень</t>
        </is>
      </c>
      <c r="H3" s="34" t="inlineStr">
        <is>
          <t>Жовтень</t>
        </is>
      </c>
      <c r="I3" s="18" t="inlineStr">
        <is>
          <t>Листопад</t>
        </is>
      </c>
      <c r="J3" s="34" t="inlineStr">
        <is>
          <t>Грудень</t>
        </is>
      </c>
      <c r="K3" s="17" t="inlineStr">
        <is>
          <t>Різниця</t>
        </is>
      </c>
      <c r="L3" s="2" t="n"/>
      <c r="M3" s="28" t="n"/>
    </row>
    <row r="4" ht="15" customFormat="1" customHeight="1" s="1">
      <c r="A4" s="30" t="n"/>
      <c r="B4" s="2" t="n"/>
      <c r="C4" s="9" t="n">
        <v>1</v>
      </c>
      <c r="D4" s="4" t="inlineStr">
        <is>
          <t>Біологія</t>
        </is>
      </c>
      <c r="E4" s="6" t="inlineStr">
        <is>
          <t>Богданенко О.В.</t>
        </is>
      </c>
      <c r="F4" s="8" t="n">
        <v>34</v>
      </c>
      <c r="G4" s="25">
        <f>'[Вересень.xlsx]25-3'!$AJ12</f>
        <v/>
      </c>
      <c r="H4" s="25">
        <f>'[Жовтень.xlsx]25-3'!$AK12</f>
        <v/>
      </c>
      <c r="I4" s="25">
        <f>'[Листопад.xlsx]25-3'!$AF12</f>
        <v/>
      </c>
      <c r="J4" s="25">
        <f>'[Грудень.xlsx]25-3'!$AK12</f>
        <v/>
      </c>
      <c r="K4" s="8">
        <f>IF(COUNTBLANK(F4:J4)&gt;0,"Очікую", IF(F4-SUM(G4:J4)=0,"0", IF(F4-SUM(G4:J4)&lt;0,"Надлишок " &amp; (F4-SUM(G4:J4))*(-1),"Не вистачає " &amp; F4-SUM(G4:J4))))</f>
        <v/>
      </c>
      <c r="L4" s="2" t="n"/>
      <c r="M4" s="28" t="n"/>
    </row>
    <row r="5" ht="15" customFormat="1" customHeight="1" s="1">
      <c r="A5" s="30" t="n"/>
      <c r="B5" s="2" t="n"/>
      <c r="C5" s="10" t="n">
        <v>2</v>
      </c>
      <c r="D5" s="12" t="inlineStr">
        <is>
          <t>Всесвітня історія</t>
        </is>
      </c>
      <c r="E5" s="13" t="inlineStr">
        <is>
          <t>Мельничук С.А.</t>
        </is>
      </c>
      <c r="F5" s="11" t="n">
        <v>34</v>
      </c>
      <c r="G5" s="23">
        <f>'[Вересень.xlsx]25-3'!$AJ13</f>
        <v/>
      </c>
      <c r="H5" s="23">
        <f>'[Жовтень.xlsx]25-3'!$AK13</f>
        <v/>
      </c>
      <c r="I5" s="23">
        <f>'[Листопад.xlsx]25-3'!$AF13</f>
        <v/>
      </c>
      <c r="J5" s="23">
        <f>'[Грудень.xlsx]25-3'!$AK13</f>
        <v/>
      </c>
      <c r="K5" s="11">
        <f>IF(COUNTBLANK(F5:J5)&gt;0,"Очікую", IF(F5-SUM(G5:J5)=0,"0", IF(F5-SUM(G5:J5)&lt;0,"Надлишок " &amp; (F5-SUM(G5:J5))*(-1),"Не вистачає " &amp; F5-SUM(G5:J5))))</f>
        <v/>
      </c>
      <c r="L5" s="2" t="n"/>
      <c r="M5" s="28" t="n"/>
    </row>
    <row r="6" ht="15" customFormat="1" customHeight="1" s="1">
      <c r="A6" s="30" t="n"/>
      <c r="B6" s="2" t="n"/>
      <c r="C6" s="9" t="n">
        <v>3</v>
      </c>
      <c r="D6" s="5" t="inlineStr">
        <is>
          <t>Географія</t>
        </is>
      </c>
      <c r="E6" s="7" t="inlineStr">
        <is>
          <t>Наговська Т.С.</t>
        </is>
      </c>
      <c r="F6" s="8" t="n">
        <v>40</v>
      </c>
      <c r="G6" s="24">
        <f>'[Вересень.xlsx]25-3'!$AJ14</f>
        <v/>
      </c>
      <c r="H6" s="24">
        <f>'[Жовтень.xlsx]25-3'!$AK14</f>
        <v/>
      </c>
      <c r="I6" s="24">
        <f>'[Листопад.xlsx]25-3'!$AF14</f>
        <v/>
      </c>
      <c r="J6" s="24">
        <f>'[Грудень.xlsx]25-3'!$AK14</f>
        <v/>
      </c>
      <c r="K6" s="8">
        <f>IF(COUNTBLANK(F6:J6)&gt;0,"Очікую", IF(F6-SUM(G6:J6)=0,"0", IF(F6-SUM(G6:J6)&lt;0,"Надлишок " &amp; (F6-SUM(G6:J6))*(-1),"Не вистачає " &amp; F6-SUM(G6:J6))))</f>
        <v/>
      </c>
      <c r="L6" s="2" t="n"/>
      <c r="M6" s="28" t="n"/>
    </row>
    <row r="7" ht="15" customFormat="1" customHeight="1" s="1">
      <c r="A7" s="30" t="n"/>
      <c r="B7" s="2" t="n"/>
      <c r="C7" s="10" t="n">
        <v>4</v>
      </c>
      <c r="D7" s="12" t="inlineStr">
        <is>
          <t>Зарубіжна література</t>
        </is>
      </c>
      <c r="E7" s="13" t="inlineStr">
        <is>
          <t>Бабенко Л. Е.</t>
        </is>
      </c>
      <c r="F7" s="11" t="n">
        <v>34</v>
      </c>
      <c r="G7" s="23">
        <f>'[Вересень.xlsx]25-3'!$AJ15</f>
        <v/>
      </c>
      <c r="H7" s="23">
        <f>'[Жовтень.xlsx]25-3'!$AK15</f>
        <v/>
      </c>
      <c r="I7" s="23">
        <f>'[Листопад.xlsx]25-3'!$AF15</f>
        <v/>
      </c>
      <c r="J7" s="23">
        <f>'[Грудень.xlsx]25-3'!$AK15</f>
        <v/>
      </c>
      <c r="K7" s="11">
        <f>IF(COUNTBLANK(F7:J7)&gt;0,"Очікую", IF(F7-SUM(G7:J7)=0,"0", IF(F7-SUM(G7:J7)&lt;0,"Надлишок " &amp; (F7-SUM(G7:J7))*(-1),"Не вистачає " &amp; F7-SUM(G7:J7))))</f>
        <v/>
      </c>
      <c r="L7" s="2" t="n"/>
      <c r="M7" s="28" t="n"/>
    </row>
    <row r="8" ht="15" customFormat="1" customHeight="1" s="1">
      <c r="A8" s="30" t="n"/>
      <c r="B8" s="2" t="n"/>
      <c r="C8" s="9" t="n">
        <v>5</v>
      </c>
      <c r="D8" s="5" t="inlineStr">
        <is>
          <t>Захист України</t>
        </is>
      </c>
      <c r="E8" s="7" t="inlineStr">
        <is>
          <t>Лазар В.І.</t>
        </is>
      </c>
      <c r="F8" s="8" t="n">
        <v>34</v>
      </c>
      <c r="G8" s="24">
        <f>'[Вересень.xlsx]25-3'!$AJ16</f>
        <v/>
      </c>
      <c r="H8" s="24">
        <f>'[Жовтень.xlsx]25-3'!$AK16</f>
        <v/>
      </c>
      <c r="I8" s="24">
        <f>'[Листопад.xlsx]25-3'!$AF16</f>
        <v/>
      </c>
      <c r="J8" s="24">
        <f>'[Грудень.xlsx]25-3'!$AK16</f>
        <v/>
      </c>
      <c r="K8" s="8">
        <f>IF(COUNTBLANK(F8:J8)&gt;0,"Очікую", IF(F8-SUM(G8:J8)=0,"0", IF(F8-SUM(G8:J8)&lt;0,"Надлишок " &amp; (F8-SUM(G8:J8))*(-1),"Не вистачає " &amp; F8-SUM(G8:J8))))</f>
        <v/>
      </c>
      <c r="L8" s="2" t="n"/>
      <c r="M8" s="28" t="n"/>
    </row>
    <row r="9" ht="15" customFormat="1" customHeight="1" s="1">
      <c r="A9" s="30" t="n"/>
      <c r="B9" s="2" t="n"/>
      <c r="C9" s="10" t="n">
        <v>6</v>
      </c>
      <c r="D9" s="12" t="inlineStr">
        <is>
          <t>Іноземна мова</t>
        </is>
      </c>
      <c r="E9" s="13" t="inlineStr">
        <is>
          <t>Нічик Н.О.</t>
        </is>
      </c>
      <c r="F9" s="11" t="n">
        <v>34</v>
      </c>
      <c r="G9" s="23">
        <f>'[Вересень.xlsx]25-3'!$AJ17</f>
        <v/>
      </c>
      <c r="H9" s="23">
        <f>'[Жовтень.xlsx]25-3'!$AK17</f>
        <v/>
      </c>
      <c r="I9" s="23">
        <f>'[Листопад.xlsx]25-3'!$AF17</f>
        <v/>
      </c>
      <c r="J9" s="23">
        <f>'[Грудень.xlsx]25-3'!$AK17</f>
        <v/>
      </c>
      <c r="K9" s="11">
        <f>IF(COUNTBLANK(F9:J9)&gt;0,"Очікую", IF(F9-SUM(G9:J9)=0,"0", IF(F9-SUM(G9:J9)&lt;0,"Надлишок " &amp; (F9-SUM(G9:J9))*(-1),"Не вистачає " &amp; F9-SUM(G9:J9))))</f>
        <v/>
      </c>
      <c r="L9" s="2" t="n"/>
      <c r="M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Інформатика</t>
        </is>
      </c>
      <c r="E10" s="6" t="inlineStr">
        <is>
          <t>Андрльє І.О.</t>
        </is>
      </c>
      <c r="F10" s="8" t="n">
        <v>34</v>
      </c>
      <c r="G10" s="25">
        <f>'[Вересень.xlsx]25-3'!$AJ18</f>
        <v/>
      </c>
      <c r="H10" s="25">
        <f>'[Жовтень.xlsx]25-3'!$AK18</f>
        <v/>
      </c>
      <c r="I10" s="25">
        <f>'[Листопад.xlsx]25-3'!$AF18</f>
        <v/>
      </c>
      <c r="J10" s="25">
        <f>'[Грудень.xlsx]25-3'!$AK18</f>
        <v/>
      </c>
      <c r="K10" s="8">
        <f>IF(COUNTBLANK(F10:J10)&gt;0,"Очікую", IF(F10-SUM(G10:J10)=0,"0", IF(F10-SUM(G10:J10)&lt;0,"Надлишок " &amp; (F10-SUM(G10:J10))*(-1),"Не вистачає " &amp; F10-SUM(G10:J10))))</f>
        <v/>
      </c>
      <c r="L10" s="2" t="n"/>
      <c r="M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Історія України</t>
        </is>
      </c>
      <c r="E11" s="13" t="inlineStr">
        <is>
          <t>Левчук Т.Г.</t>
        </is>
      </c>
      <c r="F11" s="11" t="n">
        <v>34</v>
      </c>
      <c r="G11" s="23">
        <f>'[Вересень.xlsx]25-3'!$AJ19</f>
        <v/>
      </c>
      <c r="H11" s="23">
        <f>'[Жовтень.xlsx]25-3'!$AK19</f>
        <v/>
      </c>
      <c r="I11" s="23">
        <f>'[Листопад.xlsx]25-3'!$AF19</f>
        <v/>
      </c>
      <c r="J11" s="23">
        <f>'[Грудень.xlsx]25-3'!$AK19</f>
        <v/>
      </c>
      <c r="K11" s="11">
        <f>IF(COUNTBLANK(F11:J11)&gt;0,"Очікую", IF(F11-SUM(G11:J11)=0,"0", IF(F11-SUM(G11:J11)&lt;0,"Надлишок " &amp; (F11-SUM(G11:J11))*(-1),"Не вистачає " &amp; F11-SUM(G11:J11))))</f>
        <v/>
      </c>
      <c r="L11" s="2" t="n"/>
      <c r="M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Математика</t>
        </is>
      </c>
      <c r="E12" s="6" t="inlineStr">
        <is>
          <t>Земляна Т.М.</t>
        </is>
      </c>
      <c r="F12" s="8" t="n">
        <v>68</v>
      </c>
      <c r="G12" s="25">
        <f>'[Вересень.xlsx]25-3'!$AJ20</f>
        <v/>
      </c>
      <c r="H12" s="25">
        <f>'[Жовтень.xlsx]25-3'!$AK20</f>
        <v/>
      </c>
      <c r="I12" s="25">
        <f>'[Листопад.xlsx]25-3'!$AF20</f>
        <v/>
      </c>
      <c r="J12" s="25">
        <f>'[Грудень.xlsx]25-3'!$AK20</f>
        <v/>
      </c>
      <c r="K12" s="8">
        <f>IF(COUNTBLANK(F12:J12)&gt;0,"Очікую", IF(F12-SUM(G12:J12)=0,"0", IF(F12-SUM(G12:J12)&lt;0,"Надлишок " &amp; (F12-SUM(G12:J12))*(-1),"Не вистачає " &amp; F12-SUM(G12:J12))))</f>
        <v/>
      </c>
      <c r="L12" s="2" t="n"/>
      <c r="M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Українська література</t>
        </is>
      </c>
      <c r="E13" s="13" t="inlineStr">
        <is>
          <t>Юрченко О.Б.</t>
        </is>
      </c>
      <c r="F13" s="11" t="n">
        <v>34</v>
      </c>
      <c r="G13" s="23">
        <f>'[Вересень.xlsx]25-3'!$AJ21</f>
        <v/>
      </c>
      <c r="H13" s="23">
        <f>'[Жовтень.xlsx]25-3'!$AK21</f>
        <v/>
      </c>
      <c r="I13" s="23">
        <f>'[Листопад.xlsx]25-3'!$AF21</f>
        <v/>
      </c>
      <c r="J13" s="23">
        <f>'[Грудень.xlsx]25-3'!$AK21</f>
        <v/>
      </c>
      <c r="K13" s="11">
        <f>IF(COUNTBLANK(F13:J13)&gt;0,"Очікую", IF(F13-SUM(G13:J13)=0,"0", IF(F13-SUM(G13:J13)&lt;0,"Надлишок " &amp; (F13-SUM(G13:J13))*(-1),"Не вистачає " &amp; F13-SUM(G13:J13))))</f>
        <v/>
      </c>
      <c r="L13" s="2" t="n"/>
      <c r="M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мова</t>
        </is>
      </c>
      <c r="E14" s="7" t="inlineStr">
        <is>
          <t>Юрченко О.Б.</t>
        </is>
      </c>
      <c r="F14" s="8" t="n">
        <v>34</v>
      </c>
      <c r="G14" s="24">
        <f>'[Вересень.xlsx]25-3'!$AJ22</f>
        <v/>
      </c>
      <c r="H14" s="24">
        <f>'[Жовтень.xlsx]25-3'!$AK22</f>
        <v/>
      </c>
      <c r="I14" s="24">
        <f>'[Листопад.xlsx]25-3'!$AF22</f>
        <v/>
      </c>
      <c r="J14" s="24">
        <f>'[Грудень.xlsx]25-3'!$AK22</f>
        <v/>
      </c>
      <c r="K14" s="8">
        <f>IF(COUNTBLANK(F14:J14)&gt;0,"Очікую", IF(F14-SUM(G14:J14)=0,"0", IF(F14-SUM(G14:J14)&lt;0,"Надлишок " &amp; (F14-SUM(G14:J14))*(-1),"Не вистачає " &amp; F14-SUM(G14:J14))))</f>
        <v/>
      </c>
      <c r="L14" s="2" t="n"/>
      <c r="M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Фізика</t>
        </is>
      </c>
      <c r="E15" s="13" t="inlineStr">
        <is>
          <t>Калюта Н.М.</t>
        </is>
      </c>
      <c r="F15" s="11" t="n">
        <v>68</v>
      </c>
      <c r="G15" s="23">
        <f>'[Вересень.xlsx]25-3'!$AJ23</f>
        <v/>
      </c>
      <c r="H15" s="23">
        <f>'[Жовтень.xlsx]25-3'!$AK23</f>
        <v/>
      </c>
      <c r="I15" s="23">
        <f>'[Листопад.xlsx]25-3'!$AF23</f>
        <v/>
      </c>
      <c r="J15" s="23">
        <f>'[Грудень.xlsx]25-3'!$AK23</f>
        <v/>
      </c>
      <c r="K15" s="11">
        <f>IF(COUNTBLANK(F15:J15)&gt;0,"Очікую", IF(F15-SUM(G15:J15)=0,"0", IF(F15-SUM(G15:J15)&lt;0,"Надлишок " &amp; (F15-SUM(G15:J15))*(-1),"Не вистачає " &amp; F15-SUM(G15:J15))))</f>
        <v/>
      </c>
      <c r="L15" s="2" t="n"/>
      <c r="M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Фізична культура</t>
        </is>
      </c>
      <c r="E16" s="7" t="inlineStr">
        <is>
          <t>Галеніна І.С.</t>
        </is>
      </c>
      <c r="F16" s="8" t="n">
        <v>51</v>
      </c>
      <c r="G16" s="24">
        <f>'[Вересень.xlsx]25-3'!$AJ24</f>
        <v/>
      </c>
      <c r="H16" s="24">
        <f>'[Жовтень.xlsx]25-3'!$AK24</f>
        <v/>
      </c>
      <c r="I16" s="24">
        <f>'[Листопад.xlsx]25-3'!$AF24</f>
        <v/>
      </c>
      <c r="J16" s="24">
        <f>'[Грудень.xlsx]25-3'!$AK24</f>
        <v/>
      </c>
      <c r="K16" s="8">
        <f>IF(COUNTBLANK(F16:J16)&gt;0,"Очікую", IF(F16-SUM(G16:J16)=0,"0", IF(F16-SUM(G16:J16)&lt;0,"Надлишок " &amp; (F16-SUM(G16:J16))*(-1),"Не вистачає " &amp; F16-SUM(G16:J16))))</f>
        <v/>
      </c>
      <c r="L16" s="2" t="n"/>
      <c r="M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Хімія</t>
        </is>
      </c>
      <c r="E17" s="13" t="inlineStr">
        <is>
          <t>Сахно Н.О.</t>
        </is>
      </c>
      <c r="F17" s="11" t="n">
        <v>34</v>
      </c>
      <c r="G17" s="23">
        <f>'[Вересень.xlsx]25-3'!$AJ25</f>
        <v/>
      </c>
      <c r="H17" s="23">
        <f>'[Жовтень.xlsx]25-3'!$AK25</f>
        <v/>
      </c>
      <c r="I17" s="23">
        <f>'[Листопад.xlsx]25-3'!$AF25</f>
        <v/>
      </c>
      <c r="J17" s="23">
        <f>'[Грудень.xlsx]25-3'!$AK25</f>
        <v/>
      </c>
      <c r="K17" s="11">
        <f>IF(COUNTBLANK(F17:J17)&gt;0,"Очікую", IF(F17-SUM(G17:J17)=0,"0", IF(F17-SUM(G17:J17)&lt;0,"Надлишок " &amp; (F17-SUM(G17:J17))*(-1),"Не вистачає " &amp; F17-SUM(G17:J17))))</f>
        <v/>
      </c>
      <c r="L17" s="2" t="n"/>
      <c r="M17" s="28" t="n"/>
    </row>
    <row r="18" ht="15" customFormat="1" customHeight="1" s="1">
      <c r="A18" s="30" t="n"/>
      <c r="B18" s="2" t="n"/>
      <c r="C18" s="33" t="inlineStr">
        <is>
          <t>Всього</t>
        </is>
      </c>
      <c r="D18" s="36" t="n"/>
      <c r="E18" s="37" t="n"/>
      <c r="F18" s="17">
        <f>IF(COUNTBLANK(F4:F17)&gt;0,"Очікую",SUM(F4:F17))</f>
        <v/>
      </c>
      <c r="G18" s="18">
        <f>IF(COUNTBLANK(G4:G17)&gt;0,"Очікую",SUM(G4:G17))</f>
        <v/>
      </c>
      <c r="H18" s="34">
        <f>IF(COUNTBLANK(H4:H17)&gt;0,"Очікую",SUM(H4:H17))</f>
        <v/>
      </c>
      <c r="I18" s="34">
        <f>IF(COUNTBLANK(I4:I17)&gt;0,"Очікую",SUM(I4:I17))</f>
        <v/>
      </c>
      <c r="J18" s="34">
        <f>IF(COUNTBLANK(J4:J17)&gt;0,"Очікую",SUM(J4:J17))</f>
        <v/>
      </c>
      <c r="K18" s="17">
        <f>IF(COUNTIF(F18:J18,"Очікую")&gt;0,"Очікую", IF(F18-SUM(G18:J18)=0,"0", IF(F18-SUM(G18:J18)&lt;0,"Надлишок "&amp;(F18-SUM(G18:J18))*(-1),"Не вистачає "&amp;F18-SUM(G18:J18))))</f>
        <v/>
      </c>
      <c r="L18" s="2" t="n"/>
      <c r="M18" s="28" t="n"/>
    </row>
    <row r="19" ht="15" customFormat="1" customHeight="1" s="1">
      <c r="A19" s="3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8" t="n"/>
    </row>
    <row r="20" ht="15" customFormat="1" customHeight="1" s="1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32" t="n"/>
    </row>
    <row r="21" hidden="1" ht="15" customFormat="1" customHeight="1" s="1"/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8:E18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4.xml><?xml version="1.0" encoding="utf-8"?>
<worksheet xmlns="http://schemas.openxmlformats.org/spreadsheetml/2006/main">
  <sheetPr codeName="Лист3">
    <tabColor rgb="FF0070C0"/>
    <outlinePr summaryBelow="1" summaryRight="1"/>
    <pageSetUpPr fitToPage="1"/>
  </sheetPr>
  <dimension ref="A1:M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2" max="12"/>
    <col width="2.71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Вересень</t>
        </is>
      </c>
      <c r="H3" s="34" t="inlineStr">
        <is>
          <t>Жовтень</t>
        </is>
      </c>
      <c r="I3" s="18" t="inlineStr">
        <is>
          <t>Листопад</t>
        </is>
      </c>
      <c r="J3" s="34" t="inlineStr">
        <is>
          <t>Грудень</t>
        </is>
      </c>
      <c r="K3" s="17" t="inlineStr">
        <is>
          <t>Різниця</t>
        </is>
      </c>
      <c r="L3" s="2" t="n"/>
      <c r="M3" s="28" t="n"/>
    </row>
    <row r="4" ht="15" customFormat="1" customHeight="1" s="1">
      <c r="A4" s="30" t="n"/>
      <c r="B4" s="2" t="n"/>
      <c r="C4" s="9" t="n">
        <v>1</v>
      </c>
      <c r="D4" s="4" t="inlineStr">
        <is>
          <t>Біологія</t>
        </is>
      </c>
      <c r="E4" s="6" t="inlineStr">
        <is>
          <t>Богданенко О.В.</t>
        </is>
      </c>
      <c r="F4" s="8" t="n">
        <v>34</v>
      </c>
      <c r="G4" s="25">
        <f>'[Вересень.xlsx]25-4'!$AJ12</f>
        <v/>
      </c>
      <c r="H4" s="25">
        <f>'[Жовтень.xlsx]25-4'!$AK12</f>
        <v/>
      </c>
      <c r="I4" s="25">
        <f>'[Листопад.xlsx]25-4'!$AF12</f>
        <v/>
      </c>
      <c r="J4" s="25">
        <f>'[Грудень.xlsx]25-4'!$AK12</f>
        <v/>
      </c>
      <c r="K4" s="8">
        <f>IF(COUNTBLANK(F4:J4)&gt;0,"Очікую", IF(F4-SUM(G4:J4)=0,"0", IF(F4-SUM(G4:J4)&lt;0,"Надлишок " &amp; (F4-SUM(G4:J4))*(-1),"Не вистачає " &amp; F4-SUM(G4:J4))))</f>
        <v/>
      </c>
      <c r="L4" s="2" t="n"/>
      <c r="M4" s="28" t="n"/>
    </row>
    <row r="5" ht="15" customFormat="1" customHeight="1" s="1">
      <c r="A5" s="30" t="n"/>
      <c r="B5" s="2" t="n"/>
      <c r="C5" s="10" t="n">
        <v>2</v>
      </c>
      <c r="D5" s="12" t="inlineStr">
        <is>
          <t>Всесвітня історія</t>
        </is>
      </c>
      <c r="E5" s="13" t="inlineStr">
        <is>
          <t>Мельничук С.А.</t>
        </is>
      </c>
      <c r="F5" s="11" t="n">
        <v>34</v>
      </c>
      <c r="G5" s="23">
        <f>'[Вересень.xlsx]25-4'!$AJ13</f>
        <v/>
      </c>
      <c r="H5" s="23">
        <f>'[Жовтень.xlsx]25-4'!$AK13</f>
        <v/>
      </c>
      <c r="I5" s="23">
        <f>'[Листопад.xlsx]25-4'!$AF13</f>
        <v/>
      </c>
      <c r="J5" s="23">
        <f>'[Грудень.xlsx]25-4'!$AK13</f>
        <v/>
      </c>
      <c r="K5" s="11">
        <f>IF(COUNTBLANK(F5:J5)&gt;0,"Очікую", IF(F5-SUM(G5:J5)=0,"0", IF(F5-SUM(G5:J5)&lt;0,"Надлишок " &amp; (F5-SUM(G5:J5))*(-1),"Не вистачає " &amp; F5-SUM(G5:J5))))</f>
        <v/>
      </c>
      <c r="L5" s="2" t="n"/>
      <c r="M5" s="28" t="n"/>
    </row>
    <row r="6" ht="15" customFormat="1" customHeight="1" s="1">
      <c r="A6" s="30" t="n"/>
      <c r="B6" s="2" t="n"/>
      <c r="C6" s="9" t="n">
        <v>3</v>
      </c>
      <c r="D6" s="5" t="inlineStr">
        <is>
          <t>Географія</t>
        </is>
      </c>
      <c r="E6" s="7" t="inlineStr">
        <is>
          <t>Наговська Т.С.</t>
        </is>
      </c>
      <c r="F6" s="8" t="n">
        <v>40</v>
      </c>
      <c r="G6" s="24">
        <f>'[Вересень.xlsx]25-4'!$AJ14</f>
        <v/>
      </c>
      <c r="H6" s="24">
        <f>'[Жовтень.xlsx]25-4'!$AK14</f>
        <v/>
      </c>
      <c r="I6" s="24">
        <f>'[Листопад.xlsx]25-4'!$AF14</f>
        <v/>
      </c>
      <c r="J6" s="24">
        <f>'[Грудень.xlsx]25-4'!$AK14</f>
        <v/>
      </c>
      <c r="K6" s="8">
        <f>IF(COUNTBLANK(F6:J6)&gt;0,"Очікую", IF(F6-SUM(G6:J6)=0,"0", IF(F6-SUM(G6:J6)&lt;0,"Надлишок " &amp; (F6-SUM(G6:J6))*(-1),"Не вистачає " &amp; F6-SUM(G6:J6))))</f>
        <v/>
      </c>
      <c r="L6" s="2" t="n"/>
      <c r="M6" s="28" t="n"/>
    </row>
    <row r="7" ht="15" customFormat="1" customHeight="1" s="1">
      <c r="A7" s="30" t="n"/>
      <c r="B7" s="2" t="n"/>
      <c r="C7" s="10" t="n">
        <v>4</v>
      </c>
      <c r="D7" s="12" t="inlineStr">
        <is>
          <t>Зарубіжна література</t>
        </is>
      </c>
      <c r="E7" s="13" t="inlineStr">
        <is>
          <t>Бабенко Л. Е.</t>
        </is>
      </c>
      <c r="F7" s="11" t="n">
        <v>34</v>
      </c>
      <c r="G7" s="23">
        <f>'[Вересень.xlsx]25-4'!$AJ15</f>
        <v/>
      </c>
      <c r="H7" s="23">
        <f>'[Жовтень.xlsx]25-4'!$AK15</f>
        <v/>
      </c>
      <c r="I7" s="23">
        <f>'[Листопад.xlsx]25-4'!$AF15</f>
        <v/>
      </c>
      <c r="J7" s="23">
        <f>'[Грудень.xlsx]25-4'!$AK15</f>
        <v/>
      </c>
      <c r="K7" s="11">
        <f>IF(COUNTBLANK(F7:J7)&gt;0,"Очікую", IF(F7-SUM(G7:J7)=0,"0", IF(F7-SUM(G7:J7)&lt;0,"Надлишок " &amp; (F7-SUM(G7:J7))*(-1),"Не вистачає " &amp; F7-SUM(G7:J7))))</f>
        <v/>
      </c>
      <c r="L7" s="2" t="n"/>
      <c r="M7" s="28" t="n"/>
    </row>
    <row r="8" ht="15" customFormat="1" customHeight="1" s="1">
      <c r="A8" s="30" t="n"/>
      <c r="B8" s="2" t="n"/>
      <c r="C8" s="9" t="n">
        <v>5</v>
      </c>
      <c r="D8" s="5" t="inlineStr">
        <is>
          <t>Захист України</t>
        </is>
      </c>
      <c r="E8" s="7" t="inlineStr">
        <is>
          <t>Лазар В.І.</t>
        </is>
      </c>
      <c r="F8" s="8" t="n">
        <v>34</v>
      </c>
      <c r="G8" s="24">
        <f>'[Вересень.xlsx]25-4'!$AJ16</f>
        <v/>
      </c>
      <c r="H8" s="24">
        <f>'[Жовтень.xlsx]25-4'!$AK16</f>
        <v/>
      </c>
      <c r="I8" s="24">
        <f>'[Листопад.xlsx]25-4'!$AF16</f>
        <v/>
      </c>
      <c r="J8" s="24">
        <f>'[Грудень.xlsx]25-4'!$AK16</f>
        <v/>
      </c>
      <c r="K8" s="8">
        <f>IF(COUNTBLANK(F8:J8)&gt;0,"Очікую", IF(F8-SUM(G8:J8)=0,"0", IF(F8-SUM(G8:J8)&lt;0,"Надлишок " &amp; (F8-SUM(G8:J8))*(-1),"Не вистачає " &amp; F8-SUM(G8:J8))))</f>
        <v/>
      </c>
      <c r="L8" s="2" t="n"/>
      <c r="M8" s="28" t="n"/>
    </row>
    <row r="9" ht="15" customFormat="1" customHeight="1" s="1">
      <c r="A9" s="30" t="n"/>
      <c r="B9" s="2" t="n"/>
      <c r="C9" s="10" t="n">
        <v>6</v>
      </c>
      <c r="D9" s="12" t="inlineStr">
        <is>
          <t>Іноземна мова</t>
        </is>
      </c>
      <c r="E9" s="13" t="inlineStr">
        <is>
          <t>Нічик Н.О.</t>
        </is>
      </c>
      <c r="F9" s="11" t="n">
        <v>34</v>
      </c>
      <c r="G9" s="23">
        <f>'[Вересень.xlsx]25-4'!$AJ17</f>
        <v/>
      </c>
      <c r="H9" s="23">
        <f>'[Жовтень.xlsx]25-4'!$AK17</f>
        <v/>
      </c>
      <c r="I9" s="23">
        <f>'[Листопад.xlsx]25-4'!$AF17</f>
        <v/>
      </c>
      <c r="J9" s="23">
        <f>'[Грудень.xlsx]25-4'!$AK17</f>
        <v/>
      </c>
      <c r="K9" s="11">
        <f>IF(COUNTBLANK(F9:J9)&gt;0,"Очікую", IF(F9-SUM(G9:J9)=0,"0", IF(F9-SUM(G9:J9)&lt;0,"Надлишок " &amp; (F9-SUM(G9:J9))*(-1),"Не вистачає " &amp; F9-SUM(G9:J9))))</f>
        <v/>
      </c>
      <c r="L9" s="2" t="n"/>
      <c r="M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Інформатика</t>
        </is>
      </c>
      <c r="E10" s="6" t="inlineStr">
        <is>
          <t>Андрльє І.О.</t>
        </is>
      </c>
      <c r="F10" s="8" t="n">
        <v>34</v>
      </c>
      <c r="G10" s="25">
        <f>'[Вересень.xlsx]25-4'!$AJ18</f>
        <v/>
      </c>
      <c r="H10" s="25">
        <f>'[Жовтень.xlsx]25-4'!$AK18</f>
        <v/>
      </c>
      <c r="I10" s="25">
        <f>'[Листопад.xlsx]25-4'!$AF18</f>
        <v/>
      </c>
      <c r="J10" s="25">
        <f>'[Грудень.xlsx]25-4'!$AK18</f>
        <v/>
      </c>
      <c r="K10" s="8">
        <f>IF(COUNTBLANK(F10:J10)&gt;0,"Очікую", IF(F10-SUM(G10:J10)=0,"0", IF(F10-SUM(G10:J10)&lt;0,"Надлишок " &amp; (F10-SUM(G10:J10))*(-1),"Не вистачає " &amp; F10-SUM(G10:J10))))</f>
        <v/>
      </c>
      <c r="L10" s="2" t="n"/>
      <c r="M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Історія України</t>
        </is>
      </c>
      <c r="E11" s="13" t="inlineStr">
        <is>
          <t>Левчук Т.Г.</t>
        </is>
      </c>
      <c r="F11" s="11" t="n">
        <v>34</v>
      </c>
      <c r="G11" s="23">
        <f>'[Вересень.xlsx]25-4'!$AJ19</f>
        <v/>
      </c>
      <c r="H11" s="23">
        <f>'[Жовтень.xlsx]25-4'!$AK19</f>
        <v/>
      </c>
      <c r="I11" s="23">
        <f>'[Листопад.xlsx]25-4'!$AF19</f>
        <v/>
      </c>
      <c r="J11" s="23">
        <f>'[Грудень.xlsx]25-4'!$AK19</f>
        <v/>
      </c>
      <c r="K11" s="11">
        <f>IF(COUNTBLANK(F11:J11)&gt;0,"Очікую", IF(F11-SUM(G11:J11)=0,"0", IF(F11-SUM(G11:J11)&lt;0,"Надлишок " &amp; (F11-SUM(G11:J11))*(-1),"Не вистачає " &amp; F11-SUM(G11:J11))))</f>
        <v/>
      </c>
      <c r="L11" s="2" t="n"/>
      <c r="M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Математика</t>
        </is>
      </c>
      <c r="E12" s="6" t="inlineStr">
        <is>
          <t>Земляна Т.М.</t>
        </is>
      </c>
      <c r="F12" s="8" t="n">
        <v>68</v>
      </c>
      <c r="G12" s="25">
        <f>'[Вересень.xlsx]25-4'!$AJ20</f>
        <v/>
      </c>
      <c r="H12" s="25">
        <f>'[Жовтень.xlsx]25-4'!$AK20</f>
        <v/>
      </c>
      <c r="I12" s="25">
        <f>'[Листопад.xlsx]25-4'!$AF20</f>
        <v/>
      </c>
      <c r="J12" s="25">
        <f>'[Грудень.xlsx]25-4'!$AK20</f>
        <v/>
      </c>
      <c r="K12" s="8">
        <f>IF(COUNTBLANK(F12:J12)&gt;0,"Очікую", IF(F12-SUM(G12:J12)=0,"0", IF(F12-SUM(G12:J12)&lt;0,"Надлишок " &amp; (F12-SUM(G12:J12))*(-1),"Не вистачає " &amp; F12-SUM(G12:J12))))</f>
        <v/>
      </c>
      <c r="L12" s="2" t="n"/>
      <c r="M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Українська література</t>
        </is>
      </c>
      <c r="E13" s="13" t="inlineStr">
        <is>
          <t>Антропова Л.І.</t>
        </is>
      </c>
      <c r="F13" s="11" t="n">
        <v>34</v>
      </c>
      <c r="G13" s="23">
        <f>'[Вересень.xlsx]25-4'!$AJ21</f>
        <v/>
      </c>
      <c r="H13" s="23">
        <f>'[Жовтень.xlsx]25-4'!$AK21</f>
        <v/>
      </c>
      <c r="I13" s="23">
        <f>'[Листопад.xlsx]25-4'!$AF21</f>
        <v/>
      </c>
      <c r="J13" s="23">
        <f>'[Грудень.xlsx]25-4'!$AK21</f>
        <v/>
      </c>
      <c r="K13" s="11">
        <f>IF(COUNTBLANK(F13:J13)&gt;0,"Очікую", IF(F13-SUM(G13:J13)=0,"0", IF(F13-SUM(G13:J13)&lt;0,"Надлишок " &amp; (F13-SUM(G13:J13))*(-1),"Не вистачає " &amp; F13-SUM(G13:J13))))</f>
        <v/>
      </c>
      <c r="L13" s="2" t="n"/>
      <c r="M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мова</t>
        </is>
      </c>
      <c r="E14" s="7" t="inlineStr">
        <is>
          <t>Антропова Л.І.</t>
        </is>
      </c>
      <c r="F14" s="8" t="n">
        <v>34</v>
      </c>
      <c r="G14" s="24">
        <f>'[Вересень.xlsx]25-4'!$AJ22</f>
        <v/>
      </c>
      <c r="H14" s="24">
        <f>'[Жовтень.xlsx]25-4'!$AK22</f>
        <v/>
      </c>
      <c r="I14" s="24">
        <f>'[Листопад.xlsx]25-4'!$AF22</f>
        <v/>
      </c>
      <c r="J14" s="24">
        <f>'[Грудень.xlsx]25-4'!$AK22</f>
        <v/>
      </c>
      <c r="K14" s="8">
        <f>IF(COUNTBLANK(F14:J14)&gt;0,"Очікую", IF(F14-SUM(G14:J14)=0,"0", IF(F14-SUM(G14:J14)&lt;0,"Надлишок " &amp; (F14-SUM(G14:J14))*(-1),"Не вистачає " &amp; F14-SUM(G14:J14))))</f>
        <v/>
      </c>
      <c r="L14" s="2" t="n"/>
      <c r="M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Фізика</t>
        </is>
      </c>
      <c r="E15" s="13" t="inlineStr">
        <is>
          <t>Калюта Н.М.</t>
        </is>
      </c>
      <c r="F15" s="11" t="n">
        <v>68</v>
      </c>
      <c r="G15" s="23">
        <f>'[Вересень.xlsx]25-4'!$AJ23</f>
        <v/>
      </c>
      <c r="H15" s="23">
        <f>'[Жовтень.xlsx]25-4'!$AK23</f>
        <v/>
      </c>
      <c r="I15" s="23">
        <f>'[Листопад.xlsx]25-4'!$AF23</f>
        <v/>
      </c>
      <c r="J15" s="23">
        <f>'[Грудень.xlsx]25-4'!$AK23</f>
        <v/>
      </c>
      <c r="K15" s="11">
        <f>IF(COUNTBLANK(F15:J15)&gt;0,"Очікую", IF(F15-SUM(G15:J15)=0,"0", IF(F15-SUM(G15:J15)&lt;0,"Надлишок " &amp; (F15-SUM(G15:J15))*(-1),"Не вистачає " &amp; F15-SUM(G15:J15))))</f>
        <v/>
      </c>
      <c r="L15" s="2" t="n"/>
      <c r="M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Фізична культура</t>
        </is>
      </c>
      <c r="E16" s="7" t="inlineStr">
        <is>
          <t>Галеніна І.С.</t>
        </is>
      </c>
      <c r="F16" s="8" t="n">
        <v>51</v>
      </c>
      <c r="G16" s="24">
        <f>'[Вересень.xlsx]25-4'!$AJ24</f>
        <v/>
      </c>
      <c r="H16" s="24">
        <f>'[Жовтень.xlsx]25-4'!$AK24</f>
        <v/>
      </c>
      <c r="I16" s="24">
        <f>'[Листопад.xlsx]25-4'!$AF24</f>
        <v/>
      </c>
      <c r="J16" s="24">
        <f>'[Грудень.xlsx]25-4'!$AK24</f>
        <v/>
      </c>
      <c r="K16" s="8">
        <f>IF(COUNTBLANK(F16:J16)&gt;0,"Очікую", IF(F16-SUM(G16:J16)=0,"0", IF(F16-SUM(G16:J16)&lt;0,"Надлишок " &amp; (F16-SUM(G16:J16))*(-1),"Не вистачає " &amp; F16-SUM(G16:J16))))</f>
        <v/>
      </c>
      <c r="L16" s="2" t="n"/>
      <c r="M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Хімія</t>
        </is>
      </c>
      <c r="E17" s="13" t="inlineStr">
        <is>
          <t>Пономарьов К.М.</t>
        </is>
      </c>
      <c r="F17" s="11" t="n">
        <v>34</v>
      </c>
      <c r="G17" s="23">
        <f>'[Вересень.xlsx]25-4'!$AJ25</f>
        <v/>
      </c>
      <c r="H17" s="23">
        <f>'[Жовтень.xlsx]25-4'!$AK25</f>
        <v/>
      </c>
      <c r="I17" s="23">
        <f>'[Листопад.xlsx]25-4'!$AF25</f>
        <v/>
      </c>
      <c r="J17" s="23">
        <f>'[Грудень.xlsx]25-4'!$AK25</f>
        <v/>
      </c>
      <c r="K17" s="11">
        <f>IF(COUNTBLANK(F17:J17)&gt;0,"Очікую", IF(F17-SUM(G17:J17)=0,"0", IF(F17-SUM(G17:J17)&lt;0,"Надлишок " &amp; (F17-SUM(G17:J17))*(-1),"Не вистачає " &amp; F17-SUM(G17:J17))))</f>
        <v/>
      </c>
      <c r="L17" s="2" t="n"/>
      <c r="M17" s="28" t="n"/>
    </row>
    <row r="18" ht="15" customFormat="1" customHeight="1" s="1">
      <c r="A18" s="30" t="n"/>
      <c r="B18" s="2" t="n"/>
      <c r="C18" s="33" t="inlineStr">
        <is>
          <t>Всього</t>
        </is>
      </c>
      <c r="D18" s="36" t="n"/>
      <c r="E18" s="37" t="n"/>
      <c r="F18" s="17">
        <f>IF(COUNTBLANK(F4:F17)&gt;0,"Очікую",SUM(F4:F17))</f>
        <v/>
      </c>
      <c r="G18" s="18">
        <f>IF(COUNTBLANK(G4:G17)&gt;0,"Очікую",SUM(G4:G17))</f>
        <v/>
      </c>
      <c r="H18" s="34">
        <f>IF(COUNTBLANK(H4:H17)&gt;0,"Очікую",SUM(H4:H17))</f>
        <v/>
      </c>
      <c r="I18" s="34">
        <f>IF(COUNTBLANK(I4:I17)&gt;0,"Очікую",SUM(I4:I17))</f>
        <v/>
      </c>
      <c r="J18" s="34">
        <f>IF(COUNTBLANK(J4:J17)&gt;0,"Очікую",SUM(J4:J17))</f>
        <v/>
      </c>
      <c r="K18" s="17">
        <f>IF(COUNTIF(F18:J18,"Очікую")&gt;0,"Очікую", IF(F18-SUM(G18:J18)=0,"0", IF(F18-SUM(G18:J18)&lt;0,"Надлишок "&amp;(F18-SUM(G18:J18))*(-1),"Не вистачає "&amp;F18-SUM(G18:J18))))</f>
        <v/>
      </c>
      <c r="L18" s="2" t="n"/>
      <c r="M18" s="28" t="n"/>
    </row>
    <row r="19" ht="15" customFormat="1" customHeight="1" s="1">
      <c r="A19" s="3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8" t="n"/>
    </row>
    <row r="20" ht="15" customFormat="1" customHeight="1" s="1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32" t="n"/>
    </row>
    <row r="21" hidden="1" ht="15" customFormat="1" customHeight="1" s="1"/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8:E18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5.xml><?xml version="1.0" encoding="utf-8"?>
<worksheet xmlns="http://schemas.openxmlformats.org/spreadsheetml/2006/main">
  <sheetPr codeName="Лист4">
    <tabColor rgb="FF0070C0"/>
    <outlinePr summaryBelow="1" summaryRight="1"/>
    <pageSetUpPr fitToPage="1"/>
  </sheetPr>
  <dimension ref="A1:M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2" max="12"/>
    <col width="2.71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Вересень</t>
        </is>
      </c>
      <c r="H3" s="34" t="inlineStr">
        <is>
          <t>Жовтень</t>
        </is>
      </c>
      <c r="I3" s="18" t="inlineStr">
        <is>
          <t>Листопад</t>
        </is>
      </c>
      <c r="J3" s="34" t="inlineStr">
        <is>
          <t>Грудень</t>
        </is>
      </c>
      <c r="K3" s="17" t="inlineStr">
        <is>
          <t>Різниця</t>
        </is>
      </c>
      <c r="L3" s="2" t="n"/>
      <c r="M3" s="28" t="n"/>
    </row>
    <row r="4" ht="15" customFormat="1" customHeight="1" s="1">
      <c r="A4" s="30" t="n"/>
      <c r="B4" s="2" t="n"/>
      <c r="C4" s="9" t="n">
        <v>1</v>
      </c>
      <c r="D4" s="4" t="inlineStr">
        <is>
          <t>Біологія</t>
        </is>
      </c>
      <c r="E4" s="6" t="inlineStr">
        <is>
          <t>Богданенко О.В.</t>
        </is>
      </c>
      <c r="F4" s="8" t="n">
        <v>34</v>
      </c>
      <c r="G4" s="25">
        <f>'[Вересень.xlsx]25-5'!$AJ12</f>
        <v/>
      </c>
      <c r="H4" s="25">
        <f>'[Жовтень.xlsx]25-5'!$AK12</f>
        <v/>
      </c>
      <c r="I4" s="25">
        <f>'[Листопад.xlsx]25-5'!$AF12</f>
        <v/>
      </c>
      <c r="J4" s="25">
        <f>'[Грудень.xlsx]25-5'!$AK12</f>
        <v/>
      </c>
      <c r="K4" s="8">
        <f>IF(COUNTBLANK(F4:J4)&gt;0,"Очікую", IF(F4-SUM(G4:J4)=0,"0", IF(F4-SUM(G4:J4)&lt;0,"Надлишок " &amp; (F4-SUM(G4:J4))*(-1),"Не вистачає " &amp; F4-SUM(G4:J4))))</f>
        <v/>
      </c>
      <c r="L4" s="2" t="n"/>
      <c r="M4" s="28" t="n"/>
    </row>
    <row r="5" ht="15" customFormat="1" customHeight="1" s="1">
      <c r="A5" s="30" t="n"/>
      <c r="B5" s="2" t="n"/>
      <c r="C5" s="10" t="n">
        <v>2</v>
      </c>
      <c r="D5" s="12" t="inlineStr">
        <is>
          <t>Всесвітня історія</t>
        </is>
      </c>
      <c r="E5" s="13" t="inlineStr">
        <is>
          <t>Мельничук С.А.</t>
        </is>
      </c>
      <c r="F5" s="11" t="n">
        <v>34</v>
      </c>
      <c r="G5" s="23">
        <f>'[Вересень.xlsx]25-5'!$AJ13</f>
        <v/>
      </c>
      <c r="H5" s="23">
        <f>'[Жовтень.xlsx]25-5'!$AK13</f>
        <v/>
      </c>
      <c r="I5" s="23">
        <f>'[Листопад.xlsx]25-5'!$AF13</f>
        <v/>
      </c>
      <c r="J5" s="23">
        <f>'[Грудень.xlsx]25-5'!$AK13</f>
        <v/>
      </c>
      <c r="K5" s="11">
        <f>IF(COUNTBLANK(F5:J5)&gt;0,"Очікую", IF(F5-SUM(G5:J5)=0,"0", IF(F5-SUM(G5:J5)&lt;0,"Надлишок " &amp; (F5-SUM(G5:J5))*(-1),"Не вистачає " &amp; F5-SUM(G5:J5))))</f>
        <v/>
      </c>
      <c r="L5" s="2" t="n"/>
      <c r="M5" s="28" t="n"/>
    </row>
    <row r="6" ht="15" customFormat="1" customHeight="1" s="1">
      <c r="A6" s="30" t="n"/>
      <c r="B6" s="2" t="n"/>
      <c r="C6" s="9" t="n">
        <v>3</v>
      </c>
      <c r="D6" s="5" t="inlineStr">
        <is>
          <t>Географія</t>
        </is>
      </c>
      <c r="E6" s="7" t="inlineStr">
        <is>
          <t>Наговська Т.С.</t>
        </is>
      </c>
      <c r="F6" s="8" t="n">
        <v>40</v>
      </c>
      <c r="G6" s="24">
        <f>'[Вересень.xlsx]25-5'!$AJ14</f>
        <v/>
      </c>
      <c r="H6" s="24">
        <f>'[Жовтень.xlsx]25-5'!$AK14</f>
        <v/>
      </c>
      <c r="I6" s="24">
        <f>'[Листопад.xlsx]25-5'!$AF14</f>
        <v/>
      </c>
      <c r="J6" s="24">
        <f>'[Грудень.xlsx]25-5'!$AK14</f>
        <v/>
      </c>
      <c r="K6" s="8">
        <f>IF(COUNTBLANK(F6:J6)&gt;0,"Очікую", IF(F6-SUM(G6:J6)=0,"0", IF(F6-SUM(G6:J6)&lt;0,"Надлишок " &amp; (F6-SUM(G6:J6))*(-1),"Не вистачає " &amp; F6-SUM(G6:J6))))</f>
        <v/>
      </c>
      <c r="L6" s="2" t="n"/>
      <c r="M6" s="28" t="n"/>
    </row>
    <row r="7" ht="15" customFormat="1" customHeight="1" s="1">
      <c r="A7" s="30" t="n"/>
      <c r="B7" s="2" t="n"/>
      <c r="C7" s="10" t="n">
        <v>4</v>
      </c>
      <c r="D7" s="12" t="inlineStr">
        <is>
          <t>Зарубіжна література</t>
        </is>
      </c>
      <c r="E7" s="13" t="inlineStr">
        <is>
          <t>Бабенко Л. Е.</t>
        </is>
      </c>
      <c r="F7" s="11" t="n">
        <v>34</v>
      </c>
      <c r="G7" s="23">
        <f>'[Вересень.xlsx]25-5'!$AJ15</f>
        <v/>
      </c>
      <c r="H7" s="23">
        <f>'[Жовтень.xlsx]25-5'!$AK15</f>
        <v/>
      </c>
      <c r="I7" s="23">
        <f>'[Листопад.xlsx]25-5'!$AF15</f>
        <v/>
      </c>
      <c r="J7" s="23">
        <f>'[Грудень.xlsx]25-5'!$AK15</f>
        <v/>
      </c>
      <c r="K7" s="11">
        <f>IF(COUNTBLANK(F7:J7)&gt;0,"Очікую", IF(F7-SUM(G7:J7)=0,"0", IF(F7-SUM(G7:J7)&lt;0,"Надлишок " &amp; (F7-SUM(G7:J7))*(-1),"Не вистачає " &amp; F7-SUM(G7:J7))))</f>
        <v/>
      </c>
      <c r="L7" s="2" t="n"/>
      <c r="M7" s="28" t="n"/>
    </row>
    <row r="8" ht="15" customFormat="1" customHeight="1" s="1">
      <c r="A8" s="30" t="n"/>
      <c r="B8" s="2" t="n"/>
      <c r="C8" s="9" t="n">
        <v>5</v>
      </c>
      <c r="D8" s="5" t="inlineStr">
        <is>
          <t>Захист України</t>
        </is>
      </c>
      <c r="E8" s="7" t="inlineStr">
        <is>
          <t>Лазар В.І.</t>
        </is>
      </c>
      <c r="F8" s="8" t="n">
        <v>34</v>
      </c>
      <c r="G8" s="24">
        <f>'[Вересень.xlsx]25-5'!$AJ16</f>
        <v/>
      </c>
      <c r="H8" s="24">
        <f>'[Жовтень.xlsx]25-5'!$AK16</f>
        <v/>
      </c>
      <c r="I8" s="24">
        <f>'[Листопад.xlsx]25-5'!$AF16</f>
        <v/>
      </c>
      <c r="J8" s="24">
        <f>'[Грудень.xlsx]25-5'!$AK16</f>
        <v/>
      </c>
      <c r="K8" s="8">
        <f>IF(COUNTBLANK(F8:J8)&gt;0,"Очікую", IF(F8-SUM(G8:J8)=0,"0", IF(F8-SUM(G8:J8)&lt;0,"Надлишок " &amp; (F8-SUM(G8:J8))*(-1),"Не вистачає " &amp; F8-SUM(G8:J8))))</f>
        <v/>
      </c>
      <c r="L8" s="2" t="n"/>
      <c r="M8" s="28" t="n"/>
    </row>
    <row r="9" ht="15" customFormat="1" customHeight="1" s="1">
      <c r="A9" s="30" t="n"/>
      <c r="B9" s="2" t="n"/>
      <c r="C9" s="10" t="n">
        <v>6</v>
      </c>
      <c r="D9" s="12" t="inlineStr">
        <is>
          <t>Іноземна мова</t>
        </is>
      </c>
      <c r="E9" s="13" t="inlineStr">
        <is>
          <t>Нічик Н.О.</t>
        </is>
      </c>
      <c r="F9" s="11" t="n">
        <v>34</v>
      </c>
      <c r="G9" s="23">
        <f>'[Вересень.xlsx]25-5'!$AJ17</f>
        <v/>
      </c>
      <c r="H9" s="23">
        <f>'[Жовтень.xlsx]25-5'!$AK17</f>
        <v/>
      </c>
      <c r="I9" s="23">
        <f>'[Листопад.xlsx]25-5'!$AF17</f>
        <v/>
      </c>
      <c r="J9" s="23">
        <f>'[Грудень.xlsx]25-5'!$AK17</f>
        <v/>
      </c>
      <c r="K9" s="11">
        <f>IF(COUNTBLANK(F9:J9)&gt;0,"Очікую", IF(F9-SUM(G9:J9)=0,"0", IF(F9-SUM(G9:J9)&lt;0,"Надлишок " &amp; (F9-SUM(G9:J9))*(-1),"Не вистачає " &amp; F9-SUM(G9:J9))))</f>
        <v/>
      </c>
      <c r="L9" s="2" t="n"/>
      <c r="M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Інформатика</t>
        </is>
      </c>
      <c r="E10" s="6" t="inlineStr">
        <is>
          <t>Андрльє І.О.</t>
        </is>
      </c>
      <c r="F10" s="8" t="n">
        <v>34</v>
      </c>
      <c r="G10" s="25">
        <f>'[Вересень.xlsx]25-5'!$AJ18</f>
        <v/>
      </c>
      <c r="H10" s="25">
        <f>'[Жовтень.xlsx]25-5'!$AK18</f>
        <v/>
      </c>
      <c r="I10" s="25">
        <f>'[Листопад.xlsx]25-5'!$AF18</f>
        <v/>
      </c>
      <c r="J10" s="25">
        <f>'[Грудень.xlsx]25-5'!$AK18</f>
        <v/>
      </c>
      <c r="K10" s="8">
        <f>IF(COUNTBLANK(F10:J10)&gt;0,"Очікую", IF(F10-SUM(G10:J10)=0,"0", IF(F10-SUM(G10:J10)&lt;0,"Надлишок " &amp; (F10-SUM(G10:J10))*(-1),"Не вистачає " &amp; F10-SUM(G10:J10))))</f>
        <v/>
      </c>
      <c r="L10" s="2" t="n"/>
      <c r="M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Історія України</t>
        </is>
      </c>
      <c r="E11" s="13" t="inlineStr">
        <is>
          <t>Левчук Т.Г.</t>
        </is>
      </c>
      <c r="F11" s="11" t="n">
        <v>34</v>
      </c>
      <c r="G11" s="23">
        <f>'[Вересень.xlsx]25-5'!$AJ19</f>
        <v/>
      </c>
      <c r="H11" s="23">
        <f>'[Жовтень.xlsx]25-5'!$AK19</f>
        <v/>
      </c>
      <c r="I11" s="23">
        <f>'[Листопад.xlsx]25-5'!$AF19</f>
        <v/>
      </c>
      <c r="J11" s="23">
        <f>'[Грудень.xlsx]25-5'!$AK19</f>
        <v/>
      </c>
      <c r="K11" s="11">
        <f>IF(COUNTBLANK(F11:J11)&gt;0,"Очікую", IF(F11-SUM(G11:J11)=0,"0", IF(F11-SUM(G11:J11)&lt;0,"Надлишок " &amp; (F11-SUM(G11:J11))*(-1),"Не вистачає " &amp; F11-SUM(G11:J11))))</f>
        <v/>
      </c>
      <c r="L11" s="2" t="n"/>
      <c r="M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Математика</t>
        </is>
      </c>
      <c r="E12" s="6" t="inlineStr">
        <is>
          <t>Земляна Т.М.</t>
        </is>
      </c>
      <c r="F12" s="8" t="n">
        <v>68</v>
      </c>
      <c r="G12" s="25">
        <f>'[Вересень.xlsx]25-5'!$AJ20</f>
        <v/>
      </c>
      <c r="H12" s="25">
        <f>'[Жовтень.xlsx]25-5'!$AK20</f>
        <v/>
      </c>
      <c r="I12" s="25">
        <f>'[Листопад.xlsx]25-5'!$AF20</f>
        <v/>
      </c>
      <c r="J12" s="25">
        <f>'[Грудень.xlsx]25-5'!$AK20</f>
        <v/>
      </c>
      <c r="K12" s="8">
        <f>IF(COUNTBLANK(F12:J12)&gt;0,"Очікую", IF(F12-SUM(G12:J12)=0,"0", IF(F12-SUM(G12:J12)&lt;0,"Надлишок " &amp; (F12-SUM(G12:J12))*(-1),"Не вистачає " &amp; F12-SUM(G12:J12))))</f>
        <v/>
      </c>
      <c r="L12" s="2" t="n"/>
      <c r="M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Українська література</t>
        </is>
      </c>
      <c r="E13" s="13" t="inlineStr">
        <is>
          <t>Юрченко О.Б.</t>
        </is>
      </c>
      <c r="F13" s="11" t="n">
        <v>34</v>
      </c>
      <c r="G13" s="23">
        <f>'[Вересень.xlsx]25-5'!$AJ21</f>
        <v/>
      </c>
      <c r="H13" s="23">
        <f>'[Жовтень.xlsx]25-5'!$AK21</f>
        <v/>
      </c>
      <c r="I13" s="23">
        <f>'[Листопад.xlsx]25-5'!$AF21</f>
        <v/>
      </c>
      <c r="J13" s="23">
        <f>'[Грудень.xlsx]25-5'!$AK21</f>
        <v/>
      </c>
      <c r="K13" s="11">
        <f>IF(COUNTBLANK(F13:J13)&gt;0,"Очікую", IF(F13-SUM(G13:J13)=0,"0", IF(F13-SUM(G13:J13)&lt;0,"Надлишок " &amp; (F13-SUM(G13:J13))*(-1),"Не вистачає " &amp; F13-SUM(G13:J13))))</f>
        <v/>
      </c>
      <c r="L13" s="2" t="n"/>
      <c r="M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мова</t>
        </is>
      </c>
      <c r="E14" s="7" t="inlineStr">
        <is>
          <t>Юрченко О.Б.</t>
        </is>
      </c>
      <c r="F14" s="8" t="n">
        <v>34</v>
      </c>
      <c r="G14" s="24">
        <f>'[Вересень.xlsx]25-5'!$AJ22</f>
        <v/>
      </c>
      <c r="H14" s="24">
        <f>'[Жовтень.xlsx]25-5'!$AK22</f>
        <v/>
      </c>
      <c r="I14" s="24">
        <f>'[Листопад.xlsx]25-5'!$AF22</f>
        <v/>
      </c>
      <c r="J14" s="24">
        <f>'[Грудень.xlsx]25-5'!$AK22</f>
        <v/>
      </c>
      <c r="K14" s="8">
        <f>IF(COUNTBLANK(F14:J14)&gt;0,"Очікую", IF(F14-SUM(G14:J14)=0,"0", IF(F14-SUM(G14:J14)&lt;0,"Надлишок " &amp; (F14-SUM(G14:J14))*(-1),"Не вистачає " &amp; F14-SUM(G14:J14))))</f>
        <v/>
      </c>
      <c r="L14" s="2" t="n"/>
      <c r="M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Фізика</t>
        </is>
      </c>
      <c r="E15" s="13" t="inlineStr">
        <is>
          <t>Калюта Н.М.</t>
        </is>
      </c>
      <c r="F15" s="11" t="n">
        <v>68</v>
      </c>
      <c r="G15" s="23">
        <f>'[Вересень.xlsx]25-5'!$AJ23</f>
        <v/>
      </c>
      <c r="H15" s="23">
        <f>'[Жовтень.xlsx]25-5'!$AK23</f>
        <v/>
      </c>
      <c r="I15" s="23">
        <f>'[Листопад.xlsx]25-5'!$AF23</f>
        <v/>
      </c>
      <c r="J15" s="23">
        <f>'[Грудень.xlsx]25-5'!$AK23</f>
        <v/>
      </c>
      <c r="K15" s="11">
        <f>IF(COUNTBLANK(F15:J15)&gt;0,"Очікую", IF(F15-SUM(G15:J15)=0,"0", IF(F15-SUM(G15:J15)&lt;0,"Надлишок " &amp; (F15-SUM(G15:J15))*(-1),"Не вистачає " &amp; F15-SUM(G15:J15))))</f>
        <v/>
      </c>
      <c r="L15" s="2" t="n"/>
      <c r="M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Фізична культура</t>
        </is>
      </c>
      <c r="E16" s="7" t="inlineStr">
        <is>
          <t>Галеніна І.С.</t>
        </is>
      </c>
      <c r="F16" s="8" t="n">
        <v>51</v>
      </c>
      <c r="G16" s="24">
        <f>'[Вересень.xlsx]25-5'!$AJ24</f>
        <v/>
      </c>
      <c r="H16" s="24">
        <f>'[Жовтень.xlsx]25-5'!$AK24</f>
        <v/>
      </c>
      <c r="I16" s="24">
        <f>'[Листопад.xlsx]25-5'!$AF24</f>
        <v/>
      </c>
      <c r="J16" s="24">
        <f>'[Грудень.xlsx]25-5'!$AK24</f>
        <v/>
      </c>
      <c r="K16" s="8">
        <f>IF(COUNTBLANK(F16:J16)&gt;0,"Очікую", IF(F16-SUM(G16:J16)=0,"0", IF(F16-SUM(G16:J16)&lt;0,"Надлишок " &amp; (F16-SUM(G16:J16))*(-1),"Не вистачає " &amp; F16-SUM(G16:J16))))</f>
        <v/>
      </c>
      <c r="L16" s="2" t="n"/>
      <c r="M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Хімія</t>
        </is>
      </c>
      <c r="E17" s="13" t="inlineStr">
        <is>
          <t>Пономарьов К.М.</t>
        </is>
      </c>
      <c r="F17" s="11" t="n">
        <v>34</v>
      </c>
      <c r="G17" s="23">
        <f>'[Вересень.xlsx]25-5'!$AJ25</f>
        <v/>
      </c>
      <c r="H17" s="23">
        <f>'[Жовтень.xlsx]25-5'!$AK25</f>
        <v/>
      </c>
      <c r="I17" s="23">
        <f>'[Листопад.xlsx]25-5'!$AF25</f>
        <v/>
      </c>
      <c r="J17" s="23">
        <f>'[Грудень.xlsx]25-5'!$AK25</f>
        <v/>
      </c>
      <c r="K17" s="11">
        <f>IF(COUNTBLANK(F17:J17)&gt;0,"Очікую", IF(F17-SUM(G17:J17)=0,"0", IF(F17-SUM(G17:J17)&lt;0,"Надлишок " &amp; (F17-SUM(G17:J17))*(-1),"Не вистачає " &amp; F17-SUM(G17:J17))))</f>
        <v/>
      </c>
      <c r="L17" s="2" t="n"/>
      <c r="M17" s="28" t="n"/>
    </row>
    <row r="18" ht="15" customFormat="1" customHeight="1" s="1">
      <c r="A18" s="30" t="n"/>
      <c r="B18" s="2" t="n"/>
      <c r="C18" s="33" t="inlineStr">
        <is>
          <t>Всього</t>
        </is>
      </c>
      <c r="D18" s="36" t="n"/>
      <c r="E18" s="37" t="n"/>
      <c r="F18" s="17">
        <f>IF(COUNTBLANK(F4:F17)&gt;0,"Очікую",SUM(F4:F17))</f>
        <v/>
      </c>
      <c r="G18" s="18">
        <f>IF(COUNTBLANK(G4:G17)&gt;0,"Очікую",SUM(G4:G17))</f>
        <v/>
      </c>
      <c r="H18" s="34">
        <f>IF(COUNTBLANK(H4:H17)&gt;0,"Очікую",SUM(H4:H17))</f>
        <v/>
      </c>
      <c r="I18" s="34">
        <f>IF(COUNTBLANK(I4:I17)&gt;0,"Очікую",SUM(I4:I17))</f>
        <v/>
      </c>
      <c r="J18" s="34">
        <f>IF(COUNTBLANK(J4:J17)&gt;0,"Очікую",SUM(J4:J17))</f>
        <v/>
      </c>
      <c r="K18" s="17">
        <f>IF(COUNTIF(F18:J18,"Очікую")&gt;0,"Очікую", IF(F18-SUM(G18:J18)=0,"0", IF(F18-SUM(G18:J18)&lt;0,"Надлишок "&amp;(F18-SUM(G18:J18))*(-1),"Не вистачає "&amp;F18-SUM(G18:J18))))</f>
        <v/>
      </c>
      <c r="L18" s="2" t="n"/>
      <c r="M18" s="28" t="n"/>
    </row>
    <row r="19" ht="15" customFormat="1" customHeight="1" s="1">
      <c r="A19" s="3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8" t="n"/>
    </row>
    <row r="20" ht="15" customFormat="1" customHeight="1" s="1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32" t="n"/>
    </row>
    <row r="21" hidden="1" ht="15" customFormat="1" customHeight="1" s="1"/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8:E18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Computer</dc:creator>
  <dcterms:created xmlns:dcterms="http://purl.org/dc/terms/" xmlns:xsi="http://www.w3.org/2001/XMLSchema-instance" xsi:type="dcterms:W3CDTF">2009-12-09T07:28:47Z</dcterms:created>
  <dcterms:modified xmlns:dcterms="http://purl.org/dc/terms/" xmlns:xsi="http://www.w3.org/2001/XMLSchema-instance" xsi:type="dcterms:W3CDTF">2026-06-18T15:54:39Z</dcterms:modified>
  <cp:lastModifiedBy>Maxim Surkov</cp:lastModifiedBy>
  <cp:lastPrinted>2025-12-13T14:32:58Z</cp:lastPrinted>
</cp:coreProperties>
</file>