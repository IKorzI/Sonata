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796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'25-1'!$C$3:$AJ$29</definedName>
    <definedName name="A1048577" localSheetId="1">#REF!</definedName>
    <definedName name="Ф80" localSheetId="1">#REF!</definedName>
    <definedName name="_xlnm.Print_Area" localSheetId="1">'25-2'!$C$3:$AJ$29</definedName>
    <definedName name="A1048577" localSheetId="2">#REF!</definedName>
    <definedName name="Ф80" localSheetId="2">#REF!</definedName>
    <definedName name="_xlnm.Print_Area" localSheetId="2">'25-3'!$C$3:$AJ$29</definedName>
    <definedName name="A1048577" localSheetId="3">#REF!</definedName>
    <definedName name="Ф80" localSheetId="3">#REF!</definedName>
    <definedName name="_xlnm.Print_Area" localSheetId="3">'25-4'!$C$3:$AJ$29</definedName>
    <definedName name="A1048577" localSheetId="4">#REF!</definedName>
    <definedName name="Ф80" localSheetId="4">#REF!</definedName>
    <definedName name="_xlnm.Print_Area" localSheetId="4">'25-5'!$C$3:$AJ$29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0"/>
  <fonts count="19">
    <font>
      <name val="Arial"/>
      <charset val="204"/>
      <family val="2"/>
      <color theme="1"/>
      <sz val="14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Times New Roman"/>
      <charset val="204"/>
      <family val="1"/>
      <sz val="10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sz val="7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sz val="14"/>
    </font>
    <font>
      <name val="Times New Roman"/>
      <charset val="204"/>
      <family val="1"/>
      <color theme="1"/>
      <sz val="14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BFBFBF"/>
        <bgColor rgb="00BFBFBF"/>
      </patternFill>
    </fill>
  </fills>
  <borders count="15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0" fontId="4" fillId="0" borderId="0"/>
    <xf numFmtId="0" fontId="6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62">
    <xf numFmtId="0" fontId="0" fillId="0" borderId="0" pivotButton="0" quotePrefix="0" xfId="0"/>
    <xf numFmtId="0" fontId="5" fillId="2" borderId="0" applyAlignment="1" pivotButton="0" quotePrefix="0" xfId="1">
      <alignment horizontal="center" vertical="center"/>
    </xf>
    <xf numFmtId="0" fontId="5" fillId="3" borderId="0" applyAlignment="1" pivotButton="0" quotePrefix="0" xfId="1">
      <alignment horizontal="center" vertical="center"/>
    </xf>
    <xf numFmtId="0" fontId="10" fillId="2" borderId="0" applyAlignment="1" applyProtection="1" pivotButton="0" quotePrefix="0" xfId="8">
      <alignment horizontal="center" vertical="center"/>
      <protection locked="1" hidden="1"/>
    </xf>
    <xf numFmtId="0" fontId="7" fillId="5" borderId="0" applyAlignment="1" pivotButton="0" quotePrefix="0" xfId="2">
      <alignment vertical="center"/>
    </xf>
    <xf numFmtId="0" fontId="5" fillId="5" borderId="0" applyAlignment="1" pivotButton="0" quotePrefix="0" xfId="1">
      <alignment vertical="center"/>
    </xf>
    <xf numFmtId="0" fontId="5" fillId="5" borderId="0" applyAlignment="1" pivotButton="0" quotePrefix="0" xfId="1">
      <alignment horizontal="center" vertical="center"/>
    </xf>
    <xf numFmtId="0" fontId="9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5" fillId="5" borderId="5" applyAlignment="1" pivotButton="0" quotePrefix="0" xfId="1">
      <alignment horizontal="center" vertical="center"/>
    </xf>
    <xf numFmtId="0" fontId="11" fillId="5" borderId="0" applyAlignment="1" pivotButton="0" quotePrefix="0" xfId="1">
      <alignment horizontal="center" vertical="center"/>
    </xf>
    <xf numFmtId="0" fontId="10" fillId="4" borderId="0" applyAlignment="1" applyProtection="1" pivotButton="0" quotePrefix="0" xfId="8">
      <alignment horizontal="center" vertical="center"/>
      <protection locked="1" hidden="1"/>
    </xf>
    <xf numFmtId="0" fontId="13" fillId="4" borderId="0" applyAlignment="1" applyProtection="1" pivotButton="0" quotePrefix="0" xfId="8">
      <alignment horizontal="center" vertical="center"/>
      <protection locked="1" hidden="1"/>
    </xf>
    <xf numFmtId="0" fontId="5" fillId="4" borderId="0" applyAlignment="1" pivotButton="0" quotePrefix="0" xfId="1">
      <alignment horizontal="center" vertical="center"/>
    </xf>
    <xf numFmtId="0" fontId="5" fillId="4" borderId="6" applyAlignment="1" pivotButton="0" quotePrefix="0" xfId="1">
      <alignment vertical="center"/>
    </xf>
    <xf numFmtId="0" fontId="5" fillId="4" borderId="2" applyAlignment="1" pivotButton="0" quotePrefix="0" xfId="1">
      <alignment vertical="center"/>
    </xf>
    <xf numFmtId="0" fontId="14" fillId="4" borderId="1" applyAlignment="1" applyProtection="1" pivotButton="0" quotePrefix="0" xfId="8">
      <alignment vertical="top" wrapText="1"/>
      <protection locked="1" hidden="1"/>
    </xf>
    <xf numFmtId="0" fontId="5" fillId="4" borderId="3" applyAlignment="1" pivotButton="0" quotePrefix="0" xfId="1">
      <alignment vertical="center"/>
    </xf>
    <xf numFmtId="0" fontId="7" fillId="3" borderId="0" applyAlignment="1" pivotButton="0" quotePrefix="0" xfId="32">
      <alignment vertical="center"/>
    </xf>
    <xf numFmtId="0" fontId="15" fillId="3" borderId="0" applyAlignment="1" pivotButton="0" quotePrefix="0" xfId="32">
      <alignment horizontal="center" vertical="center"/>
    </xf>
    <xf numFmtId="0" fontId="10" fillId="3" borderId="0" applyAlignment="1" pivotButton="0" quotePrefix="0" xfId="32">
      <alignment horizontal="center" vertical="center" wrapText="1"/>
    </xf>
    <xf numFmtId="0" fontId="16" fillId="3" borderId="4" applyAlignment="1" pivotButton="0" quotePrefix="0" xfId="32">
      <alignment horizontal="center" vertical="center" wrapText="1"/>
    </xf>
    <xf numFmtId="0" fontId="17" fillId="3" borderId="5" applyAlignment="1" pivotButton="0" quotePrefix="0" xfId="32">
      <alignment horizontal="center" vertical="center"/>
    </xf>
    <xf numFmtId="0" fontId="17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center" vertical="center"/>
    </xf>
    <xf numFmtId="0" fontId="15" fillId="3" borderId="5" applyAlignment="1" pivotButton="0" quotePrefix="0" xfId="32">
      <alignment vertical="center" wrapText="1"/>
    </xf>
    <xf numFmtId="2" fontId="15" fillId="3" borderId="5" applyAlignment="1" pivotButton="0" quotePrefix="0" xfId="32">
      <alignment horizontal="center" vertical="center"/>
    </xf>
    <xf numFmtId="2" fontId="17" fillId="3" borderId="5" applyAlignment="1" pivotButton="0" quotePrefix="0" xfId="32">
      <alignment horizontal="center" vertical="center" wrapText="1"/>
    </xf>
    <xf numFmtId="0" fontId="18" fillId="3" borderId="5" applyAlignment="1" pivotButton="0" quotePrefix="0" xfId="32">
      <alignment vertical="center"/>
    </xf>
    <xf numFmtId="2" fontId="18" fillId="3" borderId="5" applyAlignment="1" pivotButton="0" quotePrefix="0" xfId="32">
      <alignment horizontal="center" vertical="center"/>
    </xf>
    <xf numFmtId="2" fontId="15" fillId="3" borderId="5" applyAlignment="1" pivotButton="0" quotePrefix="0" xfId="32">
      <alignment horizontal="center" vertical="center" wrapText="1"/>
    </xf>
    <xf numFmtId="0" fontId="15" fillId="3" borderId="5" applyAlignment="1" pivotButton="0" quotePrefix="0" xfId="32">
      <alignment horizontal="left" vertical="center"/>
    </xf>
    <xf numFmtId="0" fontId="15" fillId="3" borderId="0" applyAlignment="1" pivotButton="0" quotePrefix="0" xfId="32">
      <alignment vertical="center"/>
    </xf>
    <xf numFmtId="2" fontId="7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left" vertical="center" wrapText="1"/>
    </xf>
    <xf numFmtId="2" fontId="7" fillId="3" borderId="0" applyAlignment="1" pivotButton="0" quotePrefix="0" xfId="32">
      <alignment vertical="center"/>
    </xf>
    <xf numFmtId="0" fontId="5" fillId="5" borderId="5" applyAlignment="1" pivotButton="0" quotePrefix="0" xfId="4">
      <alignment vertical="center" wrapText="1"/>
    </xf>
    <xf numFmtId="0" fontId="5" fillId="5" borderId="5" applyAlignment="1" pivotButton="0" quotePrefix="0" xfId="0">
      <alignment horizontal="center" vertical="center"/>
    </xf>
    <xf numFmtId="0" fontId="5" fillId="5" borderId="5" applyAlignment="1" pivotButton="0" quotePrefix="0" xfId="4">
      <alignment vertical="center"/>
    </xf>
    <xf numFmtId="0" fontId="10" fillId="5" borderId="0" applyAlignment="1" pivotButton="0" quotePrefix="0" xfId="1">
      <alignment horizontal="center" vertical="center"/>
    </xf>
    <xf numFmtId="0" fontId="5" fillId="5" borderId="4" applyAlignment="1" pivotButton="0" quotePrefix="0" xfId="1">
      <alignment horizontal="center" vertical="center"/>
    </xf>
    <xf numFmtId="0" fontId="5" fillId="5" borderId="0" applyAlignment="1" pivotButton="0" quotePrefix="0" xfId="3">
      <alignment horizontal="center" vertical="center"/>
    </xf>
    <xf numFmtId="0" fontId="5" fillId="5" borderId="0" applyAlignment="1" pivotButton="0" quotePrefix="0" xfId="3">
      <alignment horizontal="center" vertical="top" wrapText="1"/>
    </xf>
    <xf numFmtId="0" fontId="9" fillId="5" borderId="0" applyAlignment="1" pivotButton="0" quotePrefix="0" xfId="1">
      <alignment horizontal="center" vertical="center"/>
    </xf>
    <xf numFmtId="0" fontId="5" fillId="5" borderId="0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/>
    </xf>
    <xf numFmtId="0" fontId="5" fillId="5" borderId="5" applyAlignment="1" pivotButton="0" quotePrefix="0" xfId="1">
      <alignment horizontal="center" vertical="center" wrapText="1"/>
    </xf>
    <xf numFmtId="0" fontId="14" fillId="4" borderId="1" applyAlignment="1" applyProtection="1" pivotButton="0" quotePrefix="0" xfId="8">
      <alignment horizontal="left" vertical="top" wrapText="1"/>
      <protection locked="1" hidden="1"/>
    </xf>
    <xf numFmtId="0" fontId="5" fillId="4" borderId="2" applyAlignment="1" pivotButton="0" quotePrefix="0" xfId="1">
      <alignment horizontal="center" vertical="center"/>
    </xf>
    <xf numFmtId="0" fontId="5" fillId="4" borderId="3" applyAlignment="1" pivotButton="0" quotePrefix="0" xfId="1">
      <alignment horizontal="center" vertical="center"/>
    </xf>
    <xf numFmtId="0" fontId="15" fillId="3" borderId="0" applyAlignment="1" pivotButton="0" quotePrefix="0" xfId="32">
      <alignment horizontal="center" vertical="center"/>
    </xf>
    <xf numFmtId="0" fontId="15" fillId="3" borderId="0" applyAlignment="1" pivotButton="0" quotePrefix="0" xfId="32">
      <alignment horizontal="center" vertical="top" wrapText="1"/>
    </xf>
    <xf numFmtId="0" fontId="16" fillId="3" borderId="0" applyAlignment="1" pivotButton="0" quotePrefix="0" xfId="32">
      <alignment horizontal="center" vertical="center" wrapText="1"/>
    </xf>
    <xf numFmtId="0" fontId="17" fillId="3" borderId="7" applyAlignment="1" pivotButton="0" quotePrefix="0" xfId="32">
      <alignment horizontal="center" vertical="center"/>
    </xf>
    <xf numFmtId="0" fontId="17" fillId="3" borderId="8" applyAlignment="1" pivotButton="0" quotePrefix="0" xfId="32">
      <alignment horizontal="center" vertical="center"/>
    </xf>
    <xf numFmtId="0" fontId="17" fillId="3" borderId="9" applyAlignment="1" pivotButton="0" quotePrefix="0" xfId="32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4" pivotButton="0" quotePrefix="0" xfId="0"/>
    <xf numFmtId="0" fontId="5" fillId="6" borderId="5" applyAlignment="1" pivotButton="0" quotePrefix="0" xfId="0">
      <alignment horizontal="center" vertical="center"/>
    </xf>
  </cellXfs>
  <cellStyles count="33">
    <cellStyle name="Обычный" xfId="0" builtinId="0"/>
    <cellStyle name="Обычный 14" xfId="1"/>
    <cellStyle name="Обычный 13 2 2" xfId="2"/>
    <cellStyle name="Обычный 2" xfId="3"/>
    <cellStyle name="Обычный 2 6" xfId="4"/>
    <cellStyle name="Обычный 10" xfId="5"/>
    <cellStyle name="Обычный 10 2" xfId="6"/>
    <cellStyle name="Обычный 11" xfId="7"/>
    <cellStyle name="Обычный 11 2" xfId="8"/>
    <cellStyle name="Обычный 12" xfId="9"/>
    <cellStyle name="Обычный 13" xfId="10"/>
    <cellStyle name="Обычный 13 2" xfId="11"/>
    <cellStyle name="Обычный 2 2" xfId="12"/>
    <cellStyle name="Обычный 2 3" xfId="13"/>
    <cellStyle name="Обычный 2 3 2" xfId="14"/>
    <cellStyle name="Обычный 2 4" xfId="15"/>
    <cellStyle name="Обычный 2 4 2" xfId="16"/>
    <cellStyle name="Обычный 2 5" xfId="17"/>
    <cellStyle name="Обычный 3" xfId="18"/>
    <cellStyle name="Обычный 3 2" xfId="19"/>
    <cellStyle name="Обычный 4" xfId="20"/>
    <cellStyle name="Обычный 4 2" xfId="21"/>
    <cellStyle name="Обычный 5" xfId="22"/>
    <cellStyle name="Обычный 6" xfId="23"/>
    <cellStyle name="Обычный 7" xfId="24"/>
    <cellStyle name="Обычный 8" xfId="25"/>
    <cellStyle name="Обычный 8 2" xfId="26"/>
    <cellStyle name="Обычный 9" xfId="27"/>
    <cellStyle name="Обычный 9 2" xfId="28"/>
    <cellStyle name="Обычный 13 2 2 2" xfId="29"/>
    <cellStyle name="Обычный 13 2 2 3" xfId="30"/>
    <cellStyle name="Обычный 13 2 2 4" xfId="31"/>
    <cellStyle name="Обычный 13 2 2 3 2" xfId="3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M31"/>
  <sheetViews>
    <sheetView tabSelected="1"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6" max="36"/>
    <col width="5.55" customWidth="1" style="2" min="37" max="37"/>
    <col width="1.5" customWidth="1" style="2" min="38" max="38"/>
    <col width="1.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4" t="n"/>
      <c r="AM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5" t="n"/>
      <c r="AK4" s="45" t="n"/>
      <c r="AL4" s="4" t="n"/>
      <c r="AM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L5" s="4" t="n"/>
      <c r="AM5" s="17" t="n"/>
    </row>
    <row r="6" ht="15" customHeight="1">
      <c r="A6" s="15" t="n"/>
      <c r="B6" s="4" t="n"/>
      <c r="C6" s="45" t="inlineStr">
        <is>
          <t xml:space="preserve"> </t>
        </is>
      </c>
      <c r="AL6" s="4" t="n"/>
      <c r="AM6" s="17" t="n"/>
    </row>
    <row r="7" ht="15" customHeight="1">
      <c r="A7" s="15" t="n"/>
      <c r="B7" s="4" t="n"/>
      <c r="C7" s="44" t="inlineStr">
        <is>
          <t>за вересень 2025 р.</t>
        </is>
      </c>
      <c r="AL7" s="4" t="n"/>
      <c r="AM7" s="17" t="n"/>
    </row>
    <row r="8" ht="15" customHeight="1">
      <c r="A8" s="15" t="n"/>
      <c r="B8" s="4" t="n"/>
      <c r="C8" s="40" t="inlineStr">
        <is>
          <t>Спеціальнiсть 1 курс І група 25-1</t>
        </is>
      </c>
      <c r="AL8" s="4" t="n"/>
      <c r="AM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4" t="n"/>
      <c r="AM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9" t="n"/>
      <c r="AJ10" s="47" t="inlineStr">
        <is>
          <t>Дано годин</t>
        </is>
      </c>
      <c r="AK10" s="46" t="inlineStr">
        <is>
          <t>Примітка</t>
        </is>
      </c>
      <c r="AL10" s="4" t="n"/>
      <c r="AM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46" t="n">
        <v>27</v>
      </c>
      <c r="AG11" s="46" t="n">
        <v>28</v>
      </c>
      <c r="AH11" s="46" t="n">
        <v>29</v>
      </c>
      <c r="AI11" s="46" t="n">
        <v>30</v>
      </c>
      <c r="AJ11" s="60" t="n"/>
      <c r="AK11" s="60" t="n"/>
      <c r="AL11" s="4" t="n"/>
      <c r="AM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/>
      <c r="J12" s="38" t="n">
        <v>2</v>
      </c>
      <c r="K12" s="61" t="n"/>
      <c r="L12" s="61" t="n"/>
      <c r="M12" s="38" t="n"/>
      <c r="N12" s="38" t="n"/>
      <c r="O12" s="38" t="n"/>
      <c r="P12" s="38" t="n"/>
      <c r="Q12" s="38" t="n">
        <v>2</v>
      </c>
      <c r="R12" s="61" t="n"/>
      <c r="S12" s="61" t="n"/>
      <c r="T12" s="38" t="n"/>
      <c r="U12" s="38" t="n"/>
      <c r="V12" s="38" t="n"/>
      <c r="W12" s="38" t="n"/>
      <c r="X12" s="38" t="n">
        <v>2</v>
      </c>
      <c r="Y12" s="61" t="n"/>
      <c r="Z12" s="61" t="n"/>
      <c r="AA12" s="38" t="n"/>
      <c r="AB12" s="38" t="n"/>
      <c r="AC12" s="38" t="n"/>
      <c r="AD12" s="38" t="n"/>
      <c r="AE12" s="38" t="n">
        <v>2</v>
      </c>
      <c r="AF12" s="61" t="n"/>
      <c r="AG12" s="61" t="n"/>
      <c r="AH12" s="38" t="n"/>
      <c r="AI12" s="38" t="n"/>
      <c r="AJ12" s="46">
        <f>IF(SUM(F12:AI12)=0,"Очікую",SUM(F12:AI12))</f>
        <v/>
      </c>
      <c r="AK12" s="46" t="n"/>
      <c r="AL12" s="4" t="n"/>
      <c r="AM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61" t="n"/>
      <c r="Z13" s="61" t="n"/>
      <c r="AA13" s="38" t="n">
        <v>2</v>
      </c>
      <c r="AB13" s="38" t="n"/>
      <c r="AC13" s="38" t="n"/>
      <c r="AD13" s="38" t="n"/>
      <c r="AE13" s="38" t="n"/>
      <c r="AF13" s="61" t="n"/>
      <c r="AG13" s="61" t="n"/>
      <c r="AH13" s="38" t="n">
        <v>2</v>
      </c>
      <c r="AI13" s="38" t="n"/>
      <c r="AJ13" s="46">
        <f>IF(SUM(F13:AI13)=0,"Очікую",SUM(F13:AI13))</f>
        <v/>
      </c>
      <c r="AK13" s="46" t="n"/>
      <c r="AL13" s="4" t="n"/>
      <c r="AM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/>
      <c r="G14" s="38" t="n"/>
      <c r="H14" s="38" t="n">
        <v>2</v>
      </c>
      <c r="I14" s="38" t="n"/>
      <c r="J14" s="38" t="n"/>
      <c r="K14" s="61" t="n"/>
      <c r="L14" s="61" t="n"/>
      <c r="M14" s="38" t="n"/>
      <c r="N14" s="38" t="n"/>
      <c r="O14" s="38" t="n">
        <v>2</v>
      </c>
      <c r="P14" s="38" t="n"/>
      <c r="Q14" s="38" t="n"/>
      <c r="R14" s="61" t="n"/>
      <c r="S14" s="61" t="n"/>
      <c r="T14" s="38" t="n"/>
      <c r="U14" s="38" t="n"/>
      <c r="V14" s="38" t="n">
        <v>2</v>
      </c>
      <c r="W14" s="38" t="n"/>
      <c r="X14" s="38" t="n"/>
      <c r="Y14" s="61" t="n"/>
      <c r="Z14" s="61" t="n"/>
      <c r="AA14" s="38" t="n"/>
      <c r="AB14" s="38" t="n"/>
      <c r="AC14" s="38" t="n">
        <v>2</v>
      </c>
      <c r="AD14" s="38" t="n"/>
      <c r="AE14" s="38" t="n"/>
      <c r="AF14" s="61" t="n"/>
      <c r="AG14" s="61" t="n"/>
      <c r="AH14" s="38" t="n"/>
      <c r="AI14" s="38" t="n"/>
      <c r="AJ14" s="46">
        <f>IF(SUM(F14:AI14)=0,"Очікую",SUM(F14:AI14))</f>
        <v/>
      </c>
      <c r="AK14" s="46" t="n"/>
      <c r="AL14" s="4" t="n"/>
      <c r="AM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/>
      <c r="Q15" s="38" t="n"/>
      <c r="R15" s="61" t="n"/>
      <c r="S15" s="61" t="n"/>
      <c r="T15" s="38" t="n"/>
      <c r="U15" s="38" t="n"/>
      <c r="V15" s="38" t="n"/>
      <c r="W15" s="38" t="n"/>
      <c r="X15" s="38" t="n"/>
      <c r="Y15" s="61" t="n"/>
      <c r="Z15" s="61" t="n"/>
      <c r="AA15" s="38" t="n"/>
      <c r="AB15" s="38" t="n"/>
      <c r="AC15" s="38" t="n"/>
      <c r="AD15" s="38" t="n"/>
      <c r="AE15" s="38" t="n"/>
      <c r="AF15" s="61" t="n"/>
      <c r="AG15" s="61" t="n"/>
      <c r="AH15" s="38" t="n"/>
      <c r="AI15" s="38" t="n"/>
      <c r="AJ15" s="46">
        <f>IF(SUM(F15:AI15)=0,"Очікую",SUM(F15:AI15))</f>
        <v/>
      </c>
      <c r="AK15" s="46" t="n"/>
      <c r="AL15" s="4" t="n"/>
      <c r="AM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>
        <v>2</v>
      </c>
      <c r="I16" s="38" t="n"/>
      <c r="J16" s="38" t="n"/>
      <c r="K16" s="61" t="n"/>
      <c r="L16" s="61" t="n"/>
      <c r="M16" s="38" t="n"/>
      <c r="N16" s="38" t="n"/>
      <c r="O16" s="38" t="n">
        <v>2</v>
      </c>
      <c r="P16" s="38" t="n"/>
      <c r="Q16" s="38" t="n"/>
      <c r="R16" s="61" t="n"/>
      <c r="S16" s="61" t="n"/>
      <c r="T16" s="38" t="n"/>
      <c r="U16" s="38" t="n"/>
      <c r="V16" s="38" t="n">
        <v>2</v>
      </c>
      <c r="W16" s="38" t="n"/>
      <c r="X16" s="38" t="n"/>
      <c r="Y16" s="61" t="n"/>
      <c r="Z16" s="61" t="n"/>
      <c r="AA16" s="38" t="n"/>
      <c r="AB16" s="38" t="n"/>
      <c r="AC16" s="38" t="n">
        <v>2</v>
      </c>
      <c r="AD16" s="38" t="n"/>
      <c r="AE16" s="38" t="n"/>
      <c r="AF16" s="61" t="n"/>
      <c r="AG16" s="61" t="n"/>
      <c r="AH16" s="38" t="n"/>
      <c r="AI16" s="38" t="n"/>
      <c r="AJ16" s="46">
        <f>IF(SUM(F16:AI16)=0,"Очікую",SUM(F16:AI16))</f>
        <v/>
      </c>
      <c r="AK16" s="46" t="n"/>
      <c r="AL16" s="4" t="n"/>
      <c r="AM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61" t="n"/>
      <c r="AG17" s="61" t="n"/>
      <c r="AH17" s="38" t="n"/>
      <c r="AI17" s="38" t="n"/>
      <c r="AJ17" s="46">
        <f>IF(SUM(F17:AI17)=0,"Очікую",SUM(F17:AI17))</f>
        <v/>
      </c>
      <c r="AK17" s="46" t="n"/>
      <c r="AL17" s="4" t="n"/>
      <c r="AM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/>
      <c r="G18" s="38" t="n"/>
      <c r="H18" s="38" t="n"/>
      <c r="I18" s="38" t="n">
        <v>2</v>
      </c>
      <c r="J18" s="38" t="n"/>
      <c r="K18" s="61" t="n"/>
      <c r="L18" s="61" t="n"/>
      <c r="M18" s="38" t="n"/>
      <c r="N18" s="38" t="n"/>
      <c r="O18" s="38" t="n"/>
      <c r="P18" s="38" t="n">
        <v>2</v>
      </c>
      <c r="Q18" s="38" t="n"/>
      <c r="R18" s="61" t="n"/>
      <c r="S18" s="61" t="n"/>
      <c r="T18" s="38" t="n"/>
      <c r="U18" s="38" t="n"/>
      <c r="V18" s="38" t="n"/>
      <c r="W18" s="38" t="n">
        <v>2</v>
      </c>
      <c r="X18" s="38" t="n"/>
      <c r="Y18" s="61" t="n"/>
      <c r="Z18" s="61" t="n"/>
      <c r="AA18" s="38" t="n"/>
      <c r="AB18" s="38" t="n"/>
      <c r="AC18" s="38" t="n"/>
      <c r="AD18" s="38" t="n">
        <v>2</v>
      </c>
      <c r="AE18" s="38" t="n"/>
      <c r="AF18" s="61" t="n"/>
      <c r="AG18" s="61" t="n"/>
      <c r="AH18" s="38" t="n"/>
      <c r="AI18" s="38" t="n"/>
      <c r="AJ18" s="46">
        <f>IF(SUM(F18:AI18)=0,"Очікую",SUM(F18:AI18))</f>
        <v/>
      </c>
      <c r="AK18" s="46" t="n"/>
      <c r="AL18" s="4" t="n"/>
      <c r="AM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61" t="n"/>
      <c r="Z19" s="61" t="n"/>
      <c r="AA19" s="38" t="n"/>
      <c r="AB19" s="38" t="n">
        <v>2</v>
      </c>
      <c r="AC19" s="38" t="n"/>
      <c r="AD19" s="38" t="n"/>
      <c r="AE19" s="38" t="n"/>
      <c r="AF19" s="61" t="n"/>
      <c r="AG19" s="61" t="n"/>
      <c r="AH19" s="38" t="n"/>
      <c r="AI19" s="38" t="n">
        <v>2</v>
      </c>
      <c r="AJ19" s="46">
        <f>IF(SUM(F19:AI19)=0,"Очікую",SUM(F19:AI19))</f>
        <v/>
      </c>
      <c r="AK19" s="46" t="n"/>
      <c r="AL19" s="4" t="n"/>
      <c r="AM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Бондаренко О.С.</t>
        </is>
      </c>
      <c r="F20" s="38" t="n">
        <v>2</v>
      </c>
      <c r="G20" s="38" t="n">
        <v>2</v>
      </c>
      <c r="H20" s="38" t="n">
        <v>2</v>
      </c>
      <c r="I20" s="38" t="n"/>
      <c r="J20" s="38" t="n"/>
      <c r="K20" s="61" t="n"/>
      <c r="L20" s="61" t="n"/>
      <c r="M20" s="38" t="n">
        <v>2</v>
      </c>
      <c r="N20" s="38" t="n">
        <v>2</v>
      </c>
      <c r="O20" s="38" t="n">
        <v>2</v>
      </c>
      <c r="P20" s="38" t="n"/>
      <c r="Q20" s="38" t="n"/>
      <c r="R20" s="61" t="n"/>
      <c r="S20" s="61" t="n"/>
      <c r="T20" s="38" t="n">
        <v>2</v>
      </c>
      <c r="U20" s="38" t="n">
        <v>2</v>
      </c>
      <c r="V20" s="38" t="n">
        <v>2</v>
      </c>
      <c r="W20" s="38" t="n"/>
      <c r="X20" s="38" t="n"/>
      <c r="Y20" s="61" t="n"/>
      <c r="Z20" s="61" t="n"/>
      <c r="AA20" s="38" t="n">
        <v>2</v>
      </c>
      <c r="AB20" s="38" t="n">
        <v>2</v>
      </c>
      <c r="AC20" s="38" t="n">
        <v>2</v>
      </c>
      <c r="AD20" s="38" t="n"/>
      <c r="AE20" s="38" t="n"/>
      <c r="AF20" s="61" t="n"/>
      <c r="AG20" s="61" t="n"/>
      <c r="AH20" s="38" t="n">
        <v>2</v>
      </c>
      <c r="AI20" s="38" t="n">
        <v>2</v>
      </c>
      <c r="AJ20" s="46">
        <f>IF(SUM(F20:AI20)=0,"Очікую",SUM(F20:AI20))</f>
        <v/>
      </c>
      <c r="AK20" s="46" t="n"/>
      <c r="AL20" s="4" t="n"/>
      <c r="AM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Юрченко О.Б.</t>
        </is>
      </c>
      <c r="F21" s="38" t="n"/>
      <c r="G21" s="38" t="n"/>
      <c r="H21" s="38" t="n"/>
      <c r="I21" s="38" t="n">
        <v>2</v>
      </c>
      <c r="J21" s="38" t="n"/>
      <c r="K21" s="61" t="n"/>
      <c r="L21" s="61" t="n"/>
      <c r="M21" s="38" t="n"/>
      <c r="N21" s="38" t="n"/>
      <c r="O21" s="38" t="n"/>
      <c r="P21" s="38" t="n">
        <v>2</v>
      </c>
      <c r="Q21" s="38" t="n"/>
      <c r="R21" s="61" t="n"/>
      <c r="S21" s="61" t="n"/>
      <c r="T21" s="38" t="n"/>
      <c r="U21" s="38" t="n"/>
      <c r="V21" s="38" t="n"/>
      <c r="W21" s="38" t="n">
        <v>2</v>
      </c>
      <c r="X21" s="38" t="n"/>
      <c r="Y21" s="61" t="n"/>
      <c r="Z21" s="61" t="n"/>
      <c r="AA21" s="38" t="n"/>
      <c r="AB21" s="38" t="n"/>
      <c r="AC21" s="38" t="n"/>
      <c r="AD21" s="38" t="n">
        <v>2</v>
      </c>
      <c r="AE21" s="38" t="n"/>
      <c r="AF21" s="61" t="n"/>
      <c r="AG21" s="61" t="n"/>
      <c r="AH21" s="38" t="n"/>
      <c r="AI21" s="38" t="n"/>
      <c r="AJ21" s="46">
        <f>IF(SUM(F21:AI21)=0,"Очікую",SUM(F21:AI21))</f>
        <v/>
      </c>
      <c r="AK21" s="46" t="n"/>
      <c r="AL21" s="4" t="n"/>
      <c r="AM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61" t="n"/>
      <c r="Z22" s="61" t="n"/>
      <c r="AA22" s="38" t="n"/>
      <c r="AB22" s="38" t="n"/>
      <c r="AC22" s="38" t="n"/>
      <c r="AD22" s="38" t="n"/>
      <c r="AE22" s="38" t="n">
        <v>2</v>
      </c>
      <c r="AF22" s="61" t="n"/>
      <c r="AG22" s="61" t="n"/>
      <c r="AH22" s="38" t="n"/>
      <c r="AI22" s="38" t="n"/>
      <c r="AJ22" s="46">
        <f>IF(SUM(F22:AI22)=0,"Очікую",SUM(F22:AI22))</f>
        <v/>
      </c>
      <c r="AK22" s="46" t="n"/>
      <c r="AL22" s="4" t="n"/>
      <c r="AM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61" t="n"/>
      <c r="Z23" s="61" t="n"/>
      <c r="AA23" s="38" t="n"/>
      <c r="AB23" s="38" t="n">
        <v>2</v>
      </c>
      <c r="AC23" s="38" t="n"/>
      <c r="AD23" s="38" t="n">
        <v>2</v>
      </c>
      <c r="AE23" s="38" t="n"/>
      <c r="AF23" s="61" t="n"/>
      <c r="AG23" s="61" t="n"/>
      <c r="AH23" s="38" t="n"/>
      <c r="AI23" s="38" t="n">
        <v>2</v>
      </c>
      <c r="AJ23" s="46">
        <f>IF(SUM(F23:AI23)=0,"Очікую",SUM(F23:AI23))</f>
        <v/>
      </c>
      <c r="AK23" s="46" t="n"/>
      <c r="AL23" s="4" t="n"/>
      <c r="AM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Возіян О.Г.</t>
        </is>
      </c>
      <c r="F24" s="38" t="n">
        <v>2</v>
      </c>
      <c r="G24" s="38" t="n"/>
      <c r="H24" s="38" t="n"/>
      <c r="I24" s="38" t="n"/>
      <c r="J24" s="38" t="n"/>
      <c r="K24" s="61" t="n"/>
      <c r="L24" s="61" t="n"/>
      <c r="M24" s="38" t="n">
        <v>2</v>
      </c>
      <c r="N24" s="38" t="n"/>
      <c r="O24" s="38" t="n"/>
      <c r="P24" s="38" t="n"/>
      <c r="Q24" s="38" t="n">
        <v>2</v>
      </c>
      <c r="R24" s="61" t="n"/>
      <c r="S24" s="61" t="n"/>
      <c r="T24" s="38" t="n">
        <v>2</v>
      </c>
      <c r="U24" s="38" t="n"/>
      <c r="V24" s="38" t="n"/>
      <c r="W24" s="38" t="n"/>
      <c r="X24" s="38" t="n"/>
      <c r="Y24" s="61" t="n"/>
      <c r="Z24" s="61" t="n"/>
      <c r="AA24" s="38" t="n">
        <v>2</v>
      </c>
      <c r="AB24" s="38" t="n"/>
      <c r="AC24" s="38" t="n"/>
      <c r="AD24" s="38" t="n"/>
      <c r="AE24" s="38" t="n">
        <v>2</v>
      </c>
      <c r="AF24" s="61" t="n"/>
      <c r="AG24" s="61" t="n"/>
      <c r="AH24" s="38" t="n">
        <v>2</v>
      </c>
      <c r="AI24" s="38" t="n"/>
      <c r="AJ24" s="46">
        <f>IF(SUM(F24:AI24)=0,"Очікую",SUM(F24:AI24))</f>
        <v/>
      </c>
      <c r="AK24" s="46" t="n"/>
      <c r="AL24" s="4" t="n"/>
      <c r="AM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Сахно Н.О.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61" t="n"/>
      <c r="AG25" s="61" t="n"/>
      <c r="AH25" s="38" t="n"/>
      <c r="AI25" s="38" t="n">
        <v>2</v>
      </c>
      <c r="AJ25" s="46">
        <f>IF(SUM(F25:AI25)=0,"Очікую",SUM(F25:AI25))</f>
        <v/>
      </c>
      <c r="AK25" s="46" t="n"/>
      <c r="AL25" s="4" t="n"/>
      <c r="AM25" s="17" t="n"/>
    </row>
    <row r="26" ht="12.95" customHeight="1">
      <c r="A26" s="15" t="n"/>
      <c r="B26" s="4" t="n"/>
      <c r="C26" s="45" t="n"/>
      <c r="D26" s="45" t="n"/>
      <c r="E26" s="45" t="n"/>
      <c r="F26" s="46">
        <f>IF($AJ26="Очікую","Оч",SUM(F12:F25))</f>
        <v/>
      </c>
      <c r="G26" s="46">
        <f>IF($AJ26="Очікую","Оч",SUM(G12:G25))</f>
        <v/>
      </c>
      <c r="H26" s="46">
        <f>IF($AJ26="Очікую","Оч",SUM(H12:H25))</f>
        <v/>
      </c>
      <c r="I26" s="46">
        <f>IF($AJ26="Очікую","Оч",SUM(I12:I25))</f>
        <v/>
      </c>
      <c r="J26" s="46">
        <f>IF($AJ26="Очікую","Оч",SUM(J12:J25))</f>
        <v/>
      </c>
      <c r="K26" s="46">
        <f>IF($AJ26="Очікую","Оч",SUM(K12:K25))</f>
        <v/>
      </c>
      <c r="L26" s="46">
        <f>IF($AJ26="Очікую","Оч",SUM(L12:L25))</f>
        <v/>
      </c>
      <c r="M26" s="46">
        <f>IF($AJ26="Очікую","Оч",SUM(M12:M25))</f>
        <v/>
      </c>
      <c r="N26" s="46">
        <f>IF($AJ26="Очікую","Оч",SUM(N12:N25))</f>
        <v/>
      </c>
      <c r="O26" s="46">
        <f>IF($AJ26="Очікую","Оч",SUM(O12:O25))</f>
        <v/>
      </c>
      <c r="P26" s="46">
        <f>IF($AJ26="Очікую","Оч",SUM(P12:P25))</f>
        <v/>
      </c>
      <c r="Q26" s="46">
        <f>IF($AJ26="Очікую","Оч",SUM(Q12:Q25))</f>
        <v/>
      </c>
      <c r="R26" s="46">
        <f>IF($AJ26="Очікую","Оч",SUM(R12:R25))</f>
        <v/>
      </c>
      <c r="S26" s="46">
        <f>IF($AJ26="Очікую","Оч",SUM(S12:S25))</f>
        <v/>
      </c>
      <c r="T26" s="46">
        <f>IF($AJ26="Очікую","Оч",SUM(T12:T25))</f>
        <v/>
      </c>
      <c r="U26" s="46">
        <f>IF($AJ26="Очікую","Оч",SUM(U12:U25))</f>
        <v/>
      </c>
      <c r="V26" s="46">
        <f>IF($AJ26="Очікую","Оч",SUM(V12:V25))</f>
        <v/>
      </c>
      <c r="W26" s="46">
        <f>IF($AJ26="Очікую","Оч",SUM(W12:W25))</f>
        <v/>
      </c>
      <c r="X26" s="46">
        <f>IF($AJ26="Очікую","Оч",SUM(X12:X25))</f>
        <v/>
      </c>
      <c r="Y26" s="46">
        <f>IF($AJ26="Очікую","Оч",SUM(Y12:Y25))</f>
        <v/>
      </c>
      <c r="Z26" s="46">
        <f>IF($AJ26="Очікую","Оч",SUM(Z12:Z25))</f>
        <v/>
      </c>
      <c r="AA26" s="46">
        <f>IF($AJ26="Очікую","Оч",SUM(AA12:AA25))</f>
        <v/>
      </c>
      <c r="AB26" s="46">
        <f>IF($AJ26="Очікую","Оч",SUM(AB12:AB25))</f>
        <v/>
      </c>
      <c r="AC26" s="46">
        <f>IF($AJ26="Очікую","Оч",SUM(AC12:AC25))</f>
        <v/>
      </c>
      <c r="AD26" s="46">
        <f>IF($AJ26="Очікую","Оч",SUM(AD12:AD25))</f>
        <v/>
      </c>
      <c r="AE26" s="46">
        <f>IF($AJ26="Очікую","Оч",SUM(AE12:AE25))</f>
        <v/>
      </c>
      <c r="AF26" s="46">
        <f>IF($AJ26="Очікую","Оч",SUM(AF12:AF25))</f>
        <v/>
      </c>
      <c r="AG26" s="46">
        <f>IF($AJ26="Очікую","Оч",SUM(AG12:AG25))</f>
        <v/>
      </c>
      <c r="AH26" s="46">
        <f>IF($AJ26="Очікую","Оч",SUM(AH12:AH25))</f>
        <v/>
      </c>
      <c r="AI26" s="46">
        <f>IF($AJ26="Очікую","Оч",SUM(AI12:AI25))</f>
        <v/>
      </c>
      <c r="AJ26" s="46">
        <f>IF(SUM(AJ12:AJ25)=0,"Очікую",SUM(AJ12:AJ25))</f>
        <v/>
      </c>
      <c r="AK26" s="45" t="n"/>
      <c r="AL26" s="4" t="n"/>
      <c r="AM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  <c r="AL27" s="4" t="n"/>
      <c r="AM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45" t="n"/>
      <c r="AK28" s="45" t="n"/>
      <c r="AL28" s="4" t="n"/>
      <c r="AM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L29" s="4" t="n"/>
      <c r="AM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9:AK9"/>
    <mergeCell ref="D4:E4"/>
    <mergeCell ref="C10:C11"/>
    <mergeCell ref="E10:E11"/>
    <mergeCell ref="D3:E3"/>
    <mergeCell ref="C6:AK6"/>
    <mergeCell ref="AJ10:AJ11"/>
    <mergeCell ref="D10:D11"/>
    <mergeCell ref="C5:AK5"/>
    <mergeCell ref="C8:AK8"/>
    <mergeCell ref="F10:AI10"/>
    <mergeCell ref="AK10:AK11"/>
    <mergeCell ref="C29:AK29"/>
    <mergeCell ref="C7:AK7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M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6" max="36"/>
    <col width="5.55" customWidth="1" style="2" min="37" max="37"/>
    <col width="1.5" customWidth="1" style="2" min="38" max="38"/>
    <col width="1.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4" t="n"/>
      <c r="AM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5" t="n"/>
      <c r="AK4" s="45" t="n"/>
      <c r="AL4" s="4" t="n"/>
      <c r="AM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L5" s="4" t="n"/>
      <c r="AM5" s="17" t="n"/>
    </row>
    <row r="6" ht="15" customHeight="1">
      <c r="A6" s="15" t="n"/>
      <c r="B6" s="4" t="n"/>
      <c r="C6" s="45" t="inlineStr">
        <is>
          <t xml:space="preserve"> </t>
        </is>
      </c>
      <c r="AL6" s="4" t="n"/>
      <c r="AM6" s="17" t="n"/>
    </row>
    <row r="7" ht="15" customHeight="1">
      <c r="A7" s="15" t="n"/>
      <c r="B7" s="4" t="n"/>
      <c r="C7" s="44" t="inlineStr">
        <is>
          <t>за вересень 2025 р.</t>
        </is>
      </c>
      <c r="AL7" s="4" t="n"/>
      <c r="AM7" s="17" t="n"/>
    </row>
    <row r="8" ht="15" customHeight="1">
      <c r="A8" s="15" t="n"/>
      <c r="B8" s="4" t="n"/>
      <c r="C8" s="40" t="inlineStr">
        <is>
          <t>Спеціальнiсть 1 курс І група 25-2</t>
        </is>
      </c>
      <c r="AL8" s="4" t="n"/>
      <c r="AM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4" t="n"/>
      <c r="AM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9" t="n"/>
      <c r="AJ10" s="47" t="inlineStr">
        <is>
          <t>Дано годин</t>
        </is>
      </c>
      <c r="AK10" s="46" t="inlineStr">
        <is>
          <t>Примітка</t>
        </is>
      </c>
      <c r="AL10" s="4" t="n"/>
      <c r="AM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46" t="n">
        <v>27</v>
      </c>
      <c r="AG11" s="46" t="n">
        <v>28</v>
      </c>
      <c r="AH11" s="46" t="n">
        <v>29</v>
      </c>
      <c r="AI11" s="46" t="n">
        <v>30</v>
      </c>
      <c r="AJ11" s="60" t="n"/>
      <c r="AK11" s="60" t="n"/>
      <c r="AL11" s="4" t="n"/>
      <c r="AM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/>
      <c r="J12" s="38" t="n">
        <v>2</v>
      </c>
      <c r="K12" s="61" t="n"/>
      <c r="L12" s="61" t="n"/>
      <c r="M12" s="38" t="n"/>
      <c r="N12" s="38" t="n"/>
      <c r="O12" s="38" t="n"/>
      <c r="P12" s="38" t="n"/>
      <c r="Q12" s="38" t="n">
        <v>2</v>
      </c>
      <c r="R12" s="61" t="n"/>
      <c r="S12" s="61" t="n"/>
      <c r="T12" s="38" t="n"/>
      <c r="U12" s="38" t="n"/>
      <c r="V12" s="38" t="n"/>
      <c r="W12" s="38" t="n"/>
      <c r="X12" s="38" t="n">
        <v>2</v>
      </c>
      <c r="Y12" s="61" t="n"/>
      <c r="Z12" s="61" t="n"/>
      <c r="AA12" s="38" t="n"/>
      <c r="AB12" s="38" t="n"/>
      <c r="AC12" s="38" t="n"/>
      <c r="AD12" s="38" t="n"/>
      <c r="AE12" s="38" t="n">
        <v>2</v>
      </c>
      <c r="AF12" s="61" t="n"/>
      <c r="AG12" s="61" t="n"/>
      <c r="AH12" s="38" t="n"/>
      <c r="AI12" s="38" t="n"/>
      <c r="AJ12" s="46">
        <f>IF(SUM(F12:AI12)=0,"Очікую",SUM(F12:AI12))</f>
        <v/>
      </c>
      <c r="AK12" s="46" t="n"/>
      <c r="AL12" s="4" t="n"/>
      <c r="AM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61" t="n"/>
      <c r="Z13" s="61" t="n"/>
      <c r="AA13" s="38" t="n">
        <v>2</v>
      </c>
      <c r="AB13" s="38" t="n"/>
      <c r="AC13" s="38" t="n"/>
      <c r="AD13" s="38" t="n"/>
      <c r="AE13" s="38" t="n"/>
      <c r="AF13" s="61" t="n"/>
      <c r="AG13" s="61" t="n"/>
      <c r="AH13" s="38" t="n">
        <v>2</v>
      </c>
      <c r="AI13" s="38" t="n"/>
      <c r="AJ13" s="46">
        <f>IF(SUM(F13:AI13)=0,"Очікую",SUM(F13:AI13))</f>
        <v/>
      </c>
      <c r="AK13" s="46" t="n"/>
      <c r="AL13" s="4" t="n"/>
      <c r="AM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/>
      <c r="G14" s="38" t="n"/>
      <c r="H14" s="38" t="n">
        <v>2</v>
      </c>
      <c r="I14" s="38" t="n">
        <v>2</v>
      </c>
      <c r="J14" s="38" t="n"/>
      <c r="K14" s="61" t="n"/>
      <c r="L14" s="61" t="n"/>
      <c r="M14" s="38" t="n"/>
      <c r="N14" s="38" t="n"/>
      <c r="O14" s="38" t="n">
        <v>2</v>
      </c>
      <c r="P14" s="38" t="n"/>
      <c r="Q14" s="38" t="n"/>
      <c r="R14" s="61" t="n"/>
      <c r="S14" s="61" t="n"/>
      <c r="T14" s="38" t="n"/>
      <c r="U14" s="38" t="n"/>
      <c r="V14" s="38" t="n">
        <v>2</v>
      </c>
      <c r="W14" s="38" t="n">
        <v>2</v>
      </c>
      <c r="X14" s="38" t="n"/>
      <c r="Y14" s="61" t="n"/>
      <c r="Z14" s="61" t="n"/>
      <c r="AA14" s="38" t="n"/>
      <c r="AB14" s="38" t="n"/>
      <c r="AC14" s="38" t="n">
        <v>2</v>
      </c>
      <c r="AD14" s="38" t="n"/>
      <c r="AE14" s="38" t="n"/>
      <c r="AF14" s="61" t="n"/>
      <c r="AG14" s="61" t="n"/>
      <c r="AH14" s="38" t="n"/>
      <c r="AI14" s="38" t="n"/>
      <c r="AJ14" s="46">
        <f>IF(SUM(F14:AI14)=0,"Очікую",SUM(F14:AI14))</f>
        <v/>
      </c>
      <c r="AK14" s="46" t="n"/>
      <c r="AL14" s="4" t="n"/>
      <c r="AM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>
        <v>2</v>
      </c>
      <c r="Q15" s="38" t="n"/>
      <c r="R15" s="61" t="n"/>
      <c r="S15" s="61" t="n"/>
      <c r="T15" s="38" t="n"/>
      <c r="U15" s="38" t="n"/>
      <c r="V15" s="38" t="n"/>
      <c r="W15" s="38" t="n"/>
      <c r="X15" s="38" t="n"/>
      <c r="Y15" s="61" t="n"/>
      <c r="Z15" s="61" t="n"/>
      <c r="AA15" s="38" t="n"/>
      <c r="AB15" s="38" t="n"/>
      <c r="AC15" s="38" t="n"/>
      <c r="AD15" s="38" t="n">
        <v>2</v>
      </c>
      <c r="AE15" s="38" t="n"/>
      <c r="AF15" s="61" t="n"/>
      <c r="AG15" s="61" t="n"/>
      <c r="AH15" s="38" t="n"/>
      <c r="AI15" s="38" t="n"/>
      <c r="AJ15" s="46">
        <f>IF(SUM(F15:AI15)=0,"Очікую",SUM(F15:AI15))</f>
        <v/>
      </c>
      <c r="AK15" s="46" t="n"/>
      <c r="AL15" s="4" t="n"/>
      <c r="AM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>
        <v>2</v>
      </c>
      <c r="I16" s="38" t="n"/>
      <c r="J16" s="38" t="n"/>
      <c r="K16" s="61" t="n"/>
      <c r="L16" s="61" t="n"/>
      <c r="M16" s="38" t="n"/>
      <c r="N16" s="38" t="n"/>
      <c r="O16" s="38" t="n">
        <v>2</v>
      </c>
      <c r="P16" s="38" t="n"/>
      <c r="Q16" s="38" t="n"/>
      <c r="R16" s="61" t="n"/>
      <c r="S16" s="61" t="n"/>
      <c r="T16" s="38" t="n"/>
      <c r="U16" s="38" t="n"/>
      <c r="V16" s="38" t="n">
        <v>2</v>
      </c>
      <c r="W16" s="38" t="n"/>
      <c r="X16" s="38" t="n"/>
      <c r="Y16" s="61" t="n"/>
      <c r="Z16" s="61" t="n"/>
      <c r="AA16" s="38" t="n"/>
      <c r="AB16" s="38" t="n"/>
      <c r="AC16" s="38" t="n">
        <v>2</v>
      </c>
      <c r="AD16" s="38" t="n"/>
      <c r="AE16" s="38" t="n"/>
      <c r="AF16" s="61" t="n"/>
      <c r="AG16" s="61" t="n"/>
      <c r="AH16" s="38" t="n"/>
      <c r="AI16" s="38" t="n"/>
      <c r="AJ16" s="46">
        <f>IF(SUM(F16:AI16)=0,"Очікую",SUM(F16:AI16))</f>
        <v/>
      </c>
      <c r="AK16" s="46" t="n"/>
      <c r="AL16" s="4" t="n"/>
      <c r="AM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/>
      <c r="I17" s="38" t="n"/>
      <c r="J17" s="38" t="n">
        <v>2</v>
      </c>
      <c r="K17" s="61" t="n"/>
      <c r="L17" s="61" t="n"/>
      <c r="M17" s="38" t="n"/>
      <c r="N17" s="38" t="n"/>
      <c r="O17" s="38" t="n"/>
      <c r="P17" s="38" t="n"/>
      <c r="Q17" s="38" t="n">
        <v>2</v>
      </c>
      <c r="R17" s="61" t="n"/>
      <c r="S17" s="61" t="n"/>
      <c r="T17" s="38" t="n"/>
      <c r="U17" s="38" t="n"/>
      <c r="V17" s="38" t="n"/>
      <c r="W17" s="38" t="n"/>
      <c r="X17" s="38" t="n">
        <v>2</v>
      </c>
      <c r="Y17" s="61" t="n"/>
      <c r="Z17" s="61" t="n"/>
      <c r="AA17" s="38" t="n"/>
      <c r="AB17" s="38" t="n"/>
      <c r="AC17" s="38" t="n"/>
      <c r="AD17" s="38" t="n"/>
      <c r="AE17" s="38" t="n">
        <v>2</v>
      </c>
      <c r="AF17" s="61" t="n"/>
      <c r="AG17" s="61" t="n"/>
      <c r="AH17" s="38" t="n"/>
      <c r="AI17" s="38" t="n"/>
      <c r="AJ17" s="46">
        <f>IF(SUM(F17:AI17)=0,"Очікую",SUM(F17:AI17))</f>
        <v/>
      </c>
      <c r="AK17" s="46" t="n"/>
      <c r="AL17" s="4" t="n"/>
      <c r="AM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>
        <v>2</v>
      </c>
      <c r="G18" s="38" t="n"/>
      <c r="H18" s="38" t="n"/>
      <c r="I18" s="38" t="n"/>
      <c r="J18" s="38" t="n"/>
      <c r="K18" s="61" t="n"/>
      <c r="L18" s="61" t="n"/>
      <c r="M18" s="38" t="n">
        <v>2</v>
      </c>
      <c r="N18" s="38" t="n"/>
      <c r="O18" s="38" t="n"/>
      <c r="P18" s="38" t="n"/>
      <c r="Q18" s="38" t="n"/>
      <c r="R18" s="61" t="n"/>
      <c r="S18" s="61" t="n"/>
      <c r="T18" s="38" t="n">
        <v>2</v>
      </c>
      <c r="U18" s="38" t="n"/>
      <c r="V18" s="38" t="n"/>
      <c r="W18" s="38" t="n"/>
      <c r="X18" s="38" t="n"/>
      <c r="Y18" s="61" t="n"/>
      <c r="Z18" s="61" t="n"/>
      <c r="AA18" s="38" t="n">
        <v>2</v>
      </c>
      <c r="AB18" s="38" t="n"/>
      <c r="AC18" s="38" t="n"/>
      <c r="AD18" s="38" t="n"/>
      <c r="AE18" s="38" t="n"/>
      <c r="AF18" s="61" t="n"/>
      <c r="AG18" s="61" t="n"/>
      <c r="AH18" s="38" t="n">
        <v>2</v>
      </c>
      <c r="AI18" s="38" t="n"/>
      <c r="AJ18" s="46">
        <f>IF(SUM(F18:AI18)=0,"Очікую",SUM(F18:AI18))</f>
        <v/>
      </c>
      <c r="AK18" s="46" t="n"/>
      <c r="AL18" s="4" t="n"/>
      <c r="AM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61" t="n"/>
      <c r="Z19" s="61" t="n"/>
      <c r="AA19" s="38" t="n"/>
      <c r="AB19" s="38" t="n">
        <v>2</v>
      </c>
      <c r="AC19" s="38" t="n"/>
      <c r="AD19" s="38" t="n"/>
      <c r="AE19" s="38" t="n"/>
      <c r="AF19" s="61" t="n"/>
      <c r="AG19" s="61" t="n"/>
      <c r="AH19" s="38" t="n"/>
      <c r="AI19" s="38" t="n">
        <v>2</v>
      </c>
      <c r="AJ19" s="46">
        <f>IF(SUM(F19:AI19)=0,"Очікую",SUM(F19:AI19))</f>
        <v/>
      </c>
      <c r="AK19" s="46" t="n"/>
      <c r="AL19" s="4" t="n"/>
      <c r="AM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Бондаренко О.С.</t>
        </is>
      </c>
      <c r="F20" s="38" t="n">
        <v>2</v>
      </c>
      <c r="G20" s="38" t="n"/>
      <c r="H20" s="38" t="n">
        <v>2</v>
      </c>
      <c r="I20" s="38" t="n"/>
      <c r="J20" s="38" t="n"/>
      <c r="K20" s="61" t="n"/>
      <c r="L20" s="61" t="n"/>
      <c r="M20" s="38" t="n">
        <v>2</v>
      </c>
      <c r="N20" s="38" t="n"/>
      <c r="O20" s="38" t="n">
        <v>2</v>
      </c>
      <c r="P20" s="38" t="n"/>
      <c r="Q20" s="38" t="n"/>
      <c r="R20" s="61" t="n"/>
      <c r="S20" s="61" t="n"/>
      <c r="T20" s="38" t="n">
        <v>2</v>
      </c>
      <c r="U20" s="38" t="n"/>
      <c r="V20" s="38" t="n">
        <v>2</v>
      </c>
      <c r="W20" s="38" t="n"/>
      <c r="X20" s="38" t="n"/>
      <c r="Y20" s="61" t="n"/>
      <c r="Z20" s="61" t="n"/>
      <c r="AA20" s="38" t="n">
        <v>2</v>
      </c>
      <c r="AB20" s="38" t="n"/>
      <c r="AC20" s="38" t="n">
        <v>2</v>
      </c>
      <c r="AD20" s="38" t="n"/>
      <c r="AE20" s="38" t="n"/>
      <c r="AF20" s="61" t="n"/>
      <c r="AG20" s="61" t="n"/>
      <c r="AH20" s="38" t="n">
        <v>2</v>
      </c>
      <c r="AI20" s="38" t="n"/>
      <c r="AJ20" s="46">
        <f>IF(SUM(F20:AI20)=0,"Очікую",SUM(F20:AI20))</f>
        <v/>
      </c>
      <c r="AK20" s="46" t="n"/>
      <c r="AL20" s="4" t="n"/>
      <c r="AM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Антропова Л.І.</t>
        </is>
      </c>
      <c r="F21" s="38" t="n"/>
      <c r="G21" s="38" t="n"/>
      <c r="H21" s="38" t="n">
        <v>2</v>
      </c>
      <c r="I21" s="38" t="n"/>
      <c r="J21" s="38" t="n"/>
      <c r="K21" s="61" t="n"/>
      <c r="L21" s="61" t="n"/>
      <c r="M21" s="38" t="n"/>
      <c r="N21" s="38" t="n"/>
      <c r="O21" s="38" t="n">
        <v>2</v>
      </c>
      <c r="P21" s="38" t="n"/>
      <c r="Q21" s="38" t="n"/>
      <c r="R21" s="61" t="n"/>
      <c r="S21" s="61" t="n"/>
      <c r="T21" s="38" t="n"/>
      <c r="U21" s="38" t="n"/>
      <c r="V21" s="38" t="n">
        <v>2</v>
      </c>
      <c r="W21" s="38" t="n"/>
      <c r="X21" s="38" t="n"/>
      <c r="Y21" s="61" t="n"/>
      <c r="Z21" s="61" t="n"/>
      <c r="AA21" s="38" t="n"/>
      <c r="AB21" s="38" t="n"/>
      <c r="AC21" s="38" t="n">
        <v>2</v>
      </c>
      <c r="AD21" s="38" t="n"/>
      <c r="AE21" s="38" t="n"/>
      <c r="AF21" s="61" t="n"/>
      <c r="AG21" s="61" t="n"/>
      <c r="AH21" s="38" t="n"/>
      <c r="AI21" s="38" t="n"/>
      <c r="AJ21" s="46">
        <f>IF(SUM(F21:AI21)=0,"Очікую",SUM(F21:AI21))</f>
        <v/>
      </c>
      <c r="AK21" s="46" t="n"/>
      <c r="AL21" s="4" t="n"/>
      <c r="AM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Антропова Л.І.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61" t="n"/>
      <c r="Z22" s="61" t="n"/>
      <c r="AA22" s="38" t="n"/>
      <c r="AB22" s="38" t="n"/>
      <c r="AC22" s="38" t="n"/>
      <c r="AD22" s="38" t="n">
        <v>2</v>
      </c>
      <c r="AE22" s="38" t="n"/>
      <c r="AF22" s="61" t="n"/>
      <c r="AG22" s="61" t="n"/>
      <c r="AH22" s="38" t="n"/>
      <c r="AI22" s="38" t="n"/>
      <c r="AJ22" s="46">
        <f>IF(SUM(F22:AI22)=0,"Очікую",SUM(F22:AI22))</f>
        <v/>
      </c>
      <c r="AK22" s="46" t="n"/>
      <c r="AL22" s="4" t="n"/>
      <c r="AM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61" t="n"/>
      <c r="Z23" s="61" t="n"/>
      <c r="AA23" s="38" t="n"/>
      <c r="AB23" s="38" t="n">
        <v>2</v>
      </c>
      <c r="AC23" s="38" t="n"/>
      <c r="AD23" s="38" t="n">
        <v>2</v>
      </c>
      <c r="AE23" s="38" t="n"/>
      <c r="AF23" s="61" t="n"/>
      <c r="AG23" s="61" t="n"/>
      <c r="AH23" s="38" t="n"/>
      <c r="AI23" s="38" t="n">
        <v>2</v>
      </c>
      <c r="AJ23" s="46">
        <f>IF(SUM(F23:AI23)=0,"Очікую",SUM(F23:AI23))</f>
        <v/>
      </c>
      <c r="AK23" s="46" t="n"/>
      <c r="AL23" s="4" t="n"/>
      <c r="AM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Возіян О.Г.</t>
        </is>
      </c>
      <c r="F24" s="38" t="n">
        <v>2</v>
      </c>
      <c r="G24" s="38" t="n"/>
      <c r="H24" s="38" t="n"/>
      <c r="I24" s="38" t="n">
        <v>2</v>
      </c>
      <c r="J24" s="38" t="n"/>
      <c r="K24" s="61" t="n"/>
      <c r="L24" s="61" t="n"/>
      <c r="M24" s="38" t="n">
        <v>2</v>
      </c>
      <c r="N24" s="38" t="n"/>
      <c r="O24" s="38" t="n"/>
      <c r="P24" s="38" t="n"/>
      <c r="Q24" s="38" t="n"/>
      <c r="R24" s="61" t="n"/>
      <c r="S24" s="61" t="n"/>
      <c r="T24" s="38" t="n">
        <v>2</v>
      </c>
      <c r="U24" s="38" t="n"/>
      <c r="V24" s="38" t="n"/>
      <c r="W24" s="38" t="n">
        <v>2</v>
      </c>
      <c r="X24" s="38" t="n"/>
      <c r="Y24" s="61" t="n"/>
      <c r="Z24" s="61" t="n"/>
      <c r="AA24" s="38" t="n">
        <v>2</v>
      </c>
      <c r="AB24" s="38" t="n"/>
      <c r="AC24" s="38" t="n"/>
      <c r="AD24" s="38" t="n"/>
      <c r="AE24" s="38" t="n"/>
      <c r="AF24" s="61" t="n"/>
      <c r="AG24" s="61" t="n"/>
      <c r="AH24" s="38" t="n">
        <v>2</v>
      </c>
      <c r="AI24" s="38" t="n"/>
      <c r="AJ24" s="46">
        <f>IF(SUM(F24:AI24)=0,"Очікую",SUM(F24:AI24))</f>
        <v/>
      </c>
      <c r="AK24" s="46" t="n"/>
      <c r="AL24" s="4" t="n"/>
      <c r="AM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Сахно Н.О.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61" t="n"/>
      <c r="AG25" s="61" t="n"/>
      <c r="AH25" s="38" t="n"/>
      <c r="AI25" s="38" t="n">
        <v>2</v>
      </c>
      <c r="AJ25" s="46">
        <f>IF(SUM(F25:AI25)=0,"Очікую",SUM(F25:AI25))</f>
        <v/>
      </c>
      <c r="AK25" s="46" t="n"/>
      <c r="AL25" s="4" t="n"/>
      <c r="AM25" s="17" t="n"/>
    </row>
    <row r="26" ht="12.95" customHeight="1">
      <c r="A26" s="15" t="n"/>
      <c r="B26" s="4" t="n"/>
      <c r="C26" s="45" t="n"/>
      <c r="D26" s="45" t="n"/>
      <c r="E26" s="45" t="n"/>
      <c r="F26" s="46">
        <f>IF($AJ26="Очікую","Оч",SUM(F12:F25))</f>
        <v/>
      </c>
      <c r="G26" s="46">
        <f>IF($AJ26="Очікую","Оч",SUM(G12:G25))</f>
        <v/>
      </c>
      <c r="H26" s="46">
        <f>IF($AJ26="Очікую","Оч",SUM(H12:H25))</f>
        <v/>
      </c>
      <c r="I26" s="46">
        <f>IF($AJ26="Очікую","Оч",SUM(I12:I25))</f>
        <v/>
      </c>
      <c r="J26" s="46">
        <f>IF($AJ26="Очікую","Оч",SUM(J12:J25))</f>
        <v/>
      </c>
      <c r="K26" s="46">
        <f>IF($AJ26="Очікую","Оч",SUM(K12:K25))</f>
        <v/>
      </c>
      <c r="L26" s="46">
        <f>IF($AJ26="Очікую","Оч",SUM(L12:L25))</f>
        <v/>
      </c>
      <c r="M26" s="46">
        <f>IF($AJ26="Очікую","Оч",SUM(M12:M25))</f>
        <v/>
      </c>
      <c r="N26" s="46">
        <f>IF($AJ26="Очікую","Оч",SUM(N12:N25))</f>
        <v/>
      </c>
      <c r="O26" s="46">
        <f>IF($AJ26="Очікую","Оч",SUM(O12:O25))</f>
        <v/>
      </c>
      <c r="P26" s="46">
        <f>IF($AJ26="Очікую","Оч",SUM(P12:P25))</f>
        <v/>
      </c>
      <c r="Q26" s="46">
        <f>IF($AJ26="Очікую","Оч",SUM(Q12:Q25))</f>
        <v/>
      </c>
      <c r="R26" s="46">
        <f>IF($AJ26="Очікую","Оч",SUM(R12:R25))</f>
        <v/>
      </c>
      <c r="S26" s="46">
        <f>IF($AJ26="Очікую","Оч",SUM(S12:S25))</f>
        <v/>
      </c>
      <c r="T26" s="46">
        <f>IF($AJ26="Очікую","Оч",SUM(T12:T25))</f>
        <v/>
      </c>
      <c r="U26" s="46">
        <f>IF($AJ26="Очікую","Оч",SUM(U12:U25))</f>
        <v/>
      </c>
      <c r="V26" s="46">
        <f>IF($AJ26="Очікую","Оч",SUM(V12:V25))</f>
        <v/>
      </c>
      <c r="W26" s="46">
        <f>IF($AJ26="Очікую","Оч",SUM(W12:W25))</f>
        <v/>
      </c>
      <c r="X26" s="46">
        <f>IF($AJ26="Очікую","Оч",SUM(X12:X25))</f>
        <v/>
      </c>
      <c r="Y26" s="46">
        <f>IF($AJ26="Очікую","Оч",SUM(Y12:Y25))</f>
        <v/>
      </c>
      <c r="Z26" s="46">
        <f>IF($AJ26="Очікую","Оч",SUM(Z12:Z25))</f>
        <v/>
      </c>
      <c r="AA26" s="46">
        <f>IF($AJ26="Очікую","Оч",SUM(AA12:AA25))</f>
        <v/>
      </c>
      <c r="AB26" s="46">
        <f>IF($AJ26="Очікую","Оч",SUM(AB12:AB25))</f>
        <v/>
      </c>
      <c r="AC26" s="46">
        <f>IF($AJ26="Очікую","Оч",SUM(AC12:AC25))</f>
        <v/>
      </c>
      <c r="AD26" s="46">
        <f>IF($AJ26="Очікую","Оч",SUM(AD12:AD25))</f>
        <v/>
      </c>
      <c r="AE26" s="46">
        <f>IF($AJ26="Очікую","Оч",SUM(AE12:AE25))</f>
        <v/>
      </c>
      <c r="AF26" s="46">
        <f>IF($AJ26="Очікую","Оч",SUM(AF12:AF25))</f>
        <v/>
      </c>
      <c r="AG26" s="46">
        <f>IF($AJ26="Очікую","Оч",SUM(AG12:AG25))</f>
        <v/>
      </c>
      <c r="AH26" s="46">
        <f>IF($AJ26="Очікую","Оч",SUM(AH12:AH25))</f>
        <v/>
      </c>
      <c r="AI26" s="46">
        <f>IF($AJ26="Очікую","Оч",SUM(AI12:AI25))</f>
        <v/>
      </c>
      <c r="AJ26" s="46">
        <f>IF(SUM(AJ12:AJ25)=0,"Очікую",SUM(AJ12:AJ25))</f>
        <v/>
      </c>
      <c r="AK26" s="45" t="n"/>
      <c r="AL26" s="4" t="n"/>
      <c r="AM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  <c r="AL27" s="4" t="n"/>
      <c r="AM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45" t="n"/>
      <c r="AK28" s="45" t="n"/>
      <c r="AL28" s="4" t="n"/>
      <c r="AM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L29" s="4" t="n"/>
      <c r="AM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9:AK9"/>
    <mergeCell ref="D4:E4"/>
    <mergeCell ref="C10:C11"/>
    <mergeCell ref="E10:E11"/>
    <mergeCell ref="D3:E3"/>
    <mergeCell ref="C6:AK6"/>
    <mergeCell ref="AJ10:AJ11"/>
    <mergeCell ref="D10:D11"/>
    <mergeCell ref="C5:AK5"/>
    <mergeCell ref="C8:AK8"/>
    <mergeCell ref="F10:AI10"/>
    <mergeCell ref="AK10:AK11"/>
    <mergeCell ref="C29:AK29"/>
    <mergeCell ref="C7:AK7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M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6" max="36"/>
    <col width="5.55" customWidth="1" style="2" min="37" max="37"/>
    <col width="1.5" customWidth="1" style="2" min="38" max="38"/>
    <col width="1.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4" t="n"/>
      <c r="AM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5" t="n"/>
      <c r="AK4" s="45" t="n"/>
      <c r="AL4" s="4" t="n"/>
      <c r="AM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L5" s="4" t="n"/>
      <c r="AM5" s="17" t="n"/>
    </row>
    <row r="6" ht="15" customHeight="1">
      <c r="A6" s="15" t="n"/>
      <c r="B6" s="4" t="n"/>
      <c r="C6" s="45" t="inlineStr">
        <is>
          <t xml:space="preserve"> </t>
        </is>
      </c>
      <c r="AL6" s="4" t="n"/>
      <c r="AM6" s="17" t="n"/>
    </row>
    <row r="7" ht="15" customHeight="1">
      <c r="A7" s="15" t="n"/>
      <c r="B7" s="4" t="n"/>
      <c r="C7" s="44" t="inlineStr">
        <is>
          <t>за вересень 2025 р.</t>
        </is>
      </c>
      <c r="AL7" s="4" t="n"/>
      <c r="AM7" s="17" t="n"/>
    </row>
    <row r="8" ht="15" customHeight="1">
      <c r="A8" s="15" t="n"/>
      <c r="B8" s="4" t="n"/>
      <c r="C8" s="40" t="inlineStr">
        <is>
          <t>Спеціальнiсть 1 курс І група 25-3</t>
        </is>
      </c>
      <c r="AL8" s="4" t="n"/>
      <c r="AM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4" t="n"/>
      <c r="AM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9" t="n"/>
      <c r="AJ10" s="47" t="inlineStr">
        <is>
          <t>Дано годин</t>
        </is>
      </c>
      <c r="AK10" s="46" t="inlineStr">
        <is>
          <t>Примітка</t>
        </is>
      </c>
      <c r="AL10" s="4" t="n"/>
      <c r="AM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46" t="n">
        <v>27</v>
      </c>
      <c r="AG11" s="46" t="n">
        <v>28</v>
      </c>
      <c r="AH11" s="46" t="n">
        <v>29</v>
      </c>
      <c r="AI11" s="46" t="n">
        <v>30</v>
      </c>
      <c r="AJ11" s="60" t="n"/>
      <c r="AK11" s="60" t="n"/>
      <c r="AL11" s="4" t="n"/>
      <c r="AM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/>
      <c r="J12" s="38" t="n">
        <v>2</v>
      </c>
      <c r="K12" s="61" t="n"/>
      <c r="L12" s="61" t="n"/>
      <c r="M12" s="38" t="n"/>
      <c r="N12" s="38" t="n"/>
      <c r="O12" s="38" t="n"/>
      <c r="P12" s="38" t="n"/>
      <c r="Q12" s="38" t="n">
        <v>2</v>
      </c>
      <c r="R12" s="61" t="n"/>
      <c r="S12" s="61" t="n"/>
      <c r="T12" s="38" t="n"/>
      <c r="U12" s="38" t="n"/>
      <c r="V12" s="38" t="n"/>
      <c r="W12" s="38" t="n"/>
      <c r="X12" s="38" t="n">
        <v>2</v>
      </c>
      <c r="Y12" s="61" t="n"/>
      <c r="Z12" s="61" t="n"/>
      <c r="AA12" s="38" t="n"/>
      <c r="AB12" s="38" t="n"/>
      <c r="AC12" s="38" t="n"/>
      <c r="AD12" s="38" t="n"/>
      <c r="AE12" s="38" t="n">
        <v>2</v>
      </c>
      <c r="AF12" s="61" t="n"/>
      <c r="AG12" s="61" t="n"/>
      <c r="AH12" s="38" t="n"/>
      <c r="AI12" s="38" t="n"/>
      <c r="AJ12" s="46">
        <f>IF(SUM(F12:AI12)=0,"Очікую",SUM(F12:AI12))</f>
        <v/>
      </c>
      <c r="AK12" s="46" t="n"/>
      <c r="AL12" s="4" t="n"/>
      <c r="AM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61" t="n"/>
      <c r="Z13" s="61" t="n"/>
      <c r="AA13" s="38" t="n">
        <v>2</v>
      </c>
      <c r="AB13" s="38" t="n"/>
      <c r="AC13" s="38" t="n"/>
      <c r="AD13" s="38" t="n"/>
      <c r="AE13" s="38" t="n"/>
      <c r="AF13" s="61" t="n"/>
      <c r="AG13" s="61" t="n"/>
      <c r="AH13" s="38" t="n">
        <v>2</v>
      </c>
      <c r="AI13" s="38" t="n"/>
      <c r="AJ13" s="46">
        <f>IF(SUM(F13:AI13)=0,"Очікую",SUM(F13:AI13))</f>
        <v/>
      </c>
      <c r="AK13" s="46" t="n"/>
      <c r="AL13" s="4" t="n"/>
      <c r="AM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/>
      <c r="G14" s="38" t="n"/>
      <c r="H14" s="38" t="n">
        <v>2</v>
      </c>
      <c r="I14" s="38" t="n">
        <v>2</v>
      </c>
      <c r="J14" s="38" t="n"/>
      <c r="K14" s="61" t="n"/>
      <c r="L14" s="61" t="n"/>
      <c r="M14" s="38" t="n"/>
      <c r="N14" s="38" t="n"/>
      <c r="O14" s="38" t="n">
        <v>2</v>
      </c>
      <c r="P14" s="38" t="n"/>
      <c r="Q14" s="38" t="n"/>
      <c r="R14" s="61" t="n"/>
      <c r="S14" s="61" t="n"/>
      <c r="T14" s="38" t="n"/>
      <c r="U14" s="38" t="n"/>
      <c r="V14" s="38" t="n">
        <v>2</v>
      </c>
      <c r="W14" s="38" t="n">
        <v>2</v>
      </c>
      <c r="X14" s="38" t="n"/>
      <c r="Y14" s="61" t="n"/>
      <c r="Z14" s="61" t="n"/>
      <c r="AA14" s="38" t="n"/>
      <c r="AB14" s="38" t="n"/>
      <c r="AC14" s="38" t="n">
        <v>2</v>
      </c>
      <c r="AD14" s="38" t="n"/>
      <c r="AE14" s="38" t="n"/>
      <c r="AF14" s="61" t="n"/>
      <c r="AG14" s="61" t="n"/>
      <c r="AH14" s="38" t="n"/>
      <c r="AI14" s="38" t="n"/>
      <c r="AJ14" s="46">
        <f>IF(SUM(F14:AI14)=0,"Очікую",SUM(F14:AI14))</f>
        <v/>
      </c>
      <c r="AK14" s="46" t="n"/>
      <c r="AL14" s="4" t="n"/>
      <c r="AM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>
        <v>2</v>
      </c>
      <c r="Q15" s="38" t="n"/>
      <c r="R15" s="61" t="n"/>
      <c r="S15" s="61" t="n"/>
      <c r="T15" s="38" t="n"/>
      <c r="U15" s="38" t="n"/>
      <c r="V15" s="38" t="n"/>
      <c r="W15" s="38" t="n"/>
      <c r="X15" s="38" t="n"/>
      <c r="Y15" s="61" t="n"/>
      <c r="Z15" s="61" t="n"/>
      <c r="AA15" s="38" t="n"/>
      <c r="AB15" s="38" t="n"/>
      <c r="AC15" s="38" t="n"/>
      <c r="AD15" s="38" t="n">
        <v>2</v>
      </c>
      <c r="AE15" s="38" t="n"/>
      <c r="AF15" s="61" t="n"/>
      <c r="AG15" s="61" t="n"/>
      <c r="AH15" s="38" t="n"/>
      <c r="AI15" s="38" t="n"/>
      <c r="AJ15" s="46">
        <f>IF(SUM(F15:AI15)=0,"Очікую",SUM(F15:AI15))</f>
        <v/>
      </c>
      <c r="AK15" s="46" t="n"/>
      <c r="AL15" s="4" t="n"/>
      <c r="AM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>
        <v>2</v>
      </c>
      <c r="G16" s="38" t="n"/>
      <c r="H16" s="38" t="n"/>
      <c r="I16" s="38" t="n"/>
      <c r="J16" s="38" t="n"/>
      <c r="K16" s="61" t="n"/>
      <c r="L16" s="61" t="n"/>
      <c r="M16" s="38" t="n">
        <v>2</v>
      </c>
      <c r="N16" s="38" t="n"/>
      <c r="O16" s="38" t="n"/>
      <c r="P16" s="38" t="n"/>
      <c r="Q16" s="38" t="n"/>
      <c r="R16" s="61" t="n"/>
      <c r="S16" s="61" t="n"/>
      <c r="T16" s="38" t="n">
        <v>2</v>
      </c>
      <c r="U16" s="38" t="n"/>
      <c r="V16" s="38" t="n"/>
      <c r="W16" s="38" t="n"/>
      <c r="X16" s="38" t="n"/>
      <c r="Y16" s="61" t="n"/>
      <c r="Z16" s="61" t="n"/>
      <c r="AA16" s="38" t="n">
        <v>2</v>
      </c>
      <c r="AB16" s="38" t="n"/>
      <c r="AC16" s="38" t="n"/>
      <c r="AD16" s="38" t="n"/>
      <c r="AE16" s="38" t="n"/>
      <c r="AF16" s="61" t="n"/>
      <c r="AG16" s="61" t="n"/>
      <c r="AH16" s="38" t="n">
        <v>2</v>
      </c>
      <c r="AI16" s="38" t="n"/>
      <c r="AJ16" s="46">
        <f>IF(SUM(F16:AI16)=0,"Очікую",SUM(F16:AI16))</f>
        <v/>
      </c>
      <c r="AK16" s="46" t="n"/>
      <c r="AL16" s="4" t="n"/>
      <c r="AM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61" t="n"/>
      <c r="AG17" s="61" t="n"/>
      <c r="AH17" s="38" t="n"/>
      <c r="AI17" s="38" t="n"/>
      <c r="AJ17" s="46">
        <f>IF(SUM(F17:AI17)=0,"Очікую",SUM(F17:AI17))</f>
        <v/>
      </c>
      <c r="AK17" s="46" t="n"/>
      <c r="AL17" s="4" t="n"/>
      <c r="AM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/>
      <c r="G18" s="38" t="n">
        <v>2</v>
      </c>
      <c r="H18" s="38" t="n"/>
      <c r="I18" s="38" t="n"/>
      <c r="J18" s="38" t="n"/>
      <c r="K18" s="61" t="n"/>
      <c r="L18" s="61" t="n"/>
      <c r="M18" s="38" t="n"/>
      <c r="N18" s="38" t="n">
        <v>2</v>
      </c>
      <c r="O18" s="38" t="n"/>
      <c r="P18" s="38" t="n"/>
      <c r="Q18" s="38" t="n"/>
      <c r="R18" s="61" t="n"/>
      <c r="S18" s="61" t="n"/>
      <c r="T18" s="38" t="n"/>
      <c r="U18" s="38" t="n">
        <v>2</v>
      </c>
      <c r="V18" s="38" t="n"/>
      <c r="W18" s="38" t="n"/>
      <c r="X18" s="38" t="n"/>
      <c r="Y18" s="61" t="n"/>
      <c r="Z18" s="61" t="n"/>
      <c r="AA18" s="38" t="n"/>
      <c r="AB18" s="38" t="n">
        <v>2</v>
      </c>
      <c r="AC18" s="38" t="n"/>
      <c r="AD18" s="38" t="n"/>
      <c r="AE18" s="38" t="n"/>
      <c r="AF18" s="61" t="n"/>
      <c r="AG18" s="61" t="n"/>
      <c r="AH18" s="38" t="n"/>
      <c r="AI18" s="38" t="n">
        <v>2</v>
      </c>
      <c r="AJ18" s="46">
        <f>IF(SUM(F18:AI18)=0,"Очікую",SUM(F18:AI18))</f>
        <v/>
      </c>
      <c r="AK18" s="46" t="n"/>
      <c r="AL18" s="4" t="n"/>
      <c r="AM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>
        <v>2</v>
      </c>
      <c r="H19" s="38" t="n"/>
      <c r="I19" s="38" t="n"/>
      <c r="J19" s="38" t="n"/>
      <c r="K19" s="61" t="n"/>
      <c r="L19" s="61" t="n"/>
      <c r="M19" s="38" t="n"/>
      <c r="N19" s="38" t="n">
        <v>2</v>
      </c>
      <c r="O19" s="38" t="n"/>
      <c r="P19" s="38" t="n"/>
      <c r="Q19" s="38" t="n"/>
      <c r="R19" s="61" t="n"/>
      <c r="S19" s="61" t="n"/>
      <c r="T19" s="38" t="n"/>
      <c r="U19" s="38" t="n">
        <v>2</v>
      </c>
      <c r="V19" s="38" t="n"/>
      <c r="W19" s="38" t="n"/>
      <c r="X19" s="38" t="n"/>
      <c r="Y19" s="61" t="n"/>
      <c r="Z19" s="61" t="n"/>
      <c r="AA19" s="38" t="n"/>
      <c r="AB19" s="38" t="n">
        <v>2</v>
      </c>
      <c r="AC19" s="38" t="n"/>
      <c r="AD19" s="38" t="n"/>
      <c r="AE19" s="38" t="n"/>
      <c r="AF19" s="61" t="n"/>
      <c r="AG19" s="61" t="n"/>
      <c r="AH19" s="38" t="n"/>
      <c r="AI19" s="38" t="n">
        <v>2</v>
      </c>
      <c r="AJ19" s="46">
        <f>IF(SUM(F19:AI19)=0,"Очікую",SUM(F19:AI19))</f>
        <v/>
      </c>
      <c r="AK19" s="46" t="n"/>
      <c r="AL19" s="4" t="n"/>
      <c r="AM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Земляна Т.М.</t>
        </is>
      </c>
      <c r="F20" s="38" t="n">
        <v>2</v>
      </c>
      <c r="G20" s="38" t="n"/>
      <c r="H20" s="38" t="n"/>
      <c r="I20" s="38" t="n">
        <v>2</v>
      </c>
      <c r="J20" s="38" t="n"/>
      <c r="K20" s="61" t="n"/>
      <c r="L20" s="61" t="n"/>
      <c r="M20" s="38" t="n">
        <v>2</v>
      </c>
      <c r="N20" s="38" t="n"/>
      <c r="O20" s="38" t="n"/>
      <c r="P20" s="38" t="n">
        <v>2</v>
      </c>
      <c r="Q20" s="38" t="n"/>
      <c r="R20" s="61" t="n"/>
      <c r="S20" s="61" t="n"/>
      <c r="T20" s="38" t="n">
        <v>2</v>
      </c>
      <c r="U20" s="38" t="n"/>
      <c r="V20" s="38" t="n"/>
      <c r="W20" s="38" t="n">
        <v>2</v>
      </c>
      <c r="X20" s="38" t="n"/>
      <c r="Y20" s="61" t="n"/>
      <c r="Z20" s="61" t="n"/>
      <c r="AA20" s="38" t="n">
        <v>2</v>
      </c>
      <c r="AB20" s="38" t="n"/>
      <c r="AC20" s="38" t="n"/>
      <c r="AD20" s="38" t="n">
        <v>2</v>
      </c>
      <c r="AE20" s="38" t="n"/>
      <c r="AF20" s="61" t="n"/>
      <c r="AG20" s="61" t="n"/>
      <c r="AH20" s="38" t="n">
        <v>2</v>
      </c>
      <c r="AI20" s="38" t="n"/>
      <c r="AJ20" s="46">
        <f>IF(SUM(F20:AI20)=0,"Очікую",SUM(F20:AI20))</f>
        <v/>
      </c>
      <c r="AK20" s="46" t="n"/>
      <c r="AL20" s="4" t="n"/>
      <c r="AM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Юрченко О.Б.</t>
        </is>
      </c>
      <c r="F21" s="38" t="n"/>
      <c r="G21" s="38" t="n"/>
      <c r="H21" s="38" t="n"/>
      <c r="I21" s="38" t="n"/>
      <c r="J21" s="38" t="n">
        <v>2</v>
      </c>
      <c r="K21" s="61" t="n"/>
      <c r="L21" s="61" t="n"/>
      <c r="M21" s="38" t="n"/>
      <c r="N21" s="38" t="n"/>
      <c r="O21" s="38" t="n"/>
      <c r="P21" s="38" t="n"/>
      <c r="Q21" s="38" t="n">
        <v>2</v>
      </c>
      <c r="R21" s="61" t="n"/>
      <c r="S21" s="61" t="n"/>
      <c r="T21" s="38" t="n"/>
      <c r="U21" s="38" t="n"/>
      <c r="V21" s="38" t="n"/>
      <c r="W21" s="38" t="n"/>
      <c r="X21" s="38" t="n">
        <v>2</v>
      </c>
      <c r="Y21" s="61" t="n"/>
      <c r="Z21" s="61" t="n"/>
      <c r="AA21" s="38" t="n"/>
      <c r="AB21" s="38" t="n"/>
      <c r="AC21" s="38" t="n"/>
      <c r="AD21" s="38" t="n"/>
      <c r="AE21" s="38" t="n">
        <v>2</v>
      </c>
      <c r="AF21" s="61" t="n"/>
      <c r="AG21" s="61" t="n"/>
      <c r="AH21" s="38" t="n"/>
      <c r="AI21" s="38" t="n"/>
      <c r="AJ21" s="46">
        <f>IF(SUM(F21:AI21)=0,"Очікую",SUM(F21:AI21))</f>
        <v/>
      </c>
      <c r="AK21" s="46" t="n"/>
      <c r="AL21" s="4" t="n"/>
      <c r="AM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Юрченко О.Б.</t>
        </is>
      </c>
      <c r="F22" s="38" t="n"/>
      <c r="G22" s="38" t="n"/>
      <c r="H22" s="38" t="n"/>
      <c r="I22" s="38" t="n"/>
      <c r="J22" s="38" t="n">
        <v>2</v>
      </c>
      <c r="K22" s="61" t="n"/>
      <c r="L22" s="61" t="n"/>
      <c r="M22" s="38" t="n"/>
      <c r="N22" s="38" t="n"/>
      <c r="O22" s="38" t="n"/>
      <c r="P22" s="38" t="n"/>
      <c r="Q22" s="38" t="n">
        <v>2</v>
      </c>
      <c r="R22" s="61" t="n"/>
      <c r="S22" s="61" t="n"/>
      <c r="T22" s="38" t="n"/>
      <c r="U22" s="38" t="n"/>
      <c r="V22" s="38" t="n"/>
      <c r="W22" s="38" t="n"/>
      <c r="X22" s="38" t="n">
        <v>2</v>
      </c>
      <c r="Y22" s="61" t="n"/>
      <c r="Z22" s="61" t="n"/>
      <c r="AA22" s="38" t="n"/>
      <c r="AB22" s="38" t="n"/>
      <c r="AC22" s="38" t="n"/>
      <c r="AD22" s="38" t="n"/>
      <c r="AE22" s="38" t="n">
        <v>2</v>
      </c>
      <c r="AF22" s="61" t="n"/>
      <c r="AG22" s="61" t="n"/>
      <c r="AH22" s="38" t="n"/>
      <c r="AI22" s="38" t="n"/>
      <c r="AJ22" s="46">
        <f>IF(SUM(F22:AI22)=0,"Очікую",SUM(F22:AI22))</f>
        <v/>
      </c>
      <c r="AK22" s="46" t="n"/>
      <c r="AL22" s="4" t="n"/>
      <c r="AM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61" t="n"/>
      <c r="Z23" s="61" t="n"/>
      <c r="AA23" s="38" t="n"/>
      <c r="AB23" s="38" t="n">
        <v>2</v>
      </c>
      <c r="AC23" s="38" t="n"/>
      <c r="AD23" s="38" t="n">
        <v>2</v>
      </c>
      <c r="AE23" s="38" t="n"/>
      <c r="AF23" s="61" t="n"/>
      <c r="AG23" s="61" t="n"/>
      <c r="AH23" s="38" t="n"/>
      <c r="AI23" s="38" t="n">
        <v>2</v>
      </c>
      <c r="AJ23" s="46">
        <f>IF(SUM(F23:AI23)=0,"Очікую",SUM(F23:AI23))</f>
        <v/>
      </c>
      <c r="AK23" s="46" t="n"/>
      <c r="AL23" s="4" t="n"/>
      <c r="AM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Галеніна І.С.</t>
        </is>
      </c>
      <c r="F24" s="38" t="n">
        <v>2</v>
      </c>
      <c r="G24" s="38" t="n"/>
      <c r="H24" s="38" t="n">
        <v>2</v>
      </c>
      <c r="I24" s="38" t="n"/>
      <c r="J24" s="38" t="n"/>
      <c r="K24" s="61" t="n"/>
      <c r="L24" s="61" t="n"/>
      <c r="M24" s="38" t="n"/>
      <c r="N24" s="38" t="n"/>
      <c r="O24" s="38" t="n">
        <v>2</v>
      </c>
      <c r="P24" s="38" t="n"/>
      <c r="Q24" s="38" t="n"/>
      <c r="R24" s="61" t="n"/>
      <c r="S24" s="61" t="n"/>
      <c r="T24" s="38" t="n">
        <v>2</v>
      </c>
      <c r="U24" s="38" t="n"/>
      <c r="V24" s="38" t="n">
        <v>2</v>
      </c>
      <c r="W24" s="38" t="n"/>
      <c r="X24" s="38" t="n"/>
      <c r="Y24" s="61" t="n"/>
      <c r="Z24" s="61" t="n"/>
      <c r="AA24" s="38" t="n"/>
      <c r="AB24" s="38" t="n"/>
      <c r="AC24" s="38" t="n">
        <v>2</v>
      </c>
      <c r="AD24" s="38" t="n"/>
      <c r="AE24" s="38" t="n"/>
      <c r="AF24" s="61" t="n"/>
      <c r="AG24" s="61" t="n"/>
      <c r="AH24" s="38" t="n">
        <v>2</v>
      </c>
      <c r="AI24" s="38" t="n"/>
      <c r="AJ24" s="46">
        <f>IF(SUM(F24:AI24)=0,"Очікую",SUM(F24:AI24))</f>
        <v/>
      </c>
      <c r="AK24" s="46" t="n"/>
      <c r="AL24" s="4" t="n"/>
      <c r="AM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Сахно Н.О.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61" t="n"/>
      <c r="AG25" s="61" t="n"/>
      <c r="AH25" s="38" t="n"/>
      <c r="AI25" s="38" t="n">
        <v>2</v>
      </c>
      <c r="AJ25" s="46">
        <f>IF(SUM(F25:AI25)=0,"Очікую",SUM(F25:AI25))</f>
        <v/>
      </c>
      <c r="AK25" s="46" t="n"/>
      <c r="AL25" s="4" t="n"/>
      <c r="AM25" s="17" t="n"/>
    </row>
    <row r="26" ht="12.95" customHeight="1">
      <c r="A26" s="15" t="n"/>
      <c r="B26" s="4" t="n"/>
      <c r="C26" s="45" t="n"/>
      <c r="D26" s="45" t="n"/>
      <c r="E26" s="45" t="n"/>
      <c r="F26" s="46">
        <f>IF($AJ26="Очікую","Оч",SUM(F12:F25))</f>
        <v/>
      </c>
      <c r="G26" s="46">
        <f>IF($AJ26="Очікую","Оч",SUM(G12:G25))</f>
        <v/>
      </c>
      <c r="H26" s="46">
        <f>IF($AJ26="Очікую","Оч",SUM(H12:H25))</f>
        <v/>
      </c>
      <c r="I26" s="46">
        <f>IF($AJ26="Очікую","Оч",SUM(I12:I25))</f>
        <v/>
      </c>
      <c r="J26" s="46">
        <f>IF($AJ26="Очікую","Оч",SUM(J12:J25))</f>
        <v/>
      </c>
      <c r="K26" s="46">
        <f>IF($AJ26="Очікую","Оч",SUM(K12:K25))</f>
        <v/>
      </c>
      <c r="L26" s="46">
        <f>IF($AJ26="Очікую","Оч",SUM(L12:L25))</f>
        <v/>
      </c>
      <c r="M26" s="46">
        <f>IF($AJ26="Очікую","Оч",SUM(M12:M25))</f>
        <v/>
      </c>
      <c r="N26" s="46">
        <f>IF($AJ26="Очікую","Оч",SUM(N12:N25))</f>
        <v/>
      </c>
      <c r="O26" s="46">
        <f>IF($AJ26="Очікую","Оч",SUM(O12:O25))</f>
        <v/>
      </c>
      <c r="P26" s="46">
        <f>IF($AJ26="Очікую","Оч",SUM(P12:P25))</f>
        <v/>
      </c>
      <c r="Q26" s="46">
        <f>IF($AJ26="Очікую","Оч",SUM(Q12:Q25))</f>
        <v/>
      </c>
      <c r="R26" s="46">
        <f>IF($AJ26="Очікую","Оч",SUM(R12:R25))</f>
        <v/>
      </c>
      <c r="S26" s="46">
        <f>IF($AJ26="Очікую","Оч",SUM(S12:S25))</f>
        <v/>
      </c>
      <c r="T26" s="46">
        <f>IF($AJ26="Очікую","Оч",SUM(T12:T25))</f>
        <v/>
      </c>
      <c r="U26" s="46">
        <f>IF($AJ26="Очікую","Оч",SUM(U12:U25))</f>
        <v/>
      </c>
      <c r="V26" s="46">
        <f>IF($AJ26="Очікую","Оч",SUM(V12:V25))</f>
        <v/>
      </c>
      <c r="W26" s="46">
        <f>IF($AJ26="Очікую","Оч",SUM(W12:W25))</f>
        <v/>
      </c>
      <c r="X26" s="46">
        <f>IF($AJ26="Очікую","Оч",SUM(X12:X25))</f>
        <v/>
      </c>
      <c r="Y26" s="46">
        <f>IF($AJ26="Очікую","Оч",SUM(Y12:Y25))</f>
        <v/>
      </c>
      <c r="Z26" s="46">
        <f>IF($AJ26="Очікую","Оч",SUM(Z12:Z25))</f>
        <v/>
      </c>
      <c r="AA26" s="46">
        <f>IF($AJ26="Очікую","Оч",SUM(AA12:AA25))</f>
        <v/>
      </c>
      <c r="AB26" s="46">
        <f>IF($AJ26="Очікую","Оч",SUM(AB12:AB25))</f>
        <v/>
      </c>
      <c r="AC26" s="46">
        <f>IF($AJ26="Очікую","Оч",SUM(AC12:AC25))</f>
        <v/>
      </c>
      <c r="AD26" s="46">
        <f>IF($AJ26="Очікую","Оч",SUM(AD12:AD25))</f>
        <v/>
      </c>
      <c r="AE26" s="46">
        <f>IF($AJ26="Очікую","Оч",SUM(AE12:AE25))</f>
        <v/>
      </c>
      <c r="AF26" s="46">
        <f>IF($AJ26="Очікую","Оч",SUM(AF12:AF25))</f>
        <v/>
      </c>
      <c r="AG26" s="46">
        <f>IF($AJ26="Очікую","Оч",SUM(AG12:AG25))</f>
        <v/>
      </c>
      <c r="AH26" s="46">
        <f>IF($AJ26="Очікую","Оч",SUM(AH12:AH25))</f>
        <v/>
      </c>
      <c r="AI26" s="46">
        <f>IF($AJ26="Очікую","Оч",SUM(AI12:AI25))</f>
        <v/>
      </c>
      <c r="AJ26" s="46">
        <f>IF(SUM(AJ12:AJ25)=0,"Очікую",SUM(AJ12:AJ25))</f>
        <v/>
      </c>
      <c r="AK26" s="45" t="n"/>
      <c r="AL26" s="4" t="n"/>
      <c r="AM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  <c r="AL27" s="4" t="n"/>
      <c r="AM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45" t="n"/>
      <c r="AK28" s="45" t="n"/>
      <c r="AL28" s="4" t="n"/>
      <c r="AM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L29" s="4" t="n"/>
      <c r="AM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9:AK9"/>
    <mergeCell ref="D4:E4"/>
    <mergeCell ref="C10:C11"/>
    <mergeCell ref="E10:E11"/>
    <mergeCell ref="D3:E3"/>
    <mergeCell ref="C6:AK6"/>
    <mergeCell ref="AJ10:AJ11"/>
    <mergeCell ref="D10:D11"/>
    <mergeCell ref="C5:AK5"/>
    <mergeCell ref="C8:AK8"/>
    <mergeCell ref="F10:AI10"/>
    <mergeCell ref="AK10:AK11"/>
    <mergeCell ref="C29:AK29"/>
    <mergeCell ref="C7:AK7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M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6" max="36"/>
    <col width="5.55" customWidth="1" style="2" min="37" max="37"/>
    <col width="1.5" customWidth="1" style="2" min="38" max="38"/>
    <col width="1.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4" t="n"/>
      <c r="AM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5" t="n"/>
      <c r="AK4" s="45" t="n"/>
      <c r="AL4" s="4" t="n"/>
      <c r="AM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L5" s="4" t="n"/>
      <c r="AM5" s="17" t="n"/>
    </row>
    <row r="6" ht="15" customHeight="1">
      <c r="A6" s="15" t="n"/>
      <c r="B6" s="4" t="n"/>
      <c r="C6" s="45" t="inlineStr">
        <is>
          <t xml:space="preserve"> </t>
        </is>
      </c>
      <c r="AL6" s="4" t="n"/>
      <c r="AM6" s="17" t="n"/>
    </row>
    <row r="7" ht="15" customHeight="1">
      <c r="A7" s="15" t="n"/>
      <c r="B7" s="4" t="n"/>
      <c r="C7" s="44" t="inlineStr">
        <is>
          <t>за вересень 2025 р.</t>
        </is>
      </c>
      <c r="AL7" s="4" t="n"/>
      <c r="AM7" s="17" t="n"/>
    </row>
    <row r="8" ht="15" customHeight="1">
      <c r="A8" s="15" t="n"/>
      <c r="B8" s="4" t="n"/>
      <c r="C8" s="40" t="inlineStr">
        <is>
          <t>Спеціальнiсть 1 курс І група 25-4</t>
        </is>
      </c>
      <c r="AL8" s="4" t="n"/>
      <c r="AM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4" t="n"/>
      <c r="AM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9" t="n"/>
      <c r="AJ10" s="47" t="inlineStr">
        <is>
          <t>Дано годин</t>
        </is>
      </c>
      <c r="AK10" s="46" t="inlineStr">
        <is>
          <t>Примітка</t>
        </is>
      </c>
      <c r="AL10" s="4" t="n"/>
      <c r="AM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46" t="n">
        <v>27</v>
      </c>
      <c r="AG11" s="46" t="n">
        <v>28</v>
      </c>
      <c r="AH11" s="46" t="n">
        <v>29</v>
      </c>
      <c r="AI11" s="46" t="n">
        <v>30</v>
      </c>
      <c r="AJ11" s="60" t="n"/>
      <c r="AK11" s="60" t="n"/>
      <c r="AL11" s="4" t="n"/>
      <c r="AM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>
        <v>2</v>
      </c>
      <c r="J12" s="38" t="n"/>
      <c r="K12" s="61" t="n"/>
      <c r="L12" s="61" t="n"/>
      <c r="M12" s="38" t="n"/>
      <c r="N12" s="38" t="n"/>
      <c r="O12" s="38" t="n"/>
      <c r="P12" s="38" t="n">
        <v>2</v>
      </c>
      <c r="Q12" s="38" t="n"/>
      <c r="R12" s="61" t="n"/>
      <c r="S12" s="61" t="n"/>
      <c r="T12" s="38" t="n"/>
      <c r="U12" s="38" t="n"/>
      <c r="V12" s="38" t="n"/>
      <c r="W12" s="38" t="n">
        <v>2</v>
      </c>
      <c r="X12" s="38" t="n"/>
      <c r="Y12" s="61" t="n"/>
      <c r="Z12" s="61" t="n"/>
      <c r="AA12" s="38" t="n"/>
      <c r="AB12" s="38" t="n"/>
      <c r="AC12" s="38" t="n"/>
      <c r="AD12" s="38" t="n">
        <v>2</v>
      </c>
      <c r="AE12" s="38" t="n"/>
      <c r="AF12" s="61" t="n"/>
      <c r="AG12" s="61" t="n"/>
      <c r="AH12" s="38" t="n"/>
      <c r="AI12" s="38" t="n"/>
      <c r="AJ12" s="46">
        <f>IF(SUM(F12:AI12)=0,"Очікую",SUM(F12:AI12))</f>
        <v/>
      </c>
      <c r="AK12" s="46" t="n"/>
      <c r="AL12" s="4" t="n"/>
      <c r="AM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>
        <v>2</v>
      </c>
      <c r="G13" s="38" t="n"/>
      <c r="H13" s="38" t="n"/>
      <c r="I13" s="38" t="n"/>
      <c r="J13" s="38" t="n"/>
      <c r="K13" s="61" t="n"/>
      <c r="L13" s="61" t="n"/>
      <c r="M13" s="38" t="n">
        <v>2</v>
      </c>
      <c r="N13" s="38" t="n"/>
      <c r="O13" s="38" t="n"/>
      <c r="P13" s="38" t="n"/>
      <c r="Q13" s="38" t="n"/>
      <c r="R13" s="61" t="n"/>
      <c r="S13" s="61" t="n"/>
      <c r="T13" s="38" t="n">
        <v>2</v>
      </c>
      <c r="U13" s="38" t="n"/>
      <c r="V13" s="38" t="n"/>
      <c r="W13" s="38" t="n"/>
      <c r="X13" s="38" t="n"/>
      <c r="Y13" s="61" t="n"/>
      <c r="Z13" s="61" t="n"/>
      <c r="AA13" s="38" t="n">
        <v>2</v>
      </c>
      <c r="AB13" s="38" t="n"/>
      <c r="AC13" s="38" t="n"/>
      <c r="AD13" s="38" t="n"/>
      <c r="AE13" s="38" t="n"/>
      <c r="AF13" s="61" t="n"/>
      <c r="AG13" s="61" t="n"/>
      <c r="AH13" s="38" t="n">
        <v>2</v>
      </c>
      <c r="AI13" s="38" t="n"/>
      <c r="AJ13" s="46">
        <f>IF(SUM(F13:AI13)=0,"Очікую",SUM(F13:AI13))</f>
        <v/>
      </c>
      <c r="AK13" s="46" t="n"/>
      <c r="AL13" s="4" t="n"/>
      <c r="AM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>
        <v>2</v>
      </c>
      <c r="G14" s="38" t="n"/>
      <c r="H14" s="38" t="n"/>
      <c r="I14" s="38" t="n">
        <v>2</v>
      </c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>
        <v>2</v>
      </c>
      <c r="X14" s="38" t="n"/>
      <c r="Y14" s="61" t="n"/>
      <c r="Z14" s="61" t="n"/>
      <c r="AA14" s="38" t="n">
        <v>2</v>
      </c>
      <c r="AB14" s="38" t="n"/>
      <c r="AC14" s="38" t="n"/>
      <c r="AD14" s="38" t="n"/>
      <c r="AE14" s="38" t="n"/>
      <c r="AF14" s="61" t="n"/>
      <c r="AG14" s="61" t="n"/>
      <c r="AH14" s="38" t="n">
        <v>2</v>
      </c>
      <c r="AI14" s="38" t="n"/>
      <c r="AJ14" s="46">
        <f>IF(SUM(F14:AI14)=0,"Очікую",SUM(F14:AI14))</f>
        <v/>
      </c>
      <c r="AK14" s="46" t="n"/>
      <c r="AL14" s="4" t="n"/>
      <c r="AM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>
        <v>2</v>
      </c>
      <c r="Q15" s="38" t="n"/>
      <c r="R15" s="61" t="n"/>
      <c r="S15" s="61" t="n"/>
      <c r="T15" s="38" t="n"/>
      <c r="U15" s="38" t="n"/>
      <c r="V15" s="38" t="n"/>
      <c r="W15" s="38" t="n"/>
      <c r="X15" s="38" t="n"/>
      <c r="Y15" s="61" t="n"/>
      <c r="Z15" s="61" t="n"/>
      <c r="AA15" s="38" t="n"/>
      <c r="AB15" s="38" t="n"/>
      <c r="AC15" s="38" t="n"/>
      <c r="AD15" s="38" t="n">
        <v>2</v>
      </c>
      <c r="AE15" s="38" t="n"/>
      <c r="AF15" s="61" t="n"/>
      <c r="AG15" s="61" t="n"/>
      <c r="AH15" s="38" t="n"/>
      <c r="AI15" s="38" t="n"/>
      <c r="AJ15" s="46">
        <f>IF(SUM(F15:AI15)=0,"Очікую",SUM(F15:AI15))</f>
        <v/>
      </c>
      <c r="AK15" s="46" t="n"/>
      <c r="AL15" s="4" t="n"/>
      <c r="AM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/>
      <c r="I16" s="38" t="n"/>
      <c r="J16" s="38" t="n">
        <v>2</v>
      </c>
      <c r="K16" s="61" t="n"/>
      <c r="L16" s="61" t="n"/>
      <c r="M16" s="38" t="n"/>
      <c r="N16" s="38" t="n"/>
      <c r="O16" s="38" t="n"/>
      <c r="P16" s="38" t="n"/>
      <c r="Q16" s="38" t="n">
        <v>2</v>
      </c>
      <c r="R16" s="61" t="n"/>
      <c r="S16" s="61" t="n"/>
      <c r="T16" s="38" t="n"/>
      <c r="U16" s="38" t="n"/>
      <c r="V16" s="38" t="n"/>
      <c r="W16" s="38" t="n"/>
      <c r="X16" s="38" t="n">
        <v>2</v>
      </c>
      <c r="Y16" s="61" t="n"/>
      <c r="Z16" s="61" t="n"/>
      <c r="AA16" s="38" t="n"/>
      <c r="AB16" s="38" t="n"/>
      <c r="AC16" s="38" t="n"/>
      <c r="AD16" s="38" t="n"/>
      <c r="AE16" s="38" t="n">
        <v>2</v>
      </c>
      <c r="AF16" s="61" t="n"/>
      <c r="AG16" s="61" t="n"/>
      <c r="AH16" s="38" t="n"/>
      <c r="AI16" s="38" t="n"/>
      <c r="AJ16" s="46">
        <f>IF(SUM(F16:AI16)=0,"Очікую",SUM(F16:AI16))</f>
        <v/>
      </c>
      <c r="AK16" s="46" t="n"/>
      <c r="AL16" s="4" t="n"/>
      <c r="AM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61" t="n"/>
      <c r="AG17" s="61" t="n"/>
      <c r="AH17" s="38" t="n"/>
      <c r="AI17" s="38" t="n"/>
      <c r="AJ17" s="46">
        <f>IF(SUM(F17:AI17)=0,"Очікую",SUM(F17:AI17))</f>
        <v/>
      </c>
      <c r="AK17" s="46" t="n"/>
      <c r="AL17" s="4" t="n"/>
      <c r="AM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/>
      <c r="G18" s="38" t="n"/>
      <c r="H18" s="38" t="n">
        <v>2</v>
      </c>
      <c r="I18" s="38" t="n"/>
      <c r="J18" s="38" t="n"/>
      <c r="K18" s="61" t="n"/>
      <c r="L18" s="61" t="n"/>
      <c r="M18" s="38" t="n"/>
      <c r="N18" s="38" t="n"/>
      <c r="O18" s="38" t="n">
        <v>2</v>
      </c>
      <c r="P18" s="38" t="n"/>
      <c r="Q18" s="38" t="n"/>
      <c r="R18" s="61" t="n"/>
      <c r="S18" s="61" t="n"/>
      <c r="T18" s="38" t="n"/>
      <c r="U18" s="38" t="n"/>
      <c r="V18" s="38" t="n">
        <v>2</v>
      </c>
      <c r="W18" s="38" t="n"/>
      <c r="X18" s="38" t="n"/>
      <c r="Y18" s="61" t="n"/>
      <c r="Z18" s="61" t="n"/>
      <c r="AA18" s="38" t="n"/>
      <c r="AB18" s="38" t="n"/>
      <c r="AC18" s="38" t="n">
        <v>2</v>
      </c>
      <c r="AD18" s="38" t="n"/>
      <c r="AE18" s="38" t="n"/>
      <c r="AF18" s="61" t="n"/>
      <c r="AG18" s="61" t="n"/>
      <c r="AH18" s="38" t="n"/>
      <c r="AI18" s="38" t="n"/>
      <c r="AJ18" s="46">
        <f>IF(SUM(F18:AI18)=0,"Очікую",SUM(F18:AI18))</f>
        <v/>
      </c>
      <c r="AK18" s="46" t="n"/>
      <c r="AL18" s="4" t="n"/>
      <c r="AM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/>
      <c r="H19" s="38" t="n"/>
      <c r="I19" s="38" t="n"/>
      <c r="J19" s="38" t="n">
        <v>2</v>
      </c>
      <c r="K19" s="61" t="n"/>
      <c r="L19" s="61" t="n"/>
      <c r="M19" s="38" t="n"/>
      <c r="N19" s="38" t="n"/>
      <c r="O19" s="38" t="n"/>
      <c r="P19" s="38" t="n"/>
      <c r="Q19" s="38" t="n">
        <v>2</v>
      </c>
      <c r="R19" s="61" t="n"/>
      <c r="S19" s="61" t="n"/>
      <c r="T19" s="38" t="n"/>
      <c r="U19" s="38" t="n"/>
      <c r="V19" s="38" t="n"/>
      <c r="W19" s="38" t="n"/>
      <c r="X19" s="38" t="n">
        <v>2</v>
      </c>
      <c r="Y19" s="61" t="n"/>
      <c r="Z19" s="61" t="n"/>
      <c r="AA19" s="38" t="n"/>
      <c r="AB19" s="38" t="n"/>
      <c r="AC19" s="38" t="n"/>
      <c r="AD19" s="38" t="n"/>
      <c r="AE19" s="38" t="n">
        <v>2</v>
      </c>
      <c r="AF19" s="61" t="n"/>
      <c r="AG19" s="61" t="n"/>
      <c r="AH19" s="38" t="n"/>
      <c r="AI19" s="38" t="n"/>
      <c r="AJ19" s="46">
        <f>IF(SUM(F19:AI19)=0,"Очікую",SUM(F19:AI19))</f>
        <v/>
      </c>
      <c r="AK19" s="46" t="n"/>
      <c r="AL19" s="4" t="n"/>
      <c r="AM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Земляна Т.М.</t>
        </is>
      </c>
      <c r="F20" s="38" t="n">
        <v>2</v>
      </c>
      <c r="G20" s="38" t="n">
        <v>2</v>
      </c>
      <c r="H20" s="38" t="n"/>
      <c r="I20" s="38" t="n"/>
      <c r="J20" s="38" t="n"/>
      <c r="K20" s="61" t="n"/>
      <c r="L20" s="61" t="n"/>
      <c r="M20" s="38" t="n">
        <v>2</v>
      </c>
      <c r="N20" s="38" t="n">
        <v>2</v>
      </c>
      <c r="O20" s="38" t="n"/>
      <c r="P20" s="38" t="n"/>
      <c r="Q20" s="38" t="n"/>
      <c r="R20" s="61" t="n"/>
      <c r="S20" s="61" t="n"/>
      <c r="T20" s="38" t="n">
        <v>2</v>
      </c>
      <c r="U20" s="38" t="n">
        <v>2</v>
      </c>
      <c r="V20" s="38" t="n"/>
      <c r="W20" s="38" t="n"/>
      <c r="X20" s="38" t="n"/>
      <c r="Y20" s="61" t="n"/>
      <c r="Z20" s="61" t="n"/>
      <c r="AA20" s="38" t="n">
        <v>2</v>
      </c>
      <c r="AB20" s="38" t="n">
        <v>2</v>
      </c>
      <c r="AC20" s="38" t="n"/>
      <c r="AD20" s="38" t="n"/>
      <c r="AE20" s="38" t="n"/>
      <c r="AF20" s="61" t="n"/>
      <c r="AG20" s="61" t="n"/>
      <c r="AH20" s="38" t="n">
        <v>2</v>
      </c>
      <c r="AI20" s="38" t="n">
        <v>2</v>
      </c>
      <c r="AJ20" s="46">
        <f>IF(SUM(F20:AI20)=0,"Очікую",SUM(F20:AI20))</f>
        <v/>
      </c>
      <c r="AK20" s="46" t="n"/>
      <c r="AL20" s="4" t="n"/>
      <c r="AM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Антропова Л.І.</t>
        </is>
      </c>
      <c r="F21" s="38" t="n"/>
      <c r="G21" s="38" t="n"/>
      <c r="H21" s="38" t="n">
        <v>2</v>
      </c>
      <c r="I21" s="38" t="n"/>
      <c r="J21" s="38" t="n"/>
      <c r="K21" s="61" t="n"/>
      <c r="L21" s="61" t="n"/>
      <c r="M21" s="38" t="n"/>
      <c r="N21" s="38" t="n"/>
      <c r="O21" s="38" t="n">
        <v>2</v>
      </c>
      <c r="P21" s="38" t="n"/>
      <c r="Q21" s="38" t="n"/>
      <c r="R21" s="61" t="n"/>
      <c r="S21" s="61" t="n"/>
      <c r="T21" s="38" t="n"/>
      <c r="U21" s="38" t="n"/>
      <c r="V21" s="38" t="n">
        <v>2</v>
      </c>
      <c r="W21" s="38" t="n"/>
      <c r="X21" s="38" t="n"/>
      <c r="Y21" s="61" t="n"/>
      <c r="Z21" s="61" t="n"/>
      <c r="AA21" s="38" t="n"/>
      <c r="AB21" s="38" t="n"/>
      <c r="AC21" s="38" t="n">
        <v>2</v>
      </c>
      <c r="AD21" s="38" t="n"/>
      <c r="AE21" s="38" t="n"/>
      <c r="AF21" s="61" t="n"/>
      <c r="AG21" s="61" t="n"/>
      <c r="AH21" s="38" t="n"/>
      <c r="AI21" s="38" t="n"/>
      <c r="AJ21" s="46">
        <f>IF(SUM(F21:AI21)=0,"Очікую",SUM(F21:AI21))</f>
        <v/>
      </c>
      <c r="AK21" s="46" t="n"/>
      <c r="AL21" s="4" t="n"/>
      <c r="AM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Антропова Л.І.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61" t="n"/>
      <c r="Z22" s="61" t="n"/>
      <c r="AA22" s="38" t="n"/>
      <c r="AB22" s="38" t="n"/>
      <c r="AC22" s="38" t="n"/>
      <c r="AD22" s="38" t="n">
        <v>2</v>
      </c>
      <c r="AE22" s="38" t="n"/>
      <c r="AF22" s="61" t="n"/>
      <c r="AG22" s="61" t="n"/>
      <c r="AH22" s="38" t="n"/>
      <c r="AI22" s="38" t="n"/>
      <c r="AJ22" s="46">
        <f>IF(SUM(F22:AI22)=0,"Очікую",SUM(F22:AI22))</f>
        <v/>
      </c>
      <c r="AK22" s="46" t="n"/>
      <c r="AL22" s="4" t="n"/>
      <c r="AM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>
        <v>2</v>
      </c>
      <c r="H23" s="38" t="n"/>
      <c r="I23" s="38" t="n">
        <v>2</v>
      </c>
      <c r="J23" s="38" t="n"/>
      <c r="K23" s="61" t="n"/>
      <c r="L23" s="61" t="n"/>
      <c r="M23" s="38" t="n"/>
      <c r="N23" s="38" t="n">
        <v>2</v>
      </c>
      <c r="O23" s="38" t="n"/>
      <c r="P23" s="38" t="n">
        <v>2</v>
      </c>
      <c r="Q23" s="38" t="n"/>
      <c r="R23" s="61" t="n"/>
      <c r="S23" s="61" t="n"/>
      <c r="T23" s="38" t="n"/>
      <c r="U23" s="38" t="n">
        <v>2</v>
      </c>
      <c r="V23" s="38" t="n"/>
      <c r="W23" s="38" t="n">
        <v>2</v>
      </c>
      <c r="X23" s="38" t="n"/>
      <c r="Y23" s="61" t="n"/>
      <c r="Z23" s="61" t="n"/>
      <c r="AA23" s="38" t="n"/>
      <c r="AB23" s="38" t="n">
        <v>2</v>
      </c>
      <c r="AC23" s="38" t="n"/>
      <c r="AD23" s="38" t="n">
        <v>2</v>
      </c>
      <c r="AE23" s="38" t="n"/>
      <c r="AF23" s="61" t="n"/>
      <c r="AG23" s="61" t="n"/>
      <c r="AH23" s="38" t="n"/>
      <c r="AI23" s="38" t="n">
        <v>2</v>
      </c>
      <c r="AJ23" s="46">
        <f>IF(SUM(F23:AI23)=0,"Очікую",SUM(F23:AI23))</f>
        <v/>
      </c>
      <c r="AK23" s="46" t="n"/>
      <c r="AL23" s="4" t="n"/>
      <c r="AM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Галеніна І.С.</t>
        </is>
      </c>
      <c r="F24" s="38" t="n"/>
      <c r="G24" s="38" t="n"/>
      <c r="H24" s="38" t="n">
        <v>2</v>
      </c>
      <c r="I24" s="38" t="n"/>
      <c r="J24" s="38" t="n"/>
      <c r="K24" s="61" t="n"/>
      <c r="L24" s="61" t="n"/>
      <c r="M24" s="38" t="n"/>
      <c r="N24" s="38" t="n"/>
      <c r="O24" s="38" t="n">
        <v>2</v>
      </c>
      <c r="P24" s="38" t="n"/>
      <c r="Q24" s="38" t="n">
        <v>2</v>
      </c>
      <c r="R24" s="61" t="n"/>
      <c r="S24" s="61" t="n"/>
      <c r="T24" s="38" t="n"/>
      <c r="U24" s="38" t="n"/>
      <c r="V24" s="38" t="n">
        <v>2</v>
      </c>
      <c r="W24" s="38" t="n"/>
      <c r="X24" s="38" t="n"/>
      <c r="Y24" s="61" t="n"/>
      <c r="Z24" s="61" t="n"/>
      <c r="AA24" s="38" t="n"/>
      <c r="AB24" s="38" t="n"/>
      <c r="AC24" s="38" t="n">
        <v>2</v>
      </c>
      <c r="AD24" s="38" t="n"/>
      <c r="AE24" s="38" t="n">
        <v>2</v>
      </c>
      <c r="AF24" s="61" t="n"/>
      <c r="AG24" s="61" t="n"/>
      <c r="AH24" s="38" t="n"/>
      <c r="AI24" s="38" t="n"/>
      <c r="AJ24" s="46">
        <f>IF(SUM(F24:AI24)=0,"Очікую",SUM(F24:AI24))</f>
        <v/>
      </c>
      <c r="AK24" s="46" t="n"/>
      <c r="AL24" s="4" t="n"/>
      <c r="AM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Пономарьов К.М.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61" t="n"/>
      <c r="AG25" s="61" t="n"/>
      <c r="AH25" s="38" t="n"/>
      <c r="AI25" s="38" t="n">
        <v>2</v>
      </c>
      <c r="AJ25" s="46">
        <f>IF(SUM(F25:AI25)=0,"Очікую",SUM(F25:AI25))</f>
        <v/>
      </c>
      <c r="AK25" s="46" t="n"/>
      <c r="AL25" s="4" t="n"/>
      <c r="AM25" s="17" t="n"/>
    </row>
    <row r="26" ht="12.95" customHeight="1">
      <c r="A26" s="15" t="n"/>
      <c r="B26" s="4" t="n"/>
      <c r="C26" s="45" t="n"/>
      <c r="D26" s="45" t="n"/>
      <c r="E26" s="45" t="n"/>
      <c r="F26" s="46">
        <f>IF($AJ26="Очікую","Оч",SUM(F12:F25))</f>
        <v/>
      </c>
      <c r="G26" s="46">
        <f>IF($AJ26="Очікую","Оч",SUM(G12:G25))</f>
        <v/>
      </c>
      <c r="H26" s="46">
        <f>IF($AJ26="Очікую","Оч",SUM(H12:H25))</f>
        <v/>
      </c>
      <c r="I26" s="46">
        <f>IF($AJ26="Очікую","Оч",SUM(I12:I25))</f>
        <v/>
      </c>
      <c r="J26" s="46">
        <f>IF($AJ26="Очікую","Оч",SUM(J12:J25))</f>
        <v/>
      </c>
      <c r="K26" s="46">
        <f>IF($AJ26="Очікую","Оч",SUM(K12:K25))</f>
        <v/>
      </c>
      <c r="L26" s="46">
        <f>IF($AJ26="Очікую","Оч",SUM(L12:L25))</f>
        <v/>
      </c>
      <c r="M26" s="46">
        <f>IF($AJ26="Очікую","Оч",SUM(M12:M25))</f>
        <v/>
      </c>
      <c r="N26" s="46">
        <f>IF($AJ26="Очікую","Оч",SUM(N12:N25))</f>
        <v/>
      </c>
      <c r="O26" s="46">
        <f>IF($AJ26="Очікую","Оч",SUM(O12:O25))</f>
        <v/>
      </c>
      <c r="P26" s="46">
        <f>IF($AJ26="Очікую","Оч",SUM(P12:P25))</f>
        <v/>
      </c>
      <c r="Q26" s="46">
        <f>IF($AJ26="Очікую","Оч",SUM(Q12:Q25))</f>
        <v/>
      </c>
      <c r="R26" s="46">
        <f>IF($AJ26="Очікую","Оч",SUM(R12:R25))</f>
        <v/>
      </c>
      <c r="S26" s="46">
        <f>IF($AJ26="Очікую","Оч",SUM(S12:S25))</f>
        <v/>
      </c>
      <c r="T26" s="46">
        <f>IF($AJ26="Очікую","Оч",SUM(T12:T25))</f>
        <v/>
      </c>
      <c r="U26" s="46">
        <f>IF($AJ26="Очікую","Оч",SUM(U12:U25))</f>
        <v/>
      </c>
      <c r="V26" s="46">
        <f>IF($AJ26="Очікую","Оч",SUM(V12:V25))</f>
        <v/>
      </c>
      <c r="W26" s="46">
        <f>IF($AJ26="Очікую","Оч",SUM(W12:W25))</f>
        <v/>
      </c>
      <c r="X26" s="46">
        <f>IF($AJ26="Очікую","Оч",SUM(X12:X25))</f>
        <v/>
      </c>
      <c r="Y26" s="46">
        <f>IF($AJ26="Очікую","Оч",SUM(Y12:Y25))</f>
        <v/>
      </c>
      <c r="Z26" s="46">
        <f>IF($AJ26="Очікую","Оч",SUM(Z12:Z25))</f>
        <v/>
      </c>
      <c r="AA26" s="46">
        <f>IF($AJ26="Очікую","Оч",SUM(AA12:AA25))</f>
        <v/>
      </c>
      <c r="AB26" s="46">
        <f>IF($AJ26="Очікую","Оч",SUM(AB12:AB25))</f>
        <v/>
      </c>
      <c r="AC26" s="46">
        <f>IF($AJ26="Очікую","Оч",SUM(AC12:AC25))</f>
        <v/>
      </c>
      <c r="AD26" s="46">
        <f>IF($AJ26="Очікую","Оч",SUM(AD12:AD25))</f>
        <v/>
      </c>
      <c r="AE26" s="46">
        <f>IF($AJ26="Очікую","Оч",SUM(AE12:AE25))</f>
        <v/>
      </c>
      <c r="AF26" s="46">
        <f>IF($AJ26="Очікую","Оч",SUM(AF12:AF25))</f>
        <v/>
      </c>
      <c r="AG26" s="46">
        <f>IF($AJ26="Очікую","Оч",SUM(AG12:AG25))</f>
        <v/>
      </c>
      <c r="AH26" s="46">
        <f>IF($AJ26="Очікую","Оч",SUM(AH12:AH25))</f>
        <v/>
      </c>
      <c r="AI26" s="46">
        <f>IF($AJ26="Очікую","Оч",SUM(AI12:AI25))</f>
        <v/>
      </c>
      <c r="AJ26" s="46">
        <f>IF(SUM(AJ12:AJ25)=0,"Очікую",SUM(AJ12:AJ25))</f>
        <v/>
      </c>
      <c r="AK26" s="45" t="n"/>
      <c r="AL26" s="4" t="n"/>
      <c r="AM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  <c r="AL27" s="4" t="n"/>
      <c r="AM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45" t="n"/>
      <c r="AK28" s="45" t="n"/>
      <c r="AL28" s="4" t="n"/>
      <c r="AM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L29" s="4" t="n"/>
      <c r="AM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9:AK9"/>
    <mergeCell ref="D4:E4"/>
    <mergeCell ref="C10:C11"/>
    <mergeCell ref="E10:E11"/>
    <mergeCell ref="D3:E3"/>
    <mergeCell ref="C6:AK6"/>
    <mergeCell ref="AJ10:AJ11"/>
    <mergeCell ref="D10:D11"/>
    <mergeCell ref="C5:AK5"/>
    <mergeCell ref="C8:AK8"/>
    <mergeCell ref="F10:AI10"/>
    <mergeCell ref="AK10:AK11"/>
    <mergeCell ref="C29:AK29"/>
    <mergeCell ref="C7:AK7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AM31"/>
  <sheetViews>
    <sheetView zoomScaleNormal="100" workbookViewId="0">
      <selection activeCell="A1" sqref="A1"/>
    </sheetView>
  </sheetViews>
  <sheetFormatPr baseColWidth="8" defaultColWidth="0" defaultRowHeight="12" customHeight="1" zeroHeight="1"/>
  <cols>
    <col width="1.453125" customWidth="1" style="2" min="1" max="2"/>
    <col width="2.36328125" customWidth="1" style="2" min="3" max="3"/>
    <col width="12.54296875" customWidth="1" style="2" min="4" max="4"/>
    <col width="11.90625" customWidth="1" style="2" min="5" max="5"/>
    <col width="2.08984375" customWidth="1" style="2" min="6" max="36"/>
    <col width="4.05" customWidth="1" min="36" max="36"/>
    <col width="5.55" customWidth="1" style="2" min="37" max="37"/>
    <col width="1.5" customWidth="1" style="2" min="38" max="38"/>
    <col width="1.5" customWidth="1" style="2" min="39" max="40"/>
    <col hidden="1" width="13" customWidth="1" min="40" max="40"/>
    <col hidden="1" width="5.81640625" customWidth="1" style="2" min="41" max="16384"/>
  </cols>
  <sheetData>
    <row r="1" ht="12" customFormat="1" customHeight="1" s="3" thickBot="1">
      <c r="A1" s="12" t="inlineStr">
        <is>
          <t>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1" t="n"/>
    </row>
    <row r="2" ht="12" customFormat="1" customHeight="1" s="1">
      <c r="A2" s="15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17" t="n"/>
    </row>
    <row r="3" ht="15" customHeight="1">
      <c r="A3" s="15" t="n"/>
      <c r="B3" s="4" t="n"/>
      <c r="C3" s="5" t="n"/>
      <c r="D3" s="42" t="inlineStr">
        <is>
          <t>Міністерство освіти і науки України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4" t="n"/>
      <c r="AM3" s="17" t="n"/>
    </row>
    <row r="4" ht="65.09999999999999" customHeight="1">
      <c r="A4" s="15" t="n"/>
      <c r="B4" s="4" t="n"/>
      <c r="C4" s="45" t="n"/>
      <c r="D4" s="43" t="inlineStr">
        <is>
      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45" t="n"/>
      <c r="AK4" s="45" t="n"/>
      <c r="AL4" s="4" t="n"/>
      <c r="AM4" s="17" t="n"/>
    </row>
    <row r="5" ht="15" customHeight="1">
      <c r="A5" s="15" t="n"/>
      <c r="B5" s="4" t="n"/>
      <c r="C5" s="44" t="inlineStr">
        <is>
          <t>ВІДОМІСТЬ ОБЛІКУ ГОДИН РОБОТИ ВИКЛАДАЧА</t>
        </is>
      </c>
      <c r="AL5" s="4" t="n"/>
      <c r="AM5" s="17" t="n"/>
    </row>
    <row r="6" ht="15" customHeight="1">
      <c r="A6" s="15" t="n"/>
      <c r="B6" s="4" t="n"/>
      <c r="C6" s="45" t="inlineStr">
        <is>
          <t xml:space="preserve"> </t>
        </is>
      </c>
      <c r="AL6" s="4" t="n"/>
      <c r="AM6" s="17" t="n"/>
    </row>
    <row r="7" ht="15" customHeight="1">
      <c r="A7" s="15" t="n"/>
      <c r="B7" s="4" t="n"/>
      <c r="C7" s="44" t="inlineStr">
        <is>
          <t>за вересень 2025 р.</t>
        </is>
      </c>
      <c r="AL7" s="4" t="n"/>
      <c r="AM7" s="17" t="n"/>
    </row>
    <row r="8" ht="15" customHeight="1">
      <c r="A8" s="15" t="n"/>
      <c r="B8" s="4" t="n"/>
      <c r="C8" s="40" t="inlineStr">
        <is>
          <t>Спеціальнiсть 1 курс І група 25-5</t>
        </is>
      </c>
      <c r="AL8" s="4" t="n"/>
      <c r="AM8" s="17" t="n"/>
    </row>
    <row r="9" ht="15" customHeight="1">
      <c r="A9" s="15" t="n"/>
      <c r="B9" s="4" t="n"/>
      <c r="C9" s="41" t="n"/>
      <c r="D9" s="57" t="n"/>
      <c r="E9" s="57" t="n"/>
      <c r="F9" s="57" t="n"/>
      <c r="G9" s="57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4" t="n"/>
      <c r="AM9" s="17" t="n"/>
    </row>
    <row r="10" ht="12.95" customHeight="1">
      <c r="A10" s="15" t="n"/>
      <c r="B10" s="4" t="n"/>
      <c r="C10" s="47" t="inlineStr">
        <is>
          <t>№</t>
        </is>
      </c>
      <c r="D10" s="46" t="inlineStr">
        <is>
          <t>Предмети</t>
        </is>
      </c>
      <c r="E10" s="47" t="inlineStr">
        <is>
          <t>Прізвище та ініціали викладача</t>
        </is>
      </c>
      <c r="F10" s="46" t="inlineStr">
        <is>
          <t>Числа місяця</t>
        </is>
      </c>
      <c r="G10" s="58" t="n"/>
      <c r="H10" s="58" t="n"/>
      <c r="I10" s="58" t="n"/>
      <c r="J10" s="58" t="n"/>
      <c r="K10" s="58" t="n"/>
      <c r="L10" s="58" t="n"/>
      <c r="M10" s="58" t="n"/>
      <c r="N10" s="58" t="n"/>
      <c r="O10" s="58" t="n"/>
      <c r="P10" s="58" t="n"/>
      <c r="Q10" s="58" t="n"/>
      <c r="R10" s="58" t="n"/>
      <c r="S10" s="58" t="n"/>
      <c r="T10" s="58" t="n"/>
      <c r="U10" s="58" t="n"/>
      <c r="V10" s="58" t="n"/>
      <c r="W10" s="58" t="n"/>
      <c r="X10" s="58" t="n"/>
      <c r="Y10" s="58" t="n"/>
      <c r="Z10" s="58" t="n"/>
      <c r="AA10" s="58" t="n"/>
      <c r="AB10" s="58" t="n"/>
      <c r="AC10" s="58" t="n"/>
      <c r="AD10" s="58" t="n"/>
      <c r="AE10" s="58" t="n"/>
      <c r="AF10" s="58" t="n"/>
      <c r="AG10" s="58" t="n"/>
      <c r="AH10" s="58" t="n"/>
      <c r="AI10" s="59" t="n"/>
      <c r="AJ10" s="47" t="inlineStr">
        <is>
          <t>Дано годин</t>
        </is>
      </c>
      <c r="AK10" s="46" t="inlineStr">
        <is>
          <t>Примітка</t>
        </is>
      </c>
      <c r="AL10" s="4" t="n"/>
      <c r="AM10" s="17" t="n"/>
    </row>
    <row r="11" ht="12.95" customHeight="1">
      <c r="A11" s="15" t="n"/>
      <c r="B11" s="4" t="n"/>
      <c r="C11" s="60" t="n"/>
      <c r="D11" s="60" t="n"/>
      <c r="E11" s="60" t="n"/>
      <c r="F11" s="46" t="n">
        <v>1</v>
      </c>
      <c r="G11" s="46" t="n">
        <v>2</v>
      </c>
      <c r="H11" s="46" t="n">
        <v>3</v>
      </c>
      <c r="I11" s="46" t="n">
        <v>4</v>
      </c>
      <c r="J11" s="46" t="n">
        <v>5</v>
      </c>
      <c r="K11" s="46" t="n">
        <v>6</v>
      </c>
      <c r="L11" s="46" t="n">
        <v>7</v>
      </c>
      <c r="M11" s="46" t="n">
        <v>8</v>
      </c>
      <c r="N11" s="46" t="n">
        <v>9</v>
      </c>
      <c r="O11" s="46" t="n">
        <v>10</v>
      </c>
      <c r="P11" s="46" t="n">
        <v>11</v>
      </c>
      <c r="Q11" s="46" t="n">
        <v>12</v>
      </c>
      <c r="R11" s="46" t="n">
        <v>13</v>
      </c>
      <c r="S11" s="46" t="n">
        <v>14</v>
      </c>
      <c r="T11" s="46" t="n">
        <v>15</v>
      </c>
      <c r="U11" s="46" t="n">
        <v>16</v>
      </c>
      <c r="V11" s="46" t="n">
        <v>17</v>
      </c>
      <c r="W11" s="46" t="n">
        <v>18</v>
      </c>
      <c r="X11" s="46" t="n">
        <v>19</v>
      </c>
      <c r="Y11" s="46" t="n">
        <v>20</v>
      </c>
      <c r="Z11" s="46" t="n">
        <v>21</v>
      </c>
      <c r="AA11" s="46" t="n">
        <v>22</v>
      </c>
      <c r="AB11" s="46" t="n">
        <v>23</v>
      </c>
      <c r="AC11" s="46" t="n">
        <v>24</v>
      </c>
      <c r="AD11" s="46" t="n">
        <v>25</v>
      </c>
      <c r="AE11" s="46" t="n">
        <v>26</v>
      </c>
      <c r="AF11" s="46" t="n">
        <v>27</v>
      </c>
      <c r="AG11" s="46" t="n">
        <v>28</v>
      </c>
      <c r="AH11" s="46" t="n">
        <v>29</v>
      </c>
      <c r="AI11" s="46" t="n">
        <v>30</v>
      </c>
      <c r="AJ11" s="60" t="n"/>
      <c r="AK11" s="60" t="n"/>
      <c r="AL11" s="4" t="n"/>
      <c r="AM11" s="17" t="n"/>
    </row>
    <row r="12" ht="12.95" customHeight="1">
      <c r="A12" s="15" t="n"/>
      <c r="B12" s="4" t="n"/>
      <c r="C12" s="47" t="n">
        <v>1</v>
      </c>
      <c r="D12" s="37" t="inlineStr">
        <is>
          <t>Біологія</t>
        </is>
      </c>
      <c r="E12" s="37" t="inlineStr">
        <is>
          <t>Богданенко О.В.</t>
        </is>
      </c>
      <c r="F12" s="38" t="n"/>
      <c r="G12" s="38" t="n"/>
      <c r="H12" s="38" t="n"/>
      <c r="I12" s="38" t="n">
        <v>2</v>
      </c>
      <c r="J12" s="38" t="n"/>
      <c r="K12" s="61" t="n"/>
      <c r="L12" s="61" t="n"/>
      <c r="M12" s="38" t="n"/>
      <c r="N12" s="38" t="n"/>
      <c r="O12" s="38" t="n"/>
      <c r="P12" s="38" t="n">
        <v>2</v>
      </c>
      <c r="Q12" s="38" t="n"/>
      <c r="R12" s="61" t="n"/>
      <c r="S12" s="61" t="n"/>
      <c r="T12" s="38" t="n"/>
      <c r="U12" s="38" t="n"/>
      <c r="V12" s="38" t="n"/>
      <c r="W12" s="38" t="n">
        <v>2</v>
      </c>
      <c r="X12" s="38" t="n"/>
      <c r="Y12" s="61" t="n"/>
      <c r="Z12" s="61" t="n"/>
      <c r="AA12" s="38" t="n"/>
      <c r="AB12" s="38" t="n"/>
      <c r="AC12" s="38" t="n"/>
      <c r="AD12" s="38" t="n">
        <v>2</v>
      </c>
      <c r="AE12" s="38" t="n"/>
      <c r="AF12" s="61" t="n"/>
      <c r="AG12" s="61" t="n"/>
      <c r="AH12" s="38" t="n"/>
      <c r="AI12" s="38" t="n"/>
      <c r="AJ12" s="46">
        <f>IF(SUM(F12:AI12)=0,"Очікую",SUM(F12:AI12))</f>
        <v/>
      </c>
      <c r="AK12" s="46" t="n"/>
      <c r="AL12" s="4" t="n"/>
      <c r="AM12" s="17" t="n"/>
    </row>
    <row r="13" ht="12.95" customHeight="1">
      <c r="A13" s="15" t="n"/>
      <c r="B13" s="4" t="n"/>
      <c r="C13" s="47" t="n">
        <v>2</v>
      </c>
      <c r="D13" s="37" t="inlineStr">
        <is>
          <t>Всесвітня історія</t>
        </is>
      </c>
      <c r="E13" s="37" t="inlineStr">
        <is>
          <t>Мельничук С.А.</t>
        </is>
      </c>
      <c r="F13" s="38" t="n"/>
      <c r="G13" s="38" t="n"/>
      <c r="H13" s="38" t="n">
        <v>2</v>
      </c>
      <c r="I13" s="38" t="n"/>
      <c r="J13" s="38" t="n"/>
      <c r="K13" s="61" t="n"/>
      <c r="L13" s="61" t="n"/>
      <c r="M13" s="38" t="n"/>
      <c r="N13" s="38" t="n"/>
      <c r="O13" s="38" t="n">
        <v>2</v>
      </c>
      <c r="P13" s="38" t="n"/>
      <c r="Q13" s="38" t="n"/>
      <c r="R13" s="61" t="n"/>
      <c r="S13" s="61" t="n"/>
      <c r="T13" s="38" t="n"/>
      <c r="U13" s="38" t="n"/>
      <c r="V13" s="38" t="n">
        <v>2</v>
      </c>
      <c r="W13" s="38" t="n"/>
      <c r="X13" s="38" t="n"/>
      <c r="Y13" s="61" t="n"/>
      <c r="Z13" s="61" t="n"/>
      <c r="AA13" s="38" t="n"/>
      <c r="AB13" s="38" t="n"/>
      <c r="AC13" s="38" t="n">
        <v>2</v>
      </c>
      <c r="AD13" s="38" t="n"/>
      <c r="AE13" s="38" t="n"/>
      <c r="AF13" s="61" t="n"/>
      <c r="AG13" s="61" t="n"/>
      <c r="AH13" s="38" t="n"/>
      <c r="AI13" s="38" t="n"/>
      <c r="AJ13" s="46">
        <f>IF(SUM(F13:AI13)=0,"Очікую",SUM(F13:AI13))</f>
        <v/>
      </c>
      <c r="AK13" s="46" t="n"/>
      <c r="AL13" s="4" t="n"/>
      <c r="AM13" s="17" t="n"/>
    </row>
    <row r="14" ht="12.95" customHeight="1">
      <c r="A14" s="15" t="n"/>
      <c r="B14" s="4" t="n"/>
      <c r="C14" s="47" t="n">
        <v>3</v>
      </c>
      <c r="D14" s="37" t="inlineStr">
        <is>
          <t>Географія</t>
        </is>
      </c>
      <c r="E14" s="37" t="inlineStr">
        <is>
          <t>Наговська Т.С.</t>
        </is>
      </c>
      <c r="F14" s="38" t="n">
        <v>2</v>
      </c>
      <c r="G14" s="38" t="n"/>
      <c r="H14" s="38" t="n"/>
      <c r="I14" s="38" t="n">
        <v>2</v>
      </c>
      <c r="J14" s="38" t="n"/>
      <c r="K14" s="61" t="n"/>
      <c r="L14" s="61" t="n"/>
      <c r="M14" s="38" t="n">
        <v>2</v>
      </c>
      <c r="N14" s="38" t="n"/>
      <c r="O14" s="38" t="n"/>
      <c r="P14" s="38" t="n"/>
      <c r="Q14" s="38" t="n"/>
      <c r="R14" s="61" t="n"/>
      <c r="S14" s="61" t="n"/>
      <c r="T14" s="38" t="n">
        <v>2</v>
      </c>
      <c r="U14" s="38" t="n"/>
      <c r="V14" s="38" t="n"/>
      <c r="W14" s="38" t="n">
        <v>2</v>
      </c>
      <c r="X14" s="38" t="n"/>
      <c r="Y14" s="61" t="n"/>
      <c r="Z14" s="61" t="n"/>
      <c r="AA14" s="38" t="n">
        <v>2</v>
      </c>
      <c r="AB14" s="38" t="n"/>
      <c r="AC14" s="38" t="n"/>
      <c r="AD14" s="38" t="n"/>
      <c r="AE14" s="38" t="n"/>
      <c r="AF14" s="61" t="n"/>
      <c r="AG14" s="61" t="n"/>
      <c r="AH14" s="38" t="n">
        <v>2</v>
      </c>
      <c r="AI14" s="38" t="n"/>
      <c r="AJ14" s="46">
        <f>IF(SUM(F14:AI14)=0,"Очікую",SUM(F14:AI14))</f>
        <v/>
      </c>
      <c r="AK14" s="46" t="n"/>
      <c r="AL14" s="4" t="n"/>
      <c r="AM14" s="17" t="n"/>
    </row>
    <row r="15" ht="12.95" customHeight="1">
      <c r="A15" s="15" t="n"/>
      <c r="B15" s="4" t="n"/>
      <c r="C15" s="47" t="n">
        <v>4</v>
      </c>
      <c r="D15" s="39" t="inlineStr">
        <is>
          <t>Зарубіжна література</t>
        </is>
      </c>
      <c r="E15" s="39" t="inlineStr">
        <is>
          <t>Бабенко Л. Е.</t>
        </is>
      </c>
      <c r="F15" s="38" t="n"/>
      <c r="G15" s="38" t="n"/>
      <c r="H15" s="38" t="n"/>
      <c r="I15" s="38" t="n"/>
      <c r="J15" s="38" t="n"/>
      <c r="K15" s="61" t="n"/>
      <c r="L15" s="61" t="n"/>
      <c r="M15" s="38" t="n"/>
      <c r="N15" s="38" t="n"/>
      <c r="O15" s="38" t="n"/>
      <c r="P15" s="38" t="n">
        <v>2</v>
      </c>
      <c r="Q15" s="38" t="n"/>
      <c r="R15" s="61" t="n"/>
      <c r="S15" s="61" t="n"/>
      <c r="T15" s="38" t="n"/>
      <c r="U15" s="38" t="n"/>
      <c r="V15" s="38" t="n"/>
      <c r="W15" s="38" t="n"/>
      <c r="X15" s="38" t="n"/>
      <c r="Y15" s="61" t="n"/>
      <c r="Z15" s="61" t="n"/>
      <c r="AA15" s="38" t="n"/>
      <c r="AB15" s="38" t="n"/>
      <c r="AC15" s="38" t="n"/>
      <c r="AD15" s="38" t="n">
        <v>2</v>
      </c>
      <c r="AE15" s="38" t="n"/>
      <c r="AF15" s="61" t="n"/>
      <c r="AG15" s="61" t="n"/>
      <c r="AH15" s="38" t="n"/>
      <c r="AI15" s="38" t="n"/>
      <c r="AJ15" s="46">
        <f>IF(SUM(F15:AI15)=0,"Очікую",SUM(F15:AI15))</f>
        <v/>
      </c>
      <c r="AK15" s="46" t="n"/>
      <c r="AL15" s="4" t="n"/>
      <c r="AM15" s="17" t="n"/>
    </row>
    <row r="16" ht="12.95" customHeight="1">
      <c r="A16" s="15" t="n"/>
      <c r="B16" s="4" t="n"/>
      <c r="C16" s="47" t="n">
        <v>5</v>
      </c>
      <c r="D16" s="37" t="inlineStr">
        <is>
          <t>Захист України</t>
        </is>
      </c>
      <c r="E16" s="37" t="inlineStr">
        <is>
          <t>Лазар В.І.</t>
        </is>
      </c>
      <c r="F16" s="38" t="n"/>
      <c r="G16" s="38" t="n"/>
      <c r="H16" s="38" t="n"/>
      <c r="I16" s="38" t="n"/>
      <c r="J16" s="38" t="n">
        <v>2</v>
      </c>
      <c r="K16" s="61" t="n"/>
      <c r="L16" s="61" t="n"/>
      <c r="M16" s="38" t="n"/>
      <c r="N16" s="38" t="n"/>
      <c r="O16" s="38" t="n"/>
      <c r="P16" s="38" t="n"/>
      <c r="Q16" s="38" t="n">
        <v>2</v>
      </c>
      <c r="R16" s="61" t="n"/>
      <c r="S16" s="61" t="n"/>
      <c r="T16" s="38" t="n"/>
      <c r="U16" s="38" t="n"/>
      <c r="V16" s="38" t="n"/>
      <c r="W16" s="38" t="n"/>
      <c r="X16" s="38" t="n">
        <v>2</v>
      </c>
      <c r="Y16" s="61" t="n"/>
      <c r="Z16" s="61" t="n"/>
      <c r="AA16" s="38" t="n"/>
      <c r="AB16" s="38" t="n"/>
      <c r="AC16" s="38" t="n"/>
      <c r="AD16" s="38" t="n"/>
      <c r="AE16" s="38" t="n">
        <v>2</v>
      </c>
      <c r="AF16" s="61" t="n"/>
      <c r="AG16" s="61" t="n"/>
      <c r="AH16" s="38" t="n"/>
      <c r="AI16" s="38" t="n"/>
      <c r="AJ16" s="46">
        <f>IF(SUM(F16:AI16)=0,"Очікую",SUM(F16:AI16))</f>
        <v/>
      </c>
      <c r="AK16" s="46" t="n"/>
      <c r="AL16" s="4" t="n"/>
      <c r="AM16" s="17" t="n"/>
    </row>
    <row r="17" ht="12.95" customHeight="1">
      <c r="A17" s="15" t="n"/>
      <c r="B17" s="4" t="n"/>
      <c r="C17" s="47" t="n">
        <v>6</v>
      </c>
      <c r="D17" s="39" t="inlineStr">
        <is>
          <t>Іноземна мова</t>
        </is>
      </c>
      <c r="E17" s="39" t="inlineStr">
        <is>
          <t>Нічик Н.О.</t>
        </is>
      </c>
      <c r="F17" s="38" t="n"/>
      <c r="G17" s="38" t="n"/>
      <c r="H17" s="38" t="n">
        <v>2</v>
      </c>
      <c r="I17" s="38" t="n"/>
      <c r="J17" s="38" t="n"/>
      <c r="K17" s="61" t="n"/>
      <c r="L17" s="61" t="n"/>
      <c r="M17" s="38" t="n"/>
      <c r="N17" s="38" t="n"/>
      <c r="O17" s="38" t="n">
        <v>2</v>
      </c>
      <c r="P17" s="38" t="n"/>
      <c r="Q17" s="38" t="n"/>
      <c r="R17" s="61" t="n"/>
      <c r="S17" s="61" t="n"/>
      <c r="T17" s="38" t="n"/>
      <c r="U17" s="38" t="n"/>
      <c r="V17" s="38" t="n">
        <v>2</v>
      </c>
      <c r="W17" s="38" t="n"/>
      <c r="X17" s="38" t="n"/>
      <c r="Y17" s="61" t="n"/>
      <c r="Z17" s="61" t="n"/>
      <c r="AA17" s="38" t="n"/>
      <c r="AB17" s="38" t="n"/>
      <c r="AC17" s="38" t="n">
        <v>2</v>
      </c>
      <c r="AD17" s="38" t="n"/>
      <c r="AE17" s="38" t="n"/>
      <c r="AF17" s="61" t="n"/>
      <c r="AG17" s="61" t="n"/>
      <c r="AH17" s="38" t="n"/>
      <c r="AI17" s="38" t="n"/>
      <c r="AJ17" s="46">
        <f>IF(SUM(F17:AI17)=0,"Очікую",SUM(F17:AI17))</f>
        <v/>
      </c>
      <c r="AK17" s="46" t="n"/>
      <c r="AL17" s="4" t="n"/>
      <c r="AM17" s="17" t="n"/>
    </row>
    <row r="18" ht="12.95" customHeight="1">
      <c r="A18" s="15" t="n"/>
      <c r="B18" s="4" t="n"/>
      <c r="C18" s="47" t="n">
        <v>7</v>
      </c>
      <c r="D18" s="37" t="inlineStr">
        <is>
          <t>Інформатика</t>
        </is>
      </c>
      <c r="E18" s="37" t="inlineStr">
        <is>
          <t>Андрльє І.О.</t>
        </is>
      </c>
      <c r="F18" s="38" t="n">
        <v>2</v>
      </c>
      <c r="G18" s="38" t="n"/>
      <c r="H18" s="38" t="n"/>
      <c r="I18" s="38" t="n"/>
      <c r="J18" s="38" t="n"/>
      <c r="K18" s="61" t="n"/>
      <c r="L18" s="61" t="n"/>
      <c r="M18" s="38" t="n">
        <v>2</v>
      </c>
      <c r="N18" s="38" t="n"/>
      <c r="O18" s="38" t="n"/>
      <c r="P18" s="38" t="n"/>
      <c r="Q18" s="38" t="n"/>
      <c r="R18" s="61" t="n"/>
      <c r="S18" s="61" t="n"/>
      <c r="T18" s="38" t="n">
        <v>2</v>
      </c>
      <c r="U18" s="38" t="n"/>
      <c r="V18" s="38" t="n"/>
      <c r="W18" s="38" t="n"/>
      <c r="X18" s="38" t="n"/>
      <c r="Y18" s="61" t="n"/>
      <c r="Z18" s="61" t="n"/>
      <c r="AA18" s="38" t="n">
        <v>2</v>
      </c>
      <c r="AB18" s="38" t="n"/>
      <c r="AC18" s="38" t="n"/>
      <c r="AD18" s="38" t="n"/>
      <c r="AE18" s="38" t="n"/>
      <c r="AF18" s="61" t="n"/>
      <c r="AG18" s="61" t="n"/>
      <c r="AH18" s="38" t="n">
        <v>2</v>
      </c>
      <c r="AI18" s="38" t="n"/>
      <c r="AJ18" s="46">
        <f>IF(SUM(F18:AI18)=0,"Очікую",SUM(F18:AI18))</f>
        <v/>
      </c>
      <c r="AK18" s="46" t="n"/>
      <c r="AL18" s="4" t="n"/>
      <c r="AM18" s="17" t="n"/>
    </row>
    <row r="19" ht="12.95" customHeight="1">
      <c r="A19" s="15" t="n"/>
      <c r="B19" s="4" t="n"/>
      <c r="C19" s="47" t="n">
        <v>8</v>
      </c>
      <c r="D19" s="37" t="inlineStr">
        <is>
          <t>Історія України</t>
        </is>
      </c>
      <c r="E19" s="37" t="inlineStr">
        <is>
          <t>Левчук Т.Г.</t>
        </is>
      </c>
      <c r="F19" s="38" t="n"/>
      <c r="G19" s="38" t="n"/>
      <c r="H19" s="38" t="n"/>
      <c r="I19" s="38" t="n"/>
      <c r="J19" s="38" t="n">
        <v>2</v>
      </c>
      <c r="K19" s="61" t="n"/>
      <c r="L19" s="61" t="n"/>
      <c r="M19" s="38" t="n"/>
      <c r="N19" s="38" t="n"/>
      <c r="O19" s="38" t="n"/>
      <c r="P19" s="38" t="n"/>
      <c r="Q19" s="38" t="n">
        <v>2</v>
      </c>
      <c r="R19" s="61" t="n"/>
      <c r="S19" s="61" t="n"/>
      <c r="T19" s="38" t="n"/>
      <c r="U19" s="38" t="n"/>
      <c r="V19" s="38" t="n"/>
      <c r="W19" s="38" t="n"/>
      <c r="X19" s="38" t="n">
        <v>2</v>
      </c>
      <c r="Y19" s="61" t="n"/>
      <c r="Z19" s="61" t="n"/>
      <c r="AA19" s="38" t="n"/>
      <c r="AB19" s="38" t="n"/>
      <c r="AC19" s="38" t="n"/>
      <c r="AD19" s="38" t="n"/>
      <c r="AE19" s="38" t="n">
        <v>2</v>
      </c>
      <c r="AF19" s="61" t="n"/>
      <c r="AG19" s="61" t="n"/>
      <c r="AH19" s="38" t="n"/>
      <c r="AI19" s="38" t="n"/>
      <c r="AJ19" s="46">
        <f>IF(SUM(F19:AI19)=0,"Очікую",SUM(F19:AI19))</f>
        <v/>
      </c>
      <c r="AK19" s="46" t="n"/>
      <c r="AL19" s="4" t="n"/>
      <c r="AM19" s="17" t="n"/>
    </row>
    <row r="20" ht="12.95" customHeight="1">
      <c r="A20" s="15" t="n"/>
      <c r="B20" s="4" t="n"/>
      <c r="C20" s="47" t="n">
        <v>9</v>
      </c>
      <c r="D20" s="37" t="inlineStr">
        <is>
          <t>Математика</t>
        </is>
      </c>
      <c r="E20" s="37" t="inlineStr">
        <is>
          <t>Земляна Т.М.</t>
        </is>
      </c>
      <c r="F20" s="38" t="n"/>
      <c r="G20" s="38" t="n">
        <v>2</v>
      </c>
      <c r="H20" s="38" t="n"/>
      <c r="I20" s="38" t="n">
        <v>2</v>
      </c>
      <c r="J20" s="38" t="n"/>
      <c r="K20" s="61" t="n"/>
      <c r="L20" s="61" t="n"/>
      <c r="M20" s="38" t="n"/>
      <c r="N20" s="38" t="n">
        <v>2</v>
      </c>
      <c r="O20" s="38" t="n"/>
      <c r="P20" s="38" t="n">
        <v>2</v>
      </c>
      <c r="Q20" s="38" t="n"/>
      <c r="R20" s="61" t="n"/>
      <c r="S20" s="61" t="n"/>
      <c r="T20" s="38" t="n"/>
      <c r="U20" s="38" t="n">
        <v>2</v>
      </c>
      <c r="V20" s="38" t="n"/>
      <c r="W20" s="38" t="n">
        <v>2</v>
      </c>
      <c r="X20" s="38" t="n"/>
      <c r="Y20" s="61" t="n"/>
      <c r="Z20" s="61" t="n"/>
      <c r="AA20" s="38" t="n"/>
      <c r="AB20" s="38" t="n">
        <v>2</v>
      </c>
      <c r="AC20" s="38" t="n"/>
      <c r="AD20" s="38" t="n">
        <v>2</v>
      </c>
      <c r="AE20" s="38" t="n"/>
      <c r="AF20" s="61" t="n"/>
      <c r="AG20" s="61" t="n"/>
      <c r="AH20" s="38" t="n"/>
      <c r="AI20" s="38" t="n">
        <v>2</v>
      </c>
      <c r="AJ20" s="46">
        <f>IF(SUM(F20:AI20)=0,"Очікую",SUM(F20:AI20))</f>
        <v/>
      </c>
      <c r="AK20" s="46" t="n"/>
      <c r="AL20" s="4" t="n"/>
      <c r="AM20" s="17" t="n"/>
    </row>
    <row r="21" ht="12.95" customHeight="1">
      <c r="A21" s="15" t="n"/>
      <c r="B21" s="4" t="n"/>
      <c r="C21" s="47" t="n">
        <v>10</v>
      </c>
      <c r="D21" s="37" t="inlineStr">
        <is>
          <t>Українська література</t>
        </is>
      </c>
      <c r="E21" s="37" t="inlineStr">
        <is>
          <t>Юрченко О.Б.</t>
        </is>
      </c>
      <c r="F21" s="38" t="n"/>
      <c r="G21" s="38" t="n"/>
      <c r="H21" s="38" t="n"/>
      <c r="I21" s="38" t="n"/>
      <c r="J21" s="38" t="n">
        <v>2</v>
      </c>
      <c r="K21" s="61" t="n"/>
      <c r="L21" s="61" t="n"/>
      <c r="M21" s="38" t="n"/>
      <c r="N21" s="38" t="n"/>
      <c r="O21" s="38" t="n"/>
      <c r="P21" s="38" t="n"/>
      <c r="Q21" s="38" t="n">
        <v>2</v>
      </c>
      <c r="R21" s="61" t="n"/>
      <c r="S21" s="61" t="n"/>
      <c r="T21" s="38" t="n"/>
      <c r="U21" s="38" t="n"/>
      <c r="V21" s="38" t="n"/>
      <c r="W21" s="38" t="n"/>
      <c r="X21" s="38" t="n">
        <v>2</v>
      </c>
      <c r="Y21" s="61" t="n"/>
      <c r="Z21" s="61" t="n"/>
      <c r="AA21" s="38" t="n"/>
      <c r="AB21" s="38" t="n"/>
      <c r="AC21" s="38" t="n"/>
      <c r="AD21" s="38" t="n"/>
      <c r="AE21" s="38" t="n">
        <v>2</v>
      </c>
      <c r="AF21" s="61" t="n"/>
      <c r="AG21" s="61" t="n"/>
      <c r="AH21" s="38" t="n"/>
      <c r="AI21" s="38" t="n"/>
      <c r="AJ21" s="46">
        <f>IF(SUM(F21:AI21)=0,"Очікую",SUM(F21:AI21))</f>
        <v/>
      </c>
      <c r="AK21" s="46" t="n"/>
      <c r="AL21" s="4" t="n"/>
      <c r="AM21" s="17" t="n"/>
    </row>
    <row r="22" ht="12.95" customHeight="1">
      <c r="A22" s="15" t="n"/>
      <c r="B22" s="4" t="n"/>
      <c r="C22" s="47" t="n">
        <v>11</v>
      </c>
      <c r="D22" s="37" t="inlineStr">
        <is>
          <t>Українська мова</t>
        </is>
      </c>
      <c r="E22" s="37" t="inlineStr">
        <is>
          <t>Юрченко О.Б.</t>
        </is>
      </c>
      <c r="F22" s="38" t="n"/>
      <c r="G22" s="38" t="n"/>
      <c r="H22" s="38" t="n"/>
      <c r="I22" s="38" t="n">
        <v>2</v>
      </c>
      <c r="J22" s="38" t="n"/>
      <c r="K22" s="61" t="n"/>
      <c r="L22" s="61" t="n"/>
      <c r="M22" s="38" t="n"/>
      <c r="N22" s="38" t="n"/>
      <c r="O22" s="38" t="n"/>
      <c r="P22" s="38" t="n">
        <v>2</v>
      </c>
      <c r="Q22" s="38" t="n"/>
      <c r="R22" s="61" t="n"/>
      <c r="S22" s="61" t="n"/>
      <c r="T22" s="38" t="n"/>
      <c r="U22" s="38" t="n"/>
      <c r="V22" s="38" t="n"/>
      <c r="W22" s="38" t="n">
        <v>2</v>
      </c>
      <c r="X22" s="38" t="n"/>
      <c r="Y22" s="61" t="n"/>
      <c r="Z22" s="61" t="n"/>
      <c r="AA22" s="38" t="n"/>
      <c r="AB22" s="38" t="n"/>
      <c r="AC22" s="38" t="n"/>
      <c r="AD22" s="38" t="n">
        <v>2</v>
      </c>
      <c r="AE22" s="38" t="n"/>
      <c r="AF22" s="61" t="n"/>
      <c r="AG22" s="61" t="n"/>
      <c r="AH22" s="38" t="n"/>
      <c r="AI22" s="38" t="n"/>
      <c r="AJ22" s="46">
        <f>IF(SUM(F22:AI22)=0,"Очікую",SUM(F22:AI22))</f>
        <v/>
      </c>
      <c r="AK22" s="46" t="n"/>
      <c r="AL22" s="4" t="n"/>
      <c r="AM22" s="17" t="n"/>
    </row>
    <row r="23" ht="12.95" customHeight="1">
      <c r="A23" s="15" t="n"/>
      <c r="B23" s="4" t="n"/>
      <c r="C23" s="47" t="n">
        <v>12</v>
      </c>
      <c r="D23" s="37" t="inlineStr">
        <is>
          <t>Фізика</t>
        </is>
      </c>
      <c r="E23" s="37" t="inlineStr">
        <is>
          <t>Калюта Н.М.</t>
        </is>
      </c>
      <c r="F23" s="38" t="n"/>
      <c r="G23" s="38" t="n"/>
      <c r="H23" s="38" t="n">
        <v>2</v>
      </c>
      <c r="I23" s="38" t="n"/>
      <c r="J23" s="38" t="n">
        <v>2</v>
      </c>
      <c r="K23" s="61" t="n"/>
      <c r="L23" s="61" t="n"/>
      <c r="M23" s="38" t="n"/>
      <c r="N23" s="38" t="n"/>
      <c r="O23" s="38" t="n">
        <v>2</v>
      </c>
      <c r="P23" s="38" t="n"/>
      <c r="Q23" s="38" t="n">
        <v>2</v>
      </c>
      <c r="R23" s="61" t="n"/>
      <c r="S23" s="61" t="n"/>
      <c r="T23" s="38" t="n"/>
      <c r="U23" s="38" t="n"/>
      <c r="V23" s="38" t="n">
        <v>2</v>
      </c>
      <c r="W23" s="38" t="n"/>
      <c r="X23" s="38" t="n">
        <v>2</v>
      </c>
      <c r="Y23" s="61" t="n"/>
      <c r="Z23" s="61" t="n"/>
      <c r="AA23" s="38" t="n"/>
      <c r="AB23" s="38" t="n"/>
      <c r="AC23" s="38" t="n">
        <v>2</v>
      </c>
      <c r="AD23" s="38" t="n"/>
      <c r="AE23" s="38" t="n">
        <v>2</v>
      </c>
      <c r="AF23" s="61" t="n"/>
      <c r="AG23" s="61" t="n"/>
      <c r="AH23" s="38" t="n"/>
      <c r="AI23" s="38" t="n"/>
      <c r="AJ23" s="46">
        <f>IF(SUM(F23:AI23)=0,"Очікую",SUM(F23:AI23))</f>
        <v/>
      </c>
      <c r="AK23" s="46" t="n"/>
      <c r="AL23" s="4" t="n"/>
      <c r="AM23" s="17" t="n"/>
    </row>
    <row r="24" ht="12.95" customHeight="1">
      <c r="A24" s="15" t="n"/>
      <c r="B24" s="4" t="n"/>
      <c r="C24" s="47" t="n">
        <v>13</v>
      </c>
      <c r="D24" s="37" t="inlineStr">
        <is>
          <t>Фізична культура</t>
        </is>
      </c>
      <c r="E24" s="37" t="inlineStr">
        <is>
          <t>Галеніна І.С.</t>
        </is>
      </c>
      <c r="F24" s="38" t="n"/>
      <c r="G24" s="38" t="n"/>
      <c r="H24" s="38" t="n">
        <v>2</v>
      </c>
      <c r="I24" s="38" t="n"/>
      <c r="J24" s="38" t="n"/>
      <c r="K24" s="61" t="n"/>
      <c r="L24" s="61" t="n"/>
      <c r="M24" s="38" t="n">
        <v>2</v>
      </c>
      <c r="N24" s="38" t="n"/>
      <c r="O24" s="38" t="n">
        <v>2</v>
      </c>
      <c r="P24" s="38" t="n"/>
      <c r="Q24" s="38" t="n"/>
      <c r="R24" s="61" t="n"/>
      <c r="S24" s="61" t="n"/>
      <c r="T24" s="38" t="n"/>
      <c r="U24" s="38" t="n"/>
      <c r="V24" s="38" t="n">
        <v>2</v>
      </c>
      <c r="W24" s="38" t="n"/>
      <c r="X24" s="38" t="n"/>
      <c r="Y24" s="61" t="n"/>
      <c r="Z24" s="61" t="n"/>
      <c r="AA24" s="38" t="n">
        <v>2</v>
      </c>
      <c r="AB24" s="38" t="n"/>
      <c r="AC24" s="38" t="n">
        <v>2</v>
      </c>
      <c r="AD24" s="38" t="n"/>
      <c r="AE24" s="38" t="n"/>
      <c r="AF24" s="61" t="n"/>
      <c r="AG24" s="61" t="n"/>
      <c r="AH24" s="38" t="n"/>
      <c r="AI24" s="38" t="n"/>
      <c r="AJ24" s="46">
        <f>IF(SUM(F24:AI24)=0,"Очікую",SUM(F24:AI24))</f>
        <v/>
      </c>
      <c r="AK24" s="46" t="n"/>
      <c r="AL24" s="4" t="n"/>
      <c r="AM24" s="17" t="n"/>
    </row>
    <row r="25" ht="12.95" customHeight="1">
      <c r="A25" s="15" t="n"/>
      <c r="B25" s="4" t="n"/>
      <c r="C25" s="47" t="n">
        <v>14</v>
      </c>
      <c r="D25" s="37" t="inlineStr">
        <is>
          <t>Хімія</t>
        </is>
      </c>
      <c r="E25" s="37" t="inlineStr">
        <is>
          <t>Пономарьов К.М.</t>
        </is>
      </c>
      <c r="F25" s="38" t="n"/>
      <c r="G25" s="38" t="n">
        <v>2</v>
      </c>
      <c r="H25" s="38" t="n"/>
      <c r="I25" s="38" t="n"/>
      <c r="J25" s="38" t="n"/>
      <c r="K25" s="61" t="n"/>
      <c r="L25" s="61" t="n"/>
      <c r="M25" s="38" t="n"/>
      <c r="N25" s="38" t="n">
        <v>2</v>
      </c>
      <c r="O25" s="38" t="n"/>
      <c r="P25" s="38" t="n"/>
      <c r="Q25" s="38" t="n"/>
      <c r="R25" s="61" t="n"/>
      <c r="S25" s="61" t="n"/>
      <c r="T25" s="38" t="n"/>
      <c r="U25" s="38" t="n">
        <v>2</v>
      </c>
      <c r="V25" s="38" t="n"/>
      <c r="W25" s="38" t="n"/>
      <c r="X25" s="38" t="n"/>
      <c r="Y25" s="61" t="n"/>
      <c r="Z25" s="61" t="n"/>
      <c r="AA25" s="38" t="n"/>
      <c r="AB25" s="38" t="n">
        <v>2</v>
      </c>
      <c r="AC25" s="38" t="n"/>
      <c r="AD25" s="38" t="n"/>
      <c r="AE25" s="38" t="n"/>
      <c r="AF25" s="61" t="n"/>
      <c r="AG25" s="61" t="n"/>
      <c r="AH25" s="38" t="n"/>
      <c r="AI25" s="38" t="n">
        <v>2</v>
      </c>
      <c r="AJ25" s="46">
        <f>IF(SUM(F25:AI25)=0,"Очікую",SUM(F25:AI25))</f>
        <v/>
      </c>
      <c r="AK25" s="46" t="n"/>
      <c r="AL25" s="4" t="n"/>
      <c r="AM25" s="17" t="n"/>
    </row>
    <row r="26" ht="12.95" customHeight="1">
      <c r="A26" s="15" t="n"/>
      <c r="B26" s="4" t="n"/>
      <c r="C26" s="45" t="n"/>
      <c r="D26" s="45" t="n"/>
      <c r="E26" s="45" t="n"/>
      <c r="F26" s="46">
        <f>IF($AJ26="Очікую","Оч",SUM(F12:F25))</f>
        <v/>
      </c>
      <c r="G26" s="46">
        <f>IF($AJ26="Очікую","Оч",SUM(G12:G25))</f>
        <v/>
      </c>
      <c r="H26" s="46">
        <f>IF($AJ26="Очікую","Оч",SUM(H12:H25))</f>
        <v/>
      </c>
      <c r="I26" s="46">
        <f>IF($AJ26="Очікую","Оч",SUM(I12:I25))</f>
        <v/>
      </c>
      <c r="J26" s="46">
        <f>IF($AJ26="Очікую","Оч",SUM(J12:J25))</f>
        <v/>
      </c>
      <c r="K26" s="46">
        <f>IF($AJ26="Очікую","Оч",SUM(K12:K25))</f>
        <v/>
      </c>
      <c r="L26" s="46">
        <f>IF($AJ26="Очікую","Оч",SUM(L12:L25))</f>
        <v/>
      </c>
      <c r="M26" s="46">
        <f>IF($AJ26="Очікую","Оч",SUM(M12:M25))</f>
        <v/>
      </c>
      <c r="N26" s="46">
        <f>IF($AJ26="Очікую","Оч",SUM(N12:N25))</f>
        <v/>
      </c>
      <c r="O26" s="46">
        <f>IF($AJ26="Очікую","Оч",SUM(O12:O25))</f>
        <v/>
      </c>
      <c r="P26" s="46">
        <f>IF($AJ26="Очікую","Оч",SUM(P12:P25))</f>
        <v/>
      </c>
      <c r="Q26" s="46">
        <f>IF($AJ26="Очікую","Оч",SUM(Q12:Q25))</f>
        <v/>
      </c>
      <c r="R26" s="46">
        <f>IF($AJ26="Очікую","Оч",SUM(R12:R25))</f>
        <v/>
      </c>
      <c r="S26" s="46">
        <f>IF($AJ26="Очікую","Оч",SUM(S12:S25))</f>
        <v/>
      </c>
      <c r="T26" s="46">
        <f>IF($AJ26="Очікую","Оч",SUM(T12:T25))</f>
        <v/>
      </c>
      <c r="U26" s="46">
        <f>IF($AJ26="Очікую","Оч",SUM(U12:U25))</f>
        <v/>
      </c>
      <c r="V26" s="46">
        <f>IF($AJ26="Очікую","Оч",SUM(V12:V25))</f>
        <v/>
      </c>
      <c r="W26" s="46">
        <f>IF($AJ26="Очікую","Оч",SUM(W12:W25))</f>
        <v/>
      </c>
      <c r="X26" s="46">
        <f>IF($AJ26="Очікую","Оч",SUM(X12:X25))</f>
        <v/>
      </c>
      <c r="Y26" s="46">
        <f>IF($AJ26="Очікую","Оч",SUM(Y12:Y25))</f>
        <v/>
      </c>
      <c r="Z26" s="46">
        <f>IF($AJ26="Очікую","Оч",SUM(Z12:Z25))</f>
        <v/>
      </c>
      <c r="AA26" s="46">
        <f>IF($AJ26="Очікую","Оч",SUM(AA12:AA25))</f>
        <v/>
      </c>
      <c r="AB26" s="46">
        <f>IF($AJ26="Очікую","Оч",SUM(AB12:AB25))</f>
        <v/>
      </c>
      <c r="AC26" s="46">
        <f>IF($AJ26="Очікую","Оч",SUM(AC12:AC25))</f>
        <v/>
      </c>
      <c r="AD26" s="46">
        <f>IF($AJ26="Очікую","Оч",SUM(AD12:AD25))</f>
        <v/>
      </c>
      <c r="AE26" s="46">
        <f>IF($AJ26="Очікую","Оч",SUM(AE12:AE25))</f>
        <v/>
      </c>
      <c r="AF26" s="46">
        <f>IF($AJ26="Очікую","Оч",SUM(AF12:AF25))</f>
        <v/>
      </c>
      <c r="AG26" s="46">
        <f>IF($AJ26="Очікую","Оч",SUM(AG12:AG25))</f>
        <v/>
      </c>
      <c r="AH26" s="46">
        <f>IF($AJ26="Очікую","Оч",SUM(AH12:AH25))</f>
        <v/>
      </c>
      <c r="AI26" s="46">
        <f>IF($AJ26="Очікую","Оч",SUM(AI12:AI25))</f>
        <v/>
      </c>
      <c r="AJ26" s="46">
        <f>IF(SUM(AJ12:AJ25)=0,"Очікую",SUM(AJ12:AJ25))</f>
        <v/>
      </c>
      <c r="AK26" s="45" t="n"/>
      <c r="AL26" s="4" t="n"/>
      <c r="AM26" s="17" t="n"/>
    </row>
    <row r="27" ht="12.95" customHeight="1">
      <c r="A27" s="15" t="n"/>
      <c r="B27" s="4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  <c r="AL27" s="4" t="n"/>
      <c r="AM27" s="17" t="n"/>
    </row>
    <row r="28" ht="12.95" customHeight="1">
      <c r="A28" s="15" t="n"/>
      <c r="B28" s="4" t="n"/>
      <c r="C28" s="45" t="n"/>
      <c r="D28" s="45" t="n"/>
      <c r="E28" s="45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45" t="n"/>
      <c r="AK28" s="45" t="n"/>
      <c r="AL28" s="4" t="n"/>
      <c r="AM28" s="17" t="n"/>
    </row>
    <row r="29" ht="12.95" customHeight="1">
      <c r="A29" s="15" t="n"/>
      <c r="B29" s="4" t="n"/>
      <c r="C29" s="45" t="inlineStr">
        <is>
          <t>Завідувач відділення  ПЗСО   ______________  Маргарита БРІТІКОВА</t>
        </is>
      </c>
      <c r="AL29" s="4" t="n"/>
      <c r="AM29" s="17" t="n"/>
    </row>
    <row r="30" ht="12.95" customHeight="1">
      <c r="A30" s="15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17" t="n"/>
    </row>
    <row r="31" ht="12.95" customHeight="1">
      <c r="A31" s="13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3" t="n"/>
    </row>
    <row r="32" hidden="1" ht="12.95" customHeight="1"/>
    <row r="33" hidden="1" ht="12.95" customHeight="1"/>
    <row r="34" hidden="1" ht="12.95" customHeight="1"/>
    <row r="35" hidden="1" ht="12.95" customHeight="1"/>
    <row r="36" hidden="1" ht="12.95" customHeight="1"/>
    <row r="37" hidden="1" ht="12.95" customHeight="1"/>
    <row r="38" hidden="1" ht="12.95" customHeight="1"/>
    <row r="39" hidden="1" ht="12.95" customHeight="1"/>
    <row r="40" hidden="1" ht="12.95" customHeight="1"/>
    <row r="41" hidden="1" ht="12.95" customHeight="1"/>
    <row r="42" hidden="1" ht="12.95" customHeight="1"/>
    <row r="43" hidden="1" ht="12.95" customHeight="1"/>
    <row r="44" hidden="1" ht="12.95" customHeight="1"/>
    <row r="45" hidden="1" ht="12.95" customHeight="1"/>
    <row r="46" hidden="1" ht="12.95" customHeight="1" thickBot="1"/>
    <row r="47" hidden="1" ht="12" customHeight="1"/>
  </sheetData>
  <mergeCells count="14">
    <mergeCell ref="C9:AK9"/>
    <mergeCell ref="D4:E4"/>
    <mergeCell ref="C10:C11"/>
    <mergeCell ref="E10:E11"/>
    <mergeCell ref="D3:E3"/>
    <mergeCell ref="C6:AK6"/>
    <mergeCell ref="AJ10:AJ11"/>
    <mergeCell ref="D10:D11"/>
    <mergeCell ref="C5:AK5"/>
    <mergeCell ref="C8:AK8"/>
    <mergeCell ref="F10:AI10"/>
    <mergeCell ref="AK10:AK11"/>
    <mergeCell ref="C29:AK29"/>
    <mergeCell ref="C7:AK7"/>
  </mergeCells>
  <printOptions horizontalCentered="1"/>
  <pageMargins left="0.1968503937007874" right="0.1968503937007874" top="0.1968503937007874" bottom="0.1968503937007874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SURKOV</dc:creator>
  <dcterms:created xmlns:dcterms="http://purl.org/dc/terms/" xmlns:xsi="http://www.w3.org/2001/XMLSchema-instance" xsi:type="dcterms:W3CDTF">2024-10-09T11:05:57Z</dcterms:created>
  <dcterms:modified xmlns:dcterms="http://purl.org/dc/terms/" xmlns:xsi="http://www.w3.org/2001/XMLSchema-instance" xsi:type="dcterms:W3CDTF">2026-06-18T15:54:37Z</dcterms:modified>
  <cp:lastModifiedBy>Maxim Surkov</cp:lastModifiedBy>
  <cp:lastPrinted>2026-04-27T16:54:37Z</cp:lastPrinted>
</cp:coreProperties>
</file>