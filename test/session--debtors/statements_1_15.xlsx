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ЭтаКнига"/>
  <mc:AlternateContent xmlns:mc="http://schemas.openxmlformats.org/markup-compatibility/2006">
    <mc:Choice Requires="x15">
      <x15ac:absPath xmlns:x15ac="http://schemas.microsoft.com/office/spreadsheetml/2010/11/ac" url="D:\Sonata\test\report\"/>
    </mc:Choice>
  </mc:AlternateContent>
  <bookViews>
    <workbookView xWindow="12105" yWindow="1485" windowWidth="25425" windowHeight="19395"/>
  </bookViews>
  <sheets>
    <sheet name="Приклад" sheetId="49" r:id="rId1"/>
    <sheet name="Зведена D5" sheetId="38" r:id="rId2"/>
    <sheet name="Зведена D7" sheetId="51" r:id="rId3"/>
    <sheet name="Зведена G1" sheetId="52" r:id="rId4"/>
  </sheets>
  <definedNames>
    <definedName name="A1048577" localSheetId="1">#REF!</definedName>
    <definedName name="A1048577" localSheetId="2">#REF!</definedName>
    <definedName name="A1048577" localSheetId="3">#REF!</definedName>
    <definedName name="A1048577" localSheetId="0">#REF!</definedName>
    <definedName name="A1048577">#REF!</definedName>
    <definedName name="_xlnm.Print_Area" localSheetId="1">'Зведена D5'!$C$3:$U$36</definedName>
    <definedName name="_xlnm.Print_Area" localSheetId="2">'Зведена D7'!$C$3:$U$48</definedName>
    <definedName name="_xlnm.Print_Area" localSheetId="3">'Зведена G1'!$C$3:$U$25</definedName>
    <definedName name="_xlnm.Print_Area" localSheetId="0">Приклад!$C$3:$U$26</definedName>
    <definedName name="Ф80" localSheetId="1">#REF!</definedName>
    <definedName name="Ф80" localSheetId="2">#REF!</definedName>
    <definedName name="Ф80" localSheetId="3">#REF!</definedName>
    <definedName name="Ф80" localSheetId="0">#REF!</definedName>
    <definedName name="Ф80">#REF!</definedName>
  </definedNames>
  <calcPr calcId="152511"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 roundtripDataSignature="AMtx7mi/vqgVw2WeVD2CSZpRXBIyplAZAg=="/>
    </ext>
  </extLst>
</workbook>
</file>

<file path=xl/calcChain.xml><?xml version="1.0" encoding="utf-8"?>
<calcChain xmlns="http://schemas.openxmlformats.org/spreadsheetml/2006/main">
  <c r="G30" i="38" l="1"/>
  <c r="G29" i="38"/>
  <c r="G28" i="38"/>
  <c r="G42" i="51"/>
  <c r="G41" i="51"/>
  <c r="G40" i="51"/>
  <c r="G19" i="52"/>
  <c r="G18" i="52"/>
  <c r="G17" i="52"/>
  <c r="F23" i="52" l="1"/>
  <c r="F22" i="52"/>
  <c r="F46" i="51"/>
  <c r="F45" i="51"/>
  <c r="F34" i="38"/>
  <c r="F33" i="38"/>
  <c r="T19" i="52"/>
  <c r="S19" i="52"/>
  <c r="R19" i="52"/>
  <c r="Q19" i="52"/>
  <c r="P19" i="52"/>
  <c r="O19" i="52"/>
  <c r="N19" i="52"/>
  <c r="M19" i="52"/>
  <c r="L19" i="52"/>
  <c r="K19" i="52"/>
  <c r="J19" i="52"/>
  <c r="I19" i="52"/>
  <c r="H19" i="52"/>
  <c r="F19" i="52"/>
  <c r="T18" i="52"/>
  <c r="S18" i="52"/>
  <c r="R18" i="52"/>
  <c r="Q18" i="52"/>
  <c r="P18" i="52"/>
  <c r="O18" i="52"/>
  <c r="N18" i="52"/>
  <c r="M18" i="52"/>
  <c r="L18" i="52"/>
  <c r="K18" i="52"/>
  <c r="J18" i="52"/>
  <c r="I18" i="52"/>
  <c r="H18" i="52"/>
  <c r="F18" i="52"/>
  <c r="T17" i="52"/>
  <c r="S17" i="52"/>
  <c r="R17" i="52"/>
  <c r="Q17" i="52"/>
  <c r="P17" i="52"/>
  <c r="O17" i="52"/>
  <c r="N17" i="52"/>
  <c r="M17" i="52"/>
  <c r="L17" i="52"/>
  <c r="K17" i="52"/>
  <c r="J17" i="52"/>
  <c r="I17" i="52"/>
  <c r="H17" i="52"/>
  <c r="F17" i="52"/>
  <c r="T42" i="51"/>
  <c r="S42" i="51"/>
  <c r="R42" i="51"/>
  <c r="Q42" i="51"/>
  <c r="P42" i="51"/>
  <c r="O42" i="51"/>
  <c r="N42" i="51"/>
  <c r="M42" i="51"/>
  <c r="L42" i="51"/>
  <c r="K42" i="51"/>
  <c r="J42" i="51"/>
  <c r="I42" i="51"/>
  <c r="H42" i="51"/>
  <c r="F42" i="51"/>
  <c r="T41" i="51"/>
  <c r="S41" i="51"/>
  <c r="R41" i="51"/>
  <c r="Q41" i="51"/>
  <c r="P41" i="51"/>
  <c r="O41" i="51"/>
  <c r="N41" i="51"/>
  <c r="M41" i="51"/>
  <c r="L41" i="51"/>
  <c r="K41" i="51"/>
  <c r="J41" i="51"/>
  <c r="I41" i="51"/>
  <c r="H41" i="51"/>
  <c r="F41" i="51"/>
  <c r="T40" i="51"/>
  <c r="S40" i="51"/>
  <c r="R40" i="51"/>
  <c r="Q40" i="51"/>
  <c r="P40" i="51"/>
  <c r="O40" i="51"/>
  <c r="N40" i="51"/>
  <c r="M40" i="51"/>
  <c r="L40" i="51"/>
  <c r="K40" i="51"/>
  <c r="J40" i="51"/>
  <c r="I40" i="51"/>
  <c r="H40" i="51"/>
  <c r="F40" i="51"/>
  <c r="T30" i="38"/>
  <c r="S30" i="38"/>
  <c r="R30" i="38"/>
  <c r="Q30" i="38"/>
  <c r="P30" i="38"/>
  <c r="O30" i="38"/>
  <c r="N30" i="38"/>
  <c r="M30" i="38"/>
  <c r="L30" i="38"/>
  <c r="K30" i="38"/>
  <c r="J30" i="38"/>
  <c r="I30" i="38"/>
  <c r="H30" i="38"/>
  <c r="F30" i="38"/>
  <c r="T29" i="38"/>
  <c r="S29" i="38"/>
  <c r="R29" i="38"/>
  <c r="Q29" i="38"/>
  <c r="P29" i="38"/>
  <c r="O29" i="38"/>
  <c r="N29" i="38"/>
  <c r="M29" i="38"/>
  <c r="L29" i="38"/>
  <c r="K29" i="38"/>
  <c r="J29" i="38"/>
  <c r="I29" i="38"/>
  <c r="H29" i="38"/>
  <c r="F29" i="38"/>
  <c r="T28" i="38"/>
  <c r="S28" i="38"/>
  <c r="R28" i="38"/>
  <c r="Q28" i="38"/>
  <c r="P28" i="38"/>
  <c r="O28" i="38"/>
  <c r="N28" i="38"/>
  <c r="M28" i="38"/>
  <c r="L28" i="38"/>
  <c r="K28" i="38"/>
  <c r="J28" i="38"/>
  <c r="I28" i="38"/>
  <c r="H28" i="38"/>
  <c r="F28" i="38"/>
  <c r="U16" i="52"/>
  <c r="U15" i="52"/>
  <c r="U14" i="52"/>
  <c r="U13" i="52"/>
  <c r="U12" i="52"/>
  <c r="U11" i="52"/>
  <c r="U10" i="52"/>
  <c r="U39" i="51"/>
  <c r="U38" i="51"/>
  <c r="U37" i="51"/>
  <c r="U36" i="51"/>
  <c r="U35" i="51"/>
  <c r="U34" i="51"/>
  <c r="U33" i="51"/>
  <c r="U32" i="51"/>
  <c r="U31" i="51"/>
  <c r="U30" i="51"/>
  <c r="U29" i="51"/>
  <c r="U28" i="51"/>
  <c r="U27" i="51"/>
  <c r="U26" i="51"/>
  <c r="U25" i="51"/>
  <c r="U24" i="51"/>
  <c r="U23" i="51"/>
  <c r="U22" i="51"/>
  <c r="U21" i="51"/>
  <c r="U20" i="51"/>
  <c r="U19" i="51"/>
  <c r="U18" i="51"/>
  <c r="U17" i="51"/>
  <c r="U16" i="51"/>
  <c r="U15" i="51"/>
  <c r="U14" i="51"/>
  <c r="U13" i="51"/>
  <c r="U12" i="51"/>
  <c r="U11" i="51"/>
  <c r="U10" i="51"/>
  <c r="U11" i="38"/>
  <c r="U12" i="38"/>
  <c r="U13" i="38"/>
  <c r="U14" i="38"/>
  <c r="U15" i="38"/>
  <c r="U16" i="38"/>
  <c r="U17" i="38"/>
  <c r="U18" i="38"/>
  <c r="U19" i="38"/>
  <c r="U20" i="38"/>
  <c r="U21" i="38"/>
  <c r="U22" i="38"/>
  <c r="U23" i="38"/>
  <c r="U24" i="38"/>
  <c r="U25" i="38"/>
  <c r="U26" i="38"/>
  <c r="U27" i="38"/>
  <c r="U10" i="38"/>
  <c r="F24" i="49"/>
  <c r="F23" i="49"/>
  <c r="U11" i="49"/>
  <c r="U12" i="49"/>
  <c r="U13" i="49"/>
  <c r="U14" i="49"/>
  <c r="U15" i="49"/>
  <c r="U16" i="49"/>
  <c r="U17" i="49"/>
  <c r="U10" i="49"/>
  <c r="K20" i="49"/>
  <c r="F21" i="52" l="1"/>
  <c r="F20" i="52"/>
  <c r="F25" i="52"/>
  <c r="F48" i="51"/>
  <c r="F44" i="51"/>
  <c r="F43" i="51"/>
  <c r="F31" i="38"/>
  <c r="F32" i="38"/>
  <c r="F36" i="38"/>
  <c r="U17" i="52"/>
  <c r="U40" i="51"/>
  <c r="U28" i="38"/>
  <c r="F26" i="49"/>
  <c r="T18" i="49" l="1"/>
  <c r="T19" i="49"/>
  <c r="T20" i="49"/>
  <c r="F20" i="49"/>
  <c r="G18" i="49"/>
  <c r="I19" i="49"/>
  <c r="H18" i="49"/>
  <c r="J19" i="49"/>
  <c r="L20" i="49"/>
  <c r="I18" i="49"/>
  <c r="K19" i="49"/>
  <c r="M20" i="49"/>
  <c r="J18" i="49"/>
  <c r="L19" i="49"/>
  <c r="N20" i="49"/>
  <c r="K18" i="49"/>
  <c r="M19" i="49"/>
  <c r="O20" i="49"/>
  <c r="I20" i="49"/>
  <c r="L18" i="49"/>
  <c r="N19" i="49"/>
  <c r="P20" i="49"/>
  <c r="M18" i="49"/>
  <c r="O19" i="49"/>
  <c r="Q20" i="49"/>
  <c r="N18" i="49"/>
  <c r="P19" i="49"/>
  <c r="R20" i="49"/>
  <c r="O18" i="49"/>
  <c r="Q19" i="49"/>
  <c r="S20" i="49"/>
  <c r="P18" i="49"/>
  <c r="R19" i="49"/>
  <c r="Q18" i="49"/>
  <c r="S19" i="49"/>
  <c r="R18" i="49"/>
  <c r="S18" i="49"/>
  <c r="G20" i="49"/>
  <c r="H20" i="49"/>
  <c r="G19" i="49"/>
  <c r="H19" i="49"/>
  <c r="J20" i="49"/>
  <c r="F18" i="49"/>
  <c r="F19" i="49"/>
  <c r="F21" i="49" l="1"/>
  <c r="F22" i="49"/>
  <c r="U18" i="49"/>
</calcChain>
</file>

<file path=xl/sharedStrings.xml><?xml version="1.0" encoding="utf-8"?>
<sst xmlns="http://schemas.openxmlformats.org/spreadsheetml/2006/main" count="331" uniqueCount="104">
  <si>
    <t>Б/К</t>
  </si>
  <si>
    <t>№
п/п</t>
  </si>
  <si>
    <t>Прізвище, ім’я, по батькові</t>
  </si>
  <si>
    <t>Біологія
Богданенко О.В.</t>
  </si>
  <si>
    <t>Всесвітня історія
Мельничук С.А.</t>
  </si>
  <si>
    <t>Географія
Наговська Т.С.</t>
  </si>
  <si>
    <t>Історія України
Левчук Т.Г.</t>
  </si>
  <si>
    <t>Фізика
Калюта Н.М.</t>
  </si>
  <si>
    <t>Середній бал</t>
  </si>
  <si>
    <t>К</t>
  </si>
  <si>
    <t>Середній бал успішності з дисципліни</t>
  </si>
  <si>
    <t>Абсолютна успішність</t>
  </si>
  <si>
    <t>Якісна успішність</t>
  </si>
  <si>
    <t>Абсолютна успішність по групі</t>
  </si>
  <si>
    <t>Якісна успішність по групі</t>
  </si>
  <si>
    <t>Кількість бюджетників</t>
  </si>
  <si>
    <t>Кількість контрактників</t>
  </si>
  <si>
    <t>Класний керівник</t>
  </si>
  <si>
    <t>Кількість соціального контингенту</t>
  </si>
  <si>
    <t>Вийшли на стипендію</t>
  </si>
  <si>
    <t>Завідувач відділення ПЗСО</t>
  </si>
  <si>
    <t>Маргарита БРІТІКОВА</t>
  </si>
  <si>
    <t>ЗВЕДЕНА ВІДОМІСТЬ</t>
  </si>
  <si>
    <t>Зарубіжна література
Сербулова Ю.А.</t>
  </si>
  <si>
    <t>Математика
Бондаренко О.С.</t>
  </si>
  <si>
    <t>Підсумкові оцінки дисциплін</t>
  </si>
  <si>
    <t>Група 24-1 курс І</t>
  </si>
  <si>
    <t>Лілія АНТРОПОВА</t>
  </si>
  <si>
    <t>Захист України
Лазар В.І.</t>
  </si>
  <si>
    <t>Іноземна мова
Сербулова Ю.А.</t>
  </si>
  <si>
    <t>Інформатика
Бєльдюгіна С.С.</t>
  </si>
  <si>
    <t>Українська література
Антропова Л.І.</t>
  </si>
  <si>
    <t>Українська мова
Антропова Л.І.</t>
  </si>
  <si>
    <t>Фізична культура
Возіян О.Г.</t>
  </si>
  <si>
    <t>Хімія
Сахно Н.О.</t>
  </si>
  <si>
    <t>Астрономія
Наговська Т.С.</t>
  </si>
  <si>
    <t>Успішності студентів спеціальності 242 «Туризм»</t>
  </si>
  <si>
    <t>Карєва Анастасія Сергіївна</t>
  </si>
  <si>
    <t>Лєрманова Олена Євгенівна</t>
  </si>
  <si>
    <t>Мельниченко Софія Ігорівна</t>
  </si>
  <si>
    <t>Присяжнюк Аміна Михайлівна</t>
  </si>
  <si>
    <t>Савельєв Олександр Вячеславович</t>
  </si>
  <si>
    <t>Самойлова Яна Вячеславівна</t>
  </si>
  <si>
    <t>Стегарь Евеліна Сергіївна</t>
  </si>
  <si>
    <t>Цвєтков Андрій Геннадійович</t>
  </si>
  <si>
    <t>За IІ семестр 2024-2025 н.р.</t>
  </si>
  <si>
    <t>н/а</t>
  </si>
  <si>
    <t>S</t>
  </si>
  <si>
    <t>ВІДОКРЕМЛЕНИЙ СТРУКТУРНИЙ ПІДРОЗДІЛ «ФАХОВИЙ КОЛЕДЖ НАФТОГАЗОВИХ ТЕХНОЛОГІЙ,
ІНЖЕНЕРІЇ ТА ІНФРАСТРУКТУРИ СЕРВІСУ
ОДЕСЬКОГО НАЦІОНАЛЬНОГО ТЕХНОЛОГІЧНОГО УНІВЕРСИТЕТУ»</t>
  </si>
  <si>
    <t>Шевченко Олександр Іванович</t>
  </si>
  <si>
    <t>Ковальчук Наталія Петрівна</t>
  </si>
  <si>
    <t>Бондаренко Андрій Миколайович</t>
  </si>
  <si>
    <t>Ткаченко Ірина Сергіївна</t>
  </si>
  <si>
    <t>Мороз Віктор Васильович</t>
  </si>
  <si>
    <t>Савченко Марія Олегівна</t>
  </si>
  <si>
    <t>Кравченко Денис Юрійович</t>
  </si>
  <si>
    <t>Лисенко Олена Володимирівна</t>
  </si>
  <si>
    <t>Поліщук Артем Валерійович</t>
  </si>
  <si>
    <t>Гриценко Світлана Анатоліївна</t>
  </si>
  <si>
    <t>Романенко Юлія Андріївна</t>
  </si>
  <si>
    <t>Остапчук Максим Олександрович</t>
  </si>
  <si>
    <t>Панченко Тетяна Ігорівна</t>
  </si>
  <si>
    <t>Зінченко Богдан Романович</t>
  </si>
  <si>
    <t>Дяченко Катерина Дмитрівна</t>
  </si>
  <si>
    <t>Черненко Вадим Павлович</t>
  </si>
  <si>
    <t>Клименко Алла Михайлівна</t>
  </si>
  <si>
    <t>Яремчук Євген Степанович</t>
  </si>
  <si>
    <t>Левченко Вікторія Василівна</t>
  </si>
  <si>
    <t>Сидоренко Ілля Артемович</t>
  </si>
  <si>
    <t>Харченко Ганна Олексіївна</t>
  </si>
  <si>
    <t>Петренко Назар Борисович</t>
  </si>
  <si>
    <t>Семенюк Марина Григорівна</t>
  </si>
  <si>
    <t>Нікітенко Владислав Юрійович</t>
  </si>
  <si>
    <t>Паламарчук Оксана Валентинівна</t>
  </si>
  <si>
    <t>Козаченко Роман Анатолійович</t>
  </si>
  <si>
    <t>Шаповал Аліна Сергіївна</t>
  </si>
  <si>
    <t>Козак Дмитро Вікторович</t>
  </si>
  <si>
    <t>Білан Інна Євгенівна</t>
  </si>
  <si>
    <t>Чорний Степан Ігорович</t>
  </si>
  <si>
    <t>Гаврилюк Маргарита Тимофіївна</t>
  </si>
  <si>
    <t>Волошин Кирило Миколайович</t>
  </si>
  <si>
    <t>Куліш Дарина Олегівна</t>
  </si>
  <si>
    <t>Безуглий Юрій Віталійович</t>
  </si>
  <si>
    <t>Мельничук Людмила Петрівна</t>
  </si>
  <si>
    <t>Орленко Арсен Романович</t>
  </si>
  <si>
    <t>Гончар Марія Сергіївна</t>
  </si>
  <si>
    <t>Тимченко Олексій Вікторович</t>
  </si>
  <si>
    <t>Білик Анастасія Павлівна</t>
  </si>
  <si>
    <t>Корнієнко Владислава Іванівна</t>
  </si>
  <si>
    <t>За І семестр 2025-2026 н.р.</t>
  </si>
  <si>
    <t>Група 26-1 курс І</t>
  </si>
  <si>
    <t>Успішності студентів спеціальності D5 «Маркетинг»</t>
  </si>
  <si>
    <t>Ірина ДОПІРА</t>
  </si>
  <si>
    <t>Успішності студентів спеціальності D7 «Торгівля»</t>
  </si>
  <si>
    <t>Б</t>
  </si>
  <si>
    <t>Тарасенко Леонід Степанович</t>
  </si>
  <si>
    <t>Дубовик Віра Михайлівна</t>
  </si>
  <si>
    <t>Назаренко Єгор Віталійович</t>
  </si>
  <si>
    <t>Рябоконь Софія Юріївна</t>
  </si>
  <si>
    <t>Кушніренко Артем Олександрович</t>
  </si>
  <si>
    <t>Бондарчук Ніна Григорівна</t>
  </si>
  <si>
    <t>Соловей Микита Ігорович</t>
  </si>
  <si>
    <t>Успішності студентів спеціальності G1 «Хімічні технології та інженерія»</t>
  </si>
  <si>
    <r>
      <t xml:space="preserve">Для роботи програми </t>
    </r>
    <r>
      <rPr>
        <b/>
        <sz val="12"/>
        <color rgb="FFFF0000"/>
        <rFont val="Times New Roman"/>
        <family val="1"/>
        <charset val="204"/>
      </rPr>
      <t>S</t>
    </r>
    <r>
      <rPr>
        <b/>
        <sz val="12"/>
        <color rgb="FF000000"/>
        <rFont val="Times New Roman"/>
        <family val="1"/>
        <charset val="204"/>
      </rPr>
      <t xml:space="preserve">onata
У цьому документі повинні бути </t>
    </r>
    <r>
      <rPr>
        <b/>
        <u/>
        <sz val="12"/>
        <color rgb="FF000000"/>
        <rFont val="Times New Roman"/>
        <family val="1"/>
        <charset val="204"/>
      </rPr>
      <t xml:space="preserve"> ТІЛЬКИ </t>
    </r>
    <r>
      <rPr>
        <b/>
        <sz val="12"/>
        <color rgb="FF000000"/>
        <rFont val="Times New Roman"/>
        <family val="1"/>
        <charset val="204"/>
      </rPr>
      <t xml:space="preserve"> </t>
    </r>
    <r>
      <rPr>
        <b/>
        <sz val="12"/>
        <color rgb="FFFF0000"/>
        <rFont val="Times New Roman"/>
        <family val="1"/>
        <charset val="204"/>
      </rPr>
      <t>зведені відомості</t>
    </r>
    <r>
      <rPr>
        <b/>
        <sz val="12"/>
        <color rgb="FF000000"/>
        <rFont val="Times New Roman"/>
        <family val="1"/>
        <charset val="204"/>
      </rPr>
      <t xml:space="preserve"> усіх спеціальностей в межах однієї групи
Назви листів повинні бути "Зведена ХХХ", де ХХХ - шифр спеціальності (075 або D5 та інші)
Порядок предметів повинен бути однаковим на всіх листах (окрім листа "Приклад")
Значення, де записано ікси (Х) потрібно заповнювати
Формули не чипати. Текст "Очікую" говорить про те, що формула очікує значення для рахунку
Лист "Приклад" можна не видаляти але йому неможна змінювати назву</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</si>
</sst>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3" x14ac:knownFonts="1">
    <font>
      <sz val="11"/>
      <color rgb="FF000000"/>
      <name val="Calibri"/>
    </font>
    <font>
      <sz val="11"/>
      <color rgb="FF000000"/>
      <name val="Calibri"/>
      <family val="2"/>
      <charset val="204"/>
    </font>
    <font>
      <sz val="11"/>
      <color theme="1"/>
      <name val="Calibri"/>
      <family val="2"/>
      <scheme val="minor"/>
    </font>
    <font>
      <sz val="12"/>
      <name val="Times New Roman"/>
      <family val="1"/>
      <charset val="204"/>
    </font>
    <font>
      <b/>
      <sz val="12"/>
      <name val="Times New Roman"/>
      <family val="1"/>
      <charset val="204"/>
    </font>
    <font>
      <sz val="14"/>
      <name val="Times New Roman"/>
      <family val="1"/>
      <charset val="204"/>
    </font>
    <font>
      <b/>
      <sz val="14"/>
      <name val="Times New Roman"/>
      <family val="1"/>
      <charset val="204"/>
    </font>
    <font>
      <sz val="11"/>
      <color theme="1"/>
      <name val="Calibri"/>
      <family val="2"/>
      <charset val="204"/>
      <scheme val="minor"/>
    </font>
    <font>
      <b/>
      <sz val="12"/>
      <color rgb="FFFF0000"/>
      <name val="Times New Roman"/>
      <family val="1"/>
      <charset val="204"/>
    </font>
    <font>
      <b/>
      <sz val="11"/>
      <color rgb="FFFF0000"/>
      <name val="Times New Roman"/>
      <family val="1"/>
      <charset val="204"/>
    </font>
    <font>
      <sz val="12"/>
      <color theme="1"/>
      <name val="Times New Roman"/>
      <family val="1"/>
      <charset val="204"/>
    </font>
    <font>
      <b/>
      <sz val="12"/>
      <color rgb="FF000000"/>
      <name val="Times New Roman"/>
      <family val="1"/>
      <charset val="204"/>
    </font>
    <font>
      <b/>
      <u/>
      <sz val="12"/>
      <color rgb="FF000000"/>
      <name val="Times New Roman"/>
      <family val="1"/>
      <charset val="204"/>
    </font>
  </fonts>
  <fills count="7">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tint="-0.249977111117893"/>
        <bgColor indexed="64"/>
      </patternFill>
    </fill>
    <fill>
      <patternFill patternType="solid">
        <fgColor theme="0"/>
        <bgColor indexed="64"/>
      </patternFill>
    </fill>
    <fill>
      <patternFill patternType="solid">
        <fgColor rgb="FFBFBFBF"/>
        <bgColor indexed="64"/>
      </patternFill>
    </fill>
  </fills>
  <borders count="21">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top/>
      <bottom style="mediumDashed">
        <color auto="1"/>
      </bottom>
      <diagonal/>
    </border>
    <border>
      <left/>
      <right style="mediumDashed">
        <color auto="1"/>
      </right>
      <top/>
      <bottom/>
      <diagonal/>
    </border>
    <border>
      <left style="mediumDashed">
        <color auto="1"/>
      </left>
      <right/>
      <top/>
      <bottom/>
      <diagonal/>
    </border>
    <border>
      <left/>
      <right style="thin">
        <color indexed="64"/>
      </right>
      <top style="thin">
        <color indexed="64"/>
      </top>
      <bottom style="thin">
        <color indexed="64"/>
      </bottom>
      <diagonal/>
    </border>
    <border>
      <left/>
      <right/>
      <top style="mediumDashed">
        <color auto="1"/>
      </top>
      <bottom/>
      <diagonal/>
    </border>
    <border>
      <left style="thin">
        <color indexed="64"/>
      </left>
      <right/>
      <top style="thin">
        <color indexed="64"/>
      </top>
      <bottom/>
      <diagonal/>
    </border>
    <border>
      <left/>
      <right/>
      <top/>
      <bottom style="thin">
        <color indexed="64"/>
      </bottom>
      <diagonal/>
    </border>
    <border>
      <left style="mediumDashed">
        <color auto="1"/>
      </left>
      <right/>
      <top style="mediumDashed">
        <color auto="1"/>
      </top>
      <bottom/>
      <diagonal/>
    </border>
    <border>
      <left/>
      <right style="mediumDashed">
        <color auto="1"/>
      </right>
      <top style="mediumDashed">
        <color auto="1"/>
      </top>
      <bottom/>
      <diagonal/>
    </border>
    <border>
      <left/>
      <right style="mediumDashed">
        <color auto="1"/>
      </right>
      <top/>
      <bottom style="mediumDashed">
        <color auto="1"/>
      </bottom>
      <diagonal/>
    </border>
    <border>
      <left style="mediumDashed">
        <color auto="1"/>
      </left>
      <right/>
      <top/>
      <bottom style="mediumDashed">
        <color auto="1"/>
      </bottom>
      <diagonal/>
    </border>
    <border>
      <left style="thin">
        <color rgb="FF000000"/>
      </left>
      <right/>
      <top style="thin">
        <color indexed="64"/>
      </top>
      <bottom/>
      <diagonal/>
    </border>
    <border>
      <left style="thin">
        <color rgb="FF000000"/>
      </left>
      <right/>
      <top style="thin">
        <color indexed="64"/>
      </top>
      <bottom style="thin">
        <color theme="1"/>
      </bottom>
      <diagonal/>
    </border>
    <border>
      <left style="thin">
        <color indexed="64"/>
      </left>
      <right/>
      <top style="thin">
        <color indexed="64"/>
      </top>
      <bottom style="thin">
        <color theme="1"/>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28">
    <xf numFmtId="0" fontId="0" fillId="0" borderId="0"/>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2" fillId="0" borderId="1"/>
    <xf numFmtId="0" fontId="1" fillId="0" borderId="1"/>
    <xf numFmtId="0" fontId="2"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7" fillId="0" borderId="1"/>
    <xf numFmtId="0" fontId="7" fillId="0" borderId="1"/>
    <xf numFmtId="0" fontId="7" fillId="0" borderId="1"/>
    <xf numFmtId="0" fontId="1" fillId="0" borderId="1"/>
    <xf numFmtId="0" fontId="2" fillId="0" borderId="1"/>
  </cellStyleXfs>
  <cellXfs count="65">
    <xf numFmtId="0" fontId="0" fillId="0" borderId="0" xfId="0"/>
    <xf numFmtId="0" fontId="3" fillId="4" borderId="1" xfId="5" applyFont="1" applyFill="1" applyAlignment="1">
      <alignment horizontal="center" vertical="center"/>
    </xf>
    <xf numFmtId="0" fontId="5" fillId="4" borderId="1" xfId="5" applyFont="1" applyFill="1" applyAlignment="1">
      <alignment horizontal="center" vertical="center"/>
    </xf>
    <xf numFmtId="0" fontId="6" fillId="4" borderId="1" xfId="5" applyFont="1" applyFill="1" applyAlignment="1">
      <alignment horizontal="center" vertical="center"/>
    </xf>
    <xf numFmtId="0" fontId="3" fillId="5" borderId="2" xfId="5" applyFont="1" applyFill="1" applyBorder="1" applyAlignment="1" applyProtection="1">
      <alignment horizontal="center" vertical="center"/>
      <protection locked="0"/>
    </xf>
    <xf numFmtId="0" fontId="3" fillId="4" borderId="1" xfId="5" applyFont="1" applyFill="1" applyAlignment="1" applyProtection="1">
      <alignment horizontal="center" vertical="center"/>
      <protection hidden="1"/>
    </xf>
    <xf numFmtId="0" fontId="3" fillId="5" borderId="2" xfId="5" applyFont="1" applyFill="1" applyBorder="1" applyAlignment="1" applyProtection="1">
      <alignment horizontal="center" vertical="center"/>
      <protection hidden="1"/>
    </xf>
    <xf numFmtId="0" fontId="3" fillId="5" borderId="1" xfId="5" applyFont="1" applyFill="1" applyAlignment="1" applyProtection="1">
      <alignment horizontal="center" vertical="center"/>
      <protection hidden="1"/>
    </xf>
    <xf numFmtId="0" fontId="3" fillId="5" borderId="2" xfId="5" applyFont="1" applyFill="1" applyBorder="1" applyAlignment="1" applyProtection="1">
      <alignment horizontal="left" vertical="center" wrapText="1"/>
      <protection hidden="1"/>
    </xf>
    <xf numFmtId="164" fontId="3" fillId="2" borderId="2" xfId="5" applyNumberFormat="1" applyFont="1" applyFill="1" applyBorder="1" applyAlignment="1" applyProtection="1">
      <alignment horizontal="center" vertical="center"/>
      <protection hidden="1"/>
    </xf>
    <xf numFmtId="2" fontId="3" fillId="2" borderId="2" xfId="5" applyNumberFormat="1" applyFont="1" applyFill="1" applyBorder="1" applyAlignment="1" applyProtection="1">
      <alignment horizontal="center" vertical="center"/>
      <protection hidden="1"/>
    </xf>
    <xf numFmtId="164" fontId="3" fillId="3" borderId="6" xfId="5" applyNumberFormat="1" applyFont="1" applyFill="1" applyBorder="1" applyAlignment="1" applyProtection="1">
      <alignment horizontal="center" vertical="center"/>
      <protection hidden="1"/>
    </xf>
    <xf numFmtId="0" fontId="5" fillId="5" borderId="1" xfId="5" applyFont="1" applyFill="1" applyAlignment="1" applyProtection="1">
      <alignment horizontal="left" vertical="center"/>
      <protection hidden="1"/>
    </xf>
    <xf numFmtId="0" fontId="3" fillId="4" borderId="4" xfId="5" applyFont="1" applyFill="1" applyBorder="1" applyAlignment="1" applyProtection="1">
      <alignment vertical="center"/>
      <protection locked="0" hidden="1"/>
    </xf>
    <xf numFmtId="0" fontId="3" fillId="4" borderId="1" xfId="5" applyFont="1" applyFill="1" applyAlignment="1" applyProtection="1">
      <alignment horizontal="center" vertical="center"/>
      <protection locked="0" hidden="1"/>
    </xf>
    <xf numFmtId="0" fontId="5" fillId="5" borderId="5" xfId="5" applyFont="1" applyFill="1" applyBorder="1" applyAlignment="1" applyProtection="1">
      <alignment vertical="center"/>
      <protection locked="0" hidden="1"/>
    </xf>
    <xf numFmtId="0" fontId="3" fillId="0" borderId="2" xfId="5" applyFont="1" applyBorder="1" applyAlignment="1" applyProtection="1">
      <alignment horizontal="center" textRotation="90" wrapText="1"/>
      <protection locked="0"/>
    </xf>
    <xf numFmtId="0" fontId="3" fillId="5" borderId="3" xfId="5" applyFont="1" applyFill="1" applyBorder="1" applyAlignment="1" applyProtection="1">
      <alignment vertical="center"/>
      <protection hidden="1"/>
    </xf>
    <xf numFmtId="0" fontId="3" fillId="5" borderId="12" xfId="5" applyFont="1" applyFill="1" applyBorder="1" applyAlignment="1" applyProtection="1">
      <alignment vertical="center"/>
      <protection hidden="1"/>
    </xf>
    <xf numFmtId="0" fontId="3" fillId="4" borderId="1" xfId="5" applyFont="1" applyFill="1" applyAlignment="1" applyProtection="1">
      <alignment vertical="center"/>
      <protection hidden="1"/>
    </xf>
    <xf numFmtId="0" fontId="3" fillId="5" borderId="10" xfId="5" applyFont="1" applyFill="1" applyBorder="1" applyAlignment="1" applyProtection="1">
      <alignment vertical="center"/>
      <protection hidden="1"/>
    </xf>
    <xf numFmtId="0" fontId="3" fillId="5" borderId="7" xfId="5" applyFont="1" applyFill="1" applyBorder="1" applyAlignment="1" applyProtection="1">
      <alignment vertical="center"/>
      <protection hidden="1"/>
    </xf>
    <xf numFmtId="0" fontId="3" fillId="4" borderId="1" xfId="5" applyFont="1" applyFill="1" applyAlignment="1" applyProtection="1">
      <alignment vertical="center"/>
      <protection locked="0" hidden="1"/>
    </xf>
    <xf numFmtId="0" fontId="3" fillId="5" borderId="11" xfId="5" applyFont="1" applyFill="1" applyBorder="1" applyAlignment="1" applyProtection="1">
      <alignment vertical="center"/>
      <protection hidden="1"/>
    </xf>
    <xf numFmtId="0" fontId="3" fillId="5" borderId="4" xfId="5" applyFont="1" applyFill="1" applyBorder="1" applyAlignment="1" applyProtection="1">
      <alignment vertical="center"/>
      <protection hidden="1"/>
    </xf>
    <xf numFmtId="0" fontId="5" fillId="5" borderId="13" xfId="5" applyFont="1" applyFill="1" applyBorder="1" applyAlignment="1" applyProtection="1">
      <alignment vertical="center"/>
      <protection locked="0" hidden="1"/>
    </xf>
    <xf numFmtId="0" fontId="3" fillId="5" borderId="4" xfId="5" applyFont="1" applyFill="1" applyBorder="1" applyAlignment="1" applyProtection="1">
      <alignment vertical="center"/>
      <protection locked="0" hidden="1"/>
    </xf>
    <xf numFmtId="0" fontId="3" fillId="4" borderId="4" xfId="5" applyFont="1" applyFill="1" applyBorder="1" applyAlignment="1" applyProtection="1">
      <alignment vertical="center"/>
      <protection hidden="1"/>
    </xf>
    <xf numFmtId="0" fontId="5" fillId="5" borderId="5" xfId="5" applyFont="1" applyFill="1" applyBorder="1" applyAlignment="1" applyProtection="1">
      <alignment vertical="center"/>
      <protection hidden="1"/>
    </xf>
    <xf numFmtId="0" fontId="5" fillId="5" borderId="13" xfId="5" applyFont="1" applyFill="1" applyBorder="1" applyAlignment="1" applyProtection="1">
      <alignment vertical="center"/>
      <protection hidden="1"/>
    </xf>
    <xf numFmtId="0" fontId="5" fillId="5" borderId="1" xfId="5" applyFont="1" applyFill="1" applyAlignment="1" applyProtection="1">
      <alignment horizontal="left" vertical="center"/>
      <protection locked="0"/>
    </xf>
    <xf numFmtId="0" fontId="5" fillId="4" borderId="1" xfId="5" applyFont="1" applyFill="1" applyAlignment="1" applyProtection="1">
      <alignment horizontal="center" vertical="center"/>
      <protection hidden="1"/>
    </xf>
    <xf numFmtId="0" fontId="6" fillId="4" borderId="1" xfId="5" applyFont="1" applyFill="1" applyAlignment="1" applyProtection="1">
      <alignment horizontal="center" vertical="center"/>
      <protection hidden="1"/>
    </xf>
    <xf numFmtId="0" fontId="3" fillId="0" borderId="2" xfId="5" applyFont="1" applyBorder="1" applyAlignment="1" applyProtection="1">
      <alignment horizontal="center" textRotation="90" wrapText="1"/>
      <protection hidden="1"/>
    </xf>
    <xf numFmtId="0" fontId="9" fillId="4" borderId="1" xfId="5" applyFont="1" applyFill="1" applyAlignment="1" applyProtection="1">
      <alignment horizontal="center" vertical="top"/>
      <protection hidden="1"/>
    </xf>
    <xf numFmtId="0" fontId="9" fillId="4" borderId="1" xfId="5" applyFont="1" applyFill="1" applyAlignment="1" applyProtection="1">
      <alignment horizontal="center" vertical="center"/>
      <protection hidden="1"/>
    </xf>
    <xf numFmtId="0" fontId="3" fillId="5" borderId="8" xfId="5" applyFont="1" applyFill="1" applyBorder="1" applyAlignment="1">
      <alignment horizontal="center" vertical="center" wrapText="1"/>
    </xf>
    <xf numFmtId="0" fontId="3" fillId="5" borderId="8" xfId="5" applyFont="1" applyFill="1" applyBorder="1" applyAlignment="1">
      <alignment horizontal="left" vertical="center" wrapText="1"/>
    </xf>
    <xf numFmtId="0" fontId="3" fillId="5" borderId="8" xfId="5" applyFont="1" applyFill="1" applyBorder="1" applyAlignment="1">
      <alignment horizontal="center" vertical="center"/>
    </xf>
    <xf numFmtId="0" fontId="3" fillId="5" borderId="16" xfId="5" applyFont="1" applyFill="1" applyBorder="1" applyAlignment="1">
      <alignment horizontal="center" vertical="center" wrapText="1"/>
    </xf>
    <xf numFmtId="0" fontId="3" fillId="5" borderId="16" xfId="5" applyFont="1" applyFill="1" applyBorder="1" applyAlignment="1">
      <alignment horizontal="left" vertical="center" wrapText="1"/>
    </xf>
    <xf numFmtId="0" fontId="3" fillId="5" borderId="16" xfId="5" applyFont="1" applyFill="1" applyBorder="1" applyAlignment="1">
      <alignment horizontal="center" vertical="center"/>
    </xf>
    <xf numFmtId="2" fontId="10" fillId="2" borderId="2" xfId="5" applyNumberFormat="1" applyFont="1" applyFill="1" applyBorder="1" applyAlignment="1">
      <alignment horizontal="center" vertical="center"/>
    </xf>
    <xf numFmtId="0" fontId="3" fillId="5" borderId="14" xfId="5" applyFont="1" applyFill="1" applyBorder="1" applyAlignment="1">
      <alignment horizontal="center" vertical="center" wrapText="1"/>
    </xf>
    <xf numFmtId="0" fontId="3" fillId="5" borderId="15" xfId="5" applyFont="1" applyFill="1" applyBorder="1" applyAlignment="1">
      <alignment horizontal="center" vertical="center" wrapText="1"/>
    </xf>
    <xf numFmtId="0" fontId="3" fillId="5" borderId="2" xfId="5" applyFont="1" applyFill="1" applyBorder="1" applyAlignment="1">
      <alignment horizontal="center" vertical="center" wrapText="1"/>
    </xf>
    <xf numFmtId="0" fontId="3" fillId="5" borderId="17" xfId="5" applyFont="1" applyFill="1" applyBorder="1" applyAlignment="1" applyProtection="1">
      <alignment horizontal="left" vertical="center" wrapText="1"/>
      <protection hidden="1"/>
    </xf>
    <xf numFmtId="164" fontId="3" fillId="2" borderId="17" xfId="5" applyNumberFormat="1" applyFont="1" applyFill="1" applyBorder="1" applyAlignment="1" applyProtection="1">
      <alignment horizontal="center" vertical="center"/>
      <protection hidden="1"/>
    </xf>
    <xf numFmtId="0" fontId="3" fillId="5" borderId="2" xfId="5" applyFont="1" applyFill="1" applyBorder="1" applyAlignment="1">
      <alignment horizontal="left" vertical="center" wrapText="1"/>
    </xf>
    <xf numFmtId="0" fontId="3" fillId="5" borderId="2" xfId="5" applyFont="1" applyFill="1" applyBorder="1" applyAlignment="1">
      <alignment horizontal="center" vertical="center"/>
    </xf>
    <xf numFmtId="0" fontId="11" fillId="6" borderId="1" xfId="5" applyFont="1" applyFill="1" applyAlignment="1" applyProtection="1">
      <alignment horizontal="left" vertical="top" wrapText="1"/>
      <protection hidden="1"/>
    </xf>
    <xf numFmtId="0" fontId="3" fillId="5" borderId="2" xfId="5" quotePrefix="1" applyFont="1" applyFill="1" applyBorder="1" applyAlignment="1" applyProtection="1">
      <alignment horizontal="center" vertical="center"/>
      <protection hidden="1"/>
    </xf>
    <xf numFmtId="0" fontId="3" fillId="5" borderId="2" xfId="5" applyFont="1" applyFill="1" applyBorder="1" applyAlignment="1" applyProtection="1">
      <alignment horizontal="center" vertical="center"/>
      <protection hidden="1"/>
    </xf>
    <xf numFmtId="0" fontId="3" fillId="5" borderId="2" xfId="5" applyFont="1" applyFill="1" applyBorder="1" applyAlignment="1" applyProtection="1">
      <alignment horizontal="center" vertical="center" wrapText="1"/>
      <protection hidden="1"/>
    </xf>
    <xf numFmtId="0" fontId="5" fillId="5" borderId="1" xfId="5" applyFont="1" applyFill="1" applyAlignment="1" applyProtection="1">
      <alignment horizontal="center" wrapText="1"/>
      <protection hidden="1"/>
    </xf>
    <xf numFmtId="0" fontId="6" fillId="5" borderId="1" xfId="5" applyFont="1" applyFill="1" applyAlignment="1" applyProtection="1">
      <alignment horizontal="center" vertical="center"/>
      <protection hidden="1"/>
    </xf>
    <xf numFmtId="0" fontId="5" fillId="5" borderId="1" xfId="5" applyFont="1" applyFill="1" applyAlignment="1" applyProtection="1">
      <alignment horizontal="center" vertical="center"/>
      <protection hidden="1"/>
    </xf>
    <xf numFmtId="0" fontId="5" fillId="5" borderId="9" xfId="5" applyFont="1" applyFill="1" applyBorder="1" applyAlignment="1" applyProtection="1">
      <alignment horizontal="center" vertical="center"/>
      <protection hidden="1"/>
    </xf>
    <xf numFmtId="0" fontId="3" fillId="5" borderId="18" xfId="5" applyFont="1" applyFill="1" applyBorder="1" applyAlignment="1" applyProtection="1">
      <alignment horizontal="center" vertical="center"/>
      <protection hidden="1"/>
    </xf>
    <xf numFmtId="0" fontId="3" fillId="5" borderId="19" xfId="5" applyFont="1" applyFill="1" applyBorder="1" applyAlignment="1" applyProtection="1">
      <alignment horizontal="center" vertical="center"/>
      <protection hidden="1"/>
    </xf>
    <xf numFmtId="0" fontId="3" fillId="5" borderId="6" xfId="5" applyFont="1" applyFill="1" applyBorder="1" applyAlignment="1" applyProtection="1">
      <alignment horizontal="center" vertical="center"/>
      <protection hidden="1"/>
    </xf>
    <xf numFmtId="0" fontId="4" fillId="5" borderId="20" xfId="5" applyFont="1" applyFill="1" applyBorder="1" applyAlignment="1" applyProtection="1">
      <alignment horizontal="center" vertical="center" textRotation="90" wrapText="1"/>
      <protection hidden="1"/>
    </xf>
    <xf numFmtId="0" fontId="4" fillId="5" borderId="17" xfId="5" applyFont="1" applyFill="1" applyBorder="1" applyAlignment="1" applyProtection="1">
      <alignment horizontal="center" vertical="center" textRotation="90" wrapText="1"/>
      <protection hidden="1"/>
    </xf>
    <xf numFmtId="0" fontId="5" fillId="5" borderId="9" xfId="5" applyFont="1" applyFill="1" applyBorder="1" applyAlignment="1" applyProtection="1">
      <alignment horizontal="center" vertical="center"/>
      <protection locked="0"/>
    </xf>
    <xf numFmtId="0" fontId="5" fillId="5" borderId="1" xfId="5" applyFont="1" applyFill="1" applyAlignment="1" applyProtection="1">
      <alignment horizontal="center" vertical="center"/>
      <protection locked="0"/>
    </xf>
  </cellXfs>
  <cellStyles count="28">
    <cellStyle name="Обычный" xfId="0" builtinId="0"/>
    <cellStyle name="Обычный 10" xfId="3"/>
    <cellStyle name="Обычный 10 2" xfId="4"/>
    <cellStyle name="Обычный 11" xfId="1"/>
    <cellStyle name="Обычный 11 2" xfId="5"/>
    <cellStyle name="Обычный 12" xfId="22"/>
    <cellStyle name="Обычный 13" xfId="23"/>
    <cellStyle name="Обычный 14" xfId="24"/>
    <cellStyle name="Обычный 15" xfId="25"/>
    <cellStyle name="Обычный 2" xfId="2"/>
    <cellStyle name="Обычный 2 2" xfId="6"/>
    <cellStyle name="Обычный 2 3" xfId="7"/>
    <cellStyle name="Обычный 2 3 2" xfId="8"/>
    <cellStyle name="Обычный 2 4" xfId="9"/>
    <cellStyle name="Обычный 2 4 2" xfId="10"/>
    <cellStyle name="Обычный 2 5" xfId="26"/>
    <cellStyle name="Обычный 2 6" xfId="27"/>
    <cellStyle name="Обычный 3" xfId="11"/>
    <cellStyle name="Обычный 3 2" xfId="12"/>
    <cellStyle name="Обычный 4" xfId="13"/>
    <cellStyle name="Обычный 4 2" xfId="14"/>
    <cellStyle name="Обычный 5" xfId="15"/>
    <cellStyle name="Обычный 6" xfId="16"/>
    <cellStyle name="Обычный 7" xfId="17"/>
    <cellStyle name="Обычный 8" xfId="18"/>
    <cellStyle name="Обычный 8 2" xfId="19"/>
    <cellStyle name="Обычный 9" xfId="20"/>
    <cellStyle name="Обычный 9 2" xfId="21"/>
  </cellStyles>
  <dxfs count="0"/>
  <tableStyles count="1" defaultTableStyle="TableStyleMedium9" defaultPivotStyle="PivotStyleLight16">
    <tableStyle name="Стиль сводной таблицы 1" table="0" count="0"/>
  </tableStyles>
  <colors>
    <mruColors>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Тема">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tabColor rgb="FF7030A0"/>
    <pageSetUpPr fitToPage="1"/>
  </sheetPr>
  <dimension ref="A1:BH28"/>
  <sheetViews>
    <sheetView tabSelected="1" zoomScaleNormal="100" workbookViewId="0"/>
  </sheetViews>
  <sheetFormatPr defaultColWidth="0" defaultRowHeight="0" customHeight="1" zeroHeight="1" x14ac:dyDescent="0.25"/>
  <cols>
    <col min="1" max="2" width="2.7109375" style="5" customWidth="1"/>
    <col min="3" max="3" width="4.140625" style="5" customWidth="1"/>
    <col min="4" max="4" width="6.5703125" style="5" customWidth="1"/>
    <col min="5" max="5" width="40.42578125" style="5" customWidth="1"/>
    <col min="6" max="20" width="6.7109375" style="5" customWidth="1"/>
    <col min="21" max="21" width="11.28515625" style="5" customWidth="1"/>
    <col min="22" max="23" width="2.7109375" style="5" customWidth="1"/>
    <col min="24" max="29" width="14.42578125" style="5" hidden="1" customWidth="1"/>
    <col min="30" max="30" width="14.85546875" style="5" hidden="1" customWidth="1"/>
    <col min="31" max="44" width="3.7109375" style="5" hidden="1" customWidth="1"/>
    <col min="45" max="60" width="5.7109375" style="5" hidden="1" customWidth="1"/>
    <col min="61" max="16384" width="14.42578125" style="5" hidden="1"/>
  </cols>
  <sheetData>
    <row r="1" spans="1:23" ht="126.75" customHeight="1" thickBot="1" x14ac:dyDescent="0.3">
      <c r="A1" s="34" t="s">
        <v>47</v>
      </c>
      <c r="B1" s="50" t="s">
        <v>103</v>
      </c>
      <c r="C1" s="50"/>
      <c r="D1" s="50"/>
      <c r="E1" s="50"/>
      <c r="F1" s="50"/>
      <c r="G1" s="50"/>
      <c r="H1" s="50"/>
      <c r="I1" s="50"/>
      <c r="J1" s="50"/>
      <c r="K1" s="50"/>
      <c r="L1" s="50"/>
      <c r="M1" s="50"/>
      <c r="N1" s="50"/>
      <c r="O1" s="50"/>
      <c r="P1" s="50"/>
      <c r="Q1" s="50"/>
      <c r="R1" s="50"/>
      <c r="S1" s="50"/>
      <c r="T1" s="50"/>
      <c r="U1" s="50"/>
      <c r="V1" s="50"/>
      <c r="W1" s="50"/>
    </row>
    <row r="2" spans="1:23" ht="12" customHeight="1" x14ac:dyDescent="0.25">
      <c r="A2" s="27"/>
      <c r="B2" s="20"/>
      <c r="C2" s="21"/>
      <c r="D2" s="21"/>
      <c r="E2" s="21"/>
      <c r="F2" s="21"/>
      <c r="G2" s="21"/>
      <c r="H2" s="21"/>
      <c r="I2" s="21"/>
      <c r="J2" s="21"/>
      <c r="K2" s="21"/>
      <c r="L2" s="21"/>
      <c r="M2" s="21"/>
      <c r="N2" s="21"/>
      <c r="O2" s="21"/>
      <c r="P2" s="21"/>
      <c r="Q2" s="21"/>
      <c r="R2" s="21"/>
      <c r="S2" s="21"/>
      <c r="T2" s="21"/>
      <c r="U2" s="21"/>
      <c r="V2" s="23"/>
      <c r="W2" s="19"/>
    </row>
    <row r="3" spans="1:23" s="31" customFormat="1" ht="54.95" customHeight="1" x14ac:dyDescent="0.3">
      <c r="A3" s="27"/>
      <c r="B3" s="28"/>
      <c r="C3" s="54" t="s">
        <v>48</v>
      </c>
      <c r="D3" s="54"/>
      <c r="E3" s="54"/>
      <c r="F3" s="54"/>
      <c r="G3" s="54"/>
      <c r="H3" s="54"/>
      <c r="I3" s="54"/>
      <c r="J3" s="54"/>
      <c r="K3" s="54"/>
      <c r="L3" s="54"/>
      <c r="M3" s="54"/>
      <c r="N3" s="54"/>
      <c r="O3" s="54"/>
      <c r="P3" s="54"/>
      <c r="Q3" s="54"/>
      <c r="R3" s="54"/>
      <c r="S3" s="54"/>
      <c r="T3" s="54"/>
      <c r="U3" s="54"/>
      <c r="V3" s="24"/>
      <c r="W3" s="19"/>
    </row>
    <row r="4" spans="1:23" s="32" customFormat="1" ht="15" customHeight="1" x14ac:dyDescent="0.25">
      <c r="A4" s="27"/>
      <c r="B4" s="28"/>
      <c r="C4" s="55" t="s">
        <v>22</v>
      </c>
      <c r="D4" s="55"/>
      <c r="E4" s="55"/>
      <c r="F4" s="55"/>
      <c r="G4" s="55"/>
      <c r="H4" s="55"/>
      <c r="I4" s="55"/>
      <c r="J4" s="55"/>
      <c r="K4" s="55"/>
      <c r="L4" s="55"/>
      <c r="M4" s="55"/>
      <c r="N4" s="55"/>
      <c r="O4" s="55"/>
      <c r="P4" s="55"/>
      <c r="Q4" s="55"/>
      <c r="R4" s="55"/>
      <c r="S4" s="55"/>
      <c r="T4" s="55"/>
      <c r="U4" s="55"/>
      <c r="V4" s="24"/>
      <c r="W4" s="19"/>
    </row>
    <row r="5" spans="1:23" s="31" customFormat="1" ht="15" customHeight="1" x14ac:dyDescent="0.25">
      <c r="A5" s="27"/>
      <c r="B5" s="28"/>
      <c r="C5" s="56" t="s">
        <v>36</v>
      </c>
      <c r="D5" s="56"/>
      <c r="E5" s="56"/>
      <c r="F5" s="56"/>
      <c r="G5" s="56"/>
      <c r="H5" s="56"/>
      <c r="I5" s="56"/>
      <c r="J5" s="56"/>
      <c r="K5" s="56"/>
      <c r="L5" s="56"/>
      <c r="M5" s="56"/>
      <c r="N5" s="56"/>
      <c r="O5" s="56"/>
      <c r="P5" s="56"/>
      <c r="Q5" s="56"/>
      <c r="R5" s="56"/>
      <c r="S5" s="56"/>
      <c r="T5" s="56"/>
      <c r="U5" s="56"/>
      <c r="V5" s="24"/>
      <c r="W5" s="19"/>
    </row>
    <row r="6" spans="1:23" s="31" customFormat="1" ht="15" customHeight="1" x14ac:dyDescent="0.25">
      <c r="A6" s="27"/>
      <c r="B6" s="28"/>
      <c r="C6" s="56" t="s">
        <v>45</v>
      </c>
      <c r="D6" s="56"/>
      <c r="E6" s="56"/>
      <c r="F6" s="56"/>
      <c r="G6" s="56"/>
      <c r="H6" s="56"/>
      <c r="I6" s="56"/>
      <c r="J6" s="56"/>
      <c r="K6" s="56"/>
      <c r="L6" s="56"/>
      <c r="M6" s="56"/>
      <c r="N6" s="56"/>
      <c r="O6" s="56"/>
      <c r="P6" s="56"/>
      <c r="Q6" s="56"/>
      <c r="R6" s="56"/>
      <c r="S6" s="56"/>
      <c r="T6" s="56"/>
      <c r="U6" s="56"/>
      <c r="V6" s="24"/>
      <c r="W6" s="19"/>
    </row>
    <row r="7" spans="1:23" s="31" customFormat="1" ht="15" customHeight="1" x14ac:dyDescent="0.25">
      <c r="A7" s="27"/>
      <c r="B7" s="28"/>
      <c r="C7" s="57" t="s">
        <v>26</v>
      </c>
      <c r="D7" s="57"/>
      <c r="E7" s="57"/>
      <c r="F7" s="57"/>
      <c r="G7" s="57"/>
      <c r="H7" s="57"/>
      <c r="I7" s="57"/>
      <c r="J7" s="57"/>
      <c r="K7" s="57"/>
      <c r="L7" s="57"/>
      <c r="M7" s="57"/>
      <c r="N7" s="57"/>
      <c r="O7" s="57"/>
      <c r="P7" s="57"/>
      <c r="Q7" s="57"/>
      <c r="R7" s="57"/>
      <c r="S7" s="57"/>
      <c r="T7" s="57"/>
      <c r="U7" s="57"/>
      <c r="V7" s="24"/>
      <c r="W7" s="19"/>
    </row>
    <row r="8" spans="1:23" ht="15" customHeight="1" x14ac:dyDescent="0.25">
      <c r="A8" s="27"/>
      <c r="B8" s="28"/>
      <c r="C8" s="51" t="s">
        <v>0</v>
      </c>
      <c r="D8" s="53" t="s">
        <v>1</v>
      </c>
      <c r="E8" s="53" t="s">
        <v>2</v>
      </c>
      <c r="F8" s="58" t="s">
        <v>25</v>
      </c>
      <c r="G8" s="59"/>
      <c r="H8" s="59"/>
      <c r="I8" s="59"/>
      <c r="J8" s="59"/>
      <c r="K8" s="59"/>
      <c r="L8" s="59"/>
      <c r="M8" s="59"/>
      <c r="N8" s="59"/>
      <c r="O8" s="59"/>
      <c r="P8" s="59"/>
      <c r="Q8" s="59"/>
      <c r="R8" s="59"/>
      <c r="S8" s="59"/>
      <c r="T8" s="60"/>
      <c r="U8" s="61" t="s">
        <v>8</v>
      </c>
      <c r="V8" s="24"/>
      <c r="W8" s="19"/>
    </row>
    <row r="9" spans="1:23" ht="125.1" customHeight="1" x14ac:dyDescent="0.25">
      <c r="A9" s="27"/>
      <c r="B9" s="28"/>
      <c r="C9" s="52"/>
      <c r="D9" s="52"/>
      <c r="E9" s="52"/>
      <c r="F9" s="33" t="s">
        <v>35</v>
      </c>
      <c r="G9" s="33" t="s">
        <v>3</v>
      </c>
      <c r="H9" s="33" t="s">
        <v>4</v>
      </c>
      <c r="I9" s="33" t="s">
        <v>5</v>
      </c>
      <c r="J9" s="33" t="s">
        <v>23</v>
      </c>
      <c r="K9" s="33" t="s">
        <v>28</v>
      </c>
      <c r="L9" s="33" t="s">
        <v>29</v>
      </c>
      <c r="M9" s="33" t="s">
        <v>30</v>
      </c>
      <c r="N9" s="33" t="s">
        <v>6</v>
      </c>
      <c r="O9" s="33" t="s">
        <v>24</v>
      </c>
      <c r="P9" s="33" t="s">
        <v>31</v>
      </c>
      <c r="Q9" s="33" t="s">
        <v>32</v>
      </c>
      <c r="R9" s="33" t="s">
        <v>7</v>
      </c>
      <c r="S9" s="33" t="s">
        <v>33</v>
      </c>
      <c r="T9" s="33" t="s">
        <v>34</v>
      </c>
      <c r="U9" s="62"/>
      <c r="V9" s="24"/>
      <c r="W9" s="19"/>
    </row>
    <row r="10" spans="1:23" ht="15" customHeight="1" x14ac:dyDescent="0.25">
      <c r="A10" s="27"/>
      <c r="B10" s="28"/>
      <c r="C10" s="43" t="s">
        <v>9</v>
      </c>
      <c r="D10" s="36">
        <v>1</v>
      </c>
      <c r="E10" s="37" t="s">
        <v>37</v>
      </c>
      <c r="F10" s="38">
        <v>4</v>
      </c>
      <c r="G10" s="38">
        <v>8</v>
      </c>
      <c r="H10" s="38">
        <v>7</v>
      </c>
      <c r="I10" s="38">
        <v>4</v>
      </c>
      <c r="J10" s="38">
        <v>6</v>
      </c>
      <c r="K10" s="38" t="s">
        <v>46</v>
      </c>
      <c r="L10" s="38">
        <v>6</v>
      </c>
      <c r="M10" s="38">
        <v>6</v>
      </c>
      <c r="N10" s="38">
        <v>5</v>
      </c>
      <c r="O10" s="38">
        <v>4</v>
      </c>
      <c r="P10" s="38">
        <v>7</v>
      </c>
      <c r="Q10" s="38">
        <v>7</v>
      </c>
      <c r="R10" s="38">
        <v>4</v>
      </c>
      <c r="S10" s="38">
        <v>4</v>
      </c>
      <c r="T10" s="38">
        <v>4</v>
      </c>
      <c r="U10" s="42" t="str">
        <f ca="1">IF(COUNTIF(OFFSET($E10,0,1):OFFSET(U10,0,-1),"=*")&gt;0,IF($C10="К","-"," - "),IF(COUNTIF(OFFSET($E10,0,1):OFFSET(U10,0,-1),"&lt;4")&gt;0,IF(C10="К","-"," - "),(IFERROR(AVERAGE(OFFSET($E10,0,1):OFFSET(U10,0,-1)),"Очікую"))))</f>
        <v>-</v>
      </c>
      <c r="V10" s="24"/>
      <c r="W10" s="19"/>
    </row>
    <row r="11" spans="1:23" ht="15" customHeight="1" x14ac:dyDescent="0.25">
      <c r="A11" s="27"/>
      <c r="B11" s="28"/>
      <c r="C11" s="43" t="s">
        <v>9</v>
      </c>
      <c r="D11" s="36">
        <v>2</v>
      </c>
      <c r="E11" s="37" t="s">
        <v>38</v>
      </c>
      <c r="F11" s="38">
        <v>8</v>
      </c>
      <c r="G11" s="38">
        <v>7</v>
      </c>
      <c r="H11" s="38">
        <v>8</v>
      </c>
      <c r="I11" s="38">
        <v>7</v>
      </c>
      <c r="J11" s="38">
        <v>8</v>
      </c>
      <c r="K11" s="38" t="s">
        <v>46</v>
      </c>
      <c r="L11" s="38">
        <v>9</v>
      </c>
      <c r="M11" s="38">
        <v>6</v>
      </c>
      <c r="N11" s="38">
        <v>8</v>
      </c>
      <c r="O11" s="38">
        <v>4</v>
      </c>
      <c r="P11" s="38">
        <v>5</v>
      </c>
      <c r="Q11" s="38">
        <v>6</v>
      </c>
      <c r="R11" s="38">
        <v>4</v>
      </c>
      <c r="S11" s="38">
        <v>4</v>
      </c>
      <c r="T11" s="38">
        <v>4</v>
      </c>
      <c r="U11" s="42" t="str">
        <f ca="1">IF(COUNTIF(OFFSET($E11,0,1):OFFSET(U11,0,-1),"=*")&gt;0,IF($C11="К","-"," - "),IF(COUNTIF(OFFSET($E11,0,1):OFFSET(U11,0,-1),"&lt;4")&gt;0,IF(C11="К","-"," - "),(IFERROR(AVERAGE(OFFSET($E11,0,1):OFFSET(U11,0,-1)),"Очікую"))))</f>
        <v>-</v>
      </c>
      <c r="V11" s="24"/>
      <c r="W11" s="19"/>
    </row>
    <row r="12" spans="1:23" ht="15" customHeight="1" x14ac:dyDescent="0.25">
      <c r="A12" s="27"/>
      <c r="B12" s="28"/>
      <c r="C12" s="43" t="s">
        <v>9</v>
      </c>
      <c r="D12" s="36">
        <v>3</v>
      </c>
      <c r="E12" s="37" t="s">
        <v>39</v>
      </c>
      <c r="F12" s="38">
        <v>8</v>
      </c>
      <c r="G12" s="38">
        <v>7</v>
      </c>
      <c r="H12" s="38">
        <v>7</v>
      </c>
      <c r="I12" s="38">
        <v>7</v>
      </c>
      <c r="J12" s="38">
        <v>7</v>
      </c>
      <c r="K12" s="38" t="s">
        <v>46</v>
      </c>
      <c r="L12" s="38">
        <v>7</v>
      </c>
      <c r="M12" s="38">
        <v>8</v>
      </c>
      <c r="N12" s="38">
        <v>10</v>
      </c>
      <c r="O12" s="38">
        <v>4</v>
      </c>
      <c r="P12" s="38">
        <v>8</v>
      </c>
      <c r="Q12" s="38">
        <v>7</v>
      </c>
      <c r="R12" s="38">
        <v>4</v>
      </c>
      <c r="S12" s="38">
        <v>4</v>
      </c>
      <c r="T12" s="38">
        <v>6</v>
      </c>
      <c r="U12" s="42" t="str">
        <f ca="1">IF(COUNTIF(OFFSET($E12,0,1):OFFSET(U12,0,-1),"=*")&gt;0,IF($C12="К","-"," - "),IF(COUNTIF(OFFSET($E12,0,1):OFFSET(U12,0,-1),"&lt;4")&gt;0,IF(C12="К","-"," - "),(IFERROR(AVERAGE(OFFSET($E12,0,1):OFFSET(U12,0,-1)),"Очікую"))))</f>
        <v>-</v>
      </c>
      <c r="V12" s="24"/>
      <c r="W12" s="19"/>
    </row>
    <row r="13" spans="1:23" ht="15" customHeight="1" x14ac:dyDescent="0.25">
      <c r="A13" s="27"/>
      <c r="B13" s="28"/>
      <c r="C13" s="43" t="s">
        <v>9</v>
      </c>
      <c r="D13" s="36">
        <v>4</v>
      </c>
      <c r="E13" s="37" t="s">
        <v>40</v>
      </c>
      <c r="F13" s="38">
        <v>8</v>
      </c>
      <c r="G13" s="38">
        <v>6</v>
      </c>
      <c r="H13" s="38">
        <v>7</v>
      </c>
      <c r="I13" s="38">
        <v>7</v>
      </c>
      <c r="J13" s="38">
        <v>8</v>
      </c>
      <c r="K13" s="38" t="s">
        <v>46</v>
      </c>
      <c r="L13" s="38">
        <v>9</v>
      </c>
      <c r="M13" s="38" t="s">
        <v>46</v>
      </c>
      <c r="N13" s="38">
        <v>6</v>
      </c>
      <c r="O13" s="38">
        <v>4</v>
      </c>
      <c r="P13" s="38">
        <v>6</v>
      </c>
      <c r="Q13" s="38">
        <v>4</v>
      </c>
      <c r="R13" s="38">
        <v>4</v>
      </c>
      <c r="S13" s="38">
        <v>4</v>
      </c>
      <c r="T13" s="38" t="s">
        <v>46</v>
      </c>
      <c r="U13" s="42" t="str">
        <f ca="1">IF(COUNTIF(OFFSET($E13,0,1):OFFSET(U13,0,-1),"=*")&gt;0,IF($C13="К","-"," - "),IF(COUNTIF(OFFSET($E13,0,1):OFFSET(U13,0,-1),"&lt;4")&gt;0,IF(C13="К","-"," - "),(IFERROR(AVERAGE(OFFSET($E13,0,1):OFFSET(U13,0,-1)),"Очікую"))))</f>
        <v>-</v>
      </c>
      <c r="V13" s="24"/>
      <c r="W13" s="19"/>
    </row>
    <row r="14" spans="1:23" ht="15" customHeight="1" x14ac:dyDescent="0.25">
      <c r="A14" s="27"/>
      <c r="B14" s="28"/>
      <c r="C14" s="43" t="s">
        <v>9</v>
      </c>
      <c r="D14" s="36">
        <v>5</v>
      </c>
      <c r="E14" s="37" t="s">
        <v>41</v>
      </c>
      <c r="F14" s="38">
        <v>4</v>
      </c>
      <c r="G14" s="38">
        <v>6</v>
      </c>
      <c r="H14" s="38">
        <v>5</v>
      </c>
      <c r="I14" s="38">
        <v>4</v>
      </c>
      <c r="J14" s="38">
        <v>4</v>
      </c>
      <c r="K14" s="38">
        <v>4</v>
      </c>
      <c r="L14" s="38">
        <v>4</v>
      </c>
      <c r="M14" s="38">
        <v>8</v>
      </c>
      <c r="N14" s="38">
        <v>4</v>
      </c>
      <c r="O14" s="38">
        <v>7</v>
      </c>
      <c r="P14" s="38">
        <v>6</v>
      </c>
      <c r="Q14" s="38">
        <v>5</v>
      </c>
      <c r="R14" s="38">
        <v>7</v>
      </c>
      <c r="S14" s="38">
        <v>5</v>
      </c>
      <c r="T14" s="38">
        <v>6</v>
      </c>
      <c r="U14" s="42">
        <f ca="1">IF(COUNTIF(OFFSET($E14,0,1):OFFSET(U14,0,-1),"=*")&gt;0,IF($C14="К","-"," - "),IF(COUNTIF(OFFSET($E14,0,1):OFFSET(U14,0,-1),"&lt;4")&gt;0,IF(C14="К","-"," - "),(IFERROR(AVERAGE(OFFSET($E14,0,1):OFFSET(U14,0,-1)),"Очікую"))))</f>
        <v>5.2666666666666666</v>
      </c>
      <c r="V14" s="24"/>
      <c r="W14" s="19"/>
    </row>
    <row r="15" spans="1:23" ht="15" customHeight="1" x14ac:dyDescent="0.25">
      <c r="A15" s="27"/>
      <c r="B15" s="28"/>
      <c r="C15" s="43" t="s">
        <v>9</v>
      </c>
      <c r="D15" s="36">
        <v>6</v>
      </c>
      <c r="E15" s="37" t="s">
        <v>42</v>
      </c>
      <c r="F15" s="38">
        <v>7</v>
      </c>
      <c r="G15" s="38">
        <v>6</v>
      </c>
      <c r="H15" s="38">
        <v>7</v>
      </c>
      <c r="I15" s="38">
        <v>7</v>
      </c>
      <c r="J15" s="38">
        <v>8</v>
      </c>
      <c r="K15" s="38" t="s">
        <v>46</v>
      </c>
      <c r="L15" s="38">
        <v>9</v>
      </c>
      <c r="M15" s="38">
        <v>6</v>
      </c>
      <c r="N15" s="38">
        <v>8</v>
      </c>
      <c r="O15" s="38">
        <v>4</v>
      </c>
      <c r="P15" s="38">
        <v>8</v>
      </c>
      <c r="Q15" s="38">
        <v>7</v>
      </c>
      <c r="R15" s="38">
        <v>4</v>
      </c>
      <c r="S15" s="38">
        <v>5</v>
      </c>
      <c r="T15" s="38">
        <v>5</v>
      </c>
      <c r="U15" s="42" t="str">
        <f ca="1">IF(COUNTIF(OFFSET($E15,0,1):OFFSET(U15,0,-1),"=*")&gt;0,IF($C15="К","-"," - "),IF(COUNTIF(OFFSET($E15,0,1):OFFSET(U15,0,-1),"&lt;4")&gt;0,IF(C15="К","-"," - "),(IFERROR(AVERAGE(OFFSET($E15,0,1):OFFSET(U15,0,-1)),"Очікую"))))</f>
        <v>-</v>
      </c>
      <c r="V15" s="24"/>
      <c r="W15" s="19"/>
    </row>
    <row r="16" spans="1:23" ht="15" customHeight="1" x14ac:dyDescent="0.25">
      <c r="A16" s="27"/>
      <c r="B16" s="28"/>
      <c r="C16" s="43" t="s">
        <v>9</v>
      </c>
      <c r="D16" s="36">
        <v>7</v>
      </c>
      <c r="E16" s="37" t="s">
        <v>43</v>
      </c>
      <c r="F16" s="38">
        <v>7</v>
      </c>
      <c r="G16" s="38">
        <v>9</v>
      </c>
      <c r="H16" s="38">
        <v>8</v>
      </c>
      <c r="I16" s="38">
        <v>8</v>
      </c>
      <c r="J16" s="38">
        <v>9</v>
      </c>
      <c r="K16" s="38" t="s">
        <v>46</v>
      </c>
      <c r="L16" s="38">
        <v>9</v>
      </c>
      <c r="M16" s="38">
        <v>7</v>
      </c>
      <c r="N16" s="38">
        <v>8</v>
      </c>
      <c r="O16" s="38">
        <v>5</v>
      </c>
      <c r="P16" s="38">
        <v>8</v>
      </c>
      <c r="Q16" s="38">
        <v>7</v>
      </c>
      <c r="R16" s="38">
        <v>5</v>
      </c>
      <c r="S16" s="38">
        <v>7</v>
      </c>
      <c r="T16" s="38">
        <v>8</v>
      </c>
      <c r="U16" s="42" t="str">
        <f ca="1">IF(COUNTIF(OFFSET($E16,0,1):OFFSET(U16,0,-1),"=*")&gt;0,IF($C16="К","-"," - "),IF(COUNTIF(OFFSET($E16,0,1):OFFSET(U16,0,-1),"&lt;4")&gt;0,IF(C16="К","-"," - "),(IFERROR(AVERAGE(OFFSET($E16,0,1):OFFSET(U16,0,-1)),"Очікую"))))</f>
        <v>-</v>
      </c>
      <c r="V16" s="24"/>
      <c r="W16" s="19"/>
    </row>
    <row r="17" spans="1:23" ht="15" customHeight="1" x14ac:dyDescent="0.25">
      <c r="A17" s="27"/>
      <c r="B17" s="28"/>
      <c r="C17" s="44" t="s">
        <v>9</v>
      </c>
      <c r="D17" s="39">
        <v>8</v>
      </c>
      <c r="E17" s="40" t="s">
        <v>44</v>
      </c>
      <c r="F17" s="41">
        <v>4</v>
      </c>
      <c r="G17" s="41">
        <v>6</v>
      </c>
      <c r="H17" s="41">
        <v>5</v>
      </c>
      <c r="I17" s="41">
        <v>4</v>
      </c>
      <c r="J17" s="41">
        <v>4</v>
      </c>
      <c r="K17" s="41">
        <v>4</v>
      </c>
      <c r="L17" s="41">
        <v>5</v>
      </c>
      <c r="M17" s="41">
        <v>8</v>
      </c>
      <c r="N17" s="41">
        <v>4</v>
      </c>
      <c r="O17" s="41">
        <v>6</v>
      </c>
      <c r="P17" s="41">
        <v>6</v>
      </c>
      <c r="Q17" s="41">
        <v>5</v>
      </c>
      <c r="R17" s="41">
        <v>4</v>
      </c>
      <c r="S17" s="41">
        <v>4</v>
      </c>
      <c r="T17" s="41">
        <v>6</v>
      </c>
      <c r="U17" s="42">
        <f ca="1">IF(COUNTIF(OFFSET($E17,0,1):OFFSET(U17,0,-1),"=*")&gt;0,IF($C17="К","-"," - "),IF(COUNTIF(OFFSET($E17,0,1):OFFSET(U17,0,-1),"&lt;4")&gt;0,IF(C17="К","-"," - "),(IFERROR(AVERAGE(OFFSET($E17,0,1):OFFSET(U17,0,-1)),"Очікую"))))</f>
        <v>5</v>
      </c>
      <c r="V17" s="24"/>
      <c r="W17" s="19"/>
    </row>
    <row r="18" spans="1:23" ht="15" customHeight="1" x14ac:dyDescent="0.25">
      <c r="A18" s="27"/>
      <c r="B18" s="28"/>
      <c r="C18" s="7"/>
      <c r="D18" s="7"/>
      <c r="E18" s="8" t="s">
        <v>10</v>
      </c>
      <c r="F18" s="47">
        <f ca="1">IF(SUM(OFFSET(F$9,1,0):OFFSET(F18,-1,0))=0,IF(COUNTA(OFFSET(F$9,1,0):OFFSET(F18,-1,0))=0,"Очікую",0),SUM(OFFSET(F$9,1,0):OFFSET(F18,-1,0))/OFFSET($D18,-1,0))</f>
        <v>6.25</v>
      </c>
      <c r="G18" s="47">
        <f ca="1">IF(SUM(OFFSET(G$9,1,0):OFFSET(G18,-1,0))=0,IF(COUNTA(OFFSET(G$9,1,0):OFFSET(G18,-1,0))=0,"Очікую",0),SUM(OFFSET(G$9,1,0):OFFSET(G18,-1,0))/OFFSET($D18,-1,0))</f>
        <v>6.875</v>
      </c>
      <c r="H18" s="47">
        <f ca="1">IF(SUM(OFFSET(H$9,1,0):OFFSET(H18,-1,0))=0,IF(COUNTA(OFFSET(H$9,1,0):OFFSET(H18,-1,0))=0,"Очікую",0),SUM(OFFSET(H$9,1,0):OFFSET(H18,-1,0))/OFFSET($D18,-1,0))</f>
        <v>6.75</v>
      </c>
      <c r="I18" s="47">
        <f ca="1">IF(SUM(OFFSET(I$9,1,0):OFFSET(I18,-1,0))=0,IF(COUNTA(OFFSET(I$9,1,0):OFFSET(I18,-1,0))=0,"Очікую",0),SUM(OFFSET(I$9,1,0):OFFSET(I18,-1,0))/OFFSET($D18,-1,0))</f>
        <v>6</v>
      </c>
      <c r="J18" s="47">
        <f ca="1">IF(SUM(OFFSET(J$9,1,0):OFFSET(J18,-1,0))=0,IF(COUNTA(OFFSET(J$9,1,0):OFFSET(J18,-1,0))=0,"Очікую",0),SUM(OFFSET(J$9,1,0):OFFSET(J18,-1,0))/OFFSET($D18,-1,0))</f>
        <v>6.75</v>
      </c>
      <c r="K18" s="47">
        <f ca="1">IF(SUM(OFFSET(K$9,1,0):OFFSET(K18,-1,0))=0,IF(COUNTA(OFFSET(K$9,1,0):OFFSET(K18,-1,0))=0,"Очікую",0),SUM(OFFSET(K$9,1,0):OFFSET(K18,-1,0))/OFFSET($D18,-1,0))</f>
        <v>1</v>
      </c>
      <c r="L18" s="47">
        <f ca="1">IF(SUM(OFFSET(L$9,1,0):OFFSET(L18,-1,0))=0,IF(COUNTA(OFFSET(L$9,1,0):OFFSET(L18,-1,0))=0,"Очікую",0),SUM(OFFSET(L$9,1,0):OFFSET(L18,-1,0))/OFFSET($D18,-1,0))</f>
        <v>7.25</v>
      </c>
      <c r="M18" s="47">
        <f ca="1">IF(SUM(OFFSET(M$9,1,0):OFFSET(M18,-1,0))=0,IF(COUNTA(OFFSET(M$9,1,0):OFFSET(M18,-1,0))=0,"Очікую",0),SUM(OFFSET(M$9,1,0):OFFSET(M18,-1,0))/OFFSET($D18,-1,0))</f>
        <v>6.125</v>
      </c>
      <c r="N18" s="47">
        <f ca="1">IF(SUM(OFFSET(N$9,1,0):OFFSET(N18,-1,0))=0,IF(COUNTA(OFFSET(N$9,1,0):OFFSET(N18,-1,0))=0,"Очікую",0),SUM(OFFSET(N$9,1,0):OFFSET(N18,-1,0))/OFFSET($D18,-1,0))</f>
        <v>6.625</v>
      </c>
      <c r="O18" s="47">
        <f ca="1">IF(SUM(OFFSET(O$9,1,0):OFFSET(O18,-1,0))=0,IF(COUNTA(OFFSET(O$9,1,0):OFFSET(O18,-1,0))=0,"Очікую",0),SUM(OFFSET(O$9,1,0):OFFSET(O18,-1,0))/OFFSET($D18,-1,0))</f>
        <v>4.75</v>
      </c>
      <c r="P18" s="47">
        <f ca="1">IF(SUM(OFFSET(P$9,1,0):OFFSET(P18,-1,0))=0,IF(COUNTA(OFFSET(P$9,1,0):OFFSET(P18,-1,0))=0,"Очікую",0),SUM(OFFSET(P$9,1,0):OFFSET(P18,-1,0))/OFFSET($D18,-1,0))</f>
        <v>6.75</v>
      </c>
      <c r="Q18" s="47">
        <f ca="1">IF(SUM(OFFSET(Q$9,1,0):OFFSET(Q18,-1,0))=0,IF(COUNTA(OFFSET(Q$9,1,0):OFFSET(Q18,-1,0))=0,"Очікую",0),SUM(OFFSET(Q$9,1,0):OFFSET(Q18,-1,0))/OFFSET($D18,-1,0))</f>
        <v>6</v>
      </c>
      <c r="R18" s="47">
        <f ca="1">IF(SUM(OFFSET(R$9,1,0):OFFSET(R18,-1,0))=0,IF(COUNTA(OFFSET(R$9,1,0):OFFSET(R18,-1,0))=0,"Очікую",0),SUM(OFFSET(R$9,1,0):OFFSET(R18,-1,0))/OFFSET($D18,-1,0))</f>
        <v>4.5</v>
      </c>
      <c r="S18" s="47">
        <f ca="1">IF(SUM(OFFSET(S$9,1,0):OFFSET(S18,-1,0))=0,IF(COUNTA(OFFSET(S$9,1,0):OFFSET(S18,-1,0))=0,"Очікую",0),SUM(OFFSET(S$9,1,0):OFFSET(S18,-1,0))/OFFSET($D18,-1,0))</f>
        <v>4.625</v>
      </c>
      <c r="T18" s="47">
        <f ca="1">IF(SUM(OFFSET(T$9,1,0):OFFSET(T18,-1,0))=0,IF(COUNTA(OFFSET(T$9,1,0):OFFSET(T18,-1,0))=0,"Очікую",0),SUM(OFFSET(T$9,1,0):OFFSET(T18,-1,0))/OFFSET($D18,-1,0))</f>
        <v>4.875</v>
      </c>
      <c r="U18" s="10">
        <f ca="1">IFERROR(AVERAGE(OFFSET($E18,0,1):OFFSET(U18,0,-1)),"Очікую")</f>
        <v>5.6749999999999998</v>
      </c>
      <c r="V18" s="24"/>
      <c r="W18" s="19"/>
    </row>
    <row r="19" spans="1:23" ht="15" customHeight="1" x14ac:dyDescent="0.25">
      <c r="A19" s="27"/>
      <c r="B19" s="28"/>
      <c r="C19" s="7"/>
      <c r="D19" s="7"/>
      <c r="E19" s="8" t="s">
        <v>11</v>
      </c>
      <c r="F19" s="11">
        <f ca="1">IF(SUM(OFFSET(F$9,1,0):OFFSET(F18,-1,0))=0,IF(COUNTA(OFFSET(F$9,1,0):OFFSET(F18,-1,0))=0,"Очікую",0),IF(COUNTIF(OFFSET(F$9,1,0):OFFSET(F18,-1,0),"&gt;=4")=0,0,COUNTIF(OFFSET(F$9,1,0):OFFSET(F18,-1,0),"&gt;=4")/OFFSET($D18,-1,0)*100))</f>
        <v>100</v>
      </c>
      <c r="G19" s="11">
        <f ca="1">IF(SUM(OFFSET(G$9,1,0):OFFSET(G18,-1,0))=0,IF(COUNTA(OFFSET(G$9,1,0):OFFSET(G18,-1,0))=0,"Очікую",0),IF(COUNTIF(OFFSET(G$9,1,0):OFFSET(G18,-1,0),"&gt;=4")=0,0,COUNTIF(OFFSET(G$9,1,0):OFFSET(G18,-1,0),"&gt;=4")/OFFSET($D18,-1,0)*100))</f>
        <v>100</v>
      </c>
      <c r="H19" s="11">
        <f ca="1">IF(SUM(OFFSET(H$9,1,0):OFFSET(H18,-1,0))=0,IF(COUNTA(OFFSET(H$9,1,0):OFFSET(H18,-1,0))=0,"Очікую",0),IF(COUNTIF(OFFSET(H$9,1,0):OFFSET(H18,-1,0),"&gt;=4")=0,0,COUNTIF(OFFSET(H$9,1,0):OFFSET(H18,-1,0),"&gt;=4")/OFFSET($D18,-1,0)*100))</f>
        <v>100</v>
      </c>
      <c r="I19" s="11">
        <f ca="1">IF(SUM(OFFSET(I$9,1,0):OFFSET(I18,-1,0))=0,IF(COUNTA(OFFSET(I$9,1,0):OFFSET(I18,-1,0))=0,"Очікую",0),IF(COUNTIF(OFFSET(I$9,1,0):OFFSET(I18,-1,0),"&gt;=4")=0,0,COUNTIF(OFFSET(I$9,1,0):OFFSET(I18,-1,0),"&gt;=4")/OFFSET($D18,-1,0)*100))</f>
        <v>100</v>
      </c>
      <c r="J19" s="11">
        <f ca="1">IF(SUM(OFFSET(J$9,1,0):OFFSET(J18,-1,0))=0,IF(COUNTA(OFFSET(J$9,1,0):OFFSET(J18,-1,0))=0,"Очікую",0),IF(COUNTIF(OFFSET(J$9,1,0):OFFSET(J18,-1,0),"&gt;=4")=0,0,COUNTIF(OFFSET(J$9,1,0):OFFSET(J18,-1,0),"&gt;=4")/OFFSET($D18,-1,0)*100))</f>
        <v>100</v>
      </c>
      <c r="K19" s="11">
        <f ca="1">IF(SUM(OFFSET(K$9,1,0):OFFSET(K18,-1,0))=0,IF(COUNTA(OFFSET(K$9,1,0):OFFSET(K18,-1,0))=0,"Очікую",0),IF(COUNTIF(OFFSET(K$9,1,0):OFFSET(K18,-1,0),"&gt;=4")=0,0,COUNTIF(OFFSET(K$9,1,0):OFFSET(K18,-1,0),"&gt;=4")/OFFSET($D18,-1,0)*100))</f>
        <v>25</v>
      </c>
      <c r="L19" s="11">
        <f ca="1">IF(SUM(OFFSET(L$9,1,0):OFFSET(L18,-1,0))=0,IF(COUNTA(OFFSET(L$9,1,0):OFFSET(L18,-1,0))=0,"Очікую",0),IF(COUNTIF(OFFSET(L$9,1,0):OFFSET(L18,-1,0),"&gt;=4")=0,0,COUNTIF(OFFSET(L$9,1,0):OFFSET(L18,-1,0),"&gt;=4")/OFFSET($D18,-1,0)*100))</f>
        <v>100</v>
      </c>
      <c r="M19" s="11">
        <f ca="1">IF(SUM(OFFSET(M$9,1,0):OFFSET(M18,-1,0))=0,IF(COUNTA(OFFSET(M$9,1,0):OFFSET(M18,-1,0))=0,"Очікую",0),IF(COUNTIF(OFFSET(M$9,1,0):OFFSET(M18,-1,0),"&gt;=4")=0,0,COUNTIF(OFFSET(M$9,1,0):OFFSET(M18,-1,0),"&gt;=4")/OFFSET($D18,-1,0)*100))</f>
        <v>87.5</v>
      </c>
      <c r="N19" s="11">
        <f ca="1">IF(SUM(OFFSET(N$9,1,0):OFFSET(N18,-1,0))=0,IF(COUNTA(OFFSET(N$9,1,0):OFFSET(N18,-1,0))=0,"Очікую",0),IF(COUNTIF(OFFSET(N$9,1,0):OFFSET(N18,-1,0),"&gt;=4")=0,0,COUNTIF(OFFSET(N$9,1,0):OFFSET(N18,-1,0),"&gt;=4")/OFFSET($D18,-1,0)*100))</f>
        <v>100</v>
      </c>
      <c r="O19" s="11">
        <f ca="1">IF(SUM(OFFSET(O$9,1,0):OFFSET(O18,-1,0))=0,IF(COUNTA(OFFSET(O$9,1,0):OFFSET(O18,-1,0))=0,"Очікую",0),IF(COUNTIF(OFFSET(O$9,1,0):OFFSET(O18,-1,0),"&gt;=4")=0,0,COUNTIF(OFFSET(O$9,1,0):OFFSET(O18,-1,0),"&gt;=4")/OFFSET($D18,-1,0)*100))</f>
        <v>100</v>
      </c>
      <c r="P19" s="11">
        <f ca="1">IF(SUM(OFFSET(P$9,1,0):OFFSET(P18,-1,0))=0,IF(COUNTA(OFFSET(P$9,1,0):OFFSET(P18,-1,0))=0,"Очікую",0),IF(COUNTIF(OFFSET(P$9,1,0):OFFSET(P18,-1,0),"&gt;=4")=0,0,COUNTIF(OFFSET(P$9,1,0):OFFSET(P18,-1,0),"&gt;=4")/OFFSET($D18,-1,0)*100))</f>
        <v>100</v>
      </c>
      <c r="Q19" s="11">
        <f ca="1">IF(SUM(OFFSET(Q$9,1,0):OFFSET(Q18,-1,0))=0,IF(COUNTA(OFFSET(Q$9,1,0):OFFSET(Q18,-1,0))=0,"Очікую",0),IF(COUNTIF(OFFSET(Q$9,1,0):OFFSET(Q18,-1,0),"&gt;=4")=0,0,COUNTIF(OFFSET(Q$9,1,0):OFFSET(Q18,-1,0),"&gt;=4")/OFFSET($D18,-1,0)*100))</f>
        <v>100</v>
      </c>
      <c r="R19" s="11">
        <f ca="1">IF(SUM(OFFSET(R$9,1,0):OFFSET(R18,-1,0))=0,IF(COUNTA(OFFSET(R$9,1,0):OFFSET(R18,-1,0))=0,"Очікую",0),IF(COUNTIF(OFFSET(R$9,1,0):OFFSET(R18,-1,0),"&gt;=4")=0,0,COUNTIF(OFFSET(R$9,1,0):OFFSET(R18,-1,0),"&gt;=4")/OFFSET($D18,-1,0)*100))</f>
        <v>100</v>
      </c>
      <c r="S19" s="11">
        <f ca="1">IF(SUM(OFFSET(S$9,1,0):OFFSET(S18,-1,0))=0,IF(COUNTA(OFFSET(S$9,1,0):OFFSET(S18,-1,0))=0,"Очікую",0),IF(COUNTIF(OFFSET(S$9,1,0):OFFSET(S18,-1,0),"&gt;=4")=0,0,COUNTIF(OFFSET(S$9,1,0):OFFSET(S18,-1,0),"&gt;=4")/OFFSET($D18,-1,0)*100))</f>
        <v>100</v>
      </c>
      <c r="T19" s="11">
        <f ca="1">IF(SUM(OFFSET(T$9,1,0):OFFSET(T18,-1,0))=0,IF(COUNTA(OFFSET(T$9,1,0):OFFSET(T18,-1,0))=0,"Очікую",0),IF(COUNTIF(OFFSET(T$9,1,0):OFFSET(T18,-1,0),"&gt;=4")=0,0,COUNTIF(OFFSET(T$9,1,0):OFFSET(T18,-1,0),"&gt;=4")/OFFSET($D18,-1,0)*100))</f>
        <v>87.5</v>
      </c>
      <c r="U19" s="7"/>
      <c r="V19" s="24"/>
      <c r="W19" s="19"/>
    </row>
    <row r="20" spans="1:23" ht="15" customHeight="1" x14ac:dyDescent="0.25">
      <c r="A20" s="27"/>
      <c r="B20" s="28"/>
      <c r="C20" s="7"/>
      <c r="D20" s="7"/>
      <c r="E20" s="8" t="s">
        <v>12</v>
      </c>
      <c r="F20" s="11">
        <f ca="1">IF(SUM(OFFSET(F$9,1,0):OFFSET(F18,-1,0))=0,IF(COUNTA(OFFSET(F$9,1,0):OFFSET(F18,-1,0))=0,"Очікую",0),IF(COUNTIF(OFFSET(F$9,1,0):OFFSET(F18,-1,0),"&gt;=7")=0,0,COUNTIF(OFFSET(F$9,1,0):OFFSET(F18,-1,0),"&gt;=7")/OFFSET($D18,-1,0)*100))</f>
        <v>62.5</v>
      </c>
      <c r="G20" s="11">
        <f ca="1">IF(SUM(OFFSET(G$9,1,0):OFFSET(G18,-1,0))=0,IF(COUNTA(OFFSET(G$9,1,0):OFFSET(G18,-1,0))=0,"Очікую",0),IF(COUNTIF(OFFSET(G$9,1,0):OFFSET(G18,-1,0),"&gt;=7")=0,0,COUNTIF(OFFSET(G$9,1,0):OFFSET(G18,-1,0),"&gt;=7")/OFFSET($D18,-1,0)*100))</f>
        <v>50</v>
      </c>
      <c r="H20" s="11">
        <f ca="1">IF(SUM(OFFSET(H$9,1,0):OFFSET(H18,-1,0))=0,IF(COUNTA(OFFSET(H$9,1,0):OFFSET(H18,-1,0))=0,"Очікую",0),IF(COUNTIF(OFFSET(H$9,1,0):OFFSET(H18,-1,0),"&gt;=7")=0,0,COUNTIF(OFFSET(H$9,1,0):OFFSET(H18,-1,0),"&gt;=7")/OFFSET($D18,-1,0)*100))</f>
        <v>75</v>
      </c>
      <c r="I20" s="11">
        <f ca="1">IF(SUM(OFFSET(I$9,1,0):OFFSET(I18,-1,0))=0,IF(COUNTA(OFFSET(I$9,1,0):OFFSET(I18,-1,0))=0,"Очікую",0),IF(COUNTIF(OFFSET(I$9,1,0):OFFSET(I18,-1,0),"&gt;=7")=0,0,COUNTIF(OFFSET(I$9,1,0):OFFSET(I18,-1,0),"&gt;=7")/OFFSET($D18,-1,0)*100))</f>
        <v>62.5</v>
      </c>
      <c r="J20" s="11">
        <f ca="1">IF(SUM(OFFSET(J$9,1,0):OFFSET(J18,-1,0))=0,IF(COUNTA(OFFSET(J$9,1,0):OFFSET(J18,-1,0))=0,"Очікую",0),IF(COUNTIF(OFFSET(J$9,1,0):OFFSET(J18,-1,0),"&gt;=7")=0,0,COUNTIF(OFFSET(J$9,1,0):OFFSET(J18,-1,0),"&gt;=7")/OFFSET($D18,-1,0)*100))</f>
        <v>62.5</v>
      </c>
      <c r="K20" s="11">
        <f ca="1">IF(SUM(OFFSET(K$9,1,0):OFFSET(K18,-1,0))=0,IF(COUNTA(OFFSET(K$9,1,0):OFFSET(K18,-1,0))=0,"Очікую",0),IF(COUNTIF(OFFSET(K$9,1,0):OFFSET(K18,-1,0),"&gt;=7")=0,0,COUNTIF(OFFSET(K$9,1,0):OFFSET(K18,-1,0),"&gt;=7")/OFFSET($D18,-1,0)*100))</f>
        <v>0</v>
      </c>
      <c r="L20" s="11">
        <f ca="1">IF(SUM(OFFSET(L$9,1,0):OFFSET(L18,-1,0))=0,IF(COUNTA(OFFSET(L$9,1,0):OFFSET(L18,-1,0))=0,"Очікую",0),IF(COUNTIF(OFFSET(L$9,1,0):OFFSET(L18,-1,0),"&gt;=7")=0,0,COUNTIF(OFFSET(L$9,1,0):OFFSET(L18,-1,0),"&gt;=7")/OFFSET($D18,-1,0)*100))</f>
        <v>62.5</v>
      </c>
      <c r="M20" s="11">
        <f ca="1">IF(SUM(OFFSET(M$9,1,0):OFFSET(M18,-1,0))=0,IF(COUNTA(OFFSET(M$9,1,0):OFFSET(M18,-1,0))=0,"Очікую",0),IF(COUNTIF(OFFSET(M$9,1,0):OFFSET(M18,-1,0),"&gt;=7")=0,0,COUNTIF(OFFSET(M$9,1,0):OFFSET(M18,-1,0),"&gt;=7")/OFFSET($D18,-1,0)*100))</f>
        <v>50</v>
      </c>
      <c r="N20" s="11">
        <f ca="1">IF(SUM(OFFSET(N$9,1,0):OFFSET(N18,-1,0))=0,IF(COUNTA(OFFSET(N$9,1,0):OFFSET(N18,-1,0))=0,"Очікую",0),IF(COUNTIF(OFFSET(N$9,1,0):OFFSET(N18,-1,0),"&gt;=7")=0,0,COUNTIF(OFFSET(N$9,1,0):OFFSET(N18,-1,0),"&gt;=7")/OFFSET($D18,-1,0)*100))</f>
        <v>50</v>
      </c>
      <c r="O20" s="11">
        <f ca="1">IF(SUM(OFFSET(O$9,1,0):OFFSET(O18,-1,0))=0,IF(COUNTA(OFFSET(O$9,1,0):OFFSET(O18,-1,0))=0,"Очікую",0),IF(COUNTIF(OFFSET(O$9,1,0):OFFSET(O18,-1,0),"&gt;=7")=0,0,COUNTIF(OFFSET(O$9,1,0):OFFSET(O18,-1,0),"&gt;=7")/OFFSET($D18,-1,0)*100))</f>
        <v>12.5</v>
      </c>
      <c r="P20" s="11">
        <f ca="1">IF(SUM(OFFSET(P$9,1,0):OFFSET(P18,-1,0))=0,IF(COUNTA(OFFSET(P$9,1,0):OFFSET(P18,-1,0))=0,"Очікую",0),IF(COUNTIF(OFFSET(P$9,1,0):OFFSET(P18,-1,0),"&gt;=7")=0,0,COUNTIF(OFFSET(P$9,1,0):OFFSET(P18,-1,0),"&gt;=7")/OFFSET($D18,-1,0)*100))</f>
        <v>50</v>
      </c>
      <c r="Q20" s="11">
        <f ca="1">IF(SUM(OFFSET(Q$9,1,0):OFFSET(Q18,-1,0))=0,IF(COUNTA(OFFSET(Q$9,1,0):OFFSET(Q18,-1,0))=0,"Очікую",0),IF(COUNTIF(OFFSET(Q$9,1,0):OFFSET(Q18,-1,0),"&gt;=7")=0,0,COUNTIF(OFFSET(Q$9,1,0):OFFSET(Q18,-1,0),"&gt;=7")/OFFSET($D18,-1,0)*100))</f>
        <v>50</v>
      </c>
      <c r="R20" s="11">
        <f ca="1">IF(SUM(OFFSET(R$9,1,0):OFFSET(R18,-1,0))=0,IF(COUNTA(OFFSET(R$9,1,0):OFFSET(R18,-1,0))=0,"Очікую",0),IF(COUNTIF(OFFSET(R$9,1,0):OFFSET(R18,-1,0),"&gt;=7")=0,0,COUNTIF(OFFSET(R$9,1,0):OFFSET(R18,-1,0),"&gt;=7")/OFFSET($D18,-1,0)*100))</f>
        <v>12.5</v>
      </c>
      <c r="S20" s="11">
        <f ca="1">IF(SUM(OFFSET(S$9,1,0):OFFSET(S18,-1,0))=0,IF(COUNTA(OFFSET(S$9,1,0):OFFSET(S18,-1,0))=0,"Очікую",0),IF(COUNTIF(OFFSET(S$9,1,0):OFFSET(S18,-1,0),"&gt;=7")=0,0,COUNTIF(OFFSET(S$9,1,0):OFFSET(S18,-1,0),"&gt;=7")/OFFSET($D18,-1,0)*100))</f>
        <v>12.5</v>
      </c>
      <c r="T20" s="11">
        <f ca="1">IF(SUM(OFFSET(T$9,1,0):OFFSET(T18,-1,0))=0,IF(COUNTA(OFFSET(T$9,1,0):OFFSET(T18,-1,0))=0,"Очікую",0),IF(COUNTIF(OFFSET(T$9,1,0):OFFSET(T18,-1,0),"&gt;=7")=0,0,COUNTIF(OFFSET(T$9,1,0):OFFSET(T18,-1,0),"&gt;=7")/OFFSET($D18,-1,0)*100))</f>
        <v>12.5</v>
      </c>
      <c r="U20" s="7"/>
      <c r="V20" s="24"/>
      <c r="W20" s="19"/>
    </row>
    <row r="21" spans="1:23" ht="15" customHeight="1" x14ac:dyDescent="0.25">
      <c r="A21" s="27"/>
      <c r="B21" s="28"/>
      <c r="C21" s="7"/>
      <c r="D21" s="7"/>
      <c r="E21" s="8" t="s">
        <v>13</v>
      </c>
      <c r="F21" s="9">
        <f ca="1">IFERROR(AVERAGE(OFFSET(E19,0,1):OFFSET(U19,0,-1)),"Очікую")</f>
        <v>93.333333333333329</v>
      </c>
      <c r="G21" s="7"/>
      <c r="H21" s="7"/>
      <c r="I21" s="7"/>
      <c r="J21" s="7"/>
      <c r="K21" s="7"/>
      <c r="L21" s="7"/>
      <c r="M21" s="7"/>
      <c r="N21" s="7"/>
      <c r="O21" s="7"/>
      <c r="P21" s="7"/>
      <c r="Q21" s="7"/>
      <c r="R21" s="7"/>
      <c r="S21" s="7"/>
      <c r="T21" s="7"/>
      <c r="U21" s="7"/>
      <c r="V21" s="24"/>
      <c r="W21" s="19"/>
    </row>
    <row r="22" spans="1:23" ht="15" customHeight="1" x14ac:dyDescent="0.25">
      <c r="A22" s="27"/>
      <c r="B22" s="28"/>
      <c r="C22" s="7"/>
      <c r="D22" s="7"/>
      <c r="E22" s="8" t="s">
        <v>14</v>
      </c>
      <c r="F22" s="9">
        <f ca="1">IFERROR(AVERAGE(OFFSET(E20,0,1):OFFSET(U20,0,-1)),"Очікую")</f>
        <v>41.666666666666664</v>
      </c>
      <c r="G22" s="7"/>
      <c r="H22" s="7"/>
      <c r="I22" s="7"/>
      <c r="J22" s="7"/>
      <c r="K22" s="7"/>
      <c r="L22" s="7"/>
      <c r="M22" s="7"/>
      <c r="N22" s="7"/>
      <c r="O22" s="7"/>
      <c r="P22" s="7"/>
      <c r="Q22" s="7"/>
      <c r="R22" s="7"/>
      <c r="S22" s="7"/>
      <c r="T22" s="7"/>
      <c r="U22" s="7"/>
      <c r="V22" s="24"/>
      <c r="W22" s="19"/>
    </row>
    <row r="23" spans="1:23" ht="15" customHeight="1" x14ac:dyDescent="0.25">
      <c r="A23" s="27"/>
      <c r="B23" s="28"/>
      <c r="C23" s="7"/>
      <c r="D23" s="7"/>
      <c r="E23" s="8" t="s">
        <v>15</v>
      </c>
      <c r="F23" s="6">
        <f ca="1">IF(COUNTIF(OFFSET(C$9,1,0):OFFSET(C18,-1,0),"=Б")=0,IF(COUNTIF(OFFSET(C$9,1,0):OFFSET(C18,-1,0),"=К")=0,"Очікую",0),COUNTIF(OFFSET(C$9,1,0):OFFSET(C18,-1,0),"=Б"))</f>
        <v>0</v>
      </c>
      <c r="G23" s="7"/>
      <c r="H23" s="12"/>
      <c r="I23" s="7"/>
      <c r="J23" s="7"/>
      <c r="K23" s="7"/>
      <c r="L23" s="7"/>
      <c r="M23" s="7"/>
      <c r="N23" s="7"/>
      <c r="O23" s="7"/>
      <c r="P23" s="7"/>
      <c r="Q23" s="12"/>
      <c r="R23" s="7"/>
      <c r="S23" s="7"/>
      <c r="T23" s="7"/>
      <c r="U23" s="7"/>
      <c r="V23" s="24"/>
      <c r="W23" s="19"/>
    </row>
    <row r="24" spans="1:23" ht="15" customHeight="1" x14ac:dyDescent="0.25">
      <c r="A24" s="27"/>
      <c r="B24" s="28"/>
      <c r="C24" s="7"/>
      <c r="D24" s="7"/>
      <c r="E24" s="8" t="s">
        <v>16</v>
      </c>
      <c r="F24" s="6">
        <f ca="1">IF(COUNTIF(OFFSET(C$9,1,0):OFFSET(C18,-1,0),"=К")=0,IF(COUNTIF(OFFSET(C$9,1,0):OFFSET(C18,-1,0),"=Б")=0,"Очікую",0),COUNTIF(OFFSET(C$9,1,0):OFFSET(C18,-1,0),"=К"))</f>
        <v>8</v>
      </c>
      <c r="G24" s="7"/>
      <c r="H24" s="12" t="s">
        <v>17</v>
      </c>
      <c r="I24" s="7"/>
      <c r="J24" s="7"/>
      <c r="K24" s="7"/>
      <c r="L24" s="7"/>
      <c r="M24" s="7"/>
      <c r="N24" s="7"/>
      <c r="O24" s="7"/>
      <c r="P24" s="7"/>
      <c r="Q24" s="12" t="s">
        <v>27</v>
      </c>
      <c r="R24" s="7"/>
      <c r="S24" s="7"/>
      <c r="T24" s="7"/>
      <c r="U24" s="7"/>
      <c r="V24" s="24"/>
      <c r="W24" s="19"/>
    </row>
    <row r="25" spans="1:23" ht="15" customHeight="1" x14ac:dyDescent="0.25">
      <c r="A25" s="27"/>
      <c r="B25" s="28"/>
      <c r="C25" s="7"/>
      <c r="D25" s="7"/>
      <c r="E25" s="8" t="s">
        <v>18</v>
      </c>
      <c r="F25" s="4"/>
      <c r="G25" s="7"/>
      <c r="H25" s="12"/>
      <c r="I25" s="7"/>
      <c r="J25" s="7"/>
      <c r="K25" s="7"/>
      <c r="L25" s="7"/>
      <c r="M25" s="7"/>
      <c r="N25" s="7"/>
      <c r="O25" s="7"/>
      <c r="P25" s="12"/>
      <c r="Q25" s="12"/>
      <c r="R25" s="7"/>
      <c r="S25" s="7"/>
      <c r="T25" s="7"/>
      <c r="U25" s="7"/>
      <c r="V25" s="24"/>
      <c r="W25" s="19"/>
    </row>
    <row r="26" spans="1:23" ht="15" customHeight="1" x14ac:dyDescent="0.25">
      <c r="A26" s="27"/>
      <c r="B26" s="28"/>
      <c r="C26" s="7"/>
      <c r="D26" s="7"/>
      <c r="E26" s="8" t="s">
        <v>19</v>
      </c>
      <c r="F26" s="6">
        <f ca="1">IF(F23="Очікую","Очікую",IF(F23-COUNTIF(OFFSET(U$8,1,0):OFFSET(U18,-1,0)," - ")&lt;ROUNDDOWN(F23*0.4,0),F23-COUNTIF(OFFSET(U$8,1,0):OFFSET(U18,-1,0)," - "),ROUNDDOWN(F23*0.4,0)))</f>
        <v>0</v>
      </c>
      <c r="G26" s="7"/>
      <c r="H26" s="12" t="s">
        <v>20</v>
      </c>
      <c r="I26" s="7"/>
      <c r="J26" s="7"/>
      <c r="K26" s="7"/>
      <c r="L26" s="7"/>
      <c r="M26" s="7"/>
      <c r="N26" s="7"/>
      <c r="O26" s="7"/>
      <c r="P26" s="7"/>
      <c r="Q26" s="12" t="s">
        <v>21</v>
      </c>
      <c r="R26" s="7"/>
      <c r="S26" s="7"/>
      <c r="T26" s="7"/>
      <c r="U26" s="7"/>
      <c r="V26" s="24"/>
      <c r="W26" s="19"/>
    </row>
    <row r="27" spans="1:23" ht="12" customHeight="1" thickBot="1" x14ac:dyDescent="0.3">
      <c r="A27" s="27"/>
      <c r="B27" s="29"/>
      <c r="C27" s="17"/>
      <c r="D27" s="17"/>
      <c r="E27" s="17"/>
      <c r="F27" s="17"/>
      <c r="G27" s="17"/>
      <c r="H27" s="17"/>
      <c r="I27" s="17"/>
      <c r="J27" s="17"/>
      <c r="K27" s="17"/>
      <c r="L27" s="17"/>
      <c r="M27" s="17"/>
      <c r="N27" s="17"/>
      <c r="O27" s="17"/>
      <c r="P27" s="17"/>
      <c r="Q27" s="17"/>
      <c r="R27" s="17"/>
      <c r="S27" s="17"/>
      <c r="T27" s="17"/>
      <c r="U27" s="17"/>
      <c r="V27" s="18"/>
      <c r="W27" s="19"/>
    </row>
    <row r="28" spans="1:23" ht="12" customHeight="1" x14ac:dyDescent="0.25">
      <c r="A28" s="19"/>
      <c r="B28" s="19"/>
      <c r="C28" s="19"/>
      <c r="D28" s="19"/>
      <c r="E28" s="19"/>
      <c r="F28" s="19"/>
      <c r="G28" s="19"/>
      <c r="H28" s="19"/>
      <c r="I28" s="19"/>
      <c r="J28" s="19"/>
      <c r="K28" s="19"/>
      <c r="L28" s="19"/>
      <c r="M28" s="19"/>
      <c r="N28" s="19"/>
      <c r="O28" s="19"/>
      <c r="P28" s="19"/>
      <c r="Q28" s="19"/>
      <c r="R28" s="19"/>
      <c r="S28" s="19"/>
      <c r="T28" s="19"/>
      <c r="U28" s="19"/>
      <c r="V28" s="19"/>
      <c r="W28" s="19"/>
    </row>
  </sheetData>
  <mergeCells count="11">
    <mergeCell ref="B1:W1"/>
    <mergeCell ref="C8:C9"/>
    <mergeCell ref="D8:D9"/>
    <mergeCell ref="E8:E9"/>
    <mergeCell ref="C3:U3"/>
    <mergeCell ref="C4:U4"/>
    <mergeCell ref="C5:U5"/>
    <mergeCell ref="C6:U6"/>
    <mergeCell ref="C7:U7"/>
    <mergeCell ref="F8:T8"/>
    <mergeCell ref="U8:U9"/>
  </mergeCells>
  <printOptions horizontalCentered="1"/>
  <pageMargins left="0.19685039370078741" right="0.19685039370078741" top="0.19685039370078741" bottom="0.19685039370078741" header="0" footer="0"/>
  <pageSetup paperSize="9" scale="8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tabColor rgb="FF0070C0"/>
    <pageSetUpPr fitToPage="1"/>
  </sheetPr>
  <dimension ref="A1:BJ38"/>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0" width="6.7109375" style="1" customWidth="1"/>
    <col min="21" max="21" width="11.28515625" style="1" customWidth="1"/>
    <col min="22" max="23" width="2.7109375" style="1" customWidth="1"/>
    <col min="24" max="29" width="14.42578125" style="1" hidden="1" customWidth="1"/>
    <col min="30" max="30" width="14.85546875" style="1" hidden="1" customWidth="1"/>
    <col min="31" max="44" width="3.7109375" style="1" hidden="1" customWidth="1"/>
    <col min="45" max="61" width="5.7109375" style="1" hidden="1" customWidth="1"/>
    <col min="62" max="62" width="5.7109375" style="1" hidden="1"/>
    <col min="63" max="16384" width="14.42578125" style="1" hidden="1"/>
  </cols>
  <sheetData>
    <row r="1" spans="1:23" ht="12" customHeight="1" thickBot="1" x14ac:dyDescent="0.3">
      <c r="A1" s="35" t="s">
        <v>47</v>
      </c>
      <c r="B1" s="19"/>
      <c r="C1" s="19"/>
      <c r="D1" s="19"/>
      <c r="E1" s="19"/>
      <c r="F1" s="19"/>
      <c r="G1" s="19"/>
      <c r="H1" s="19"/>
      <c r="I1" s="19"/>
      <c r="J1" s="19"/>
      <c r="K1" s="19"/>
      <c r="L1" s="19"/>
      <c r="M1" s="19"/>
      <c r="N1" s="19"/>
      <c r="O1" s="19"/>
      <c r="P1" s="19"/>
      <c r="Q1" s="19"/>
      <c r="R1" s="19"/>
      <c r="S1" s="19"/>
      <c r="T1" s="19"/>
      <c r="U1" s="19"/>
      <c r="V1" s="19"/>
      <c r="W1" s="19"/>
    </row>
    <row r="2" spans="1:23" ht="12" customHeight="1" x14ac:dyDescent="0.25">
      <c r="A2" s="13"/>
      <c r="B2" s="20"/>
      <c r="C2" s="21"/>
      <c r="D2" s="21"/>
      <c r="E2" s="21"/>
      <c r="F2" s="21"/>
      <c r="G2" s="21"/>
      <c r="H2" s="21"/>
      <c r="I2" s="21"/>
      <c r="J2" s="21"/>
      <c r="K2" s="21"/>
      <c r="L2" s="21"/>
      <c r="M2" s="21"/>
      <c r="N2" s="21"/>
      <c r="O2" s="21"/>
      <c r="P2" s="21"/>
      <c r="Q2" s="21"/>
      <c r="R2" s="21"/>
      <c r="S2" s="21"/>
      <c r="T2" s="21"/>
      <c r="U2" s="21"/>
      <c r="V2" s="23"/>
      <c r="W2" s="22"/>
    </row>
    <row r="3" spans="1:23" s="2" customFormat="1" ht="54.95" customHeight="1" x14ac:dyDescent="0.3">
      <c r="A3" s="13"/>
      <c r="B3" s="15"/>
      <c r="C3" s="54" t="s">
        <v>48</v>
      </c>
      <c r="D3" s="54"/>
      <c r="E3" s="54"/>
      <c r="F3" s="54"/>
      <c r="G3" s="54"/>
      <c r="H3" s="54"/>
      <c r="I3" s="54"/>
      <c r="J3" s="54"/>
      <c r="K3" s="54"/>
      <c r="L3" s="54"/>
      <c r="M3" s="54"/>
      <c r="N3" s="54"/>
      <c r="O3" s="54"/>
      <c r="P3" s="54"/>
      <c r="Q3" s="54"/>
      <c r="R3" s="54"/>
      <c r="S3" s="54"/>
      <c r="T3" s="54"/>
      <c r="U3" s="54"/>
      <c r="V3" s="24"/>
      <c r="W3" s="22"/>
    </row>
    <row r="4" spans="1:23" s="3" customFormat="1" ht="15" customHeight="1" x14ac:dyDescent="0.25">
      <c r="A4" s="13"/>
      <c r="B4" s="15"/>
      <c r="C4" s="55" t="s">
        <v>22</v>
      </c>
      <c r="D4" s="55"/>
      <c r="E4" s="55"/>
      <c r="F4" s="55"/>
      <c r="G4" s="55"/>
      <c r="H4" s="55"/>
      <c r="I4" s="55"/>
      <c r="J4" s="55"/>
      <c r="K4" s="55"/>
      <c r="L4" s="55"/>
      <c r="M4" s="55"/>
      <c r="N4" s="55"/>
      <c r="O4" s="55"/>
      <c r="P4" s="55"/>
      <c r="Q4" s="55"/>
      <c r="R4" s="55"/>
      <c r="S4" s="55"/>
      <c r="T4" s="55"/>
      <c r="U4" s="55"/>
      <c r="V4" s="24"/>
      <c r="W4" s="22"/>
    </row>
    <row r="5" spans="1:23" s="2" customFormat="1" ht="15" customHeight="1" x14ac:dyDescent="0.25">
      <c r="A5" s="13"/>
      <c r="B5" s="15"/>
      <c r="C5" s="64" t="s">
        <v>91</v>
      </c>
      <c r="D5" s="64"/>
      <c r="E5" s="64"/>
      <c r="F5" s="64"/>
      <c r="G5" s="64"/>
      <c r="H5" s="64"/>
      <c r="I5" s="64"/>
      <c r="J5" s="64"/>
      <c r="K5" s="64"/>
      <c r="L5" s="64"/>
      <c r="M5" s="64"/>
      <c r="N5" s="64"/>
      <c r="O5" s="64"/>
      <c r="P5" s="64"/>
      <c r="Q5" s="64"/>
      <c r="R5" s="64"/>
      <c r="S5" s="64"/>
      <c r="T5" s="64"/>
      <c r="U5" s="64"/>
      <c r="V5" s="24"/>
      <c r="W5" s="22"/>
    </row>
    <row r="6" spans="1:23" s="2" customFormat="1" ht="15" customHeight="1" x14ac:dyDescent="0.25">
      <c r="A6" s="13"/>
      <c r="B6" s="15"/>
      <c r="C6" s="64" t="s">
        <v>89</v>
      </c>
      <c r="D6" s="64"/>
      <c r="E6" s="64"/>
      <c r="F6" s="64"/>
      <c r="G6" s="64"/>
      <c r="H6" s="64"/>
      <c r="I6" s="64"/>
      <c r="J6" s="64"/>
      <c r="K6" s="64"/>
      <c r="L6" s="64"/>
      <c r="M6" s="64"/>
      <c r="N6" s="64"/>
      <c r="O6" s="64"/>
      <c r="P6" s="64"/>
      <c r="Q6" s="64"/>
      <c r="R6" s="64"/>
      <c r="S6" s="64"/>
      <c r="T6" s="64"/>
      <c r="U6" s="64"/>
      <c r="V6" s="24"/>
      <c r="W6" s="22"/>
    </row>
    <row r="7" spans="1:23" s="2" customFormat="1" ht="15" customHeight="1" x14ac:dyDescent="0.25">
      <c r="A7" s="13"/>
      <c r="B7" s="15"/>
      <c r="C7" s="63" t="s">
        <v>90</v>
      </c>
      <c r="D7" s="63"/>
      <c r="E7" s="63"/>
      <c r="F7" s="63"/>
      <c r="G7" s="63"/>
      <c r="H7" s="63"/>
      <c r="I7" s="63"/>
      <c r="J7" s="63"/>
      <c r="K7" s="63"/>
      <c r="L7" s="63"/>
      <c r="M7" s="63"/>
      <c r="N7" s="63"/>
      <c r="O7" s="63"/>
      <c r="P7" s="63"/>
      <c r="Q7" s="63"/>
      <c r="R7" s="63"/>
      <c r="S7" s="63"/>
      <c r="T7" s="63"/>
      <c r="U7" s="63"/>
      <c r="V7" s="24"/>
      <c r="W7" s="22"/>
    </row>
    <row r="8" spans="1:23" ht="15" customHeight="1" x14ac:dyDescent="0.25">
      <c r="A8" s="13"/>
      <c r="B8" s="15"/>
      <c r="C8" s="51" t="s">
        <v>0</v>
      </c>
      <c r="D8" s="53" t="s">
        <v>1</v>
      </c>
      <c r="E8" s="53" t="s">
        <v>2</v>
      </c>
      <c r="F8" s="58" t="s">
        <v>25</v>
      </c>
      <c r="G8" s="59"/>
      <c r="H8" s="59"/>
      <c r="I8" s="59"/>
      <c r="J8" s="59"/>
      <c r="K8" s="59"/>
      <c r="L8" s="59"/>
      <c r="M8" s="59"/>
      <c r="N8" s="59"/>
      <c r="O8" s="59"/>
      <c r="P8" s="59"/>
      <c r="Q8" s="59"/>
      <c r="R8" s="59"/>
      <c r="S8" s="59"/>
      <c r="T8" s="60"/>
      <c r="U8" s="61" t="s">
        <v>8</v>
      </c>
      <c r="V8" s="24"/>
      <c r="W8" s="22"/>
    </row>
    <row r="9" spans="1:23" ht="125.1" customHeight="1" x14ac:dyDescent="0.25">
      <c r="A9" s="13"/>
      <c r="B9" s="15"/>
      <c r="C9" s="52"/>
      <c r="D9" s="52"/>
      <c r="E9" s="52"/>
      <c r="F9" s="16" t="s">
        <v>35</v>
      </c>
      <c r="G9" s="16" t="s">
        <v>3</v>
      </c>
      <c r="H9" s="16" t="s">
        <v>4</v>
      </c>
      <c r="I9" s="16" t="s">
        <v>5</v>
      </c>
      <c r="J9" s="16" t="s">
        <v>23</v>
      </c>
      <c r="K9" s="16" t="s">
        <v>28</v>
      </c>
      <c r="L9" s="16" t="s">
        <v>29</v>
      </c>
      <c r="M9" s="16" t="s">
        <v>30</v>
      </c>
      <c r="N9" s="16" t="s">
        <v>6</v>
      </c>
      <c r="O9" s="16" t="s">
        <v>24</v>
      </c>
      <c r="P9" s="16" t="s">
        <v>31</v>
      </c>
      <c r="Q9" s="16" t="s">
        <v>32</v>
      </c>
      <c r="R9" s="16" t="s">
        <v>7</v>
      </c>
      <c r="S9" s="16" t="s">
        <v>33</v>
      </c>
      <c r="T9" s="16" t="s">
        <v>34</v>
      </c>
      <c r="U9" s="62"/>
      <c r="V9" s="24"/>
      <c r="W9" s="22"/>
    </row>
    <row r="10" spans="1:23" s="14" customFormat="1" ht="15" customHeight="1" x14ac:dyDescent="0.25">
      <c r="A10" s="13"/>
      <c r="B10" s="15"/>
      <c r="C10" s="45" t="s">
        <v>94</v>
      </c>
      <c r="D10" s="45">
        <v>1</v>
      </c>
      <c r="E10" s="48" t="s">
        <v>51</v>
      </c>
      <c r="F10" s="49" t="s">
        <v>46</v>
      </c>
      <c r="G10" s="49">
        <v>4</v>
      </c>
      <c r="H10" s="49">
        <v>5</v>
      </c>
      <c r="I10" s="49">
        <v>9</v>
      </c>
      <c r="J10" s="49">
        <v>4</v>
      </c>
      <c r="K10" s="49">
        <v>5</v>
      </c>
      <c r="L10" s="49">
        <v>7</v>
      </c>
      <c r="M10" s="49">
        <v>8</v>
      </c>
      <c r="N10" s="49" t="s">
        <v>46</v>
      </c>
      <c r="O10" s="49">
        <v>10</v>
      </c>
      <c r="P10" s="49">
        <v>8</v>
      </c>
      <c r="Q10" s="49">
        <v>7</v>
      </c>
      <c r="R10" s="49">
        <v>8</v>
      </c>
      <c r="S10" s="49">
        <v>9</v>
      </c>
      <c r="T10" s="49">
        <v>5</v>
      </c>
      <c r="U10" s="42" t="str">
        <f ca="1">IF(COUNTIF(OFFSET($E10,0,1):OFFSET(U10,0,-1),"=*")&gt;0,IF($C10="К","-"," - "),IF(COUNTIF(OFFSET($E10,0,1):OFFSET(U10,0,-1),"&lt;4")&gt;0,IF(C10="К","-"," - "),(IFERROR(AVERAGE(OFFSET($E10,0,1):OFFSET(U10,0,-1)),"Очікую"))))</f>
        <v xml:space="preserve"> - </v>
      </c>
      <c r="V10" s="26"/>
      <c r="W10" s="22"/>
    </row>
    <row r="11" spans="1:23" s="14" customFormat="1" ht="15" customHeight="1" x14ac:dyDescent="0.25">
      <c r="A11" s="13"/>
      <c r="B11" s="15"/>
      <c r="C11" s="45" t="s">
        <v>94</v>
      </c>
      <c r="D11" s="45">
        <v>2</v>
      </c>
      <c r="E11" s="48" t="s">
        <v>58</v>
      </c>
      <c r="F11" s="49" t="s">
        <v>46</v>
      </c>
      <c r="G11" s="49">
        <v>8</v>
      </c>
      <c r="H11" s="49">
        <v>5</v>
      </c>
      <c r="I11" s="49">
        <v>7</v>
      </c>
      <c r="J11" s="49">
        <v>9</v>
      </c>
      <c r="K11" s="49">
        <v>6</v>
      </c>
      <c r="L11" s="49">
        <v>9</v>
      </c>
      <c r="M11" s="49">
        <v>11</v>
      </c>
      <c r="N11" s="49" t="s">
        <v>46</v>
      </c>
      <c r="O11" s="49">
        <v>8</v>
      </c>
      <c r="P11" s="49">
        <v>7</v>
      </c>
      <c r="Q11" s="49">
        <v>7</v>
      </c>
      <c r="R11" s="49">
        <v>11</v>
      </c>
      <c r="S11" s="49">
        <v>4</v>
      </c>
      <c r="T11" s="49">
        <v>5</v>
      </c>
      <c r="U11" s="42" t="str">
        <f ca="1">IF(COUNTIF(OFFSET($E11,0,1):OFFSET(U11,0,-1),"=*")&gt;0,IF($C11="К","-"," - "),IF(COUNTIF(OFFSET($E11,0,1):OFFSET(U11,0,-1),"&lt;4")&gt;0,IF(C11="К","-"," - "),(IFERROR(AVERAGE(OFFSET($E11,0,1):OFFSET(U11,0,-1)),"Очікую"))))</f>
        <v xml:space="preserve"> - </v>
      </c>
      <c r="V11" s="26"/>
      <c r="W11" s="22"/>
    </row>
    <row r="12" spans="1:23" s="14" customFormat="1" ht="15" customHeight="1" x14ac:dyDescent="0.25">
      <c r="A12" s="13"/>
      <c r="B12" s="15"/>
      <c r="C12" s="45" t="s">
        <v>9</v>
      </c>
      <c r="D12" s="45">
        <v>3</v>
      </c>
      <c r="E12" s="48" t="s">
        <v>37</v>
      </c>
      <c r="F12" s="49">
        <v>6</v>
      </c>
      <c r="G12" s="49">
        <v>11</v>
      </c>
      <c r="H12" s="49">
        <v>5</v>
      </c>
      <c r="I12" s="49">
        <v>4</v>
      </c>
      <c r="J12" s="49" t="s">
        <v>46</v>
      </c>
      <c r="K12" s="49">
        <v>4</v>
      </c>
      <c r="L12" s="49">
        <v>10</v>
      </c>
      <c r="M12" s="49">
        <v>11</v>
      </c>
      <c r="N12" s="49">
        <v>6</v>
      </c>
      <c r="O12" s="49">
        <v>8</v>
      </c>
      <c r="P12" s="49">
        <v>9</v>
      </c>
      <c r="Q12" s="49">
        <v>10</v>
      </c>
      <c r="R12" s="49">
        <v>10</v>
      </c>
      <c r="S12" s="49" t="s">
        <v>46</v>
      </c>
      <c r="T12" s="49">
        <v>9</v>
      </c>
      <c r="U12" s="42" t="str">
        <f ca="1">IF(COUNTIF(OFFSET($E12,0,1):OFFSET(U12,0,-1),"=*")&gt;0,IF($C12="К","-"," - "),IF(COUNTIF(OFFSET($E12,0,1):OFFSET(U12,0,-1),"&lt;4")&gt;0,IF(C12="К","-"," - "),(IFERROR(AVERAGE(OFFSET($E12,0,1):OFFSET(U12,0,-1)),"Очікую"))))</f>
        <v>-</v>
      </c>
      <c r="V12" s="26"/>
      <c r="W12" s="22"/>
    </row>
    <row r="13" spans="1:23" s="14" customFormat="1" ht="15" customHeight="1" x14ac:dyDescent="0.25">
      <c r="A13" s="13"/>
      <c r="B13" s="15"/>
      <c r="C13" s="45" t="s">
        <v>9</v>
      </c>
      <c r="D13" s="45">
        <v>4</v>
      </c>
      <c r="E13" s="48" t="s">
        <v>50</v>
      </c>
      <c r="F13" s="49">
        <v>8</v>
      </c>
      <c r="G13" s="49">
        <v>5</v>
      </c>
      <c r="H13" s="49">
        <v>6</v>
      </c>
      <c r="I13" s="49">
        <v>6</v>
      </c>
      <c r="J13" s="49">
        <v>10</v>
      </c>
      <c r="K13" s="49">
        <v>7</v>
      </c>
      <c r="L13" s="49">
        <v>9</v>
      </c>
      <c r="M13" s="49">
        <v>5</v>
      </c>
      <c r="N13" s="49">
        <v>8</v>
      </c>
      <c r="O13" s="49">
        <v>10</v>
      </c>
      <c r="P13" s="49">
        <v>5</v>
      </c>
      <c r="Q13" s="49">
        <v>8</v>
      </c>
      <c r="R13" s="49">
        <v>6</v>
      </c>
      <c r="S13" s="49">
        <v>11</v>
      </c>
      <c r="T13" s="49">
        <v>11</v>
      </c>
      <c r="U13" s="42">
        <f ca="1">IF(COUNTIF(OFFSET($E13,0,1):OFFSET(U13,0,-1),"=*")&gt;0,IF($C13="К","-"," - "),IF(COUNTIF(OFFSET($E13,0,1):OFFSET(U13,0,-1),"&lt;4")&gt;0,IF(C13="К","-"," - "),(IFERROR(AVERAGE(OFFSET($E13,0,1):OFFSET(U13,0,-1)),"Очікую"))))</f>
        <v>7.666666666666667</v>
      </c>
      <c r="V13" s="26"/>
      <c r="W13" s="22"/>
    </row>
    <row r="14" spans="1:23" s="14" customFormat="1" ht="15" customHeight="1" x14ac:dyDescent="0.25">
      <c r="A14" s="13"/>
      <c r="B14" s="15"/>
      <c r="C14" s="45" t="s">
        <v>94</v>
      </c>
      <c r="D14" s="45">
        <v>5</v>
      </c>
      <c r="E14" s="48" t="s">
        <v>55</v>
      </c>
      <c r="F14" s="49">
        <v>11</v>
      </c>
      <c r="G14" s="49">
        <v>6</v>
      </c>
      <c r="H14" s="49">
        <v>7</v>
      </c>
      <c r="I14" s="49">
        <v>4</v>
      </c>
      <c r="J14" s="49">
        <v>6</v>
      </c>
      <c r="K14" s="49">
        <v>7</v>
      </c>
      <c r="L14" s="49" t="s">
        <v>46</v>
      </c>
      <c r="M14" s="49">
        <v>6</v>
      </c>
      <c r="N14" s="49">
        <v>11</v>
      </c>
      <c r="O14" s="49">
        <v>10</v>
      </c>
      <c r="P14" s="49" t="s">
        <v>46</v>
      </c>
      <c r="Q14" s="49">
        <v>5</v>
      </c>
      <c r="R14" s="49">
        <v>10</v>
      </c>
      <c r="S14" s="49">
        <v>10</v>
      </c>
      <c r="T14" s="49">
        <v>5</v>
      </c>
      <c r="U14" s="42" t="str">
        <f ca="1">IF(COUNTIF(OFFSET($E14,0,1):OFFSET(U14,0,-1),"=*")&gt;0,IF($C14="К","-"," - "),IF(COUNTIF(OFFSET($E14,0,1):OFFSET(U14,0,-1),"&lt;4")&gt;0,IF(C14="К","-"," - "),(IFERROR(AVERAGE(OFFSET($E14,0,1):OFFSET(U14,0,-1)),"Очікую"))))</f>
        <v xml:space="preserve"> - </v>
      </c>
      <c r="V14" s="26"/>
      <c r="W14" s="22"/>
    </row>
    <row r="15" spans="1:23" s="14" customFormat="1" ht="15" customHeight="1" x14ac:dyDescent="0.25">
      <c r="A15" s="13"/>
      <c r="B15" s="15"/>
      <c r="C15" s="45" t="s">
        <v>9</v>
      </c>
      <c r="D15" s="45">
        <v>6</v>
      </c>
      <c r="E15" s="48" t="s">
        <v>38</v>
      </c>
      <c r="F15" s="49">
        <v>10</v>
      </c>
      <c r="G15" s="49">
        <v>8</v>
      </c>
      <c r="H15" s="49">
        <v>4</v>
      </c>
      <c r="I15" s="49">
        <v>5</v>
      </c>
      <c r="J15" s="49">
        <v>11</v>
      </c>
      <c r="K15" s="49">
        <v>6</v>
      </c>
      <c r="L15" s="49">
        <v>8</v>
      </c>
      <c r="M15" s="49">
        <v>8</v>
      </c>
      <c r="N15" s="49">
        <v>10</v>
      </c>
      <c r="O15" s="49">
        <v>7</v>
      </c>
      <c r="P15" s="49" t="s">
        <v>46</v>
      </c>
      <c r="Q15" s="49">
        <v>5</v>
      </c>
      <c r="R15" s="49" t="s">
        <v>46</v>
      </c>
      <c r="S15" s="49">
        <v>11</v>
      </c>
      <c r="T15" s="49" t="s">
        <v>46</v>
      </c>
      <c r="U15" s="42" t="str">
        <f ca="1">IF(COUNTIF(OFFSET($E15,0,1):OFFSET(U15,0,-1),"=*")&gt;0,IF($C15="К","-"," - "),IF(COUNTIF(OFFSET($E15,0,1):OFFSET(U15,0,-1),"&lt;4")&gt;0,IF(C15="К","-"," - "),(IFERROR(AVERAGE(OFFSET($E15,0,1):OFFSET(U15,0,-1)),"Очікую"))))</f>
        <v>-</v>
      </c>
      <c r="V15" s="26"/>
      <c r="W15" s="22"/>
    </row>
    <row r="16" spans="1:23" s="14" customFormat="1" ht="15" customHeight="1" x14ac:dyDescent="0.25">
      <c r="A16" s="13"/>
      <c r="B16" s="15"/>
      <c r="C16" s="45" t="s">
        <v>94</v>
      </c>
      <c r="D16" s="45">
        <v>7</v>
      </c>
      <c r="E16" s="48" t="s">
        <v>56</v>
      </c>
      <c r="F16" s="49">
        <v>8</v>
      </c>
      <c r="G16" s="49">
        <v>8</v>
      </c>
      <c r="H16" s="49">
        <v>8</v>
      </c>
      <c r="I16" s="49" t="s">
        <v>46</v>
      </c>
      <c r="J16" s="49">
        <v>10</v>
      </c>
      <c r="K16" s="49">
        <v>8</v>
      </c>
      <c r="L16" s="49">
        <v>8</v>
      </c>
      <c r="M16" s="49">
        <v>4</v>
      </c>
      <c r="N16" s="49">
        <v>8</v>
      </c>
      <c r="O16" s="49">
        <v>8</v>
      </c>
      <c r="P16" s="49" t="s">
        <v>46</v>
      </c>
      <c r="Q16" s="49" t="s">
        <v>46</v>
      </c>
      <c r="R16" s="49">
        <v>5</v>
      </c>
      <c r="S16" s="49">
        <v>10</v>
      </c>
      <c r="T16" s="49">
        <v>10</v>
      </c>
      <c r="U16" s="42" t="str">
        <f ca="1">IF(COUNTIF(OFFSET($E16,0,1):OFFSET(U16,0,-1),"=*")&gt;0,IF($C16="К","-"," - "),IF(COUNTIF(OFFSET($E16,0,1):OFFSET(U16,0,-1),"&lt;4")&gt;0,IF(C16="К","-"," - "),(IFERROR(AVERAGE(OFFSET($E16,0,1):OFFSET(U16,0,-1)),"Очікую"))))</f>
        <v xml:space="preserve"> - </v>
      </c>
      <c r="V16" s="26"/>
      <c r="W16" s="22"/>
    </row>
    <row r="17" spans="1:23" s="14" customFormat="1" ht="15" customHeight="1" x14ac:dyDescent="0.25">
      <c r="A17" s="13"/>
      <c r="B17" s="15"/>
      <c r="C17" s="45" t="s">
        <v>9</v>
      </c>
      <c r="D17" s="45">
        <v>8</v>
      </c>
      <c r="E17" s="48" t="s">
        <v>39</v>
      </c>
      <c r="F17" s="49">
        <v>9</v>
      </c>
      <c r="G17" s="49">
        <v>8</v>
      </c>
      <c r="H17" s="49">
        <v>7</v>
      </c>
      <c r="I17" s="49">
        <v>8</v>
      </c>
      <c r="J17" s="49">
        <v>11</v>
      </c>
      <c r="K17" s="49">
        <v>9</v>
      </c>
      <c r="L17" s="49">
        <v>10</v>
      </c>
      <c r="M17" s="49">
        <v>10</v>
      </c>
      <c r="N17" s="49">
        <v>9</v>
      </c>
      <c r="O17" s="49">
        <v>6</v>
      </c>
      <c r="P17" s="49">
        <v>5</v>
      </c>
      <c r="Q17" s="49">
        <v>7</v>
      </c>
      <c r="R17" s="49">
        <v>8</v>
      </c>
      <c r="S17" s="49">
        <v>10</v>
      </c>
      <c r="T17" s="49">
        <v>4</v>
      </c>
      <c r="U17" s="42">
        <f ca="1">IF(COUNTIF(OFFSET($E17,0,1):OFFSET(U17,0,-1),"=*")&gt;0,IF($C17="К","-"," - "),IF(COUNTIF(OFFSET($E17,0,1):OFFSET(U17,0,-1),"&lt;4")&gt;0,IF(C17="К","-"," - "),(IFERROR(AVERAGE(OFFSET($E17,0,1):OFFSET(U17,0,-1)),"Очікую"))))</f>
        <v>8.0666666666666664</v>
      </c>
      <c r="V17" s="26"/>
      <c r="W17" s="22"/>
    </row>
    <row r="18" spans="1:23" s="14" customFormat="1" ht="15" customHeight="1" x14ac:dyDescent="0.25">
      <c r="A18" s="13"/>
      <c r="B18" s="15"/>
      <c r="C18" s="45" t="s">
        <v>9</v>
      </c>
      <c r="D18" s="45">
        <v>9</v>
      </c>
      <c r="E18" s="48" t="s">
        <v>53</v>
      </c>
      <c r="F18" s="49">
        <v>11</v>
      </c>
      <c r="G18" s="49">
        <v>9</v>
      </c>
      <c r="H18" s="49">
        <v>4</v>
      </c>
      <c r="I18" s="49" t="s">
        <v>46</v>
      </c>
      <c r="J18" s="49">
        <v>9</v>
      </c>
      <c r="K18" s="49">
        <v>6</v>
      </c>
      <c r="L18" s="49" t="s">
        <v>46</v>
      </c>
      <c r="M18" s="49">
        <v>11</v>
      </c>
      <c r="N18" s="49">
        <v>11</v>
      </c>
      <c r="O18" s="49">
        <v>10</v>
      </c>
      <c r="P18" s="49">
        <v>8</v>
      </c>
      <c r="Q18" s="49">
        <v>11</v>
      </c>
      <c r="R18" s="49">
        <v>9</v>
      </c>
      <c r="S18" s="49">
        <v>7</v>
      </c>
      <c r="T18" s="49">
        <v>11</v>
      </c>
      <c r="U18" s="42" t="str">
        <f ca="1">IF(COUNTIF(OFFSET($E18,0,1):OFFSET(U18,0,-1),"=*")&gt;0,IF($C18="К","-"," - "),IF(COUNTIF(OFFSET($E18,0,1):OFFSET(U18,0,-1),"&lt;4")&gt;0,IF(C18="К","-"," - "),(IFERROR(AVERAGE(OFFSET($E18,0,1):OFFSET(U18,0,-1)),"Очікую"))))</f>
        <v>-</v>
      </c>
      <c r="V18" s="26"/>
      <c r="W18" s="22"/>
    </row>
    <row r="19" spans="1:23" s="14" customFormat="1" ht="15" customHeight="1" x14ac:dyDescent="0.25">
      <c r="A19" s="13"/>
      <c r="B19" s="15"/>
      <c r="C19" s="45" t="s">
        <v>94</v>
      </c>
      <c r="D19" s="45">
        <v>10</v>
      </c>
      <c r="E19" s="48" t="s">
        <v>57</v>
      </c>
      <c r="F19" s="49">
        <v>10</v>
      </c>
      <c r="G19" s="49">
        <v>4</v>
      </c>
      <c r="H19" s="49">
        <v>7</v>
      </c>
      <c r="I19" s="49">
        <v>9</v>
      </c>
      <c r="J19" s="49">
        <v>9</v>
      </c>
      <c r="K19" s="49">
        <v>6</v>
      </c>
      <c r="L19" s="49">
        <v>8</v>
      </c>
      <c r="M19" s="49">
        <v>8</v>
      </c>
      <c r="N19" s="49">
        <v>10</v>
      </c>
      <c r="O19" s="49">
        <v>4</v>
      </c>
      <c r="P19" s="49">
        <v>11</v>
      </c>
      <c r="Q19" s="49">
        <v>7</v>
      </c>
      <c r="R19" s="49">
        <v>8</v>
      </c>
      <c r="S19" s="49">
        <v>10</v>
      </c>
      <c r="T19" s="49">
        <v>8</v>
      </c>
      <c r="U19" s="42">
        <f ca="1">IF(COUNTIF(OFFSET($E19,0,1):OFFSET(U19,0,-1),"=*")&gt;0,IF($C19="К","-"," - "),IF(COUNTIF(OFFSET($E19,0,1):OFFSET(U19,0,-1),"&lt;4")&gt;0,IF(C19="К","-"," - "),(IFERROR(AVERAGE(OFFSET($E19,0,1):OFFSET(U19,0,-1)),"Очікую"))))</f>
        <v>7.9333333333333336</v>
      </c>
      <c r="V19" s="26"/>
      <c r="W19" s="22"/>
    </row>
    <row r="20" spans="1:23" s="14" customFormat="1" ht="15" customHeight="1" x14ac:dyDescent="0.25">
      <c r="A20" s="13"/>
      <c r="B20" s="15"/>
      <c r="C20" s="45" t="s">
        <v>94</v>
      </c>
      <c r="D20" s="45">
        <v>11</v>
      </c>
      <c r="E20" s="48" t="s">
        <v>40</v>
      </c>
      <c r="F20" s="49">
        <v>5</v>
      </c>
      <c r="G20" s="49">
        <v>11</v>
      </c>
      <c r="H20" s="49">
        <v>4</v>
      </c>
      <c r="I20" s="49">
        <v>10</v>
      </c>
      <c r="J20" s="49">
        <v>5</v>
      </c>
      <c r="K20" s="49">
        <v>8</v>
      </c>
      <c r="L20" s="49">
        <v>11</v>
      </c>
      <c r="M20" s="49">
        <v>9</v>
      </c>
      <c r="N20" s="49">
        <v>5</v>
      </c>
      <c r="O20" s="49">
        <v>8</v>
      </c>
      <c r="P20" s="49">
        <v>4</v>
      </c>
      <c r="Q20" s="49">
        <v>7</v>
      </c>
      <c r="R20" s="49">
        <v>11</v>
      </c>
      <c r="S20" s="49">
        <v>8</v>
      </c>
      <c r="T20" s="49">
        <v>5</v>
      </c>
      <c r="U20" s="42">
        <f ca="1">IF(COUNTIF(OFFSET($E20,0,1):OFFSET(U20,0,-1),"=*")&gt;0,IF($C20="К","-"," - "),IF(COUNTIF(OFFSET($E20,0,1):OFFSET(U20,0,-1),"&lt;4")&gt;0,IF(C20="К","-"," - "),(IFERROR(AVERAGE(OFFSET($E20,0,1):OFFSET(U20,0,-1)),"Очікую"))))</f>
        <v>7.4</v>
      </c>
      <c r="V20" s="26"/>
      <c r="W20" s="22"/>
    </row>
    <row r="21" spans="1:23" s="14" customFormat="1" ht="15" customHeight="1" x14ac:dyDescent="0.25">
      <c r="A21" s="13"/>
      <c r="B21" s="15"/>
      <c r="C21" s="45" t="s">
        <v>9</v>
      </c>
      <c r="D21" s="45">
        <v>12</v>
      </c>
      <c r="E21" s="48" t="s">
        <v>41</v>
      </c>
      <c r="F21" s="49">
        <v>6</v>
      </c>
      <c r="G21" s="49">
        <v>8</v>
      </c>
      <c r="H21" s="49">
        <v>11</v>
      </c>
      <c r="I21" s="49">
        <v>5</v>
      </c>
      <c r="J21" s="49">
        <v>8</v>
      </c>
      <c r="K21" s="49">
        <v>5</v>
      </c>
      <c r="L21" s="49">
        <v>5</v>
      </c>
      <c r="M21" s="49">
        <v>8</v>
      </c>
      <c r="N21" s="49">
        <v>6</v>
      </c>
      <c r="O21" s="49">
        <v>11</v>
      </c>
      <c r="P21" s="49">
        <v>9</v>
      </c>
      <c r="Q21" s="49">
        <v>8</v>
      </c>
      <c r="R21" s="49">
        <v>8</v>
      </c>
      <c r="S21" s="49">
        <v>8</v>
      </c>
      <c r="T21" s="49">
        <v>8</v>
      </c>
      <c r="U21" s="42">
        <f ca="1">IF(COUNTIF(OFFSET($E21,0,1):OFFSET(U21,0,-1),"=*")&gt;0,IF($C21="К","-"," - "),IF(COUNTIF(OFFSET($E21,0,1):OFFSET(U21,0,-1),"&lt;4")&gt;0,IF(C21="К","-"," - "),(IFERROR(AVERAGE(OFFSET($E21,0,1):OFFSET(U21,0,-1)),"Очікую"))))</f>
        <v>7.6</v>
      </c>
      <c r="V21" s="26"/>
      <c r="W21" s="22"/>
    </row>
    <row r="22" spans="1:23" s="14" customFormat="1" ht="15" customHeight="1" x14ac:dyDescent="0.25">
      <c r="A22" s="13"/>
      <c r="B22" s="15"/>
      <c r="C22" s="45" t="s">
        <v>9</v>
      </c>
      <c r="D22" s="45">
        <v>13</v>
      </c>
      <c r="E22" s="48" t="s">
        <v>54</v>
      </c>
      <c r="F22" s="49">
        <v>5</v>
      </c>
      <c r="G22" s="49">
        <v>6</v>
      </c>
      <c r="H22" s="49" t="s">
        <v>46</v>
      </c>
      <c r="I22" s="49">
        <v>9</v>
      </c>
      <c r="J22" s="49">
        <v>9</v>
      </c>
      <c r="K22" s="49" t="s">
        <v>46</v>
      </c>
      <c r="L22" s="49">
        <v>8</v>
      </c>
      <c r="M22" s="49">
        <v>11</v>
      </c>
      <c r="N22" s="49">
        <v>5</v>
      </c>
      <c r="O22" s="49">
        <v>6</v>
      </c>
      <c r="P22" s="49">
        <v>4</v>
      </c>
      <c r="Q22" s="49">
        <v>11</v>
      </c>
      <c r="R22" s="49">
        <v>9</v>
      </c>
      <c r="S22" s="49">
        <v>6</v>
      </c>
      <c r="T22" s="49">
        <v>8</v>
      </c>
      <c r="U22" s="42" t="str">
        <f ca="1">IF(COUNTIF(OFFSET($E22,0,1):OFFSET(U22,0,-1),"=*")&gt;0,IF($C22="К","-"," - "),IF(COUNTIF(OFFSET($E22,0,1):OFFSET(U22,0,-1),"&lt;4")&gt;0,IF(C22="К","-"," - "),(IFERROR(AVERAGE(OFFSET($E22,0,1):OFFSET(U22,0,-1)),"Очікую"))))</f>
        <v>-</v>
      </c>
      <c r="V22" s="26"/>
      <c r="W22" s="22"/>
    </row>
    <row r="23" spans="1:23" s="14" customFormat="1" ht="15" customHeight="1" x14ac:dyDescent="0.25">
      <c r="A23" s="13"/>
      <c r="B23" s="15"/>
      <c r="C23" s="45" t="s">
        <v>94</v>
      </c>
      <c r="D23" s="45">
        <v>14</v>
      </c>
      <c r="E23" s="48" t="s">
        <v>42</v>
      </c>
      <c r="F23" s="49">
        <v>9</v>
      </c>
      <c r="G23" s="49">
        <v>8</v>
      </c>
      <c r="H23" s="49">
        <v>4</v>
      </c>
      <c r="I23" s="49">
        <v>9</v>
      </c>
      <c r="J23" s="49">
        <v>7</v>
      </c>
      <c r="K23" s="49">
        <v>5</v>
      </c>
      <c r="L23" s="49">
        <v>8</v>
      </c>
      <c r="M23" s="49">
        <v>5</v>
      </c>
      <c r="N23" s="49">
        <v>9</v>
      </c>
      <c r="O23" s="49">
        <v>4</v>
      </c>
      <c r="P23" s="49">
        <v>8</v>
      </c>
      <c r="Q23" s="49">
        <v>8</v>
      </c>
      <c r="R23" s="49">
        <v>6</v>
      </c>
      <c r="S23" s="49">
        <v>9</v>
      </c>
      <c r="T23" s="49">
        <v>9</v>
      </c>
      <c r="U23" s="42">
        <f ca="1">IF(COUNTIF(OFFSET($E23,0,1):OFFSET(U23,0,-1),"=*")&gt;0,IF($C23="К","-"," - "),IF(COUNTIF(OFFSET($E23,0,1):OFFSET(U23,0,-1),"&lt;4")&gt;0,IF(C23="К","-"," - "),(IFERROR(AVERAGE(OFFSET($E23,0,1):OFFSET(U23,0,-1)),"Очікую"))))</f>
        <v>7.2</v>
      </c>
      <c r="V23" s="26"/>
      <c r="W23" s="22"/>
    </row>
    <row r="24" spans="1:23" s="14" customFormat="1" ht="15" customHeight="1" x14ac:dyDescent="0.25">
      <c r="A24" s="13"/>
      <c r="B24" s="15"/>
      <c r="C24" s="45" t="s">
        <v>94</v>
      </c>
      <c r="D24" s="45">
        <v>15</v>
      </c>
      <c r="E24" s="48" t="s">
        <v>43</v>
      </c>
      <c r="F24" s="49">
        <v>11</v>
      </c>
      <c r="G24" s="49">
        <v>5</v>
      </c>
      <c r="H24" s="49">
        <v>6</v>
      </c>
      <c r="I24" s="49">
        <v>6</v>
      </c>
      <c r="J24" s="49" t="s">
        <v>46</v>
      </c>
      <c r="K24" s="49">
        <v>10</v>
      </c>
      <c r="L24" s="49">
        <v>9</v>
      </c>
      <c r="M24" s="49">
        <v>11</v>
      </c>
      <c r="N24" s="49">
        <v>11</v>
      </c>
      <c r="O24" s="49">
        <v>11</v>
      </c>
      <c r="P24" s="49">
        <v>10</v>
      </c>
      <c r="Q24" s="49">
        <v>11</v>
      </c>
      <c r="R24" s="49">
        <v>10</v>
      </c>
      <c r="S24" s="49">
        <v>11</v>
      </c>
      <c r="T24" s="49">
        <v>8</v>
      </c>
      <c r="U24" s="42" t="str">
        <f ca="1">IF(COUNTIF(OFFSET($E24,0,1):OFFSET(U24,0,-1),"=*")&gt;0,IF($C24="К","-"," - "),IF(COUNTIF(OFFSET($E24,0,1):OFFSET(U24,0,-1),"&lt;4")&gt;0,IF(C24="К","-"," - "),(IFERROR(AVERAGE(OFFSET($E24,0,1):OFFSET(U24,0,-1)),"Очікую"))))</f>
        <v xml:space="preserve"> - </v>
      </c>
      <c r="V24" s="26"/>
      <c r="W24" s="22"/>
    </row>
    <row r="25" spans="1:23" s="14" customFormat="1" ht="15" customHeight="1" x14ac:dyDescent="0.25">
      <c r="A25" s="13"/>
      <c r="B25" s="15"/>
      <c r="C25" s="45" t="s">
        <v>9</v>
      </c>
      <c r="D25" s="45">
        <v>16</v>
      </c>
      <c r="E25" s="48" t="s">
        <v>52</v>
      </c>
      <c r="F25" s="49">
        <v>9</v>
      </c>
      <c r="G25" s="49">
        <v>10</v>
      </c>
      <c r="H25" s="49">
        <v>10</v>
      </c>
      <c r="I25" s="49">
        <v>8</v>
      </c>
      <c r="J25" s="49">
        <v>9</v>
      </c>
      <c r="K25" s="49">
        <v>9</v>
      </c>
      <c r="L25" s="49">
        <v>9</v>
      </c>
      <c r="M25" s="49">
        <v>4</v>
      </c>
      <c r="N25" s="49">
        <v>9</v>
      </c>
      <c r="O25" s="49">
        <v>8</v>
      </c>
      <c r="P25" s="49">
        <v>10</v>
      </c>
      <c r="Q25" s="49">
        <v>8</v>
      </c>
      <c r="R25" s="49">
        <v>11</v>
      </c>
      <c r="S25" s="49">
        <v>8</v>
      </c>
      <c r="T25" s="49">
        <v>8</v>
      </c>
      <c r="U25" s="42">
        <f ca="1">IF(COUNTIF(OFFSET($E25,0,1):OFFSET(U25,0,-1),"=*")&gt;0,IF($C25="К","-"," - "),IF(COUNTIF(OFFSET($E25,0,1):OFFSET(U25,0,-1),"&lt;4")&gt;0,IF(C25="К","-"," - "),(IFERROR(AVERAGE(OFFSET($E25,0,1):OFFSET(U25,0,-1)),"Очікую"))))</f>
        <v>8.6666666666666661</v>
      </c>
      <c r="V25" s="26"/>
      <c r="W25" s="22"/>
    </row>
    <row r="26" spans="1:23" s="14" customFormat="1" ht="15" customHeight="1" x14ac:dyDescent="0.25">
      <c r="A26" s="13"/>
      <c r="B26" s="15"/>
      <c r="C26" s="45" t="s">
        <v>94</v>
      </c>
      <c r="D26" s="45">
        <v>17</v>
      </c>
      <c r="E26" s="48" t="s">
        <v>44</v>
      </c>
      <c r="F26" s="49">
        <v>4</v>
      </c>
      <c r="G26" s="49">
        <v>7</v>
      </c>
      <c r="H26" s="49" t="s">
        <v>46</v>
      </c>
      <c r="I26" s="49">
        <v>4</v>
      </c>
      <c r="J26" s="49">
        <v>7</v>
      </c>
      <c r="K26" s="49">
        <v>8</v>
      </c>
      <c r="L26" s="49">
        <v>5</v>
      </c>
      <c r="M26" s="49">
        <v>10</v>
      </c>
      <c r="N26" s="49">
        <v>4</v>
      </c>
      <c r="O26" s="49">
        <v>8</v>
      </c>
      <c r="P26" s="49">
        <v>8</v>
      </c>
      <c r="Q26" s="49">
        <v>6</v>
      </c>
      <c r="R26" s="49">
        <v>4</v>
      </c>
      <c r="S26" s="49">
        <v>7</v>
      </c>
      <c r="T26" s="49">
        <v>10</v>
      </c>
      <c r="U26" s="42" t="str">
        <f ca="1">IF(COUNTIF(OFFSET($E26,0,1):OFFSET(U26,0,-1),"=*")&gt;0,IF($C26="К","-"," - "),IF(COUNTIF(OFFSET($E26,0,1):OFFSET(U26,0,-1),"&lt;4")&gt;0,IF(C26="К","-"," - "),(IFERROR(AVERAGE(OFFSET($E26,0,1):OFFSET(U26,0,-1)),"Очікую"))))</f>
        <v xml:space="preserve"> - </v>
      </c>
      <c r="V26" s="26"/>
      <c r="W26" s="22"/>
    </row>
    <row r="27" spans="1:23" s="14" customFormat="1" ht="15" customHeight="1" x14ac:dyDescent="0.25">
      <c r="A27" s="13"/>
      <c r="B27" s="15"/>
      <c r="C27" s="45" t="s">
        <v>94</v>
      </c>
      <c r="D27" s="45">
        <v>18</v>
      </c>
      <c r="E27" s="48" t="s">
        <v>49</v>
      </c>
      <c r="F27" s="49">
        <v>5</v>
      </c>
      <c r="G27" s="49">
        <v>9</v>
      </c>
      <c r="H27" s="49">
        <v>7</v>
      </c>
      <c r="I27" s="49">
        <v>11</v>
      </c>
      <c r="J27" s="49" t="s">
        <v>46</v>
      </c>
      <c r="K27" s="49">
        <v>10</v>
      </c>
      <c r="L27" s="49">
        <v>8</v>
      </c>
      <c r="M27" s="49">
        <v>8</v>
      </c>
      <c r="N27" s="49">
        <v>5</v>
      </c>
      <c r="O27" s="49">
        <v>7</v>
      </c>
      <c r="P27" s="49">
        <v>7</v>
      </c>
      <c r="Q27" s="49">
        <v>4</v>
      </c>
      <c r="R27" s="49">
        <v>8</v>
      </c>
      <c r="S27" s="49">
        <v>4</v>
      </c>
      <c r="T27" s="49">
        <v>8</v>
      </c>
      <c r="U27" s="42" t="str">
        <f ca="1">IF(COUNTIF(OFFSET($E27,0,1):OFFSET(U27,0,-1),"=*")&gt;0,IF($C27="К","-"," - "),IF(COUNTIF(OFFSET($E27,0,1):OFFSET(U27,0,-1),"&lt;4")&gt;0,IF(C27="К","-"," - "),(IFERROR(AVERAGE(OFFSET($E27,0,1):OFFSET(U27,0,-1)),"Очікую"))))</f>
        <v xml:space="preserve"> - </v>
      </c>
      <c r="V27" s="26"/>
      <c r="W27" s="22"/>
    </row>
    <row r="28" spans="1:23" ht="15" customHeight="1" x14ac:dyDescent="0.25">
      <c r="A28" s="13"/>
      <c r="B28" s="15"/>
      <c r="C28" s="7"/>
      <c r="D28" s="7"/>
      <c r="E28" s="46" t="s">
        <v>10</v>
      </c>
      <c r="F28" s="47">
        <f ca="1">IF(SUM(OFFSET(F$9,1,0):OFFSET(F28,-1,0))=0,IF(COUNTA(OFFSET(F$9,1,0):OFFSET(F28,-1,0))=0,"Очікую",0),SUM(OFFSET(F$9,1,0):OFFSET(F28,-1,0))/OFFSET($D28,-1,0))</f>
        <v>7.0555555555555554</v>
      </c>
      <c r="G28" s="47">
        <f ca="1">IF(SUM(OFFSET(G$9,1,0):OFFSET(G28,-1,0))=0,IF(COUNTA(OFFSET(G$9,1,0):OFFSET(G28,-1,0))=0,"Очікую",0),SUM(OFFSET(G$9,1,0):OFFSET(G28,-1,0))/OFFSET($D28,-1,0))</f>
        <v>7.5</v>
      </c>
      <c r="H28" s="47">
        <f ca="1">IF(SUM(OFFSET(H$9,1,0):OFFSET(H28,-1,0))=0,IF(COUNTA(OFFSET(H$9,1,0):OFFSET(H28,-1,0))=0,"Очікую",0),SUM(OFFSET(H$9,1,0):OFFSET(H28,-1,0))/OFFSET($D28,-1,0))</f>
        <v>5.5555555555555554</v>
      </c>
      <c r="I28" s="47">
        <f ca="1">IF(SUM(OFFSET(I$9,1,0):OFFSET(I28,-1,0))=0,IF(COUNTA(OFFSET(I$9,1,0):OFFSET(I28,-1,0))=0,"Очікую",0),SUM(OFFSET(I$9,1,0):OFFSET(I28,-1,0))/OFFSET($D28,-1,0))</f>
        <v>6.333333333333333</v>
      </c>
      <c r="J28" s="47">
        <f ca="1">IF(SUM(OFFSET(J$9,1,0):OFFSET(J28,-1,0))=0,IF(COUNTA(OFFSET(J$9,1,0):OFFSET(J28,-1,0))=0,"Очікую",0),SUM(OFFSET(J$9,1,0):OFFSET(J28,-1,0))/OFFSET($D28,-1,0))</f>
        <v>6.8888888888888893</v>
      </c>
      <c r="K28" s="47">
        <f ca="1">IF(SUM(OFFSET(K$9,1,0):OFFSET(K28,-1,0))=0,IF(COUNTA(OFFSET(K$9,1,0):OFFSET(K28,-1,0))=0,"Очікую",0),SUM(OFFSET(K$9,1,0):OFFSET(K28,-1,0))/OFFSET($D28,-1,0))</f>
        <v>6.6111111111111107</v>
      </c>
      <c r="L28" s="47">
        <f ca="1">IF(SUM(OFFSET(L$9,1,0):OFFSET(L28,-1,0))=0,IF(COUNTA(OFFSET(L$9,1,0):OFFSET(L28,-1,0))=0,"Очікую",0),SUM(OFFSET(L$9,1,0):OFFSET(L28,-1,0))/OFFSET($D28,-1,0))</f>
        <v>7.333333333333333</v>
      </c>
      <c r="M28" s="47">
        <f ca="1">IF(SUM(OFFSET(M$9,1,0):OFFSET(M28,-1,0))=0,IF(COUNTA(OFFSET(M$9,1,0):OFFSET(M28,-1,0))=0,"Очікую",0),SUM(OFFSET(M$9,1,0):OFFSET(M28,-1,0))/OFFSET($D28,-1,0))</f>
        <v>8.2222222222222214</v>
      </c>
      <c r="N28" s="47">
        <f ca="1">IF(SUM(OFFSET(N$9,1,0):OFFSET(N28,-1,0))=0,IF(COUNTA(OFFSET(N$9,1,0):OFFSET(N28,-1,0))=0,"Очікую",0),SUM(OFFSET(N$9,1,0):OFFSET(N28,-1,0))/OFFSET($D28,-1,0))</f>
        <v>7.0555555555555554</v>
      </c>
      <c r="O28" s="47">
        <f ca="1">IF(SUM(OFFSET(O$9,1,0):OFFSET(O28,-1,0))=0,IF(COUNTA(OFFSET(O$9,1,0):OFFSET(O28,-1,0))=0,"Очікую",0),SUM(OFFSET(O$9,1,0):OFFSET(O28,-1,0))/OFFSET($D28,-1,0))</f>
        <v>8</v>
      </c>
      <c r="P28" s="47">
        <f ca="1">IF(SUM(OFFSET(P$9,1,0):OFFSET(P28,-1,0))=0,IF(COUNTA(OFFSET(P$9,1,0):OFFSET(P28,-1,0))=0,"Очікую",0),SUM(OFFSET(P$9,1,0):OFFSET(P28,-1,0))/OFFSET($D28,-1,0))</f>
        <v>6.2777777777777777</v>
      </c>
      <c r="Q28" s="47">
        <f ca="1">IF(SUM(OFFSET(Q$9,1,0):OFFSET(Q28,-1,0))=0,IF(COUNTA(OFFSET(Q$9,1,0):OFFSET(Q28,-1,0))=0,"Очікую",0),SUM(OFFSET(Q$9,1,0):OFFSET(Q28,-1,0))/OFFSET($D28,-1,0))</f>
        <v>7.2222222222222223</v>
      </c>
      <c r="R28" s="47">
        <f ca="1">IF(SUM(OFFSET(R$9,1,0):OFFSET(R28,-1,0))=0,IF(COUNTA(OFFSET(R$9,1,0):OFFSET(R28,-1,0))=0,"Очікую",0),SUM(OFFSET(R$9,1,0):OFFSET(R28,-1,0))/OFFSET($D28,-1,0))</f>
        <v>7.8888888888888893</v>
      </c>
      <c r="S28" s="47">
        <f ca="1">IF(SUM(OFFSET(S$9,1,0):OFFSET(S28,-1,0))=0,IF(COUNTA(OFFSET(S$9,1,0):OFFSET(S28,-1,0))=0,"Очікую",0),SUM(OFFSET(S$9,1,0):OFFSET(S28,-1,0))/OFFSET($D28,-1,0))</f>
        <v>7.9444444444444446</v>
      </c>
      <c r="T28" s="47">
        <f ca="1">IF(SUM(OFFSET(T$9,1,0):OFFSET(T28,-1,0))=0,IF(COUNTA(OFFSET(T$9,1,0):OFFSET(T28,-1,0))=0,"Очікую",0),SUM(OFFSET(T$9,1,0):OFFSET(T28,-1,0))/OFFSET($D28,-1,0))</f>
        <v>7.333333333333333</v>
      </c>
      <c r="U28" s="10">
        <f ca="1">IFERROR(AVERAGE(OFFSET($E28,0,1):OFFSET(U28,0,-1)),"Очікую")</f>
        <v>7.1481481481481479</v>
      </c>
      <c r="V28" s="24"/>
      <c r="W28" s="22"/>
    </row>
    <row r="29" spans="1:23" ht="15" customHeight="1" x14ac:dyDescent="0.25">
      <c r="A29" s="13"/>
      <c r="B29" s="15"/>
      <c r="C29" s="7"/>
      <c r="D29" s="7"/>
      <c r="E29" s="8" t="s">
        <v>11</v>
      </c>
      <c r="F29" s="11">
        <f ca="1">IF(SUM(OFFSET(F$9,1,0):OFFSET(F28,-1,0))=0,IF(COUNTA(OFFSET(F$9,1,0):OFFSET(F28,-1,0))=0,"Очікую",0),IF(COUNTIF(OFFSET(F$9,1,0):OFFSET(F28,-1,0),"&gt;=4")=0,0,COUNTIF(OFFSET(F$9,1,0):OFFSET(F28,-1,0),"&gt;=4")/OFFSET($D28,-1,0)*100))</f>
        <v>88.888888888888886</v>
      </c>
      <c r="G29" s="11">
        <f ca="1">IF(SUM(OFFSET(G$9,1,0):OFFSET(G28,-1,0))=0,IF(COUNTA(OFFSET(G$9,1,0):OFFSET(G28,-1,0))=0,"Очікую",0),IF(COUNTIF(OFFSET(G$9,1,0):OFFSET(G28,-1,0),"&gt;=4")=0,0,COUNTIF(OFFSET(G$9,1,0):OFFSET(G28,-1,0),"&gt;=4")/OFFSET($D28,-1,0)*100))</f>
        <v>100</v>
      </c>
      <c r="H29" s="11">
        <f ca="1">IF(SUM(OFFSET(H$9,1,0):OFFSET(H28,-1,0))=0,IF(COUNTA(OFFSET(H$9,1,0):OFFSET(H28,-1,0))=0,"Очікую",0),IF(COUNTIF(OFFSET(H$9,1,0):OFFSET(H28,-1,0),"&gt;=4")=0,0,COUNTIF(OFFSET(H$9,1,0):OFFSET(H28,-1,0),"&gt;=4")/OFFSET($D28,-1,0)*100))</f>
        <v>88.888888888888886</v>
      </c>
      <c r="I29" s="11">
        <f ca="1">IF(SUM(OFFSET(I$9,1,0):OFFSET(I28,-1,0))=0,IF(COUNTA(OFFSET(I$9,1,0):OFFSET(I28,-1,0))=0,"Очікую",0),IF(COUNTIF(OFFSET(I$9,1,0):OFFSET(I28,-1,0),"&gt;=4")=0,0,COUNTIF(OFFSET(I$9,1,0):OFFSET(I28,-1,0),"&gt;=4")/OFFSET($D28,-1,0)*100))</f>
        <v>88.888888888888886</v>
      </c>
      <c r="J29" s="11">
        <f ca="1">IF(SUM(OFFSET(J$9,1,0):OFFSET(J28,-1,0))=0,IF(COUNTA(OFFSET(J$9,1,0):OFFSET(J28,-1,0))=0,"Очікую",0),IF(COUNTIF(OFFSET(J$9,1,0):OFFSET(J28,-1,0),"&gt;=4")=0,0,COUNTIF(OFFSET(J$9,1,0):OFFSET(J28,-1,0),"&gt;=4")/OFFSET($D28,-1,0)*100))</f>
        <v>83.333333333333343</v>
      </c>
      <c r="K29" s="11">
        <f ca="1">IF(SUM(OFFSET(K$9,1,0):OFFSET(K28,-1,0))=0,IF(COUNTA(OFFSET(K$9,1,0):OFFSET(K28,-1,0))=0,"Очікую",0),IF(COUNTIF(OFFSET(K$9,1,0):OFFSET(K28,-1,0),"&gt;=4")=0,0,COUNTIF(OFFSET(K$9,1,0):OFFSET(K28,-1,0),"&gt;=4")/OFFSET($D28,-1,0)*100))</f>
        <v>94.444444444444443</v>
      </c>
      <c r="L29" s="11">
        <f ca="1">IF(SUM(OFFSET(L$9,1,0):OFFSET(L28,-1,0))=0,IF(COUNTA(OFFSET(L$9,1,0):OFFSET(L28,-1,0))=0,"Очікую",0),IF(COUNTIF(OFFSET(L$9,1,0):OFFSET(L28,-1,0),"&gt;=4")=0,0,COUNTIF(OFFSET(L$9,1,0):OFFSET(L28,-1,0),"&gt;=4")/OFFSET($D28,-1,0)*100))</f>
        <v>88.888888888888886</v>
      </c>
      <c r="M29" s="11">
        <f ca="1">IF(SUM(OFFSET(M$9,1,0):OFFSET(M28,-1,0))=0,IF(COUNTA(OFFSET(M$9,1,0):OFFSET(M28,-1,0))=0,"Очікую",0),IF(COUNTIF(OFFSET(M$9,1,0):OFFSET(M28,-1,0),"&gt;=4")=0,0,COUNTIF(OFFSET(M$9,1,0):OFFSET(M28,-1,0),"&gt;=4")/OFFSET($D28,-1,0)*100))</f>
        <v>100</v>
      </c>
      <c r="N29" s="11">
        <f ca="1">IF(SUM(OFFSET(N$9,1,0):OFFSET(N28,-1,0))=0,IF(COUNTA(OFFSET(N$9,1,0):OFFSET(N28,-1,0))=0,"Очікую",0),IF(COUNTIF(OFFSET(N$9,1,0):OFFSET(N28,-1,0),"&gt;=4")=0,0,COUNTIF(OFFSET(N$9,1,0):OFFSET(N28,-1,0),"&gt;=4")/OFFSET($D28,-1,0)*100))</f>
        <v>88.888888888888886</v>
      </c>
      <c r="O29" s="11">
        <f ca="1">IF(SUM(OFFSET(O$9,1,0):OFFSET(O28,-1,0))=0,IF(COUNTA(OFFSET(O$9,1,0):OFFSET(O28,-1,0))=0,"Очікую",0),IF(COUNTIF(OFFSET(O$9,1,0):OFFSET(O28,-1,0),"&gt;=4")=0,0,COUNTIF(OFFSET(O$9,1,0):OFFSET(O28,-1,0),"&gt;=4")/OFFSET($D28,-1,0)*100))</f>
        <v>100</v>
      </c>
      <c r="P29" s="11">
        <f ca="1">IF(SUM(OFFSET(P$9,1,0):OFFSET(P28,-1,0))=0,IF(COUNTA(OFFSET(P$9,1,0):OFFSET(P28,-1,0))=0,"Очікую",0),IF(COUNTIF(OFFSET(P$9,1,0):OFFSET(P28,-1,0),"&gt;=4")=0,0,COUNTIF(OFFSET(P$9,1,0):OFFSET(P28,-1,0),"&gt;=4")/OFFSET($D28,-1,0)*100))</f>
        <v>83.333333333333343</v>
      </c>
      <c r="Q29" s="11">
        <f ca="1">IF(SUM(OFFSET(Q$9,1,0):OFFSET(Q28,-1,0))=0,IF(COUNTA(OFFSET(Q$9,1,0):OFFSET(Q28,-1,0))=0,"Очікую",0),IF(COUNTIF(OFFSET(Q$9,1,0):OFFSET(Q28,-1,0),"&gt;=4")=0,0,COUNTIF(OFFSET(Q$9,1,0):OFFSET(Q28,-1,0),"&gt;=4")/OFFSET($D28,-1,0)*100))</f>
        <v>94.444444444444443</v>
      </c>
      <c r="R29" s="11">
        <f ca="1">IF(SUM(OFFSET(R$9,1,0):OFFSET(R28,-1,0))=0,IF(COUNTA(OFFSET(R$9,1,0):OFFSET(R28,-1,0))=0,"Очікую",0),IF(COUNTIF(OFFSET(R$9,1,0):OFFSET(R28,-1,0),"&gt;=4")=0,0,COUNTIF(OFFSET(R$9,1,0):OFFSET(R28,-1,0),"&gt;=4")/OFFSET($D28,-1,0)*100))</f>
        <v>94.444444444444443</v>
      </c>
      <c r="S29" s="11">
        <f ca="1">IF(SUM(OFFSET(S$9,1,0):OFFSET(S28,-1,0))=0,IF(COUNTA(OFFSET(S$9,1,0):OFFSET(S28,-1,0))=0,"Очікую",0),IF(COUNTIF(OFFSET(S$9,1,0):OFFSET(S28,-1,0),"&gt;=4")=0,0,COUNTIF(OFFSET(S$9,1,0):OFFSET(S28,-1,0),"&gt;=4")/OFFSET($D28,-1,0)*100))</f>
        <v>94.444444444444443</v>
      </c>
      <c r="T29" s="11">
        <f ca="1">IF(SUM(OFFSET(T$9,1,0):OFFSET(T28,-1,0))=0,IF(COUNTA(OFFSET(T$9,1,0):OFFSET(T28,-1,0))=0,"Очікую",0),IF(COUNTIF(OFFSET(T$9,1,0):OFFSET(T28,-1,0),"&gt;=4")=0,0,COUNTIF(OFFSET(T$9,1,0):OFFSET(T28,-1,0),"&gt;=4")/OFFSET($D28,-1,0)*100))</f>
        <v>94.444444444444443</v>
      </c>
      <c r="U29" s="7"/>
      <c r="V29" s="24"/>
      <c r="W29" s="22"/>
    </row>
    <row r="30" spans="1:23" ht="15" customHeight="1" x14ac:dyDescent="0.25">
      <c r="A30" s="13"/>
      <c r="B30" s="15"/>
      <c r="C30" s="7"/>
      <c r="D30" s="7"/>
      <c r="E30" s="8" t="s">
        <v>12</v>
      </c>
      <c r="F30" s="11">
        <f ca="1">IF(SUM(OFFSET(F$9,1,0):OFFSET(F28,-1,0))=0,IF(COUNTA(OFFSET(F$9,1,0):OFFSET(F28,-1,0))=0,"Очікую",0),IF(COUNTIF(OFFSET(F$9,1,0):OFFSET(F28,-1,0),"&gt;=7")=0,0,COUNTIF(OFFSET(F$9,1,0):OFFSET(F28,-1,0),"&gt;=7")/OFFSET($D28,-1,0)*100))</f>
        <v>55.555555555555557</v>
      </c>
      <c r="G30" s="11">
        <f ca="1">IF(SUM(OFFSET(G$9,1,0):OFFSET(G28,-1,0))=0,IF(COUNTA(OFFSET(G$9,1,0):OFFSET(G28,-1,0))=0,"Очікую",0),IF(COUNTIF(OFFSET(G$9,1,0):OFFSET(G28,-1,0),"&gt;=7")=0,0,COUNTIF(OFFSET(G$9,1,0):OFFSET(G28,-1,0),"&gt;=7")/OFFSET($D28,-1,0)*100))</f>
        <v>66.666666666666657</v>
      </c>
      <c r="H30" s="11">
        <f ca="1">IF(SUM(OFFSET(H$9,1,0):OFFSET(H28,-1,0))=0,IF(COUNTA(OFFSET(H$9,1,0):OFFSET(H28,-1,0))=0,"Очікую",0),IF(COUNTIF(OFFSET(H$9,1,0):OFFSET(H28,-1,0),"&gt;=7")=0,0,COUNTIF(OFFSET(H$9,1,0):OFFSET(H28,-1,0),"&gt;=7")/OFFSET($D28,-1,0)*100))</f>
        <v>38.888888888888893</v>
      </c>
      <c r="I30" s="11">
        <f ca="1">IF(SUM(OFFSET(I$9,1,0):OFFSET(I28,-1,0))=0,IF(COUNTA(OFFSET(I$9,1,0):OFFSET(I28,-1,0))=0,"Очікую",0),IF(COUNTIF(OFFSET(I$9,1,0):OFFSET(I28,-1,0),"&gt;=7")=0,0,COUNTIF(OFFSET(I$9,1,0):OFFSET(I28,-1,0),"&gt;=7")/OFFSET($D28,-1,0)*100))</f>
        <v>50</v>
      </c>
      <c r="J30" s="11">
        <f ca="1">IF(SUM(OFFSET(J$9,1,0):OFFSET(J28,-1,0))=0,IF(COUNTA(OFFSET(J$9,1,0):OFFSET(J28,-1,0))=0,"Очікую",0),IF(COUNTIF(OFFSET(J$9,1,0):OFFSET(J28,-1,0),"&gt;=7")=0,0,COUNTIF(OFFSET(J$9,1,0):OFFSET(J28,-1,0),"&gt;=7")/OFFSET($D28,-1,0)*100))</f>
        <v>66.666666666666657</v>
      </c>
      <c r="K30" s="11">
        <f ca="1">IF(SUM(OFFSET(K$9,1,0):OFFSET(K28,-1,0))=0,IF(COUNTA(OFFSET(K$9,1,0):OFFSET(K28,-1,0))=0,"Очікую",0),IF(COUNTIF(OFFSET(K$9,1,0):OFFSET(K28,-1,0),"&gt;=7")=0,0,COUNTIF(OFFSET(K$9,1,0):OFFSET(K28,-1,0),"&gt;=7")/OFFSET($D28,-1,0)*100))</f>
        <v>50</v>
      </c>
      <c r="L30" s="11">
        <f ca="1">IF(SUM(OFFSET(L$9,1,0):OFFSET(L28,-1,0))=0,IF(COUNTA(OFFSET(L$9,1,0):OFFSET(L28,-1,0))=0,"Очікую",0),IF(COUNTIF(OFFSET(L$9,1,0):OFFSET(L28,-1,0),"&gt;=7")=0,0,COUNTIF(OFFSET(L$9,1,0):OFFSET(L28,-1,0),"&gt;=7")/OFFSET($D28,-1,0)*100))</f>
        <v>77.777777777777786</v>
      </c>
      <c r="M30" s="11">
        <f ca="1">IF(SUM(OFFSET(M$9,1,0):OFFSET(M28,-1,0))=0,IF(COUNTA(OFFSET(M$9,1,0):OFFSET(M28,-1,0))=0,"Очікую",0),IF(COUNTIF(OFFSET(M$9,1,0):OFFSET(M28,-1,0),"&gt;=7")=0,0,COUNTIF(OFFSET(M$9,1,0):OFFSET(M28,-1,0),"&gt;=7")/OFFSET($D28,-1,0)*100))</f>
        <v>72.222222222222214</v>
      </c>
      <c r="N30" s="11">
        <f ca="1">IF(SUM(OFFSET(N$9,1,0):OFFSET(N28,-1,0))=0,IF(COUNTA(OFFSET(N$9,1,0):OFFSET(N28,-1,0))=0,"Очікую",0),IF(COUNTIF(OFFSET(N$9,1,0):OFFSET(N28,-1,0),"&gt;=7")=0,0,COUNTIF(OFFSET(N$9,1,0):OFFSET(N28,-1,0),"&gt;=7")/OFFSET($D28,-1,0)*100))</f>
        <v>55.555555555555557</v>
      </c>
      <c r="O30" s="11">
        <f ca="1">IF(SUM(OFFSET(O$9,1,0):OFFSET(O28,-1,0))=0,IF(COUNTA(OFFSET(O$9,1,0):OFFSET(O28,-1,0))=0,"Очікую",0),IF(COUNTIF(OFFSET(O$9,1,0):OFFSET(O28,-1,0),"&gt;=7")=0,0,COUNTIF(OFFSET(O$9,1,0):OFFSET(O28,-1,0),"&gt;=7")/OFFSET($D28,-1,0)*100))</f>
        <v>77.777777777777786</v>
      </c>
      <c r="P30" s="11">
        <f ca="1">IF(SUM(OFFSET(P$9,1,0):OFFSET(P28,-1,0))=0,IF(COUNTA(OFFSET(P$9,1,0):OFFSET(P28,-1,0))=0,"Очікую",0),IF(COUNTIF(OFFSET(P$9,1,0):OFFSET(P28,-1,0),"&gt;=7")=0,0,COUNTIF(OFFSET(P$9,1,0):OFFSET(P28,-1,0),"&gt;=7")/OFFSET($D28,-1,0)*100))</f>
        <v>61.111111111111114</v>
      </c>
      <c r="Q30" s="11">
        <f ca="1">IF(SUM(OFFSET(Q$9,1,0):OFFSET(Q28,-1,0))=0,IF(COUNTA(OFFSET(Q$9,1,0):OFFSET(Q28,-1,0))=0,"Очікую",0),IF(COUNTIF(OFFSET(Q$9,1,0):OFFSET(Q28,-1,0),"&gt;=7")=0,0,COUNTIF(OFFSET(Q$9,1,0):OFFSET(Q28,-1,0),"&gt;=7")/OFFSET($D28,-1,0)*100))</f>
        <v>72.222222222222214</v>
      </c>
      <c r="R30" s="11">
        <f ca="1">IF(SUM(OFFSET(R$9,1,0):OFFSET(R28,-1,0))=0,IF(COUNTA(OFFSET(R$9,1,0):OFFSET(R28,-1,0))=0,"Очікую",0),IF(COUNTIF(OFFSET(R$9,1,0):OFFSET(R28,-1,0),"&gt;=7")=0,0,COUNTIF(OFFSET(R$9,1,0):OFFSET(R28,-1,0),"&gt;=7")/OFFSET($D28,-1,0)*100))</f>
        <v>72.222222222222214</v>
      </c>
      <c r="S30" s="11">
        <f ca="1">IF(SUM(OFFSET(S$9,1,0):OFFSET(S28,-1,0))=0,IF(COUNTA(OFFSET(S$9,1,0):OFFSET(S28,-1,0))=0,"Очікую",0),IF(COUNTIF(OFFSET(S$9,1,0):OFFSET(S28,-1,0),"&gt;=7")=0,0,COUNTIF(OFFSET(S$9,1,0):OFFSET(S28,-1,0),"&gt;=7")/OFFSET($D28,-1,0)*100))</f>
        <v>77.777777777777786</v>
      </c>
      <c r="T30" s="11">
        <f ca="1">IF(SUM(OFFSET(T$9,1,0):OFFSET(T28,-1,0))=0,IF(COUNTA(OFFSET(T$9,1,0):OFFSET(T28,-1,0))=0,"Очікую",0),IF(COUNTIF(OFFSET(T$9,1,0):OFFSET(T28,-1,0),"&gt;=7")=0,0,COUNTIF(OFFSET(T$9,1,0):OFFSET(T28,-1,0),"&gt;=7")/OFFSET($D28,-1,0)*100))</f>
        <v>66.666666666666657</v>
      </c>
      <c r="U30" s="7"/>
      <c r="V30" s="24"/>
      <c r="W30" s="22"/>
    </row>
    <row r="31" spans="1:23" ht="15" customHeight="1" x14ac:dyDescent="0.25">
      <c r="A31" s="13"/>
      <c r="B31" s="15"/>
      <c r="C31" s="7"/>
      <c r="D31" s="7"/>
      <c r="E31" s="8" t="s">
        <v>13</v>
      </c>
      <c r="F31" s="9">
        <f ca="1">IFERROR(AVERAGE(OFFSET(E29,0,1):OFFSET(U29,0,-1)),"Очікую")</f>
        <v>92.2222222222222</v>
      </c>
      <c r="G31" s="7"/>
      <c r="H31" s="7"/>
      <c r="I31" s="7"/>
      <c r="J31" s="7"/>
      <c r="K31" s="7"/>
      <c r="L31" s="7"/>
      <c r="M31" s="7"/>
      <c r="N31" s="7"/>
      <c r="O31" s="7"/>
      <c r="P31" s="7"/>
      <c r="Q31" s="7"/>
      <c r="R31" s="7"/>
      <c r="S31" s="7"/>
      <c r="T31" s="7"/>
      <c r="U31" s="7"/>
      <c r="V31" s="24"/>
      <c r="W31" s="22"/>
    </row>
    <row r="32" spans="1:23" ht="15" customHeight="1" x14ac:dyDescent="0.25">
      <c r="A32" s="13"/>
      <c r="B32" s="15"/>
      <c r="C32" s="7"/>
      <c r="D32" s="7"/>
      <c r="E32" s="8" t="s">
        <v>14</v>
      </c>
      <c r="F32" s="9">
        <f ca="1">IFERROR(AVERAGE(OFFSET(E30,0,1):OFFSET(U30,0,-1)),"Очікую")</f>
        <v>64.074074074074076</v>
      </c>
      <c r="G32" s="7"/>
      <c r="H32" s="7"/>
      <c r="I32" s="7"/>
      <c r="J32" s="7"/>
      <c r="K32" s="7"/>
      <c r="L32" s="7"/>
      <c r="M32" s="7"/>
      <c r="N32" s="7"/>
      <c r="O32" s="7"/>
      <c r="P32" s="7"/>
      <c r="Q32" s="7"/>
      <c r="R32" s="7"/>
      <c r="S32" s="7"/>
      <c r="T32" s="7"/>
      <c r="U32" s="7"/>
      <c r="V32" s="24"/>
      <c r="W32" s="22"/>
    </row>
    <row r="33" spans="1:23" ht="15" customHeight="1" x14ac:dyDescent="0.25">
      <c r="A33" s="13"/>
      <c r="B33" s="15"/>
      <c r="C33" s="7"/>
      <c r="D33" s="7"/>
      <c r="E33" s="8" t="s">
        <v>15</v>
      </c>
      <c r="F33" s="6">
        <f ca="1">IF(COUNTIF(OFFSET(C$9,1,0):OFFSET(C28,-1,0),"=Б")=0,IF(COUNTIF(OFFSET(C$9,1,0):OFFSET(C28,-1,0),"=К")=0,"Очікую",0),COUNTIF(OFFSET(C$9,1,0):OFFSET(C28,-1,0),"=Б"))</f>
        <v>10</v>
      </c>
      <c r="G33" s="7"/>
      <c r="H33" s="7"/>
      <c r="I33" s="12"/>
      <c r="J33" s="7"/>
      <c r="K33" s="7"/>
      <c r="L33" s="7"/>
      <c r="M33" s="7"/>
      <c r="N33" s="7"/>
      <c r="O33" s="7"/>
      <c r="P33" s="7"/>
      <c r="Q33" s="30"/>
      <c r="R33" s="12"/>
      <c r="S33" s="7"/>
      <c r="T33" s="7"/>
      <c r="U33" s="7"/>
      <c r="V33" s="24"/>
      <c r="W33" s="22"/>
    </row>
    <row r="34" spans="1:23" ht="15" customHeight="1" x14ac:dyDescent="0.25">
      <c r="A34" s="13"/>
      <c r="B34" s="15"/>
      <c r="C34" s="7"/>
      <c r="D34" s="7"/>
      <c r="E34" s="8" t="s">
        <v>16</v>
      </c>
      <c r="F34" s="6">
        <f ca="1">IF(COUNTIF(OFFSET(C$9,1,0):OFFSET(C28,-1,0),"=К")=0,IF(COUNTIF(OFFSET(C$9,1,0):OFFSET(C28,-1,0),"=Б")=0,"Очікую",0),COUNTIF(OFFSET(C$9,1,0):OFFSET(C28,-1,0),"=К"))</f>
        <v>8</v>
      </c>
      <c r="G34" s="7"/>
      <c r="H34" s="7"/>
      <c r="I34" s="12" t="s">
        <v>17</v>
      </c>
      <c r="J34" s="7"/>
      <c r="K34" s="7"/>
      <c r="L34" s="7"/>
      <c r="M34" s="7"/>
      <c r="N34" s="7"/>
      <c r="O34" s="7"/>
      <c r="P34" s="7"/>
      <c r="Q34" s="30" t="s">
        <v>92</v>
      </c>
      <c r="R34" s="12"/>
      <c r="S34" s="7"/>
      <c r="T34" s="7"/>
      <c r="U34" s="7"/>
      <c r="V34" s="24"/>
      <c r="W34" s="22"/>
    </row>
    <row r="35" spans="1:23" ht="15" customHeight="1" x14ac:dyDescent="0.25">
      <c r="A35" s="13"/>
      <c r="B35" s="15"/>
      <c r="C35" s="7"/>
      <c r="D35" s="7"/>
      <c r="E35" s="8" t="s">
        <v>18</v>
      </c>
      <c r="F35" s="4"/>
      <c r="G35" s="7"/>
      <c r="H35" s="7"/>
      <c r="I35" s="12"/>
      <c r="J35" s="7"/>
      <c r="K35" s="7"/>
      <c r="L35" s="7"/>
      <c r="M35" s="7"/>
      <c r="N35" s="7"/>
      <c r="O35" s="7"/>
      <c r="P35" s="7"/>
      <c r="Q35" s="12"/>
      <c r="R35" s="12"/>
      <c r="S35" s="7"/>
      <c r="T35" s="7"/>
      <c r="U35" s="7"/>
      <c r="V35" s="24"/>
      <c r="W35" s="22"/>
    </row>
    <row r="36" spans="1:23" ht="15" customHeight="1" x14ac:dyDescent="0.25">
      <c r="A36" s="13"/>
      <c r="B36" s="15"/>
      <c r="C36" s="7"/>
      <c r="D36" s="7"/>
      <c r="E36" s="8" t="s">
        <v>19</v>
      </c>
      <c r="F36" s="6">
        <f ca="1">IF(F33="Очікую","Очікую",IF(F33-COUNTIF(OFFSET(U$8,1,0):OFFSET(U28,-1,0)," - ")&lt;ROUNDDOWN(F33*0.4,0),F33-COUNTIF(OFFSET(U$8,1,0):OFFSET(U28,-1,0)," - "),ROUNDDOWN(F33*0.4,0)))</f>
        <v>3</v>
      </c>
      <c r="G36" s="7"/>
      <c r="H36" s="7"/>
      <c r="I36" s="30" t="s">
        <v>20</v>
      </c>
      <c r="J36" s="7"/>
      <c r="K36" s="7"/>
      <c r="L36" s="7"/>
      <c r="M36" s="7"/>
      <c r="N36" s="7"/>
      <c r="O36" s="7"/>
      <c r="P36" s="7"/>
      <c r="Q36" s="30" t="s">
        <v>21</v>
      </c>
      <c r="R36" s="7"/>
      <c r="S36" s="7"/>
      <c r="T36" s="7"/>
      <c r="U36" s="7"/>
      <c r="V36" s="24"/>
      <c r="W36" s="22"/>
    </row>
    <row r="37" spans="1:23" ht="12" customHeight="1" thickBot="1" x14ac:dyDescent="0.3">
      <c r="A37" s="13"/>
      <c r="B37" s="25"/>
      <c r="C37" s="17"/>
      <c r="D37" s="17"/>
      <c r="E37" s="17"/>
      <c r="F37" s="17"/>
      <c r="G37" s="17"/>
      <c r="H37" s="17"/>
      <c r="I37" s="17"/>
      <c r="J37" s="17"/>
      <c r="K37" s="17"/>
      <c r="L37" s="17"/>
      <c r="M37" s="17"/>
      <c r="N37" s="17"/>
      <c r="O37" s="17"/>
      <c r="P37" s="17"/>
      <c r="Q37" s="17"/>
      <c r="R37" s="17"/>
      <c r="S37" s="17"/>
      <c r="T37" s="17"/>
      <c r="U37" s="17"/>
      <c r="V37" s="18"/>
      <c r="W37" s="22"/>
    </row>
    <row r="38" spans="1:23" ht="12" customHeight="1" x14ac:dyDescent="0.25">
      <c r="A38" s="19"/>
      <c r="B38" s="19"/>
      <c r="C38" s="19"/>
      <c r="D38" s="19"/>
      <c r="E38" s="19"/>
      <c r="F38" s="19"/>
      <c r="G38" s="19"/>
      <c r="H38" s="19"/>
      <c r="I38" s="19"/>
      <c r="J38" s="19"/>
      <c r="K38" s="19"/>
      <c r="L38" s="19"/>
      <c r="M38" s="19"/>
      <c r="N38" s="19"/>
      <c r="O38" s="19"/>
      <c r="P38" s="19"/>
      <c r="Q38" s="19"/>
      <c r="R38" s="19"/>
      <c r="S38" s="19"/>
      <c r="T38" s="19"/>
      <c r="U38" s="19"/>
      <c r="V38" s="19"/>
      <c r="W38" s="22"/>
    </row>
  </sheetData>
  <sheetProtection insertRows="0" deleteRows="0"/>
  <sortState ref="E10:E35">
    <sortCondition ref="E10"/>
  </sortState>
  <mergeCells count="10">
    <mergeCell ref="C7:U7"/>
    <mergeCell ref="C6:U6"/>
    <mergeCell ref="C5:U5"/>
    <mergeCell ref="C3:U3"/>
    <mergeCell ref="C8:C9"/>
    <mergeCell ref="D8:D9"/>
    <mergeCell ref="E8:E9"/>
    <mergeCell ref="C4:U4"/>
    <mergeCell ref="F8:T8"/>
    <mergeCell ref="U8:U9"/>
  </mergeCells>
  <printOptions horizontalCentered="1"/>
  <pageMargins left="0.19685039370078741" right="0.19685039370078741" top="0.19685039370078741" bottom="0.19685039370078741" header="0" footer="0"/>
  <pageSetup paperSize="9" scale="7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BJ5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0" width="6.7109375" style="1" customWidth="1"/>
    <col min="21" max="21" width="11.28515625" style="1" customWidth="1"/>
    <col min="22" max="23" width="2.7109375" style="1" customWidth="1"/>
    <col min="24" max="29" width="14.42578125" style="1" hidden="1" customWidth="1"/>
    <col min="30" max="30" width="14.85546875" style="1" hidden="1" customWidth="1"/>
    <col min="31" max="44" width="3.7109375" style="1" hidden="1" customWidth="1"/>
    <col min="45" max="61" width="5.7109375" style="1" hidden="1" customWidth="1"/>
    <col min="62" max="62" width="5.7109375" style="1" hidden="1"/>
    <col min="63" max="16384" width="14.42578125" style="1" hidden="1"/>
  </cols>
  <sheetData>
    <row r="1" spans="1:23" ht="12" customHeight="1" thickBot="1" x14ac:dyDescent="0.3">
      <c r="A1" s="35" t="s">
        <v>47</v>
      </c>
      <c r="B1" s="19"/>
      <c r="C1" s="19"/>
      <c r="D1" s="19"/>
      <c r="E1" s="19"/>
      <c r="F1" s="19"/>
      <c r="G1" s="19"/>
      <c r="H1" s="19"/>
      <c r="I1" s="19"/>
      <c r="J1" s="19"/>
      <c r="K1" s="19"/>
      <c r="L1" s="19"/>
      <c r="M1" s="19"/>
      <c r="N1" s="19"/>
      <c r="O1" s="19"/>
      <c r="P1" s="19"/>
      <c r="Q1" s="19"/>
      <c r="R1" s="19"/>
      <c r="S1" s="19"/>
      <c r="T1" s="19"/>
      <c r="U1" s="19"/>
      <c r="V1" s="19"/>
      <c r="W1" s="19"/>
    </row>
    <row r="2" spans="1:23" ht="12" customHeight="1" x14ac:dyDescent="0.25">
      <c r="A2" s="13"/>
      <c r="B2" s="20"/>
      <c r="C2" s="21"/>
      <c r="D2" s="21"/>
      <c r="E2" s="21"/>
      <c r="F2" s="21"/>
      <c r="G2" s="21"/>
      <c r="H2" s="21"/>
      <c r="I2" s="21"/>
      <c r="J2" s="21"/>
      <c r="K2" s="21"/>
      <c r="L2" s="21"/>
      <c r="M2" s="21"/>
      <c r="N2" s="21"/>
      <c r="O2" s="21"/>
      <c r="P2" s="21"/>
      <c r="Q2" s="21"/>
      <c r="R2" s="21"/>
      <c r="S2" s="21"/>
      <c r="T2" s="21"/>
      <c r="U2" s="21"/>
      <c r="V2" s="23"/>
      <c r="W2" s="22"/>
    </row>
    <row r="3" spans="1:23" s="2" customFormat="1" ht="54.95" customHeight="1" x14ac:dyDescent="0.3">
      <c r="A3" s="13"/>
      <c r="B3" s="15"/>
      <c r="C3" s="54" t="s">
        <v>48</v>
      </c>
      <c r="D3" s="54"/>
      <c r="E3" s="54"/>
      <c r="F3" s="54"/>
      <c r="G3" s="54"/>
      <c r="H3" s="54"/>
      <c r="I3" s="54"/>
      <c r="J3" s="54"/>
      <c r="K3" s="54"/>
      <c r="L3" s="54"/>
      <c r="M3" s="54"/>
      <c r="N3" s="54"/>
      <c r="O3" s="54"/>
      <c r="P3" s="54"/>
      <c r="Q3" s="54"/>
      <c r="R3" s="54"/>
      <c r="S3" s="54"/>
      <c r="T3" s="54"/>
      <c r="U3" s="54"/>
      <c r="V3" s="24"/>
      <c r="W3" s="22"/>
    </row>
    <row r="4" spans="1:23" s="3" customFormat="1" ht="15" customHeight="1" x14ac:dyDescent="0.25">
      <c r="A4" s="13"/>
      <c r="B4" s="15"/>
      <c r="C4" s="55" t="s">
        <v>22</v>
      </c>
      <c r="D4" s="55"/>
      <c r="E4" s="55"/>
      <c r="F4" s="55"/>
      <c r="G4" s="55"/>
      <c r="H4" s="55"/>
      <c r="I4" s="55"/>
      <c r="J4" s="55"/>
      <c r="K4" s="55"/>
      <c r="L4" s="55"/>
      <c r="M4" s="55"/>
      <c r="N4" s="55"/>
      <c r="O4" s="55"/>
      <c r="P4" s="55"/>
      <c r="Q4" s="55"/>
      <c r="R4" s="55"/>
      <c r="S4" s="55"/>
      <c r="T4" s="55"/>
      <c r="U4" s="55"/>
      <c r="V4" s="24"/>
      <c r="W4" s="22"/>
    </row>
    <row r="5" spans="1:23" s="2" customFormat="1" ht="15" customHeight="1" x14ac:dyDescent="0.25">
      <c r="A5" s="13"/>
      <c r="B5" s="15"/>
      <c r="C5" s="64" t="s">
        <v>93</v>
      </c>
      <c r="D5" s="64"/>
      <c r="E5" s="64"/>
      <c r="F5" s="64"/>
      <c r="G5" s="64"/>
      <c r="H5" s="64"/>
      <c r="I5" s="64"/>
      <c r="J5" s="64"/>
      <c r="K5" s="64"/>
      <c r="L5" s="64"/>
      <c r="M5" s="64"/>
      <c r="N5" s="64"/>
      <c r="O5" s="64"/>
      <c r="P5" s="64"/>
      <c r="Q5" s="64"/>
      <c r="R5" s="64"/>
      <c r="S5" s="64"/>
      <c r="T5" s="64"/>
      <c r="U5" s="64"/>
      <c r="V5" s="24"/>
      <c r="W5" s="22"/>
    </row>
    <row r="6" spans="1:23" s="2" customFormat="1" ht="15" customHeight="1" x14ac:dyDescent="0.25">
      <c r="A6" s="13"/>
      <c r="B6" s="15"/>
      <c r="C6" s="64" t="s">
        <v>89</v>
      </c>
      <c r="D6" s="64"/>
      <c r="E6" s="64"/>
      <c r="F6" s="64"/>
      <c r="G6" s="64"/>
      <c r="H6" s="64"/>
      <c r="I6" s="64"/>
      <c r="J6" s="64"/>
      <c r="K6" s="64"/>
      <c r="L6" s="64"/>
      <c r="M6" s="64"/>
      <c r="N6" s="64"/>
      <c r="O6" s="64"/>
      <c r="P6" s="64"/>
      <c r="Q6" s="64"/>
      <c r="R6" s="64"/>
      <c r="S6" s="64"/>
      <c r="T6" s="64"/>
      <c r="U6" s="64"/>
      <c r="V6" s="24"/>
      <c r="W6" s="22"/>
    </row>
    <row r="7" spans="1:23" s="2" customFormat="1" ht="15" customHeight="1" x14ac:dyDescent="0.25">
      <c r="A7" s="13"/>
      <c r="B7" s="15"/>
      <c r="C7" s="63" t="s">
        <v>90</v>
      </c>
      <c r="D7" s="63"/>
      <c r="E7" s="63"/>
      <c r="F7" s="63"/>
      <c r="G7" s="63"/>
      <c r="H7" s="63"/>
      <c r="I7" s="63"/>
      <c r="J7" s="63"/>
      <c r="K7" s="63"/>
      <c r="L7" s="63"/>
      <c r="M7" s="63"/>
      <c r="N7" s="63"/>
      <c r="O7" s="63"/>
      <c r="P7" s="63"/>
      <c r="Q7" s="63"/>
      <c r="R7" s="63"/>
      <c r="S7" s="63"/>
      <c r="T7" s="63"/>
      <c r="U7" s="63"/>
      <c r="V7" s="24"/>
      <c r="W7" s="22"/>
    </row>
    <row r="8" spans="1:23" ht="15" customHeight="1" x14ac:dyDescent="0.25">
      <c r="A8" s="13"/>
      <c r="B8" s="15"/>
      <c r="C8" s="51" t="s">
        <v>0</v>
      </c>
      <c r="D8" s="53" t="s">
        <v>1</v>
      </c>
      <c r="E8" s="53" t="s">
        <v>2</v>
      </c>
      <c r="F8" s="58" t="s">
        <v>25</v>
      </c>
      <c r="G8" s="59"/>
      <c r="H8" s="59"/>
      <c r="I8" s="59"/>
      <c r="J8" s="59"/>
      <c r="K8" s="59"/>
      <c r="L8" s="59"/>
      <c r="M8" s="59"/>
      <c r="N8" s="59"/>
      <c r="O8" s="59"/>
      <c r="P8" s="59"/>
      <c r="Q8" s="59"/>
      <c r="R8" s="59"/>
      <c r="S8" s="59"/>
      <c r="T8" s="60"/>
      <c r="U8" s="61" t="s">
        <v>8</v>
      </c>
      <c r="V8" s="24"/>
      <c r="W8" s="22"/>
    </row>
    <row r="9" spans="1:23" ht="125.1" customHeight="1" x14ac:dyDescent="0.25">
      <c r="A9" s="13"/>
      <c r="B9" s="15"/>
      <c r="C9" s="52"/>
      <c r="D9" s="52"/>
      <c r="E9" s="52"/>
      <c r="F9" s="16" t="s">
        <v>35</v>
      </c>
      <c r="G9" s="16" t="s">
        <v>3</v>
      </c>
      <c r="H9" s="16" t="s">
        <v>4</v>
      </c>
      <c r="I9" s="16" t="s">
        <v>5</v>
      </c>
      <c r="J9" s="16" t="s">
        <v>23</v>
      </c>
      <c r="K9" s="16" t="s">
        <v>28</v>
      </c>
      <c r="L9" s="16" t="s">
        <v>29</v>
      </c>
      <c r="M9" s="16" t="s">
        <v>30</v>
      </c>
      <c r="N9" s="16" t="s">
        <v>6</v>
      </c>
      <c r="O9" s="16" t="s">
        <v>24</v>
      </c>
      <c r="P9" s="16" t="s">
        <v>31</v>
      </c>
      <c r="Q9" s="16" t="s">
        <v>32</v>
      </c>
      <c r="R9" s="16" t="s">
        <v>7</v>
      </c>
      <c r="S9" s="16" t="s">
        <v>33</v>
      </c>
      <c r="T9" s="16" t="s">
        <v>34</v>
      </c>
      <c r="U9" s="62"/>
      <c r="V9" s="24"/>
      <c r="W9" s="22"/>
    </row>
    <row r="10" spans="1:23" s="14" customFormat="1" ht="15" customHeight="1" x14ac:dyDescent="0.25">
      <c r="A10" s="13"/>
      <c r="B10" s="15"/>
      <c r="C10" s="45" t="s">
        <v>94</v>
      </c>
      <c r="D10" s="45">
        <v>1</v>
      </c>
      <c r="E10" s="48" t="s">
        <v>82</v>
      </c>
      <c r="F10" s="49">
        <v>8</v>
      </c>
      <c r="G10" s="49">
        <v>10</v>
      </c>
      <c r="H10" s="49">
        <v>11</v>
      </c>
      <c r="I10" s="49">
        <v>6</v>
      </c>
      <c r="J10" s="49">
        <v>9</v>
      </c>
      <c r="K10" s="49">
        <v>4</v>
      </c>
      <c r="L10" s="49">
        <v>8</v>
      </c>
      <c r="M10" s="49">
        <v>5</v>
      </c>
      <c r="N10" s="49">
        <v>6</v>
      </c>
      <c r="O10" s="49">
        <v>6</v>
      </c>
      <c r="P10" s="49">
        <v>5</v>
      </c>
      <c r="Q10" s="49">
        <v>9</v>
      </c>
      <c r="R10" s="49">
        <v>8</v>
      </c>
      <c r="S10" s="49">
        <v>7</v>
      </c>
      <c r="T10" s="49">
        <v>5</v>
      </c>
      <c r="U10" s="42">
        <f ca="1">IF(COUNTIF(OFFSET($E10,0,1):OFFSET(U10,0,-1),"=*")&gt;0,IF($C10="К","-"," - "),IF(COUNTIF(OFFSET($E10,0,1):OFFSET(U10,0,-1),"&lt;4")&gt;0,IF(C10="К","-"," - "),(IFERROR(AVERAGE(OFFSET($E10,0,1):OFFSET(U10,0,-1)),"Очікую"))))</f>
        <v>7.1333333333333337</v>
      </c>
      <c r="V10" s="26"/>
      <c r="W10" s="22"/>
    </row>
    <row r="11" spans="1:23" s="14" customFormat="1" ht="15" customHeight="1" x14ac:dyDescent="0.25">
      <c r="A11" s="13"/>
      <c r="B11" s="15"/>
      <c r="C11" s="45" t="s">
        <v>94</v>
      </c>
      <c r="D11" s="45">
        <v>2</v>
      </c>
      <c r="E11" s="48" t="s">
        <v>77</v>
      </c>
      <c r="F11" s="49">
        <v>8</v>
      </c>
      <c r="G11" s="49">
        <v>11</v>
      </c>
      <c r="H11" s="49">
        <v>8</v>
      </c>
      <c r="I11" s="49">
        <v>6</v>
      </c>
      <c r="J11" s="49">
        <v>6</v>
      </c>
      <c r="K11" s="49">
        <v>5</v>
      </c>
      <c r="L11" s="49">
        <v>6</v>
      </c>
      <c r="M11" s="49">
        <v>8</v>
      </c>
      <c r="N11" s="49">
        <v>10</v>
      </c>
      <c r="O11" s="49">
        <v>7</v>
      </c>
      <c r="P11" s="49">
        <v>5</v>
      </c>
      <c r="Q11" s="49">
        <v>4</v>
      </c>
      <c r="R11" s="49">
        <v>8</v>
      </c>
      <c r="S11" s="49">
        <v>4</v>
      </c>
      <c r="T11" s="49">
        <v>7</v>
      </c>
      <c r="U11" s="42">
        <f ca="1">IF(COUNTIF(OFFSET($E11,0,1):OFFSET(U11,0,-1),"=*")&gt;0,IF($C11="К","-"," - "),IF(COUNTIF(OFFSET($E11,0,1):OFFSET(U11,0,-1),"&lt;4")&gt;0,IF(C11="К","-"," - "),(IFERROR(AVERAGE(OFFSET($E11,0,1):OFFSET(U11,0,-1)),"Очікую"))))</f>
        <v>6.8666666666666663</v>
      </c>
      <c r="V11" s="26"/>
      <c r="W11" s="22"/>
    </row>
    <row r="12" spans="1:23" s="14" customFormat="1" ht="15" customHeight="1" x14ac:dyDescent="0.25">
      <c r="A12" s="13"/>
      <c r="B12" s="15"/>
      <c r="C12" s="45" t="s">
        <v>9</v>
      </c>
      <c r="D12" s="45">
        <v>3</v>
      </c>
      <c r="E12" s="48" t="s">
        <v>87</v>
      </c>
      <c r="F12" s="49">
        <v>6</v>
      </c>
      <c r="G12" s="49">
        <v>6</v>
      </c>
      <c r="H12" s="49">
        <v>5</v>
      </c>
      <c r="I12" s="49">
        <v>8</v>
      </c>
      <c r="J12" s="49" t="s">
        <v>46</v>
      </c>
      <c r="K12" s="49" t="s">
        <v>46</v>
      </c>
      <c r="L12" s="49">
        <v>6</v>
      </c>
      <c r="M12" s="49">
        <v>7</v>
      </c>
      <c r="N12" s="49">
        <v>7</v>
      </c>
      <c r="O12" s="49">
        <v>10</v>
      </c>
      <c r="P12" s="49">
        <v>5</v>
      </c>
      <c r="Q12" s="49">
        <v>9</v>
      </c>
      <c r="R12" s="49">
        <v>6</v>
      </c>
      <c r="S12" s="49">
        <v>8</v>
      </c>
      <c r="T12" s="49">
        <v>7</v>
      </c>
      <c r="U12" s="42" t="str">
        <f ca="1">IF(COUNTIF(OFFSET($E12,0,1):OFFSET(U12,0,-1),"=*")&gt;0,IF($C12="К","-"," - "),IF(COUNTIF(OFFSET($E12,0,1):OFFSET(U12,0,-1),"&lt;4")&gt;0,IF(C12="К","-"," - "),(IFERROR(AVERAGE(OFFSET($E12,0,1):OFFSET(U12,0,-1)),"Очікую"))))</f>
        <v>-</v>
      </c>
      <c r="V12" s="26"/>
      <c r="W12" s="22"/>
    </row>
    <row r="13" spans="1:23" s="14" customFormat="1" ht="15" customHeight="1" x14ac:dyDescent="0.25">
      <c r="A13" s="13"/>
      <c r="B13" s="15"/>
      <c r="C13" s="45" t="s">
        <v>9</v>
      </c>
      <c r="D13" s="45">
        <v>4</v>
      </c>
      <c r="E13" s="48" t="s">
        <v>80</v>
      </c>
      <c r="F13" s="49">
        <v>5</v>
      </c>
      <c r="G13" s="49">
        <v>9</v>
      </c>
      <c r="H13" s="49">
        <v>8</v>
      </c>
      <c r="I13" s="49">
        <v>8</v>
      </c>
      <c r="J13" s="49">
        <v>4</v>
      </c>
      <c r="K13" s="49">
        <v>4</v>
      </c>
      <c r="L13" s="49">
        <v>7</v>
      </c>
      <c r="M13" s="49">
        <v>9</v>
      </c>
      <c r="N13" s="49">
        <v>7</v>
      </c>
      <c r="O13" s="49">
        <v>4</v>
      </c>
      <c r="P13" s="49">
        <v>8</v>
      </c>
      <c r="Q13" s="49">
        <v>8</v>
      </c>
      <c r="R13" s="49">
        <v>5</v>
      </c>
      <c r="S13" s="49">
        <v>10</v>
      </c>
      <c r="T13" s="49">
        <v>8</v>
      </c>
      <c r="U13" s="42">
        <f ca="1">IF(COUNTIF(OFFSET($E13,0,1):OFFSET(U13,0,-1),"=*")&gt;0,IF($C13="К","-"," - "),IF(COUNTIF(OFFSET($E13,0,1):OFFSET(U13,0,-1),"&lt;4")&gt;0,IF(C13="К","-"," - "),(IFERROR(AVERAGE(OFFSET($E13,0,1):OFFSET(U13,0,-1)),"Очікую"))))</f>
        <v>6.9333333333333336</v>
      </c>
      <c r="V13" s="26"/>
      <c r="W13" s="22"/>
    </row>
    <row r="14" spans="1:23" s="14" customFormat="1" ht="15" customHeight="1" x14ac:dyDescent="0.25">
      <c r="A14" s="13"/>
      <c r="B14" s="15"/>
      <c r="C14" s="45" t="s">
        <v>94</v>
      </c>
      <c r="D14" s="45">
        <v>5</v>
      </c>
      <c r="E14" s="48" t="s">
        <v>79</v>
      </c>
      <c r="F14" s="49">
        <v>8</v>
      </c>
      <c r="G14" s="49">
        <v>4</v>
      </c>
      <c r="H14" s="49">
        <v>8</v>
      </c>
      <c r="I14" s="49">
        <v>8</v>
      </c>
      <c r="J14" s="49">
        <v>10</v>
      </c>
      <c r="K14" s="49">
        <v>6</v>
      </c>
      <c r="L14" s="49">
        <v>8</v>
      </c>
      <c r="M14" s="49">
        <v>10</v>
      </c>
      <c r="N14" s="49">
        <v>8</v>
      </c>
      <c r="O14" s="49">
        <v>8</v>
      </c>
      <c r="P14" s="49">
        <v>8</v>
      </c>
      <c r="Q14" s="49">
        <v>4</v>
      </c>
      <c r="R14" s="49">
        <v>8</v>
      </c>
      <c r="S14" s="49">
        <v>10</v>
      </c>
      <c r="T14" s="49">
        <v>8</v>
      </c>
      <c r="U14" s="42">
        <f ca="1">IF(COUNTIF(OFFSET($E14,0,1):OFFSET(U14,0,-1),"=*")&gt;0,IF($C14="К","-"," - "),IF(COUNTIF(OFFSET($E14,0,1):OFFSET(U14,0,-1),"&lt;4")&gt;0,IF(C14="К","-"," - "),(IFERROR(AVERAGE(OFFSET($E14,0,1):OFFSET(U14,0,-1)),"Очікую"))))</f>
        <v>7.7333333333333334</v>
      </c>
      <c r="V14" s="26"/>
      <c r="W14" s="22"/>
    </row>
    <row r="15" spans="1:23" s="14" customFormat="1" ht="15" customHeight="1" x14ac:dyDescent="0.25">
      <c r="A15" s="13"/>
      <c r="B15" s="15"/>
      <c r="C15" s="45" t="s">
        <v>94</v>
      </c>
      <c r="D15" s="45">
        <v>6</v>
      </c>
      <c r="E15" s="48" t="s">
        <v>85</v>
      </c>
      <c r="F15" s="49">
        <v>6</v>
      </c>
      <c r="G15" s="49" t="s">
        <v>46</v>
      </c>
      <c r="H15" s="49">
        <v>8</v>
      </c>
      <c r="I15" s="49">
        <v>4</v>
      </c>
      <c r="J15" s="49">
        <v>6</v>
      </c>
      <c r="K15" s="49">
        <v>4</v>
      </c>
      <c r="L15" s="49">
        <v>7</v>
      </c>
      <c r="M15" s="49">
        <v>9</v>
      </c>
      <c r="N15" s="49">
        <v>11</v>
      </c>
      <c r="O15" s="49">
        <v>7</v>
      </c>
      <c r="P15" s="49">
        <v>4</v>
      </c>
      <c r="Q15" s="49">
        <v>5</v>
      </c>
      <c r="R15" s="49">
        <v>6</v>
      </c>
      <c r="S15" s="49">
        <v>8</v>
      </c>
      <c r="T15" s="49">
        <v>8</v>
      </c>
      <c r="U15" s="42" t="str">
        <f ca="1">IF(COUNTIF(OFFSET($E15,0,1):OFFSET(U15,0,-1),"=*")&gt;0,IF($C15="К","-"," - "),IF(COUNTIF(OFFSET($E15,0,1):OFFSET(U15,0,-1),"&lt;4")&gt;0,IF(C15="К","-"," - "),(IFERROR(AVERAGE(OFFSET($E15,0,1):OFFSET(U15,0,-1)),"Очікую"))))</f>
        <v xml:space="preserve"> - </v>
      </c>
      <c r="V15" s="26"/>
      <c r="W15" s="22"/>
    </row>
    <row r="16" spans="1:23" s="14" customFormat="1" ht="15" customHeight="1" x14ac:dyDescent="0.25">
      <c r="A16" s="13"/>
      <c r="B16" s="15"/>
      <c r="C16" s="45" t="s">
        <v>94</v>
      </c>
      <c r="D16" s="45">
        <v>7</v>
      </c>
      <c r="E16" s="48" t="s">
        <v>63</v>
      </c>
      <c r="F16" s="49">
        <v>4</v>
      </c>
      <c r="G16" s="49">
        <v>8</v>
      </c>
      <c r="H16" s="49">
        <v>6</v>
      </c>
      <c r="I16" s="49">
        <v>5</v>
      </c>
      <c r="J16" s="49">
        <v>11</v>
      </c>
      <c r="K16" s="49">
        <v>7</v>
      </c>
      <c r="L16" s="49">
        <v>7</v>
      </c>
      <c r="M16" s="49">
        <v>6</v>
      </c>
      <c r="N16" s="49">
        <v>10</v>
      </c>
      <c r="O16" s="49">
        <v>7</v>
      </c>
      <c r="P16" s="49">
        <v>6</v>
      </c>
      <c r="Q16" s="49">
        <v>6</v>
      </c>
      <c r="R16" s="49">
        <v>4</v>
      </c>
      <c r="S16" s="49">
        <v>6</v>
      </c>
      <c r="T16" s="49">
        <v>6</v>
      </c>
      <c r="U16" s="42">
        <f ca="1">IF(COUNTIF(OFFSET($E16,0,1):OFFSET(U16,0,-1),"=*")&gt;0,IF($C16="К","-"," - "),IF(COUNTIF(OFFSET($E16,0,1):OFFSET(U16,0,-1),"&lt;4")&gt;0,IF(C16="К","-"," - "),(IFERROR(AVERAGE(OFFSET($E16,0,1):OFFSET(U16,0,-1)),"Очікую"))))</f>
        <v>6.6</v>
      </c>
      <c r="V16" s="26"/>
      <c r="W16" s="22"/>
    </row>
    <row r="17" spans="1:23" s="14" customFormat="1" ht="15" customHeight="1" x14ac:dyDescent="0.25">
      <c r="A17" s="13"/>
      <c r="B17" s="15"/>
      <c r="C17" s="45" t="s">
        <v>94</v>
      </c>
      <c r="D17" s="45">
        <v>8</v>
      </c>
      <c r="E17" s="48" t="s">
        <v>62</v>
      </c>
      <c r="F17" s="49">
        <v>6</v>
      </c>
      <c r="G17" s="49">
        <v>9</v>
      </c>
      <c r="H17" s="49">
        <v>9</v>
      </c>
      <c r="I17" s="49">
        <v>8</v>
      </c>
      <c r="J17" s="49">
        <v>6</v>
      </c>
      <c r="K17" s="49">
        <v>10</v>
      </c>
      <c r="L17" s="49">
        <v>11</v>
      </c>
      <c r="M17" s="49">
        <v>6</v>
      </c>
      <c r="N17" s="49">
        <v>11</v>
      </c>
      <c r="O17" s="49">
        <v>7</v>
      </c>
      <c r="P17" s="49">
        <v>7</v>
      </c>
      <c r="Q17" s="49">
        <v>10</v>
      </c>
      <c r="R17" s="49">
        <v>6</v>
      </c>
      <c r="S17" s="49">
        <v>7</v>
      </c>
      <c r="T17" s="49">
        <v>8</v>
      </c>
      <c r="U17" s="42">
        <f ca="1">IF(COUNTIF(OFFSET($E17,0,1):OFFSET(U17,0,-1),"=*")&gt;0,IF($C17="К","-"," - "),IF(COUNTIF(OFFSET($E17,0,1):OFFSET(U17,0,-1),"&lt;4")&gt;0,IF(C17="К","-"," - "),(IFERROR(AVERAGE(OFFSET($E17,0,1):OFFSET(U17,0,-1)),"Очікую"))))</f>
        <v>8.0666666666666664</v>
      </c>
      <c r="V17" s="26"/>
      <c r="W17" s="22"/>
    </row>
    <row r="18" spans="1:23" s="14" customFormat="1" ht="15" customHeight="1" x14ac:dyDescent="0.25">
      <c r="A18" s="13"/>
      <c r="B18" s="15"/>
      <c r="C18" s="45" t="s">
        <v>94</v>
      </c>
      <c r="D18" s="45">
        <v>9</v>
      </c>
      <c r="E18" s="48" t="s">
        <v>65</v>
      </c>
      <c r="F18" s="49">
        <v>10</v>
      </c>
      <c r="G18" s="49">
        <v>4</v>
      </c>
      <c r="H18" s="49">
        <v>4</v>
      </c>
      <c r="I18" s="49">
        <v>11</v>
      </c>
      <c r="J18" s="49">
        <v>8</v>
      </c>
      <c r="K18" s="49">
        <v>5</v>
      </c>
      <c r="L18" s="49">
        <v>10</v>
      </c>
      <c r="M18" s="49">
        <v>8</v>
      </c>
      <c r="N18" s="49">
        <v>5</v>
      </c>
      <c r="O18" s="49">
        <v>9</v>
      </c>
      <c r="P18" s="49">
        <v>6</v>
      </c>
      <c r="Q18" s="49">
        <v>4</v>
      </c>
      <c r="R18" s="49">
        <v>10</v>
      </c>
      <c r="S18" s="49">
        <v>8</v>
      </c>
      <c r="T18" s="49">
        <v>8</v>
      </c>
      <c r="U18" s="42">
        <f ca="1">IF(COUNTIF(OFFSET($E18,0,1):OFFSET(U18,0,-1),"=*")&gt;0,IF($C18="К","-"," - "),IF(COUNTIF(OFFSET($E18,0,1):OFFSET(U18,0,-1),"&lt;4")&gt;0,IF(C18="К","-"," - "),(IFERROR(AVERAGE(OFFSET($E18,0,1):OFFSET(U18,0,-1)),"Очікую"))))</f>
        <v>7.333333333333333</v>
      </c>
      <c r="V18" s="26"/>
      <c r="W18" s="22"/>
    </row>
    <row r="19" spans="1:23" s="14" customFormat="1" ht="15" customHeight="1" x14ac:dyDescent="0.25">
      <c r="A19" s="13"/>
      <c r="B19" s="15"/>
      <c r="C19" s="45" t="s">
        <v>9</v>
      </c>
      <c r="D19" s="45">
        <v>10</v>
      </c>
      <c r="E19" s="48" t="s">
        <v>76</v>
      </c>
      <c r="F19" s="49">
        <v>6</v>
      </c>
      <c r="G19" s="49">
        <v>9</v>
      </c>
      <c r="H19" s="49">
        <v>10</v>
      </c>
      <c r="I19" s="49">
        <v>8</v>
      </c>
      <c r="J19" s="49">
        <v>8</v>
      </c>
      <c r="K19" s="49">
        <v>4</v>
      </c>
      <c r="L19" s="49">
        <v>6</v>
      </c>
      <c r="M19" s="49">
        <v>8</v>
      </c>
      <c r="N19" s="49">
        <v>6</v>
      </c>
      <c r="O19" s="49">
        <v>6</v>
      </c>
      <c r="P19" s="49">
        <v>10</v>
      </c>
      <c r="Q19" s="49">
        <v>6</v>
      </c>
      <c r="R19" s="49">
        <v>6</v>
      </c>
      <c r="S19" s="49">
        <v>11</v>
      </c>
      <c r="T19" s="49">
        <v>7</v>
      </c>
      <c r="U19" s="42">
        <f ca="1">IF(COUNTIF(OFFSET($E19,0,1):OFFSET(U19,0,-1),"=*")&gt;0,IF($C19="К","-"," - "),IF(COUNTIF(OFFSET($E19,0,1):OFFSET(U19,0,-1),"&lt;4")&gt;0,IF(C19="К","-"," - "),(IFERROR(AVERAGE(OFFSET($E19,0,1):OFFSET(U19,0,-1)),"Очікую"))))</f>
        <v>7.4</v>
      </c>
      <c r="V19" s="26"/>
      <c r="W19" s="22"/>
    </row>
    <row r="20" spans="1:23" s="14" customFormat="1" ht="15" customHeight="1" x14ac:dyDescent="0.25">
      <c r="A20" s="13"/>
      <c r="B20" s="15"/>
      <c r="C20" s="45" t="s">
        <v>94</v>
      </c>
      <c r="D20" s="45">
        <v>11</v>
      </c>
      <c r="E20" s="48" t="s">
        <v>74</v>
      </c>
      <c r="F20" s="49">
        <v>10</v>
      </c>
      <c r="G20" s="49">
        <v>9</v>
      </c>
      <c r="H20" s="49">
        <v>9</v>
      </c>
      <c r="I20" s="49">
        <v>6</v>
      </c>
      <c r="J20" s="49">
        <v>5</v>
      </c>
      <c r="K20" s="49">
        <v>10</v>
      </c>
      <c r="L20" s="49">
        <v>6</v>
      </c>
      <c r="M20" s="49">
        <v>7</v>
      </c>
      <c r="N20" s="49">
        <v>7</v>
      </c>
      <c r="O20" s="49">
        <v>6</v>
      </c>
      <c r="P20" s="49">
        <v>7</v>
      </c>
      <c r="Q20" s="49">
        <v>8</v>
      </c>
      <c r="R20" s="49">
        <v>10</v>
      </c>
      <c r="S20" s="49">
        <v>6</v>
      </c>
      <c r="T20" s="49">
        <v>7</v>
      </c>
      <c r="U20" s="42">
        <f ca="1">IF(COUNTIF(OFFSET($E20,0,1):OFFSET(U20,0,-1),"=*")&gt;0,IF($C20="К","-"," - "),IF(COUNTIF(OFFSET($E20,0,1):OFFSET(U20,0,-1),"&lt;4")&gt;0,IF(C20="К","-"," - "),(IFERROR(AVERAGE(OFFSET($E20,0,1):OFFSET(U20,0,-1)),"Очікую"))))</f>
        <v>7.5333333333333332</v>
      </c>
      <c r="V20" s="26"/>
      <c r="W20" s="22"/>
    </row>
    <row r="21" spans="1:23" s="14" customFormat="1" ht="15" customHeight="1" x14ac:dyDescent="0.25">
      <c r="A21" s="13"/>
      <c r="B21" s="15"/>
      <c r="C21" s="45" t="s">
        <v>94</v>
      </c>
      <c r="D21" s="45">
        <v>12</v>
      </c>
      <c r="E21" s="48" t="s">
        <v>88</v>
      </c>
      <c r="F21" s="49">
        <v>9</v>
      </c>
      <c r="G21" s="49">
        <v>10</v>
      </c>
      <c r="H21" s="49">
        <v>6</v>
      </c>
      <c r="I21" s="49">
        <v>5</v>
      </c>
      <c r="J21" s="49" t="s">
        <v>46</v>
      </c>
      <c r="K21" s="49">
        <v>5</v>
      </c>
      <c r="L21" s="49">
        <v>8</v>
      </c>
      <c r="M21" s="49">
        <v>6</v>
      </c>
      <c r="N21" s="49">
        <v>7</v>
      </c>
      <c r="O21" s="49">
        <v>8</v>
      </c>
      <c r="P21" s="49">
        <v>10</v>
      </c>
      <c r="Q21" s="49">
        <v>5</v>
      </c>
      <c r="R21" s="49">
        <v>9</v>
      </c>
      <c r="S21" s="49">
        <v>8</v>
      </c>
      <c r="T21" s="49">
        <v>5</v>
      </c>
      <c r="U21" s="42" t="str">
        <f ca="1">IF(COUNTIF(OFFSET($E21,0,1):OFFSET(U21,0,-1),"=*")&gt;0,IF($C21="К","-"," - "),IF(COUNTIF(OFFSET($E21,0,1):OFFSET(U21,0,-1),"&lt;4")&gt;0,IF(C21="К","-"," - "),(IFERROR(AVERAGE(OFFSET($E21,0,1):OFFSET(U21,0,-1)),"Очікую"))))</f>
        <v xml:space="preserve"> - </v>
      </c>
      <c r="V21" s="26"/>
      <c r="W21" s="22"/>
    </row>
    <row r="22" spans="1:23" s="14" customFormat="1" ht="15" customHeight="1" x14ac:dyDescent="0.25">
      <c r="A22" s="13"/>
      <c r="B22" s="15"/>
      <c r="C22" s="45" t="s">
        <v>94</v>
      </c>
      <c r="D22" s="45">
        <v>13</v>
      </c>
      <c r="E22" s="48" t="s">
        <v>81</v>
      </c>
      <c r="F22" s="49">
        <v>7</v>
      </c>
      <c r="G22" s="49">
        <v>7</v>
      </c>
      <c r="H22" s="49">
        <v>8</v>
      </c>
      <c r="I22" s="49">
        <v>11</v>
      </c>
      <c r="J22" s="49">
        <v>4</v>
      </c>
      <c r="K22" s="49">
        <v>9</v>
      </c>
      <c r="L22" s="49">
        <v>5</v>
      </c>
      <c r="M22" s="49">
        <v>8</v>
      </c>
      <c r="N22" s="49">
        <v>6</v>
      </c>
      <c r="O22" s="49">
        <v>8</v>
      </c>
      <c r="P22" s="49">
        <v>8</v>
      </c>
      <c r="Q22" s="49">
        <v>11</v>
      </c>
      <c r="R22" s="49">
        <v>7</v>
      </c>
      <c r="S22" s="49">
        <v>11</v>
      </c>
      <c r="T22" s="49">
        <v>8</v>
      </c>
      <c r="U22" s="42">
        <f ca="1">IF(COUNTIF(OFFSET($E22,0,1):OFFSET(U22,0,-1),"=*")&gt;0,IF($C22="К","-"," - "),IF(COUNTIF(OFFSET($E22,0,1):OFFSET(U22,0,-1),"&lt;4")&gt;0,IF(C22="К","-"," - "),(IFERROR(AVERAGE(OFFSET($E22,0,1):OFFSET(U22,0,-1)),"Очікую"))))</f>
        <v>7.8666666666666663</v>
      </c>
      <c r="V22" s="26"/>
      <c r="W22" s="22"/>
    </row>
    <row r="23" spans="1:23" s="14" customFormat="1" ht="15" customHeight="1" x14ac:dyDescent="0.25">
      <c r="A23" s="13"/>
      <c r="B23" s="15"/>
      <c r="C23" s="45" t="s">
        <v>9</v>
      </c>
      <c r="D23" s="45">
        <v>14</v>
      </c>
      <c r="E23" s="48" t="s">
        <v>67</v>
      </c>
      <c r="F23" s="49">
        <v>4</v>
      </c>
      <c r="G23" s="49">
        <v>8</v>
      </c>
      <c r="H23" s="49">
        <v>8</v>
      </c>
      <c r="I23" s="49">
        <v>9</v>
      </c>
      <c r="J23" s="49">
        <v>6</v>
      </c>
      <c r="K23" s="49">
        <v>10</v>
      </c>
      <c r="L23" s="49">
        <v>10</v>
      </c>
      <c r="M23" s="49">
        <v>9</v>
      </c>
      <c r="N23" s="49" t="s">
        <v>46</v>
      </c>
      <c r="O23" s="49">
        <v>11</v>
      </c>
      <c r="P23" s="49">
        <v>11</v>
      </c>
      <c r="Q23" s="49">
        <v>7</v>
      </c>
      <c r="R23" s="49">
        <v>4</v>
      </c>
      <c r="S23" s="49">
        <v>10</v>
      </c>
      <c r="T23" s="49">
        <v>6</v>
      </c>
      <c r="U23" s="42" t="str">
        <f ca="1">IF(COUNTIF(OFFSET($E23,0,1):OFFSET(U23,0,-1),"=*")&gt;0,IF($C23="К","-"," - "),IF(COUNTIF(OFFSET($E23,0,1):OFFSET(U23,0,-1),"&lt;4")&gt;0,IF(C23="К","-"," - "),(IFERROR(AVERAGE(OFFSET($E23,0,1):OFFSET(U23,0,-1)),"Очікую"))))</f>
        <v>-</v>
      </c>
      <c r="V23" s="26"/>
      <c r="W23" s="22"/>
    </row>
    <row r="24" spans="1:23" s="14" customFormat="1" ht="15" customHeight="1" x14ac:dyDescent="0.25">
      <c r="A24" s="13"/>
      <c r="B24" s="15"/>
      <c r="C24" s="45" t="s">
        <v>94</v>
      </c>
      <c r="D24" s="45">
        <v>15</v>
      </c>
      <c r="E24" s="48" t="s">
        <v>83</v>
      </c>
      <c r="F24" s="49">
        <v>4</v>
      </c>
      <c r="G24" s="49">
        <v>8</v>
      </c>
      <c r="H24" s="49">
        <v>7</v>
      </c>
      <c r="I24" s="49">
        <v>8</v>
      </c>
      <c r="J24" s="49">
        <v>8</v>
      </c>
      <c r="K24" s="49">
        <v>6</v>
      </c>
      <c r="L24" s="49">
        <v>7</v>
      </c>
      <c r="M24" s="49">
        <v>6</v>
      </c>
      <c r="N24" s="49">
        <v>7</v>
      </c>
      <c r="O24" s="49">
        <v>6</v>
      </c>
      <c r="P24" s="49">
        <v>9</v>
      </c>
      <c r="Q24" s="49">
        <v>5</v>
      </c>
      <c r="R24" s="49">
        <v>4</v>
      </c>
      <c r="S24" s="49">
        <v>5</v>
      </c>
      <c r="T24" s="49">
        <v>5</v>
      </c>
      <c r="U24" s="42">
        <f ca="1">IF(COUNTIF(OFFSET($E24,0,1):OFFSET(U24,0,-1),"=*")&gt;0,IF($C24="К","-"," - "),IF(COUNTIF(OFFSET($E24,0,1):OFFSET(U24,0,-1),"&lt;4")&gt;0,IF(C24="К","-"," - "),(IFERROR(AVERAGE(OFFSET($E24,0,1):OFFSET(U24,0,-1)),"Очікую"))))</f>
        <v>6.333333333333333</v>
      </c>
      <c r="V24" s="26"/>
      <c r="W24" s="22"/>
    </row>
    <row r="25" spans="1:23" s="14" customFormat="1" ht="15" customHeight="1" x14ac:dyDescent="0.25">
      <c r="A25" s="13"/>
      <c r="B25" s="15"/>
      <c r="C25" s="45" t="s">
        <v>9</v>
      </c>
      <c r="D25" s="45">
        <v>16</v>
      </c>
      <c r="E25" s="48" t="s">
        <v>72</v>
      </c>
      <c r="F25" s="49">
        <v>5</v>
      </c>
      <c r="G25" s="49">
        <v>8</v>
      </c>
      <c r="H25" s="49">
        <v>9</v>
      </c>
      <c r="I25" s="49">
        <v>9</v>
      </c>
      <c r="J25" s="49">
        <v>8</v>
      </c>
      <c r="K25" s="49">
        <v>8</v>
      </c>
      <c r="L25" s="49">
        <v>9</v>
      </c>
      <c r="M25" s="49">
        <v>10</v>
      </c>
      <c r="N25" s="49">
        <v>5</v>
      </c>
      <c r="O25" s="49">
        <v>10</v>
      </c>
      <c r="P25" s="49">
        <v>8</v>
      </c>
      <c r="Q25" s="49">
        <v>5</v>
      </c>
      <c r="R25" s="49">
        <v>5</v>
      </c>
      <c r="S25" s="49">
        <v>5</v>
      </c>
      <c r="T25" s="49">
        <v>6</v>
      </c>
      <c r="U25" s="42">
        <f ca="1">IF(COUNTIF(OFFSET($E25,0,1):OFFSET(U25,0,-1),"=*")&gt;0,IF($C25="К","-"," - "),IF(COUNTIF(OFFSET($E25,0,1):OFFSET(U25,0,-1),"&lt;4")&gt;0,IF(C25="К","-"," - "),(IFERROR(AVERAGE(OFFSET($E25,0,1):OFFSET(U25,0,-1)),"Очікую"))))</f>
        <v>7.333333333333333</v>
      </c>
      <c r="V25" s="26"/>
      <c r="W25" s="22"/>
    </row>
    <row r="26" spans="1:23" s="14" customFormat="1" ht="15" customHeight="1" x14ac:dyDescent="0.25">
      <c r="A26" s="13"/>
      <c r="B26" s="15"/>
      <c r="C26" s="45" t="s">
        <v>9</v>
      </c>
      <c r="D26" s="45">
        <v>17</v>
      </c>
      <c r="E26" s="48" t="s">
        <v>84</v>
      </c>
      <c r="F26" s="49">
        <v>5</v>
      </c>
      <c r="G26" s="49">
        <v>9</v>
      </c>
      <c r="H26" s="49">
        <v>7</v>
      </c>
      <c r="I26" s="49">
        <v>9</v>
      </c>
      <c r="J26" s="49">
        <v>8</v>
      </c>
      <c r="K26" s="49">
        <v>11</v>
      </c>
      <c r="L26" s="49">
        <v>8</v>
      </c>
      <c r="M26" s="49">
        <v>9</v>
      </c>
      <c r="N26" s="49">
        <v>6</v>
      </c>
      <c r="O26" s="49">
        <v>9</v>
      </c>
      <c r="P26" s="49">
        <v>6</v>
      </c>
      <c r="Q26" s="49">
        <v>10</v>
      </c>
      <c r="R26" s="49">
        <v>5</v>
      </c>
      <c r="S26" s="49">
        <v>11</v>
      </c>
      <c r="T26" s="49">
        <v>9</v>
      </c>
      <c r="U26" s="42">
        <f ca="1">IF(COUNTIF(OFFSET($E26,0,1):OFFSET(U26,0,-1),"=*")&gt;0,IF($C26="К","-"," - "),IF(COUNTIF(OFFSET($E26,0,1):OFFSET(U26,0,-1),"&lt;4")&gt;0,IF(C26="К","-"," - "),(IFERROR(AVERAGE(OFFSET($E26,0,1):OFFSET(U26,0,-1)),"Очікую"))))</f>
        <v>8.1333333333333329</v>
      </c>
      <c r="V26" s="26"/>
      <c r="W26" s="22"/>
    </row>
    <row r="27" spans="1:23" s="14" customFormat="1" ht="15" customHeight="1" x14ac:dyDescent="0.25">
      <c r="A27" s="13"/>
      <c r="B27" s="15"/>
      <c r="C27" s="45" t="s">
        <v>94</v>
      </c>
      <c r="D27" s="45">
        <v>18</v>
      </c>
      <c r="E27" s="48" t="s">
        <v>60</v>
      </c>
      <c r="F27" s="49">
        <v>9</v>
      </c>
      <c r="G27" s="49">
        <v>8</v>
      </c>
      <c r="H27" s="49">
        <v>6</v>
      </c>
      <c r="I27" s="49">
        <v>9</v>
      </c>
      <c r="J27" s="49">
        <v>11</v>
      </c>
      <c r="K27" s="49">
        <v>4</v>
      </c>
      <c r="L27" s="49">
        <v>4</v>
      </c>
      <c r="M27" s="49">
        <v>8</v>
      </c>
      <c r="N27" s="49">
        <v>11</v>
      </c>
      <c r="O27" s="49">
        <v>9</v>
      </c>
      <c r="P27" s="49">
        <v>10</v>
      </c>
      <c r="Q27" s="49">
        <v>7</v>
      </c>
      <c r="R27" s="49">
        <v>9</v>
      </c>
      <c r="S27" s="49">
        <v>10</v>
      </c>
      <c r="T27" s="49">
        <v>9</v>
      </c>
      <c r="U27" s="42">
        <f ca="1">IF(COUNTIF(OFFSET($E27,0,1):OFFSET(U27,0,-1),"=*")&gt;0,IF($C27="К","-"," - "),IF(COUNTIF(OFFSET($E27,0,1):OFFSET(U27,0,-1),"&lt;4")&gt;0,IF(C27="К","-"," - "),(IFERROR(AVERAGE(OFFSET($E27,0,1):OFFSET(U27,0,-1)),"Очікую"))))</f>
        <v>8.2666666666666675</v>
      </c>
      <c r="V27" s="26"/>
      <c r="W27" s="22"/>
    </row>
    <row r="28" spans="1:23" s="14" customFormat="1" ht="15" customHeight="1" x14ac:dyDescent="0.25">
      <c r="A28" s="13"/>
      <c r="B28" s="15"/>
      <c r="C28" s="45" t="s">
        <v>9</v>
      </c>
      <c r="D28" s="45">
        <v>19</v>
      </c>
      <c r="E28" s="48" t="s">
        <v>73</v>
      </c>
      <c r="F28" s="49">
        <v>10</v>
      </c>
      <c r="G28" s="49">
        <v>6</v>
      </c>
      <c r="H28" s="49">
        <v>9</v>
      </c>
      <c r="I28" s="49">
        <v>6</v>
      </c>
      <c r="J28" s="49">
        <v>8</v>
      </c>
      <c r="K28" s="49">
        <v>8</v>
      </c>
      <c r="L28" s="49">
        <v>5</v>
      </c>
      <c r="M28" s="49">
        <v>7</v>
      </c>
      <c r="N28" s="49">
        <v>8</v>
      </c>
      <c r="O28" s="49">
        <v>7</v>
      </c>
      <c r="P28" s="49">
        <v>9</v>
      </c>
      <c r="Q28" s="49">
        <v>11</v>
      </c>
      <c r="R28" s="49">
        <v>10</v>
      </c>
      <c r="S28" s="49">
        <v>7</v>
      </c>
      <c r="T28" s="49" t="s">
        <v>46</v>
      </c>
      <c r="U28" s="42" t="str">
        <f ca="1">IF(COUNTIF(OFFSET($E28,0,1):OFFSET(U28,0,-1),"=*")&gt;0,IF($C28="К","-"," - "),IF(COUNTIF(OFFSET($E28,0,1):OFFSET(U28,0,-1),"&lt;4")&gt;0,IF(C28="К","-"," - "),(IFERROR(AVERAGE(OFFSET($E28,0,1):OFFSET(U28,0,-1)),"Очікую"))))</f>
        <v>-</v>
      </c>
      <c r="V28" s="26"/>
      <c r="W28" s="22"/>
    </row>
    <row r="29" spans="1:23" s="14" customFormat="1" ht="15" customHeight="1" x14ac:dyDescent="0.25">
      <c r="A29" s="13"/>
      <c r="B29" s="15"/>
      <c r="C29" s="45" t="s">
        <v>9</v>
      </c>
      <c r="D29" s="45">
        <v>20</v>
      </c>
      <c r="E29" s="48" t="s">
        <v>61</v>
      </c>
      <c r="F29" s="49">
        <v>6</v>
      </c>
      <c r="G29" s="49">
        <v>7</v>
      </c>
      <c r="H29" s="49">
        <v>10</v>
      </c>
      <c r="I29" s="49">
        <v>10</v>
      </c>
      <c r="J29" s="49">
        <v>4</v>
      </c>
      <c r="K29" s="49">
        <v>8</v>
      </c>
      <c r="L29" s="49">
        <v>7</v>
      </c>
      <c r="M29" s="49">
        <v>8</v>
      </c>
      <c r="N29" s="49">
        <v>5</v>
      </c>
      <c r="O29" s="49">
        <v>10</v>
      </c>
      <c r="P29" s="49">
        <v>10</v>
      </c>
      <c r="Q29" s="49">
        <v>9</v>
      </c>
      <c r="R29" s="49">
        <v>6</v>
      </c>
      <c r="S29" s="49">
        <v>11</v>
      </c>
      <c r="T29" s="49">
        <v>6</v>
      </c>
      <c r="U29" s="42">
        <f ca="1">IF(COUNTIF(OFFSET($E29,0,1):OFFSET(U29,0,-1),"=*")&gt;0,IF($C29="К","-"," - "),IF(COUNTIF(OFFSET($E29,0,1):OFFSET(U29,0,-1),"&lt;4")&gt;0,IF(C29="К","-"," - "),(IFERROR(AVERAGE(OFFSET($E29,0,1):OFFSET(U29,0,-1)),"Очікую"))))</f>
        <v>7.8</v>
      </c>
      <c r="V29" s="26"/>
      <c r="W29" s="22"/>
    </row>
    <row r="30" spans="1:23" s="14" customFormat="1" ht="15" customHeight="1" x14ac:dyDescent="0.25">
      <c r="A30" s="13"/>
      <c r="B30" s="15"/>
      <c r="C30" s="45" t="s">
        <v>9</v>
      </c>
      <c r="D30" s="45">
        <v>21</v>
      </c>
      <c r="E30" s="48" t="s">
        <v>70</v>
      </c>
      <c r="F30" s="49">
        <v>11</v>
      </c>
      <c r="G30" s="49">
        <v>8</v>
      </c>
      <c r="H30" s="49">
        <v>5</v>
      </c>
      <c r="I30" s="49">
        <v>7</v>
      </c>
      <c r="J30" s="49">
        <v>10</v>
      </c>
      <c r="K30" s="49">
        <v>7</v>
      </c>
      <c r="L30" s="49">
        <v>8</v>
      </c>
      <c r="M30" s="49">
        <v>6</v>
      </c>
      <c r="N30" s="49">
        <v>5</v>
      </c>
      <c r="O30" s="49">
        <v>8</v>
      </c>
      <c r="P30" s="49">
        <v>5</v>
      </c>
      <c r="Q30" s="49">
        <v>10</v>
      </c>
      <c r="R30" s="49">
        <v>11</v>
      </c>
      <c r="S30" s="49">
        <v>10</v>
      </c>
      <c r="T30" s="49">
        <v>10</v>
      </c>
      <c r="U30" s="42">
        <f ca="1">IF(COUNTIF(OFFSET($E30,0,1):OFFSET(U30,0,-1),"=*")&gt;0,IF($C30="К","-"," - "),IF(COUNTIF(OFFSET($E30,0,1):OFFSET(U30,0,-1),"&lt;4")&gt;0,IF(C30="К","-"," - "),(IFERROR(AVERAGE(OFFSET($E30,0,1):OFFSET(U30,0,-1)),"Очікую"))))</f>
        <v>8.0666666666666664</v>
      </c>
      <c r="V30" s="26"/>
      <c r="W30" s="22"/>
    </row>
    <row r="31" spans="1:23" s="14" customFormat="1" ht="15" customHeight="1" x14ac:dyDescent="0.25">
      <c r="A31" s="13"/>
      <c r="B31" s="15"/>
      <c r="C31" s="45" t="s">
        <v>9</v>
      </c>
      <c r="D31" s="45">
        <v>22</v>
      </c>
      <c r="E31" s="48" t="s">
        <v>59</v>
      </c>
      <c r="F31" s="49">
        <v>7</v>
      </c>
      <c r="G31" s="49">
        <v>4</v>
      </c>
      <c r="H31" s="49">
        <v>4</v>
      </c>
      <c r="I31" s="49" t="s">
        <v>46</v>
      </c>
      <c r="J31" s="49">
        <v>4</v>
      </c>
      <c r="K31" s="49">
        <v>8</v>
      </c>
      <c r="L31" s="49" t="s">
        <v>46</v>
      </c>
      <c r="M31" s="49">
        <v>6</v>
      </c>
      <c r="N31" s="49">
        <v>7</v>
      </c>
      <c r="O31" s="49">
        <v>10</v>
      </c>
      <c r="P31" s="49">
        <v>8</v>
      </c>
      <c r="Q31" s="49" t="s">
        <v>46</v>
      </c>
      <c r="R31" s="49">
        <v>7</v>
      </c>
      <c r="S31" s="49">
        <v>10</v>
      </c>
      <c r="T31" s="49">
        <v>11</v>
      </c>
      <c r="U31" s="42" t="str">
        <f ca="1">IF(COUNTIF(OFFSET($E31,0,1):OFFSET(U31,0,-1),"=*")&gt;0,IF($C31="К","-"," - "),IF(COUNTIF(OFFSET($E31,0,1):OFFSET(U31,0,-1),"&lt;4")&gt;0,IF(C31="К","-"," - "),(IFERROR(AVERAGE(OFFSET($E31,0,1):OFFSET(U31,0,-1)),"Очікую"))))</f>
        <v>-</v>
      </c>
      <c r="V31" s="26"/>
      <c r="W31" s="22"/>
    </row>
    <row r="32" spans="1:23" s="14" customFormat="1" ht="15" customHeight="1" x14ac:dyDescent="0.25">
      <c r="A32" s="13"/>
      <c r="B32" s="15"/>
      <c r="C32" s="45" t="s">
        <v>94</v>
      </c>
      <c r="D32" s="45">
        <v>23</v>
      </c>
      <c r="E32" s="48" t="s">
        <v>71</v>
      </c>
      <c r="F32" s="49">
        <v>7</v>
      </c>
      <c r="G32" s="49">
        <v>5</v>
      </c>
      <c r="H32" s="49">
        <v>9</v>
      </c>
      <c r="I32" s="49">
        <v>10</v>
      </c>
      <c r="J32" s="49">
        <v>9</v>
      </c>
      <c r="K32" s="49">
        <v>5</v>
      </c>
      <c r="L32" s="49">
        <v>4</v>
      </c>
      <c r="M32" s="49">
        <v>6</v>
      </c>
      <c r="N32" s="49">
        <v>9</v>
      </c>
      <c r="O32" s="49">
        <v>8</v>
      </c>
      <c r="P32" s="49">
        <v>8</v>
      </c>
      <c r="Q32" s="49">
        <v>7</v>
      </c>
      <c r="R32" s="49">
        <v>7</v>
      </c>
      <c r="S32" s="49">
        <v>9</v>
      </c>
      <c r="T32" s="49">
        <v>9</v>
      </c>
      <c r="U32" s="42">
        <f ca="1">IF(COUNTIF(OFFSET($E32,0,1):OFFSET(U32,0,-1),"=*")&gt;0,IF($C32="К","-"," - "),IF(COUNTIF(OFFSET($E32,0,1):OFFSET(U32,0,-1),"&lt;4")&gt;0,IF(C32="К","-"," - "),(IFERROR(AVERAGE(OFFSET($E32,0,1):OFFSET(U32,0,-1)),"Очікую"))))</f>
        <v>7.4666666666666668</v>
      </c>
      <c r="V32" s="26"/>
      <c r="W32" s="22"/>
    </row>
    <row r="33" spans="1:23" s="14" customFormat="1" ht="15" customHeight="1" x14ac:dyDescent="0.25">
      <c r="A33" s="13"/>
      <c r="B33" s="15"/>
      <c r="C33" s="45" t="s">
        <v>94</v>
      </c>
      <c r="D33" s="45">
        <v>24</v>
      </c>
      <c r="E33" s="48" t="s">
        <v>68</v>
      </c>
      <c r="F33" s="49">
        <v>8</v>
      </c>
      <c r="G33" s="49">
        <v>8</v>
      </c>
      <c r="H33" s="49">
        <v>9</v>
      </c>
      <c r="I33" s="49">
        <v>9</v>
      </c>
      <c r="J33" s="49">
        <v>8</v>
      </c>
      <c r="K33" s="49">
        <v>10</v>
      </c>
      <c r="L33" s="49">
        <v>5</v>
      </c>
      <c r="M33" s="49">
        <v>10</v>
      </c>
      <c r="N33" s="49">
        <v>8</v>
      </c>
      <c r="O33" s="49">
        <v>10</v>
      </c>
      <c r="P33" s="49">
        <v>10</v>
      </c>
      <c r="Q33" s="49">
        <v>8</v>
      </c>
      <c r="R33" s="49">
        <v>8</v>
      </c>
      <c r="S33" s="49">
        <v>10</v>
      </c>
      <c r="T33" s="49">
        <v>10</v>
      </c>
      <c r="U33" s="42">
        <f ca="1">IF(COUNTIF(OFFSET($E33,0,1):OFFSET(U33,0,-1),"=*")&gt;0,IF($C33="К","-"," - "),IF(COUNTIF(OFFSET($E33,0,1):OFFSET(U33,0,-1),"&lt;4")&gt;0,IF(C33="К","-"," - "),(IFERROR(AVERAGE(OFFSET($E33,0,1):OFFSET(U33,0,-1)),"Очікую"))))</f>
        <v>8.7333333333333325</v>
      </c>
      <c r="V33" s="26"/>
      <c r="W33" s="22"/>
    </row>
    <row r="34" spans="1:23" s="14" customFormat="1" ht="15" customHeight="1" x14ac:dyDescent="0.25">
      <c r="A34" s="13"/>
      <c r="B34" s="15"/>
      <c r="C34" s="45" t="s">
        <v>9</v>
      </c>
      <c r="D34" s="45">
        <v>25</v>
      </c>
      <c r="E34" s="48" t="s">
        <v>86</v>
      </c>
      <c r="F34" s="49">
        <v>5</v>
      </c>
      <c r="G34" s="49" t="s">
        <v>46</v>
      </c>
      <c r="H34" s="49">
        <v>9</v>
      </c>
      <c r="I34" s="49">
        <v>11</v>
      </c>
      <c r="J34" s="49" t="s">
        <v>46</v>
      </c>
      <c r="K34" s="49">
        <v>11</v>
      </c>
      <c r="L34" s="49">
        <v>6</v>
      </c>
      <c r="M34" s="49">
        <v>10</v>
      </c>
      <c r="N34" s="49">
        <v>5</v>
      </c>
      <c r="O34" s="49">
        <v>8</v>
      </c>
      <c r="P34" s="49">
        <v>8</v>
      </c>
      <c r="Q34" s="49">
        <v>9</v>
      </c>
      <c r="R34" s="49">
        <v>5</v>
      </c>
      <c r="S34" s="49" t="s">
        <v>46</v>
      </c>
      <c r="T34" s="49">
        <v>9</v>
      </c>
      <c r="U34" s="42" t="str">
        <f ca="1">IF(COUNTIF(OFFSET($E34,0,1):OFFSET(U34,0,-1),"=*")&gt;0,IF($C34="К","-"," - "),IF(COUNTIF(OFFSET($E34,0,1):OFFSET(U34,0,-1),"&lt;4")&gt;0,IF(C34="К","-"," - "),(IFERROR(AVERAGE(OFFSET($E34,0,1):OFFSET(U34,0,-1)),"Очікую"))))</f>
        <v>-</v>
      </c>
      <c r="V34" s="26"/>
      <c r="W34" s="22"/>
    </row>
    <row r="35" spans="1:23" s="14" customFormat="1" ht="15" customHeight="1" x14ac:dyDescent="0.25">
      <c r="A35" s="13"/>
      <c r="B35" s="15"/>
      <c r="C35" s="45" t="s">
        <v>9</v>
      </c>
      <c r="D35" s="45">
        <v>26</v>
      </c>
      <c r="E35" s="48" t="s">
        <v>69</v>
      </c>
      <c r="F35" s="49" t="s">
        <v>46</v>
      </c>
      <c r="G35" s="49">
        <v>8</v>
      </c>
      <c r="H35" s="49">
        <v>4</v>
      </c>
      <c r="I35" s="49">
        <v>4</v>
      </c>
      <c r="J35" s="49">
        <v>9</v>
      </c>
      <c r="K35" s="49">
        <v>6</v>
      </c>
      <c r="L35" s="49">
        <v>10</v>
      </c>
      <c r="M35" s="49" t="s">
        <v>46</v>
      </c>
      <c r="N35" s="49">
        <v>5</v>
      </c>
      <c r="O35" s="49">
        <v>6</v>
      </c>
      <c r="P35" s="49">
        <v>10</v>
      </c>
      <c r="Q35" s="49">
        <v>10</v>
      </c>
      <c r="R35" s="49" t="s">
        <v>46</v>
      </c>
      <c r="S35" s="49">
        <v>11</v>
      </c>
      <c r="T35" s="49">
        <v>8</v>
      </c>
      <c r="U35" s="42" t="str">
        <f ca="1">IF(COUNTIF(OFFSET($E35,0,1):OFFSET(U35,0,-1),"=*")&gt;0,IF($C35="К","-"," - "),IF(COUNTIF(OFFSET($E35,0,1):OFFSET(U35,0,-1),"&lt;4")&gt;0,IF(C35="К","-"," - "),(IFERROR(AVERAGE(OFFSET($E35,0,1):OFFSET(U35,0,-1)),"Очікую"))))</f>
        <v>-</v>
      </c>
      <c r="V35" s="26"/>
      <c r="W35" s="22"/>
    </row>
    <row r="36" spans="1:23" s="14" customFormat="1" ht="15" customHeight="1" x14ac:dyDescent="0.25">
      <c r="A36" s="13"/>
      <c r="B36" s="15"/>
      <c r="C36" s="45" t="s">
        <v>9</v>
      </c>
      <c r="D36" s="45">
        <v>27</v>
      </c>
      <c r="E36" s="48" t="s">
        <v>64</v>
      </c>
      <c r="F36" s="49">
        <v>5</v>
      </c>
      <c r="G36" s="49">
        <v>8</v>
      </c>
      <c r="H36" s="49">
        <v>7</v>
      </c>
      <c r="I36" s="49">
        <v>8</v>
      </c>
      <c r="J36" s="49">
        <v>8</v>
      </c>
      <c r="K36" s="49">
        <v>6</v>
      </c>
      <c r="L36" s="49">
        <v>4</v>
      </c>
      <c r="M36" s="49">
        <v>5</v>
      </c>
      <c r="N36" s="49">
        <v>5</v>
      </c>
      <c r="O36" s="49">
        <v>8</v>
      </c>
      <c r="P36" s="49">
        <v>6</v>
      </c>
      <c r="Q36" s="49">
        <v>6</v>
      </c>
      <c r="R36" s="49">
        <v>5</v>
      </c>
      <c r="S36" s="49">
        <v>7</v>
      </c>
      <c r="T36" s="49">
        <v>10</v>
      </c>
      <c r="U36" s="42">
        <f ca="1">IF(COUNTIF(OFFSET($E36,0,1):OFFSET(U36,0,-1),"=*")&gt;0,IF($C36="К","-"," - "),IF(COUNTIF(OFFSET($E36,0,1):OFFSET(U36,0,-1),"&lt;4")&gt;0,IF(C36="К","-"," - "),(IFERROR(AVERAGE(OFFSET($E36,0,1):OFFSET(U36,0,-1)),"Очікую"))))</f>
        <v>6.5333333333333332</v>
      </c>
      <c r="V36" s="26"/>
      <c r="W36" s="22"/>
    </row>
    <row r="37" spans="1:23" s="14" customFormat="1" ht="15" customHeight="1" x14ac:dyDescent="0.25">
      <c r="A37" s="13"/>
      <c r="B37" s="15"/>
      <c r="C37" s="45" t="s">
        <v>9</v>
      </c>
      <c r="D37" s="45">
        <v>28</v>
      </c>
      <c r="E37" s="48" t="s">
        <v>78</v>
      </c>
      <c r="F37" s="49">
        <v>7</v>
      </c>
      <c r="G37" s="49">
        <v>9</v>
      </c>
      <c r="H37" s="49">
        <v>6</v>
      </c>
      <c r="I37" s="49">
        <v>11</v>
      </c>
      <c r="J37" s="49">
        <v>8</v>
      </c>
      <c r="K37" s="49">
        <v>11</v>
      </c>
      <c r="L37" s="49">
        <v>8</v>
      </c>
      <c r="M37" s="49">
        <v>5</v>
      </c>
      <c r="N37" s="49">
        <v>5</v>
      </c>
      <c r="O37" s="49">
        <v>10</v>
      </c>
      <c r="P37" s="49">
        <v>8</v>
      </c>
      <c r="Q37" s="49">
        <v>10</v>
      </c>
      <c r="R37" s="49">
        <v>7</v>
      </c>
      <c r="S37" s="49">
        <v>7</v>
      </c>
      <c r="T37" s="49">
        <v>10</v>
      </c>
      <c r="U37" s="42">
        <f ca="1">IF(COUNTIF(OFFSET($E37,0,1):OFFSET(U37,0,-1),"=*")&gt;0,IF($C37="К","-"," - "),IF(COUNTIF(OFFSET($E37,0,1):OFFSET(U37,0,-1),"&lt;4")&gt;0,IF(C37="К","-"," - "),(IFERROR(AVERAGE(OFFSET($E37,0,1):OFFSET(U37,0,-1)),"Очікую"))))</f>
        <v>8.1333333333333329</v>
      </c>
      <c r="V37" s="26"/>
      <c r="W37" s="22"/>
    </row>
    <row r="38" spans="1:23" s="14" customFormat="1" ht="15" customHeight="1" x14ac:dyDescent="0.25">
      <c r="A38" s="13"/>
      <c r="B38" s="15"/>
      <c r="C38" s="45" t="s">
        <v>9</v>
      </c>
      <c r="D38" s="45">
        <v>29</v>
      </c>
      <c r="E38" s="48" t="s">
        <v>75</v>
      </c>
      <c r="F38" s="49">
        <v>8</v>
      </c>
      <c r="G38" s="49">
        <v>11</v>
      </c>
      <c r="H38" s="49">
        <v>6</v>
      </c>
      <c r="I38" s="49">
        <v>8</v>
      </c>
      <c r="J38" s="49">
        <v>11</v>
      </c>
      <c r="K38" s="49">
        <v>6</v>
      </c>
      <c r="L38" s="49">
        <v>9</v>
      </c>
      <c r="M38" s="49">
        <v>8</v>
      </c>
      <c r="N38" s="49">
        <v>6</v>
      </c>
      <c r="O38" s="49">
        <v>9</v>
      </c>
      <c r="P38" s="49">
        <v>8</v>
      </c>
      <c r="Q38" s="49">
        <v>10</v>
      </c>
      <c r="R38" s="49">
        <v>8</v>
      </c>
      <c r="S38" s="49">
        <v>8</v>
      </c>
      <c r="T38" s="49">
        <v>11</v>
      </c>
      <c r="U38" s="42">
        <f ca="1">IF(COUNTIF(OFFSET($E38,0,1):OFFSET(U38,0,-1),"=*")&gt;0,IF($C38="К","-"," - "),IF(COUNTIF(OFFSET($E38,0,1):OFFSET(U38,0,-1),"&lt;4")&gt;0,IF(C38="К","-"," - "),(IFERROR(AVERAGE(OFFSET($E38,0,1):OFFSET(U38,0,-1)),"Очікую"))))</f>
        <v>8.4666666666666668</v>
      </c>
      <c r="V38" s="26"/>
      <c r="W38" s="22"/>
    </row>
    <row r="39" spans="1:23" s="14" customFormat="1" ht="15" customHeight="1" x14ac:dyDescent="0.25">
      <c r="A39" s="13"/>
      <c r="B39" s="15"/>
      <c r="C39" s="45" t="s">
        <v>9</v>
      </c>
      <c r="D39" s="45">
        <v>30</v>
      </c>
      <c r="E39" s="48" t="s">
        <v>66</v>
      </c>
      <c r="F39" s="49">
        <v>6</v>
      </c>
      <c r="G39" s="49" t="s">
        <v>46</v>
      </c>
      <c r="H39" s="49">
        <v>5</v>
      </c>
      <c r="I39" s="49">
        <v>4</v>
      </c>
      <c r="J39" s="49">
        <v>8</v>
      </c>
      <c r="K39" s="49">
        <v>7</v>
      </c>
      <c r="L39" s="49">
        <v>8</v>
      </c>
      <c r="M39" s="49">
        <v>7</v>
      </c>
      <c r="N39" s="49">
        <v>10</v>
      </c>
      <c r="O39" s="49">
        <v>7</v>
      </c>
      <c r="P39" s="49">
        <v>11</v>
      </c>
      <c r="Q39" s="49">
        <v>11</v>
      </c>
      <c r="R39" s="49">
        <v>6</v>
      </c>
      <c r="S39" s="49">
        <v>11</v>
      </c>
      <c r="T39" s="49">
        <v>8</v>
      </c>
      <c r="U39" s="42" t="str">
        <f ca="1">IF(COUNTIF(OFFSET($E39,0,1):OFFSET(U39,0,-1),"=*")&gt;0,IF($C39="К","-"," - "),IF(COUNTIF(OFFSET($E39,0,1):OFFSET(U39,0,-1),"&lt;4")&gt;0,IF(C39="К","-"," - "),(IFERROR(AVERAGE(OFFSET($E39,0,1):OFFSET(U39,0,-1)),"Очікую"))))</f>
        <v>-</v>
      </c>
      <c r="V39" s="26"/>
      <c r="W39" s="22"/>
    </row>
    <row r="40" spans="1:23" ht="15" customHeight="1" x14ac:dyDescent="0.25">
      <c r="A40" s="13"/>
      <c r="B40" s="15"/>
      <c r="C40" s="7"/>
      <c r="D40" s="7"/>
      <c r="E40" s="46" t="s">
        <v>10</v>
      </c>
      <c r="F40" s="47">
        <f ca="1">IF(SUM(OFFSET(F$9,1,0):OFFSET(F40,-1,0))=0,IF(COUNTA(OFFSET(F$9,1,0):OFFSET(F40,-1,0))=0,"Очікую",0),SUM(OFFSET(F$9,1,0):OFFSET(F40,-1,0))/OFFSET($D40,-1,0))</f>
        <v>6.666666666666667</v>
      </c>
      <c r="G40" s="47">
        <f ca="1">IF(SUM(OFFSET(G$9,1,0):OFFSET(G40,-1,0))=0,IF(COUNTA(OFFSET(G$9,1,0):OFFSET(G40,-1,0))=0,"Очікую",0),SUM(OFFSET(G$9,1,0):OFFSET(G40,-1,0))/OFFSET($D40,-1,0))</f>
        <v>7.0333333333333332</v>
      </c>
      <c r="H40" s="47">
        <f ca="1">IF(SUM(OFFSET(H$9,1,0):OFFSET(H40,-1,0))=0,IF(COUNTA(OFFSET(H$9,1,0):OFFSET(H40,-1,0))=0,"Очікую",0),SUM(OFFSET(H$9,1,0):OFFSET(H40,-1,0))/OFFSET($D40,-1,0))</f>
        <v>7.333333333333333</v>
      </c>
      <c r="I40" s="47">
        <f ca="1">IF(SUM(OFFSET(I$9,1,0):OFFSET(I40,-1,0))=0,IF(COUNTA(OFFSET(I$9,1,0):OFFSET(I40,-1,0))=0,"Очікую",0),SUM(OFFSET(I$9,1,0):OFFSET(I40,-1,0))/OFFSET($D40,-1,0))</f>
        <v>7.5333333333333332</v>
      </c>
      <c r="J40" s="47">
        <f ca="1">IF(SUM(OFFSET(J$9,1,0):OFFSET(J40,-1,0))=0,IF(COUNTA(OFFSET(J$9,1,0):OFFSET(J40,-1,0))=0,"Очікую",0),SUM(OFFSET(J$9,1,0):OFFSET(J40,-1,0))/OFFSET($D40,-1,0))</f>
        <v>6.833333333333333</v>
      </c>
      <c r="K40" s="47">
        <f ca="1">IF(SUM(OFFSET(K$9,1,0):OFFSET(K40,-1,0))=0,IF(COUNTA(OFFSET(K$9,1,0):OFFSET(K40,-1,0))=0,"Очікую",0),SUM(OFFSET(K$9,1,0):OFFSET(K40,-1,0))/OFFSET($D40,-1,0))</f>
        <v>6.833333333333333</v>
      </c>
      <c r="L40" s="47">
        <f ca="1">IF(SUM(OFFSET(L$9,1,0):OFFSET(L40,-1,0))=0,IF(COUNTA(OFFSET(L$9,1,0):OFFSET(L40,-1,0))=0,"Очікую",0),SUM(OFFSET(L$9,1,0):OFFSET(L40,-1,0))/OFFSET($D40,-1,0))</f>
        <v>6.9</v>
      </c>
      <c r="M40" s="47">
        <f ca="1">IF(SUM(OFFSET(M$9,1,0):OFFSET(M40,-1,0))=0,IF(COUNTA(OFFSET(M$9,1,0):OFFSET(M40,-1,0))=0,"Очікую",0),SUM(OFFSET(M$9,1,0):OFFSET(M40,-1,0))/OFFSET($D40,-1,0))</f>
        <v>7.2333333333333334</v>
      </c>
      <c r="N40" s="47">
        <f ca="1">IF(SUM(OFFSET(N$9,1,0):OFFSET(N40,-1,0))=0,IF(COUNTA(OFFSET(N$9,1,0):OFFSET(N40,-1,0))=0,"Очікую",0),SUM(OFFSET(N$9,1,0):OFFSET(N40,-1,0))/OFFSET($D40,-1,0))</f>
        <v>6.9333333333333336</v>
      </c>
      <c r="O40" s="47">
        <f ca="1">IF(SUM(OFFSET(O$9,1,0):OFFSET(O40,-1,0))=0,IF(COUNTA(OFFSET(O$9,1,0):OFFSET(O40,-1,0))=0,"Очікую",0),SUM(OFFSET(O$9,1,0):OFFSET(O40,-1,0))/OFFSET($D40,-1,0))</f>
        <v>7.9666666666666668</v>
      </c>
      <c r="P40" s="47">
        <f ca="1">IF(SUM(OFFSET(P$9,1,0):OFFSET(P40,-1,0))=0,IF(COUNTA(OFFSET(P$9,1,0):OFFSET(P40,-1,0))=0,"Очікую",0),SUM(OFFSET(P$9,1,0):OFFSET(P40,-1,0))/OFFSET($D40,-1,0))</f>
        <v>7.8</v>
      </c>
      <c r="Q40" s="47">
        <f ca="1">IF(SUM(OFFSET(Q$9,1,0):OFFSET(Q40,-1,0))=0,IF(COUNTA(OFFSET(Q$9,1,0):OFFSET(Q40,-1,0))=0,"Очікую",0),SUM(OFFSET(Q$9,1,0):OFFSET(Q40,-1,0))/OFFSET($D40,-1,0))</f>
        <v>7.4666666666666668</v>
      </c>
      <c r="R40" s="47">
        <f ca="1">IF(SUM(OFFSET(R$9,1,0):OFFSET(R40,-1,0))=0,IF(COUNTA(OFFSET(R$9,1,0):OFFSET(R40,-1,0))=0,"Очікую",0),SUM(OFFSET(R$9,1,0):OFFSET(R40,-1,0))/OFFSET($D40,-1,0))</f>
        <v>6.666666666666667</v>
      </c>
      <c r="S40" s="47">
        <f ca="1">IF(SUM(OFFSET(S$9,1,0):OFFSET(S40,-1,0))=0,IF(COUNTA(OFFSET(S$9,1,0):OFFSET(S40,-1,0))=0,"Очікую",0),SUM(OFFSET(S$9,1,0):OFFSET(S40,-1,0))/OFFSET($D40,-1,0))</f>
        <v>8.1999999999999993</v>
      </c>
      <c r="T40" s="47">
        <f ca="1">IF(SUM(OFFSET(T$9,1,0):OFFSET(T40,-1,0))=0,IF(COUNTA(OFFSET(T$9,1,0):OFFSET(T40,-1,0))=0,"Очікую",0),SUM(OFFSET(T$9,1,0):OFFSET(T40,-1,0))/OFFSET($D40,-1,0))</f>
        <v>7.6333333333333337</v>
      </c>
      <c r="U40" s="10">
        <f ca="1">IFERROR(AVERAGE(OFFSET($E40,0,1):OFFSET(U40,0,-1)),"Очікую")</f>
        <v>7.2688888888888901</v>
      </c>
      <c r="V40" s="24"/>
      <c r="W40" s="22"/>
    </row>
    <row r="41" spans="1:23" ht="15" customHeight="1" x14ac:dyDescent="0.25">
      <c r="A41" s="13"/>
      <c r="B41" s="15"/>
      <c r="C41" s="7"/>
      <c r="D41" s="7"/>
      <c r="E41" s="8" t="s">
        <v>11</v>
      </c>
      <c r="F41" s="11">
        <f ca="1">IF(SUM(OFFSET(F$9,1,0):OFFSET(F40,-1,0))=0,IF(COUNTA(OFFSET(F$9,1,0):OFFSET(F40,-1,0))=0,"Очікую",0),IF(COUNTIF(OFFSET(F$9,1,0):OFFSET(F40,-1,0),"&gt;=4")=0,0,COUNTIF(OFFSET(F$9,1,0):OFFSET(F40,-1,0),"&gt;=4")/OFFSET($D40,-1,0)*100))</f>
        <v>96.666666666666671</v>
      </c>
      <c r="G41" s="11">
        <f ca="1">IF(SUM(OFFSET(G$9,1,0):OFFSET(G40,-1,0))=0,IF(COUNTA(OFFSET(G$9,1,0):OFFSET(G40,-1,0))=0,"Очікую",0),IF(COUNTIF(OFFSET(G$9,1,0):OFFSET(G40,-1,0),"&gt;=4")=0,0,COUNTIF(OFFSET(G$9,1,0):OFFSET(G40,-1,0),"&gt;=4")/OFFSET($D40,-1,0)*100))</f>
        <v>90</v>
      </c>
      <c r="H41" s="11">
        <f ca="1">IF(SUM(OFFSET(H$9,1,0):OFFSET(H40,-1,0))=0,IF(COUNTA(OFFSET(H$9,1,0):OFFSET(H40,-1,0))=0,"Очікую",0),IF(COUNTIF(OFFSET(H$9,1,0):OFFSET(H40,-1,0),"&gt;=4")=0,0,COUNTIF(OFFSET(H$9,1,0):OFFSET(H40,-1,0),"&gt;=4")/OFFSET($D40,-1,0)*100))</f>
        <v>100</v>
      </c>
      <c r="I41" s="11">
        <f ca="1">IF(SUM(OFFSET(I$9,1,0):OFFSET(I40,-1,0))=0,IF(COUNTA(OFFSET(I$9,1,0):OFFSET(I40,-1,0))=0,"Очікую",0),IF(COUNTIF(OFFSET(I$9,1,0):OFFSET(I40,-1,0),"&gt;=4")=0,0,COUNTIF(OFFSET(I$9,1,0):OFFSET(I40,-1,0),"&gt;=4")/OFFSET($D40,-1,0)*100))</f>
        <v>96.666666666666671</v>
      </c>
      <c r="J41" s="11">
        <f ca="1">IF(SUM(OFFSET(J$9,1,0):OFFSET(J40,-1,0))=0,IF(COUNTA(OFFSET(J$9,1,0):OFFSET(J40,-1,0))=0,"Очікую",0),IF(COUNTIF(OFFSET(J$9,1,0):OFFSET(J40,-1,0),"&gt;=4")=0,0,COUNTIF(OFFSET(J$9,1,0):OFFSET(J40,-1,0),"&gt;=4")/OFFSET($D40,-1,0)*100))</f>
        <v>90</v>
      </c>
      <c r="K41" s="11">
        <f ca="1">IF(SUM(OFFSET(K$9,1,0):OFFSET(K40,-1,0))=0,IF(COUNTA(OFFSET(K$9,1,0):OFFSET(K40,-1,0))=0,"Очікую",0),IF(COUNTIF(OFFSET(K$9,1,0):OFFSET(K40,-1,0),"&gt;=4")=0,0,COUNTIF(OFFSET(K$9,1,0):OFFSET(K40,-1,0),"&gt;=4")/OFFSET($D40,-1,0)*100))</f>
        <v>96.666666666666671</v>
      </c>
      <c r="L41" s="11">
        <f ca="1">IF(SUM(OFFSET(L$9,1,0):OFFSET(L40,-1,0))=0,IF(COUNTA(OFFSET(L$9,1,0):OFFSET(L40,-1,0))=0,"Очікую",0),IF(COUNTIF(OFFSET(L$9,1,0):OFFSET(L40,-1,0),"&gt;=4")=0,0,COUNTIF(OFFSET(L$9,1,0):OFFSET(L40,-1,0),"&gt;=4")/OFFSET($D40,-1,0)*100))</f>
        <v>96.666666666666671</v>
      </c>
      <c r="M41" s="11">
        <f ca="1">IF(SUM(OFFSET(M$9,1,0):OFFSET(M40,-1,0))=0,IF(COUNTA(OFFSET(M$9,1,0):OFFSET(M40,-1,0))=0,"Очікую",0),IF(COUNTIF(OFFSET(M$9,1,0):OFFSET(M40,-1,0),"&gt;=4")=0,0,COUNTIF(OFFSET(M$9,1,0):OFFSET(M40,-1,0),"&gt;=4")/OFFSET($D40,-1,0)*100))</f>
        <v>96.666666666666671</v>
      </c>
      <c r="N41" s="11">
        <f ca="1">IF(SUM(OFFSET(N$9,1,0):OFFSET(N40,-1,0))=0,IF(COUNTA(OFFSET(N$9,1,0):OFFSET(N40,-1,0))=0,"Очікую",0),IF(COUNTIF(OFFSET(N$9,1,0):OFFSET(N40,-1,0),"&gt;=4")=0,0,COUNTIF(OFFSET(N$9,1,0):OFFSET(N40,-1,0),"&gt;=4")/OFFSET($D40,-1,0)*100))</f>
        <v>96.666666666666671</v>
      </c>
      <c r="O41" s="11">
        <f ca="1">IF(SUM(OFFSET(O$9,1,0):OFFSET(O40,-1,0))=0,IF(COUNTA(OFFSET(O$9,1,0):OFFSET(O40,-1,0))=0,"Очікую",0),IF(COUNTIF(OFFSET(O$9,1,0):OFFSET(O40,-1,0),"&gt;=4")=0,0,COUNTIF(OFFSET(O$9,1,0):OFFSET(O40,-1,0),"&gt;=4")/OFFSET($D40,-1,0)*100))</f>
        <v>100</v>
      </c>
      <c r="P41" s="11">
        <f ca="1">IF(SUM(OFFSET(P$9,1,0):OFFSET(P40,-1,0))=0,IF(COUNTA(OFFSET(P$9,1,0):OFFSET(P40,-1,0))=0,"Очікую",0),IF(COUNTIF(OFFSET(P$9,1,0):OFFSET(P40,-1,0),"&gt;=4")=0,0,COUNTIF(OFFSET(P$9,1,0):OFFSET(P40,-1,0),"&gt;=4")/OFFSET($D40,-1,0)*100))</f>
        <v>100</v>
      </c>
      <c r="Q41" s="11">
        <f ca="1">IF(SUM(OFFSET(Q$9,1,0):OFFSET(Q40,-1,0))=0,IF(COUNTA(OFFSET(Q$9,1,0):OFFSET(Q40,-1,0))=0,"Очікую",0),IF(COUNTIF(OFFSET(Q$9,1,0):OFFSET(Q40,-1,0),"&gt;=4")=0,0,COUNTIF(OFFSET(Q$9,1,0):OFFSET(Q40,-1,0),"&gt;=4")/OFFSET($D40,-1,0)*100))</f>
        <v>96.666666666666671</v>
      </c>
      <c r="R41" s="11">
        <f ca="1">IF(SUM(OFFSET(R$9,1,0):OFFSET(R40,-1,0))=0,IF(COUNTA(OFFSET(R$9,1,0):OFFSET(R40,-1,0))=0,"Очікую",0),IF(COUNTIF(OFFSET(R$9,1,0):OFFSET(R40,-1,0),"&gt;=4")=0,0,COUNTIF(OFFSET(R$9,1,0):OFFSET(R40,-1,0),"&gt;=4")/OFFSET($D40,-1,0)*100))</f>
        <v>96.666666666666671</v>
      </c>
      <c r="S41" s="11">
        <f ca="1">IF(SUM(OFFSET(S$9,1,0):OFFSET(S40,-1,0))=0,IF(COUNTA(OFFSET(S$9,1,0):OFFSET(S40,-1,0))=0,"Очікую",0),IF(COUNTIF(OFFSET(S$9,1,0):OFFSET(S40,-1,0),"&gt;=4")=0,0,COUNTIF(OFFSET(S$9,1,0):OFFSET(S40,-1,0),"&gt;=4")/OFFSET($D40,-1,0)*100))</f>
        <v>96.666666666666671</v>
      </c>
      <c r="T41" s="11">
        <f ca="1">IF(SUM(OFFSET(T$9,1,0):OFFSET(T40,-1,0))=0,IF(COUNTA(OFFSET(T$9,1,0):OFFSET(T40,-1,0))=0,"Очікую",0),IF(COUNTIF(OFFSET(T$9,1,0):OFFSET(T40,-1,0),"&gt;=4")=0,0,COUNTIF(OFFSET(T$9,1,0):OFFSET(T40,-1,0),"&gt;=4")/OFFSET($D40,-1,0)*100))</f>
        <v>96.666666666666671</v>
      </c>
      <c r="U41" s="7"/>
      <c r="V41" s="24"/>
      <c r="W41" s="22"/>
    </row>
    <row r="42" spans="1:23" ht="15" customHeight="1" x14ac:dyDescent="0.25">
      <c r="A42" s="13"/>
      <c r="B42" s="15"/>
      <c r="C42" s="7"/>
      <c r="D42" s="7"/>
      <c r="E42" s="8" t="s">
        <v>12</v>
      </c>
      <c r="F42" s="11">
        <f ca="1">IF(SUM(OFFSET(F$9,1,0):OFFSET(F40,-1,0))=0,IF(COUNTA(OFFSET(F$9,1,0):OFFSET(F40,-1,0))=0,"Очікую",0),IF(COUNTIF(OFFSET(F$9,1,0):OFFSET(F40,-1,0),"&gt;=7")=0,0,COUNTIF(OFFSET(F$9,1,0):OFFSET(F40,-1,0),"&gt;=7")/OFFSET($D40,-1,0)*100))</f>
        <v>50</v>
      </c>
      <c r="G42" s="11">
        <f ca="1">IF(SUM(OFFSET(G$9,1,0):OFFSET(G40,-1,0))=0,IF(COUNTA(OFFSET(G$9,1,0):OFFSET(G40,-1,0))=0,"Очікую",0),IF(COUNTIF(OFFSET(G$9,1,0):OFFSET(G40,-1,0),"&gt;=7")=0,0,COUNTIF(OFFSET(G$9,1,0):OFFSET(G40,-1,0),"&gt;=7")/OFFSET($D40,-1,0)*100))</f>
        <v>70</v>
      </c>
      <c r="H42" s="11">
        <f ca="1">IF(SUM(OFFSET(H$9,1,0):OFFSET(H40,-1,0))=0,IF(COUNTA(OFFSET(H$9,1,0):OFFSET(H40,-1,0))=0,"Очікую",0),IF(COUNTIF(OFFSET(H$9,1,0):OFFSET(H40,-1,0),"&gt;=7")=0,0,COUNTIF(OFFSET(H$9,1,0):OFFSET(H40,-1,0),"&gt;=7")/OFFSET($D40,-1,0)*100))</f>
        <v>63.333333333333329</v>
      </c>
      <c r="I42" s="11">
        <f ca="1">IF(SUM(OFFSET(I$9,1,0):OFFSET(I40,-1,0))=0,IF(COUNTA(OFFSET(I$9,1,0):OFFSET(I40,-1,0))=0,"Очікую",0),IF(COUNTIF(OFFSET(I$9,1,0):OFFSET(I40,-1,0),"&gt;=7")=0,0,COUNTIF(OFFSET(I$9,1,0):OFFSET(I40,-1,0),"&gt;=7")/OFFSET($D40,-1,0)*100))</f>
        <v>66.666666666666657</v>
      </c>
      <c r="J42" s="11">
        <f ca="1">IF(SUM(OFFSET(J$9,1,0):OFFSET(J40,-1,0))=0,IF(COUNTA(OFFSET(J$9,1,0):OFFSET(J40,-1,0))=0,"Очікую",0),IF(COUNTIF(OFFSET(J$9,1,0):OFFSET(J40,-1,0),"&gt;=7")=0,0,COUNTIF(OFFSET(J$9,1,0):OFFSET(J40,-1,0),"&gt;=7")/OFFSET($D40,-1,0)*100))</f>
        <v>60</v>
      </c>
      <c r="K42" s="11">
        <f ca="1">IF(SUM(OFFSET(K$9,1,0):OFFSET(K40,-1,0))=0,IF(COUNTA(OFFSET(K$9,1,0):OFFSET(K40,-1,0))=0,"Очікую",0),IF(COUNTIF(OFFSET(K$9,1,0):OFFSET(K40,-1,0),"&gt;=7")=0,0,COUNTIF(OFFSET(K$9,1,0):OFFSET(K40,-1,0),"&gt;=7")/OFFSET($D40,-1,0)*100))</f>
        <v>50</v>
      </c>
      <c r="L42" s="11">
        <f ca="1">IF(SUM(OFFSET(L$9,1,0):OFFSET(L40,-1,0))=0,IF(COUNTA(OFFSET(L$9,1,0):OFFSET(L40,-1,0))=0,"Очікую",0),IF(COUNTIF(OFFSET(L$9,1,0):OFFSET(L40,-1,0),"&gt;=7")=0,0,COUNTIF(OFFSET(L$9,1,0):OFFSET(L40,-1,0),"&gt;=7")/OFFSET($D40,-1,0)*100))</f>
        <v>60</v>
      </c>
      <c r="M42" s="11">
        <f ca="1">IF(SUM(OFFSET(M$9,1,0):OFFSET(M40,-1,0))=0,IF(COUNTA(OFFSET(M$9,1,0):OFFSET(M40,-1,0))=0,"Очікую",0),IF(COUNTIF(OFFSET(M$9,1,0):OFFSET(M40,-1,0),"&gt;=7")=0,0,COUNTIF(OFFSET(M$9,1,0):OFFSET(M40,-1,0),"&gt;=7")/OFFSET($D40,-1,0)*100))</f>
        <v>63.333333333333329</v>
      </c>
      <c r="N42" s="11">
        <f ca="1">IF(SUM(OFFSET(N$9,1,0):OFFSET(N40,-1,0))=0,IF(COUNTA(OFFSET(N$9,1,0):OFFSET(N40,-1,0))=0,"Очікую",0),IF(COUNTIF(OFFSET(N$9,1,0):OFFSET(N40,-1,0),"&gt;=7")=0,0,COUNTIF(OFFSET(N$9,1,0):OFFSET(N40,-1,0),"&gt;=7")/OFFSET($D40,-1,0)*100))</f>
        <v>53.333333333333336</v>
      </c>
      <c r="O42" s="11">
        <f ca="1">IF(SUM(OFFSET(O$9,1,0):OFFSET(O40,-1,0))=0,IF(COUNTA(OFFSET(O$9,1,0):OFFSET(O40,-1,0))=0,"Очікую",0),IF(COUNTIF(OFFSET(O$9,1,0):OFFSET(O40,-1,0),"&gt;=7")=0,0,COUNTIF(OFFSET(O$9,1,0):OFFSET(O40,-1,0),"&gt;=7")/OFFSET($D40,-1,0)*100))</f>
        <v>80</v>
      </c>
      <c r="P42" s="11">
        <f ca="1">IF(SUM(OFFSET(P$9,1,0):OFFSET(P40,-1,0))=0,IF(COUNTA(OFFSET(P$9,1,0):OFFSET(P40,-1,0))=0,"Очікую",0),IF(COUNTIF(OFFSET(P$9,1,0):OFFSET(P40,-1,0),"&gt;=7")=0,0,COUNTIF(OFFSET(P$9,1,0):OFFSET(P40,-1,0),"&gt;=7")/OFFSET($D40,-1,0)*100))</f>
        <v>70</v>
      </c>
      <c r="Q42" s="11">
        <f ca="1">IF(SUM(OFFSET(Q$9,1,0):OFFSET(Q40,-1,0))=0,IF(COUNTA(OFFSET(Q$9,1,0):OFFSET(Q40,-1,0))=0,"Очікую",0),IF(COUNTIF(OFFSET(Q$9,1,0):OFFSET(Q40,-1,0),"&gt;=7")=0,0,COUNTIF(OFFSET(Q$9,1,0):OFFSET(Q40,-1,0),"&gt;=7")/OFFSET($D40,-1,0)*100))</f>
        <v>63.333333333333329</v>
      </c>
      <c r="R42" s="11">
        <f ca="1">IF(SUM(OFFSET(R$9,1,0):OFFSET(R40,-1,0))=0,IF(COUNTA(OFFSET(R$9,1,0):OFFSET(R40,-1,0))=0,"Очікую",0),IF(COUNTIF(OFFSET(R$9,1,0):OFFSET(R40,-1,0),"&gt;=7")=0,0,COUNTIF(OFFSET(R$9,1,0):OFFSET(R40,-1,0),"&gt;=7")/OFFSET($D40,-1,0)*100))</f>
        <v>50</v>
      </c>
      <c r="S42" s="11">
        <f ca="1">IF(SUM(OFFSET(S$9,1,0):OFFSET(S40,-1,0))=0,IF(COUNTA(OFFSET(S$9,1,0):OFFSET(S40,-1,0))=0,"Очікую",0),IF(COUNTIF(OFFSET(S$9,1,0):OFFSET(S40,-1,0),"&gt;=7")=0,0,COUNTIF(OFFSET(S$9,1,0):OFFSET(S40,-1,0),"&gt;=7")/OFFSET($D40,-1,0)*100))</f>
        <v>80</v>
      </c>
      <c r="T42" s="11">
        <f ca="1">IF(SUM(OFFSET(T$9,1,0):OFFSET(T40,-1,0))=0,IF(COUNTA(OFFSET(T$9,1,0):OFFSET(T40,-1,0))=0,"Очікую",0),IF(COUNTIF(OFFSET(T$9,1,0):OFFSET(T40,-1,0),"&gt;=7")=0,0,COUNTIF(OFFSET(T$9,1,0):OFFSET(T40,-1,0),"&gt;=7")/OFFSET($D40,-1,0)*100))</f>
        <v>73.333333333333329</v>
      </c>
      <c r="U42" s="7"/>
      <c r="V42" s="24"/>
      <c r="W42" s="22"/>
    </row>
    <row r="43" spans="1:23" ht="15" customHeight="1" x14ac:dyDescent="0.25">
      <c r="A43" s="13"/>
      <c r="B43" s="15"/>
      <c r="C43" s="7"/>
      <c r="D43" s="7"/>
      <c r="E43" s="8" t="s">
        <v>13</v>
      </c>
      <c r="F43" s="9">
        <f ca="1">IFERROR(AVERAGE(OFFSET(E41,0,1):OFFSET(U41,0,-1)),"Очікую")</f>
        <v>96.444444444444471</v>
      </c>
      <c r="G43" s="7"/>
      <c r="H43" s="7"/>
      <c r="I43" s="7"/>
      <c r="J43" s="7"/>
      <c r="K43" s="7"/>
      <c r="L43" s="7"/>
      <c r="M43" s="7"/>
      <c r="N43" s="7"/>
      <c r="O43" s="7"/>
      <c r="P43" s="7"/>
      <c r="Q43" s="7"/>
      <c r="R43" s="7"/>
      <c r="S43" s="7"/>
      <c r="T43" s="7"/>
      <c r="U43" s="7"/>
      <c r="V43" s="24"/>
      <c r="W43" s="22"/>
    </row>
    <row r="44" spans="1:23" ht="15" customHeight="1" x14ac:dyDescent="0.25">
      <c r="A44" s="13"/>
      <c r="B44" s="15"/>
      <c r="C44" s="7"/>
      <c r="D44" s="7"/>
      <c r="E44" s="8" t="s">
        <v>14</v>
      </c>
      <c r="F44" s="9">
        <f ca="1">IFERROR(AVERAGE(OFFSET(E42,0,1):OFFSET(U42,0,-1)),"Очікую")</f>
        <v>63.555555555555557</v>
      </c>
      <c r="G44" s="7"/>
      <c r="H44" s="7"/>
      <c r="I44" s="7"/>
      <c r="J44" s="7"/>
      <c r="K44" s="7"/>
      <c r="L44" s="7"/>
      <c r="M44" s="7"/>
      <c r="N44" s="7"/>
      <c r="O44" s="7"/>
      <c r="P44" s="7"/>
      <c r="Q44" s="7"/>
      <c r="R44" s="7"/>
      <c r="S44" s="7"/>
      <c r="T44" s="7"/>
      <c r="U44" s="7"/>
      <c r="V44" s="24"/>
      <c r="W44" s="22"/>
    </row>
    <row r="45" spans="1:23" ht="15" customHeight="1" x14ac:dyDescent="0.25">
      <c r="A45" s="13"/>
      <c r="B45" s="15"/>
      <c r="C45" s="7"/>
      <c r="D45" s="7"/>
      <c r="E45" s="8" t="s">
        <v>15</v>
      </c>
      <c r="F45" s="6">
        <f ca="1">IF(COUNTIF(OFFSET(C$9,1,0):OFFSET(C40,-1,0),"=Б")=0,IF(COUNTIF(OFFSET(C$9,1,0):OFFSET(C40,-1,0),"=К")=0,"Очікую",0),COUNTIF(OFFSET(C$9,1,0):OFFSET(C40,-1,0),"=Б"))</f>
        <v>14</v>
      </c>
      <c r="G45" s="7"/>
      <c r="H45" s="7"/>
      <c r="I45" s="12"/>
      <c r="J45" s="7"/>
      <c r="K45" s="7"/>
      <c r="L45" s="7"/>
      <c r="M45" s="7"/>
      <c r="N45" s="7"/>
      <c r="O45" s="7"/>
      <c r="P45" s="7"/>
      <c r="Q45" s="30"/>
      <c r="R45" s="12"/>
      <c r="S45" s="7"/>
      <c r="T45" s="7"/>
      <c r="U45" s="7"/>
      <c r="V45" s="24"/>
      <c r="W45" s="22"/>
    </row>
    <row r="46" spans="1:23" ht="15" customHeight="1" x14ac:dyDescent="0.25">
      <c r="A46" s="13"/>
      <c r="B46" s="15"/>
      <c r="C46" s="7"/>
      <c r="D46" s="7"/>
      <c r="E46" s="8" t="s">
        <v>16</v>
      </c>
      <c r="F46" s="6">
        <f ca="1">IF(COUNTIF(OFFSET(C$9,1,0):OFFSET(C40,-1,0),"=К")=0,IF(COUNTIF(OFFSET(C$9,1,0):OFFSET(C40,-1,0),"=Б")=0,"Очікую",0),COUNTIF(OFFSET(C$9,1,0):OFFSET(C40,-1,0),"=К"))</f>
        <v>16</v>
      </c>
      <c r="G46" s="7"/>
      <c r="H46" s="7"/>
      <c r="I46" s="12" t="s">
        <v>17</v>
      </c>
      <c r="J46" s="7"/>
      <c r="K46" s="7"/>
      <c r="L46" s="7"/>
      <c r="M46" s="7"/>
      <c r="N46" s="7"/>
      <c r="O46" s="7"/>
      <c r="P46" s="7"/>
      <c r="Q46" s="30" t="s">
        <v>92</v>
      </c>
      <c r="R46" s="12"/>
      <c r="S46" s="7"/>
      <c r="T46" s="7"/>
      <c r="U46" s="7"/>
      <c r="V46" s="24"/>
      <c r="W46" s="22"/>
    </row>
    <row r="47" spans="1:23" ht="15" customHeight="1" x14ac:dyDescent="0.25">
      <c r="A47" s="13"/>
      <c r="B47" s="15"/>
      <c r="C47" s="7"/>
      <c r="D47" s="7"/>
      <c r="E47" s="8" t="s">
        <v>18</v>
      </c>
      <c r="F47" s="4"/>
      <c r="G47" s="7"/>
      <c r="H47" s="7"/>
      <c r="I47" s="12"/>
      <c r="J47" s="7"/>
      <c r="K47" s="7"/>
      <c r="L47" s="7"/>
      <c r="M47" s="7"/>
      <c r="N47" s="7"/>
      <c r="O47" s="7"/>
      <c r="P47" s="7"/>
      <c r="Q47" s="12"/>
      <c r="R47" s="12"/>
      <c r="S47" s="7"/>
      <c r="T47" s="7"/>
      <c r="U47" s="7"/>
      <c r="V47" s="24"/>
      <c r="W47" s="22"/>
    </row>
    <row r="48" spans="1:23" ht="15" customHeight="1" x14ac:dyDescent="0.25">
      <c r="A48" s="13"/>
      <c r="B48" s="15"/>
      <c r="C48" s="7"/>
      <c r="D48" s="7"/>
      <c r="E48" s="8" t="s">
        <v>19</v>
      </c>
      <c r="F48" s="6">
        <f ca="1">IF(F45="Очікую","Очікую",IF(F45-COUNTIF(OFFSET(U$8,1,0):OFFSET(U40,-1,0)," - ")&lt;ROUNDDOWN(F45*0.4,0),F45-COUNTIF(OFFSET(U$8,1,0):OFFSET(U40,-1,0)," - "),ROUNDDOWN(F45*0.4,0)))</f>
        <v>5</v>
      </c>
      <c r="G48" s="7"/>
      <c r="H48" s="7"/>
      <c r="I48" s="30" t="s">
        <v>20</v>
      </c>
      <c r="J48" s="7"/>
      <c r="K48" s="7"/>
      <c r="L48" s="7"/>
      <c r="M48" s="7"/>
      <c r="N48" s="7"/>
      <c r="O48" s="7"/>
      <c r="P48" s="7"/>
      <c r="Q48" s="30" t="s">
        <v>21</v>
      </c>
      <c r="R48" s="7"/>
      <c r="S48" s="7"/>
      <c r="T48" s="7"/>
      <c r="U48" s="7"/>
      <c r="V48" s="24"/>
      <c r="W48" s="22"/>
    </row>
    <row r="49" spans="1:23" ht="12" customHeight="1" thickBot="1" x14ac:dyDescent="0.3">
      <c r="A49" s="13"/>
      <c r="B49" s="25"/>
      <c r="C49" s="17"/>
      <c r="D49" s="17"/>
      <c r="E49" s="17"/>
      <c r="F49" s="17"/>
      <c r="G49" s="17"/>
      <c r="H49" s="17"/>
      <c r="I49" s="17"/>
      <c r="J49" s="17"/>
      <c r="K49" s="17"/>
      <c r="L49" s="17"/>
      <c r="M49" s="17"/>
      <c r="N49" s="17"/>
      <c r="O49" s="17"/>
      <c r="P49" s="17"/>
      <c r="Q49" s="17"/>
      <c r="R49" s="17"/>
      <c r="S49" s="17"/>
      <c r="T49" s="17"/>
      <c r="U49" s="17"/>
      <c r="V49" s="18"/>
      <c r="W49" s="22"/>
    </row>
    <row r="50" spans="1:23" ht="12" customHeight="1" x14ac:dyDescent="0.25">
      <c r="A50" s="19"/>
      <c r="B50" s="19"/>
      <c r="C50" s="19"/>
      <c r="D50" s="19"/>
      <c r="E50" s="19"/>
      <c r="F50" s="19"/>
      <c r="G50" s="19"/>
      <c r="H50" s="19"/>
      <c r="I50" s="19"/>
      <c r="J50" s="19"/>
      <c r="K50" s="19"/>
      <c r="L50" s="19"/>
      <c r="M50" s="19"/>
      <c r="N50" s="19"/>
      <c r="O50" s="19"/>
      <c r="P50" s="19"/>
      <c r="Q50" s="19"/>
      <c r="R50" s="19"/>
      <c r="S50" s="19"/>
      <c r="T50" s="19"/>
      <c r="U50" s="19"/>
      <c r="V50" s="19"/>
      <c r="W50" s="22"/>
    </row>
  </sheetData>
  <sheetProtection insertRows="0" deleteRows="0"/>
  <mergeCells count="10">
    <mergeCell ref="C8:C9"/>
    <mergeCell ref="D8:D9"/>
    <mergeCell ref="E8:E9"/>
    <mergeCell ref="C3:U3"/>
    <mergeCell ref="C4:U4"/>
    <mergeCell ref="C5:U5"/>
    <mergeCell ref="C6:U6"/>
    <mergeCell ref="C7:U7"/>
    <mergeCell ref="F8:T8"/>
    <mergeCell ref="U8:U9"/>
  </mergeCells>
  <printOptions horizontalCentered="1"/>
  <pageMargins left="0.19685039370078741" right="0.19685039370078741" top="0.19685039370078741" bottom="0.19685039370078741" header="0" footer="0"/>
  <pageSetup paperSize="9" scale="76"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BJ27"/>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0" width="6.7109375" style="1" customWidth="1"/>
    <col min="21" max="21" width="11.28515625" style="1" customWidth="1"/>
    <col min="22" max="23" width="2.7109375" style="1" customWidth="1"/>
    <col min="24" max="29" width="14.42578125" style="1" hidden="1" customWidth="1"/>
    <col min="30" max="30" width="14.85546875" style="1" hidden="1" customWidth="1"/>
    <col min="31" max="44" width="3.7109375" style="1" hidden="1" customWidth="1"/>
    <col min="45" max="61" width="5.7109375" style="1" hidden="1" customWidth="1"/>
    <col min="62" max="62" width="5.7109375" style="1" hidden="1"/>
    <col min="63" max="16384" width="14.42578125" style="1" hidden="1"/>
  </cols>
  <sheetData>
    <row r="1" spans="1:23" ht="12" customHeight="1" thickBot="1" x14ac:dyDescent="0.3">
      <c r="A1" s="35" t="s">
        <v>47</v>
      </c>
      <c r="B1" s="19"/>
      <c r="C1" s="19"/>
      <c r="D1" s="19"/>
      <c r="E1" s="19"/>
      <c r="F1" s="19"/>
      <c r="G1" s="19"/>
      <c r="H1" s="19"/>
      <c r="I1" s="19"/>
      <c r="J1" s="19"/>
      <c r="K1" s="19"/>
      <c r="L1" s="19"/>
      <c r="M1" s="19"/>
      <c r="N1" s="19"/>
      <c r="O1" s="19"/>
      <c r="P1" s="19"/>
      <c r="Q1" s="19"/>
      <c r="R1" s="19"/>
      <c r="S1" s="19"/>
      <c r="T1" s="19"/>
      <c r="U1" s="19"/>
      <c r="V1" s="19"/>
      <c r="W1" s="19"/>
    </row>
    <row r="2" spans="1:23" ht="12" customHeight="1" x14ac:dyDescent="0.25">
      <c r="A2" s="13"/>
      <c r="B2" s="20"/>
      <c r="C2" s="21"/>
      <c r="D2" s="21"/>
      <c r="E2" s="21"/>
      <c r="F2" s="21"/>
      <c r="G2" s="21"/>
      <c r="H2" s="21"/>
      <c r="I2" s="21"/>
      <c r="J2" s="21"/>
      <c r="K2" s="21"/>
      <c r="L2" s="21"/>
      <c r="M2" s="21"/>
      <c r="N2" s="21"/>
      <c r="O2" s="21"/>
      <c r="P2" s="21"/>
      <c r="Q2" s="21"/>
      <c r="R2" s="21"/>
      <c r="S2" s="21"/>
      <c r="T2" s="21"/>
      <c r="U2" s="21"/>
      <c r="V2" s="23"/>
      <c r="W2" s="22"/>
    </row>
    <row r="3" spans="1:23" s="2" customFormat="1" ht="54.95" customHeight="1" x14ac:dyDescent="0.3">
      <c r="A3" s="13"/>
      <c r="B3" s="15"/>
      <c r="C3" s="54" t="s">
        <v>48</v>
      </c>
      <c r="D3" s="54"/>
      <c r="E3" s="54"/>
      <c r="F3" s="54"/>
      <c r="G3" s="54"/>
      <c r="H3" s="54"/>
      <c r="I3" s="54"/>
      <c r="J3" s="54"/>
      <c r="K3" s="54"/>
      <c r="L3" s="54"/>
      <c r="M3" s="54"/>
      <c r="N3" s="54"/>
      <c r="O3" s="54"/>
      <c r="P3" s="54"/>
      <c r="Q3" s="54"/>
      <c r="R3" s="54"/>
      <c r="S3" s="54"/>
      <c r="T3" s="54"/>
      <c r="U3" s="54"/>
      <c r="V3" s="24"/>
      <c r="W3" s="22"/>
    </row>
    <row r="4" spans="1:23" s="3" customFormat="1" ht="15" customHeight="1" x14ac:dyDescent="0.25">
      <c r="A4" s="13"/>
      <c r="B4" s="15"/>
      <c r="C4" s="55" t="s">
        <v>22</v>
      </c>
      <c r="D4" s="55"/>
      <c r="E4" s="55"/>
      <c r="F4" s="55"/>
      <c r="G4" s="55"/>
      <c r="H4" s="55"/>
      <c r="I4" s="55"/>
      <c r="J4" s="55"/>
      <c r="K4" s="55"/>
      <c r="L4" s="55"/>
      <c r="M4" s="55"/>
      <c r="N4" s="55"/>
      <c r="O4" s="55"/>
      <c r="P4" s="55"/>
      <c r="Q4" s="55"/>
      <c r="R4" s="55"/>
      <c r="S4" s="55"/>
      <c r="T4" s="55"/>
      <c r="U4" s="55"/>
      <c r="V4" s="24"/>
      <c r="W4" s="22"/>
    </row>
    <row r="5" spans="1:23" s="2" customFormat="1" ht="15" customHeight="1" x14ac:dyDescent="0.25">
      <c r="A5" s="13"/>
      <c r="B5" s="15"/>
      <c r="C5" s="64" t="s">
        <v>102</v>
      </c>
      <c r="D5" s="64"/>
      <c r="E5" s="64"/>
      <c r="F5" s="64"/>
      <c r="G5" s="64"/>
      <c r="H5" s="64"/>
      <c r="I5" s="64"/>
      <c r="J5" s="64"/>
      <c r="K5" s="64"/>
      <c r="L5" s="64"/>
      <c r="M5" s="64"/>
      <c r="N5" s="64"/>
      <c r="O5" s="64"/>
      <c r="P5" s="64"/>
      <c r="Q5" s="64"/>
      <c r="R5" s="64"/>
      <c r="S5" s="64"/>
      <c r="T5" s="64"/>
      <c r="U5" s="64"/>
      <c r="V5" s="24"/>
      <c r="W5" s="22"/>
    </row>
    <row r="6" spans="1:23" s="2" customFormat="1" ht="15" customHeight="1" x14ac:dyDescent="0.25">
      <c r="A6" s="13"/>
      <c r="B6" s="15"/>
      <c r="C6" s="64" t="s">
        <v>89</v>
      </c>
      <c r="D6" s="64"/>
      <c r="E6" s="64"/>
      <c r="F6" s="64"/>
      <c r="G6" s="64"/>
      <c r="H6" s="64"/>
      <c r="I6" s="64"/>
      <c r="J6" s="64"/>
      <c r="K6" s="64"/>
      <c r="L6" s="64"/>
      <c r="M6" s="64"/>
      <c r="N6" s="64"/>
      <c r="O6" s="64"/>
      <c r="P6" s="64"/>
      <c r="Q6" s="64"/>
      <c r="R6" s="64"/>
      <c r="S6" s="64"/>
      <c r="T6" s="64"/>
      <c r="U6" s="64"/>
      <c r="V6" s="24"/>
      <c r="W6" s="22"/>
    </row>
    <row r="7" spans="1:23" s="2" customFormat="1" ht="15" customHeight="1" x14ac:dyDescent="0.25">
      <c r="A7" s="13"/>
      <c r="B7" s="15"/>
      <c r="C7" s="63" t="s">
        <v>90</v>
      </c>
      <c r="D7" s="63"/>
      <c r="E7" s="63"/>
      <c r="F7" s="63"/>
      <c r="G7" s="63"/>
      <c r="H7" s="63"/>
      <c r="I7" s="63"/>
      <c r="J7" s="63"/>
      <c r="K7" s="63"/>
      <c r="L7" s="63"/>
      <c r="M7" s="63"/>
      <c r="N7" s="63"/>
      <c r="O7" s="63"/>
      <c r="P7" s="63"/>
      <c r="Q7" s="63"/>
      <c r="R7" s="63"/>
      <c r="S7" s="63"/>
      <c r="T7" s="63"/>
      <c r="U7" s="63"/>
      <c r="V7" s="24"/>
      <c r="W7" s="22"/>
    </row>
    <row r="8" spans="1:23" ht="15" customHeight="1" x14ac:dyDescent="0.25">
      <c r="A8" s="13"/>
      <c r="B8" s="15"/>
      <c r="C8" s="51" t="s">
        <v>0</v>
      </c>
      <c r="D8" s="53" t="s">
        <v>1</v>
      </c>
      <c r="E8" s="53" t="s">
        <v>2</v>
      </c>
      <c r="F8" s="58" t="s">
        <v>25</v>
      </c>
      <c r="G8" s="59"/>
      <c r="H8" s="59"/>
      <c r="I8" s="59"/>
      <c r="J8" s="59"/>
      <c r="K8" s="59"/>
      <c r="L8" s="59"/>
      <c r="M8" s="59"/>
      <c r="N8" s="59"/>
      <c r="O8" s="59"/>
      <c r="P8" s="59"/>
      <c r="Q8" s="59"/>
      <c r="R8" s="59"/>
      <c r="S8" s="59"/>
      <c r="T8" s="60"/>
      <c r="U8" s="61" t="s">
        <v>8</v>
      </c>
      <c r="V8" s="24"/>
      <c r="W8" s="22"/>
    </row>
    <row r="9" spans="1:23" ht="125.1" customHeight="1" x14ac:dyDescent="0.25">
      <c r="A9" s="13"/>
      <c r="B9" s="15"/>
      <c r="C9" s="52"/>
      <c r="D9" s="52"/>
      <c r="E9" s="52"/>
      <c r="F9" s="16" t="s">
        <v>35</v>
      </c>
      <c r="G9" s="16" t="s">
        <v>3</v>
      </c>
      <c r="H9" s="16" t="s">
        <v>4</v>
      </c>
      <c r="I9" s="16" t="s">
        <v>5</v>
      </c>
      <c r="J9" s="16" t="s">
        <v>23</v>
      </c>
      <c r="K9" s="16" t="s">
        <v>28</v>
      </c>
      <c r="L9" s="16" t="s">
        <v>29</v>
      </c>
      <c r="M9" s="16" t="s">
        <v>30</v>
      </c>
      <c r="N9" s="16" t="s">
        <v>6</v>
      </c>
      <c r="O9" s="16" t="s">
        <v>24</v>
      </c>
      <c r="P9" s="16" t="s">
        <v>31</v>
      </c>
      <c r="Q9" s="16" t="s">
        <v>32</v>
      </c>
      <c r="R9" s="16" t="s">
        <v>7</v>
      </c>
      <c r="S9" s="16" t="s">
        <v>33</v>
      </c>
      <c r="T9" s="16" t="s">
        <v>34</v>
      </c>
      <c r="U9" s="62"/>
      <c r="V9" s="24"/>
      <c r="W9" s="22"/>
    </row>
    <row r="10" spans="1:23" s="14" customFormat="1" ht="15" customHeight="1" x14ac:dyDescent="0.25">
      <c r="A10" s="13"/>
      <c r="B10" s="15"/>
      <c r="C10" s="45" t="s">
        <v>9</v>
      </c>
      <c r="D10" s="45">
        <v>1</v>
      </c>
      <c r="E10" s="48" t="s">
        <v>100</v>
      </c>
      <c r="F10" s="49">
        <v>5</v>
      </c>
      <c r="G10" s="49">
        <v>8</v>
      </c>
      <c r="H10" s="49">
        <v>7</v>
      </c>
      <c r="I10" s="49">
        <v>8</v>
      </c>
      <c r="J10" s="49">
        <v>8</v>
      </c>
      <c r="K10" s="49">
        <v>6</v>
      </c>
      <c r="L10" s="49">
        <v>4</v>
      </c>
      <c r="M10" s="49">
        <v>5</v>
      </c>
      <c r="N10" s="49">
        <v>5</v>
      </c>
      <c r="O10" s="49">
        <v>8</v>
      </c>
      <c r="P10" s="49">
        <v>6</v>
      </c>
      <c r="Q10" s="49">
        <v>6</v>
      </c>
      <c r="R10" s="49">
        <v>5</v>
      </c>
      <c r="S10" s="49">
        <v>7</v>
      </c>
      <c r="T10" s="49">
        <v>10</v>
      </c>
      <c r="U10" s="42">
        <f ca="1">IF(COUNTIF(OFFSET($E10,0,1):OFFSET(U10,0,-1),"=*")&gt;0,IF($C10="К","-"," - "),IF(COUNTIF(OFFSET($E10,0,1):OFFSET(U10,0,-1),"&lt;4")&gt;0,IF(C10="К","-"," - "),(IFERROR(AVERAGE(OFFSET($E10,0,1):OFFSET(U10,0,-1)),"Очікую"))))</f>
        <v>6.5333333333333332</v>
      </c>
      <c r="V10" s="26"/>
      <c r="W10" s="22"/>
    </row>
    <row r="11" spans="1:23" s="14" customFormat="1" ht="15" customHeight="1" x14ac:dyDescent="0.25">
      <c r="A11" s="13"/>
      <c r="B11" s="15"/>
      <c r="C11" s="45" t="s">
        <v>9</v>
      </c>
      <c r="D11" s="45">
        <v>2</v>
      </c>
      <c r="E11" s="48" t="s">
        <v>96</v>
      </c>
      <c r="F11" s="49">
        <v>9</v>
      </c>
      <c r="G11" s="49">
        <v>8</v>
      </c>
      <c r="H11" s="49">
        <v>6</v>
      </c>
      <c r="I11" s="49">
        <v>9</v>
      </c>
      <c r="J11" s="49">
        <v>11</v>
      </c>
      <c r="K11" s="49">
        <v>4</v>
      </c>
      <c r="L11" s="49">
        <v>4</v>
      </c>
      <c r="M11" s="49">
        <v>8</v>
      </c>
      <c r="N11" s="49">
        <v>11</v>
      </c>
      <c r="O11" s="49">
        <v>9</v>
      </c>
      <c r="P11" s="49">
        <v>10</v>
      </c>
      <c r="Q11" s="49">
        <v>7</v>
      </c>
      <c r="R11" s="49">
        <v>9</v>
      </c>
      <c r="S11" s="49">
        <v>10</v>
      </c>
      <c r="T11" s="49">
        <v>9</v>
      </c>
      <c r="U11" s="42">
        <f ca="1">IF(COUNTIF(OFFSET($E11,0,1):OFFSET(U11,0,-1),"=*")&gt;0,IF($C11="К","-"," - "),IF(COUNTIF(OFFSET($E11,0,1):OFFSET(U11,0,-1),"&lt;4")&gt;0,IF(C11="К","-"," - "),(IFERROR(AVERAGE(OFFSET($E11,0,1):OFFSET(U11,0,-1)),"Очікую"))))</f>
        <v>8.2666666666666675</v>
      </c>
      <c r="V11" s="26"/>
      <c r="W11" s="22"/>
    </row>
    <row r="12" spans="1:23" s="14" customFormat="1" ht="15" customHeight="1" x14ac:dyDescent="0.25">
      <c r="A12" s="13"/>
      <c r="B12" s="15"/>
      <c r="C12" s="45" t="s">
        <v>9</v>
      </c>
      <c r="D12" s="45">
        <v>3</v>
      </c>
      <c r="E12" s="48" t="s">
        <v>99</v>
      </c>
      <c r="F12" s="49">
        <v>4</v>
      </c>
      <c r="G12" s="49">
        <v>8</v>
      </c>
      <c r="H12" s="49">
        <v>6</v>
      </c>
      <c r="I12" s="49">
        <v>5</v>
      </c>
      <c r="J12" s="49">
        <v>11</v>
      </c>
      <c r="K12" s="49">
        <v>7</v>
      </c>
      <c r="L12" s="49">
        <v>7</v>
      </c>
      <c r="M12" s="49">
        <v>6</v>
      </c>
      <c r="N12" s="49">
        <v>10</v>
      </c>
      <c r="O12" s="49">
        <v>7</v>
      </c>
      <c r="P12" s="49">
        <v>6</v>
      </c>
      <c r="Q12" s="49">
        <v>6</v>
      </c>
      <c r="R12" s="49">
        <v>4</v>
      </c>
      <c r="S12" s="49">
        <v>6</v>
      </c>
      <c r="T12" s="49">
        <v>6</v>
      </c>
      <c r="U12" s="42">
        <f ca="1">IF(COUNTIF(OFFSET($E12,0,1):OFFSET(U12,0,-1),"=*")&gt;0,IF($C12="К","-"," - "),IF(COUNTIF(OFFSET($E12,0,1):OFFSET(U12,0,-1),"&lt;4")&gt;0,IF(C12="К","-"," - "),(IFERROR(AVERAGE(OFFSET($E12,0,1):OFFSET(U12,0,-1)),"Очікую"))))</f>
        <v>6.6</v>
      </c>
      <c r="V12" s="26"/>
      <c r="W12" s="22"/>
    </row>
    <row r="13" spans="1:23" s="14" customFormat="1" ht="15" customHeight="1" x14ac:dyDescent="0.25">
      <c r="A13" s="13"/>
      <c r="B13" s="15"/>
      <c r="C13" s="45" t="s">
        <v>9</v>
      </c>
      <c r="D13" s="45">
        <v>4</v>
      </c>
      <c r="E13" s="48" t="s">
        <v>97</v>
      </c>
      <c r="F13" s="49">
        <v>6</v>
      </c>
      <c r="G13" s="49">
        <v>7</v>
      </c>
      <c r="H13" s="49">
        <v>10</v>
      </c>
      <c r="I13" s="49">
        <v>10</v>
      </c>
      <c r="J13" s="49">
        <v>4</v>
      </c>
      <c r="K13" s="49">
        <v>8</v>
      </c>
      <c r="L13" s="49">
        <v>7</v>
      </c>
      <c r="M13" s="49">
        <v>8</v>
      </c>
      <c r="N13" s="49">
        <v>5</v>
      </c>
      <c r="O13" s="49">
        <v>10</v>
      </c>
      <c r="P13" s="49">
        <v>10</v>
      </c>
      <c r="Q13" s="49">
        <v>9</v>
      </c>
      <c r="R13" s="49">
        <v>6</v>
      </c>
      <c r="S13" s="49">
        <v>11</v>
      </c>
      <c r="T13" s="49">
        <v>6</v>
      </c>
      <c r="U13" s="42">
        <f ca="1">IF(COUNTIF(OFFSET($E13,0,1):OFFSET(U13,0,-1),"=*")&gt;0,IF($C13="К","-"," - "),IF(COUNTIF(OFFSET($E13,0,1):OFFSET(U13,0,-1),"&lt;4")&gt;0,IF(C13="К","-"," - "),(IFERROR(AVERAGE(OFFSET($E13,0,1):OFFSET(U13,0,-1)),"Очікую"))))</f>
        <v>7.8</v>
      </c>
      <c r="V13" s="26"/>
      <c r="W13" s="22"/>
    </row>
    <row r="14" spans="1:23" s="14" customFormat="1" ht="15" customHeight="1" x14ac:dyDescent="0.25">
      <c r="A14" s="13"/>
      <c r="B14" s="15"/>
      <c r="C14" s="45" t="s">
        <v>9</v>
      </c>
      <c r="D14" s="45">
        <v>5</v>
      </c>
      <c r="E14" s="48" t="s">
        <v>98</v>
      </c>
      <c r="F14" s="49">
        <v>6</v>
      </c>
      <c r="G14" s="49">
        <v>9</v>
      </c>
      <c r="H14" s="49">
        <v>9</v>
      </c>
      <c r="I14" s="49">
        <v>8</v>
      </c>
      <c r="J14" s="49">
        <v>6</v>
      </c>
      <c r="K14" s="49">
        <v>10</v>
      </c>
      <c r="L14" s="49">
        <v>11</v>
      </c>
      <c r="M14" s="49">
        <v>6</v>
      </c>
      <c r="N14" s="49">
        <v>11</v>
      </c>
      <c r="O14" s="49">
        <v>7</v>
      </c>
      <c r="P14" s="49">
        <v>7</v>
      </c>
      <c r="Q14" s="49">
        <v>10</v>
      </c>
      <c r="R14" s="49">
        <v>6</v>
      </c>
      <c r="S14" s="49">
        <v>7</v>
      </c>
      <c r="T14" s="49">
        <v>8</v>
      </c>
      <c r="U14" s="42">
        <f ca="1">IF(COUNTIF(OFFSET($E14,0,1):OFFSET(U14,0,-1),"=*")&gt;0,IF($C14="К","-"," - "),IF(COUNTIF(OFFSET($E14,0,1):OFFSET(U14,0,-1),"&lt;4")&gt;0,IF(C14="К","-"," - "),(IFERROR(AVERAGE(OFFSET($E14,0,1):OFFSET(U14,0,-1)),"Очікую"))))</f>
        <v>8.0666666666666664</v>
      </c>
      <c r="V14" s="26"/>
      <c r="W14" s="22"/>
    </row>
    <row r="15" spans="1:23" s="14" customFormat="1" ht="15" customHeight="1" x14ac:dyDescent="0.25">
      <c r="A15" s="13"/>
      <c r="B15" s="15"/>
      <c r="C15" s="45" t="s">
        <v>9</v>
      </c>
      <c r="D15" s="45">
        <v>6</v>
      </c>
      <c r="E15" s="48" t="s">
        <v>101</v>
      </c>
      <c r="F15" s="49">
        <v>10</v>
      </c>
      <c r="G15" s="49">
        <v>4</v>
      </c>
      <c r="H15" s="49">
        <v>4</v>
      </c>
      <c r="I15" s="49">
        <v>11</v>
      </c>
      <c r="J15" s="49">
        <v>8</v>
      </c>
      <c r="K15" s="49">
        <v>5</v>
      </c>
      <c r="L15" s="49">
        <v>10</v>
      </c>
      <c r="M15" s="49">
        <v>8</v>
      </c>
      <c r="N15" s="49">
        <v>5</v>
      </c>
      <c r="O15" s="49">
        <v>9</v>
      </c>
      <c r="P15" s="49">
        <v>6</v>
      </c>
      <c r="Q15" s="49">
        <v>4</v>
      </c>
      <c r="R15" s="49">
        <v>10</v>
      </c>
      <c r="S15" s="49">
        <v>8</v>
      </c>
      <c r="T15" s="49">
        <v>8</v>
      </c>
      <c r="U15" s="42">
        <f ca="1">IF(COUNTIF(OFFSET($E15,0,1):OFFSET(U15,0,-1),"=*")&gt;0,IF($C15="К","-"," - "),IF(COUNTIF(OFFSET($E15,0,1):OFFSET(U15,0,-1),"&lt;4")&gt;0,IF(C15="К","-"," - "),(IFERROR(AVERAGE(OFFSET($E15,0,1):OFFSET(U15,0,-1)),"Очікую"))))</f>
        <v>7.333333333333333</v>
      </c>
      <c r="V15" s="26"/>
      <c r="W15" s="22"/>
    </row>
    <row r="16" spans="1:23" s="14" customFormat="1" ht="15" customHeight="1" x14ac:dyDescent="0.25">
      <c r="A16" s="13"/>
      <c r="B16" s="15"/>
      <c r="C16" s="45" t="s">
        <v>9</v>
      </c>
      <c r="D16" s="45">
        <v>7</v>
      </c>
      <c r="E16" s="48" t="s">
        <v>95</v>
      </c>
      <c r="F16" s="49">
        <v>7</v>
      </c>
      <c r="G16" s="49">
        <v>4</v>
      </c>
      <c r="H16" s="49">
        <v>4</v>
      </c>
      <c r="I16" s="49" t="s">
        <v>46</v>
      </c>
      <c r="J16" s="49">
        <v>4</v>
      </c>
      <c r="K16" s="49">
        <v>8</v>
      </c>
      <c r="L16" s="49" t="s">
        <v>46</v>
      </c>
      <c r="M16" s="49">
        <v>6</v>
      </c>
      <c r="N16" s="49">
        <v>7</v>
      </c>
      <c r="O16" s="49">
        <v>10</v>
      </c>
      <c r="P16" s="49">
        <v>8</v>
      </c>
      <c r="Q16" s="49" t="s">
        <v>46</v>
      </c>
      <c r="R16" s="49">
        <v>7</v>
      </c>
      <c r="S16" s="49">
        <v>10</v>
      </c>
      <c r="T16" s="49">
        <v>11</v>
      </c>
      <c r="U16" s="42" t="str">
        <f ca="1">IF(COUNTIF(OFFSET($E16,0,1):OFFSET(U16,0,-1),"=*")&gt;0,IF($C16="К","-"," - "),IF(COUNTIF(OFFSET($E16,0,1):OFFSET(U16,0,-1),"&lt;4")&gt;0,IF(C16="К","-"," - "),(IFERROR(AVERAGE(OFFSET($E16,0,1):OFFSET(U16,0,-1)),"Очікую"))))</f>
        <v>-</v>
      </c>
      <c r="V16" s="26"/>
      <c r="W16" s="22"/>
    </row>
    <row r="17" spans="1:23" ht="15" customHeight="1" x14ac:dyDescent="0.25">
      <c r="A17" s="13"/>
      <c r="B17" s="15"/>
      <c r="C17" s="7"/>
      <c r="D17" s="7"/>
      <c r="E17" s="46" t="s">
        <v>10</v>
      </c>
      <c r="F17" s="47">
        <f ca="1">IF(SUM(OFFSET(F$9,1,0):OFFSET(F17,-1,0))=0,IF(COUNTA(OFFSET(F$9,1,0):OFFSET(F17,-1,0))=0,"Очікую",0),SUM(OFFSET(F$9,1,0):OFFSET(F17,-1,0))/OFFSET($D17,-1,0))</f>
        <v>6.7142857142857144</v>
      </c>
      <c r="G17" s="47">
        <f ca="1">IF(SUM(OFFSET(G$9,1,0):OFFSET(G17,-1,0))=0,IF(COUNTA(OFFSET(G$9,1,0):OFFSET(G17,-1,0))=0,"Очікую",0),SUM(OFFSET(G$9,1,0):OFFSET(G17,-1,0))/OFFSET($D17,-1,0))</f>
        <v>6.8571428571428568</v>
      </c>
      <c r="H17" s="47">
        <f ca="1">IF(SUM(OFFSET(H$9,1,0):OFFSET(H17,-1,0))=0,IF(COUNTA(OFFSET(H$9,1,0):OFFSET(H17,-1,0))=0,"Очікую",0),SUM(OFFSET(H$9,1,0):OFFSET(H17,-1,0))/OFFSET($D17,-1,0))</f>
        <v>6.5714285714285712</v>
      </c>
      <c r="I17" s="47">
        <f ca="1">IF(SUM(OFFSET(I$9,1,0):OFFSET(I17,-1,0))=0,IF(COUNTA(OFFSET(I$9,1,0):OFFSET(I17,-1,0))=0,"Очікую",0),SUM(OFFSET(I$9,1,0):OFFSET(I17,-1,0))/OFFSET($D17,-1,0))</f>
        <v>7.2857142857142856</v>
      </c>
      <c r="J17" s="47">
        <f ca="1">IF(SUM(OFFSET(J$9,1,0):OFFSET(J17,-1,0))=0,IF(COUNTA(OFFSET(J$9,1,0):OFFSET(J17,-1,0))=0,"Очікую",0),SUM(OFFSET(J$9,1,0):OFFSET(J17,-1,0))/OFFSET($D17,-1,0))</f>
        <v>7.4285714285714288</v>
      </c>
      <c r="K17" s="47">
        <f ca="1">IF(SUM(OFFSET(K$9,1,0):OFFSET(K17,-1,0))=0,IF(COUNTA(OFFSET(K$9,1,0):OFFSET(K17,-1,0))=0,"Очікую",0),SUM(OFFSET(K$9,1,0):OFFSET(K17,-1,0))/OFFSET($D17,-1,0))</f>
        <v>6.8571428571428568</v>
      </c>
      <c r="L17" s="47">
        <f ca="1">IF(SUM(OFFSET(L$9,1,0):OFFSET(L17,-1,0))=0,IF(COUNTA(OFFSET(L$9,1,0):OFFSET(L17,-1,0))=0,"Очікую",0),SUM(OFFSET(L$9,1,0):OFFSET(L17,-1,0))/OFFSET($D17,-1,0))</f>
        <v>6.1428571428571432</v>
      </c>
      <c r="M17" s="47">
        <f ca="1">IF(SUM(OFFSET(M$9,1,0):OFFSET(M17,-1,0))=0,IF(COUNTA(OFFSET(M$9,1,0):OFFSET(M17,-1,0))=0,"Очікую",0),SUM(OFFSET(M$9,1,0):OFFSET(M17,-1,0))/OFFSET($D17,-1,0))</f>
        <v>6.7142857142857144</v>
      </c>
      <c r="N17" s="47">
        <f ca="1">IF(SUM(OFFSET(N$9,1,0):OFFSET(N17,-1,0))=0,IF(COUNTA(OFFSET(N$9,1,0):OFFSET(N17,-1,0))=0,"Очікую",0),SUM(OFFSET(N$9,1,0):OFFSET(N17,-1,0))/OFFSET($D17,-1,0))</f>
        <v>7.7142857142857144</v>
      </c>
      <c r="O17" s="47">
        <f ca="1">IF(SUM(OFFSET(O$9,1,0):OFFSET(O17,-1,0))=0,IF(COUNTA(OFFSET(O$9,1,0):OFFSET(O17,-1,0))=0,"Очікую",0),SUM(OFFSET(O$9,1,0):OFFSET(O17,-1,0))/OFFSET($D17,-1,0))</f>
        <v>8.5714285714285712</v>
      </c>
      <c r="P17" s="47">
        <f ca="1">IF(SUM(OFFSET(P$9,1,0):OFFSET(P17,-1,0))=0,IF(COUNTA(OFFSET(P$9,1,0):OFFSET(P17,-1,0))=0,"Очікую",0),SUM(OFFSET(P$9,1,0):OFFSET(P17,-1,0))/OFFSET($D17,-1,0))</f>
        <v>7.5714285714285712</v>
      </c>
      <c r="Q17" s="47">
        <f ca="1">IF(SUM(OFFSET(Q$9,1,0):OFFSET(Q17,-1,0))=0,IF(COUNTA(OFFSET(Q$9,1,0):OFFSET(Q17,-1,0))=0,"Очікую",0),SUM(OFFSET(Q$9,1,0):OFFSET(Q17,-1,0))/OFFSET($D17,-1,0))</f>
        <v>6</v>
      </c>
      <c r="R17" s="47">
        <f ca="1">IF(SUM(OFFSET(R$9,1,0):OFFSET(R17,-1,0))=0,IF(COUNTA(OFFSET(R$9,1,0):OFFSET(R17,-1,0))=0,"Очікую",0),SUM(OFFSET(R$9,1,0):OFFSET(R17,-1,0))/OFFSET($D17,-1,0))</f>
        <v>6.7142857142857144</v>
      </c>
      <c r="S17" s="47">
        <f ca="1">IF(SUM(OFFSET(S$9,1,0):OFFSET(S17,-1,0))=0,IF(COUNTA(OFFSET(S$9,1,0):OFFSET(S17,-1,0))=0,"Очікую",0),SUM(OFFSET(S$9,1,0):OFFSET(S17,-1,0))/OFFSET($D17,-1,0))</f>
        <v>8.4285714285714288</v>
      </c>
      <c r="T17" s="47">
        <f ca="1">IF(SUM(OFFSET(T$9,1,0):OFFSET(T17,-1,0))=0,IF(COUNTA(OFFSET(T$9,1,0):OFFSET(T17,-1,0))=0,"Очікую",0),SUM(OFFSET(T$9,1,0):OFFSET(T17,-1,0))/OFFSET($D17,-1,0))</f>
        <v>8.2857142857142865</v>
      </c>
      <c r="U17" s="10">
        <f ca="1">IFERROR(AVERAGE(OFFSET($E17,0,1):OFFSET(U17,0,-1)),"Очікую")</f>
        <v>7.1904761904761907</v>
      </c>
      <c r="V17" s="24"/>
      <c r="W17" s="22"/>
    </row>
    <row r="18" spans="1:23" ht="15" customHeight="1" x14ac:dyDescent="0.25">
      <c r="A18" s="13"/>
      <c r="B18" s="15"/>
      <c r="C18" s="7"/>
      <c r="D18" s="7"/>
      <c r="E18" s="8" t="s">
        <v>11</v>
      </c>
      <c r="F18" s="11">
        <f ca="1">IF(SUM(OFFSET(F$9,1,0):OFFSET(F17,-1,0))=0,IF(COUNTA(OFFSET(F$9,1,0):OFFSET(F17,-1,0))=0,"Очікую",0),IF(COUNTIF(OFFSET(F$9,1,0):OFFSET(F17,-1,0),"&gt;=4")=0,0,COUNTIF(OFFSET(F$9,1,0):OFFSET(F17,-1,0),"&gt;=4")/OFFSET($D17,-1,0)*100))</f>
        <v>100</v>
      </c>
      <c r="G18" s="11">
        <f ca="1">IF(SUM(OFFSET(G$9,1,0):OFFSET(G17,-1,0))=0,IF(COUNTA(OFFSET(G$9,1,0):OFFSET(G17,-1,0))=0,"Очікую",0),IF(COUNTIF(OFFSET(G$9,1,0):OFFSET(G17,-1,0),"&gt;=4")=0,0,COUNTIF(OFFSET(G$9,1,0):OFFSET(G17,-1,0),"&gt;=4")/OFFSET($D17,-1,0)*100))</f>
        <v>100</v>
      </c>
      <c r="H18" s="11">
        <f ca="1">IF(SUM(OFFSET(H$9,1,0):OFFSET(H17,-1,0))=0,IF(COUNTA(OFFSET(H$9,1,0):OFFSET(H17,-1,0))=0,"Очікую",0),IF(COUNTIF(OFFSET(H$9,1,0):OFFSET(H17,-1,0),"&gt;=4")=0,0,COUNTIF(OFFSET(H$9,1,0):OFFSET(H17,-1,0),"&gt;=4")/OFFSET($D17,-1,0)*100))</f>
        <v>100</v>
      </c>
      <c r="I18" s="11">
        <f ca="1">IF(SUM(OFFSET(I$9,1,0):OFFSET(I17,-1,0))=0,IF(COUNTA(OFFSET(I$9,1,0):OFFSET(I17,-1,0))=0,"Очікую",0),IF(COUNTIF(OFFSET(I$9,1,0):OFFSET(I17,-1,0),"&gt;=4")=0,0,COUNTIF(OFFSET(I$9,1,0):OFFSET(I17,-1,0),"&gt;=4")/OFFSET($D17,-1,0)*100))</f>
        <v>85.714285714285708</v>
      </c>
      <c r="J18" s="11">
        <f ca="1">IF(SUM(OFFSET(J$9,1,0):OFFSET(J17,-1,0))=0,IF(COUNTA(OFFSET(J$9,1,0):OFFSET(J17,-1,0))=0,"Очікую",0),IF(COUNTIF(OFFSET(J$9,1,0):OFFSET(J17,-1,0),"&gt;=4")=0,0,COUNTIF(OFFSET(J$9,1,0):OFFSET(J17,-1,0),"&gt;=4")/OFFSET($D17,-1,0)*100))</f>
        <v>100</v>
      </c>
      <c r="K18" s="11">
        <f ca="1">IF(SUM(OFFSET(K$9,1,0):OFFSET(K17,-1,0))=0,IF(COUNTA(OFFSET(K$9,1,0):OFFSET(K17,-1,0))=0,"Очікую",0),IF(COUNTIF(OFFSET(K$9,1,0):OFFSET(K17,-1,0),"&gt;=4")=0,0,COUNTIF(OFFSET(K$9,1,0):OFFSET(K17,-1,0),"&gt;=4")/OFFSET($D17,-1,0)*100))</f>
        <v>100</v>
      </c>
      <c r="L18" s="11">
        <f ca="1">IF(SUM(OFFSET(L$9,1,0):OFFSET(L17,-1,0))=0,IF(COUNTA(OFFSET(L$9,1,0):OFFSET(L17,-1,0))=0,"Очікую",0),IF(COUNTIF(OFFSET(L$9,1,0):OFFSET(L17,-1,0),"&gt;=4")=0,0,COUNTIF(OFFSET(L$9,1,0):OFFSET(L17,-1,0),"&gt;=4")/OFFSET($D17,-1,0)*100))</f>
        <v>85.714285714285708</v>
      </c>
      <c r="M18" s="11">
        <f ca="1">IF(SUM(OFFSET(M$9,1,0):OFFSET(M17,-1,0))=0,IF(COUNTA(OFFSET(M$9,1,0):OFFSET(M17,-1,0))=0,"Очікую",0),IF(COUNTIF(OFFSET(M$9,1,0):OFFSET(M17,-1,0),"&gt;=4")=0,0,COUNTIF(OFFSET(M$9,1,0):OFFSET(M17,-1,0),"&gt;=4")/OFFSET($D17,-1,0)*100))</f>
        <v>100</v>
      </c>
      <c r="N18" s="11">
        <f ca="1">IF(SUM(OFFSET(N$9,1,0):OFFSET(N17,-1,0))=0,IF(COUNTA(OFFSET(N$9,1,0):OFFSET(N17,-1,0))=0,"Очікую",0),IF(COUNTIF(OFFSET(N$9,1,0):OFFSET(N17,-1,0),"&gt;=4")=0,0,COUNTIF(OFFSET(N$9,1,0):OFFSET(N17,-1,0),"&gt;=4")/OFFSET($D17,-1,0)*100))</f>
        <v>100</v>
      </c>
      <c r="O18" s="11">
        <f ca="1">IF(SUM(OFFSET(O$9,1,0):OFFSET(O17,-1,0))=0,IF(COUNTA(OFFSET(O$9,1,0):OFFSET(O17,-1,0))=0,"Очікую",0),IF(COUNTIF(OFFSET(O$9,1,0):OFFSET(O17,-1,0),"&gt;=4")=0,0,COUNTIF(OFFSET(O$9,1,0):OFFSET(O17,-1,0),"&gt;=4")/OFFSET($D17,-1,0)*100))</f>
        <v>100</v>
      </c>
      <c r="P18" s="11">
        <f ca="1">IF(SUM(OFFSET(P$9,1,0):OFFSET(P17,-1,0))=0,IF(COUNTA(OFFSET(P$9,1,0):OFFSET(P17,-1,0))=0,"Очікую",0),IF(COUNTIF(OFFSET(P$9,1,0):OFFSET(P17,-1,0),"&gt;=4")=0,0,COUNTIF(OFFSET(P$9,1,0):OFFSET(P17,-1,0),"&gt;=4")/OFFSET($D17,-1,0)*100))</f>
        <v>100</v>
      </c>
      <c r="Q18" s="11">
        <f ca="1">IF(SUM(OFFSET(Q$9,1,0):OFFSET(Q17,-1,0))=0,IF(COUNTA(OFFSET(Q$9,1,0):OFFSET(Q17,-1,0))=0,"Очікую",0),IF(COUNTIF(OFFSET(Q$9,1,0):OFFSET(Q17,-1,0),"&gt;=4")=0,0,COUNTIF(OFFSET(Q$9,1,0):OFFSET(Q17,-1,0),"&gt;=4")/OFFSET($D17,-1,0)*100))</f>
        <v>85.714285714285708</v>
      </c>
      <c r="R18" s="11">
        <f ca="1">IF(SUM(OFFSET(R$9,1,0):OFFSET(R17,-1,0))=0,IF(COUNTA(OFFSET(R$9,1,0):OFFSET(R17,-1,0))=0,"Очікую",0),IF(COUNTIF(OFFSET(R$9,1,0):OFFSET(R17,-1,0),"&gt;=4")=0,0,COUNTIF(OFFSET(R$9,1,0):OFFSET(R17,-1,0),"&gt;=4")/OFFSET($D17,-1,0)*100))</f>
        <v>100</v>
      </c>
      <c r="S18" s="11">
        <f ca="1">IF(SUM(OFFSET(S$9,1,0):OFFSET(S17,-1,0))=0,IF(COUNTA(OFFSET(S$9,1,0):OFFSET(S17,-1,0))=0,"Очікую",0),IF(COUNTIF(OFFSET(S$9,1,0):OFFSET(S17,-1,0),"&gt;=4")=0,0,COUNTIF(OFFSET(S$9,1,0):OFFSET(S17,-1,0),"&gt;=4")/OFFSET($D17,-1,0)*100))</f>
        <v>100</v>
      </c>
      <c r="T18" s="11">
        <f ca="1">IF(SUM(OFFSET(T$9,1,0):OFFSET(T17,-1,0))=0,IF(COUNTA(OFFSET(T$9,1,0):OFFSET(T17,-1,0))=0,"Очікую",0),IF(COUNTIF(OFFSET(T$9,1,0):OFFSET(T17,-1,0),"&gt;=4")=0,0,COUNTIF(OFFSET(T$9,1,0):OFFSET(T17,-1,0),"&gt;=4")/OFFSET($D17,-1,0)*100))</f>
        <v>100</v>
      </c>
      <c r="U18" s="7"/>
      <c r="V18" s="24"/>
      <c r="W18" s="22"/>
    </row>
    <row r="19" spans="1:23" ht="15" customHeight="1" x14ac:dyDescent="0.25">
      <c r="A19" s="13"/>
      <c r="B19" s="15"/>
      <c r="C19" s="7"/>
      <c r="D19" s="7"/>
      <c r="E19" s="8" t="s">
        <v>12</v>
      </c>
      <c r="F19" s="11">
        <f ca="1">IF(SUM(OFFSET(F$9,1,0):OFFSET(F17,-1,0))=0,IF(COUNTA(OFFSET(F$9,1,0):OFFSET(F17,-1,0))=0,"Очікую",0),IF(COUNTIF(OFFSET(F$9,1,0):OFFSET(F17,-1,0),"&gt;=7")=0,0,COUNTIF(OFFSET(F$9,1,0):OFFSET(F17,-1,0),"&gt;=7")/OFFSET($D17,-1,0)*100))</f>
        <v>42.857142857142854</v>
      </c>
      <c r="G19" s="11">
        <f ca="1">IF(SUM(OFFSET(G$9,1,0):OFFSET(G17,-1,0))=0,IF(COUNTA(OFFSET(G$9,1,0):OFFSET(G17,-1,0))=0,"Очікую",0),IF(COUNTIF(OFFSET(G$9,1,0):OFFSET(G17,-1,0),"&gt;=7")=0,0,COUNTIF(OFFSET(G$9,1,0):OFFSET(G17,-1,0),"&gt;=7")/OFFSET($D17,-1,0)*100))</f>
        <v>71.428571428571431</v>
      </c>
      <c r="H19" s="11">
        <f ca="1">IF(SUM(OFFSET(H$9,1,0):OFFSET(H17,-1,0))=0,IF(COUNTA(OFFSET(H$9,1,0):OFFSET(H17,-1,0))=0,"Очікую",0),IF(COUNTIF(OFFSET(H$9,1,0):OFFSET(H17,-1,0),"&gt;=7")=0,0,COUNTIF(OFFSET(H$9,1,0):OFFSET(H17,-1,0),"&gt;=7")/OFFSET($D17,-1,0)*100))</f>
        <v>42.857142857142854</v>
      </c>
      <c r="I19" s="11">
        <f ca="1">IF(SUM(OFFSET(I$9,1,0):OFFSET(I17,-1,0))=0,IF(COUNTA(OFFSET(I$9,1,0):OFFSET(I17,-1,0))=0,"Очікую",0),IF(COUNTIF(OFFSET(I$9,1,0):OFFSET(I17,-1,0),"&gt;=7")=0,0,COUNTIF(OFFSET(I$9,1,0):OFFSET(I17,-1,0),"&gt;=7")/OFFSET($D17,-1,0)*100))</f>
        <v>71.428571428571431</v>
      </c>
      <c r="J19" s="11">
        <f ca="1">IF(SUM(OFFSET(J$9,1,0):OFFSET(J17,-1,0))=0,IF(COUNTA(OFFSET(J$9,1,0):OFFSET(J17,-1,0))=0,"Очікую",0),IF(COUNTIF(OFFSET(J$9,1,0):OFFSET(J17,-1,0),"&gt;=7")=0,0,COUNTIF(OFFSET(J$9,1,0):OFFSET(J17,-1,0),"&gt;=7")/OFFSET($D17,-1,0)*100))</f>
        <v>57.142857142857139</v>
      </c>
      <c r="K19" s="11">
        <f ca="1">IF(SUM(OFFSET(K$9,1,0):OFFSET(K17,-1,0))=0,IF(COUNTA(OFFSET(K$9,1,0):OFFSET(K17,-1,0))=0,"Очікую",0),IF(COUNTIF(OFFSET(K$9,1,0):OFFSET(K17,-1,0),"&gt;=7")=0,0,COUNTIF(OFFSET(K$9,1,0):OFFSET(K17,-1,0),"&gt;=7")/OFFSET($D17,-1,0)*100))</f>
        <v>57.142857142857139</v>
      </c>
      <c r="L19" s="11">
        <f ca="1">IF(SUM(OFFSET(L$9,1,0):OFFSET(L17,-1,0))=0,IF(COUNTA(OFFSET(L$9,1,0):OFFSET(L17,-1,0))=0,"Очікую",0),IF(COUNTIF(OFFSET(L$9,1,0):OFFSET(L17,-1,0),"&gt;=7")=0,0,COUNTIF(OFFSET(L$9,1,0):OFFSET(L17,-1,0),"&gt;=7")/OFFSET($D17,-1,0)*100))</f>
        <v>57.142857142857139</v>
      </c>
      <c r="M19" s="11">
        <f ca="1">IF(SUM(OFFSET(M$9,1,0):OFFSET(M17,-1,0))=0,IF(COUNTA(OFFSET(M$9,1,0):OFFSET(M17,-1,0))=0,"Очікую",0),IF(COUNTIF(OFFSET(M$9,1,0):OFFSET(M17,-1,0),"&gt;=7")=0,0,COUNTIF(OFFSET(M$9,1,0):OFFSET(M17,-1,0),"&gt;=7")/OFFSET($D17,-1,0)*100))</f>
        <v>42.857142857142854</v>
      </c>
      <c r="N19" s="11">
        <f ca="1">IF(SUM(OFFSET(N$9,1,0):OFFSET(N17,-1,0))=0,IF(COUNTA(OFFSET(N$9,1,0):OFFSET(N17,-1,0))=0,"Очікую",0),IF(COUNTIF(OFFSET(N$9,1,0):OFFSET(N17,-1,0),"&gt;=7")=0,0,COUNTIF(OFFSET(N$9,1,0):OFFSET(N17,-1,0),"&gt;=7")/OFFSET($D17,-1,0)*100))</f>
        <v>57.142857142857139</v>
      </c>
      <c r="O19" s="11">
        <f ca="1">IF(SUM(OFFSET(O$9,1,0):OFFSET(O17,-1,0))=0,IF(COUNTA(OFFSET(O$9,1,0):OFFSET(O17,-1,0))=0,"Очікую",0),IF(COUNTIF(OFFSET(O$9,1,0):OFFSET(O17,-1,0),"&gt;=7")=0,0,COUNTIF(OFFSET(O$9,1,0):OFFSET(O17,-1,0),"&gt;=7")/OFFSET($D17,-1,0)*100))</f>
        <v>100</v>
      </c>
      <c r="P19" s="11">
        <f ca="1">IF(SUM(OFFSET(P$9,1,0):OFFSET(P17,-1,0))=0,IF(COUNTA(OFFSET(P$9,1,0):OFFSET(P17,-1,0))=0,"Очікую",0),IF(COUNTIF(OFFSET(P$9,1,0):OFFSET(P17,-1,0),"&gt;=7")=0,0,COUNTIF(OFFSET(P$9,1,0):OFFSET(P17,-1,0),"&gt;=7")/OFFSET($D17,-1,0)*100))</f>
        <v>57.142857142857139</v>
      </c>
      <c r="Q19" s="11">
        <f ca="1">IF(SUM(OFFSET(Q$9,1,0):OFFSET(Q17,-1,0))=0,IF(COUNTA(OFFSET(Q$9,1,0):OFFSET(Q17,-1,0))=0,"Очікую",0),IF(COUNTIF(OFFSET(Q$9,1,0):OFFSET(Q17,-1,0),"&gt;=7")=0,0,COUNTIF(OFFSET(Q$9,1,0):OFFSET(Q17,-1,0),"&gt;=7")/OFFSET($D17,-1,0)*100))</f>
        <v>42.857142857142854</v>
      </c>
      <c r="R19" s="11">
        <f ca="1">IF(SUM(OFFSET(R$9,1,0):OFFSET(R17,-1,0))=0,IF(COUNTA(OFFSET(R$9,1,0):OFFSET(R17,-1,0))=0,"Очікую",0),IF(COUNTIF(OFFSET(R$9,1,0):OFFSET(R17,-1,0),"&gt;=7")=0,0,COUNTIF(OFFSET(R$9,1,0):OFFSET(R17,-1,0),"&gt;=7")/OFFSET($D17,-1,0)*100))</f>
        <v>42.857142857142854</v>
      </c>
      <c r="S19" s="11">
        <f ca="1">IF(SUM(OFFSET(S$9,1,0):OFFSET(S17,-1,0))=0,IF(COUNTA(OFFSET(S$9,1,0):OFFSET(S17,-1,0))=0,"Очікую",0),IF(COUNTIF(OFFSET(S$9,1,0):OFFSET(S17,-1,0),"&gt;=7")=0,0,COUNTIF(OFFSET(S$9,1,0):OFFSET(S17,-1,0),"&gt;=7")/OFFSET($D17,-1,0)*100))</f>
        <v>85.714285714285708</v>
      </c>
      <c r="T19" s="11">
        <f ca="1">IF(SUM(OFFSET(T$9,1,0):OFFSET(T17,-1,0))=0,IF(COUNTA(OFFSET(T$9,1,0):OFFSET(T17,-1,0))=0,"Очікую",0),IF(COUNTIF(OFFSET(T$9,1,0):OFFSET(T17,-1,0),"&gt;=7")=0,0,COUNTIF(OFFSET(T$9,1,0):OFFSET(T17,-1,0),"&gt;=7")/OFFSET($D17,-1,0)*100))</f>
        <v>71.428571428571431</v>
      </c>
      <c r="U19" s="7"/>
      <c r="V19" s="24"/>
      <c r="W19" s="22"/>
    </row>
    <row r="20" spans="1:23" ht="15" customHeight="1" x14ac:dyDescent="0.25">
      <c r="A20" s="13"/>
      <c r="B20" s="15"/>
      <c r="C20" s="7"/>
      <c r="D20" s="7"/>
      <c r="E20" s="8" t="s">
        <v>13</v>
      </c>
      <c r="F20" s="9">
        <f ca="1">IFERROR(AVERAGE(OFFSET(E18,0,1):OFFSET(U18,0,-1)),"Очікую")</f>
        <v>97.142857142857153</v>
      </c>
      <c r="G20" s="7"/>
      <c r="H20" s="7"/>
      <c r="I20" s="7"/>
      <c r="J20" s="7"/>
      <c r="K20" s="7"/>
      <c r="L20" s="7"/>
      <c r="M20" s="7"/>
      <c r="N20" s="7"/>
      <c r="O20" s="7"/>
      <c r="P20" s="7"/>
      <c r="Q20" s="7"/>
      <c r="R20" s="7"/>
      <c r="S20" s="7"/>
      <c r="T20" s="7"/>
      <c r="U20" s="7"/>
      <c r="V20" s="24"/>
      <c r="W20" s="22"/>
    </row>
    <row r="21" spans="1:23" ht="15" customHeight="1" x14ac:dyDescent="0.25">
      <c r="A21" s="13"/>
      <c r="B21" s="15"/>
      <c r="C21" s="7"/>
      <c r="D21" s="7"/>
      <c r="E21" s="8" t="s">
        <v>14</v>
      </c>
      <c r="F21" s="9">
        <f ca="1">IFERROR(AVERAGE(OFFSET(E19,0,1):OFFSET(U19,0,-1)),"Очікую")</f>
        <v>59.999999999999993</v>
      </c>
      <c r="G21" s="7"/>
      <c r="H21" s="7"/>
      <c r="I21" s="7"/>
      <c r="J21" s="7"/>
      <c r="K21" s="7"/>
      <c r="L21" s="7"/>
      <c r="M21" s="7"/>
      <c r="N21" s="7"/>
      <c r="O21" s="7"/>
      <c r="P21" s="7"/>
      <c r="Q21" s="7"/>
      <c r="R21" s="7"/>
      <c r="S21" s="7"/>
      <c r="T21" s="7"/>
      <c r="U21" s="7"/>
      <c r="V21" s="24"/>
      <c r="W21" s="22"/>
    </row>
    <row r="22" spans="1:23" ht="15" customHeight="1" x14ac:dyDescent="0.25">
      <c r="A22" s="13"/>
      <c r="B22" s="15"/>
      <c r="C22" s="7"/>
      <c r="D22" s="7"/>
      <c r="E22" s="8" t="s">
        <v>15</v>
      </c>
      <c r="F22" s="6">
        <f ca="1">IF(COUNTIF(OFFSET(C$9,1,0):OFFSET(C17,-1,0),"=Б")=0,IF(COUNTIF(OFFSET(C$9,1,0):OFFSET(C17,-1,0),"=К")=0,"Очікую",0),COUNTIF(OFFSET(C$9,1,0):OFFSET(C17,-1,0),"=Б"))</f>
        <v>0</v>
      </c>
      <c r="G22" s="7"/>
      <c r="H22" s="7"/>
      <c r="I22" s="12"/>
      <c r="J22" s="7"/>
      <c r="K22" s="7"/>
      <c r="L22" s="7"/>
      <c r="M22" s="7"/>
      <c r="N22" s="7"/>
      <c r="O22" s="7"/>
      <c r="P22" s="7"/>
      <c r="Q22" s="30"/>
      <c r="R22" s="12"/>
      <c r="S22" s="7"/>
      <c r="T22" s="7"/>
      <c r="U22" s="7"/>
      <c r="V22" s="24"/>
      <c r="W22" s="22"/>
    </row>
    <row r="23" spans="1:23" ht="15" customHeight="1" x14ac:dyDescent="0.25">
      <c r="A23" s="13"/>
      <c r="B23" s="15"/>
      <c r="C23" s="7"/>
      <c r="D23" s="7"/>
      <c r="E23" s="8" t="s">
        <v>16</v>
      </c>
      <c r="F23" s="6">
        <f ca="1">IF(COUNTIF(OFFSET(C$9,1,0):OFFSET(C17,-1,0),"=К")=0,IF(COUNTIF(OFFSET(C$9,1,0):OFFSET(C17,-1,0),"=Б")=0,"Очікую",0),COUNTIF(OFFSET(C$9,1,0):OFFSET(C17,-1,0),"=К"))</f>
        <v>7</v>
      </c>
      <c r="G23" s="7"/>
      <c r="H23" s="7"/>
      <c r="I23" s="12" t="s">
        <v>17</v>
      </c>
      <c r="J23" s="7"/>
      <c r="K23" s="7"/>
      <c r="L23" s="7"/>
      <c r="M23" s="7"/>
      <c r="N23" s="7"/>
      <c r="O23" s="7"/>
      <c r="P23" s="7"/>
      <c r="Q23" s="30" t="s">
        <v>92</v>
      </c>
      <c r="R23" s="12"/>
      <c r="S23" s="7"/>
      <c r="T23" s="7"/>
      <c r="U23" s="7"/>
      <c r="V23" s="24"/>
      <c r="W23" s="22"/>
    </row>
    <row r="24" spans="1:23" ht="15" customHeight="1" x14ac:dyDescent="0.25">
      <c r="A24" s="13"/>
      <c r="B24" s="15"/>
      <c r="C24" s="7"/>
      <c r="D24" s="7"/>
      <c r="E24" s="8" t="s">
        <v>18</v>
      </c>
      <c r="F24" s="4"/>
      <c r="G24" s="7"/>
      <c r="H24" s="7"/>
      <c r="I24" s="12"/>
      <c r="J24" s="7"/>
      <c r="K24" s="7"/>
      <c r="L24" s="7"/>
      <c r="M24" s="7"/>
      <c r="N24" s="7"/>
      <c r="O24" s="7"/>
      <c r="P24" s="7"/>
      <c r="Q24" s="12"/>
      <c r="R24" s="12"/>
      <c r="S24" s="7"/>
      <c r="T24" s="7"/>
      <c r="U24" s="7"/>
      <c r="V24" s="24"/>
      <c r="W24" s="22"/>
    </row>
    <row r="25" spans="1:23" ht="15" customHeight="1" x14ac:dyDescent="0.25">
      <c r="A25" s="13"/>
      <c r="B25" s="15"/>
      <c r="C25" s="7"/>
      <c r="D25" s="7"/>
      <c r="E25" s="8" t="s">
        <v>19</v>
      </c>
      <c r="F25" s="6">
        <f ca="1">IF(F22="Очікую","Очікую",IF(F22-COUNTIF(OFFSET(U$8,1,0):OFFSET(U17,-1,0)," - ")&lt;ROUNDDOWN(F22*0.4,0),F22-COUNTIF(OFFSET(U$8,1,0):OFFSET(U17,-1,0)," - "),ROUNDDOWN(F22*0.4,0)))</f>
        <v>0</v>
      </c>
      <c r="G25" s="7"/>
      <c r="H25" s="7"/>
      <c r="I25" s="30" t="s">
        <v>20</v>
      </c>
      <c r="J25" s="7"/>
      <c r="K25" s="7"/>
      <c r="L25" s="7"/>
      <c r="M25" s="7"/>
      <c r="N25" s="7"/>
      <c r="O25" s="7"/>
      <c r="P25" s="7"/>
      <c r="Q25" s="30" t="s">
        <v>21</v>
      </c>
      <c r="R25" s="7"/>
      <c r="S25" s="7"/>
      <c r="T25" s="7"/>
      <c r="U25" s="7"/>
      <c r="V25" s="24"/>
      <c r="W25" s="22"/>
    </row>
    <row r="26" spans="1:23" ht="12" customHeight="1" thickBot="1" x14ac:dyDescent="0.3">
      <c r="A26" s="13"/>
      <c r="B26" s="25"/>
      <c r="C26" s="17"/>
      <c r="D26" s="17"/>
      <c r="E26" s="17"/>
      <c r="F26" s="17"/>
      <c r="G26" s="17"/>
      <c r="H26" s="17"/>
      <c r="I26" s="17"/>
      <c r="J26" s="17"/>
      <c r="K26" s="17"/>
      <c r="L26" s="17"/>
      <c r="M26" s="17"/>
      <c r="N26" s="17"/>
      <c r="O26" s="17"/>
      <c r="P26" s="17"/>
      <c r="Q26" s="17"/>
      <c r="R26" s="17"/>
      <c r="S26" s="17"/>
      <c r="T26" s="17"/>
      <c r="U26" s="17"/>
      <c r="V26" s="18"/>
      <c r="W26" s="22"/>
    </row>
    <row r="27" spans="1:23" ht="12" customHeight="1" x14ac:dyDescent="0.25">
      <c r="A27" s="19"/>
      <c r="B27" s="19"/>
      <c r="C27" s="19"/>
      <c r="D27" s="19"/>
      <c r="E27" s="19"/>
      <c r="F27" s="19"/>
      <c r="G27" s="19"/>
      <c r="H27" s="19"/>
      <c r="I27" s="19"/>
      <c r="J27" s="19"/>
      <c r="K27" s="19"/>
      <c r="L27" s="19"/>
      <c r="M27" s="19"/>
      <c r="N27" s="19"/>
      <c r="O27" s="19"/>
      <c r="P27" s="19"/>
      <c r="Q27" s="19"/>
      <c r="R27" s="19"/>
      <c r="S27" s="19"/>
      <c r="T27" s="19"/>
      <c r="U27" s="19"/>
      <c r="V27" s="19"/>
      <c r="W27" s="22"/>
    </row>
  </sheetData>
  <sheetProtection insertRows="0" deleteRows="0"/>
  <mergeCells count="10">
    <mergeCell ref="C8:C9"/>
    <mergeCell ref="D8:D9"/>
    <mergeCell ref="E8:E9"/>
    <mergeCell ref="C3:U3"/>
    <mergeCell ref="C4:U4"/>
    <mergeCell ref="C5:U5"/>
    <mergeCell ref="C6:U6"/>
    <mergeCell ref="C7:U7"/>
    <mergeCell ref="F8:T8"/>
    <mergeCell ref="U8:U9"/>
  </mergeCells>
  <printOptions horizontalCentered="1"/>
  <pageMargins left="0.19685039370078741" right="0.19685039370078741" top="0.19685039370078741" bottom="0.19685039370078741" header="0" footer="0"/>
  <pageSetup paperSize="9" scale="7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vt:i4>
      </vt:variant>
      <vt:variant>
        <vt:lpstr>Именованные диапазоны</vt:lpstr>
      </vt:variant>
      <vt:variant>
        <vt:i4>4</vt:i4>
      </vt:variant>
    </vt:vector>
  </HeadingPairs>
  <TitlesOfParts>
    <vt:vector size="8" baseType="lpstr">
      <vt:lpstr>Приклад</vt:lpstr>
      <vt:lpstr>Зведена D5</vt:lpstr>
      <vt:lpstr>Зведена D7</vt:lpstr>
      <vt:lpstr>Зведена G1</vt:lpstr>
      <vt:lpstr>'Зведена D5'!Область_печати</vt:lpstr>
      <vt:lpstr>'Зведена D7'!Область_печати</vt:lpstr>
      <vt:lpstr>'Зведена G1'!Область_печати</vt:lpstr>
      <vt:lpstr>Приклад!Область_печати</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37063</dc:creator>
  <cp:keywords/>
  <dc:description/>
  <cp:lastModifiedBy>Maxim</cp:lastModifiedBy>
  <cp:lastPrinted>2025-07-26T15:37:06Z</cp:lastPrinted>
  <dcterms:created xsi:type="dcterms:W3CDTF">2006-09-28T05:33:49Z</dcterms:created>
  <dcterms:modified xsi:type="dcterms:W3CDTF">2026-06-18T12:58:53Z</dcterms:modified>
  <cp:category/>
  <cp:contentStatus/>
</cp:coreProperties>
</file>