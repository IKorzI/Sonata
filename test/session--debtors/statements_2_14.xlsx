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Sonata\test\report\"/>
    </mc:Choice>
  </mc:AlternateContent>
  <bookViews>
    <workbookView xWindow="12105" yWindow="1485" windowWidth="25425" windowHeight="19395"/>
  </bookViews>
  <sheets>
    <sheet name="Зведена E2" sheetId="38" r:id="rId1"/>
    <sheet name="Зведена G1" sheetId="52" r:id="rId2"/>
    <sheet name="Зведена G7" sheetId="51" r:id="rId3"/>
  </sheets>
  <definedNames>
    <definedName name="A1048577" localSheetId="0">#REF!</definedName>
    <definedName name="A1048577" localSheetId="1">#REF!</definedName>
    <definedName name="A1048577" localSheetId="2">#REF!</definedName>
    <definedName name="A1048577">#REF!</definedName>
    <definedName name="_xlnm.Print_Area" localSheetId="0">'Зведена E2'!$C$3:$T$28</definedName>
    <definedName name="_xlnm.Print_Area" localSheetId="1">'Зведена G1'!$C$3:$T$26</definedName>
    <definedName name="_xlnm.Print_Area" localSheetId="2">'Зведена G7'!$C$3:$T$35</definedName>
    <definedName name="Ф80" localSheetId="0">#REF!</definedName>
    <definedName name="Ф80" localSheetId="1">#REF!</definedName>
    <definedName name="Ф80" localSheetId="2">#REF!</definedName>
    <definedName name="Ф80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F24" i="52" l="1"/>
  <c r="F23" i="52"/>
  <c r="F33" i="51"/>
  <c r="F32" i="51"/>
  <c r="F26" i="38"/>
  <c r="F25" i="38"/>
  <c r="S20" i="52"/>
  <c r="R20" i="52"/>
  <c r="Q20" i="52"/>
  <c r="P20" i="52"/>
  <c r="O20" i="52"/>
  <c r="N20" i="52"/>
  <c r="M20" i="52"/>
  <c r="L20" i="52"/>
  <c r="K20" i="52"/>
  <c r="J20" i="52"/>
  <c r="I20" i="52"/>
  <c r="H20" i="52"/>
  <c r="G20" i="52"/>
  <c r="F20" i="52"/>
  <c r="S19" i="52"/>
  <c r="R19" i="52"/>
  <c r="Q19" i="52"/>
  <c r="P19" i="52"/>
  <c r="O19" i="52"/>
  <c r="N19" i="52"/>
  <c r="M19" i="52"/>
  <c r="L19" i="52"/>
  <c r="K19" i="52"/>
  <c r="J19" i="52"/>
  <c r="I19" i="52"/>
  <c r="H19" i="52"/>
  <c r="G19" i="52"/>
  <c r="F19" i="52"/>
  <c r="S18" i="52"/>
  <c r="R18" i="52"/>
  <c r="Q18" i="52"/>
  <c r="P18" i="52"/>
  <c r="O18" i="52"/>
  <c r="N18" i="52"/>
  <c r="M18" i="52"/>
  <c r="L18" i="52"/>
  <c r="K18" i="52"/>
  <c r="J18" i="52"/>
  <c r="I18" i="52"/>
  <c r="H18" i="52"/>
  <c r="G18" i="52"/>
  <c r="F18" i="52"/>
  <c r="S29" i="51"/>
  <c r="R29" i="51"/>
  <c r="Q29" i="51"/>
  <c r="P29" i="51"/>
  <c r="O29" i="51"/>
  <c r="N29" i="51"/>
  <c r="M29" i="51"/>
  <c r="L29" i="51"/>
  <c r="K29" i="51"/>
  <c r="J29" i="51"/>
  <c r="I29" i="51"/>
  <c r="H29" i="51"/>
  <c r="G29" i="51"/>
  <c r="F29" i="51"/>
  <c r="S28" i="51"/>
  <c r="R28" i="51"/>
  <c r="Q28" i="51"/>
  <c r="P28" i="51"/>
  <c r="O28" i="51"/>
  <c r="N28" i="51"/>
  <c r="M28" i="51"/>
  <c r="L28" i="51"/>
  <c r="K28" i="51"/>
  <c r="J28" i="51"/>
  <c r="I28" i="51"/>
  <c r="H28" i="51"/>
  <c r="G28" i="51"/>
  <c r="F28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G21" i="38"/>
  <c r="F21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G20" i="38"/>
  <c r="F20" i="38"/>
  <c r="T17" i="52"/>
  <c r="T15" i="52"/>
  <c r="T14" i="52"/>
  <c r="T13" i="52"/>
  <c r="T12" i="52"/>
  <c r="T11" i="52"/>
  <c r="T10" i="52"/>
  <c r="T26" i="51"/>
  <c r="T25" i="51"/>
  <c r="T24" i="51"/>
  <c r="T23" i="51"/>
  <c r="T22" i="51"/>
  <c r="T21" i="51"/>
  <c r="T20" i="51"/>
  <c r="T19" i="51"/>
  <c r="T18" i="51"/>
  <c r="T17" i="51"/>
  <c r="T16" i="51"/>
  <c r="T15" i="51"/>
  <c r="T14" i="51"/>
  <c r="T13" i="51"/>
  <c r="T12" i="51"/>
  <c r="T11" i="51"/>
  <c r="T10" i="51"/>
  <c r="T11" i="38"/>
  <c r="T12" i="38"/>
  <c r="T13" i="38"/>
  <c r="T14" i="38"/>
  <c r="T15" i="38"/>
  <c r="T16" i="38"/>
  <c r="T17" i="38"/>
  <c r="T18" i="38"/>
  <c r="T19" i="38"/>
  <c r="T10" i="38"/>
  <c r="F22" i="52" l="1"/>
  <c r="F21" i="52"/>
  <c r="F26" i="52"/>
  <c r="F35" i="51"/>
  <c r="F31" i="51"/>
  <c r="F30" i="51"/>
  <c r="F23" i="38"/>
  <c r="F24" i="38"/>
  <c r="F28" i="38"/>
  <c r="T18" i="52"/>
  <c r="T27" i="51"/>
  <c r="T20" i="38"/>
</calcChain>
</file>

<file path=xl/sharedStrings.xml><?xml version="1.0" encoding="utf-8"?>
<sst xmlns="http://schemas.openxmlformats.org/spreadsheetml/2006/main" count="193" uniqueCount="78">
  <si>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</si>
  <si>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</si>
  <si>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</si>
  <si>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</si>
  <si>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</si>
  <si>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</si>
  <si>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</si>
  <si>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Фізика
Калюта Н.М.</t>
  </si>
  <si>
    <t>Середній бал</t>
  </si>
  <si>
    <t>К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</si>
  <si>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</si>
  <si>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</si>
  <si>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</si>
  <si>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</si>
  <si>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</si>
  <si>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</si>
  <si>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</si>
  <si>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</si>
  <si>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</si>
  <si>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</si>
  <si>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</si>
  <si>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</si>
  <si>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</si>
  <si>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</si>
  <si>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Математика
Бондаренко О.С.</t>
  </si>
  <si>
    <t>Підсумкові оцінки дисциплін</t>
  </si>
  <si>
    <t>Захист України
Лазар В.І.</t>
  </si>
  <si>
    <t>Іноземна мова
Сербулова Ю.А.</t>
  </si>
  <si>
    <t>Інформатика
Бєльдюгіна С.С.</t>
  </si>
  <si>
    <t>Українська література
Антропова Л.І.</t>
  </si>
  <si>
    <t>Українська мова
Антропова Л.І.</t>
  </si>
  <si>
    <t>Фізична культура
Возіян О.Г.</t>
  </si>
  <si>
    <t>Хімія
Сахно Н.О.</t>
  </si>
  <si>
    <t>н/а</t>
  </si>
  <si>
    <t>S</t>
  </si>
  <si>
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</si>
  <si>
    <t>За І семестр 2025-2026 н.р.</t>
  </si>
  <si>
    <t>Б</t>
  </si>
  <si>
    <t>Успішності студентів спеціальності G1 «Хімічні технології та інженерія»</t>
  </si>
  <si>
    <t>Буюклі Христина Станіславівна</t>
  </si>
  <si>
    <t>Голам-Сарвар Сабріна</t>
  </si>
  <si>
    <t>Гусева Анна Олександрівна</t>
  </si>
  <si>
    <t>Гуткан Алла Павлівна</t>
  </si>
  <si>
    <t>Довгополий Олександр Анатолійович</t>
  </si>
  <si>
    <t>Єсманчук Дмитро Сергійович</t>
  </si>
  <si>
    <t>Загіченко Матвій Олександрович</t>
  </si>
  <si>
    <t>Ляліна Дар`я Михайлівна</t>
  </si>
  <si>
    <t>Марецький Максим Іванович</t>
  </si>
  <si>
    <t>Савчук Станіслав Олександрович</t>
  </si>
  <si>
    <t>Анастасія ТКАЧЕНКО</t>
  </si>
  <si>
    <t>Бондаренко Анна Юріївна</t>
  </si>
  <si>
    <t>Бондаренко Олександр Сергійович</t>
  </si>
  <si>
    <t>Грідін Олег Володимирович</t>
  </si>
  <si>
    <t>Дімітрова Аделіна Віталіївна</t>
  </si>
  <si>
    <t>Казанджій Гліб Миколайович</t>
  </si>
  <si>
    <t>Олійник Олег Сергійович</t>
  </si>
  <si>
    <t>Романчук Маргарита Вадимівна</t>
  </si>
  <si>
    <t>Татарчук Антон Сергійович</t>
  </si>
  <si>
    <t>Багаєв Дмитро Михайлович</t>
  </si>
  <si>
    <t>Бєлов Миколай Михайлович</t>
  </si>
  <si>
    <t>Богомолов Єгор Русланович</t>
  </si>
  <si>
    <t>Горевой Костянтин Юрійович</t>
  </si>
  <si>
    <t>Єлькін Владислав Леонідович</t>
  </si>
  <si>
    <t>Капістеринський Ілля Сергійович</t>
  </si>
  <si>
    <t>Краснов Кірілл Олександрович</t>
  </si>
  <si>
    <t>Мельник Олександр Дмитрович</t>
  </si>
  <si>
    <t>Півоварова Анастасія Володимирівна</t>
  </si>
  <si>
    <t>Півоварова Олександра Володимирівна</t>
  </si>
  <si>
    <t>Погребной Іван Олександрович</t>
  </si>
  <si>
    <t>Русавський Максим Андрійович</t>
  </si>
  <si>
    <t>Савкін Макар Максимович</t>
  </si>
  <si>
    <t>Солтус Денис Віталійович</t>
  </si>
  <si>
    <t>Стойков Дмитро Геннадійович</t>
  </si>
  <si>
    <t>Чумляр Михайло Володимирович</t>
  </si>
  <si>
    <t>Янчий Георгій Сергійович</t>
  </si>
  <si>
    <t>Успішності студентів спеціальності G7 «Автоматизація, комп’ютерно-інтегровані технології та робототехніка»</t>
  </si>
  <si>
    <t>Успішності студентів спеціальності E2 «Екологія»</t>
  </si>
  <si>
    <t>Група 26-2 курс 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</si>
</sst>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6">
    <xf numFmtId="0" fontId="0" fillId="0" borderId="0" xfId="0"/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2" xfId="5" applyFont="1" applyFill="1" applyBorder="1" applyAlignment="1" applyProtection="1">
      <alignment horizontal="center" vertical="center"/>
      <protection hidden="1"/>
    </xf>
    <xf numFmtId="0" fontId="3" fillId="5" borderId="1" xfId="5" applyFont="1" applyFill="1" applyAlignment="1" applyProtection="1">
      <alignment horizontal="center" vertical="center"/>
      <protection hidden="1"/>
    </xf>
    <xf numFmtId="0" fontId="3" fillId="5" borderId="2" xfId="5" applyFont="1" applyFill="1" applyBorder="1" applyAlignment="1" applyProtection="1">
      <alignment horizontal="left" vertical="center" wrapText="1"/>
      <protection hidden="1"/>
    </xf>
    <xf numFmtId="164" fontId="3" fillId="2" borderId="2" xfId="5" applyNumberFormat="1" applyFont="1" applyFill="1" applyBorder="1" applyAlignment="1" applyProtection="1">
      <alignment horizontal="center" vertical="center"/>
      <protection hidden="1"/>
    </xf>
    <xf numFmtId="2" fontId="3" fillId="2" borderId="2" xfId="5" applyNumberFormat="1" applyFont="1" applyFill="1" applyBorder="1" applyAlignment="1" applyProtection="1">
      <alignment horizontal="center" vertical="center"/>
      <protection hidden="1"/>
    </xf>
    <xf numFmtId="164" fontId="3" fillId="3" borderId="6" xfId="5" applyNumberFormat="1" applyFont="1" applyFill="1" applyBorder="1" applyAlignment="1" applyProtection="1">
      <alignment horizontal="center" vertical="center"/>
      <protection hidden="1"/>
    </xf>
    <xf numFmtId="0" fontId="5" fillId="5" borderId="1" xfId="5" applyFont="1" applyFill="1" applyAlignment="1" applyProtection="1">
      <alignment horizontal="left" vertical="center"/>
      <protection hidden="1"/>
    </xf>
    <xf numFmtId="0" fontId="3" fillId="4" borderId="4" xfId="5" applyFont="1" applyFill="1" applyBorder="1" applyAlignment="1" applyProtection="1">
      <alignment vertical="center"/>
      <protection locked="0" hidden="1"/>
    </xf>
    <xf numFmtId="0" fontId="3" fillId="4" borderId="1" xfId="5" applyFont="1" applyFill="1" applyAlignment="1" applyProtection="1">
      <alignment horizontal="center" vertical="center"/>
      <protection locked="0" hidden="1"/>
    </xf>
    <xf numFmtId="0" fontId="5" fillId="5" borderId="5" xfId="5" applyFont="1" applyFill="1" applyBorder="1" applyAlignment="1" applyProtection="1">
      <alignment vertical="center"/>
      <protection locked="0" hidden="1"/>
    </xf>
    <xf numFmtId="0" fontId="3" fillId="0" borderId="2" xfId="5" applyFont="1" applyBorder="1" applyAlignment="1" applyProtection="1">
      <alignment horizontal="center" textRotation="90" wrapText="1"/>
      <protection locked="0"/>
    </xf>
    <xf numFmtId="0" fontId="3" fillId="5" borderId="3" xfId="5" applyFont="1" applyFill="1" applyBorder="1" applyAlignment="1" applyProtection="1">
      <alignment vertical="center"/>
      <protection hidden="1"/>
    </xf>
    <xf numFmtId="0" fontId="3" fillId="5" borderId="11" xfId="5" applyFont="1" applyFill="1" applyBorder="1" applyAlignment="1" applyProtection="1">
      <alignment vertical="center"/>
      <protection hidden="1"/>
    </xf>
    <xf numFmtId="0" fontId="3" fillId="4" borderId="1" xfId="5" applyFont="1" applyFill="1" applyAlignment="1" applyProtection="1">
      <alignment vertical="center"/>
      <protection hidden="1"/>
    </xf>
    <xf numFmtId="0" fontId="3" fillId="5" borderId="9" xfId="5" applyFont="1" applyFill="1" applyBorder="1" applyAlignment="1" applyProtection="1">
      <alignment vertical="center"/>
      <protection hidden="1"/>
    </xf>
    <xf numFmtId="0" fontId="3" fillId="5" borderId="7" xfId="5" applyFont="1" applyFill="1" applyBorder="1" applyAlignment="1" applyProtection="1">
      <alignment vertical="center"/>
      <protection hidden="1"/>
    </xf>
    <xf numFmtId="0" fontId="3" fillId="4" borderId="1" xfId="5" applyFont="1" applyFill="1" applyAlignment="1" applyProtection="1">
      <alignment vertical="center"/>
      <protection locked="0" hidden="1"/>
    </xf>
    <xf numFmtId="0" fontId="3" fillId="5" borderId="10" xfId="5" applyFont="1" applyFill="1" applyBorder="1" applyAlignment="1" applyProtection="1">
      <alignment vertical="center"/>
      <protection hidden="1"/>
    </xf>
    <xf numFmtId="0" fontId="3" fillId="5" borderId="4" xfId="5" applyFont="1" applyFill="1" applyBorder="1" applyAlignment="1" applyProtection="1">
      <alignment vertical="center"/>
      <protection hidden="1"/>
    </xf>
    <xf numFmtId="0" fontId="5" fillId="5" borderId="12" xfId="5" applyFont="1" applyFill="1" applyBorder="1" applyAlignment="1" applyProtection="1">
      <alignment vertical="center"/>
      <protection locked="0" hidden="1"/>
    </xf>
    <xf numFmtId="0" fontId="3" fillId="5" borderId="4" xfId="5" applyFont="1" applyFill="1" applyBorder="1" applyAlignment="1" applyProtection="1">
      <alignment vertical="center"/>
      <protection locked="0" hidden="1"/>
    </xf>
    <xf numFmtId="0" fontId="5" fillId="5" borderId="1" xfId="5" applyFont="1" applyFill="1" applyAlignment="1" applyProtection="1">
      <alignment horizontal="left" vertical="center"/>
      <protection locked="0"/>
    </xf>
    <xf numFmtId="0" fontId="8" fillId="4" borderId="1" xfId="5" applyFont="1" applyFill="1" applyAlignment="1" applyProtection="1">
      <alignment horizontal="center" vertical="center"/>
      <protection hidden="1"/>
    </xf>
    <xf numFmtId="2" fontId="9" fillId="2" borderId="2" xfId="5" applyNumberFormat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5" borderId="13" xfId="5" applyFont="1" applyFill="1" applyBorder="1" applyAlignment="1" applyProtection="1">
      <alignment horizontal="left" vertical="center" wrapText="1"/>
      <protection hidden="1"/>
    </xf>
    <xf numFmtId="164" fontId="3" fillId="2" borderId="13" xfId="5" applyNumberFormat="1" applyFont="1" applyFill="1" applyBorder="1" applyAlignment="1" applyProtection="1">
      <alignment horizontal="center" vertical="center"/>
      <protection hidden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>
      <alignment horizontal="center" vertical="center"/>
    </xf>
    <xf numFmtId="0" fontId="5" fillId="5" borderId="8" xfId="5" applyFont="1" applyFill="1" applyBorder="1" applyAlignment="1" applyProtection="1">
      <alignment horizontal="center" vertical="center"/>
      <protection locked="0"/>
    </xf>
    <xf numFmtId="0" fontId="5" fillId="5" borderId="1" xfId="5" applyFont="1" applyFill="1" applyAlignment="1" applyProtection="1">
      <alignment horizontal="center" vertical="center"/>
      <protection locked="0"/>
    </xf>
    <xf numFmtId="0" fontId="5" fillId="5" borderId="1" xfId="5" applyFont="1" applyFill="1" applyAlignment="1" applyProtection="1">
      <alignment horizontal="center" wrapText="1"/>
      <protection hidden="1"/>
    </xf>
    <xf numFmtId="0" fontId="3" fillId="5" borderId="2" xfId="5" quotePrefix="1" applyFont="1" applyFill="1" applyBorder="1" applyAlignment="1" applyProtection="1">
      <alignment horizontal="center" vertical="center"/>
      <protection hidden="1"/>
    </xf>
    <xf numFmtId="0" fontId="3" fillId="5" borderId="2" xfId="5" applyFont="1" applyFill="1" applyBorder="1" applyAlignment="1" applyProtection="1">
      <alignment horizontal="center" vertical="center"/>
      <protection hidden="1"/>
    </xf>
    <xf numFmtId="0" fontId="3" fillId="5" borderId="2" xfId="5" applyFont="1" applyFill="1" applyBorder="1" applyAlignment="1" applyProtection="1">
      <alignment horizontal="center" vertical="center" wrapText="1"/>
      <protection hidden="1"/>
    </xf>
    <xf numFmtId="0" fontId="6" fillId="5" borderId="1" xfId="5" applyFont="1" applyFill="1" applyAlignment="1" applyProtection="1">
      <alignment horizontal="center" vertical="center"/>
      <protection hidden="1"/>
    </xf>
    <xf numFmtId="0" fontId="3" fillId="5" borderId="14" xfId="5" applyFont="1" applyFill="1" applyBorder="1" applyAlignment="1" applyProtection="1">
      <alignment horizontal="center" vertical="center"/>
      <protection hidden="1"/>
    </xf>
    <xf numFmtId="0" fontId="3" fillId="5" borderId="15" xfId="5" applyFont="1" applyFill="1" applyBorder="1" applyAlignment="1" applyProtection="1">
      <alignment horizontal="center" vertical="center"/>
      <protection hidden="1"/>
    </xf>
    <xf numFmtId="0" fontId="3" fillId="5" borderId="6" xfId="5" applyFont="1" applyFill="1" applyBorder="1" applyAlignment="1" applyProtection="1">
      <alignment horizontal="center" vertical="center"/>
      <protection hidden="1"/>
    </xf>
    <xf numFmtId="0" fontId="4" fillId="5" borderId="16" xfId="5" applyFont="1" applyFill="1" applyBorder="1" applyAlignment="1" applyProtection="1">
      <alignment horizontal="center" vertical="center" textRotation="90" wrapText="1"/>
      <protection hidden="1"/>
    </xf>
    <xf numFmtId="0" fontId="4" fillId="5" borderId="13" xfId="5" applyFont="1" applyFill="1" applyBorder="1" applyAlignment="1" applyProtection="1">
      <alignment horizontal="center" vertical="center" textRotation="90" wrapText="1"/>
      <protection hidden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1" defaultTableStyle="TableStyleMedium9" defaultPivotStyle="PivotStyleLight16">
    <tableStyle name="Стиль сводной таблицы 1" table="0" count="0"/>
  </tableStyles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70C0"/>
    <pageSetUpPr fitToPage="1"/>
  </sheetPr>
  <dimension ref="A1:BH30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2" width="2.7109375" style="1" customWidth="1"/>
    <col min="23" max="28" width="14.42578125" style="1" hidden="1" customWidth="1"/>
    <col min="29" max="29" width="14.85546875" style="1" hidden="1" customWidth="1"/>
    <col min="30" max="43" width="3.7109375" style="1" hidden="1" customWidth="1"/>
    <col min="44" max="60" width="5.7109375" style="1" hidden="1" customWidth="1"/>
    <col min="61" max="16384" width="14.42578125" style="1" hidden="1"/>
  </cols>
  <sheetData>
    <row r="1" spans="1:22" ht="12" customHeight="1" thickBot="1" x14ac:dyDescent="0.3">
      <c r="A1" s="27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2" customHeight="1" x14ac:dyDescent="0.25">
      <c r="A2" s="12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2"/>
      <c r="V2" s="21"/>
    </row>
    <row r="3" spans="1:22" s="2" customFormat="1" ht="54.95" customHeight="1" x14ac:dyDescent="0.3">
      <c r="A3" s="12"/>
      <c r="B3" s="14"/>
      <c r="C3" s="36" t="s">
        <v>35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23"/>
      <c r="V3" s="21"/>
    </row>
    <row r="4" spans="1:22" s="3" customFormat="1" ht="15" customHeight="1" x14ac:dyDescent="0.25">
      <c r="A4" s="12"/>
      <c r="B4" s="14"/>
      <c r="C4" s="40" t="s">
        <v>22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23"/>
      <c r="V4" s="21"/>
    </row>
    <row r="5" spans="1:22" s="2" customFormat="1" ht="15" customHeight="1" x14ac:dyDescent="0.25">
      <c r="A5" s="12"/>
      <c r="B5" s="14"/>
      <c r="C5" s="35" t="s">
        <v>76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23"/>
      <c r="V5" s="21"/>
    </row>
    <row r="6" spans="1:22" s="2" customFormat="1" ht="15" customHeight="1" x14ac:dyDescent="0.25">
      <c r="A6" s="12"/>
      <c r="B6" s="14"/>
      <c r="C6" s="35" t="s">
        <v>36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23"/>
      <c r="V6" s="21"/>
    </row>
    <row r="7" spans="1:22" s="2" customFormat="1" ht="15" customHeight="1" x14ac:dyDescent="0.25">
      <c r="A7" s="12"/>
      <c r="B7" s="14"/>
      <c r="C7" s="34" t="s">
        <v>77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23"/>
      <c r="V7" s="21"/>
    </row>
    <row r="8" spans="1:22" ht="15" customHeight="1" x14ac:dyDescent="0.25">
      <c r="A8" s="12"/>
      <c r="B8" s="14"/>
      <c r="C8" s="37" t="s">
        <v>0</v>
      </c>
      <c r="D8" s="39" t="s">
        <v>1</v>
      </c>
      <c r="E8" s="39" t="s">
        <v>2</v>
      </c>
      <c r="F8" s="41" t="s">
        <v>25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3"/>
      <c r="T8" s="44" t="s">
        <v>8</v>
      </c>
      <c r="U8" s="23"/>
      <c r="V8" s="21"/>
    </row>
    <row r="9" spans="1:22" ht="125.1" customHeight="1" x14ac:dyDescent="0.25">
      <c r="A9" s="12"/>
      <c r="B9" s="14"/>
      <c r="C9" s="38"/>
      <c r="D9" s="38"/>
      <c r="E9" s="38"/>
      <c r="F9" s="15" t="s">
        <v>3</v>
      </c>
      <c r="G9" s="15" t="s">
        <v>4</v>
      </c>
      <c r="H9" s="15" t="s">
        <v>5</v>
      </c>
      <c r="I9" s="15" t="s">
        <v>23</v>
      </c>
      <c r="J9" s="15" t="s">
        <v>26</v>
      </c>
      <c r="K9" s="15" t="s">
        <v>27</v>
      </c>
      <c r="L9" s="15" t="s">
        <v>28</v>
      </c>
      <c r="M9" s="15" t="s">
        <v>6</v>
      </c>
      <c r="N9" s="15" t="s">
        <v>24</v>
      </c>
      <c r="O9" s="15" t="s">
        <v>29</v>
      </c>
      <c r="P9" s="15" t="s">
        <v>30</v>
      </c>
      <c r="Q9" s="15" t="s">
        <v>7</v>
      </c>
      <c r="R9" s="15" t="s">
        <v>31</v>
      </c>
      <c r="S9" s="15" t="s">
        <v>32</v>
      </c>
      <c r="T9" s="45"/>
      <c r="U9" s="23"/>
      <c r="V9" s="21"/>
    </row>
    <row r="10" spans="1:22" s="13" customFormat="1" ht="15" customHeight="1" x14ac:dyDescent="0.25">
      <c r="A10" s="12"/>
      <c r="B10" s="14"/>
      <c r="C10" s="29" t="s">
        <v>37</v>
      </c>
      <c r="D10" s="29">
        <v>1</v>
      </c>
      <c r="E10" s="32" t="s">
        <v>39</v>
      </c>
      <c r="F10" s="33">
        <v>8</v>
      </c>
      <c r="G10" s="33">
        <v>5</v>
      </c>
      <c r="H10" s="33">
        <v>8</v>
      </c>
      <c r="I10" s="33">
        <v>8</v>
      </c>
      <c r="J10" s="33" t="s">
        <v>33</v>
      </c>
      <c r="K10" s="33">
        <v>6</v>
      </c>
      <c r="L10" s="33">
        <v>5</v>
      </c>
      <c r="M10" s="33">
        <v>8</v>
      </c>
      <c r="N10" s="33">
        <v>6</v>
      </c>
      <c r="O10" s="33">
        <v>4</v>
      </c>
      <c r="P10" s="33">
        <v>4</v>
      </c>
      <c r="Q10" s="33">
        <v>5</v>
      </c>
      <c r="R10" s="33">
        <v>4</v>
      </c>
      <c r="S10" s="33">
        <v>6</v>
      </c>
      <c r="T10" s="28" t="str">
        <f ca="1">IF(COUNTIF(OFFSET($E10,0,1):OFFSET(T10,0,-1),"=*")&gt;0,IF($C10="К","-"," - "),IF(COUNTIF(OFFSET($E10,0,1):OFFSET(T10,0,-1),"&lt;4")&gt;0,IF(C10="К","-"," - "),(IFERROR(AVERAGE(OFFSET($E10,0,1):OFFSET(T10,0,-1)),"Очікую"))))</f>
        <v xml:space="preserve"> - </v>
      </c>
      <c r="U10" s="25"/>
      <c r="V10" s="21"/>
    </row>
    <row r="11" spans="1:22" s="13" customFormat="1" ht="15" customHeight="1" x14ac:dyDescent="0.25">
      <c r="A11" s="12"/>
      <c r="B11" s="14"/>
      <c r="C11" s="29" t="s">
        <v>37</v>
      </c>
      <c r="D11" s="29">
        <v>2</v>
      </c>
      <c r="E11" s="32" t="s">
        <v>40</v>
      </c>
      <c r="F11" s="33">
        <v>11</v>
      </c>
      <c r="G11" s="33">
        <v>9</v>
      </c>
      <c r="H11" s="33">
        <v>10</v>
      </c>
      <c r="I11" s="33">
        <v>8</v>
      </c>
      <c r="J11" s="33">
        <v>8</v>
      </c>
      <c r="K11" s="33">
        <v>7</v>
      </c>
      <c r="L11" s="33">
        <v>9</v>
      </c>
      <c r="M11" s="33">
        <v>8</v>
      </c>
      <c r="N11" s="33">
        <v>7</v>
      </c>
      <c r="O11" s="33">
        <v>8</v>
      </c>
      <c r="P11" s="33">
        <v>7</v>
      </c>
      <c r="Q11" s="33">
        <v>7</v>
      </c>
      <c r="R11" s="33">
        <v>10</v>
      </c>
      <c r="S11" s="33">
        <v>8</v>
      </c>
      <c r="T11" s="28">
        <f ca="1">IF(COUNTIF(OFFSET($E11,0,1):OFFSET(T11,0,-1),"=*")&gt;0,IF($C11="К","-"," - "),IF(COUNTIF(OFFSET($E11,0,1):OFFSET(T11,0,-1),"&lt;4")&gt;0,IF(C11="К","-"," - "),(IFERROR(AVERAGE(OFFSET($E11,0,1):OFFSET(T11,0,-1)),"Очікую"))))</f>
        <v>8.3571428571428577</v>
      </c>
      <c r="U11" s="25"/>
      <c r="V11" s="21"/>
    </row>
    <row r="12" spans="1:22" s="13" customFormat="1" ht="15" customHeight="1" x14ac:dyDescent="0.25">
      <c r="A12" s="12"/>
      <c r="B12" s="14"/>
      <c r="C12" s="29" t="s">
        <v>37</v>
      </c>
      <c r="D12" s="29">
        <v>3</v>
      </c>
      <c r="E12" s="32" t="s">
        <v>41</v>
      </c>
      <c r="F12" s="33">
        <v>10</v>
      </c>
      <c r="G12" s="33">
        <v>8</v>
      </c>
      <c r="H12" s="33">
        <v>10</v>
      </c>
      <c r="I12" s="33">
        <v>6</v>
      </c>
      <c r="J12" s="33" t="s">
        <v>33</v>
      </c>
      <c r="K12" s="33">
        <v>4</v>
      </c>
      <c r="L12" s="33">
        <v>7</v>
      </c>
      <c r="M12" s="33">
        <v>7</v>
      </c>
      <c r="N12" s="33">
        <v>4</v>
      </c>
      <c r="O12" s="33">
        <v>4</v>
      </c>
      <c r="P12" s="33">
        <v>5</v>
      </c>
      <c r="Q12" s="33">
        <v>4</v>
      </c>
      <c r="R12" s="33">
        <v>5</v>
      </c>
      <c r="S12" s="33">
        <v>4</v>
      </c>
      <c r="T12" s="28" t="str">
        <f ca="1">IF(COUNTIF(OFFSET($E12,0,1):OFFSET(T12,0,-1),"=*")&gt;0,IF($C12="К","-"," - "),IF(COUNTIF(OFFSET($E12,0,1):OFFSET(T12,0,-1),"&lt;4")&gt;0,IF(C12="К","-"," - "),(IFERROR(AVERAGE(OFFSET($E12,0,1):OFFSET(T12,0,-1)),"Очікую"))))</f>
        <v xml:space="preserve"> - </v>
      </c>
      <c r="U12" s="25"/>
      <c r="V12" s="21"/>
    </row>
    <row r="13" spans="1:22" s="13" customFormat="1" ht="15" customHeight="1" x14ac:dyDescent="0.25">
      <c r="A13" s="12"/>
      <c r="B13" s="14"/>
      <c r="C13" s="29" t="s">
        <v>37</v>
      </c>
      <c r="D13" s="29">
        <v>4</v>
      </c>
      <c r="E13" s="32" t="s">
        <v>42</v>
      </c>
      <c r="F13" s="33">
        <v>10</v>
      </c>
      <c r="G13" s="33">
        <v>9</v>
      </c>
      <c r="H13" s="33">
        <v>10</v>
      </c>
      <c r="I13" s="33">
        <v>10</v>
      </c>
      <c r="J13" s="33">
        <v>9</v>
      </c>
      <c r="K13" s="33">
        <v>9</v>
      </c>
      <c r="L13" s="33">
        <v>9</v>
      </c>
      <c r="M13" s="33">
        <v>8</v>
      </c>
      <c r="N13" s="33">
        <v>7</v>
      </c>
      <c r="O13" s="33">
        <v>4</v>
      </c>
      <c r="P13" s="33">
        <v>5</v>
      </c>
      <c r="Q13" s="33">
        <v>8</v>
      </c>
      <c r="R13" s="33">
        <v>10</v>
      </c>
      <c r="S13" s="33">
        <v>8</v>
      </c>
      <c r="T13" s="28">
        <f ca="1">IF(COUNTIF(OFFSET($E13,0,1):OFFSET(T13,0,-1),"=*")&gt;0,IF($C13="К","-"," - "),IF(COUNTIF(OFFSET($E13,0,1):OFFSET(T13,0,-1),"&lt;4")&gt;0,IF(C13="К","-"," - "),(IFERROR(AVERAGE(OFFSET($E13,0,1):OFFSET(T13,0,-1)),"Очікую"))))</f>
        <v>8.2857142857142865</v>
      </c>
      <c r="U13" s="25"/>
      <c r="V13" s="21"/>
    </row>
    <row r="14" spans="1:22" s="13" customFormat="1" ht="15" customHeight="1" x14ac:dyDescent="0.25">
      <c r="A14" s="12"/>
      <c r="B14" s="14"/>
      <c r="C14" s="29" t="s">
        <v>9</v>
      </c>
      <c r="D14" s="29">
        <v>5</v>
      </c>
      <c r="E14" s="32" t="s">
        <v>43</v>
      </c>
      <c r="F14" s="33">
        <v>4</v>
      </c>
      <c r="G14" s="33">
        <v>5</v>
      </c>
      <c r="H14" s="33">
        <v>4</v>
      </c>
      <c r="I14" s="33">
        <v>7</v>
      </c>
      <c r="J14" s="33">
        <v>4</v>
      </c>
      <c r="K14" s="33">
        <v>4</v>
      </c>
      <c r="L14" s="33">
        <v>7</v>
      </c>
      <c r="M14" s="33">
        <v>4</v>
      </c>
      <c r="N14" s="33">
        <v>7</v>
      </c>
      <c r="O14" s="33">
        <v>7</v>
      </c>
      <c r="P14" s="33">
        <v>7</v>
      </c>
      <c r="Q14" s="33">
        <v>7</v>
      </c>
      <c r="R14" s="33">
        <v>4</v>
      </c>
      <c r="S14" s="33">
        <v>7</v>
      </c>
      <c r="T14" s="28">
        <f ca="1">IF(COUNTIF(OFFSET($E14,0,1):OFFSET(T14,0,-1),"=*")&gt;0,IF($C14="К","-"," - "),IF(COUNTIF(OFFSET($E14,0,1):OFFSET(T14,0,-1),"&lt;4")&gt;0,IF(C14="К","-"," - "),(IFERROR(AVERAGE(OFFSET($E14,0,1):OFFSET(T14,0,-1)),"Очікую"))))</f>
        <v>5.5714285714285712</v>
      </c>
      <c r="U14" s="25"/>
      <c r="V14" s="21"/>
    </row>
    <row r="15" spans="1:22" s="13" customFormat="1" ht="15" customHeight="1" x14ac:dyDescent="0.25">
      <c r="A15" s="12"/>
      <c r="B15" s="14"/>
      <c r="C15" s="29" t="s">
        <v>37</v>
      </c>
      <c r="D15" s="29">
        <v>6</v>
      </c>
      <c r="E15" s="32" t="s">
        <v>44</v>
      </c>
      <c r="F15" s="33">
        <v>11</v>
      </c>
      <c r="G15" s="33">
        <v>8</v>
      </c>
      <c r="H15" s="33">
        <v>9</v>
      </c>
      <c r="I15" s="33">
        <v>7</v>
      </c>
      <c r="J15" s="33">
        <v>5</v>
      </c>
      <c r="K15" s="33">
        <v>4</v>
      </c>
      <c r="L15" s="33">
        <v>7</v>
      </c>
      <c r="M15" s="33">
        <v>8</v>
      </c>
      <c r="N15" s="33">
        <v>4</v>
      </c>
      <c r="O15" s="33">
        <v>4</v>
      </c>
      <c r="P15" s="33">
        <v>4</v>
      </c>
      <c r="Q15" s="33">
        <v>4</v>
      </c>
      <c r="R15" s="33">
        <v>4</v>
      </c>
      <c r="S15" s="33">
        <v>7</v>
      </c>
      <c r="T15" s="28">
        <f ca="1">IF(COUNTIF(OFFSET($E15,0,1):OFFSET(T15,0,-1),"=*")&gt;0,IF($C15="К","-"," - "),IF(COUNTIF(OFFSET($E15,0,1):OFFSET(T15,0,-1),"&lt;4")&gt;0,IF(C15="К","-"," - "),(IFERROR(AVERAGE(OFFSET($E15,0,1):OFFSET(T15,0,-1)),"Очікую"))))</f>
        <v>6.1428571428571432</v>
      </c>
      <c r="U15" s="25"/>
      <c r="V15" s="21"/>
    </row>
    <row r="16" spans="1:22" s="13" customFormat="1" ht="15" customHeight="1" x14ac:dyDescent="0.25">
      <c r="A16" s="12"/>
      <c r="B16" s="14"/>
      <c r="C16" s="29" t="s">
        <v>37</v>
      </c>
      <c r="D16" s="29">
        <v>7</v>
      </c>
      <c r="E16" s="32" t="s">
        <v>45</v>
      </c>
      <c r="F16" s="33">
        <v>10</v>
      </c>
      <c r="G16" s="33">
        <v>8</v>
      </c>
      <c r="H16" s="33">
        <v>8</v>
      </c>
      <c r="I16" s="33">
        <v>9</v>
      </c>
      <c r="J16" s="33">
        <v>7</v>
      </c>
      <c r="K16" s="33">
        <v>6</v>
      </c>
      <c r="L16" s="33">
        <v>5</v>
      </c>
      <c r="M16" s="33">
        <v>9</v>
      </c>
      <c r="N16" s="33">
        <v>4</v>
      </c>
      <c r="O16" s="33">
        <v>4</v>
      </c>
      <c r="P16" s="33">
        <v>4</v>
      </c>
      <c r="Q16" s="33">
        <v>5</v>
      </c>
      <c r="R16" s="33">
        <v>8</v>
      </c>
      <c r="S16" s="33">
        <v>5</v>
      </c>
      <c r="T16" s="28">
        <f ca="1">IF(COUNTIF(OFFSET($E16,0,1):OFFSET(T16,0,-1),"=*")&gt;0,IF($C16="К","-"," - "),IF(COUNTIF(OFFSET($E16,0,1):OFFSET(T16,0,-1),"&lt;4")&gt;0,IF(C16="К","-"," - "),(IFERROR(AVERAGE(OFFSET($E16,0,1):OFFSET(T16,0,-1)),"Очікую"))))</f>
        <v>6.5714285714285712</v>
      </c>
      <c r="U16" s="25"/>
      <c r="V16" s="21"/>
    </row>
    <row r="17" spans="1:22" s="13" customFormat="1" ht="15" customHeight="1" x14ac:dyDescent="0.25">
      <c r="A17" s="12"/>
      <c r="B17" s="14"/>
      <c r="C17" s="29" t="s">
        <v>37</v>
      </c>
      <c r="D17" s="29">
        <v>8</v>
      </c>
      <c r="E17" s="32" t="s">
        <v>46</v>
      </c>
      <c r="F17" s="33">
        <v>9</v>
      </c>
      <c r="G17" s="33">
        <v>9</v>
      </c>
      <c r="H17" s="33">
        <v>9</v>
      </c>
      <c r="I17" s="33">
        <v>9</v>
      </c>
      <c r="J17" s="33">
        <v>4</v>
      </c>
      <c r="K17" s="33">
        <v>5</v>
      </c>
      <c r="L17" s="33">
        <v>7</v>
      </c>
      <c r="M17" s="33">
        <v>8</v>
      </c>
      <c r="N17" s="33">
        <v>6</v>
      </c>
      <c r="O17" s="33">
        <v>7</v>
      </c>
      <c r="P17" s="33">
        <v>7</v>
      </c>
      <c r="Q17" s="33">
        <v>5</v>
      </c>
      <c r="R17" s="33">
        <v>7</v>
      </c>
      <c r="S17" s="33">
        <v>7</v>
      </c>
      <c r="T17" s="28">
        <f ca="1">IF(COUNTIF(OFFSET($E17,0,1):OFFSET(T17,0,-1),"=*")&gt;0,IF($C17="К","-"," - "),IF(COUNTIF(OFFSET($E17,0,1):OFFSET(T17,0,-1),"&lt;4")&gt;0,IF(C17="К","-"," - "),(IFERROR(AVERAGE(OFFSET($E17,0,1):OFFSET(T17,0,-1)),"Очікую"))))</f>
        <v>7.0714285714285712</v>
      </c>
      <c r="U17" s="25"/>
      <c r="V17" s="21"/>
    </row>
    <row r="18" spans="1:22" s="13" customFormat="1" ht="15" customHeight="1" x14ac:dyDescent="0.25">
      <c r="A18" s="12"/>
      <c r="B18" s="14"/>
      <c r="C18" s="29" t="s">
        <v>37</v>
      </c>
      <c r="D18" s="29">
        <v>9</v>
      </c>
      <c r="E18" s="32" t="s">
        <v>47</v>
      </c>
      <c r="F18" s="33">
        <v>4</v>
      </c>
      <c r="G18" s="33">
        <v>5</v>
      </c>
      <c r="H18" s="33">
        <v>4</v>
      </c>
      <c r="I18" s="33">
        <v>7</v>
      </c>
      <c r="J18" s="33">
        <v>4</v>
      </c>
      <c r="K18" s="33">
        <v>4</v>
      </c>
      <c r="L18" s="33">
        <v>4</v>
      </c>
      <c r="M18" s="33">
        <v>4</v>
      </c>
      <c r="N18" s="33">
        <v>5</v>
      </c>
      <c r="O18" s="33">
        <v>7</v>
      </c>
      <c r="P18" s="33">
        <v>7</v>
      </c>
      <c r="Q18" s="33">
        <v>7</v>
      </c>
      <c r="R18" s="33">
        <v>4</v>
      </c>
      <c r="S18" s="33">
        <v>4</v>
      </c>
      <c r="T18" s="28">
        <f ca="1">IF(COUNTIF(OFFSET($E18,0,1):OFFSET(T18,0,-1),"=*")&gt;0,IF($C18="К","-"," - "),IF(COUNTIF(OFFSET($E18,0,1):OFFSET(T18,0,-1),"&lt;4")&gt;0,IF(C18="К","-"," - "),(IFERROR(AVERAGE(OFFSET($E18,0,1):OFFSET(T18,0,-1)),"Очікую"))))</f>
        <v>5</v>
      </c>
      <c r="U18" s="25"/>
      <c r="V18" s="21"/>
    </row>
    <row r="19" spans="1:22" s="13" customFormat="1" ht="15" customHeight="1" x14ac:dyDescent="0.25">
      <c r="A19" s="12"/>
      <c r="B19" s="14"/>
      <c r="C19" s="29" t="s">
        <v>37</v>
      </c>
      <c r="D19" s="29">
        <v>10</v>
      </c>
      <c r="E19" s="32" t="s">
        <v>48</v>
      </c>
      <c r="F19" s="33">
        <v>5</v>
      </c>
      <c r="G19" s="33">
        <v>5</v>
      </c>
      <c r="H19" s="33" t="s">
        <v>33</v>
      </c>
      <c r="I19" s="33">
        <v>4</v>
      </c>
      <c r="J19" s="33">
        <v>4</v>
      </c>
      <c r="K19" s="33">
        <v>4</v>
      </c>
      <c r="L19" s="33" t="s">
        <v>33</v>
      </c>
      <c r="M19" s="33" t="s">
        <v>33</v>
      </c>
      <c r="N19" s="33">
        <v>4</v>
      </c>
      <c r="O19" s="33">
        <v>4</v>
      </c>
      <c r="P19" s="33">
        <v>4</v>
      </c>
      <c r="Q19" s="33" t="s">
        <v>33</v>
      </c>
      <c r="R19" s="33">
        <v>8</v>
      </c>
      <c r="S19" s="33">
        <v>4</v>
      </c>
      <c r="T19" s="28" t="str">
        <f ca="1">IF(COUNTIF(OFFSET($E19,0,1):OFFSET(T19,0,-1),"=*")&gt;0,IF($C19="К","-"," - "),IF(COUNTIF(OFFSET($E19,0,1):OFFSET(T19,0,-1),"&lt;4")&gt;0,IF(C19="К","-"," - "),(IFERROR(AVERAGE(OFFSET($E19,0,1):OFFSET(T19,0,-1)),"Очікую"))))</f>
        <v xml:space="preserve"> - </v>
      </c>
      <c r="U19" s="25"/>
      <c r="V19" s="21"/>
    </row>
    <row r="20" spans="1:22" ht="15" customHeight="1" x14ac:dyDescent="0.25">
      <c r="A20" s="12"/>
      <c r="B20" s="14"/>
      <c r="C20" s="6"/>
      <c r="D20" s="6"/>
      <c r="E20" s="30" t="s">
        <v>10</v>
      </c>
      <c r="F20" s="31">
        <f ca="1">IF(SUM(OFFSET(F$9,1,0):OFFSET(F20,-1,0))=0,IF(COUNTA(OFFSET(F$9,1,0):OFFSET(F20,-1,0))=0,"Очікую",0),SUM(OFFSET(F$9,1,0):OFFSET(F20,-1,0))/OFFSET($D20,-1,0))</f>
        <v>8.1999999999999993</v>
      </c>
      <c r="G20" s="31">
        <f ca="1">IF(SUM(OFFSET(G$9,1,0):OFFSET(G20,-1,0))=0,IF(COUNTA(OFFSET(G$9,1,0):OFFSET(G20,-1,0))=0,"Очікую",0),SUM(OFFSET(G$9,1,0):OFFSET(G20,-1,0))/OFFSET($D20,-1,0))</f>
        <v>7.1</v>
      </c>
      <c r="H20" s="31">
        <f ca="1">IF(SUM(OFFSET(H$9,1,0):OFFSET(H20,-1,0))=0,IF(COUNTA(OFFSET(H$9,1,0):OFFSET(H20,-1,0))=0,"Очікую",0),SUM(OFFSET(H$9,1,0):OFFSET(H20,-1,0))/OFFSET($D20,-1,0))</f>
        <v>7.2</v>
      </c>
      <c r="I20" s="31">
        <f ca="1">IF(SUM(OFFSET(I$9,1,0):OFFSET(I20,-1,0))=0,IF(COUNTA(OFFSET(I$9,1,0):OFFSET(I20,-1,0))=0,"Очікую",0),SUM(OFFSET(I$9,1,0):OFFSET(I20,-1,0))/OFFSET($D20,-1,0))</f>
        <v>7.5</v>
      </c>
      <c r="J20" s="31">
        <f ca="1">IF(SUM(OFFSET(J$9,1,0):OFFSET(J20,-1,0))=0,IF(COUNTA(OFFSET(J$9,1,0):OFFSET(J20,-1,0))=0,"Очікую",0),SUM(OFFSET(J$9,1,0):OFFSET(J20,-1,0))/OFFSET($D20,-1,0))</f>
        <v>4.5</v>
      </c>
      <c r="K20" s="31">
        <f ca="1">IF(SUM(OFFSET(K$9,1,0):OFFSET(K20,-1,0))=0,IF(COUNTA(OFFSET(K$9,1,0):OFFSET(K20,-1,0))=0,"Очікую",0),SUM(OFFSET(K$9,1,0):OFFSET(K20,-1,0))/OFFSET($D20,-1,0))</f>
        <v>5.3</v>
      </c>
      <c r="L20" s="31">
        <f ca="1">IF(SUM(OFFSET(L$9,1,0):OFFSET(L20,-1,0))=0,IF(COUNTA(OFFSET(L$9,1,0):OFFSET(L20,-1,0))=0,"Очікую",0),SUM(OFFSET(L$9,1,0):OFFSET(L20,-1,0))/OFFSET($D20,-1,0))</f>
        <v>6</v>
      </c>
      <c r="M20" s="31">
        <f ca="1">IF(SUM(OFFSET(M$9,1,0):OFFSET(M20,-1,0))=0,IF(COUNTA(OFFSET(M$9,1,0):OFFSET(M20,-1,0))=0,"Очікую",0),SUM(OFFSET(M$9,1,0):OFFSET(M20,-1,0))/OFFSET($D20,-1,0))</f>
        <v>6.4</v>
      </c>
      <c r="N20" s="31">
        <f ca="1">IF(SUM(OFFSET(N$9,1,0):OFFSET(N20,-1,0))=0,IF(COUNTA(OFFSET(N$9,1,0):OFFSET(N20,-1,0))=0,"Очікую",0),SUM(OFFSET(N$9,1,0):OFFSET(N20,-1,0))/OFFSET($D20,-1,0))</f>
        <v>5.4</v>
      </c>
      <c r="O20" s="31">
        <f ca="1">IF(SUM(OFFSET(O$9,1,0):OFFSET(O20,-1,0))=0,IF(COUNTA(OFFSET(O$9,1,0):OFFSET(O20,-1,0))=0,"Очікую",0),SUM(OFFSET(O$9,1,0):OFFSET(O20,-1,0))/OFFSET($D20,-1,0))</f>
        <v>5.3</v>
      </c>
      <c r="P20" s="31">
        <f ca="1">IF(SUM(OFFSET(P$9,1,0):OFFSET(P20,-1,0))=0,IF(COUNTA(OFFSET(P$9,1,0):OFFSET(P20,-1,0))=0,"Очікую",0),SUM(OFFSET(P$9,1,0):OFFSET(P20,-1,0))/OFFSET($D20,-1,0))</f>
        <v>5.4</v>
      </c>
      <c r="Q20" s="31">
        <f ca="1">IF(SUM(OFFSET(Q$9,1,0):OFFSET(Q20,-1,0))=0,IF(COUNTA(OFFSET(Q$9,1,0):OFFSET(Q20,-1,0))=0,"Очікую",0),SUM(OFFSET(Q$9,1,0):OFFSET(Q20,-1,0))/OFFSET($D20,-1,0))</f>
        <v>5.2</v>
      </c>
      <c r="R20" s="31">
        <f ca="1">IF(SUM(OFFSET(R$9,1,0):OFFSET(R20,-1,0))=0,IF(COUNTA(OFFSET(R$9,1,0):OFFSET(R20,-1,0))=0,"Очікую",0),SUM(OFFSET(R$9,1,0):OFFSET(R20,-1,0))/OFFSET($D20,-1,0))</f>
        <v>6.4</v>
      </c>
      <c r="S20" s="31">
        <f ca="1">IF(SUM(OFFSET(S$9,1,0):OFFSET(S20,-1,0))=0,IF(COUNTA(OFFSET(S$9,1,0):OFFSET(S20,-1,0))=0,"Очікую",0),SUM(OFFSET(S$9,1,0):OFFSET(S20,-1,0))/OFFSET($D20,-1,0))</f>
        <v>6</v>
      </c>
      <c r="T20" s="9">
        <f ca="1">IFERROR(AVERAGE(OFFSET($E20,0,1):OFFSET(T20,0,-1)),"Очікую")</f>
        <v>6.1357142857142861</v>
      </c>
      <c r="U20" s="23"/>
      <c r="V20" s="21"/>
    </row>
    <row r="21" spans="1:22" ht="15" customHeight="1" x14ac:dyDescent="0.25">
      <c r="A21" s="12"/>
      <c r="B21" s="14"/>
      <c r="C21" s="6"/>
      <c r="D21" s="6"/>
      <c r="E21" s="7" t="s">
        <v>11</v>
      </c>
      <c r="F21" s="10">
        <f ca="1">IF(SUM(OFFSET(F$9,1,0):OFFSET(F20,-1,0))=0,IF(COUNTA(OFFSET(F$9,1,0):OFFSET(F20,-1,0))=0,"Очікую",0),IF(COUNTIF(OFFSET(F$9,1,0):OFFSET(F20,-1,0),"&gt;=4")=0,0,COUNTIF(OFFSET(F$9,1,0):OFFSET(F20,-1,0),"&gt;=4")/OFFSET($D20,-1,0)*100))</f>
        <v>100</v>
      </c>
      <c r="G21" s="10">
        <f ca="1">IF(SUM(OFFSET(G$9,1,0):OFFSET(G20,-1,0))=0,IF(COUNTA(OFFSET(G$9,1,0):OFFSET(G20,-1,0))=0,"Очікую",0),IF(COUNTIF(OFFSET(G$9,1,0):OFFSET(G20,-1,0),"&gt;=4")=0,0,COUNTIF(OFFSET(G$9,1,0):OFFSET(G20,-1,0),"&gt;=4")/OFFSET($D20,-1,0)*100))</f>
        <v>100</v>
      </c>
      <c r="H21" s="10">
        <f ca="1">IF(SUM(OFFSET(H$9,1,0):OFFSET(H20,-1,0))=0,IF(COUNTA(OFFSET(H$9,1,0):OFFSET(H20,-1,0))=0,"Очікую",0),IF(COUNTIF(OFFSET(H$9,1,0):OFFSET(H20,-1,0),"&gt;=4")=0,0,COUNTIF(OFFSET(H$9,1,0):OFFSET(H20,-1,0),"&gt;=4")/OFFSET($D20,-1,0)*100))</f>
        <v>90</v>
      </c>
      <c r="I21" s="10">
        <f ca="1">IF(SUM(OFFSET(I$9,1,0):OFFSET(I20,-1,0))=0,IF(COUNTA(OFFSET(I$9,1,0):OFFSET(I20,-1,0))=0,"Очікую",0),IF(COUNTIF(OFFSET(I$9,1,0):OFFSET(I20,-1,0),"&gt;=4")=0,0,COUNTIF(OFFSET(I$9,1,0):OFFSET(I20,-1,0),"&gt;=4")/OFFSET($D20,-1,0)*100))</f>
        <v>100</v>
      </c>
      <c r="J21" s="10">
        <f ca="1">IF(SUM(OFFSET(J$9,1,0):OFFSET(J20,-1,0))=0,IF(COUNTA(OFFSET(J$9,1,0):OFFSET(J20,-1,0))=0,"Очікую",0),IF(COUNTIF(OFFSET(J$9,1,0):OFFSET(J20,-1,0),"&gt;=4")=0,0,COUNTIF(OFFSET(J$9,1,0):OFFSET(J20,-1,0),"&gt;=4")/OFFSET($D20,-1,0)*100))</f>
        <v>80</v>
      </c>
      <c r="K21" s="10">
        <f ca="1">IF(SUM(OFFSET(K$9,1,0):OFFSET(K20,-1,0))=0,IF(COUNTA(OFFSET(K$9,1,0):OFFSET(K20,-1,0))=0,"Очікую",0),IF(COUNTIF(OFFSET(K$9,1,0):OFFSET(K20,-1,0),"&gt;=4")=0,0,COUNTIF(OFFSET(K$9,1,0):OFFSET(K20,-1,0),"&gt;=4")/OFFSET($D20,-1,0)*100))</f>
        <v>100</v>
      </c>
      <c r="L21" s="10">
        <f ca="1">IF(SUM(OFFSET(L$9,1,0):OFFSET(L20,-1,0))=0,IF(COUNTA(OFFSET(L$9,1,0):OFFSET(L20,-1,0))=0,"Очікую",0),IF(COUNTIF(OFFSET(L$9,1,0):OFFSET(L20,-1,0),"&gt;=4")=0,0,COUNTIF(OFFSET(L$9,1,0):OFFSET(L20,-1,0),"&gt;=4")/OFFSET($D20,-1,0)*100))</f>
        <v>90</v>
      </c>
      <c r="M21" s="10">
        <f ca="1">IF(SUM(OFFSET(M$9,1,0):OFFSET(M20,-1,0))=0,IF(COUNTA(OFFSET(M$9,1,0):OFFSET(M20,-1,0))=0,"Очікую",0),IF(COUNTIF(OFFSET(M$9,1,0):OFFSET(M20,-1,0),"&gt;=4")=0,0,COUNTIF(OFFSET(M$9,1,0):OFFSET(M20,-1,0),"&gt;=4")/OFFSET($D20,-1,0)*100))</f>
        <v>90</v>
      </c>
      <c r="N21" s="10">
        <f ca="1">IF(SUM(OFFSET(N$9,1,0):OFFSET(N20,-1,0))=0,IF(COUNTA(OFFSET(N$9,1,0):OFFSET(N20,-1,0))=0,"Очікую",0),IF(COUNTIF(OFFSET(N$9,1,0):OFFSET(N20,-1,0),"&gt;=4")=0,0,COUNTIF(OFFSET(N$9,1,0):OFFSET(N20,-1,0),"&gt;=4")/OFFSET($D20,-1,0)*100))</f>
        <v>100</v>
      </c>
      <c r="O21" s="10">
        <f ca="1">IF(SUM(OFFSET(O$9,1,0):OFFSET(O20,-1,0))=0,IF(COUNTA(OFFSET(O$9,1,0):OFFSET(O20,-1,0))=0,"Очікую",0),IF(COUNTIF(OFFSET(O$9,1,0):OFFSET(O20,-1,0),"&gt;=4")=0,0,COUNTIF(OFFSET(O$9,1,0):OFFSET(O20,-1,0),"&gt;=4")/OFFSET($D20,-1,0)*100))</f>
        <v>100</v>
      </c>
      <c r="P21" s="10">
        <f ca="1">IF(SUM(OFFSET(P$9,1,0):OFFSET(P20,-1,0))=0,IF(COUNTA(OFFSET(P$9,1,0):OFFSET(P20,-1,0))=0,"Очікую",0),IF(COUNTIF(OFFSET(P$9,1,0):OFFSET(P20,-1,0),"&gt;=4")=0,0,COUNTIF(OFFSET(P$9,1,0):OFFSET(P20,-1,0),"&gt;=4")/OFFSET($D20,-1,0)*100))</f>
        <v>100</v>
      </c>
      <c r="Q21" s="10">
        <f ca="1">IF(SUM(OFFSET(Q$9,1,0):OFFSET(Q20,-1,0))=0,IF(COUNTA(OFFSET(Q$9,1,0):OFFSET(Q20,-1,0))=0,"Очікую",0),IF(COUNTIF(OFFSET(Q$9,1,0):OFFSET(Q20,-1,0),"&gt;=4")=0,0,COUNTIF(OFFSET(Q$9,1,0):OFFSET(Q20,-1,0),"&gt;=4")/OFFSET($D20,-1,0)*100))</f>
        <v>90</v>
      </c>
      <c r="R21" s="10">
        <f ca="1">IF(SUM(OFFSET(R$9,1,0):OFFSET(R20,-1,0))=0,IF(COUNTA(OFFSET(R$9,1,0):OFFSET(R20,-1,0))=0,"Очікую",0),IF(COUNTIF(OFFSET(R$9,1,0):OFFSET(R20,-1,0),"&gt;=4")=0,0,COUNTIF(OFFSET(R$9,1,0):OFFSET(R20,-1,0),"&gt;=4")/OFFSET($D20,-1,0)*100))</f>
        <v>100</v>
      </c>
      <c r="S21" s="10">
        <f ca="1">IF(SUM(OFFSET(S$9,1,0):OFFSET(S20,-1,0))=0,IF(COUNTA(OFFSET(S$9,1,0):OFFSET(S20,-1,0))=0,"Очікую",0),IF(COUNTIF(OFFSET(S$9,1,0):OFFSET(S20,-1,0),"&gt;=4")=0,0,COUNTIF(OFFSET(S$9,1,0):OFFSET(S20,-1,0),"&gt;=4")/OFFSET($D20,-1,0)*100))</f>
        <v>100</v>
      </c>
      <c r="T21" s="6"/>
      <c r="U21" s="23"/>
      <c r="V21" s="21"/>
    </row>
    <row r="22" spans="1:22" ht="15" customHeight="1" x14ac:dyDescent="0.25">
      <c r="A22" s="12"/>
      <c r="B22" s="14"/>
      <c r="C22" s="6"/>
      <c r="D22" s="6"/>
      <c r="E22" s="7" t="s">
        <v>12</v>
      </c>
      <c r="F22" s="10">
        <f ca="1">IF(SUM(OFFSET(F$9,1,0):OFFSET(F20,-1,0))=0,IF(COUNTA(OFFSET(F$9,1,0):OFFSET(F20,-1,0))=0,"Очікую",0),IF(COUNTIF(OFFSET(F$9,1,0):OFFSET(F20,-1,0),"&gt;=7")=0,0,COUNTIF(OFFSET(F$9,1,0):OFFSET(F20,-1,0),"&gt;=7")/OFFSET($D20,-1,0)*100))</f>
        <v>70</v>
      </c>
      <c r="G22" s="10">
        <f ca="1">IF(SUM(OFFSET(G$9,1,0):OFFSET(G20,-1,0))=0,IF(COUNTA(OFFSET(G$9,1,0):OFFSET(G20,-1,0))=0,"Очікую",0),IF(COUNTIF(OFFSET(G$9,1,0):OFFSET(G20,-1,0),"&gt;=7")=0,0,COUNTIF(OFFSET(G$9,1,0):OFFSET(G20,-1,0),"&gt;=7")/OFFSET($D20,-1,0)*100))</f>
        <v>60</v>
      </c>
      <c r="H22" s="10">
        <f ca="1">IF(SUM(OFFSET(H$9,1,0):OFFSET(H20,-1,0))=0,IF(COUNTA(OFFSET(H$9,1,0):OFFSET(H20,-1,0))=0,"Очікую",0),IF(COUNTIF(OFFSET(H$9,1,0):OFFSET(H20,-1,0),"&gt;=7")=0,0,COUNTIF(OFFSET(H$9,1,0):OFFSET(H20,-1,0),"&gt;=7")/OFFSET($D20,-1,0)*100))</f>
        <v>70</v>
      </c>
      <c r="I22" s="10">
        <f ca="1">IF(SUM(OFFSET(I$9,1,0):OFFSET(I20,-1,0))=0,IF(COUNTA(OFFSET(I$9,1,0):OFFSET(I20,-1,0))=0,"Очікую",0),IF(COUNTIF(OFFSET(I$9,1,0):OFFSET(I20,-1,0),"&gt;=7")=0,0,COUNTIF(OFFSET(I$9,1,0):OFFSET(I20,-1,0),"&gt;=7")/OFFSET($D20,-1,0)*100))</f>
        <v>80</v>
      </c>
      <c r="J22" s="10">
        <f ca="1">IF(SUM(OFFSET(J$9,1,0):OFFSET(J20,-1,0))=0,IF(COUNTA(OFFSET(J$9,1,0):OFFSET(J20,-1,0))=0,"Очікую",0),IF(COUNTIF(OFFSET(J$9,1,0):OFFSET(J20,-1,0),"&gt;=7")=0,0,COUNTIF(OFFSET(J$9,1,0):OFFSET(J20,-1,0),"&gt;=7")/OFFSET($D20,-1,0)*100))</f>
        <v>30</v>
      </c>
      <c r="K22" s="10">
        <f ca="1">IF(SUM(OFFSET(K$9,1,0):OFFSET(K20,-1,0))=0,IF(COUNTA(OFFSET(K$9,1,0):OFFSET(K20,-1,0))=0,"Очікую",0),IF(COUNTIF(OFFSET(K$9,1,0):OFFSET(K20,-1,0),"&gt;=7")=0,0,COUNTIF(OFFSET(K$9,1,0):OFFSET(K20,-1,0),"&gt;=7")/OFFSET($D20,-1,0)*100))</f>
        <v>20</v>
      </c>
      <c r="L22" s="10">
        <f ca="1">IF(SUM(OFFSET(L$9,1,0):OFFSET(L20,-1,0))=0,IF(COUNTA(OFFSET(L$9,1,0):OFFSET(L20,-1,0))=0,"Очікую",0),IF(COUNTIF(OFFSET(L$9,1,0):OFFSET(L20,-1,0),"&gt;=7")=0,0,COUNTIF(OFFSET(L$9,1,0):OFFSET(L20,-1,0),"&gt;=7")/OFFSET($D20,-1,0)*100))</f>
        <v>60</v>
      </c>
      <c r="M22" s="10">
        <f ca="1">IF(SUM(OFFSET(M$9,1,0):OFFSET(M20,-1,0))=0,IF(COUNTA(OFFSET(M$9,1,0):OFFSET(M20,-1,0))=0,"Очікую",0),IF(COUNTIF(OFFSET(M$9,1,0):OFFSET(M20,-1,0),"&gt;=7")=0,0,COUNTIF(OFFSET(M$9,1,0):OFFSET(M20,-1,0),"&gt;=7")/OFFSET($D20,-1,0)*100))</f>
        <v>70</v>
      </c>
      <c r="N22" s="10">
        <f ca="1">IF(SUM(OFFSET(N$9,1,0):OFFSET(N20,-1,0))=0,IF(COUNTA(OFFSET(N$9,1,0):OFFSET(N20,-1,0))=0,"Очікую",0),IF(COUNTIF(OFFSET(N$9,1,0):OFFSET(N20,-1,0),"&gt;=7")=0,0,COUNTIF(OFFSET(N$9,1,0):OFFSET(N20,-1,0),"&gt;=7")/OFFSET($D20,-1,0)*100))</f>
        <v>30</v>
      </c>
      <c r="O22" s="10">
        <f ca="1">IF(SUM(OFFSET(O$9,1,0):OFFSET(O20,-1,0))=0,IF(COUNTA(OFFSET(O$9,1,0):OFFSET(O20,-1,0))=0,"Очікую",0),IF(COUNTIF(OFFSET(O$9,1,0):OFFSET(O20,-1,0),"&gt;=7")=0,0,COUNTIF(OFFSET(O$9,1,0):OFFSET(O20,-1,0),"&gt;=7")/OFFSET($D20,-1,0)*100))</f>
        <v>40</v>
      </c>
      <c r="P22" s="10">
        <f ca="1">IF(SUM(OFFSET(P$9,1,0):OFFSET(P20,-1,0))=0,IF(COUNTA(OFFSET(P$9,1,0):OFFSET(P20,-1,0))=0,"Очікую",0),IF(COUNTIF(OFFSET(P$9,1,0):OFFSET(P20,-1,0),"&gt;=7")=0,0,COUNTIF(OFFSET(P$9,1,0):OFFSET(P20,-1,0),"&gt;=7")/OFFSET($D20,-1,0)*100))</f>
        <v>40</v>
      </c>
      <c r="Q22" s="10">
        <f ca="1">IF(SUM(OFFSET(Q$9,1,0):OFFSET(Q20,-1,0))=0,IF(COUNTA(OFFSET(Q$9,1,0):OFFSET(Q20,-1,0))=0,"Очікую",0),IF(COUNTIF(OFFSET(Q$9,1,0):OFFSET(Q20,-1,0),"&gt;=7")=0,0,COUNTIF(OFFSET(Q$9,1,0):OFFSET(Q20,-1,0),"&gt;=7")/OFFSET($D20,-1,0)*100))</f>
        <v>40</v>
      </c>
      <c r="R22" s="10">
        <f ca="1">IF(SUM(OFFSET(R$9,1,0):OFFSET(R20,-1,0))=0,IF(COUNTA(OFFSET(R$9,1,0):OFFSET(R20,-1,0))=0,"Очікую",0),IF(COUNTIF(OFFSET(R$9,1,0):OFFSET(R20,-1,0),"&gt;=7")=0,0,COUNTIF(OFFSET(R$9,1,0):OFFSET(R20,-1,0),"&gt;=7")/OFFSET($D20,-1,0)*100))</f>
        <v>50</v>
      </c>
      <c r="S22" s="10">
        <f ca="1">IF(SUM(OFFSET(S$9,1,0):OFFSET(S20,-1,0))=0,IF(COUNTA(OFFSET(S$9,1,0):OFFSET(S20,-1,0))=0,"Очікую",0),IF(COUNTIF(OFFSET(S$9,1,0):OFFSET(S20,-1,0),"&gt;=7")=0,0,COUNTIF(OFFSET(S$9,1,0):OFFSET(S20,-1,0),"&gt;=7")/OFFSET($D20,-1,0)*100))</f>
        <v>50</v>
      </c>
      <c r="T22" s="6"/>
      <c r="U22" s="23"/>
      <c r="V22" s="21"/>
    </row>
    <row r="23" spans="1:22" ht="15" customHeight="1" x14ac:dyDescent="0.25">
      <c r="A23" s="12"/>
      <c r="B23" s="14"/>
      <c r="C23" s="6"/>
      <c r="D23" s="6"/>
      <c r="E23" s="7" t="s">
        <v>13</v>
      </c>
      <c r="F23" s="8">
        <f ca="1">IFERROR(AVERAGE(OFFSET(E21,0,1):OFFSET(T21,0,-1)),"Очікую")</f>
        <v>95.714285714285708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23"/>
      <c r="V23" s="21"/>
    </row>
    <row r="24" spans="1:22" ht="15" customHeight="1" x14ac:dyDescent="0.25">
      <c r="A24" s="12"/>
      <c r="B24" s="14"/>
      <c r="C24" s="6"/>
      <c r="D24" s="6"/>
      <c r="E24" s="7" t="s">
        <v>14</v>
      </c>
      <c r="F24" s="8">
        <f ca="1">IFERROR(AVERAGE(OFFSET(E22,0,1):OFFSET(T22,0,-1)),"Очікую")</f>
        <v>50.714285714285715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23"/>
      <c r="V24" s="21"/>
    </row>
    <row r="25" spans="1:22" ht="15" customHeight="1" x14ac:dyDescent="0.25">
      <c r="A25" s="12"/>
      <c r="B25" s="14"/>
      <c r="C25" s="6"/>
      <c r="D25" s="6"/>
      <c r="E25" s="7" t="s">
        <v>15</v>
      </c>
      <c r="F25" s="5">
        <f ca="1">IF(COUNTIF(OFFSET(C$9,1,0):OFFSET(C20,-1,0),"=Б")=0,IF(COUNTIF(OFFSET(C$9,1,0):OFFSET(C20,-1,0),"=К")=0,"Очікую",0),COUNTIF(OFFSET(C$9,1,0):OFFSET(C20,-1,0),"=Б"))</f>
        <v>9</v>
      </c>
      <c r="G25" s="6"/>
      <c r="H25" s="11"/>
      <c r="I25" s="6"/>
      <c r="J25" s="6"/>
      <c r="K25" s="6"/>
      <c r="L25" s="6"/>
      <c r="M25" s="6"/>
      <c r="N25" s="6"/>
      <c r="O25" s="6"/>
      <c r="P25" s="26"/>
      <c r="Q25" s="11"/>
      <c r="R25" s="6"/>
      <c r="S25" s="6"/>
      <c r="T25" s="6"/>
      <c r="U25" s="23"/>
      <c r="V25" s="21"/>
    </row>
    <row r="26" spans="1:22" ht="15" customHeight="1" x14ac:dyDescent="0.25">
      <c r="A26" s="12"/>
      <c r="B26" s="14"/>
      <c r="C26" s="6"/>
      <c r="D26" s="6"/>
      <c r="E26" s="7" t="s">
        <v>16</v>
      </c>
      <c r="F26" s="5">
        <f ca="1">IF(COUNTIF(OFFSET(C$9,1,0):OFFSET(C20,-1,0),"=К")=0,IF(COUNTIF(OFFSET(C$9,1,0):OFFSET(C20,-1,0),"=Б")=0,"Очікую",0),COUNTIF(OFFSET(C$9,1,0):OFFSET(C20,-1,0),"=К"))</f>
        <v>1</v>
      </c>
      <c r="G26" s="6"/>
      <c r="H26" s="11" t="s">
        <v>17</v>
      </c>
      <c r="I26" s="6"/>
      <c r="J26" s="6"/>
      <c r="K26" s="6"/>
      <c r="L26" s="6"/>
      <c r="M26" s="6"/>
      <c r="N26" s="6"/>
      <c r="O26" s="6"/>
      <c r="P26" s="26" t="s">
        <v>49</v>
      </c>
      <c r="Q26" s="11"/>
      <c r="R26" s="6"/>
      <c r="S26" s="6"/>
      <c r="T26" s="6"/>
      <c r="U26" s="23"/>
      <c r="V26" s="21"/>
    </row>
    <row r="27" spans="1:22" ht="15" customHeight="1" x14ac:dyDescent="0.25">
      <c r="A27" s="12"/>
      <c r="B27" s="14"/>
      <c r="C27" s="6"/>
      <c r="D27" s="6"/>
      <c r="E27" s="7" t="s">
        <v>18</v>
      </c>
      <c r="F27" s="4">
        <v>0</v>
      </c>
      <c r="G27" s="6"/>
      <c r="H27" s="11"/>
      <c r="I27" s="6"/>
      <c r="J27" s="6"/>
      <c r="K27" s="6"/>
      <c r="L27" s="6"/>
      <c r="M27" s="6"/>
      <c r="N27" s="6"/>
      <c r="O27" s="6"/>
      <c r="P27" s="11"/>
      <c r="Q27" s="11"/>
      <c r="R27" s="6"/>
      <c r="S27" s="6"/>
      <c r="T27" s="6"/>
      <c r="U27" s="23"/>
      <c r="V27" s="21"/>
    </row>
    <row r="28" spans="1:22" ht="15" customHeight="1" x14ac:dyDescent="0.25">
      <c r="A28" s="12"/>
      <c r="B28" s="14"/>
      <c r="C28" s="6"/>
      <c r="D28" s="6"/>
      <c r="E28" s="7" t="s">
        <v>19</v>
      </c>
      <c r="F28" s="5">
        <f ca="1">IF(F25="Очікую","Очікую",IF(F25-COUNTIF(OFFSET(T$8,1,0):OFFSET(T20,-1,0)," - ")&lt;ROUNDDOWN(F25*0.4,0),F25-COUNTIF(OFFSET(T$8,1,0):OFFSET(T20,-1,0)," - "),ROUNDDOWN(F25*0.4,0)))</f>
        <v>3</v>
      </c>
      <c r="G28" s="6"/>
      <c r="H28" s="26" t="s">
        <v>20</v>
      </c>
      <c r="I28" s="6"/>
      <c r="J28" s="6"/>
      <c r="K28" s="6"/>
      <c r="L28" s="6"/>
      <c r="M28" s="6"/>
      <c r="N28" s="6"/>
      <c r="O28" s="6"/>
      <c r="P28" s="26" t="s">
        <v>21</v>
      </c>
      <c r="Q28" s="6"/>
      <c r="R28" s="6"/>
      <c r="S28" s="6"/>
      <c r="T28" s="6"/>
      <c r="U28" s="23"/>
      <c r="V28" s="21"/>
    </row>
    <row r="29" spans="1:22" ht="12" customHeight="1" thickBot="1" x14ac:dyDescent="0.3">
      <c r="A29" s="12"/>
      <c r="B29" s="24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7"/>
      <c r="V29" s="21"/>
    </row>
    <row r="30" spans="1:22" ht="12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21"/>
    </row>
  </sheetData>
  <sheetProtection insertRows="0" deleteRows="0"/>
  <sortState ref="E10:E35">
    <sortCondition ref="E10"/>
  </sortState>
  <mergeCells count="10">
    <mergeCell ref="C7:T7"/>
    <mergeCell ref="C6:T6"/>
    <mergeCell ref="C5:T5"/>
    <mergeCell ref="C3:T3"/>
    <mergeCell ref="C8:C9"/>
    <mergeCell ref="D8:D9"/>
    <mergeCell ref="E8:E9"/>
    <mergeCell ref="C4:T4"/>
    <mergeCell ref="F8:S8"/>
    <mergeCell ref="T8:T9"/>
  </mergeCells>
  <printOptions horizontalCentered="1"/>
  <pageMargins left="0.19685039370078741" right="0.19685039370078741" top="0.19685039370078741" bottom="0.19685039370078741" header="0" footer="0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H28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2" width="2.7109375" style="1" customWidth="1"/>
    <col min="23" max="28" width="14.42578125" style="1" hidden="1" customWidth="1"/>
    <col min="29" max="29" width="14.85546875" style="1" hidden="1" customWidth="1"/>
    <col min="30" max="43" width="3.7109375" style="1" hidden="1" customWidth="1"/>
    <col min="44" max="60" width="5.7109375" style="1" hidden="1" customWidth="1"/>
    <col min="61" max="16384" width="14.42578125" style="1" hidden="1"/>
  </cols>
  <sheetData>
    <row r="1" spans="1:22" ht="12" customHeight="1" thickBot="1" x14ac:dyDescent="0.3">
      <c r="A1" s="27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2" customHeight="1" x14ac:dyDescent="0.25">
      <c r="A2" s="12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2"/>
      <c r="V2" s="21"/>
    </row>
    <row r="3" spans="1:22" s="2" customFormat="1" ht="54.95" customHeight="1" x14ac:dyDescent="0.3">
      <c r="A3" s="12"/>
      <c r="B3" s="14"/>
      <c r="C3" s="36" t="s">
        <v>35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23"/>
      <c r="V3" s="21"/>
    </row>
    <row r="4" spans="1:22" s="3" customFormat="1" ht="15" customHeight="1" x14ac:dyDescent="0.25">
      <c r="A4" s="12"/>
      <c r="B4" s="14"/>
      <c r="C4" s="40" t="s">
        <v>22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23"/>
      <c r="V4" s="21"/>
    </row>
    <row r="5" spans="1:22" s="2" customFormat="1" ht="15" customHeight="1" x14ac:dyDescent="0.25">
      <c r="A5" s="12"/>
      <c r="B5" s="14"/>
      <c r="C5" s="35" t="s">
        <v>38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23"/>
      <c r="V5" s="21"/>
    </row>
    <row r="6" spans="1:22" s="2" customFormat="1" ht="15" customHeight="1" x14ac:dyDescent="0.25">
      <c r="A6" s="12"/>
      <c r="B6" s="14"/>
      <c r="C6" s="35" t="s">
        <v>36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23"/>
      <c r="V6" s="21"/>
    </row>
    <row r="7" spans="1:22" s="2" customFormat="1" ht="15" customHeight="1" x14ac:dyDescent="0.25">
      <c r="A7" s="12"/>
      <c r="B7" s="14"/>
      <c r="C7" s="34" t="s">
        <v>77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23"/>
      <c r="V7" s="21"/>
    </row>
    <row r="8" spans="1:22" ht="15" customHeight="1" x14ac:dyDescent="0.25">
      <c r="A8" s="12"/>
      <c r="B8" s="14"/>
      <c r="C8" s="37" t="s">
        <v>0</v>
      </c>
      <c r="D8" s="39" t="s">
        <v>1</v>
      </c>
      <c r="E8" s="39" t="s">
        <v>2</v>
      </c>
      <c r="F8" s="41" t="s">
        <v>25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3"/>
      <c r="T8" s="44" t="s">
        <v>8</v>
      </c>
      <c r="U8" s="23"/>
      <c r="V8" s="21"/>
    </row>
    <row r="9" spans="1:22" ht="125.1" customHeight="1" x14ac:dyDescent="0.25">
      <c r="A9" s="12"/>
      <c r="B9" s="14"/>
      <c r="C9" s="38"/>
      <c r="D9" s="38"/>
      <c r="E9" s="38"/>
      <c r="F9" s="15" t="s">
        <v>3</v>
      </c>
      <c r="G9" s="15" t="s">
        <v>4</v>
      </c>
      <c r="H9" s="15" t="s">
        <v>5</v>
      </c>
      <c r="I9" s="15" t="s">
        <v>23</v>
      </c>
      <c r="J9" s="15" t="s">
        <v>26</v>
      </c>
      <c r="K9" s="15" t="s">
        <v>27</v>
      </c>
      <c r="L9" s="15" t="s">
        <v>28</v>
      </c>
      <c r="M9" s="15" t="s">
        <v>6</v>
      </c>
      <c r="N9" s="15" t="s">
        <v>24</v>
      </c>
      <c r="O9" s="15" t="s">
        <v>29</v>
      </c>
      <c r="P9" s="15" t="s">
        <v>30</v>
      </c>
      <c r="Q9" s="15" t="s">
        <v>7</v>
      </c>
      <c r="R9" s="15" t="s">
        <v>31</v>
      </c>
      <c r="S9" s="15" t="s">
        <v>32</v>
      </c>
      <c r="T9" s="45"/>
      <c r="U9" s="23"/>
      <c r="V9" s="21"/>
    </row>
    <row r="10" spans="1:22" s="13" customFormat="1" ht="15" customHeight="1" x14ac:dyDescent="0.25">
      <c r="A10" s="12"/>
      <c r="B10" s="14"/>
      <c r="C10" s="29" t="s">
        <v>37</v>
      </c>
      <c r="D10" s="29">
        <v>1</v>
      </c>
      <c r="E10" s="32" t="s">
        <v>50</v>
      </c>
      <c r="F10" s="33">
        <v>11</v>
      </c>
      <c r="G10" s="33">
        <v>9</v>
      </c>
      <c r="H10" s="33">
        <v>10</v>
      </c>
      <c r="I10" s="33">
        <v>11</v>
      </c>
      <c r="J10" s="33">
        <v>9</v>
      </c>
      <c r="K10" s="33">
        <v>11</v>
      </c>
      <c r="L10" s="33">
        <v>10</v>
      </c>
      <c r="M10" s="33">
        <v>10</v>
      </c>
      <c r="N10" s="33">
        <v>10</v>
      </c>
      <c r="O10" s="33">
        <v>11</v>
      </c>
      <c r="P10" s="33">
        <v>10</v>
      </c>
      <c r="Q10" s="33">
        <v>10</v>
      </c>
      <c r="R10" s="33">
        <v>10</v>
      </c>
      <c r="S10" s="33">
        <v>10</v>
      </c>
      <c r="T10" s="28">
        <f ca="1">IF(COUNTIF(OFFSET($E10,0,1):OFFSET(T10,0,-1),"=*")&gt;0,IF($C10="К","-"," - "),IF(COUNTIF(OFFSET($E10,0,1):OFFSET(T10,0,-1),"&lt;4")&gt;0,IF(C10="К","-"," - "),(IFERROR(AVERAGE(OFFSET($E10,0,1):OFFSET(T10,0,-1)),"Очікую"))))</f>
        <v>10.142857142857142</v>
      </c>
      <c r="U10" s="25"/>
      <c r="V10" s="21"/>
    </row>
    <row r="11" spans="1:22" s="13" customFormat="1" ht="15" customHeight="1" x14ac:dyDescent="0.25">
      <c r="A11" s="12"/>
      <c r="B11" s="14"/>
      <c r="C11" s="29" t="s">
        <v>9</v>
      </c>
      <c r="D11" s="29">
        <v>2</v>
      </c>
      <c r="E11" s="32" t="s">
        <v>51</v>
      </c>
      <c r="F11" s="33">
        <v>4</v>
      </c>
      <c r="G11" s="33">
        <v>5</v>
      </c>
      <c r="H11" s="33">
        <v>4</v>
      </c>
      <c r="I11" s="33">
        <v>7</v>
      </c>
      <c r="J11" s="33">
        <v>4</v>
      </c>
      <c r="K11" s="33">
        <v>4</v>
      </c>
      <c r="L11" s="33">
        <v>10</v>
      </c>
      <c r="M11" s="33">
        <v>4</v>
      </c>
      <c r="N11" s="33">
        <v>7</v>
      </c>
      <c r="O11" s="33">
        <v>7</v>
      </c>
      <c r="P11" s="33">
        <v>7</v>
      </c>
      <c r="Q11" s="33">
        <v>7</v>
      </c>
      <c r="R11" s="33">
        <v>7</v>
      </c>
      <c r="S11" s="33">
        <v>7</v>
      </c>
      <c r="T11" s="28">
        <f ca="1">IF(COUNTIF(OFFSET($E11,0,1):OFFSET(T11,0,-1),"=*")&gt;0,IF($C11="К","-"," - "),IF(COUNTIF(OFFSET($E11,0,1):OFFSET(T11,0,-1),"&lt;4")&gt;0,IF(C11="К","-"," - "),(IFERROR(AVERAGE(OFFSET($E11,0,1):OFFSET(T11,0,-1)),"Очікую"))))</f>
        <v>6</v>
      </c>
      <c r="U11" s="25"/>
      <c r="V11" s="21"/>
    </row>
    <row r="12" spans="1:22" s="13" customFormat="1" ht="15" customHeight="1" x14ac:dyDescent="0.25">
      <c r="A12" s="12"/>
      <c r="B12" s="14"/>
      <c r="C12" s="29" t="s">
        <v>9</v>
      </c>
      <c r="D12" s="29">
        <v>3</v>
      </c>
      <c r="E12" s="32" t="s">
        <v>52</v>
      </c>
      <c r="F12" s="33">
        <v>5</v>
      </c>
      <c r="G12" s="33">
        <v>5</v>
      </c>
      <c r="H12" s="33">
        <v>4</v>
      </c>
      <c r="I12" s="33">
        <v>7</v>
      </c>
      <c r="J12" s="33">
        <v>4</v>
      </c>
      <c r="K12" s="33">
        <v>4</v>
      </c>
      <c r="L12" s="33">
        <v>7</v>
      </c>
      <c r="M12" s="33">
        <v>4</v>
      </c>
      <c r="N12" s="33">
        <v>7</v>
      </c>
      <c r="O12" s="33">
        <v>7</v>
      </c>
      <c r="P12" s="33">
        <v>7</v>
      </c>
      <c r="Q12" s="33">
        <v>7</v>
      </c>
      <c r="R12" s="33">
        <v>5</v>
      </c>
      <c r="S12" s="33">
        <v>7</v>
      </c>
      <c r="T12" s="28">
        <f ca="1">IF(COUNTIF(OFFSET($E12,0,1):OFFSET(T12,0,-1),"=*")&gt;0,IF($C12="К","-"," - "),IF(COUNTIF(OFFSET($E12,0,1):OFFSET(T12,0,-1),"&lt;4")&gt;0,IF(C12="К","-"," - "),(IFERROR(AVERAGE(OFFSET($E12,0,1):OFFSET(T12,0,-1)),"Очікую"))))</f>
        <v>5.7142857142857144</v>
      </c>
      <c r="U12" s="25"/>
      <c r="V12" s="21"/>
    </row>
    <row r="13" spans="1:22" s="13" customFormat="1" ht="15" customHeight="1" x14ac:dyDescent="0.25">
      <c r="A13" s="12"/>
      <c r="B13" s="14"/>
      <c r="C13" s="29" t="s">
        <v>37</v>
      </c>
      <c r="D13" s="29">
        <v>4</v>
      </c>
      <c r="E13" s="32" t="s">
        <v>53</v>
      </c>
      <c r="F13" s="33">
        <v>11</v>
      </c>
      <c r="G13" s="33">
        <v>9</v>
      </c>
      <c r="H13" s="33">
        <v>10</v>
      </c>
      <c r="I13" s="33">
        <v>10</v>
      </c>
      <c r="J13" s="33">
        <v>10</v>
      </c>
      <c r="K13" s="33">
        <v>9</v>
      </c>
      <c r="L13" s="33">
        <v>9</v>
      </c>
      <c r="M13" s="33">
        <v>10</v>
      </c>
      <c r="N13" s="33">
        <v>9</v>
      </c>
      <c r="O13" s="33">
        <v>11</v>
      </c>
      <c r="P13" s="33">
        <v>10</v>
      </c>
      <c r="Q13" s="33">
        <v>9</v>
      </c>
      <c r="R13" s="33">
        <v>10</v>
      </c>
      <c r="S13" s="33">
        <v>10</v>
      </c>
      <c r="T13" s="28">
        <f ca="1">IF(COUNTIF(OFFSET($E13,0,1):OFFSET(T13,0,-1),"=*")&gt;0,IF($C13="К","-"," - "),IF(COUNTIF(OFFSET($E13,0,1):OFFSET(T13,0,-1),"&lt;4")&gt;0,IF(C13="К","-"," - "),(IFERROR(AVERAGE(OFFSET($E13,0,1):OFFSET(T13,0,-1)),"Очікую"))))</f>
        <v>9.7857142857142865</v>
      </c>
      <c r="U13" s="25"/>
      <c r="V13" s="21"/>
    </row>
    <row r="14" spans="1:22" s="13" customFormat="1" ht="15" customHeight="1" x14ac:dyDescent="0.25">
      <c r="A14" s="12"/>
      <c r="B14" s="14"/>
      <c r="C14" s="29" t="s">
        <v>37</v>
      </c>
      <c r="D14" s="29">
        <v>5</v>
      </c>
      <c r="E14" s="32" t="s">
        <v>54</v>
      </c>
      <c r="F14" s="33">
        <v>9</v>
      </c>
      <c r="G14" s="33">
        <v>5</v>
      </c>
      <c r="H14" s="33">
        <v>6</v>
      </c>
      <c r="I14" s="33">
        <v>6</v>
      </c>
      <c r="J14" s="33" t="s">
        <v>33</v>
      </c>
      <c r="K14" s="33">
        <v>4</v>
      </c>
      <c r="L14" s="33">
        <v>4</v>
      </c>
      <c r="M14" s="33">
        <v>7</v>
      </c>
      <c r="N14" s="33">
        <v>4</v>
      </c>
      <c r="O14" s="33">
        <v>4</v>
      </c>
      <c r="P14" s="33">
        <v>4</v>
      </c>
      <c r="Q14" s="33">
        <v>4</v>
      </c>
      <c r="R14" s="33">
        <v>7</v>
      </c>
      <c r="S14" s="33">
        <v>4</v>
      </c>
      <c r="T14" s="28" t="str">
        <f ca="1">IF(COUNTIF(OFFSET($E14,0,1):OFFSET(T14,0,-1),"=*")&gt;0,IF($C14="К","-"," - "),IF(COUNTIF(OFFSET($E14,0,1):OFFSET(T14,0,-1),"&lt;4")&gt;0,IF(C14="К","-"," - "),(IFERROR(AVERAGE(OFFSET($E14,0,1):OFFSET(T14,0,-1)),"Очікую"))))</f>
        <v xml:space="preserve"> - </v>
      </c>
      <c r="U14" s="25"/>
      <c r="V14" s="21"/>
    </row>
    <row r="15" spans="1:22" s="13" customFormat="1" ht="15" customHeight="1" x14ac:dyDescent="0.25">
      <c r="A15" s="12"/>
      <c r="B15" s="14"/>
      <c r="C15" s="29" t="s">
        <v>9</v>
      </c>
      <c r="D15" s="29">
        <v>6</v>
      </c>
      <c r="E15" s="32" t="s">
        <v>55</v>
      </c>
      <c r="F15" s="33">
        <v>5</v>
      </c>
      <c r="G15" s="33">
        <v>5</v>
      </c>
      <c r="H15" s="33">
        <v>4</v>
      </c>
      <c r="I15" s="33">
        <v>7</v>
      </c>
      <c r="J15" s="33">
        <v>4</v>
      </c>
      <c r="K15" s="33">
        <v>5</v>
      </c>
      <c r="L15" s="33">
        <v>7</v>
      </c>
      <c r="M15" s="33">
        <v>4</v>
      </c>
      <c r="N15" s="33">
        <v>7</v>
      </c>
      <c r="O15" s="33">
        <v>7</v>
      </c>
      <c r="P15" s="33">
        <v>7</v>
      </c>
      <c r="Q15" s="33">
        <v>7</v>
      </c>
      <c r="R15" s="33">
        <v>4</v>
      </c>
      <c r="S15" s="33">
        <v>7</v>
      </c>
      <c r="T15" s="28">
        <f ca="1">IF(COUNTIF(OFFSET($E15,0,1):OFFSET(T15,0,-1),"=*")&gt;0,IF($C15="К","-"," - "),IF(COUNTIF(OFFSET($E15,0,1):OFFSET(T15,0,-1),"&lt;4")&gt;0,IF(C15="К","-"," - "),(IFERROR(AVERAGE(OFFSET($E15,0,1):OFFSET(T15,0,-1)),"Очікую"))))</f>
        <v>5.7142857142857144</v>
      </c>
      <c r="U15" s="25"/>
      <c r="V15" s="21"/>
    </row>
    <row r="16" spans="1:22" s="13" customFormat="1" ht="15" customHeight="1" x14ac:dyDescent="0.25">
      <c r="A16" s="12"/>
      <c r="B16" s="14"/>
      <c r="C16" s="29" t="s">
        <v>37</v>
      </c>
      <c r="D16" s="29">
        <v>7</v>
      </c>
      <c r="E16" s="32" t="s">
        <v>56</v>
      </c>
      <c r="F16" s="33">
        <v>11</v>
      </c>
      <c r="G16" s="33">
        <v>6</v>
      </c>
      <c r="H16" s="33">
        <v>9</v>
      </c>
      <c r="I16" s="33">
        <v>7</v>
      </c>
      <c r="J16" s="33">
        <v>4</v>
      </c>
      <c r="K16" s="33">
        <v>5</v>
      </c>
      <c r="L16" s="33">
        <v>6</v>
      </c>
      <c r="M16" s="33">
        <v>7</v>
      </c>
      <c r="N16" s="33">
        <v>7</v>
      </c>
      <c r="O16" s="33">
        <v>4</v>
      </c>
      <c r="P16" s="33">
        <v>4</v>
      </c>
      <c r="Q16" s="33">
        <v>4</v>
      </c>
      <c r="R16" s="33">
        <v>5</v>
      </c>
      <c r="S16" s="33">
        <v>8</v>
      </c>
      <c r="T16" s="28"/>
      <c r="U16" s="25"/>
      <c r="V16" s="21"/>
    </row>
    <row r="17" spans="1:22" s="13" customFormat="1" ht="15" customHeight="1" x14ac:dyDescent="0.25">
      <c r="A17" s="12"/>
      <c r="B17" s="14"/>
      <c r="C17" s="29" t="s">
        <v>37</v>
      </c>
      <c r="D17" s="29">
        <v>8</v>
      </c>
      <c r="E17" s="32" t="s">
        <v>57</v>
      </c>
      <c r="F17" s="33">
        <v>10</v>
      </c>
      <c r="G17" s="33">
        <v>5</v>
      </c>
      <c r="H17" s="33">
        <v>4</v>
      </c>
      <c r="I17" s="33">
        <v>6</v>
      </c>
      <c r="J17" s="33">
        <v>4</v>
      </c>
      <c r="K17" s="33">
        <v>5</v>
      </c>
      <c r="L17" s="33">
        <v>5</v>
      </c>
      <c r="M17" s="33">
        <v>4</v>
      </c>
      <c r="N17" s="33">
        <v>4</v>
      </c>
      <c r="O17" s="33">
        <v>4</v>
      </c>
      <c r="P17" s="33">
        <v>5</v>
      </c>
      <c r="Q17" s="33">
        <v>4</v>
      </c>
      <c r="R17" s="33">
        <v>6</v>
      </c>
      <c r="S17" s="33">
        <v>7</v>
      </c>
      <c r="T17" s="28">
        <f ca="1">IF(COUNTIF(OFFSET($E17,0,1):OFFSET(T17,0,-1),"=*")&gt;0,IF($C17="К","-"," - "),IF(COUNTIF(OFFSET($E17,0,1):OFFSET(T17,0,-1),"&lt;4")&gt;0,IF(C17="К","-"," - "),(IFERROR(AVERAGE(OFFSET($E17,0,1):OFFSET(T17,0,-1)),"Очікую"))))</f>
        <v>5.2142857142857144</v>
      </c>
      <c r="U17" s="25"/>
      <c r="V17" s="21"/>
    </row>
    <row r="18" spans="1:22" ht="15" customHeight="1" x14ac:dyDescent="0.25">
      <c r="A18" s="12"/>
      <c r="B18" s="14"/>
      <c r="C18" s="6"/>
      <c r="D18" s="6"/>
      <c r="E18" s="30" t="s">
        <v>10</v>
      </c>
      <c r="F18" s="31">
        <f ca="1">IF(SUM(OFFSET(F$9,1,0):OFFSET(F18,-1,0))=0,IF(COUNTA(OFFSET(F$9,1,0):OFFSET(F18,-1,0))=0,"Очікую",0),SUM(OFFSET(F$9,1,0):OFFSET(F18,-1,0))/OFFSET($D18,-1,0))</f>
        <v>8.25</v>
      </c>
      <c r="G18" s="31">
        <f ca="1">IF(SUM(OFFSET(G$9,1,0):OFFSET(G18,-1,0))=0,IF(COUNTA(OFFSET(G$9,1,0):OFFSET(G18,-1,0))=0,"Очікую",0),SUM(OFFSET(G$9,1,0):OFFSET(G18,-1,0))/OFFSET($D18,-1,0))</f>
        <v>6.125</v>
      </c>
      <c r="H18" s="31">
        <f ca="1">IF(SUM(OFFSET(H$9,1,0):OFFSET(H18,-1,0))=0,IF(COUNTA(OFFSET(H$9,1,0):OFFSET(H18,-1,0))=0,"Очікую",0),SUM(OFFSET(H$9,1,0):OFFSET(H18,-1,0))/OFFSET($D18,-1,0))</f>
        <v>6.375</v>
      </c>
      <c r="I18" s="31">
        <f ca="1">IF(SUM(OFFSET(I$9,1,0):OFFSET(I18,-1,0))=0,IF(COUNTA(OFFSET(I$9,1,0):OFFSET(I18,-1,0))=0,"Очікую",0),SUM(OFFSET(I$9,1,0):OFFSET(I18,-1,0))/OFFSET($D18,-1,0))</f>
        <v>7.625</v>
      </c>
      <c r="J18" s="31">
        <f ca="1">IF(SUM(OFFSET(J$9,1,0):OFFSET(J18,-1,0))=0,IF(COUNTA(OFFSET(J$9,1,0):OFFSET(J18,-1,0))=0,"Очікую",0),SUM(OFFSET(J$9,1,0):OFFSET(J18,-1,0))/OFFSET($D18,-1,0))</f>
        <v>4.875</v>
      </c>
      <c r="K18" s="31">
        <f ca="1">IF(SUM(OFFSET(K$9,1,0):OFFSET(K18,-1,0))=0,IF(COUNTA(OFFSET(K$9,1,0):OFFSET(K18,-1,0))=0,"Очікую",0),SUM(OFFSET(K$9,1,0):OFFSET(K18,-1,0))/OFFSET($D18,-1,0))</f>
        <v>5.875</v>
      </c>
      <c r="L18" s="31">
        <f ca="1">IF(SUM(OFFSET(L$9,1,0):OFFSET(L18,-1,0))=0,IF(COUNTA(OFFSET(L$9,1,0):OFFSET(L18,-1,0))=0,"Очікую",0),SUM(OFFSET(L$9,1,0):OFFSET(L18,-1,0))/OFFSET($D18,-1,0))</f>
        <v>7.25</v>
      </c>
      <c r="M18" s="31">
        <f ca="1">IF(SUM(OFFSET(M$9,1,0):OFFSET(M18,-1,0))=0,IF(COUNTA(OFFSET(M$9,1,0):OFFSET(M18,-1,0))=0,"Очікую",0),SUM(OFFSET(M$9,1,0):OFFSET(M18,-1,0))/OFFSET($D18,-1,0))</f>
        <v>6.25</v>
      </c>
      <c r="N18" s="31">
        <f ca="1">IF(SUM(OFFSET(N$9,1,0):OFFSET(N18,-1,0))=0,IF(COUNTA(OFFSET(N$9,1,0):OFFSET(N18,-1,0))=0,"Очікую",0),SUM(OFFSET(N$9,1,0):OFFSET(N18,-1,0))/OFFSET($D18,-1,0))</f>
        <v>6.875</v>
      </c>
      <c r="O18" s="31">
        <f ca="1">IF(SUM(OFFSET(O$9,1,0):OFFSET(O18,-1,0))=0,IF(COUNTA(OFFSET(O$9,1,0):OFFSET(O18,-1,0))=0,"Очікую",0),SUM(OFFSET(O$9,1,0):OFFSET(O18,-1,0))/OFFSET($D18,-1,0))</f>
        <v>6.875</v>
      </c>
      <c r="P18" s="31">
        <f ca="1">IF(SUM(OFFSET(P$9,1,0):OFFSET(P18,-1,0))=0,IF(COUNTA(OFFSET(P$9,1,0):OFFSET(P18,-1,0))=0,"Очікую",0),SUM(OFFSET(P$9,1,0):OFFSET(P18,-1,0))/OFFSET($D18,-1,0))</f>
        <v>6.75</v>
      </c>
      <c r="Q18" s="31">
        <f ca="1">IF(SUM(OFFSET(Q$9,1,0):OFFSET(Q18,-1,0))=0,IF(COUNTA(OFFSET(Q$9,1,0):OFFSET(Q18,-1,0))=0,"Очікую",0),SUM(OFFSET(Q$9,1,0):OFFSET(Q18,-1,0))/OFFSET($D18,-1,0))</f>
        <v>6.5</v>
      </c>
      <c r="R18" s="31">
        <f ca="1">IF(SUM(OFFSET(R$9,1,0):OFFSET(R18,-1,0))=0,IF(COUNTA(OFFSET(R$9,1,0):OFFSET(R18,-1,0))=0,"Очікую",0),SUM(OFFSET(R$9,1,0):OFFSET(R18,-1,0))/OFFSET($D18,-1,0))</f>
        <v>6.75</v>
      </c>
      <c r="S18" s="31">
        <f ca="1">IF(SUM(OFFSET(S$9,1,0):OFFSET(S18,-1,0))=0,IF(COUNTA(OFFSET(S$9,1,0):OFFSET(S18,-1,0))=0,"Очікую",0),SUM(OFFSET(S$9,1,0):OFFSET(S18,-1,0))/OFFSET($D18,-1,0))</f>
        <v>7.5</v>
      </c>
      <c r="T18" s="9">
        <f ca="1">IFERROR(AVERAGE(OFFSET($E18,0,1):OFFSET(T18,0,-1)),"Очікую")</f>
        <v>6.7053571428571432</v>
      </c>
      <c r="U18" s="23"/>
      <c r="V18" s="21"/>
    </row>
    <row r="19" spans="1:22" ht="15" customHeight="1" x14ac:dyDescent="0.25">
      <c r="A19" s="12"/>
      <c r="B19" s="14"/>
      <c r="C19" s="6"/>
      <c r="D19" s="6"/>
      <c r="E19" s="7" t="s">
        <v>11</v>
      </c>
      <c r="F19" s="10">
        <f ca="1">IF(SUM(OFFSET(F$9,1,0):OFFSET(F18,-1,0))=0,IF(COUNTA(OFFSET(F$9,1,0):OFFSET(F18,-1,0))=0,"Очікую",0),IF(COUNTIF(OFFSET(F$9,1,0):OFFSET(F18,-1,0),"&gt;=4")=0,0,COUNTIF(OFFSET(F$9,1,0):OFFSET(F18,-1,0),"&gt;=4")/OFFSET($D18,-1,0)*100))</f>
        <v>100</v>
      </c>
      <c r="G19" s="10">
        <f ca="1">IF(SUM(OFFSET(G$9,1,0):OFFSET(G18,-1,0))=0,IF(COUNTA(OFFSET(G$9,1,0):OFFSET(G18,-1,0))=0,"Очікую",0),IF(COUNTIF(OFFSET(G$9,1,0):OFFSET(G18,-1,0),"&gt;=4")=0,0,COUNTIF(OFFSET(G$9,1,0):OFFSET(G18,-1,0),"&gt;=4")/OFFSET($D18,-1,0)*100))</f>
        <v>100</v>
      </c>
      <c r="H19" s="10">
        <f ca="1">IF(SUM(OFFSET(H$9,1,0):OFFSET(H18,-1,0))=0,IF(COUNTA(OFFSET(H$9,1,0):OFFSET(H18,-1,0))=0,"Очікую",0),IF(COUNTIF(OFFSET(H$9,1,0):OFFSET(H18,-1,0),"&gt;=4")=0,0,COUNTIF(OFFSET(H$9,1,0):OFFSET(H18,-1,0),"&gt;=4")/OFFSET($D18,-1,0)*100))</f>
        <v>100</v>
      </c>
      <c r="I19" s="10">
        <f ca="1">IF(SUM(OFFSET(I$9,1,0):OFFSET(I18,-1,0))=0,IF(COUNTA(OFFSET(I$9,1,0):OFFSET(I18,-1,0))=0,"Очікую",0),IF(COUNTIF(OFFSET(I$9,1,0):OFFSET(I18,-1,0),"&gt;=4")=0,0,COUNTIF(OFFSET(I$9,1,0):OFFSET(I18,-1,0),"&gt;=4")/OFFSET($D18,-1,0)*100))</f>
        <v>100</v>
      </c>
      <c r="J19" s="10">
        <f ca="1">IF(SUM(OFFSET(J$9,1,0):OFFSET(J18,-1,0))=0,IF(COUNTA(OFFSET(J$9,1,0):OFFSET(J18,-1,0))=0,"Очікую",0),IF(COUNTIF(OFFSET(J$9,1,0):OFFSET(J18,-1,0),"&gt;=4")=0,0,COUNTIF(OFFSET(J$9,1,0):OFFSET(J18,-1,0),"&gt;=4")/OFFSET($D18,-1,0)*100))</f>
        <v>87.5</v>
      </c>
      <c r="K19" s="10">
        <f ca="1">IF(SUM(OFFSET(K$9,1,0):OFFSET(K18,-1,0))=0,IF(COUNTA(OFFSET(K$9,1,0):OFFSET(K18,-1,0))=0,"Очікую",0),IF(COUNTIF(OFFSET(K$9,1,0):OFFSET(K18,-1,0),"&gt;=4")=0,0,COUNTIF(OFFSET(K$9,1,0):OFFSET(K18,-1,0),"&gt;=4")/OFFSET($D18,-1,0)*100))</f>
        <v>100</v>
      </c>
      <c r="L19" s="10">
        <f ca="1">IF(SUM(OFFSET(L$9,1,0):OFFSET(L18,-1,0))=0,IF(COUNTA(OFFSET(L$9,1,0):OFFSET(L18,-1,0))=0,"Очікую",0),IF(COUNTIF(OFFSET(L$9,1,0):OFFSET(L18,-1,0),"&gt;=4")=0,0,COUNTIF(OFFSET(L$9,1,0):OFFSET(L18,-1,0),"&gt;=4")/OFFSET($D18,-1,0)*100))</f>
        <v>100</v>
      </c>
      <c r="M19" s="10">
        <f ca="1">IF(SUM(OFFSET(M$9,1,0):OFFSET(M18,-1,0))=0,IF(COUNTA(OFFSET(M$9,1,0):OFFSET(M18,-1,0))=0,"Очікую",0),IF(COUNTIF(OFFSET(M$9,1,0):OFFSET(M18,-1,0),"&gt;=4")=0,0,COUNTIF(OFFSET(M$9,1,0):OFFSET(M18,-1,0),"&gt;=4")/OFFSET($D18,-1,0)*100))</f>
        <v>100</v>
      </c>
      <c r="N19" s="10">
        <f ca="1">IF(SUM(OFFSET(N$9,1,0):OFFSET(N18,-1,0))=0,IF(COUNTA(OFFSET(N$9,1,0):OFFSET(N18,-1,0))=0,"Очікую",0),IF(COUNTIF(OFFSET(N$9,1,0):OFFSET(N18,-1,0),"&gt;=4")=0,0,COUNTIF(OFFSET(N$9,1,0):OFFSET(N18,-1,0),"&gt;=4")/OFFSET($D18,-1,0)*100))</f>
        <v>100</v>
      </c>
      <c r="O19" s="10">
        <f ca="1">IF(SUM(OFFSET(O$9,1,0):OFFSET(O18,-1,0))=0,IF(COUNTA(OFFSET(O$9,1,0):OFFSET(O18,-1,0))=0,"Очікую",0),IF(COUNTIF(OFFSET(O$9,1,0):OFFSET(O18,-1,0),"&gt;=4")=0,0,COUNTIF(OFFSET(O$9,1,0):OFFSET(O18,-1,0),"&gt;=4")/OFFSET($D18,-1,0)*100))</f>
        <v>100</v>
      </c>
      <c r="P19" s="10">
        <f ca="1">IF(SUM(OFFSET(P$9,1,0):OFFSET(P18,-1,0))=0,IF(COUNTA(OFFSET(P$9,1,0):OFFSET(P18,-1,0))=0,"Очікую",0),IF(COUNTIF(OFFSET(P$9,1,0):OFFSET(P18,-1,0),"&gt;=4")=0,0,COUNTIF(OFFSET(P$9,1,0):OFFSET(P18,-1,0),"&gt;=4")/OFFSET($D18,-1,0)*100))</f>
        <v>100</v>
      </c>
      <c r="Q19" s="10">
        <f ca="1">IF(SUM(OFFSET(Q$9,1,0):OFFSET(Q18,-1,0))=0,IF(COUNTA(OFFSET(Q$9,1,0):OFFSET(Q18,-1,0))=0,"Очікую",0),IF(COUNTIF(OFFSET(Q$9,1,0):OFFSET(Q18,-1,0),"&gt;=4")=0,0,COUNTIF(OFFSET(Q$9,1,0):OFFSET(Q18,-1,0),"&gt;=4")/OFFSET($D18,-1,0)*100))</f>
        <v>100</v>
      </c>
      <c r="R19" s="10">
        <f ca="1">IF(SUM(OFFSET(R$9,1,0):OFFSET(R18,-1,0))=0,IF(COUNTA(OFFSET(R$9,1,0):OFFSET(R18,-1,0))=0,"Очікую",0),IF(COUNTIF(OFFSET(R$9,1,0):OFFSET(R18,-1,0),"&gt;=4")=0,0,COUNTIF(OFFSET(R$9,1,0):OFFSET(R18,-1,0),"&gt;=4")/OFFSET($D18,-1,0)*100))</f>
        <v>100</v>
      </c>
      <c r="S19" s="10">
        <f ca="1">IF(SUM(OFFSET(S$9,1,0):OFFSET(S18,-1,0))=0,IF(COUNTA(OFFSET(S$9,1,0):OFFSET(S18,-1,0))=0,"Очікую",0),IF(COUNTIF(OFFSET(S$9,1,0):OFFSET(S18,-1,0),"&gt;=4")=0,0,COUNTIF(OFFSET(S$9,1,0):OFFSET(S18,-1,0),"&gt;=4")/OFFSET($D18,-1,0)*100))</f>
        <v>100</v>
      </c>
      <c r="T19" s="6"/>
      <c r="U19" s="23"/>
      <c r="V19" s="21"/>
    </row>
    <row r="20" spans="1:22" ht="15" customHeight="1" x14ac:dyDescent="0.25">
      <c r="A20" s="12"/>
      <c r="B20" s="14"/>
      <c r="C20" s="6"/>
      <c r="D20" s="6"/>
      <c r="E20" s="7" t="s">
        <v>12</v>
      </c>
      <c r="F20" s="10">
        <f ca="1">IF(SUM(OFFSET(F$9,1,0):OFFSET(F18,-1,0))=0,IF(COUNTA(OFFSET(F$9,1,0):OFFSET(F18,-1,0))=0,"Очікую",0),IF(COUNTIF(OFFSET(F$9,1,0):OFFSET(F18,-1,0),"&gt;=7")=0,0,COUNTIF(OFFSET(F$9,1,0):OFFSET(F18,-1,0),"&gt;=7")/OFFSET($D18,-1,0)*100))</f>
        <v>62.5</v>
      </c>
      <c r="G20" s="10">
        <f ca="1">IF(SUM(OFFSET(G$9,1,0):OFFSET(G18,-1,0))=0,IF(COUNTA(OFFSET(G$9,1,0):OFFSET(G18,-1,0))=0,"Очікую",0),IF(COUNTIF(OFFSET(G$9,1,0):OFFSET(G18,-1,0),"&gt;=7")=0,0,COUNTIF(OFFSET(G$9,1,0):OFFSET(G18,-1,0),"&gt;=7")/OFFSET($D18,-1,0)*100))</f>
        <v>25</v>
      </c>
      <c r="H20" s="10">
        <f ca="1">IF(SUM(OFFSET(H$9,1,0):OFFSET(H18,-1,0))=0,IF(COUNTA(OFFSET(H$9,1,0):OFFSET(H18,-1,0))=0,"Очікую",0),IF(COUNTIF(OFFSET(H$9,1,0):OFFSET(H18,-1,0),"&gt;=7")=0,0,COUNTIF(OFFSET(H$9,1,0):OFFSET(H18,-1,0),"&gt;=7")/OFFSET($D18,-1,0)*100))</f>
        <v>37.5</v>
      </c>
      <c r="I20" s="10">
        <f ca="1">IF(SUM(OFFSET(I$9,1,0):OFFSET(I18,-1,0))=0,IF(COUNTA(OFFSET(I$9,1,0):OFFSET(I18,-1,0))=0,"Очікую",0),IF(COUNTIF(OFFSET(I$9,1,0):OFFSET(I18,-1,0),"&gt;=7")=0,0,COUNTIF(OFFSET(I$9,1,0):OFFSET(I18,-1,0),"&gt;=7")/OFFSET($D18,-1,0)*100))</f>
        <v>75</v>
      </c>
      <c r="J20" s="10">
        <f ca="1">IF(SUM(OFFSET(J$9,1,0):OFFSET(J18,-1,0))=0,IF(COUNTA(OFFSET(J$9,1,0):OFFSET(J18,-1,0))=0,"Очікую",0),IF(COUNTIF(OFFSET(J$9,1,0):OFFSET(J18,-1,0),"&gt;=7")=0,0,COUNTIF(OFFSET(J$9,1,0):OFFSET(J18,-1,0),"&gt;=7")/OFFSET($D18,-1,0)*100))</f>
        <v>25</v>
      </c>
      <c r="K20" s="10">
        <f ca="1">IF(SUM(OFFSET(K$9,1,0):OFFSET(K18,-1,0))=0,IF(COUNTA(OFFSET(K$9,1,0):OFFSET(K18,-1,0))=0,"Очікую",0),IF(COUNTIF(OFFSET(K$9,1,0):OFFSET(K18,-1,0),"&gt;=7")=0,0,COUNTIF(OFFSET(K$9,1,0):OFFSET(K18,-1,0),"&gt;=7")/OFFSET($D18,-1,0)*100))</f>
        <v>25</v>
      </c>
      <c r="L20" s="10">
        <f ca="1">IF(SUM(OFFSET(L$9,1,0):OFFSET(L18,-1,0))=0,IF(COUNTA(OFFSET(L$9,1,0):OFFSET(L18,-1,0))=0,"Очікую",0),IF(COUNTIF(OFFSET(L$9,1,0):OFFSET(L18,-1,0),"&gt;=7")=0,0,COUNTIF(OFFSET(L$9,1,0):OFFSET(L18,-1,0),"&gt;=7")/OFFSET($D18,-1,0)*100))</f>
        <v>62.5</v>
      </c>
      <c r="M20" s="10">
        <f ca="1">IF(SUM(OFFSET(M$9,1,0):OFFSET(M18,-1,0))=0,IF(COUNTA(OFFSET(M$9,1,0):OFFSET(M18,-1,0))=0,"Очікую",0),IF(COUNTIF(OFFSET(M$9,1,0):OFFSET(M18,-1,0),"&gt;=7")=0,0,COUNTIF(OFFSET(M$9,1,0):OFFSET(M18,-1,0),"&gt;=7")/OFFSET($D18,-1,0)*100))</f>
        <v>50</v>
      </c>
      <c r="N20" s="10">
        <f ca="1">IF(SUM(OFFSET(N$9,1,0):OFFSET(N18,-1,0))=0,IF(COUNTA(OFFSET(N$9,1,0):OFFSET(N18,-1,0))=0,"Очікую",0),IF(COUNTIF(OFFSET(N$9,1,0):OFFSET(N18,-1,0),"&gt;=7")=0,0,COUNTIF(OFFSET(N$9,1,0):OFFSET(N18,-1,0),"&gt;=7")/OFFSET($D18,-1,0)*100))</f>
        <v>75</v>
      </c>
      <c r="O20" s="10">
        <f ca="1">IF(SUM(OFFSET(O$9,1,0):OFFSET(O18,-1,0))=0,IF(COUNTA(OFFSET(O$9,1,0):OFFSET(O18,-1,0))=0,"Очікую",0),IF(COUNTIF(OFFSET(O$9,1,0):OFFSET(O18,-1,0),"&gt;=7")=0,0,COUNTIF(OFFSET(O$9,1,0):OFFSET(O18,-1,0),"&gt;=7")/OFFSET($D18,-1,0)*100))</f>
        <v>62.5</v>
      </c>
      <c r="P20" s="10">
        <f ca="1">IF(SUM(OFFSET(P$9,1,0):OFFSET(P18,-1,0))=0,IF(COUNTA(OFFSET(P$9,1,0):OFFSET(P18,-1,0))=0,"Очікую",0),IF(COUNTIF(OFFSET(P$9,1,0):OFFSET(P18,-1,0),"&gt;=7")=0,0,COUNTIF(OFFSET(P$9,1,0):OFFSET(P18,-1,0),"&gt;=7")/OFFSET($D18,-1,0)*100))</f>
        <v>62.5</v>
      </c>
      <c r="Q20" s="10">
        <f ca="1">IF(SUM(OFFSET(Q$9,1,0):OFFSET(Q18,-1,0))=0,IF(COUNTA(OFFSET(Q$9,1,0):OFFSET(Q18,-1,0))=0,"Очікую",0),IF(COUNTIF(OFFSET(Q$9,1,0):OFFSET(Q18,-1,0),"&gt;=7")=0,0,COUNTIF(OFFSET(Q$9,1,0):OFFSET(Q18,-1,0),"&gt;=7")/OFFSET($D18,-1,0)*100))</f>
        <v>62.5</v>
      </c>
      <c r="R20" s="10">
        <f ca="1">IF(SUM(OFFSET(R$9,1,0):OFFSET(R18,-1,0))=0,IF(COUNTA(OFFSET(R$9,1,0):OFFSET(R18,-1,0))=0,"Очікую",0),IF(COUNTIF(OFFSET(R$9,1,0):OFFSET(R18,-1,0),"&gt;=7")=0,0,COUNTIF(OFFSET(R$9,1,0):OFFSET(R18,-1,0),"&gt;=7")/OFFSET($D18,-1,0)*100))</f>
        <v>50</v>
      </c>
      <c r="S20" s="10">
        <f ca="1">IF(SUM(OFFSET(S$9,1,0):OFFSET(S18,-1,0))=0,IF(COUNTA(OFFSET(S$9,1,0):OFFSET(S18,-1,0))=0,"Очікую",0),IF(COUNTIF(OFFSET(S$9,1,0):OFFSET(S18,-1,0),"&gt;=7")=0,0,COUNTIF(OFFSET(S$9,1,0):OFFSET(S18,-1,0),"&gt;=7")/OFFSET($D18,-1,0)*100))</f>
        <v>87.5</v>
      </c>
      <c r="T20" s="6"/>
      <c r="U20" s="23"/>
      <c r="V20" s="21"/>
    </row>
    <row r="21" spans="1:22" ht="15" customHeight="1" x14ac:dyDescent="0.25">
      <c r="A21" s="12"/>
      <c r="B21" s="14"/>
      <c r="C21" s="6"/>
      <c r="D21" s="6"/>
      <c r="E21" s="7" t="s">
        <v>13</v>
      </c>
      <c r="F21" s="8">
        <f ca="1">IFERROR(AVERAGE(OFFSET(E19,0,1):OFFSET(T19,0,-1)),"Очікую")</f>
        <v>99.107142857142861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23"/>
      <c r="V21" s="21"/>
    </row>
    <row r="22" spans="1:22" ht="15" customHeight="1" x14ac:dyDescent="0.25">
      <c r="A22" s="12"/>
      <c r="B22" s="14"/>
      <c r="C22" s="6"/>
      <c r="D22" s="6"/>
      <c r="E22" s="7" t="s">
        <v>14</v>
      </c>
      <c r="F22" s="8">
        <f ca="1">IFERROR(AVERAGE(OFFSET(E20,0,1):OFFSET(T20,0,-1)),"Очікую")</f>
        <v>54.464285714285715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23"/>
      <c r="V22" s="21"/>
    </row>
    <row r="23" spans="1:22" ht="15" customHeight="1" x14ac:dyDescent="0.25">
      <c r="A23" s="12"/>
      <c r="B23" s="14"/>
      <c r="C23" s="6"/>
      <c r="D23" s="6"/>
      <c r="E23" s="7" t="s">
        <v>15</v>
      </c>
      <c r="F23" s="5">
        <f ca="1">IF(COUNTIF(OFFSET(C$9,1,0):OFFSET(C18,-1,0),"=Б")=0,IF(COUNTIF(OFFSET(C$9,1,0):OFFSET(C18,-1,0),"=К")=0,"Очікую",0),COUNTIF(OFFSET(C$9,1,0):OFFSET(C18,-1,0),"=Б"))</f>
        <v>5</v>
      </c>
      <c r="G23" s="6"/>
      <c r="H23" s="11"/>
      <c r="I23" s="6"/>
      <c r="J23" s="6"/>
      <c r="K23" s="6"/>
      <c r="L23" s="6"/>
      <c r="M23" s="6"/>
      <c r="N23" s="6"/>
      <c r="O23" s="6"/>
      <c r="P23" s="26"/>
      <c r="Q23" s="11"/>
      <c r="R23" s="6"/>
      <c r="S23" s="6"/>
      <c r="T23" s="6"/>
      <c r="U23" s="23"/>
      <c r="V23" s="21"/>
    </row>
    <row r="24" spans="1:22" ht="15" customHeight="1" x14ac:dyDescent="0.25">
      <c r="A24" s="12"/>
      <c r="B24" s="14"/>
      <c r="C24" s="6"/>
      <c r="D24" s="6"/>
      <c r="E24" s="7" t="s">
        <v>16</v>
      </c>
      <c r="F24" s="5">
        <f ca="1">IF(COUNTIF(OFFSET(C$9,1,0):OFFSET(C18,-1,0),"=К")=0,IF(COUNTIF(OFFSET(C$9,1,0):OFFSET(C18,-1,0),"=Б")=0,"Очікую",0),COUNTIF(OFFSET(C$9,1,0):OFFSET(C18,-1,0),"=К"))</f>
        <v>3</v>
      </c>
      <c r="G24" s="6"/>
      <c r="H24" s="11" t="s">
        <v>17</v>
      </c>
      <c r="I24" s="6"/>
      <c r="J24" s="6"/>
      <c r="K24" s="6"/>
      <c r="L24" s="6"/>
      <c r="M24" s="6"/>
      <c r="N24" s="6"/>
      <c r="O24" s="6"/>
      <c r="P24" s="26" t="s">
        <v>49</v>
      </c>
      <c r="Q24" s="11"/>
      <c r="R24" s="6"/>
      <c r="S24" s="6"/>
      <c r="T24" s="6"/>
      <c r="U24" s="23"/>
      <c r="V24" s="21"/>
    </row>
    <row r="25" spans="1:22" ht="15" customHeight="1" x14ac:dyDescent="0.25">
      <c r="A25" s="12"/>
      <c r="B25" s="14"/>
      <c r="C25" s="6"/>
      <c r="D25" s="6"/>
      <c r="E25" s="7" t="s">
        <v>18</v>
      </c>
      <c r="F25" s="4">
        <v>0</v>
      </c>
      <c r="G25" s="6"/>
      <c r="H25" s="11"/>
      <c r="I25" s="6"/>
      <c r="J25" s="6"/>
      <c r="K25" s="6"/>
      <c r="L25" s="6"/>
      <c r="M25" s="6"/>
      <c r="N25" s="6"/>
      <c r="O25" s="6"/>
      <c r="P25" s="11"/>
      <c r="Q25" s="11"/>
      <c r="R25" s="6"/>
      <c r="S25" s="6"/>
      <c r="T25" s="6"/>
      <c r="U25" s="23"/>
      <c r="V25" s="21"/>
    </row>
    <row r="26" spans="1:22" ht="15" customHeight="1" x14ac:dyDescent="0.25">
      <c r="A26" s="12"/>
      <c r="B26" s="14"/>
      <c r="C26" s="6"/>
      <c r="D26" s="6"/>
      <c r="E26" s="7" t="s">
        <v>19</v>
      </c>
      <c r="F26" s="5">
        <f ca="1">IF(F23="Очікую","Очікую",IF(F23-COUNTIF(OFFSET(T$8,1,0):OFFSET(T18,-1,0)," - ")&lt;ROUNDDOWN(F23*0.4,0),F23-COUNTIF(OFFSET(T$8,1,0):OFFSET(T18,-1,0)," - "),ROUNDDOWN(F23*0.4,0)))</f>
        <v>2</v>
      </c>
      <c r="G26" s="6"/>
      <c r="H26" s="26" t="s">
        <v>20</v>
      </c>
      <c r="I26" s="6"/>
      <c r="J26" s="6"/>
      <c r="K26" s="6"/>
      <c r="L26" s="6"/>
      <c r="M26" s="6"/>
      <c r="N26" s="6"/>
      <c r="O26" s="6"/>
      <c r="P26" s="26" t="s">
        <v>21</v>
      </c>
      <c r="Q26" s="6"/>
      <c r="R26" s="6"/>
      <c r="S26" s="6"/>
      <c r="T26" s="6"/>
      <c r="U26" s="23"/>
      <c r="V26" s="21"/>
    </row>
    <row r="27" spans="1:22" ht="12" customHeight="1" thickBot="1" x14ac:dyDescent="0.3">
      <c r="A27" s="12"/>
      <c r="B27" s="24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7"/>
      <c r="V27" s="21"/>
    </row>
    <row r="28" spans="1:22" ht="12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21"/>
    </row>
  </sheetData>
  <sheetProtection insertRows="0" deleteRows="0"/>
  <mergeCells count="10">
    <mergeCell ref="C8:C9"/>
    <mergeCell ref="D8:D9"/>
    <mergeCell ref="E8:E9"/>
    <mergeCell ref="C3:T3"/>
    <mergeCell ref="C4:T4"/>
    <mergeCell ref="C5:T5"/>
    <mergeCell ref="C6:T6"/>
    <mergeCell ref="C7:T7"/>
    <mergeCell ref="F8:S8"/>
    <mergeCell ref="T8:T9"/>
  </mergeCells>
  <printOptions horizontalCentered="1"/>
  <pageMargins left="0.19685039370078741" right="0.19685039370078741" top="0.19685039370078741" bottom="0.19685039370078741" header="0" footer="0"/>
  <pageSetup paperSize="9"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H37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2" width="2.7109375" style="1" customWidth="1"/>
    <col min="23" max="28" width="14.42578125" style="1" hidden="1" customWidth="1"/>
    <col min="29" max="29" width="14.85546875" style="1" hidden="1" customWidth="1"/>
    <col min="30" max="43" width="3.7109375" style="1" hidden="1" customWidth="1"/>
    <col min="44" max="60" width="5.7109375" style="1" hidden="1" customWidth="1"/>
    <col min="61" max="16384" width="14.42578125" style="1" hidden="1"/>
  </cols>
  <sheetData>
    <row r="1" spans="1:22" ht="12" customHeight="1" thickBot="1" x14ac:dyDescent="0.3">
      <c r="A1" s="27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2" customHeight="1" x14ac:dyDescent="0.25">
      <c r="A2" s="12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2"/>
      <c r="V2" s="21"/>
    </row>
    <row r="3" spans="1:22" s="2" customFormat="1" ht="54.95" customHeight="1" x14ac:dyDescent="0.3">
      <c r="A3" s="12"/>
      <c r="B3" s="14"/>
      <c r="C3" s="36" t="s">
        <v>35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23"/>
      <c r="V3" s="21"/>
    </row>
    <row r="4" spans="1:22" s="3" customFormat="1" ht="15" customHeight="1" x14ac:dyDescent="0.25">
      <c r="A4" s="12"/>
      <c r="B4" s="14"/>
      <c r="C4" s="40" t="s">
        <v>22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23"/>
      <c r="V4" s="21"/>
    </row>
    <row r="5" spans="1:22" s="2" customFormat="1" ht="15" customHeight="1" x14ac:dyDescent="0.25">
      <c r="A5" s="12"/>
      <c r="B5" s="14"/>
      <c r="C5" s="35" t="s">
        <v>75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23"/>
      <c r="V5" s="21"/>
    </row>
    <row r="6" spans="1:22" s="2" customFormat="1" ht="15" customHeight="1" x14ac:dyDescent="0.25">
      <c r="A6" s="12"/>
      <c r="B6" s="14"/>
      <c r="C6" s="35" t="s">
        <v>36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23"/>
      <c r="V6" s="21"/>
    </row>
    <row r="7" spans="1:22" s="2" customFormat="1" ht="15" customHeight="1" x14ac:dyDescent="0.25">
      <c r="A7" s="12"/>
      <c r="B7" s="14"/>
      <c r="C7" s="34" t="s">
        <v>77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23"/>
      <c r="V7" s="21"/>
    </row>
    <row r="8" spans="1:22" ht="15" customHeight="1" x14ac:dyDescent="0.25">
      <c r="A8" s="12"/>
      <c r="B8" s="14"/>
      <c r="C8" s="37" t="s">
        <v>0</v>
      </c>
      <c r="D8" s="39" t="s">
        <v>1</v>
      </c>
      <c r="E8" s="39" t="s">
        <v>2</v>
      </c>
      <c r="F8" s="41" t="s">
        <v>25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3"/>
      <c r="T8" s="44" t="s">
        <v>8</v>
      </c>
      <c r="U8" s="23"/>
      <c r="V8" s="21"/>
    </row>
    <row r="9" spans="1:22" ht="125.1" customHeight="1" x14ac:dyDescent="0.25">
      <c r="A9" s="12"/>
      <c r="B9" s="14"/>
      <c r="C9" s="38"/>
      <c r="D9" s="38"/>
      <c r="E9" s="38"/>
      <c r="F9" s="15" t="s">
        <v>3</v>
      </c>
      <c r="G9" s="15" t="s">
        <v>4</v>
      </c>
      <c r="H9" s="15" t="s">
        <v>5</v>
      </c>
      <c r="I9" s="15" t="s">
        <v>23</v>
      </c>
      <c r="J9" s="15" t="s">
        <v>26</v>
      </c>
      <c r="K9" s="15" t="s">
        <v>27</v>
      </c>
      <c r="L9" s="15" t="s">
        <v>28</v>
      </c>
      <c r="M9" s="15" t="s">
        <v>6</v>
      </c>
      <c r="N9" s="15" t="s">
        <v>24</v>
      </c>
      <c r="O9" s="15" t="s">
        <v>29</v>
      </c>
      <c r="P9" s="15" t="s">
        <v>30</v>
      </c>
      <c r="Q9" s="15" t="s">
        <v>7</v>
      </c>
      <c r="R9" s="15" t="s">
        <v>31</v>
      </c>
      <c r="S9" s="15" t="s">
        <v>32</v>
      </c>
      <c r="T9" s="45"/>
      <c r="U9" s="23"/>
      <c r="V9" s="21"/>
    </row>
    <row r="10" spans="1:22" s="13" customFormat="1" ht="15" customHeight="1" x14ac:dyDescent="0.25">
      <c r="A10" s="12"/>
      <c r="B10" s="14"/>
      <c r="C10" s="29" t="s">
        <v>37</v>
      </c>
      <c r="D10" s="29">
        <v>1</v>
      </c>
      <c r="E10" s="32" t="s">
        <v>58</v>
      </c>
      <c r="F10" s="33">
        <v>10</v>
      </c>
      <c r="G10" s="33">
        <v>9</v>
      </c>
      <c r="H10" s="33">
        <v>7</v>
      </c>
      <c r="I10" s="33">
        <v>7</v>
      </c>
      <c r="J10" s="33">
        <v>4</v>
      </c>
      <c r="K10" s="33">
        <v>6</v>
      </c>
      <c r="L10" s="33">
        <v>6</v>
      </c>
      <c r="M10" s="33">
        <v>8</v>
      </c>
      <c r="N10" s="33">
        <v>7</v>
      </c>
      <c r="O10" s="33">
        <v>7</v>
      </c>
      <c r="P10" s="33">
        <v>7</v>
      </c>
      <c r="Q10" s="33">
        <v>5</v>
      </c>
      <c r="R10" s="33">
        <v>7</v>
      </c>
      <c r="S10" s="33">
        <v>5</v>
      </c>
      <c r="T10" s="28">
        <f ca="1">IF(COUNTIF(OFFSET($E10,0,1):OFFSET(T10,0,-1),"=*")&gt;0,IF($C10="К","-"," - "),IF(COUNTIF(OFFSET($E10,0,1):OFFSET(T10,0,-1),"&lt;4")&gt;0,IF(C10="К","-"," - "),(IFERROR(AVERAGE(OFFSET($E10,0,1):OFFSET(T10,0,-1)),"Очікую"))))</f>
        <v>6.7857142857142856</v>
      </c>
      <c r="U10" s="25"/>
      <c r="V10" s="21"/>
    </row>
    <row r="11" spans="1:22" s="13" customFormat="1" ht="15" customHeight="1" x14ac:dyDescent="0.25">
      <c r="A11" s="12"/>
      <c r="B11" s="14"/>
      <c r="C11" s="29" t="s">
        <v>37</v>
      </c>
      <c r="D11" s="29">
        <v>2</v>
      </c>
      <c r="E11" s="32" t="s">
        <v>59</v>
      </c>
      <c r="F11" s="33">
        <v>11</v>
      </c>
      <c r="G11" s="33">
        <v>9</v>
      </c>
      <c r="H11" s="33">
        <v>7</v>
      </c>
      <c r="I11" s="33">
        <v>6</v>
      </c>
      <c r="J11" s="33">
        <v>11</v>
      </c>
      <c r="K11" s="33">
        <v>8</v>
      </c>
      <c r="L11" s="33">
        <v>10</v>
      </c>
      <c r="M11" s="33">
        <v>9</v>
      </c>
      <c r="N11" s="33">
        <v>6</v>
      </c>
      <c r="O11" s="33">
        <v>4</v>
      </c>
      <c r="P11" s="33">
        <v>6</v>
      </c>
      <c r="Q11" s="33">
        <v>9</v>
      </c>
      <c r="R11" s="33">
        <v>9</v>
      </c>
      <c r="S11" s="33">
        <v>6</v>
      </c>
      <c r="T11" s="28">
        <f ca="1">IF(COUNTIF(OFFSET($E11,0,1):OFFSET(T11,0,-1),"=*")&gt;0,IF($C11="К","-"," - "),IF(COUNTIF(OFFSET($E11,0,1):OFFSET(T11,0,-1),"&lt;4")&gt;0,IF(C11="К","-"," - "),(IFERROR(AVERAGE(OFFSET($E11,0,1):OFFSET(T11,0,-1)),"Очікую"))))</f>
        <v>7.9285714285714288</v>
      </c>
      <c r="U11" s="25"/>
      <c r="V11" s="21"/>
    </row>
    <row r="12" spans="1:22" s="13" customFormat="1" ht="15" customHeight="1" x14ac:dyDescent="0.25">
      <c r="A12" s="12"/>
      <c r="B12" s="14"/>
      <c r="C12" s="29" t="s">
        <v>37</v>
      </c>
      <c r="D12" s="29">
        <v>3</v>
      </c>
      <c r="E12" s="32" t="s">
        <v>60</v>
      </c>
      <c r="F12" s="33">
        <v>9</v>
      </c>
      <c r="G12" s="33">
        <v>8</v>
      </c>
      <c r="H12" s="33">
        <v>7</v>
      </c>
      <c r="I12" s="33">
        <v>7</v>
      </c>
      <c r="J12" s="33">
        <v>4</v>
      </c>
      <c r="K12" s="33">
        <v>4</v>
      </c>
      <c r="L12" s="33">
        <v>10</v>
      </c>
      <c r="M12" s="33">
        <v>7</v>
      </c>
      <c r="N12" s="33">
        <v>4</v>
      </c>
      <c r="O12" s="33">
        <v>4</v>
      </c>
      <c r="P12" s="33">
        <v>4</v>
      </c>
      <c r="Q12" s="33">
        <v>4</v>
      </c>
      <c r="R12" s="33">
        <v>10</v>
      </c>
      <c r="S12" s="33">
        <v>5</v>
      </c>
      <c r="T12" s="28">
        <f ca="1">IF(COUNTIF(OFFSET($E12,0,1):OFFSET(T12,0,-1),"=*")&gt;0,IF($C12="К","-"," - "),IF(COUNTIF(OFFSET($E12,0,1):OFFSET(T12,0,-1),"&lt;4")&gt;0,IF(C12="К","-"," - "),(IFERROR(AVERAGE(OFFSET($E12,0,1):OFFSET(T12,0,-1)),"Очікую"))))</f>
        <v>6.2142857142857144</v>
      </c>
      <c r="U12" s="25"/>
      <c r="V12" s="21"/>
    </row>
    <row r="13" spans="1:22" s="13" customFormat="1" ht="15" customHeight="1" x14ac:dyDescent="0.25">
      <c r="A13" s="12"/>
      <c r="B13" s="14"/>
      <c r="C13" s="29" t="s">
        <v>37</v>
      </c>
      <c r="D13" s="29">
        <v>4</v>
      </c>
      <c r="E13" s="32" t="s">
        <v>61</v>
      </c>
      <c r="F13" s="33">
        <v>7</v>
      </c>
      <c r="G13" s="33">
        <v>8</v>
      </c>
      <c r="H13" s="33">
        <v>6</v>
      </c>
      <c r="I13" s="33">
        <v>6</v>
      </c>
      <c r="J13" s="33">
        <v>5</v>
      </c>
      <c r="K13" s="33">
        <v>4</v>
      </c>
      <c r="L13" s="33">
        <v>6</v>
      </c>
      <c r="M13" s="33">
        <v>6</v>
      </c>
      <c r="N13" s="33">
        <v>4</v>
      </c>
      <c r="O13" s="33">
        <v>4</v>
      </c>
      <c r="P13" s="33">
        <v>4</v>
      </c>
      <c r="Q13" s="33">
        <v>4</v>
      </c>
      <c r="R13" s="33">
        <v>7</v>
      </c>
      <c r="S13" s="33">
        <v>5</v>
      </c>
      <c r="T13" s="28">
        <f ca="1">IF(COUNTIF(OFFSET($E13,0,1):OFFSET(T13,0,-1),"=*")&gt;0,IF($C13="К","-"," - "),IF(COUNTIF(OFFSET($E13,0,1):OFFSET(T13,0,-1),"&lt;4")&gt;0,IF(C13="К","-"," - "),(IFERROR(AVERAGE(OFFSET($E13,0,1):OFFSET(T13,0,-1)),"Очікую"))))</f>
        <v>5.4285714285714288</v>
      </c>
      <c r="U13" s="25"/>
      <c r="V13" s="21"/>
    </row>
    <row r="14" spans="1:22" s="13" customFormat="1" ht="15" customHeight="1" x14ac:dyDescent="0.25">
      <c r="A14" s="12"/>
      <c r="B14" s="14"/>
      <c r="C14" s="29" t="s">
        <v>37</v>
      </c>
      <c r="D14" s="29">
        <v>5</v>
      </c>
      <c r="E14" s="32" t="s">
        <v>62</v>
      </c>
      <c r="F14" s="33">
        <v>10</v>
      </c>
      <c r="G14" s="33">
        <v>6</v>
      </c>
      <c r="H14" s="33">
        <v>8</v>
      </c>
      <c r="I14" s="33">
        <v>9</v>
      </c>
      <c r="J14" s="33">
        <v>10</v>
      </c>
      <c r="K14" s="33">
        <v>4</v>
      </c>
      <c r="L14" s="33">
        <v>9</v>
      </c>
      <c r="M14" s="33">
        <v>8</v>
      </c>
      <c r="N14" s="33">
        <v>6</v>
      </c>
      <c r="O14" s="33">
        <v>8</v>
      </c>
      <c r="P14" s="33">
        <v>8</v>
      </c>
      <c r="Q14" s="33">
        <v>8</v>
      </c>
      <c r="R14" s="33">
        <v>10</v>
      </c>
      <c r="S14" s="33">
        <v>8</v>
      </c>
      <c r="T14" s="28">
        <f ca="1">IF(COUNTIF(OFFSET($E14,0,1):OFFSET(T14,0,-1),"=*")&gt;0,IF($C14="К","-"," - "),IF(COUNTIF(OFFSET($E14,0,1):OFFSET(T14,0,-1),"&lt;4")&gt;0,IF(C14="К","-"," - "),(IFERROR(AVERAGE(OFFSET($E14,0,1):OFFSET(T14,0,-1)),"Очікую"))))</f>
        <v>8</v>
      </c>
      <c r="U14" s="25"/>
      <c r="V14" s="21"/>
    </row>
    <row r="15" spans="1:22" s="13" customFormat="1" ht="15" customHeight="1" x14ac:dyDescent="0.25">
      <c r="A15" s="12"/>
      <c r="B15" s="14"/>
      <c r="C15" s="29" t="s">
        <v>37</v>
      </c>
      <c r="D15" s="29">
        <v>6</v>
      </c>
      <c r="E15" s="32" t="s">
        <v>63</v>
      </c>
      <c r="F15" s="33">
        <v>8</v>
      </c>
      <c r="G15" s="33">
        <v>8</v>
      </c>
      <c r="H15" s="33">
        <v>7</v>
      </c>
      <c r="I15" s="33">
        <v>7</v>
      </c>
      <c r="J15" s="33">
        <v>7</v>
      </c>
      <c r="K15" s="33">
        <v>4</v>
      </c>
      <c r="L15" s="33">
        <v>5</v>
      </c>
      <c r="M15" s="33">
        <v>8</v>
      </c>
      <c r="N15" s="33">
        <v>4</v>
      </c>
      <c r="O15" s="33">
        <v>4</v>
      </c>
      <c r="P15" s="33">
        <v>7</v>
      </c>
      <c r="Q15" s="33">
        <v>4</v>
      </c>
      <c r="R15" s="33">
        <v>8</v>
      </c>
      <c r="S15" s="33">
        <v>4</v>
      </c>
      <c r="T15" s="28">
        <f ca="1">IF(COUNTIF(OFFSET($E15,0,1):OFFSET(T15,0,-1),"=*")&gt;0,IF($C15="К","-"," - "),IF(COUNTIF(OFFSET($E15,0,1):OFFSET(T15,0,-1),"&lt;4")&gt;0,IF(C15="К","-"," - "),(IFERROR(AVERAGE(OFFSET($E15,0,1):OFFSET(T15,0,-1)),"Очікую"))))</f>
        <v>6.0714285714285712</v>
      </c>
      <c r="U15" s="25"/>
      <c r="V15" s="21"/>
    </row>
    <row r="16" spans="1:22" s="13" customFormat="1" ht="15" customHeight="1" x14ac:dyDescent="0.25">
      <c r="A16" s="12"/>
      <c r="B16" s="14"/>
      <c r="C16" s="29" t="s">
        <v>37</v>
      </c>
      <c r="D16" s="29">
        <v>7</v>
      </c>
      <c r="E16" s="32" t="s">
        <v>64</v>
      </c>
      <c r="F16" s="33">
        <v>10</v>
      </c>
      <c r="G16" s="33">
        <v>9</v>
      </c>
      <c r="H16" s="33">
        <v>8</v>
      </c>
      <c r="I16" s="33">
        <v>7</v>
      </c>
      <c r="J16" s="33">
        <v>4</v>
      </c>
      <c r="K16" s="33">
        <v>4</v>
      </c>
      <c r="L16" s="33">
        <v>7</v>
      </c>
      <c r="M16" s="33">
        <v>7</v>
      </c>
      <c r="N16" s="33">
        <v>6</v>
      </c>
      <c r="O16" s="33">
        <v>7</v>
      </c>
      <c r="P16" s="33">
        <v>7</v>
      </c>
      <c r="Q16" s="33">
        <v>4</v>
      </c>
      <c r="R16" s="33">
        <v>11</v>
      </c>
      <c r="S16" s="33">
        <v>4</v>
      </c>
      <c r="T16" s="28">
        <f ca="1">IF(COUNTIF(OFFSET($E16,0,1):OFFSET(T16,0,-1),"=*")&gt;0,IF($C16="К","-"," - "),IF(COUNTIF(OFFSET($E16,0,1):OFFSET(T16,0,-1),"&lt;4")&gt;0,IF(C16="К","-"," - "),(IFERROR(AVERAGE(OFFSET($E16,0,1):OFFSET(T16,0,-1)),"Очікую"))))</f>
        <v>6.7857142857142856</v>
      </c>
      <c r="U16" s="25"/>
      <c r="V16" s="21"/>
    </row>
    <row r="17" spans="1:22" s="13" customFormat="1" ht="15" customHeight="1" x14ac:dyDescent="0.25">
      <c r="A17" s="12"/>
      <c r="B17" s="14"/>
      <c r="C17" s="29" t="s">
        <v>37</v>
      </c>
      <c r="D17" s="29">
        <v>8</v>
      </c>
      <c r="E17" s="32" t="s">
        <v>65</v>
      </c>
      <c r="F17" s="33">
        <v>10</v>
      </c>
      <c r="G17" s="33">
        <v>7</v>
      </c>
      <c r="H17" s="33">
        <v>9</v>
      </c>
      <c r="I17" s="33">
        <v>7</v>
      </c>
      <c r="J17" s="33">
        <v>4</v>
      </c>
      <c r="K17" s="33">
        <v>5</v>
      </c>
      <c r="L17" s="33">
        <v>6</v>
      </c>
      <c r="M17" s="33">
        <v>6</v>
      </c>
      <c r="N17" s="33">
        <v>4</v>
      </c>
      <c r="O17" s="33">
        <v>5</v>
      </c>
      <c r="P17" s="33">
        <v>7</v>
      </c>
      <c r="Q17" s="33">
        <v>4</v>
      </c>
      <c r="R17" s="33">
        <v>10</v>
      </c>
      <c r="S17" s="33">
        <v>4</v>
      </c>
      <c r="T17" s="28">
        <f ca="1">IF(COUNTIF(OFFSET($E17,0,1):OFFSET(T17,0,-1),"=*")&gt;0,IF($C17="К","-"," - "),IF(COUNTIF(OFFSET($E17,0,1):OFFSET(T17,0,-1),"&lt;4")&gt;0,IF(C17="К","-"," - "),(IFERROR(AVERAGE(OFFSET($E17,0,1):OFFSET(T17,0,-1)),"Очікую"))))</f>
        <v>6.2857142857142856</v>
      </c>
      <c r="U17" s="25"/>
      <c r="V17" s="21"/>
    </row>
    <row r="18" spans="1:22" s="13" customFormat="1" ht="15" customHeight="1" x14ac:dyDescent="0.25">
      <c r="A18" s="12"/>
      <c r="B18" s="14"/>
      <c r="C18" s="29" t="s">
        <v>37</v>
      </c>
      <c r="D18" s="29">
        <v>9</v>
      </c>
      <c r="E18" s="32" t="s">
        <v>66</v>
      </c>
      <c r="F18" s="33">
        <v>11</v>
      </c>
      <c r="G18" s="33">
        <v>9</v>
      </c>
      <c r="H18" s="33">
        <v>10</v>
      </c>
      <c r="I18" s="33">
        <v>11</v>
      </c>
      <c r="J18" s="33">
        <v>11</v>
      </c>
      <c r="K18" s="33">
        <v>10</v>
      </c>
      <c r="L18" s="33">
        <v>10</v>
      </c>
      <c r="M18" s="33">
        <v>10</v>
      </c>
      <c r="N18" s="33">
        <v>7</v>
      </c>
      <c r="O18" s="33">
        <v>10</v>
      </c>
      <c r="P18" s="33">
        <v>10</v>
      </c>
      <c r="Q18" s="33">
        <v>10</v>
      </c>
      <c r="R18" s="33">
        <v>10</v>
      </c>
      <c r="S18" s="33">
        <v>9</v>
      </c>
      <c r="T18" s="28">
        <f ca="1">IF(COUNTIF(OFFSET($E18,0,1):OFFSET(T18,0,-1),"=*")&gt;0,IF($C18="К","-"," - "),IF(COUNTIF(OFFSET($E18,0,1):OFFSET(T18,0,-1),"&lt;4")&gt;0,IF(C18="К","-"," - "),(IFERROR(AVERAGE(OFFSET($E18,0,1):OFFSET(T18,0,-1)),"Очікую"))))</f>
        <v>9.8571428571428577</v>
      </c>
      <c r="U18" s="25"/>
      <c r="V18" s="21"/>
    </row>
    <row r="19" spans="1:22" s="13" customFormat="1" ht="15" customHeight="1" x14ac:dyDescent="0.25">
      <c r="A19" s="12"/>
      <c r="B19" s="14"/>
      <c r="C19" s="29" t="s">
        <v>37</v>
      </c>
      <c r="D19" s="29">
        <v>10</v>
      </c>
      <c r="E19" s="32" t="s">
        <v>67</v>
      </c>
      <c r="F19" s="33">
        <v>11</v>
      </c>
      <c r="G19" s="33">
        <v>9</v>
      </c>
      <c r="H19" s="33">
        <v>10</v>
      </c>
      <c r="I19" s="33">
        <v>11</v>
      </c>
      <c r="J19" s="33">
        <v>11</v>
      </c>
      <c r="K19" s="33">
        <v>10</v>
      </c>
      <c r="L19" s="33">
        <v>10</v>
      </c>
      <c r="M19" s="33">
        <v>10</v>
      </c>
      <c r="N19" s="33">
        <v>7</v>
      </c>
      <c r="O19" s="33">
        <v>10</v>
      </c>
      <c r="P19" s="33">
        <v>10</v>
      </c>
      <c r="Q19" s="33">
        <v>10</v>
      </c>
      <c r="R19" s="33">
        <v>10</v>
      </c>
      <c r="S19" s="33">
        <v>9</v>
      </c>
      <c r="T19" s="28">
        <f ca="1">IF(COUNTIF(OFFSET($E19,0,1):OFFSET(T19,0,-1),"=*")&gt;0,IF($C19="К","-"," - "),IF(COUNTIF(OFFSET($E19,0,1):OFFSET(T19,0,-1),"&lt;4")&gt;0,IF(C19="К","-"," - "),(IFERROR(AVERAGE(OFFSET($E19,0,1):OFFSET(T19,0,-1)),"Очікую"))))</f>
        <v>9.8571428571428577</v>
      </c>
      <c r="U19" s="25"/>
      <c r="V19" s="21"/>
    </row>
    <row r="20" spans="1:22" s="13" customFormat="1" ht="15" customHeight="1" x14ac:dyDescent="0.25">
      <c r="A20" s="12"/>
      <c r="B20" s="14"/>
      <c r="C20" s="29" t="s">
        <v>37</v>
      </c>
      <c r="D20" s="29">
        <v>11</v>
      </c>
      <c r="E20" s="32" t="s">
        <v>68</v>
      </c>
      <c r="F20" s="33">
        <v>8</v>
      </c>
      <c r="G20" s="33">
        <v>6</v>
      </c>
      <c r="H20" s="33">
        <v>6</v>
      </c>
      <c r="I20" s="33">
        <v>4</v>
      </c>
      <c r="J20" s="33">
        <v>4</v>
      </c>
      <c r="K20" s="33">
        <v>5</v>
      </c>
      <c r="L20" s="33">
        <v>6</v>
      </c>
      <c r="M20" s="33">
        <v>5</v>
      </c>
      <c r="N20" s="33">
        <v>5</v>
      </c>
      <c r="O20" s="33">
        <v>4</v>
      </c>
      <c r="P20" s="33">
        <v>4</v>
      </c>
      <c r="Q20" s="33">
        <v>6</v>
      </c>
      <c r="R20" s="33">
        <v>10</v>
      </c>
      <c r="S20" s="33">
        <v>5</v>
      </c>
      <c r="T20" s="28">
        <f ca="1">IF(COUNTIF(OFFSET($E20,0,1):OFFSET(T20,0,-1),"=*")&gt;0,IF($C20="К","-"," - "),IF(COUNTIF(OFFSET($E20,0,1):OFFSET(T20,0,-1),"&lt;4")&gt;0,IF(C20="К","-"," - "),(IFERROR(AVERAGE(OFFSET($E20,0,1):OFFSET(T20,0,-1)),"Очікую"))))</f>
        <v>5.5714285714285712</v>
      </c>
      <c r="U20" s="25"/>
      <c r="V20" s="21"/>
    </row>
    <row r="21" spans="1:22" s="13" customFormat="1" ht="15" customHeight="1" x14ac:dyDescent="0.25">
      <c r="A21" s="12"/>
      <c r="B21" s="14"/>
      <c r="C21" s="29" t="s">
        <v>37</v>
      </c>
      <c r="D21" s="29">
        <v>12</v>
      </c>
      <c r="E21" s="32" t="s">
        <v>69</v>
      </c>
      <c r="F21" s="33">
        <v>10</v>
      </c>
      <c r="G21" s="33">
        <v>9</v>
      </c>
      <c r="H21" s="33">
        <v>8</v>
      </c>
      <c r="I21" s="33">
        <v>8</v>
      </c>
      <c r="J21" s="33">
        <v>6</v>
      </c>
      <c r="K21" s="33">
        <v>6</v>
      </c>
      <c r="L21" s="33">
        <v>6</v>
      </c>
      <c r="M21" s="33">
        <v>8</v>
      </c>
      <c r="N21" s="33">
        <v>6</v>
      </c>
      <c r="O21" s="33">
        <v>7</v>
      </c>
      <c r="P21" s="33">
        <v>8</v>
      </c>
      <c r="Q21" s="33">
        <v>7</v>
      </c>
      <c r="R21" s="33">
        <v>9</v>
      </c>
      <c r="S21" s="33">
        <v>6</v>
      </c>
      <c r="T21" s="28">
        <f ca="1">IF(COUNTIF(OFFSET($E21,0,1):OFFSET(T21,0,-1),"=*")&gt;0,IF($C21="К","-"," - "),IF(COUNTIF(OFFSET($E21,0,1):OFFSET(T21,0,-1),"&lt;4")&gt;0,IF(C21="К","-"," - "),(IFERROR(AVERAGE(OFFSET($E21,0,1):OFFSET(T21,0,-1)),"Очікую"))))</f>
        <v>7.4285714285714288</v>
      </c>
      <c r="U21" s="25"/>
      <c r="V21" s="21"/>
    </row>
    <row r="22" spans="1:22" s="13" customFormat="1" ht="15" customHeight="1" x14ac:dyDescent="0.25">
      <c r="A22" s="12"/>
      <c r="B22" s="14"/>
      <c r="C22" s="29" t="s">
        <v>37</v>
      </c>
      <c r="D22" s="29">
        <v>13</v>
      </c>
      <c r="E22" s="32" t="s">
        <v>70</v>
      </c>
      <c r="F22" s="33">
        <v>8</v>
      </c>
      <c r="G22" s="33">
        <v>8</v>
      </c>
      <c r="H22" s="33">
        <v>7</v>
      </c>
      <c r="I22" s="33">
        <v>6</v>
      </c>
      <c r="J22" s="33">
        <v>4</v>
      </c>
      <c r="K22" s="33">
        <v>4</v>
      </c>
      <c r="L22" s="33">
        <v>4</v>
      </c>
      <c r="M22" s="33">
        <v>8</v>
      </c>
      <c r="N22" s="33">
        <v>4</v>
      </c>
      <c r="O22" s="33">
        <v>4</v>
      </c>
      <c r="P22" s="33">
        <v>6</v>
      </c>
      <c r="Q22" s="33">
        <v>5</v>
      </c>
      <c r="R22" s="33">
        <v>10</v>
      </c>
      <c r="S22" s="33">
        <v>5</v>
      </c>
      <c r="T22" s="28">
        <f ca="1">IF(COUNTIF(OFFSET($E22,0,1):OFFSET(T22,0,-1),"=*")&gt;0,IF($C22="К","-"," - "),IF(COUNTIF(OFFSET($E22,0,1):OFFSET(T22,0,-1),"&lt;4")&gt;0,IF(C22="К","-"," - "),(IFERROR(AVERAGE(OFFSET($E22,0,1):OFFSET(T22,0,-1)),"Очікую"))))</f>
        <v>5.9285714285714288</v>
      </c>
      <c r="U22" s="25"/>
      <c r="V22" s="21"/>
    </row>
    <row r="23" spans="1:22" s="13" customFormat="1" ht="15" customHeight="1" x14ac:dyDescent="0.25">
      <c r="A23" s="12"/>
      <c r="B23" s="14"/>
      <c r="C23" s="29" t="s">
        <v>9</v>
      </c>
      <c r="D23" s="29">
        <v>14</v>
      </c>
      <c r="E23" s="32" t="s">
        <v>71</v>
      </c>
      <c r="F23" s="33">
        <v>8</v>
      </c>
      <c r="G23" s="33">
        <v>6</v>
      </c>
      <c r="H23" s="33">
        <v>6</v>
      </c>
      <c r="I23" s="33">
        <v>4</v>
      </c>
      <c r="J23" s="33">
        <v>4</v>
      </c>
      <c r="K23" s="33">
        <v>4</v>
      </c>
      <c r="L23" s="33">
        <v>5</v>
      </c>
      <c r="M23" s="33">
        <v>6</v>
      </c>
      <c r="N23" s="33">
        <v>4</v>
      </c>
      <c r="O23" s="33">
        <v>4</v>
      </c>
      <c r="P23" s="33">
        <v>6</v>
      </c>
      <c r="Q23" s="33">
        <v>4</v>
      </c>
      <c r="R23" s="33">
        <v>10</v>
      </c>
      <c r="S23" s="33">
        <v>5</v>
      </c>
      <c r="T23" s="28">
        <f ca="1">IF(COUNTIF(OFFSET($E23,0,1):OFFSET(T23,0,-1),"=*")&gt;0,IF($C23="К","-"," - "),IF(COUNTIF(OFFSET($E23,0,1):OFFSET(T23,0,-1),"&lt;4")&gt;0,IF(C23="К","-"," - "),(IFERROR(AVERAGE(OFFSET($E23,0,1):OFFSET(T23,0,-1)),"Очікую"))))</f>
        <v>5.4285714285714288</v>
      </c>
      <c r="U23" s="25"/>
      <c r="V23" s="21"/>
    </row>
    <row r="24" spans="1:22" s="13" customFormat="1" ht="15" customHeight="1" x14ac:dyDescent="0.25">
      <c r="A24" s="12"/>
      <c r="B24" s="14"/>
      <c r="C24" s="29" t="s">
        <v>37</v>
      </c>
      <c r="D24" s="29">
        <v>15</v>
      </c>
      <c r="E24" s="32" t="s">
        <v>72</v>
      </c>
      <c r="F24" s="33">
        <v>11</v>
      </c>
      <c r="G24" s="33">
        <v>9</v>
      </c>
      <c r="H24" s="33">
        <v>10</v>
      </c>
      <c r="I24" s="33">
        <v>11</v>
      </c>
      <c r="J24" s="33">
        <v>9</v>
      </c>
      <c r="K24" s="33">
        <v>8</v>
      </c>
      <c r="L24" s="33">
        <v>9</v>
      </c>
      <c r="M24" s="33">
        <v>10</v>
      </c>
      <c r="N24" s="33">
        <v>7</v>
      </c>
      <c r="O24" s="33">
        <v>11</v>
      </c>
      <c r="P24" s="33">
        <v>8</v>
      </c>
      <c r="Q24" s="33">
        <v>8</v>
      </c>
      <c r="R24" s="33">
        <v>10</v>
      </c>
      <c r="S24" s="33">
        <v>8</v>
      </c>
      <c r="T24" s="28">
        <f ca="1">IF(COUNTIF(OFFSET($E24,0,1):OFFSET(T24,0,-1),"=*")&gt;0,IF($C24="К","-"," - "),IF(COUNTIF(OFFSET($E24,0,1):OFFSET(T24,0,-1),"&lt;4")&gt;0,IF(C24="К","-"," - "),(IFERROR(AVERAGE(OFFSET($E24,0,1):OFFSET(T24,0,-1)),"Очікую"))))</f>
        <v>9.2142857142857135</v>
      </c>
      <c r="U24" s="25"/>
      <c r="V24" s="21"/>
    </row>
    <row r="25" spans="1:22" s="13" customFormat="1" ht="15" customHeight="1" x14ac:dyDescent="0.25">
      <c r="A25" s="12"/>
      <c r="B25" s="14"/>
      <c r="C25" s="29" t="s">
        <v>37</v>
      </c>
      <c r="D25" s="29">
        <v>16</v>
      </c>
      <c r="E25" s="32" t="s">
        <v>73</v>
      </c>
      <c r="F25" s="33">
        <v>8</v>
      </c>
      <c r="G25" s="33">
        <v>8</v>
      </c>
      <c r="H25" s="33">
        <v>7</v>
      </c>
      <c r="I25" s="33">
        <v>7</v>
      </c>
      <c r="J25" s="33" t="s">
        <v>33</v>
      </c>
      <c r="K25" s="33">
        <v>4</v>
      </c>
      <c r="L25" s="33">
        <v>6</v>
      </c>
      <c r="M25" s="33">
        <v>7</v>
      </c>
      <c r="N25" s="33">
        <v>4</v>
      </c>
      <c r="O25" s="33">
        <v>4</v>
      </c>
      <c r="P25" s="33">
        <v>5</v>
      </c>
      <c r="Q25" s="33">
        <v>4</v>
      </c>
      <c r="R25" s="33">
        <v>10</v>
      </c>
      <c r="S25" s="33">
        <v>4</v>
      </c>
      <c r="T25" s="28" t="str">
        <f ca="1">IF(COUNTIF(OFFSET($E25,0,1):OFFSET(T25,0,-1),"=*")&gt;0,IF($C25="К","-"," - "),IF(COUNTIF(OFFSET($E25,0,1):OFFSET(T25,0,-1),"&lt;4")&gt;0,IF(C25="К","-"," - "),(IFERROR(AVERAGE(OFFSET($E25,0,1):OFFSET(T25,0,-1)),"Очікую"))))</f>
        <v xml:space="preserve"> - </v>
      </c>
      <c r="U25" s="25"/>
      <c r="V25" s="21"/>
    </row>
    <row r="26" spans="1:22" s="13" customFormat="1" ht="15" customHeight="1" x14ac:dyDescent="0.25">
      <c r="A26" s="12"/>
      <c r="B26" s="14"/>
      <c r="C26" s="29" t="s">
        <v>9</v>
      </c>
      <c r="D26" s="29">
        <v>17</v>
      </c>
      <c r="E26" s="32" t="s">
        <v>74</v>
      </c>
      <c r="F26" s="33">
        <v>8</v>
      </c>
      <c r="G26" s="33">
        <v>8</v>
      </c>
      <c r="H26" s="33">
        <v>7</v>
      </c>
      <c r="I26" s="33">
        <v>8</v>
      </c>
      <c r="J26" s="33" t="s">
        <v>33</v>
      </c>
      <c r="K26" s="33">
        <v>4</v>
      </c>
      <c r="L26" s="33">
        <v>2</v>
      </c>
      <c r="M26" s="33">
        <v>6</v>
      </c>
      <c r="N26" s="33">
        <v>4</v>
      </c>
      <c r="O26" s="33">
        <v>4</v>
      </c>
      <c r="P26" s="33">
        <v>4</v>
      </c>
      <c r="Q26" s="33">
        <v>2</v>
      </c>
      <c r="R26" s="33">
        <v>5</v>
      </c>
      <c r="S26" s="33">
        <v>4</v>
      </c>
      <c r="T26" s="28" t="str">
        <f ca="1">IF(COUNTIF(OFFSET($E26,0,1):OFFSET(T26,0,-1),"=*")&gt;0,IF($C26="К","-"," - "),IF(COUNTIF(OFFSET($E26,0,1):OFFSET(T26,0,-1),"&lt;4")&gt;0,IF(C26="К","-"," - "),(IFERROR(AVERAGE(OFFSET($E26,0,1):OFFSET(T26,0,-1)),"Очікую"))))</f>
        <v>-</v>
      </c>
      <c r="U26" s="25"/>
      <c r="V26" s="21"/>
    </row>
    <row r="27" spans="1:22" ht="15" customHeight="1" x14ac:dyDescent="0.25">
      <c r="A27" s="12"/>
      <c r="B27" s="14"/>
      <c r="C27" s="6"/>
      <c r="D27" s="6"/>
      <c r="E27" s="30" t="s">
        <v>10</v>
      </c>
      <c r="F27" s="31">
        <f ca="1">IF(SUM(OFFSET(F$9,1,0):OFFSET(F27,-1,0))=0,IF(COUNTA(OFFSET(F$9,1,0):OFFSET(F27,-1,0))=0,"Очікую",0),SUM(OFFSET(F$9,1,0):OFFSET(F27,-1,0))/OFFSET($D27,-1,0))</f>
        <v>9.2941176470588243</v>
      </c>
      <c r="G27" s="31">
        <f ca="1">IF(SUM(OFFSET(G$9,1,0):OFFSET(G27,-1,0))=0,IF(COUNTA(OFFSET(G$9,1,0):OFFSET(G27,-1,0))=0,"Очікую",0),SUM(OFFSET(G$9,1,0):OFFSET(G27,-1,0))/OFFSET($D27,-1,0))</f>
        <v>8</v>
      </c>
      <c r="H27" s="31">
        <f ca="1">IF(SUM(OFFSET(H$9,1,0):OFFSET(H27,-1,0))=0,IF(COUNTA(OFFSET(H$9,1,0):OFFSET(H27,-1,0))=0,"Очікую",0),SUM(OFFSET(H$9,1,0):OFFSET(H27,-1,0))/OFFSET($D27,-1,0))</f>
        <v>7.6470588235294121</v>
      </c>
      <c r="I27" s="31">
        <f ca="1">IF(SUM(OFFSET(I$9,1,0):OFFSET(I27,-1,0))=0,IF(COUNTA(OFFSET(I$9,1,0):OFFSET(I27,-1,0))=0,"Очікую",0),SUM(OFFSET(I$9,1,0):OFFSET(I27,-1,0))/OFFSET($D27,-1,0))</f>
        <v>7.4117647058823533</v>
      </c>
      <c r="J27" s="31">
        <f ca="1">IF(SUM(OFFSET(J$9,1,0):OFFSET(J27,-1,0))=0,IF(COUNTA(OFFSET(J$9,1,0):OFFSET(J27,-1,0))=0,"Очікую",0),SUM(OFFSET(J$9,1,0):OFFSET(J27,-1,0))/OFFSET($D27,-1,0))</f>
        <v>5.7647058823529411</v>
      </c>
      <c r="K27" s="31">
        <f ca="1">IF(SUM(OFFSET(K$9,1,0):OFFSET(K27,-1,0))=0,IF(COUNTA(OFFSET(K$9,1,0):OFFSET(K27,-1,0))=0,"Очікую",0),SUM(OFFSET(K$9,1,0):OFFSET(K27,-1,0))/OFFSET($D27,-1,0))</f>
        <v>5.5294117647058822</v>
      </c>
      <c r="L27" s="31">
        <f ca="1">IF(SUM(OFFSET(L$9,1,0):OFFSET(L27,-1,0))=0,IF(COUNTA(OFFSET(L$9,1,0):OFFSET(L27,-1,0))=0,"Очікую",0),SUM(OFFSET(L$9,1,0):OFFSET(L27,-1,0))/OFFSET($D27,-1,0))</f>
        <v>6.882352941176471</v>
      </c>
      <c r="M27" s="31">
        <f ca="1">IF(SUM(OFFSET(M$9,1,0):OFFSET(M27,-1,0))=0,IF(COUNTA(OFFSET(M$9,1,0):OFFSET(M27,-1,0))=0,"Очікую",0),SUM(OFFSET(M$9,1,0):OFFSET(M27,-1,0))/OFFSET($D27,-1,0))</f>
        <v>7.5882352941176467</v>
      </c>
      <c r="N27" s="31">
        <f ca="1">IF(SUM(OFFSET(N$9,1,0):OFFSET(N27,-1,0))=0,IF(COUNTA(OFFSET(N$9,1,0):OFFSET(N27,-1,0))=0,"Очікую",0),SUM(OFFSET(N$9,1,0):OFFSET(N27,-1,0))/OFFSET($D27,-1,0))</f>
        <v>5.2352941176470589</v>
      </c>
      <c r="O27" s="31">
        <f ca="1">IF(SUM(OFFSET(O$9,1,0):OFFSET(O27,-1,0))=0,IF(COUNTA(OFFSET(O$9,1,0):OFFSET(O27,-1,0))=0,"Очікую",0),SUM(OFFSET(O$9,1,0):OFFSET(O27,-1,0))/OFFSET($D27,-1,0))</f>
        <v>5.9411764705882355</v>
      </c>
      <c r="P27" s="31">
        <f ca="1">IF(SUM(OFFSET(P$9,1,0):OFFSET(P27,-1,0))=0,IF(COUNTA(OFFSET(P$9,1,0):OFFSET(P27,-1,0))=0,"Очікую",0),SUM(OFFSET(P$9,1,0):OFFSET(P27,-1,0))/OFFSET($D27,-1,0))</f>
        <v>6.5294117647058822</v>
      </c>
      <c r="Q27" s="31">
        <f ca="1">IF(SUM(OFFSET(Q$9,1,0):OFFSET(Q27,-1,0))=0,IF(COUNTA(OFFSET(Q$9,1,0):OFFSET(Q27,-1,0))=0,"Очікую",0),SUM(OFFSET(Q$9,1,0):OFFSET(Q27,-1,0))/OFFSET($D27,-1,0))</f>
        <v>5.7647058823529411</v>
      </c>
      <c r="R27" s="31">
        <f ca="1">IF(SUM(OFFSET(R$9,1,0):OFFSET(R27,-1,0))=0,IF(COUNTA(OFFSET(R$9,1,0):OFFSET(R27,-1,0))=0,"Очікую",0),SUM(OFFSET(R$9,1,0):OFFSET(R27,-1,0))/OFFSET($D27,-1,0))</f>
        <v>9.1764705882352935</v>
      </c>
      <c r="S27" s="31">
        <f ca="1">IF(SUM(OFFSET(S$9,1,0):OFFSET(S27,-1,0))=0,IF(COUNTA(OFFSET(S$9,1,0):OFFSET(S27,-1,0))=0,"Очікую",0),SUM(OFFSET(S$9,1,0):OFFSET(S27,-1,0))/OFFSET($D27,-1,0))</f>
        <v>5.6470588235294121</v>
      </c>
      <c r="T27" s="9">
        <f ca="1">IFERROR(AVERAGE(OFFSET($E27,0,1):OFFSET(T27,0,-1)),"Очікую")</f>
        <v>6.886554621848739</v>
      </c>
      <c r="U27" s="23"/>
      <c r="V27" s="21"/>
    </row>
    <row r="28" spans="1:22" ht="15" customHeight="1" x14ac:dyDescent="0.25">
      <c r="A28" s="12"/>
      <c r="B28" s="14"/>
      <c r="C28" s="6"/>
      <c r="D28" s="6"/>
      <c r="E28" s="7" t="s">
        <v>11</v>
      </c>
      <c r="F28" s="10">
        <f ca="1">IF(SUM(OFFSET(F$9,1,0):OFFSET(F27,-1,0))=0,IF(COUNTA(OFFSET(F$9,1,0):OFFSET(F27,-1,0))=0,"Очікую",0),IF(COUNTIF(OFFSET(F$9,1,0):OFFSET(F27,-1,0),"&gt;=4")=0,0,COUNTIF(OFFSET(F$9,1,0):OFFSET(F27,-1,0),"&gt;=4")/OFFSET($D27,-1,0)*100))</f>
        <v>100</v>
      </c>
      <c r="G28" s="10">
        <f ca="1">IF(SUM(OFFSET(G$9,1,0):OFFSET(G27,-1,0))=0,IF(COUNTA(OFFSET(G$9,1,0):OFFSET(G27,-1,0))=0,"Очікую",0),IF(COUNTIF(OFFSET(G$9,1,0):OFFSET(G27,-1,0),"&gt;=4")=0,0,COUNTIF(OFFSET(G$9,1,0):OFFSET(G27,-1,0),"&gt;=4")/OFFSET($D27,-1,0)*100))</f>
        <v>100</v>
      </c>
      <c r="H28" s="10">
        <f ca="1">IF(SUM(OFFSET(H$9,1,0):OFFSET(H27,-1,0))=0,IF(COUNTA(OFFSET(H$9,1,0):OFFSET(H27,-1,0))=0,"Очікую",0),IF(COUNTIF(OFFSET(H$9,1,0):OFFSET(H27,-1,0),"&gt;=4")=0,0,COUNTIF(OFFSET(H$9,1,0):OFFSET(H27,-1,0),"&gt;=4")/OFFSET($D27,-1,0)*100))</f>
        <v>100</v>
      </c>
      <c r="I28" s="10">
        <f ca="1">IF(SUM(OFFSET(I$9,1,0):OFFSET(I27,-1,0))=0,IF(COUNTA(OFFSET(I$9,1,0):OFFSET(I27,-1,0))=0,"Очікую",0),IF(COUNTIF(OFFSET(I$9,1,0):OFFSET(I27,-1,0),"&gt;=4")=0,0,COUNTIF(OFFSET(I$9,1,0):OFFSET(I27,-1,0),"&gt;=4")/OFFSET($D27,-1,0)*100))</f>
        <v>100</v>
      </c>
      <c r="J28" s="10">
        <f ca="1">IF(SUM(OFFSET(J$9,1,0):OFFSET(J27,-1,0))=0,IF(COUNTA(OFFSET(J$9,1,0):OFFSET(J27,-1,0))=0,"Очікую",0),IF(COUNTIF(OFFSET(J$9,1,0):OFFSET(J27,-1,0),"&gt;=4")=0,0,COUNTIF(OFFSET(J$9,1,0):OFFSET(J27,-1,0),"&gt;=4")/OFFSET($D27,-1,0)*100))</f>
        <v>88.235294117647058</v>
      </c>
      <c r="K28" s="10">
        <f ca="1">IF(SUM(OFFSET(K$9,1,0):OFFSET(K27,-1,0))=0,IF(COUNTA(OFFSET(K$9,1,0):OFFSET(K27,-1,0))=0,"Очікую",0),IF(COUNTIF(OFFSET(K$9,1,0):OFFSET(K27,-1,0),"&gt;=4")=0,0,COUNTIF(OFFSET(K$9,1,0):OFFSET(K27,-1,0),"&gt;=4")/OFFSET($D27,-1,0)*100))</f>
        <v>100</v>
      </c>
      <c r="L28" s="10">
        <f ca="1">IF(SUM(OFFSET(L$9,1,0):OFFSET(L27,-1,0))=0,IF(COUNTA(OFFSET(L$9,1,0):OFFSET(L27,-1,0))=0,"Очікую",0),IF(COUNTIF(OFFSET(L$9,1,0):OFFSET(L27,-1,0),"&gt;=4")=0,0,COUNTIF(OFFSET(L$9,1,0):OFFSET(L27,-1,0),"&gt;=4")/OFFSET($D27,-1,0)*100))</f>
        <v>94.117647058823522</v>
      </c>
      <c r="M28" s="10">
        <f ca="1">IF(SUM(OFFSET(M$9,1,0):OFFSET(M27,-1,0))=0,IF(COUNTA(OFFSET(M$9,1,0):OFFSET(M27,-1,0))=0,"Очікую",0),IF(COUNTIF(OFFSET(M$9,1,0):OFFSET(M27,-1,0),"&gt;=4")=0,0,COUNTIF(OFFSET(M$9,1,0):OFFSET(M27,-1,0),"&gt;=4")/OFFSET($D27,-1,0)*100))</f>
        <v>100</v>
      </c>
      <c r="N28" s="10">
        <f ca="1">IF(SUM(OFFSET(N$9,1,0):OFFSET(N27,-1,0))=0,IF(COUNTA(OFFSET(N$9,1,0):OFFSET(N27,-1,0))=0,"Очікую",0),IF(COUNTIF(OFFSET(N$9,1,0):OFFSET(N27,-1,0),"&gt;=4")=0,0,COUNTIF(OFFSET(N$9,1,0):OFFSET(N27,-1,0),"&gt;=4")/OFFSET($D27,-1,0)*100))</f>
        <v>100</v>
      </c>
      <c r="O28" s="10">
        <f ca="1">IF(SUM(OFFSET(O$9,1,0):OFFSET(O27,-1,0))=0,IF(COUNTA(OFFSET(O$9,1,0):OFFSET(O27,-1,0))=0,"Очікую",0),IF(COUNTIF(OFFSET(O$9,1,0):OFFSET(O27,-1,0),"&gt;=4")=0,0,COUNTIF(OFFSET(O$9,1,0):OFFSET(O27,-1,0),"&gt;=4")/OFFSET($D27,-1,0)*100))</f>
        <v>100</v>
      </c>
      <c r="P28" s="10">
        <f ca="1">IF(SUM(OFFSET(P$9,1,0):OFFSET(P27,-1,0))=0,IF(COUNTA(OFFSET(P$9,1,0):OFFSET(P27,-1,0))=0,"Очікую",0),IF(COUNTIF(OFFSET(P$9,1,0):OFFSET(P27,-1,0),"&gt;=4")=0,0,COUNTIF(OFFSET(P$9,1,0):OFFSET(P27,-1,0),"&gt;=4")/OFFSET($D27,-1,0)*100))</f>
        <v>100</v>
      </c>
      <c r="Q28" s="10">
        <f ca="1">IF(SUM(OFFSET(Q$9,1,0):OFFSET(Q27,-1,0))=0,IF(COUNTA(OFFSET(Q$9,1,0):OFFSET(Q27,-1,0))=0,"Очікую",0),IF(COUNTIF(OFFSET(Q$9,1,0):OFFSET(Q27,-1,0),"&gt;=4")=0,0,COUNTIF(OFFSET(Q$9,1,0):OFFSET(Q27,-1,0),"&gt;=4")/OFFSET($D27,-1,0)*100))</f>
        <v>94.117647058823522</v>
      </c>
      <c r="R28" s="10">
        <f ca="1">IF(SUM(OFFSET(R$9,1,0):OFFSET(R27,-1,0))=0,IF(COUNTA(OFFSET(R$9,1,0):OFFSET(R27,-1,0))=0,"Очікую",0),IF(COUNTIF(OFFSET(R$9,1,0):OFFSET(R27,-1,0),"&gt;=4")=0,0,COUNTIF(OFFSET(R$9,1,0):OFFSET(R27,-1,0),"&gt;=4")/OFFSET($D27,-1,0)*100))</f>
        <v>100</v>
      </c>
      <c r="S28" s="10">
        <f ca="1">IF(SUM(OFFSET(S$9,1,0):OFFSET(S27,-1,0))=0,IF(COUNTA(OFFSET(S$9,1,0):OFFSET(S27,-1,0))=0,"Очікую",0),IF(COUNTIF(OFFSET(S$9,1,0):OFFSET(S27,-1,0),"&gt;=4")=0,0,COUNTIF(OFFSET(S$9,1,0):OFFSET(S27,-1,0),"&gt;=4")/OFFSET($D27,-1,0)*100))</f>
        <v>100</v>
      </c>
      <c r="T28" s="6"/>
      <c r="U28" s="23"/>
      <c r="V28" s="21"/>
    </row>
    <row r="29" spans="1:22" ht="15" customHeight="1" x14ac:dyDescent="0.25">
      <c r="A29" s="12"/>
      <c r="B29" s="14"/>
      <c r="C29" s="6"/>
      <c r="D29" s="6"/>
      <c r="E29" s="7" t="s">
        <v>12</v>
      </c>
      <c r="F29" s="10">
        <f ca="1">IF(SUM(OFFSET(F$9,1,0):OFFSET(F27,-1,0))=0,IF(COUNTA(OFFSET(F$9,1,0):OFFSET(F27,-1,0))=0,"Очікую",0),IF(COUNTIF(OFFSET(F$9,1,0):OFFSET(F27,-1,0),"&gt;=7")=0,0,COUNTIF(OFFSET(F$9,1,0):OFFSET(F27,-1,0),"&gt;=7")/OFFSET($D27,-1,0)*100))</f>
        <v>100</v>
      </c>
      <c r="G29" s="10">
        <f ca="1">IF(SUM(OFFSET(G$9,1,0):OFFSET(G27,-1,0))=0,IF(COUNTA(OFFSET(G$9,1,0):OFFSET(G27,-1,0))=0,"Очікую",0),IF(COUNTIF(OFFSET(G$9,1,0):OFFSET(G27,-1,0),"&gt;=7")=0,0,COUNTIF(OFFSET(G$9,1,0):OFFSET(G27,-1,0),"&gt;=7")/OFFSET($D27,-1,0)*100))</f>
        <v>82.35294117647058</v>
      </c>
      <c r="H29" s="10">
        <f ca="1">IF(SUM(OFFSET(H$9,1,0):OFFSET(H27,-1,0))=0,IF(COUNTA(OFFSET(H$9,1,0):OFFSET(H27,-1,0))=0,"Очікую",0),IF(COUNTIF(OFFSET(H$9,1,0):OFFSET(H27,-1,0),"&gt;=7")=0,0,COUNTIF(OFFSET(H$9,1,0):OFFSET(H27,-1,0),"&gt;=7")/OFFSET($D27,-1,0)*100))</f>
        <v>82.35294117647058</v>
      </c>
      <c r="I29" s="10">
        <f ca="1">IF(SUM(OFFSET(I$9,1,0):OFFSET(I27,-1,0))=0,IF(COUNTA(OFFSET(I$9,1,0):OFFSET(I27,-1,0))=0,"Очікую",0),IF(COUNTIF(OFFSET(I$9,1,0):OFFSET(I27,-1,0),"&gt;=7")=0,0,COUNTIF(OFFSET(I$9,1,0):OFFSET(I27,-1,0),"&gt;=7")/OFFSET($D27,-1,0)*100))</f>
        <v>70.588235294117652</v>
      </c>
      <c r="J29" s="10">
        <f ca="1">IF(SUM(OFFSET(J$9,1,0):OFFSET(J27,-1,0))=0,IF(COUNTA(OFFSET(J$9,1,0):OFFSET(J27,-1,0))=0,"Очікую",0),IF(COUNTIF(OFFSET(J$9,1,0):OFFSET(J27,-1,0),"&gt;=7")=0,0,COUNTIF(OFFSET(J$9,1,0):OFFSET(J27,-1,0),"&gt;=7")/OFFSET($D27,-1,0)*100))</f>
        <v>35.294117647058826</v>
      </c>
      <c r="K29" s="10">
        <f ca="1">IF(SUM(OFFSET(K$9,1,0):OFFSET(K27,-1,0))=0,IF(COUNTA(OFFSET(K$9,1,0):OFFSET(K27,-1,0))=0,"Очікую",0),IF(COUNTIF(OFFSET(K$9,1,0):OFFSET(K27,-1,0),"&gt;=7")=0,0,COUNTIF(OFFSET(K$9,1,0):OFFSET(K27,-1,0),"&gt;=7")/OFFSET($D27,-1,0)*100))</f>
        <v>23.52941176470588</v>
      </c>
      <c r="L29" s="10">
        <f ca="1">IF(SUM(OFFSET(L$9,1,0):OFFSET(L27,-1,0))=0,IF(COUNTA(OFFSET(L$9,1,0):OFFSET(L27,-1,0))=0,"Очікую",0),IF(COUNTIF(OFFSET(L$9,1,0):OFFSET(L27,-1,0),"&gt;=7")=0,0,COUNTIF(OFFSET(L$9,1,0):OFFSET(L27,-1,0),"&gt;=7")/OFFSET($D27,-1,0)*100))</f>
        <v>41.17647058823529</v>
      </c>
      <c r="M29" s="10">
        <f ca="1">IF(SUM(OFFSET(M$9,1,0):OFFSET(M27,-1,0))=0,IF(COUNTA(OFFSET(M$9,1,0):OFFSET(M27,-1,0))=0,"Очікую",0),IF(COUNTIF(OFFSET(M$9,1,0):OFFSET(M27,-1,0),"&gt;=7")=0,0,COUNTIF(OFFSET(M$9,1,0):OFFSET(M27,-1,0),"&gt;=7")/OFFSET($D27,-1,0)*100))</f>
        <v>70.588235294117652</v>
      </c>
      <c r="N29" s="10">
        <f ca="1">IF(SUM(OFFSET(N$9,1,0):OFFSET(N27,-1,0))=0,IF(COUNTA(OFFSET(N$9,1,0):OFFSET(N27,-1,0))=0,"Очікую",0),IF(COUNTIF(OFFSET(N$9,1,0):OFFSET(N27,-1,0),"&gt;=7")=0,0,COUNTIF(OFFSET(N$9,1,0):OFFSET(N27,-1,0),"&gt;=7")/OFFSET($D27,-1,0)*100))</f>
        <v>23.52941176470588</v>
      </c>
      <c r="O29" s="10">
        <f ca="1">IF(SUM(OFFSET(O$9,1,0):OFFSET(O27,-1,0))=0,IF(COUNTA(OFFSET(O$9,1,0):OFFSET(O27,-1,0))=0,"Очікую",0),IF(COUNTIF(OFFSET(O$9,1,0):OFFSET(O27,-1,0),"&gt;=7")=0,0,COUNTIF(OFFSET(O$9,1,0):OFFSET(O27,-1,0),"&gt;=7")/OFFSET($D27,-1,0)*100))</f>
        <v>41.17647058823529</v>
      </c>
      <c r="P29" s="10">
        <f ca="1">IF(SUM(OFFSET(P$9,1,0):OFFSET(P27,-1,0))=0,IF(COUNTA(OFFSET(P$9,1,0):OFFSET(P27,-1,0))=0,"Очікую",0),IF(COUNTIF(OFFSET(P$9,1,0):OFFSET(P27,-1,0),"&gt;=7")=0,0,COUNTIF(OFFSET(P$9,1,0):OFFSET(P27,-1,0),"&gt;=7")/OFFSET($D27,-1,0)*100))</f>
        <v>52.941176470588239</v>
      </c>
      <c r="Q29" s="10">
        <f ca="1">IF(SUM(OFFSET(Q$9,1,0):OFFSET(Q27,-1,0))=0,IF(COUNTA(OFFSET(Q$9,1,0):OFFSET(Q27,-1,0))=0,"Очікую",0),IF(COUNTIF(OFFSET(Q$9,1,0):OFFSET(Q27,-1,0),"&gt;=7")=0,0,COUNTIF(OFFSET(Q$9,1,0):OFFSET(Q27,-1,0),"&gt;=7")/OFFSET($D27,-1,0)*100))</f>
        <v>35.294117647058826</v>
      </c>
      <c r="R29" s="10">
        <f ca="1">IF(SUM(OFFSET(R$9,1,0):OFFSET(R27,-1,0))=0,IF(COUNTA(OFFSET(R$9,1,0):OFFSET(R27,-1,0))=0,"Очікую",0),IF(COUNTIF(OFFSET(R$9,1,0):OFFSET(R27,-1,0),"&gt;=7")=0,0,COUNTIF(OFFSET(R$9,1,0):OFFSET(R27,-1,0),"&gt;=7")/OFFSET($D27,-1,0)*100))</f>
        <v>94.117647058823522</v>
      </c>
      <c r="S29" s="10">
        <f ca="1">IF(SUM(OFFSET(S$9,1,0):OFFSET(S27,-1,0))=0,IF(COUNTA(OFFSET(S$9,1,0):OFFSET(S27,-1,0))=0,"Очікую",0),IF(COUNTIF(OFFSET(S$9,1,0):OFFSET(S27,-1,0),"&gt;=7")=0,0,COUNTIF(OFFSET(S$9,1,0):OFFSET(S27,-1,0),"&gt;=7")/OFFSET($D27,-1,0)*100))</f>
        <v>23.52941176470588</v>
      </c>
      <c r="T29" s="6"/>
      <c r="U29" s="23"/>
      <c r="V29" s="21"/>
    </row>
    <row r="30" spans="1:22" ht="15" customHeight="1" x14ac:dyDescent="0.25">
      <c r="A30" s="12"/>
      <c r="B30" s="14"/>
      <c r="C30" s="6"/>
      <c r="D30" s="6"/>
      <c r="E30" s="7" t="s">
        <v>13</v>
      </c>
      <c r="F30" s="8">
        <f ca="1">IFERROR(AVERAGE(OFFSET(E28,0,1):OFFSET(T28,0,-1)),"Очікую")</f>
        <v>98.319327731092443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23"/>
      <c r="V30" s="21"/>
    </row>
    <row r="31" spans="1:22" ht="15" customHeight="1" x14ac:dyDescent="0.25">
      <c r="A31" s="12"/>
      <c r="B31" s="14"/>
      <c r="C31" s="6"/>
      <c r="D31" s="6"/>
      <c r="E31" s="7" t="s">
        <v>14</v>
      </c>
      <c r="F31" s="8">
        <f ca="1">IFERROR(AVERAGE(OFFSET(E29,0,1):OFFSET(T29,0,-1)),"Очікую")</f>
        <v>55.462184873949575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23"/>
      <c r="V31" s="21"/>
    </row>
    <row r="32" spans="1:22" ht="15" customHeight="1" x14ac:dyDescent="0.25">
      <c r="A32" s="12"/>
      <c r="B32" s="14"/>
      <c r="C32" s="6"/>
      <c r="D32" s="6"/>
      <c r="E32" s="7" t="s">
        <v>15</v>
      </c>
      <c r="F32" s="5">
        <f ca="1">IF(COUNTIF(OFFSET(C$9,1,0):OFFSET(C27,-1,0),"=Б")=0,IF(COUNTIF(OFFSET(C$9,1,0):OFFSET(C27,-1,0),"=К")=0,"Очікую",0),COUNTIF(OFFSET(C$9,1,0):OFFSET(C27,-1,0),"=Б"))</f>
        <v>15</v>
      </c>
      <c r="G32" s="6"/>
      <c r="H32" s="11"/>
      <c r="I32" s="6"/>
      <c r="J32" s="6"/>
      <c r="K32" s="6"/>
      <c r="L32" s="6"/>
      <c r="M32" s="6"/>
      <c r="N32" s="6"/>
      <c r="O32" s="6"/>
      <c r="P32" s="26"/>
      <c r="Q32" s="11"/>
      <c r="R32" s="6"/>
      <c r="S32" s="6"/>
      <c r="T32" s="6"/>
      <c r="U32" s="23"/>
      <c r="V32" s="21"/>
    </row>
    <row r="33" spans="1:22" ht="15" customHeight="1" x14ac:dyDescent="0.25">
      <c r="A33" s="12"/>
      <c r="B33" s="14"/>
      <c r="C33" s="6"/>
      <c r="D33" s="6"/>
      <c r="E33" s="7" t="s">
        <v>16</v>
      </c>
      <c r="F33" s="5">
        <f ca="1">IF(COUNTIF(OFFSET(C$9,1,0):OFFSET(C27,-1,0),"=К")=0,IF(COUNTIF(OFFSET(C$9,1,0):OFFSET(C27,-1,0),"=Б")=0,"Очікую",0),COUNTIF(OFFSET(C$9,1,0):OFFSET(C27,-1,0),"=К"))</f>
        <v>2</v>
      </c>
      <c r="G33" s="6"/>
      <c r="H33" s="11" t="s">
        <v>17</v>
      </c>
      <c r="I33" s="6"/>
      <c r="J33" s="6"/>
      <c r="K33" s="6"/>
      <c r="L33" s="6"/>
      <c r="M33" s="6"/>
      <c r="N33" s="6"/>
      <c r="O33" s="6"/>
      <c r="P33" s="26" t="s">
        <v>49</v>
      </c>
      <c r="Q33" s="11"/>
      <c r="R33" s="6"/>
      <c r="S33" s="6"/>
      <c r="T33" s="6"/>
      <c r="U33" s="23"/>
      <c r="V33" s="21"/>
    </row>
    <row r="34" spans="1:22" ht="15" customHeight="1" x14ac:dyDescent="0.25">
      <c r="A34" s="12"/>
      <c r="B34" s="14"/>
      <c r="C34" s="6"/>
      <c r="D34" s="6"/>
      <c r="E34" s="7" t="s">
        <v>18</v>
      </c>
      <c r="F34" s="4">
        <v>0</v>
      </c>
      <c r="G34" s="6"/>
      <c r="H34" s="11"/>
      <c r="I34" s="6"/>
      <c r="J34" s="6"/>
      <c r="K34" s="6"/>
      <c r="L34" s="6"/>
      <c r="M34" s="6"/>
      <c r="N34" s="6"/>
      <c r="O34" s="6"/>
      <c r="P34" s="11"/>
      <c r="Q34" s="11"/>
      <c r="R34" s="6"/>
      <c r="S34" s="6"/>
      <c r="T34" s="6"/>
      <c r="U34" s="23"/>
      <c r="V34" s="21"/>
    </row>
    <row r="35" spans="1:22" ht="15" customHeight="1" x14ac:dyDescent="0.25">
      <c r="A35" s="12"/>
      <c r="B35" s="14"/>
      <c r="C35" s="6"/>
      <c r="D35" s="6"/>
      <c r="E35" s="7" t="s">
        <v>19</v>
      </c>
      <c r="F35" s="5">
        <f ca="1">IF(F32="Очікую","Очікую",IF(F32-COUNTIF(OFFSET(T$8,1,0):OFFSET(T27,-1,0)," - ")&lt;ROUNDDOWN(F32*0.4,0),F32-COUNTIF(OFFSET(T$8,1,0):OFFSET(T27,-1,0)," - "),ROUNDDOWN(F32*0.4,0)))</f>
        <v>6</v>
      </c>
      <c r="G35" s="6"/>
      <c r="H35" s="26" t="s">
        <v>20</v>
      </c>
      <c r="I35" s="6"/>
      <c r="J35" s="6"/>
      <c r="K35" s="6"/>
      <c r="L35" s="6"/>
      <c r="M35" s="6"/>
      <c r="N35" s="6"/>
      <c r="O35" s="6"/>
      <c r="P35" s="26" t="s">
        <v>21</v>
      </c>
      <c r="Q35" s="6"/>
      <c r="R35" s="6"/>
      <c r="S35" s="6"/>
      <c r="T35" s="6"/>
      <c r="U35" s="23"/>
      <c r="V35" s="21"/>
    </row>
    <row r="36" spans="1:22" ht="12" customHeight="1" thickBot="1" x14ac:dyDescent="0.3">
      <c r="A36" s="12"/>
      <c r="B36" s="2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7"/>
      <c r="V36" s="21"/>
    </row>
    <row r="37" spans="1:22" ht="12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21"/>
    </row>
  </sheetData>
  <sheetProtection insertRows="0" deleteRows="0"/>
  <mergeCells count="10">
    <mergeCell ref="C8:C9"/>
    <mergeCell ref="D8:D9"/>
    <mergeCell ref="E8:E9"/>
    <mergeCell ref="C3:T3"/>
    <mergeCell ref="C4:T4"/>
    <mergeCell ref="C5:T5"/>
    <mergeCell ref="C6:T6"/>
    <mergeCell ref="C7:T7"/>
    <mergeCell ref="F8:S8"/>
    <mergeCell ref="T8:T9"/>
  </mergeCells>
  <printOptions horizontalCentered="1"/>
  <pageMargins left="0.19685039370078741" right="0.19685039370078741" top="0.19685039370078741" bottom="0.19685039370078741" header="0" footer="0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Зведена E2</vt:lpstr>
      <vt:lpstr>Зведена G1</vt:lpstr>
      <vt:lpstr>Зведена G7</vt:lpstr>
      <vt:lpstr>'Зведена E2'!Область_печати</vt:lpstr>
      <vt:lpstr>'Зведена G1'!Область_печати</vt:lpstr>
      <vt:lpstr>'Зведена G7'!Область_печати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Maxim</cp:lastModifiedBy>
  <cp:lastPrinted>2025-07-26T15:37:06Z</cp:lastPrinted>
  <dcterms:created xsi:type="dcterms:W3CDTF">2006-09-28T05:33:49Z</dcterms:created>
  <dcterms:modified xsi:type="dcterms:W3CDTF">2026-06-18T13:01:05Z</dcterms:modified>
  <cp:category/>
  <cp:contentStatus/>
</cp:coreProperties>
</file>