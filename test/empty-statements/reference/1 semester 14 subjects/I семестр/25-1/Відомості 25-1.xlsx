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5" sheetId="2" state="visible" r:id="rId2"/>
    <sheet xmlns:r="http://schemas.openxmlformats.org/officeDocument/2006/relationships" name="Зведена E2" sheetId="3" state="visible" r:id="rId3"/>
    <sheet xmlns:r="http://schemas.openxmlformats.org/officeDocument/2006/relationships" name="Зведена G13" sheetId="4" state="visible" r:id="rId4"/>
    <sheet xmlns:r="http://schemas.openxmlformats.org/officeDocument/2006/relationships" name="Зведена J2" sheetId="5" state="visible" r:id="rId5"/>
    <sheet xmlns:r="http://schemas.openxmlformats.org/officeDocument/2006/relationships" name="Зведена J3" sheetId="6" state="visible" r:id="rId6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'Загальна'!$C$3:$S$55</definedName>
    <definedName name="A1048577" localSheetId="1">#REF!</definedName>
    <definedName name="Ф80" localSheetId="1">#REF!</definedName>
    <definedName name="_xlnm.Print_Area" localSheetId="1">'Зведена D5'!$C$3:$S$38</definedName>
    <definedName name="A1048577" localSheetId="2">#REF!</definedName>
    <definedName name="Ф80" localSheetId="2">#REF!</definedName>
    <definedName name="_xlnm.Print_Area" localSheetId="2">'Зведена E2'!$C$3:$S$31</definedName>
    <definedName name="A1048577" localSheetId="3">#REF!</definedName>
    <definedName name="Ф80" localSheetId="3">#REF!</definedName>
    <definedName name="_xlnm.Print_Area" localSheetId="3">'Зведена G13'!$C$3:$S$19</definedName>
    <definedName name="A1048577" localSheetId="4">#REF!</definedName>
    <definedName name="Ф80" localSheetId="4">#REF!</definedName>
    <definedName name="_xlnm.Print_Area" localSheetId="4">'Зведена J2'!$C$3:$S$19</definedName>
    <definedName name="A1048577" localSheetId="5">#REF!</definedName>
    <definedName name="Ф80" localSheetId="5">#REF!</definedName>
    <definedName name="_xlnm.Print_Area" localSheetId="5">'Зведена J3'!$C$3:$S$20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57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20" t="n"/>
      <c r="V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20" t="n"/>
      <c r="V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Біологія
Богданенко О.В.</t>
        </is>
      </c>
      <c r="G9" s="13" t="inlineStr">
        <is>
          <t>Всесвітня Історія
Мельничук С.А.</t>
        </is>
      </c>
      <c r="H9" s="13" t="inlineStr">
        <is>
          <t>Географія
Наговська Т.С.</t>
        </is>
      </c>
      <c r="I9" s="13" t="inlineStr">
        <is>
          <t>Зарубіжна література
Бабенко Л.Е.</t>
        </is>
      </c>
      <c r="J9" s="13" t="inlineStr">
        <is>
          <t>Захист України
Лазар В.І.</t>
        </is>
      </c>
      <c r="K9" s="13" t="inlineStr">
        <is>
          <t>Іноземна мова
Нічик Н.О.</t>
        </is>
      </c>
      <c r="L9" s="13" t="inlineStr">
        <is>
          <t>Інформатика
Андрльє І.О.</t>
        </is>
      </c>
      <c r="M9" s="13" t="inlineStr">
        <is>
          <t>Історія України
Левчук Т.Г.</t>
        </is>
      </c>
      <c r="N9" s="13" t="inlineStr">
        <is>
          <t>Математика
Бондаренко О.С.</t>
        </is>
      </c>
      <c r="O9" s="13" t="inlineStr">
        <is>
          <t>Українська література
Юрченко О.Б.</t>
        </is>
      </c>
      <c r="P9" s="13" t="inlineStr">
        <is>
          <t>Українська мова
Юрченко О.Б.</t>
        </is>
      </c>
      <c r="Q9" s="13" t="inlineStr">
        <is>
          <t>Фізика
Калюта Н.М.</t>
        </is>
      </c>
      <c r="R9" s="13" t="inlineStr">
        <is>
          <t>Фізична культура
Возіян О.Г.</t>
        </is>
      </c>
      <c r="S9" s="13" t="inlineStr">
        <is>
          <t>Хімія
Сахно Н.О.</t>
        </is>
      </c>
      <c r="T9" s="91" t="n"/>
      <c r="U9" s="20" t="n"/>
      <c r="V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Бернік Поліна Костянтинівна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2">
        <f>IF(COUNTIF($F10:S10,"=*")&gt;0,IF($C10="K","-"," - "),IF(COUNTIF($F10:S10,"&lt;4")&gt;0,IF($C10="K","-","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Брітіков Сергій Сергійович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2">
        <f>IF(COUNTIF($F11:S11,"=*")&gt;0,IF($C11="K","-"," - "),IF(COUNTIF($F11:S11,"&lt;4")&gt;0,IF($C11="K","-","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Бучацька Олександра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2">
        <f>IF(COUNTIF($F12:S12,"=*")&gt;0,IF($C12="K","-"," - "),IF(COUNTIF($F12:S12,"&lt;4")&gt;0,IF($C12="K","-","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Важельський Серафим Олександрович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2">
        <f>IF(COUNTIF($F13:S13,"=*")&gt;0,IF($C13="K","-"," - "),IF(COUNTIF($F13:S13,"&lt;4")&gt;0,IF($C13="K","-","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Вальчук Богдан Олександрович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2">
        <f>IF(COUNTIF($F14:S14,"=*")&gt;0,IF($C14="K","-"," - "),IF(COUNTIF($F14:S14,"&lt;4")&gt;0,IF($C14="K","-","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Варивода Станіслава Михайлівна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2">
        <f>IF(COUNTIF($F15:S15,"=*")&gt;0,IF($C15="K","-"," - "),IF(COUNTIF($F15:S15,"&lt;4")&gt;0,IF($C15="K","-","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Господарюк Юрій Михайлович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2">
        <f>IF(COUNTIF($F16:S16,"=*")&gt;0,IF($C16="K","-"," - "),IF(COUNTIF($F16:S16,"&lt;4")&gt;0,IF($C16="K","-","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Дзюбка Мирослава Володимирівна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2">
        <f>IF(COUNTIF($F17:S17,"=*")&gt;0,IF($C17="K","-"," - "),IF(COUNTIF($F17:S17,"&lt;4")&gt;0,IF($C17="K","-","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Єсипович Володимир Іванович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2">
        <f>IF(COUNTIF($F18:S18,"=*")&gt;0,IF($C18="K","-"," - "),IF(COUNTIF($F18:S18,"&lt;4")&gt;0,IF($C18="K","-","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Жумайло Дар`я Юріївна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2">
        <f>IF(COUNTIF($F19:S19,"=*")&gt;0,IF($C19="K","-"," - "),IF(COUNTIF($F19:S19,"&lt;4")&gt;0,IF($C19="K","-","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 t="inlineStr">
        <is>
          <t>К</t>
        </is>
      </c>
      <c r="D20" s="47" t="n">
        <v>11</v>
      </c>
      <c r="E20" s="48" t="inlineStr">
        <is>
          <t>Залогін Володимир Євгенійович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2">
        <f>IF(COUNTIF($F20:S20,"=*")&gt;0,IF($C20="K","-"," - "),IF(COUNTIF($F20:S20,"&lt;4")&gt;0,IF($C20="K","-","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Катеринюк Юрій Юрійович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2">
        <f>IF(COUNTIF($F21:S21,"=*")&gt;0,IF($C21="K","-"," - "),IF(COUNTIF($F21:S21,"&lt;4")&gt;0,IF($C21="K","-","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Кірон Ангеліна Петрівна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2">
        <f>IF(COUNTIF($F22:S22,"=*")&gt;0,IF($C22="K","-"," - "),IF(COUNTIF($F22:S22,"&lt;4")&gt;0,IF($C22="K","-","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Кісельова Аріна Вадимівна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2">
        <f>IF(COUNTIF($F23:S23,"=*")&gt;0,IF($C23="K","-"," - "),IF(COUNTIF($F23:S23,"&lt;4")&gt;0,IF($C23="K","-","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 t="inlineStr">
        <is>
          <t>К</t>
        </is>
      </c>
      <c r="D24" s="47" t="n">
        <v>15</v>
      </c>
      <c r="E24" s="48" t="inlineStr">
        <is>
          <t>Криворучко Олександр Степанович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2">
        <f>IF(COUNTIF($F24:S24,"=*")&gt;0,IF($C24="K","-"," - "),IF(COUNTIF($F24:S24,"&lt;4")&gt;0,IF($C24="K","-","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Леженко Серафим Русланович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2">
        <f>IF(COUNTIF($F25:S25,"=*")&gt;0,IF($C25="K","-"," - "),IF(COUNTIF($F25:S25,"&lt;4")&gt;0,IF($C25="K","-","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 t="inlineStr">
        <is>
          <t>К</t>
        </is>
      </c>
      <c r="D26" s="47" t="n">
        <v>17</v>
      </c>
      <c r="E26" s="48" t="inlineStr">
        <is>
          <t>Маркітан Станіслав Ігорович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2">
        <f>IF(COUNTIF($F26:S26,"=*")&gt;0,IF($C26="K","-"," - "),IF(COUNTIF($F26:S26,"&lt;4")&gt;0,IF($C26="K","-","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Новицький Руслан Віталійович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2">
        <f>IF(COUNTIF($F27:S27,"=*")&gt;0,IF($C27="K","-"," - "),IF(COUNTIF($F27:S27,"&lt;4")&gt;0,IF($C27="K","-","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Овсяннікова Анастасія Віталіївна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2">
        <f>IF(COUNTIF($F28:S28,"=*")&gt;0,IF($C28="K","-"," - "),IF(COUNTIF($F28:S28,"&lt;4")&gt;0,IF($C28="K","-","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Полягошко Вероніка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2">
        <f>IF(COUNTIF($F29:S29,"=*")&gt;0,IF($C29="K","-"," - "),IF(COUNTIF($F29:S29,"&lt;4")&gt;0,IF($C29="K","-","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Поляков Михайло Олександрович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2">
        <f>IF(COUNTIF($F30:S30,"=*")&gt;0,IF($C30="K","-"," - "),IF(COUNTIF($F30:S30,"&lt;4")&gt;0,IF($C30="K","-"," - "),(IFERROR(AVERAGE($F30:S30),"Очікую"))))</f>
        <v/>
      </c>
      <c r="U30" s="22" t="n"/>
      <c r="V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Помазан Валерій Миколайович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2">
        <f>IF(COUNTIF($F31:S31,"=*")&gt;0,IF($C31="K","-"," - "),IF(COUNTIF($F31:S31,"&lt;4")&gt;0,IF($C31="K","-"," - "),(IFERROR(AVERAGE($F31:S31),"Очікую"))))</f>
        <v/>
      </c>
      <c r="U31" s="22" t="n"/>
      <c r="V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Поплавських Єлизавета Іванівна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2">
        <f>IF(COUNTIF($F32:S32,"=*")&gt;0,IF($C32="K","-"," - "),IF(COUNTIF($F32:S32,"&lt;4")&gt;0,IF($C32="K","-"," - "),(IFERROR(AVERAGE($F32:S32),"Очікую"))))</f>
        <v/>
      </c>
      <c r="U32" s="22" t="n"/>
      <c r="V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Примаченко Інга Антонівна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2">
        <f>IF(COUNTIF($F33:S33,"=*")&gt;0,IF($C33="K","-"," - "),IF(COUNTIF($F33:S33,"&lt;4")&gt;0,IF($C33="K","-"," - "),(IFERROR(AVERAGE($F33:S33),"Очікую"))))</f>
        <v/>
      </c>
      <c r="U33" s="22" t="n"/>
      <c r="V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Примха Павло Павлович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2">
        <f>IF(COUNTIF($F34:S34,"=*")&gt;0,IF($C34="K","-"," - "),IF(COUNTIF($F34:S34,"&lt;4")&gt;0,IF($C34="K","-"," - "),(IFERROR(AVERAGE($F34:S34),"Очікую"))))</f>
        <v/>
      </c>
      <c r="U34" s="22" t="n"/>
      <c r="V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Проценко Микита Сергійович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2">
        <f>IF(COUNTIF($F35:S35,"=*")&gt;0,IF($C35="K","-"," - "),IF(COUNTIF($F35:S35,"&lt;4")&gt;0,IF($C35="K","-"," - "),(IFERROR(AVERAGE($F35:S35),"Очікую"))))</f>
        <v/>
      </c>
      <c r="U35" s="22" t="n"/>
      <c r="V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Ракович Дмитро Вікторович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2">
        <f>IF(COUNTIF($F36:S36,"=*")&gt;0,IF($C36="K","-"," - "),IF(COUNTIF($F36:S36,"&lt;4")&gt;0,IF($C36="K","-"," - "),(IFERROR(AVERAGE($F36:S36),"Очікую"))))</f>
        <v/>
      </c>
      <c r="U36" s="22" t="n"/>
      <c r="V36" s="39" t="n"/>
    </row>
    <row r="37" ht="15" customFormat="1" customHeight="1" s="11">
      <c r="A37" s="40" t="n"/>
      <c r="B37" s="12" t="n"/>
      <c r="C37" s="47" t="inlineStr">
        <is>
          <t>К</t>
        </is>
      </c>
      <c r="D37" s="47" t="n">
        <v>28</v>
      </c>
      <c r="E37" s="48" t="inlineStr">
        <is>
          <t>Рибинський Іван Іванович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2">
        <f>IF(COUNTIF($F37:S37,"=*")&gt;0,IF($C37="K","-"," - "),IF(COUNTIF($F37:S37,"&lt;4")&gt;0,IF($C37="K","-"," - "),(IFERROR(AVERAGE($F37:S37),"Очікую"))))</f>
        <v/>
      </c>
      <c r="U37" s="22" t="n"/>
      <c r="V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Рижиков Василь Володимирович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2">
        <f>IF(COUNTIF($F38:S38,"=*")&gt;0,IF($C38="K","-"," - "),IF(COUNTIF($F38:S38,"&lt;4")&gt;0,IF($C38="K","-"," - "),(IFERROR(AVERAGE($F38:S38),"Очікую"))))</f>
        <v/>
      </c>
      <c r="U38" s="22" t="n"/>
      <c r="V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Русєв Дмитро Георгійович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2">
        <f>IF(COUNTIF($F39:S39,"=*")&gt;0,IF($C39="K","-"," - "),IF(COUNTIF($F39:S39,"&lt;4")&gt;0,IF($C39="K","-"," - "),(IFERROR(AVERAGE($F39:S39),"Очікую"))))</f>
        <v/>
      </c>
      <c r="U39" s="22" t="n"/>
      <c r="V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Русу Альона Ігорівна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2">
        <f>IF(COUNTIF($F40:S40,"=*")&gt;0,IF($C40="K","-"," - "),IF(COUNTIF($F40:S40,"&lt;4")&gt;0,IF($C40="K","-"," - "),(IFERROR(AVERAGE($F40:S40),"Очікую"))))</f>
        <v/>
      </c>
      <c r="U40" s="22" t="n"/>
      <c r="V40" s="39" t="n"/>
    </row>
    <row r="41" ht="15" customFormat="1" customHeight="1" s="11">
      <c r="A41" s="40" t="n"/>
      <c r="B41" s="12" t="n"/>
      <c r="C41" s="47" t="inlineStr">
        <is>
          <t>К</t>
        </is>
      </c>
      <c r="D41" s="47" t="n">
        <v>32</v>
      </c>
      <c r="E41" s="48" t="inlineStr">
        <is>
          <t>Соценко Ольга Олександрівна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2">
        <f>IF(COUNTIF($F41:S41,"=*")&gt;0,IF($C41="K","-"," - "),IF(COUNTIF($F41:S41,"&lt;4")&gt;0,IF($C41="K","-"," - "),(IFERROR(AVERAGE($F41:S41),"Очікую"))))</f>
        <v/>
      </c>
      <c r="U41" s="22" t="n"/>
      <c r="V41" s="39" t="n"/>
    </row>
    <row r="42" ht="15" customFormat="1" customHeight="1" s="11">
      <c r="A42" s="40" t="n"/>
      <c r="B42" s="12" t="n"/>
      <c r="C42" s="47" t="inlineStr">
        <is>
          <t>К</t>
        </is>
      </c>
      <c r="D42" s="47" t="n">
        <v>33</v>
      </c>
      <c r="E42" s="48" t="inlineStr">
        <is>
          <t>Станчєв Віталій Васильович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2">
        <f>IF(COUNTIF($F42:S42,"=*")&gt;0,IF($C42="K","-"," - "),IF(COUNTIF($F42:S42,"&lt;4")&gt;0,IF($C42="K","-"," - "),(IFERROR(AVERAGE($F42:S42),"Очікую"))))</f>
        <v/>
      </c>
      <c r="U42" s="22" t="n"/>
      <c r="V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Тимошенко Владислав Романович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2">
        <f>IF(COUNTIF($F43:S43,"=*")&gt;0,IF($C43="K","-"," - "),IF(COUNTIF($F43:S43,"&lt;4")&gt;0,IF($C43="K","-"," - "),(IFERROR(AVERAGE($F43:S43),"Очікую"))))</f>
        <v/>
      </c>
      <c r="U43" s="22" t="n"/>
      <c r="V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Черепаха Арсеній Андрійович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2">
        <f>IF(COUNTIF($F44:S44,"=*")&gt;0,IF($C44="K","-"," - "),IF(COUNTIF($F44:S44,"&lt;4")&gt;0,IF($C44="K","-"," - "),(IFERROR(AVERAGE($F44:S44),"Очікую"))))</f>
        <v/>
      </c>
      <c r="U44" s="22" t="n"/>
      <c r="V44" s="39" t="n"/>
    </row>
    <row r="45" ht="15" customFormat="1" customHeight="1" s="11">
      <c r="A45" s="40" t="n"/>
      <c r="B45" s="12" t="n"/>
      <c r="C45" s="47" t="inlineStr">
        <is>
          <t>Б</t>
        </is>
      </c>
      <c r="D45" s="47" t="n">
        <v>36</v>
      </c>
      <c r="E45" s="48" t="inlineStr">
        <is>
          <t>Шкут Іван Андрійович</t>
        </is>
      </c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49" t="n"/>
      <c r="T45" s="42">
        <f>IF(COUNTIF($F45:S45,"=*")&gt;0,IF($C45="K","-"," - "),IF(COUNTIF($F45:S45,"&lt;4")&gt;0,IF($C45="K","-"," - "),(IFERROR(AVERAGE($F45:S45),"Очікую"))))</f>
        <v/>
      </c>
      <c r="U45" s="22" t="n"/>
      <c r="V45" s="39" t="n"/>
    </row>
    <row r="46" ht="15" customFormat="1" customHeight="1" s="11">
      <c r="A46" s="40" t="n"/>
      <c r="B46" s="12" t="n"/>
      <c r="C46" s="47" t="inlineStr">
        <is>
          <t>К</t>
        </is>
      </c>
      <c r="D46" s="47" t="n">
        <v>37</v>
      </c>
      <c r="E46" s="48" t="inlineStr">
        <is>
          <t>Шрамов`ят Михайло Ігорович</t>
        </is>
      </c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49" t="n"/>
      <c r="P46" s="49" t="n"/>
      <c r="Q46" s="49" t="n"/>
      <c r="R46" s="49" t="n"/>
      <c r="S46" s="49" t="n"/>
      <c r="T46" s="42">
        <f>IF(COUNTIF($F46:S46,"=*")&gt;0,IF($C46="K","-"," - "),IF(COUNTIF($F46:S46,"&lt;4")&gt;0,IF($C46="K","-"," - "),(IFERROR(AVERAGE($F46:S46),"Очікую"))))</f>
        <v/>
      </c>
      <c r="U46" s="22" t="n"/>
      <c r="V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Середній бал успішності з дисципліни</t>
        </is>
      </c>
      <c r="F47" s="8">
        <f>IF(SUM(F$10:F46)=0,IF(COUNTA(F$10:F46)=0,"Очікую",0),SUM(F$10:F46)/$D46)</f>
        <v/>
      </c>
      <c r="G47" s="8">
        <f>IF(SUM(G$10:G46)=0,IF(COUNTA(G$10:G46)=0,"Очікую",0),SUM(G$10:G46)/$D46)</f>
        <v/>
      </c>
      <c r="H47" s="8">
        <f>IF(SUM(H$10:H46)=0,IF(COUNTA(H$10:H46)=0,"Очікую",0),SUM(H$10:H46)/$D46)</f>
        <v/>
      </c>
      <c r="I47" s="8">
        <f>IF(SUM(I$10:I46)=0,IF(COUNTA(I$10:I46)=0,"Очікую",0),SUM(I$10:I46)/$D46)</f>
        <v/>
      </c>
      <c r="J47" s="8">
        <f>IF(SUM(J$10:J46)=0,IF(COUNTA(J$10:J46)=0,"Очікую",0),SUM(J$10:J46)/$D46)</f>
        <v/>
      </c>
      <c r="K47" s="8">
        <f>IF(SUM(K$10:K46)=0,IF(COUNTA(K$10:K46)=0,"Очікую",0),SUM(K$10:K46)/$D46)</f>
        <v/>
      </c>
      <c r="L47" s="8">
        <f>IF(SUM(L$10:L46)=0,IF(COUNTA(L$10:L46)=0,"Очікую",0),SUM(L$10:L46)/$D46)</f>
        <v/>
      </c>
      <c r="M47" s="8">
        <f>IF(SUM(M$10:M46)=0,IF(COUNTA(M$10:M46)=0,"Очікую",0),SUM(M$10:M46)/$D46)</f>
        <v/>
      </c>
      <c r="N47" s="8">
        <f>IF(SUM(N$10:N46)=0,IF(COUNTA(N$10:N46)=0,"Очікую",0),SUM(N$10:N46)/$D46)</f>
        <v/>
      </c>
      <c r="O47" s="8">
        <f>IF(SUM(O$10:O46)=0,IF(COUNTA(O$10:O46)=0,"Очікую",0),SUM(O$10:O46)/$D46)</f>
        <v/>
      </c>
      <c r="P47" s="8">
        <f>IF(SUM(P$10:P46)=0,IF(COUNTA(P$10:P46)=0,"Очікую",0),SUM(P$10:P46)/$D46)</f>
        <v/>
      </c>
      <c r="Q47" s="8">
        <f>IF(SUM(Q$10:Q46)=0,IF(COUNTA(Q$10:Q46)=0,"Очікую",0),SUM(Q$10:Q46)/$D46)</f>
        <v/>
      </c>
      <c r="R47" s="8">
        <f>IF(SUM(R$10:R46)=0,IF(COUNTA(R$10:R46)=0,"Очікую",0),SUM(R$10:R46)/$D46)</f>
        <v/>
      </c>
      <c r="S47" s="8">
        <f>IF(SUM(S$10:S46)=0,IF(COUNTA(S$10:S46)=0,"Очікую",0),SUM(S$10:S46)/$D46)</f>
        <v/>
      </c>
      <c r="T47" s="9">
        <f>IFERROR(AVERAGE($F47:S47),"Очікую")</f>
        <v/>
      </c>
      <c r="U47" s="20" t="n"/>
      <c r="V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</t>
        </is>
      </c>
      <c r="F48" s="43">
        <f>IF(SUM(F$10:F46)=0,IF(COUNTA(F$10:F46)=0,"Очікую",0),IF(COUNTIF(F$10:F46,"&gt;=4")=0,0,COUNTIF(F$10:F46,"&gt;=4")/$D46*100))</f>
        <v/>
      </c>
      <c r="G48" s="43">
        <f>IF(SUM(G$10:G46)=0,IF(COUNTA(G$10:G46)=0,"Очікую",0),IF(COUNTIF(G$10:G46,"&gt;=4")=0,0,COUNTIF(G$10:G46,"&gt;=4")/$D46*100))</f>
        <v/>
      </c>
      <c r="H48" s="43">
        <f>IF(SUM(H$10:H46)=0,IF(COUNTA(H$10:H46)=0,"Очікую",0),IF(COUNTIF(H$10:H46,"&gt;=4")=0,0,COUNTIF(H$10:H46,"&gt;=4")/$D46*100))</f>
        <v/>
      </c>
      <c r="I48" s="43">
        <f>IF(SUM(I$10:I46)=0,IF(COUNTA(I$10:I46)=0,"Очікую",0),IF(COUNTIF(I$10:I46,"&gt;=4")=0,0,COUNTIF(I$10:I46,"&gt;=4")/$D46*100))</f>
        <v/>
      </c>
      <c r="J48" s="43">
        <f>IF(SUM(J$10:J46)=0,IF(COUNTA(J$10:J46)=0,"Очікую",0),IF(COUNTIF(J$10:J46,"&gt;=4")=0,0,COUNTIF(J$10:J46,"&gt;=4")/$D46*100))</f>
        <v/>
      </c>
      <c r="K48" s="43">
        <f>IF(SUM(K$10:K46)=0,IF(COUNTA(K$10:K46)=0,"Очікую",0),IF(COUNTIF(K$10:K46,"&gt;=4")=0,0,COUNTIF(K$10:K46,"&gt;=4")/$D46*100))</f>
        <v/>
      </c>
      <c r="L48" s="43">
        <f>IF(SUM(L$10:L46)=0,IF(COUNTA(L$10:L46)=0,"Очікую",0),IF(COUNTIF(L$10:L46,"&gt;=4")=0,0,COUNTIF(L$10:L46,"&gt;=4")/$D46*100))</f>
        <v/>
      </c>
      <c r="M48" s="43">
        <f>IF(SUM(M$10:M46)=0,IF(COUNTA(M$10:M46)=0,"Очікую",0),IF(COUNTIF(M$10:M46,"&gt;=4")=0,0,COUNTIF(M$10:M46,"&gt;=4")/$D46*100))</f>
        <v/>
      </c>
      <c r="N48" s="43">
        <f>IF(SUM(N$10:N46)=0,IF(COUNTA(N$10:N46)=0,"Очікую",0),IF(COUNTIF(N$10:N46,"&gt;=4")=0,0,COUNTIF(N$10:N46,"&gt;=4")/$D46*100))</f>
        <v/>
      </c>
      <c r="O48" s="43">
        <f>IF(SUM(O$10:O46)=0,IF(COUNTA(O$10:O46)=0,"Очікую",0),IF(COUNTIF(O$10:O46,"&gt;=4")=0,0,COUNTIF(O$10:O46,"&gt;=4")/$D46*100))</f>
        <v/>
      </c>
      <c r="P48" s="43">
        <f>IF(SUM(P$10:P46)=0,IF(COUNTA(P$10:P46)=0,"Очікую",0),IF(COUNTIF(P$10:P46,"&gt;=4")=0,0,COUNTIF(P$10:P46,"&gt;=4")/$D46*100))</f>
        <v/>
      </c>
      <c r="Q48" s="43">
        <f>IF(SUM(Q$10:Q46)=0,IF(COUNTA(Q$10:Q46)=0,"Очікую",0),IF(COUNTIF(Q$10:Q46,"&gt;=4")=0,0,COUNTIF(Q$10:Q46,"&gt;=4")/$D46*100))</f>
        <v/>
      </c>
      <c r="R48" s="43">
        <f>IF(SUM(R$10:R46)=0,IF(COUNTA(R$10:R46)=0,"Очікую",0),IF(COUNTIF(R$10:R46,"&gt;=4")=0,0,COUNTIF(R$10:R46,"&gt;=4")/$D46*100))</f>
        <v/>
      </c>
      <c r="S48" s="43">
        <f>IF(SUM(S$10:S46)=0,IF(COUNTA(S$10:S46)=0,"Очікую",0),IF(COUNTIF(S$10:S46,"&gt;=4")=0,0,COUNTIF(S$10:S46,"&gt;=4")/$D46*100))</f>
        <v/>
      </c>
      <c r="T48" s="6" t="n"/>
      <c r="U48" s="20" t="n"/>
      <c r="V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</t>
        </is>
      </c>
      <c r="F49" s="43">
        <f>IF(SUM(F$10:F46)=0,IF(COUNTA(F$10:F46)=0,"Очікую",0),IF(COUNTIF(F$10:F46,"&gt;=7")=0,0,COUNTIF(F$10:F46,"&gt;=7")/$D46*100))</f>
        <v/>
      </c>
      <c r="G49" s="43">
        <f>IF(SUM(G$10:G46)=0,IF(COUNTA(G$10:G46)=0,"Очікую",0),IF(COUNTIF(G$10:G46,"&gt;=7")=0,0,COUNTIF(G$10:G46,"&gt;=7")/$D46*100))</f>
        <v/>
      </c>
      <c r="H49" s="43">
        <f>IF(SUM(H$10:H46)=0,IF(COUNTA(H$10:H46)=0,"Очікую",0),IF(COUNTIF(H$10:H46,"&gt;=7")=0,0,COUNTIF(H$10:H46,"&gt;=7")/$D46*100))</f>
        <v/>
      </c>
      <c r="I49" s="43">
        <f>IF(SUM(I$10:I46)=0,IF(COUNTA(I$10:I46)=0,"Очікую",0),IF(COUNTIF(I$10:I46,"&gt;=7")=0,0,COUNTIF(I$10:I46,"&gt;=7")/$D46*100))</f>
        <v/>
      </c>
      <c r="J49" s="43">
        <f>IF(SUM(J$10:J46)=0,IF(COUNTA(J$10:J46)=0,"Очікую",0),IF(COUNTIF(J$10:J46,"&gt;=7")=0,0,COUNTIF(J$10:J46,"&gt;=7")/$D46*100))</f>
        <v/>
      </c>
      <c r="K49" s="43">
        <f>IF(SUM(K$10:K46)=0,IF(COUNTA(K$10:K46)=0,"Очікую",0),IF(COUNTIF(K$10:K46,"&gt;=7")=0,0,COUNTIF(K$10:K46,"&gt;=7")/$D46*100))</f>
        <v/>
      </c>
      <c r="L49" s="43">
        <f>IF(SUM(L$10:L46)=0,IF(COUNTA(L$10:L46)=0,"Очікую",0),IF(COUNTIF(L$10:L46,"&gt;=7")=0,0,COUNTIF(L$10:L46,"&gt;=7")/$D46*100))</f>
        <v/>
      </c>
      <c r="M49" s="43">
        <f>IF(SUM(M$10:M46)=0,IF(COUNTA(M$10:M46)=0,"Очікую",0),IF(COUNTIF(M$10:M46,"&gt;=7")=0,0,COUNTIF(M$10:M46,"&gt;=7")/$D46*100))</f>
        <v/>
      </c>
      <c r="N49" s="43">
        <f>IF(SUM(N$10:N46)=0,IF(COUNTA(N$10:N46)=0,"Очікую",0),IF(COUNTIF(N$10:N46,"&gt;=7")=0,0,COUNTIF(N$10:N46,"&gt;=7")/$D46*100))</f>
        <v/>
      </c>
      <c r="O49" s="43">
        <f>IF(SUM(O$10:O46)=0,IF(COUNTA(O$10:O46)=0,"Очікую",0),IF(COUNTIF(O$10:O46,"&gt;=7")=0,0,COUNTIF(O$10:O46,"&gt;=7")/$D46*100))</f>
        <v/>
      </c>
      <c r="P49" s="43">
        <f>IF(SUM(P$10:P46)=0,IF(COUNTA(P$10:P46)=0,"Очікую",0),IF(COUNTIF(P$10:P46,"&gt;=7")=0,0,COUNTIF(P$10:P46,"&gt;=7")/$D46*100))</f>
        <v/>
      </c>
      <c r="Q49" s="43">
        <f>IF(SUM(Q$10:Q46)=0,IF(COUNTA(Q$10:Q46)=0,"Очікую",0),IF(COUNTIF(Q$10:Q46,"&gt;=7")=0,0,COUNTIF(Q$10:Q46,"&gt;=7")/$D46*100))</f>
        <v/>
      </c>
      <c r="R49" s="43">
        <f>IF(SUM(R$10:R46)=0,IF(COUNTA(R$10:R46)=0,"Очікую",0),IF(COUNTIF(R$10:R46,"&gt;=7")=0,0,COUNTIF(R$10:R46,"&gt;=7")/$D46*100))</f>
        <v/>
      </c>
      <c r="S49" s="43">
        <f>IF(SUM(S$10:S46)=0,IF(COUNTA(S$10:S46)=0,"Очікую",0),IF(COUNTIF(S$10:S46,"&gt;=7")=0,0,COUNTIF(S$10:S46,"&gt;=7")/$D46*100))</f>
        <v/>
      </c>
      <c r="T49" s="6" t="n"/>
      <c r="U49" s="20" t="n"/>
      <c r="V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Абсолютна успішність по групі</t>
        </is>
      </c>
      <c r="F50" s="8">
        <f>IFERROR(AVERAGE(F48:S48),"Очікую")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20" t="n"/>
      <c r="V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Якісна успішність по групі</t>
        </is>
      </c>
      <c r="F51" s="8">
        <f>IFERROR(AVERAGE($F49:S49),"Очікую")</f>
        <v/>
      </c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20" t="n"/>
      <c r="V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бюджетників</t>
        </is>
      </c>
      <c r="F52" s="63">
        <f>IF(COUNTIF($C$10:$C46,"=B")=0,IF(COUNTIF($C$10:$C46,"=K")=0,"Очікую",0),COUNTIF($C$10:$C46,"=B"))</f>
        <v/>
      </c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52" t="n"/>
      <c r="R52" s="52" t="n"/>
      <c r="S52" s="52" t="n"/>
      <c r="T52" s="52" t="n"/>
      <c r="U52" s="20" t="n"/>
      <c r="V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Кількість контрактників</t>
        </is>
      </c>
      <c r="F53" s="63">
        <f>IF(COUNTIF($C$10:$C46,"=K")=0,IF(COUNTIF($C$10:$C46,"=B")=0,"Очікую",0),COUNTIF($C$10:$C46,"=K"))</f>
        <v/>
      </c>
      <c r="G53" s="6" t="n"/>
      <c r="H53" s="58" t="inlineStr">
        <is>
          <t>Класний керівник</t>
        </is>
      </c>
      <c r="I53" s="6" t="n"/>
      <c r="J53" s="6" t="n"/>
      <c r="K53" s="6" t="n"/>
      <c r="L53" s="6" t="n"/>
      <c r="M53" s="6" t="n"/>
      <c r="N53" s="6" t="n"/>
      <c r="O53" s="54" t="n"/>
      <c r="P53" s="54" t="inlineStr"/>
      <c r="Q53" s="54" t="n"/>
      <c r="R53" s="54" t="n"/>
      <c r="S53" s="54" t="n"/>
      <c r="T53" s="54" t="n"/>
      <c r="U53" s="20" t="n"/>
      <c r="V53" s="39" t="n"/>
    </row>
    <row r="54" ht="15" customFormat="1" customHeight="1" s="11">
      <c r="A54" s="40" t="n"/>
      <c r="B54" s="12" t="n"/>
      <c r="C54" s="6" t="n"/>
      <c r="D54" s="6" t="n"/>
      <c r="E54" s="7" t="inlineStr">
        <is>
          <t>Кількість соціального контингенту</t>
        </is>
      </c>
      <c r="F54" s="4" t="n"/>
      <c r="G54" s="6" t="n"/>
      <c r="H54" s="53" t="n"/>
      <c r="I54" s="6" t="n"/>
      <c r="J54" s="6" t="n"/>
      <c r="K54" s="6" t="n"/>
      <c r="L54" s="6" t="n"/>
      <c r="M54" s="6" t="n"/>
      <c r="N54" s="6" t="n"/>
      <c r="O54" s="52" t="n"/>
      <c r="P54" s="52" t="n"/>
      <c r="Q54" s="52" t="n"/>
      <c r="R54" s="52" t="n"/>
      <c r="S54" s="52" t="n"/>
      <c r="T54" s="52" t="n"/>
      <c r="U54" s="20" t="n"/>
      <c r="V54" s="39" t="n"/>
    </row>
    <row r="55" ht="15" customFormat="1" customHeight="1" s="11">
      <c r="A55" s="40" t="n"/>
      <c r="B55" s="12" t="n"/>
      <c r="C55" s="6" t="n"/>
      <c r="D55" s="6" t="n"/>
      <c r="E55" s="7" t="inlineStr">
        <is>
          <t>Вийшли на стипендію</t>
        </is>
      </c>
      <c r="F55" s="63">
        <f>IF(F52="Очікую","Очікую",IF(F52-COUNTIF($T$10:$T46," - ")&lt;ROUNDDOWN(F52*0.4,0),F52-COUNTIF($T$10:$T46," - "),ROUNDDOWN(F52*0.4,0)))</f>
        <v/>
      </c>
      <c r="G55" s="6" t="n"/>
      <c r="H55" s="54" t="inlineStr">
        <is>
          <t>Завідувач відділення ПЗСО</t>
        </is>
      </c>
      <c r="I55" s="6" t="n"/>
      <c r="J55" s="6" t="n"/>
      <c r="K55" s="6" t="n"/>
      <c r="L55" s="6" t="n"/>
      <c r="M55" s="6" t="n"/>
      <c r="N55" s="6" t="n"/>
      <c r="O55" s="54" t="n"/>
      <c r="P55" s="54" t="inlineStr">
        <is>
          <t>Margarita BRITIKOVA</t>
        </is>
      </c>
      <c r="Q55" s="54" t="n"/>
      <c r="R55" s="54" t="n"/>
      <c r="S55" s="54" t="n"/>
      <c r="T55" s="54" t="n"/>
      <c r="U55" s="20" t="n"/>
      <c r="V55" s="39" t="n"/>
    </row>
    <row r="56" ht="15" customFormat="1" customHeight="1" s="11">
      <c r="A56" s="40" t="n"/>
      <c r="B56" s="21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5" t="n"/>
      <c r="V56" s="39" t="n"/>
    </row>
    <row r="57" ht="15" customFormat="1" customHeight="1" s="11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59" t="n"/>
      <c r="V57" s="39" t="n"/>
    </row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F8:S8"/>
    <mergeCell ref="C3:T7"/>
    <mergeCell ref="E8:E9"/>
    <mergeCell ref="C8:C9"/>
    <mergeCell ref="D8:D9"/>
    <mergeCell ref="T8:T9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V40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D5 ««Маркетинг»»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'Загальна'!C12</f>
        <v/>
      </c>
      <c r="D11" s="47" t="n">
        <v>2</v>
      </c>
      <c r="E11" s="48">
        <f>'Загальна'!E12</f>
        <v/>
      </c>
      <c r="F11" s="49">
        <f>'Загальна'!F12</f>
        <v/>
      </c>
      <c r="G11" s="49">
        <f>'Загальна'!G12</f>
        <v/>
      </c>
      <c r="H11" s="49">
        <f>'Загальна'!H12</f>
        <v/>
      </c>
      <c r="I11" s="49">
        <f>'Загальна'!I12</f>
        <v/>
      </c>
      <c r="J11" s="49">
        <f>'Загальна'!J12</f>
        <v/>
      </c>
      <c r="K11" s="49">
        <f>'Загальна'!K12</f>
        <v/>
      </c>
      <c r="L11" s="49">
        <f>'Загальна'!L12</f>
        <v/>
      </c>
      <c r="M11" s="49">
        <f>'Загальна'!M12</f>
        <v/>
      </c>
      <c r="N11" s="49">
        <f>'Загальна'!N12</f>
        <v/>
      </c>
      <c r="O11" s="49">
        <f>'Загальна'!O12</f>
        <v/>
      </c>
      <c r="P11" s="49">
        <f>'Загальна'!P12</f>
        <v/>
      </c>
      <c r="Q11" s="49">
        <f>'Загальна'!Q12</f>
        <v/>
      </c>
      <c r="R11" s="49">
        <f>'Загальна'!R12</f>
        <v/>
      </c>
      <c r="S11" s="49">
        <f>'Загальна'!S12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'Загальна'!C13</f>
        <v/>
      </c>
      <c r="D12" s="47" t="n">
        <v>3</v>
      </c>
      <c r="E12" s="48">
        <f>'Загальна'!E13</f>
        <v/>
      </c>
      <c r="F12" s="49">
        <f>'Загальна'!F13</f>
        <v/>
      </c>
      <c r="G12" s="49">
        <f>'Загальна'!G13</f>
        <v/>
      </c>
      <c r="H12" s="49">
        <f>'Загальна'!H13</f>
        <v/>
      </c>
      <c r="I12" s="49">
        <f>'Загальна'!I13</f>
        <v/>
      </c>
      <c r="J12" s="49">
        <f>'Загальна'!J13</f>
        <v/>
      </c>
      <c r="K12" s="49">
        <f>'Загальна'!K13</f>
        <v/>
      </c>
      <c r="L12" s="49">
        <f>'Загальна'!L13</f>
        <v/>
      </c>
      <c r="M12" s="49">
        <f>'Загальна'!M13</f>
        <v/>
      </c>
      <c r="N12" s="49">
        <f>'Загальна'!N13</f>
        <v/>
      </c>
      <c r="O12" s="49">
        <f>'Загальна'!O13</f>
        <v/>
      </c>
      <c r="P12" s="49">
        <f>'Загальна'!P13</f>
        <v/>
      </c>
      <c r="Q12" s="49">
        <f>'Загальна'!Q13</f>
        <v/>
      </c>
      <c r="R12" s="49">
        <f>'Загальна'!R13</f>
        <v/>
      </c>
      <c r="S12" s="49">
        <f>'Загальна'!S13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'Загальна'!C15</f>
        <v/>
      </c>
      <c r="D13" s="47" t="n">
        <v>4</v>
      </c>
      <c r="E13" s="48">
        <f>'Загальна'!E15</f>
        <v/>
      </c>
      <c r="F13" s="49">
        <f>'Загальна'!F15</f>
        <v/>
      </c>
      <c r="G13" s="49">
        <f>'Загальна'!G15</f>
        <v/>
      </c>
      <c r="H13" s="49">
        <f>'Загальна'!H15</f>
        <v/>
      </c>
      <c r="I13" s="49">
        <f>'Загальна'!I15</f>
        <v/>
      </c>
      <c r="J13" s="49">
        <f>'Загальна'!J15</f>
        <v/>
      </c>
      <c r="K13" s="49">
        <f>'Загальна'!K15</f>
        <v/>
      </c>
      <c r="L13" s="49">
        <f>'Загальна'!L15</f>
        <v/>
      </c>
      <c r="M13" s="49">
        <f>'Загальна'!M15</f>
        <v/>
      </c>
      <c r="N13" s="49">
        <f>'Загальна'!N15</f>
        <v/>
      </c>
      <c r="O13" s="49">
        <f>'Загальна'!O15</f>
        <v/>
      </c>
      <c r="P13" s="49">
        <f>'Загальна'!P15</f>
        <v/>
      </c>
      <c r="Q13" s="49">
        <f>'Загальна'!Q15</f>
        <v/>
      </c>
      <c r="R13" s="49">
        <f>'Загальна'!R15</f>
        <v/>
      </c>
      <c r="S13" s="49">
        <f>'Загальна'!S15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'Загальна'!C19</f>
        <v/>
      </c>
      <c r="D14" s="47" t="n">
        <v>5</v>
      </c>
      <c r="E14" s="48">
        <f>'Загальна'!E19</f>
        <v/>
      </c>
      <c r="F14" s="49">
        <f>'Загальна'!F19</f>
        <v/>
      </c>
      <c r="G14" s="49">
        <f>'Загальна'!G19</f>
        <v/>
      </c>
      <c r="H14" s="49">
        <f>'Загальна'!H19</f>
        <v/>
      </c>
      <c r="I14" s="49">
        <f>'Загальна'!I19</f>
        <v/>
      </c>
      <c r="J14" s="49">
        <f>'Загальна'!J19</f>
        <v/>
      </c>
      <c r="K14" s="49">
        <f>'Загальна'!K19</f>
        <v/>
      </c>
      <c r="L14" s="49">
        <f>'Загальна'!L19</f>
        <v/>
      </c>
      <c r="M14" s="49">
        <f>'Загальна'!M19</f>
        <v/>
      </c>
      <c r="N14" s="49">
        <f>'Загальна'!N19</f>
        <v/>
      </c>
      <c r="O14" s="49">
        <f>'Загальна'!O19</f>
        <v/>
      </c>
      <c r="P14" s="49">
        <f>'Загальна'!P19</f>
        <v/>
      </c>
      <c r="Q14" s="49">
        <f>'Загальна'!Q19</f>
        <v/>
      </c>
      <c r="R14" s="49">
        <f>'Загальна'!R19</f>
        <v/>
      </c>
      <c r="S14" s="49">
        <f>'Загальна'!S19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'Загальна'!C22</f>
        <v/>
      </c>
      <c r="D16" s="47" t="n">
        <v>7</v>
      </c>
      <c r="E16" s="48">
        <f>'Загальна'!E22</f>
        <v/>
      </c>
      <c r="F16" s="49">
        <f>'Загальна'!F22</f>
        <v/>
      </c>
      <c r="G16" s="49">
        <f>'Загальна'!G22</f>
        <v/>
      </c>
      <c r="H16" s="49">
        <f>'Загальна'!H22</f>
        <v/>
      </c>
      <c r="I16" s="49">
        <f>'Загальна'!I22</f>
        <v/>
      </c>
      <c r="J16" s="49">
        <f>'Загальна'!J22</f>
        <v/>
      </c>
      <c r="K16" s="49">
        <f>'Загальна'!K22</f>
        <v/>
      </c>
      <c r="L16" s="49">
        <f>'Загальна'!L22</f>
        <v/>
      </c>
      <c r="M16" s="49">
        <f>'Загальна'!M22</f>
        <v/>
      </c>
      <c r="N16" s="49">
        <f>'Загальна'!N22</f>
        <v/>
      </c>
      <c r="O16" s="49">
        <f>'Загальна'!O22</f>
        <v/>
      </c>
      <c r="P16" s="49">
        <f>'Загальна'!P22</f>
        <v/>
      </c>
      <c r="Q16" s="49">
        <f>'Загальна'!Q22</f>
        <v/>
      </c>
      <c r="R16" s="49">
        <f>'Загальна'!R22</f>
        <v/>
      </c>
      <c r="S16" s="49">
        <f>'Загальна'!S22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'Загальна'!C23</f>
        <v/>
      </c>
      <c r="D17" s="47" t="n">
        <v>8</v>
      </c>
      <c r="E17" s="48">
        <f>'Загальна'!E23</f>
        <v/>
      </c>
      <c r="F17" s="49">
        <f>'Загальна'!F23</f>
        <v/>
      </c>
      <c r="G17" s="49">
        <f>'Загальна'!G23</f>
        <v/>
      </c>
      <c r="H17" s="49">
        <f>'Загальна'!H23</f>
        <v/>
      </c>
      <c r="I17" s="49">
        <f>'Загальна'!I23</f>
        <v/>
      </c>
      <c r="J17" s="49">
        <f>'Загальна'!J23</f>
        <v/>
      </c>
      <c r="K17" s="49">
        <f>'Загальна'!K23</f>
        <v/>
      </c>
      <c r="L17" s="49">
        <f>'Загальна'!L23</f>
        <v/>
      </c>
      <c r="M17" s="49">
        <f>'Загальна'!M23</f>
        <v/>
      </c>
      <c r="N17" s="49">
        <f>'Загальна'!N23</f>
        <v/>
      </c>
      <c r="O17" s="49">
        <f>'Загальна'!O23</f>
        <v/>
      </c>
      <c r="P17" s="49">
        <f>'Загальна'!P23</f>
        <v/>
      </c>
      <c r="Q17" s="49">
        <f>'Загальна'!Q23</f>
        <v/>
      </c>
      <c r="R17" s="49">
        <f>'Загальна'!R23</f>
        <v/>
      </c>
      <c r="S17" s="49">
        <f>'Загальна'!S23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'Загальна'!C25</f>
        <v/>
      </c>
      <c r="D18" s="47" t="n">
        <v>9</v>
      </c>
      <c r="E18" s="48">
        <f>'Загальна'!E25</f>
        <v/>
      </c>
      <c r="F18" s="49">
        <f>'Загальна'!F25</f>
        <v/>
      </c>
      <c r="G18" s="49">
        <f>'Загальна'!G25</f>
        <v/>
      </c>
      <c r="H18" s="49">
        <f>'Загальна'!H25</f>
        <v/>
      </c>
      <c r="I18" s="49">
        <f>'Загальна'!I25</f>
        <v/>
      </c>
      <c r="J18" s="49">
        <f>'Загальна'!J25</f>
        <v/>
      </c>
      <c r="K18" s="49">
        <f>'Загальна'!K25</f>
        <v/>
      </c>
      <c r="L18" s="49">
        <f>'Загальна'!L25</f>
        <v/>
      </c>
      <c r="M18" s="49">
        <f>'Загальна'!M25</f>
        <v/>
      </c>
      <c r="N18" s="49">
        <f>'Загальна'!N25</f>
        <v/>
      </c>
      <c r="O18" s="49">
        <f>'Загальна'!O25</f>
        <v/>
      </c>
      <c r="P18" s="49">
        <f>'Загальна'!P25</f>
        <v/>
      </c>
      <c r="Q18" s="49">
        <f>'Загальна'!Q25</f>
        <v/>
      </c>
      <c r="R18" s="49">
        <f>'Загальна'!R25</f>
        <v/>
      </c>
      <c r="S18" s="49">
        <f>'Загальна'!S25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'Загальна'!C32</f>
        <v/>
      </c>
      <c r="D22" s="47" t="n">
        <v>13</v>
      </c>
      <c r="E22" s="48">
        <f>'Загальна'!E32</f>
        <v/>
      </c>
      <c r="F22" s="49">
        <f>'Загальна'!F32</f>
        <v/>
      </c>
      <c r="G22" s="49">
        <f>'Загальна'!G32</f>
        <v/>
      </c>
      <c r="H22" s="49">
        <f>'Загальна'!H32</f>
        <v/>
      </c>
      <c r="I22" s="49">
        <f>'Загальна'!I32</f>
        <v/>
      </c>
      <c r="J22" s="49">
        <f>'Загальна'!J32</f>
        <v/>
      </c>
      <c r="K22" s="49">
        <f>'Загальна'!K32</f>
        <v/>
      </c>
      <c r="L22" s="49">
        <f>'Загальна'!L32</f>
        <v/>
      </c>
      <c r="M22" s="49">
        <f>'Загальна'!M32</f>
        <v/>
      </c>
      <c r="N22" s="49">
        <f>'Загальна'!N32</f>
        <v/>
      </c>
      <c r="O22" s="49">
        <f>'Загальна'!O32</f>
        <v/>
      </c>
      <c r="P22" s="49">
        <f>'Загальна'!P32</f>
        <v/>
      </c>
      <c r="Q22" s="49">
        <f>'Загальна'!Q32</f>
        <v/>
      </c>
      <c r="R22" s="49">
        <f>'Загальна'!R32</f>
        <v/>
      </c>
      <c r="S22" s="49">
        <f>'Загальна'!S32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47">
        <f>'Загальна'!C33</f>
        <v/>
      </c>
      <c r="D23" s="47" t="n">
        <v>14</v>
      </c>
      <c r="E23" s="48">
        <f>'Загальна'!E33</f>
        <v/>
      </c>
      <c r="F23" s="49">
        <f>'Загальна'!F33</f>
        <v/>
      </c>
      <c r="G23" s="49">
        <f>'Загальна'!G33</f>
        <v/>
      </c>
      <c r="H23" s="49">
        <f>'Загальна'!H33</f>
        <v/>
      </c>
      <c r="I23" s="49">
        <f>'Загальна'!I33</f>
        <v/>
      </c>
      <c r="J23" s="49">
        <f>'Загальна'!J33</f>
        <v/>
      </c>
      <c r="K23" s="49">
        <f>'Загальна'!K33</f>
        <v/>
      </c>
      <c r="L23" s="49">
        <f>'Загальна'!L33</f>
        <v/>
      </c>
      <c r="M23" s="49">
        <f>'Загальна'!M33</f>
        <v/>
      </c>
      <c r="N23" s="49">
        <f>'Загальна'!N33</f>
        <v/>
      </c>
      <c r="O23" s="49">
        <f>'Загальна'!O33</f>
        <v/>
      </c>
      <c r="P23" s="49">
        <f>'Загальна'!P33</f>
        <v/>
      </c>
      <c r="Q23" s="49">
        <f>'Загальна'!Q33</f>
        <v/>
      </c>
      <c r="R23" s="49">
        <f>'Загальна'!R33</f>
        <v/>
      </c>
      <c r="S23" s="49">
        <f>'Загальна'!S33</f>
        <v/>
      </c>
      <c r="T23" s="42">
        <f>IF(COUNTIF($F23:S23,"=*")&gt;0,IF($C23="K","-"," - "),IF(COUNTIF($F23:S23,"&lt;4")&gt;0,IF(C23="K","-"," - "),(IFERROR(AVERAGE($F23:S23),"Очікую"))))</f>
        <v/>
      </c>
      <c r="U23" s="22" t="n"/>
      <c r="V23" s="39" t="n"/>
    </row>
    <row r="24" ht="15" customFormat="1" customHeight="1" s="11">
      <c r="A24" s="40" t="n"/>
      <c r="B24" s="12" t="n"/>
      <c r="C24" s="47">
        <f>'Загальна'!C35</f>
        <v/>
      </c>
      <c r="D24" s="47" t="n">
        <v>15</v>
      </c>
      <c r="E24" s="48">
        <f>'Загальна'!E35</f>
        <v/>
      </c>
      <c r="F24" s="49">
        <f>'Загальна'!F35</f>
        <v/>
      </c>
      <c r="G24" s="49">
        <f>'Загальна'!G35</f>
        <v/>
      </c>
      <c r="H24" s="49">
        <f>'Загальна'!H35</f>
        <v/>
      </c>
      <c r="I24" s="49">
        <f>'Загальна'!I35</f>
        <v/>
      </c>
      <c r="J24" s="49">
        <f>'Загальна'!J35</f>
        <v/>
      </c>
      <c r="K24" s="49">
        <f>'Загальна'!K35</f>
        <v/>
      </c>
      <c r="L24" s="49">
        <f>'Загальна'!L35</f>
        <v/>
      </c>
      <c r="M24" s="49">
        <f>'Загальна'!M35</f>
        <v/>
      </c>
      <c r="N24" s="49">
        <f>'Загальна'!N35</f>
        <v/>
      </c>
      <c r="O24" s="49">
        <f>'Загальна'!O35</f>
        <v/>
      </c>
      <c r="P24" s="49">
        <f>'Загальна'!P35</f>
        <v/>
      </c>
      <c r="Q24" s="49">
        <f>'Загальна'!Q35</f>
        <v/>
      </c>
      <c r="R24" s="49">
        <f>'Загальна'!R35</f>
        <v/>
      </c>
      <c r="S24" s="49">
        <f>'Загальна'!S35</f>
        <v/>
      </c>
      <c r="T24" s="42">
        <f>IF(COUNTIF($F24:S24,"=*")&gt;0,IF($C24="K","-"," - "),IF(COUNTIF($F24:S24,"&lt;4")&gt;0,IF(C24="K","-"," - "),(IFERROR(AVERAGE($F24:S24),"Очікую"))))</f>
        <v/>
      </c>
      <c r="U24" s="22" t="n"/>
      <c r="V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2">
        <f>IF(COUNTIF($F25:S25,"=*")&gt;0,IF($C25="K","-"," - "),IF(COUNTIF($F25:S25,"&lt;4")&gt;0,IF(C25="K","-"," - "),(IFERROR(AVERAGE($F25:S25),"Очікую"))))</f>
        <v/>
      </c>
      <c r="U25" s="22" t="n"/>
      <c r="V25" s="39" t="n"/>
    </row>
    <row r="26" ht="15" customFormat="1" customHeight="1" s="11">
      <c r="A26" s="40" t="n"/>
      <c r="B26" s="12" t="n"/>
      <c r="C26" s="47">
        <f>'Загальна'!C41</f>
        <v/>
      </c>
      <c r="D26" s="47" t="n">
        <v>17</v>
      </c>
      <c r="E26" s="48">
        <f>'Загальна'!E41</f>
        <v/>
      </c>
      <c r="F26" s="49">
        <f>'Загальна'!F41</f>
        <v/>
      </c>
      <c r="G26" s="49">
        <f>'Загальна'!G41</f>
        <v/>
      </c>
      <c r="H26" s="49">
        <f>'Загальна'!H41</f>
        <v/>
      </c>
      <c r="I26" s="49">
        <f>'Загальна'!I41</f>
        <v/>
      </c>
      <c r="J26" s="49">
        <f>'Загальна'!J41</f>
        <v/>
      </c>
      <c r="K26" s="49">
        <f>'Загальна'!K41</f>
        <v/>
      </c>
      <c r="L26" s="49">
        <f>'Загальна'!L41</f>
        <v/>
      </c>
      <c r="M26" s="49">
        <f>'Загальна'!M41</f>
        <v/>
      </c>
      <c r="N26" s="49">
        <f>'Загальна'!N41</f>
        <v/>
      </c>
      <c r="O26" s="49">
        <f>'Загальна'!O41</f>
        <v/>
      </c>
      <c r="P26" s="49">
        <f>'Загальна'!P41</f>
        <v/>
      </c>
      <c r="Q26" s="49">
        <f>'Загальна'!Q41</f>
        <v/>
      </c>
      <c r="R26" s="49">
        <f>'Загальна'!R41</f>
        <v/>
      </c>
      <c r="S26" s="49">
        <f>'Загальна'!S41</f>
        <v/>
      </c>
      <c r="T26" s="42">
        <f>IF(COUNTIF($F26:S26,"=*")&gt;0,IF($C26="K","-"," - "),IF(COUNTIF($F26:S26,"&lt;4")&gt;0,IF(C26="K","-"," - "),(IFERROR(AVERAGE($F26:S26),"Очікую"))))</f>
        <v/>
      </c>
      <c r="U26" s="22" t="n"/>
      <c r="V26" s="39" t="n"/>
    </row>
    <row r="27" ht="15" customFormat="1" customHeight="1" s="11">
      <c r="A27" s="40" t="n"/>
      <c r="B27" s="12" t="n"/>
      <c r="C27" s="47">
        <f>'Загальна'!C43</f>
        <v/>
      </c>
      <c r="D27" s="47" t="n">
        <v>18</v>
      </c>
      <c r="E27" s="48">
        <f>'Загальна'!E43</f>
        <v/>
      </c>
      <c r="F27" s="49">
        <f>'Загальна'!F43</f>
        <v/>
      </c>
      <c r="G27" s="49">
        <f>'Загальна'!G43</f>
        <v/>
      </c>
      <c r="H27" s="49">
        <f>'Загальна'!H43</f>
        <v/>
      </c>
      <c r="I27" s="49">
        <f>'Загальна'!I43</f>
        <v/>
      </c>
      <c r="J27" s="49">
        <f>'Загальна'!J43</f>
        <v/>
      </c>
      <c r="K27" s="49">
        <f>'Загальна'!K43</f>
        <v/>
      </c>
      <c r="L27" s="49">
        <f>'Загальна'!L43</f>
        <v/>
      </c>
      <c r="M27" s="49">
        <f>'Загальна'!M43</f>
        <v/>
      </c>
      <c r="N27" s="49">
        <f>'Загальна'!N43</f>
        <v/>
      </c>
      <c r="O27" s="49">
        <f>'Загальна'!O43</f>
        <v/>
      </c>
      <c r="P27" s="49">
        <f>'Загальна'!P43</f>
        <v/>
      </c>
      <c r="Q27" s="49">
        <f>'Загальна'!Q43</f>
        <v/>
      </c>
      <c r="R27" s="49">
        <f>'Загальна'!R43</f>
        <v/>
      </c>
      <c r="S27" s="49">
        <f>'Загальна'!S43</f>
        <v/>
      </c>
      <c r="T27" s="42">
        <f>IF(COUNTIF($F27:S27,"=*")&gt;0,IF($C27="K","-"," - "),IF(COUNTIF($F27:S27,"&lt;4")&gt;0,IF(C27="K","-"," - "),(IFERROR(AVERAGE($F27:S27),"Очікую"))))</f>
        <v/>
      </c>
      <c r="U27" s="22" t="n"/>
      <c r="V27" s="39" t="n"/>
    </row>
    <row r="28" ht="15" customFormat="1" customHeight="1" s="11">
      <c r="A28" s="40" t="n"/>
      <c r="B28" s="12" t="n"/>
      <c r="C28" s="47">
        <f>'Загальна'!C44</f>
        <v/>
      </c>
      <c r="D28" s="47" t="n">
        <v>19</v>
      </c>
      <c r="E28" s="48">
        <f>'Загальна'!E44</f>
        <v/>
      </c>
      <c r="F28" s="49">
        <f>'Загальна'!F44</f>
        <v/>
      </c>
      <c r="G28" s="49">
        <f>'Загальна'!G44</f>
        <v/>
      </c>
      <c r="H28" s="49">
        <f>'Загальна'!H44</f>
        <v/>
      </c>
      <c r="I28" s="49">
        <f>'Загальна'!I44</f>
        <v/>
      </c>
      <c r="J28" s="49">
        <f>'Загальна'!J44</f>
        <v/>
      </c>
      <c r="K28" s="49">
        <f>'Загальна'!K44</f>
        <v/>
      </c>
      <c r="L28" s="49">
        <f>'Загальна'!L44</f>
        <v/>
      </c>
      <c r="M28" s="49">
        <f>'Загальна'!M44</f>
        <v/>
      </c>
      <c r="N28" s="49">
        <f>'Загальна'!N44</f>
        <v/>
      </c>
      <c r="O28" s="49">
        <f>'Загальна'!O44</f>
        <v/>
      </c>
      <c r="P28" s="49">
        <f>'Загальна'!P44</f>
        <v/>
      </c>
      <c r="Q28" s="49">
        <f>'Загальна'!Q44</f>
        <v/>
      </c>
      <c r="R28" s="49">
        <f>'Загальна'!R44</f>
        <v/>
      </c>
      <c r="S28" s="49">
        <f>'Загальна'!S44</f>
        <v/>
      </c>
      <c r="T28" s="42">
        <f>IF(COUNTIF($F28:S28,"=*")&gt;0,IF($C28="K","-"," - "),IF(COUNTIF($F28:S28,"&lt;4")&gt;0,IF(C28="K","-"," - "),(IFERROR(AVERAGE($F28:S28),"Очікую"))))</f>
        <v/>
      </c>
      <c r="U28" s="22" t="n"/>
      <c r="V28" s="39" t="n"/>
    </row>
    <row r="29" ht="15" customFormat="1" customHeight="1" s="11">
      <c r="A29" s="40" t="n"/>
      <c r="B29" s="12" t="n"/>
      <c r="C29" s="47">
        <f>'Загальна'!C45</f>
        <v/>
      </c>
      <c r="D29" s="47" t="n">
        <v>20</v>
      </c>
      <c r="E29" s="48">
        <f>'Загальна'!E45</f>
        <v/>
      </c>
      <c r="F29" s="49">
        <f>'Загальна'!F45</f>
        <v/>
      </c>
      <c r="G29" s="49">
        <f>'Загальна'!G45</f>
        <v/>
      </c>
      <c r="H29" s="49">
        <f>'Загальна'!H45</f>
        <v/>
      </c>
      <c r="I29" s="49">
        <f>'Загальна'!I45</f>
        <v/>
      </c>
      <c r="J29" s="49">
        <f>'Загальна'!J45</f>
        <v/>
      </c>
      <c r="K29" s="49">
        <f>'Загальна'!K45</f>
        <v/>
      </c>
      <c r="L29" s="49">
        <f>'Загальна'!L45</f>
        <v/>
      </c>
      <c r="M29" s="49">
        <f>'Загальна'!M45</f>
        <v/>
      </c>
      <c r="N29" s="49">
        <f>'Загальна'!N45</f>
        <v/>
      </c>
      <c r="O29" s="49">
        <f>'Загальна'!O45</f>
        <v/>
      </c>
      <c r="P29" s="49">
        <f>'Загальна'!P45</f>
        <v/>
      </c>
      <c r="Q29" s="49">
        <f>'Загальна'!Q45</f>
        <v/>
      </c>
      <c r="R29" s="49">
        <f>'Загальна'!R45</f>
        <v/>
      </c>
      <c r="S29" s="49">
        <f>'Загальна'!S45</f>
        <v/>
      </c>
      <c r="T29" s="42">
        <f>IF(COUNTIF($F29:S29,"=*")&gt;0,IF($C29="K","-"," - "),IF(COUNTIF($F29:S29,"&lt;4")&gt;0,IF(C29="K","-"," - "),(IFERROR(AVERAGE($F29:S29),"Очікую"))))</f>
        <v/>
      </c>
      <c r="U29" s="22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Середній бал успішності з дисципліни</t>
        </is>
      </c>
      <c r="F30" s="8">
        <f>IF(SUM(F$10:F29)=0,IF(COUNTA(F$10:F29)=0,"Очікую",0),SUM(F$10:F29)/$D29)</f>
        <v/>
      </c>
      <c r="G30" s="8">
        <f>IF(SUM(G$10:G29)=0,IF(COUNTA(G$10:G29)=0,"Очікую",0),SUM(G$10:G29)/$D29)</f>
        <v/>
      </c>
      <c r="H30" s="8">
        <f>IF(SUM(H$10:H29)=0,IF(COUNTA(H$10:H29)=0,"Очікую",0),SUM(H$10:H29)/$D29)</f>
        <v/>
      </c>
      <c r="I30" s="8">
        <f>IF(SUM(I$10:I29)=0,IF(COUNTA(I$10:I29)=0,"Очікую",0),SUM(I$10:I29)/$D29)</f>
        <v/>
      </c>
      <c r="J30" s="8">
        <f>IF(SUM(J$10:J29)=0,IF(COUNTA(J$10:J29)=0,"Очікую",0),SUM(J$10:J29)/$D29)</f>
        <v/>
      </c>
      <c r="K30" s="8">
        <f>IF(SUM(K$10:K29)=0,IF(COUNTA(K$10:K29)=0,"Очікую",0),SUM(K$10:K29)/$D29)</f>
        <v/>
      </c>
      <c r="L30" s="8">
        <f>IF(SUM(L$10:L29)=0,IF(COUNTA(L$10:L29)=0,"Очікую",0),SUM(L$10:L29)/$D29)</f>
        <v/>
      </c>
      <c r="M30" s="8">
        <f>IF(SUM(M$10:M29)=0,IF(COUNTA(M$10:M29)=0,"Очікую",0),SUM(M$10:M29)/$D29)</f>
        <v/>
      </c>
      <c r="N30" s="8">
        <f>IF(SUM(N$10:N29)=0,IF(COUNTA(N$10:N29)=0,"Очікую",0),SUM(N$10:N29)/$D29)</f>
        <v/>
      </c>
      <c r="O30" s="8">
        <f>IF(SUM(O$10:O29)=0,IF(COUNTA(O$10:O29)=0,"Очікую",0),SUM(O$10:O29)/$D29)</f>
        <v/>
      </c>
      <c r="P30" s="8">
        <f>IF(SUM(P$10:P29)=0,IF(COUNTA(P$10:P29)=0,"Очікую",0),SUM(P$10:P29)/$D29)</f>
        <v/>
      </c>
      <c r="Q30" s="8">
        <f>IF(SUM(Q$10:Q29)=0,IF(COUNTA(Q$10:Q29)=0,"Очікую",0),SUM(Q$10:Q29)/$D29)</f>
        <v/>
      </c>
      <c r="R30" s="8">
        <f>IF(SUM(R$10:R29)=0,IF(COUNTA(R$10:R29)=0,"Очікую",0),SUM(R$10:R29)/$D29)</f>
        <v/>
      </c>
      <c r="S30" s="8">
        <f>IF(SUM(S$10:S29)=0,IF(COUNTA(S$10:S29)=0,"Очікую",0),SUM(S$10:S29)/$D29)</f>
        <v/>
      </c>
      <c r="T30" s="9">
        <f>IFERROR(AVERAGE($F30:S30),"Очікую")</f>
        <v/>
      </c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Абсолютна успішність</t>
        </is>
      </c>
      <c r="F31" s="43">
        <f>IF(SUM(F$10:F29)=0,IF(COUNTA(F$10:F29)=0,"Очікую",0),IF(COUNTIF(F$10:F29,"&gt;=4")=0,0,COUNTIF(F$10:F29,"&gt;=4")/$D29*100))</f>
        <v/>
      </c>
      <c r="G31" s="43">
        <f>IF(SUM(G$10:G29)=0,IF(COUNTA(G$10:G29)=0,"Очікую",0),IF(COUNTIF(G$10:G29,"&gt;=4")=0,0,COUNTIF(G$10:G29,"&gt;=4")/$D29*100))</f>
        <v/>
      </c>
      <c r="H31" s="43">
        <f>IF(SUM(H$10:H29)=0,IF(COUNTA(H$10:H29)=0,"Очікую",0),IF(COUNTIF(H$10:H29,"&gt;=4")=0,0,COUNTIF(H$10:H29,"&gt;=4")/$D29*100))</f>
        <v/>
      </c>
      <c r="I31" s="43">
        <f>IF(SUM(I$10:I29)=0,IF(COUNTA(I$10:I29)=0,"Очікую",0),IF(COUNTIF(I$10:I29,"&gt;=4")=0,0,COUNTIF(I$10:I29,"&gt;=4")/$D29*100))</f>
        <v/>
      </c>
      <c r="J31" s="43">
        <f>IF(SUM(J$10:J29)=0,IF(COUNTA(J$10:J29)=0,"Очікую",0),IF(COUNTIF(J$10:J29,"&gt;=4")=0,0,COUNTIF(J$10:J29,"&gt;=4")/$D29*100))</f>
        <v/>
      </c>
      <c r="K31" s="43">
        <f>IF(SUM(K$10:K29)=0,IF(COUNTA(K$10:K29)=0,"Очікую",0),IF(COUNTIF(K$10:K29,"&gt;=4")=0,0,COUNTIF(K$10:K29,"&gt;=4")/$D29*100))</f>
        <v/>
      </c>
      <c r="L31" s="43">
        <f>IF(SUM(L$10:L29)=0,IF(COUNTA(L$10:L29)=0,"Очікую",0),IF(COUNTIF(L$10:L29,"&gt;=4")=0,0,COUNTIF(L$10:L29,"&gt;=4")/$D29*100))</f>
        <v/>
      </c>
      <c r="M31" s="43">
        <f>IF(SUM(M$10:M29)=0,IF(COUNTA(M$10:M29)=0,"Очікую",0),IF(COUNTIF(M$10:M29,"&gt;=4")=0,0,COUNTIF(M$10:M29,"&gt;=4")/$D29*100))</f>
        <v/>
      </c>
      <c r="N31" s="43">
        <f>IF(SUM(N$10:N29)=0,IF(COUNTA(N$10:N29)=0,"Очікую",0),IF(COUNTIF(N$10:N29,"&gt;=4")=0,0,COUNTIF(N$10:N29,"&gt;=4")/$D29*100))</f>
        <v/>
      </c>
      <c r="O31" s="43">
        <f>IF(SUM(O$10:O29)=0,IF(COUNTA(O$10:O29)=0,"Очікую",0),IF(COUNTIF(O$10:O29,"&gt;=4")=0,0,COUNTIF(O$10:O29,"&gt;=4")/$D29*100))</f>
        <v/>
      </c>
      <c r="P31" s="43">
        <f>IF(SUM(P$10:P29)=0,IF(COUNTA(P$10:P29)=0,"Очікую",0),IF(COUNTIF(P$10:P29,"&gt;=4")=0,0,COUNTIF(P$10:P29,"&gt;=4")/$D29*100))</f>
        <v/>
      </c>
      <c r="Q31" s="43">
        <f>IF(SUM(Q$10:Q29)=0,IF(COUNTA(Q$10:Q29)=0,"Очікую",0),IF(COUNTIF(Q$10:Q29,"&gt;=4")=0,0,COUNTIF(Q$10:Q29,"&gt;=4")/$D29*100))</f>
        <v/>
      </c>
      <c r="R31" s="43">
        <f>IF(SUM(R$10:R29)=0,IF(COUNTA(R$10:R29)=0,"Очікую",0),IF(COUNTIF(R$10:R29,"&gt;=4")=0,0,COUNTIF(R$10:R29,"&gt;=4")/$D29*100))</f>
        <v/>
      </c>
      <c r="S31" s="43">
        <f>IF(SUM(S$10:S29)=0,IF(COUNTA(S$10:S29)=0,"Очікую",0),IF(COUNTIF(S$10:S29,"&gt;=4")=0,0,COUNTIF(S$10:S29,"&gt;=4")/$D29*100))</f>
        <v/>
      </c>
      <c r="T31" s="6" t="n"/>
      <c r="U31" s="20" t="n"/>
      <c r="V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Якісна успішність</t>
        </is>
      </c>
      <c r="F32" s="43">
        <f>IF(SUM(F$10:F29)=0,IF(COUNTA(F$10:F29)=0,"Очікую",0),IF(COUNTIF(F$10:F29,"&gt;=7")=0,0,COUNTIF(F$10:F29,"&gt;=7")/$D29*100))</f>
        <v/>
      </c>
      <c r="G32" s="43">
        <f>IF(SUM(G$10:G29)=0,IF(COUNTA(G$10:G29)=0,"Очікую",0),IF(COUNTIF(G$10:G29,"&gt;=7")=0,0,COUNTIF(G$10:G29,"&gt;=7")/$D29*100))</f>
        <v/>
      </c>
      <c r="H32" s="43">
        <f>IF(SUM(H$10:H29)=0,IF(COUNTA(H$10:H29)=0,"Очікую",0),IF(COUNTIF(H$10:H29,"&gt;=7")=0,0,COUNTIF(H$10:H29,"&gt;=7")/$D29*100))</f>
        <v/>
      </c>
      <c r="I32" s="43">
        <f>IF(SUM(I$10:I29)=0,IF(COUNTA(I$10:I29)=0,"Очікую",0),IF(COUNTIF(I$10:I29,"&gt;=7")=0,0,COUNTIF(I$10:I29,"&gt;=7")/$D29*100))</f>
        <v/>
      </c>
      <c r="J32" s="43">
        <f>IF(SUM(J$10:J29)=0,IF(COUNTA(J$10:J29)=0,"Очікую",0),IF(COUNTIF(J$10:J29,"&gt;=7")=0,0,COUNTIF(J$10:J29,"&gt;=7")/$D29*100))</f>
        <v/>
      </c>
      <c r="K32" s="43">
        <f>IF(SUM(K$10:K29)=0,IF(COUNTA(K$10:K29)=0,"Очікую",0),IF(COUNTIF(K$10:K29,"&gt;=7")=0,0,COUNTIF(K$10:K29,"&gt;=7")/$D29*100))</f>
        <v/>
      </c>
      <c r="L32" s="43">
        <f>IF(SUM(L$10:L29)=0,IF(COUNTA(L$10:L29)=0,"Очікую",0),IF(COUNTIF(L$10:L29,"&gt;=7")=0,0,COUNTIF(L$10:L29,"&gt;=7")/$D29*100))</f>
        <v/>
      </c>
      <c r="M32" s="43">
        <f>IF(SUM(M$10:M29)=0,IF(COUNTA(M$10:M29)=0,"Очікую",0),IF(COUNTIF(M$10:M29,"&gt;=7")=0,0,COUNTIF(M$10:M29,"&gt;=7")/$D29*100))</f>
        <v/>
      </c>
      <c r="N32" s="43">
        <f>IF(SUM(N$10:N29)=0,IF(COUNTA(N$10:N29)=0,"Очікую",0),IF(COUNTIF(N$10:N29,"&gt;=7")=0,0,COUNTIF(N$10:N29,"&gt;=7")/$D29*100))</f>
        <v/>
      </c>
      <c r="O32" s="43">
        <f>IF(SUM(O$10:O29)=0,IF(COUNTA(O$10:O29)=0,"Очікую",0),IF(COUNTIF(O$10:O29,"&gt;=7")=0,0,COUNTIF(O$10:O29,"&gt;=7")/$D29*100))</f>
        <v/>
      </c>
      <c r="P32" s="43">
        <f>IF(SUM(P$10:P29)=0,IF(COUNTA(P$10:P29)=0,"Очікую",0),IF(COUNTIF(P$10:P29,"&gt;=7")=0,0,COUNTIF(P$10:P29,"&gt;=7")/$D29*100))</f>
        <v/>
      </c>
      <c r="Q32" s="43">
        <f>IF(SUM(Q$10:Q29)=0,IF(COUNTA(Q$10:Q29)=0,"Очікую",0),IF(COUNTIF(Q$10:Q29,"&gt;=7")=0,0,COUNTIF(Q$10:Q29,"&gt;=7")/$D29*100))</f>
        <v/>
      </c>
      <c r="R32" s="43">
        <f>IF(SUM(R$10:R29)=0,IF(COUNTA(R$10:R29)=0,"Очікую",0),IF(COUNTIF(R$10:R29,"&gt;=7")=0,0,COUNTIF(R$10:R29,"&gt;=7")/$D29*100))</f>
        <v/>
      </c>
      <c r="S32" s="43">
        <f>IF(SUM(S$10:S29)=0,IF(COUNTA(S$10:S29)=0,"Очікую",0),IF(COUNTIF(S$10:S29,"&gt;=7")=0,0,COUNTIF(S$10:S29,"&gt;=7")/$D29*100))</f>
        <v/>
      </c>
      <c r="T32" s="6" t="n"/>
      <c r="U32" s="20" t="n"/>
      <c r="V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Абсолютна успішність по групі</t>
        </is>
      </c>
      <c r="F33" s="8">
        <f>IFERROR(AVERAGE(F31:S31),"Очікую")</f>
        <v/>
      </c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20" t="n"/>
      <c r="V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Якісна успішність по групі</t>
        </is>
      </c>
      <c r="F34" s="8">
        <f>IFERROR(AVERAGE($F32:S32),"Очікую")</f>
        <v/>
      </c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20" t="n"/>
      <c r="V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Кількість бюджетників</t>
        </is>
      </c>
      <c r="F35" s="63">
        <f>IF(COUNTIF($C$10:$C29,"=B")=0,IF(COUNTIF($C$10:$C29,"=K")=0,"Очікую",0),COUNTIF($C$10:$C29,"=B"))</f>
        <v/>
      </c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52" t="n"/>
      <c r="R35" s="52" t="n"/>
      <c r="S35" s="52" t="n"/>
      <c r="T35" s="52" t="n"/>
      <c r="U35" s="20" t="n"/>
      <c r="V35" s="39" t="n"/>
    </row>
    <row r="36" ht="15" customFormat="1" customHeight="1" s="11">
      <c r="A36" s="40" t="n"/>
      <c r="B36" s="12" t="n"/>
      <c r="C36" s="6" t="n"/>
      <c r="D36" s="6" t="n"/>
      <c r="E36" s="7" t="inlineStr">
        <is>
          <t>Кількість контрактників</t>
        </is>
      </c>
      <c r="F36" s="63">
        <f>IF(COUNTIF($C$10:$C29,"=K")=0,IF(COUNTIF($C$10:$C29,"=B")=0,"Очікую",0),COUNTIF($C$10:$C29,"=K"))</f>
        <v/>
      </c>
      <c r="G36" s="6" t="n"/>
      <c r="H36" s="55" t="inlineStr">
        <is>
          <t>Класний керівник</t>
        </is>
      </c>
      <c r="I36" s="55" t="n"/>
      <c r="J36" s="55" t="n"/>
      <c r="K36" s="55" t="n"/>
      <c r="L36" s="6" t="n"/>
      <c r="M36" s="6" t="n"/>
      <c r="N36" s="6" t="n"/>
      <c r="O36" s="56" t="n"/>
      <c r="P36" s="54">
        <f>'Загальна'!P53</f>
        <v/>
      </c>
      <c r="Q36" s="54" t="n"/>
      <c r="R36" s="54" t="n"/>
      <c r="S36" s="54" t="n"/>
      <c r="T36" s="54" t="n"/>
      <c r="U36" s="20" t="n"/>
      <c r="V36" s="39" t="n"/>
    </row>
    <row r="37" ht="15" customFormat="1" customHeight="1" s="11">
      <c r="A37" s="40" t="n"/>
      <c r="B37" s="12" t="n"/>
      <c r="C37" s="6" t="n"/>
      <c r="D37" s="6" t="n"/>
      <c r="E37" s="7" t="inlineStr">
        <is>
          <t>Кількість соціального контингенту</t>
        </is>
      </c>
      <c r="F37" s="4" t="n"/>
      <c r="G37" s="6" t="n"/>
      <c r="H37" s="55" t="n"/>
      <c r="I37" s="55" t="n"/>
      <c r="J37" s="55" t="n"/>
      <c r="K37" s="55" t="n"/>
      <c r="L37" s="6" t="n"/>
      <c r="M37" s="6" t="n"/>
      <c r="N37" s="6" t="n"/>
      <c r="O37" s="56" t="n"/>
      <c r="P37" s="52" t="n"/>
      <c r="Q37" s="52" t="n"/>
      <c r="R37" s="52" t="n"/>
      <c r="S37" s="52" t="n"/>
      <c r="T37" s="52" t="n"/>
      <c r="U37" s="20" t="n"/>
      <c r="V37" s="39" t="n"/>
    </row>
    <row r="38" ht="15" customFormat="1" customHeight="1" s="11">
      <c r="A38" s="40" t="n"/>
      <c r="B38" s="12" t="n"/>
      <c r="C38" s="6" t="n"/>
      <c r="D38" s="6" t="n"/>
      <c r="E38" s="7" t="inlineStr">
        <is>
          <t>Вийшли на стипендію</t>
        </is>
      </c>
      <c r="F38" s="63">
        <f>IF(F35="Очікую","Очікую",IF(F35-COUNTIF($T$10:$T29," - ")&lt;ROUNDDOWN(F35*0.4,0),F35-COUNTIF($T$10:$T29," - "),ROUNDDOWN(F35*0.4,0)))</f>
        <v/>
      </c>
      <c r="G38" s="6" t="n"/>
      <c r="H38" s="56" t="inlineStr">
        <is>
          <t>Завідувач відділення ПЗСО</t>
        </is>
      </c>
      <c r="I38" s="56" t="n"/>
      <c r="J38" s="56" t="n"/>
      <c r="K38" s="56" t="n"/>
      <c r="L38" s="6" t="n"/>
      <c r="M38" s="6" t="n"/>
      <c r="N38" s="6" t="n"/>
      <c r="O38" s="56" t="n"/>
      <c r="P38" s="54" t="inlineStr">
        <is>
          <t>Margarita BRITIKOVA</t>
        </is>
      </c>
      <c r="Q38" s="54" t="n"/>
      <c r="R38" s="54" t="n"/>
      <c r="S38" s="54" t="n"/>
      <c r="T38" s="54" t="n"/>
      <c r="U38" s="20" t="n"/>
      <c r="V38" s="39" t="n"/>
    </row>
    <row r="39" ht="15" customFormat="1" customHeight="1" s="11">
      <c r="A39" s="40" t="n"/>
      <c r="B39" s="21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5" t="n"/>
      <c r="V39" s="39" t="n"/>
    </row>
    <row r="40" ht="15" customFormat="1" customHeight="1" s="11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9" t="n"/>
    </row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C8:C9"/>
    <mergeCell ref="E8:E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E2 ««Екологія»»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2">
        <f>IF(COUNTIF($F12:S12,"=*")&gt;0,IF($C12="K","-"," - "),IF(COUNTIF($F12:S12,"&lt;4")&gt;0,IF(C12="K","-"," - "),(IFERROR(AVERAGE($F12:S12),"Очікую"))))</f>
        <v/>
      </c>
      <c r="U12" s="22" t="n"/>
      <c r="V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2">
        <f>IF(COUNTIF($F13:S13,"=*")&gt;0,IF($C13="K","-"," - "),IF(COUNTIF($F13:S13,"&lt;4")&gt;0,IF(C13="K","-"," - "),(IFERROR(AVERAGE($F13:S13),"Очікую"))))</f>
        <v/>
      </c>
      <c r="U13" s="22" t="n"/>
      <c r="V13" s="39" t="n"/>
    </row>
    <row r="14" ht="15" customFormat="1" customHeight="1" s="11">
      <c r="A14" s="40" t="n"/>
      <c r="B14" s="12" t="n"/>
      <c r="C14" s="47">
        <f>'Загальна'!C24</f>
        <v/>
      </c>
      <c r="D14" s="47" t="n">
        <v>5</v>
      </c>
      <c r="E14" s="48">
        <f>'Загальна'!E24</f>
        <v/>
      </c>
      <c r="F14" s="49">
        <f>'Загальна'!F24</f>
        <v/>
      </c>
      <c r="G14" s="49">
        <f>'Загальна'!G24</f>
        <v/>
      </c>
      <c r="H14" s="49">
        <f>'Загальна'!H24</f>
        <v/>
      </c>
      <c r="I14" s="49">
        <f>'Загальна'!I24</f>
        <v/>
      </c>
      <c r="J14" s="49">
        <f>'Загальна'!J24</f>
        <v/>
      </c>
      <c r="K14" s="49">
        <f>'Загальна'!K24</f>
        <v/>
      </c>
      <c r="L14" s="49">
        <f>'Загальна'!L24</f>
        <v/>
      </c>
      <c r="M14" s="49">
        <f>'Загальна'!M24</f>
        <v/>
      </c>
      <c r="N14" s="49">
        <f>'Загальна'!N24</f>
        <v/>
      </c>
      <c r="O14" s="49">
        <f>'Загальна'!O24</f>
        <v/>
      </c>
      <c r="P14" s="49">
        <f>'Загальна'!P24</f>
        <v/>
      </c>
      <c r="Q14" s="49">
        <f>'Загальна'!Q24</f>
        <v/>
      </c>
      <c r="R14" s="49">
        <f>'Загальна'!R24</f>
        <v/>
      </c>
      <c r="S14" s="49">
        <f>'Загальна'!S24</f>
        <v/>
      </c>
      <c r="T14" s="42">
        <f>IF(COUNTIF($F14:S14,"=*")&gt;0,IF($C14="K","-"," - "),IF(COUNTIF($F14:S14,"&lt;4")&gt;0,IF(C14="K","-"," - "),(IFERROR(AVERAGE($F14:S14),"Очікую"))))</f>
        <v/>
      </c>
      <c r="U14" s="22" t="n"/>
      <c r="V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2">
        <f>IF(COUNTIF($F15:S15,"=*")&gt;0,IF($C15="K","-"," - "),IF(COUNTIF($F15:S15,"&lt;4")&gt;0,IF(C15="K","-"," - "),(IFERROR(AVERAGE($F15:S15),"Очікую"))))</f>
        <v/>
      </c>
      <c r="U15" s="22" t="n"/>
      <c r="V15" s="39" t="n"/>
    </row>
    <row r="16" ht="15" customFormat="1" customHeight="1" s="11">
      <c r="A16" s="40" t="n"/>
      <c r="B16" s="12" t="n"/>
      <c r="C16" s="47">
        <f>'Загальна'!C27</f>
        <v/>
      </c>
      <c r="D16" s="47" t="n">
        <v>7</v>
      </c>
      <c r="E16" s="48">
        <f>'Загальна'!E27</f>
        <v/>
      </c>
      <c r="F16" s="49">
        <f>'Загальна'!F27</f>
        <v/>
      </c>
      <c r="G16" s="49">
        <f>'Загальна'!G27</f>
        <v/>
      </c>
      <c r="H16" s="49">
        <f>'Загальна'!H27</f>
        <v/>
      </c>
      <c r="I16" s="49">
        <f>'Загальна'!I27</f>
        <v/>
      </c>
      <c r="J16" s="49">
        <f>'Загальна'!J27</f>
        <v/>
      </c>
      <c r="K16" s="49">
        <f>'Загальна'!K27</f>
        <v/>
      </c>
      <c r="L16" s="49">
        <f>'Загальна'!L27</f>
        <v/>
      </c>
      <c r="M16" s="49">
        <f>'Загальна'!M27</f>
        <v/>
      </c>
      <c r="N16" s="49">
        <f>'Загальна'!N27</f>
        <v/>
      </c>
      <c r="O16" s="49">
        <f>'Загальна'!O27</f>
        <v/>
      </c>
      <c r="P16" s="49">
        <f>'Загальна'!P27</f>
        <v/>
      </c>
      <c r="Q16" s="49">
        <f>'Загальна'!Q27</f>
        <v/>
      </c>
      <c r="R16" s="49">
        <f>'Загальна'!R27</f>
        <v/>
      </c>
      <c r="S16" s="49">
        <f>'Загальна'!S27</f>
        <v/>
      </c>
      <c r="T16" s="42">
        <f>IF(COUNTIF($F16:S16,"=*")&gt;0,IF($C16="K","-"," - "),IF(COUNTIF($F16:S16,"&lt;4")&gt;0,IF(C16="K","-"," - "),(IFERROR(AVERAGE($F16:S16),"Очікую"))))</f>
        <v/>
      </c>
      <c r="U16" s="22" t="n"/>
      <c r="V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2">
        <f>IF(COUNTIF($F17:S17,"=*")&gt;0,IF($C17="K","-"," - "),IF(COUNTIF($F17:S17,"&lt;4")&gt;0,IF(C17="K","-"," - "),(IFERROR(AVERAGE($F17:S17),"Очікую"))))</f>
        <v/>
      </c>
      <c r="U17" s="22" t="n"/>
      <c r="V17" s="39" t="n"/>
    </row>
    <row r="18" ht="15" customFormat="1" customHeight="1" s="11">
      <c r="A18" s="40" t="n"/>
      <c r="B18" s="12" t="n"/>
      <c r="C18" s="47">
        <f>'Загальна'!C34</f>
        <v/>
      </c>
      <c r="D18" s="47" t="n">
        <v>9</v>
      </c>
      <c r="E18" s="48">
        <f>'Загальна'!E34</f>
        <v/>
      </c>
      <c r="F18" s="49">
        <f>'Загальна'!F34</f>
        <v/>
      </c>
      <c r="G18" s="49">
        <f>'Загальна'!G34</f>
        <v/>
      </c>
      <c r="H18" s="49">
        <f>'Загальна'!H34</f>
        <v/>
      </c>
      <c r="I18" s="49">
        <f>'Загальна'!I34</f>
        <v/>
      </c>
      <c r="J18" s="49">
        <f>'Загальна'!J34</f>
        <v/>
      </c>
      <c r="K18" s="49">
        <f>'Загальна'!K34</f>
        <v/>
      </c>
      <c r="L18" s="49">
        <f>'Загальна'!L34</f>
        <v/>
      </c>
      <c r="M18" s="49">
        <f>'Загальна'!M34</f>
        <v/>
      </c>
      <c r="N18" s="49">
        <f>'Загальна'!N34</f>
        <v/>
      </c>
      <c r="O18" s="49">
        <f>'Загальна'!O34</f>
        <v/>
      </c>
      <c r="P18" s="49">
        <f>'Загальна'!P34</f>
        <v/>
      </c>
      <c r="Q18" s="49">
        <f>'Загальна'!Q34</f>
        <v/>
      </c>
      <c r="R18" s="49">
        <f>'Загальна'!R34</f>
        <v/>
      </c>
      <c r="S18" s="49">
        <f>'Загальна'!S34</f>
        <v/>
      </c>
      <c r="T18" s="42">
        <f>IF(COUNTIF($F18:S18,"=*")&gt;0,IF($C18="K","-"," - "),IF(COUNTIF($F18:S18,"&lt;4")&gt;0,IF(C18="K","-"," - "),(IFERROR(AVERAGE($F18:S18),"Очікую"))))</f>
        <v/>
      </c>
      <c r="U18" s="22" t="n"/>
      <c r="V18" s="39" t="n"/>
    </row>
    <row r="19" ht="15" customFormat="1" customHeight="1" s="11">
      <c r="A19" s="40" t="n"/>
      <c r="B19" s="12" t="n"/>
      <c r="C19" s="47">
        <f>'Загальна'!C36</f>
        <v/>
      </c>
      <c r="D19" s="47" t="n">
        <v>10</v>
      </c>
      <c r="E19" s="48">
        <f>'Загальна'!E36</f>
        <v/>
      </c>
      <c r="F19" s="49">
        <f>'Загальна'!F36</f>
        <v/>
      </c>
      <c r="G19" s="49">
        <f>'Загальна'!G36</f>
        <v/>
      </c>
      <c r="H19" s="49">
        <f>'Загальна'!H36</f>
        <v/>
      </c>
      <c r="I19" s="49">
        <f>'Загальна'!I36</f>
        <v/>
      </c>
      <c r="J19" s="49">
        <f>'Загальна'!J36</f>
        <v/>
      </c>
      <c r="K19" s="49">
        <f>'Загальна'!K36</f>
        <v/>
      </c>
      <c r="L19" s="49">
        <f>'Загальна'!L36</f>
        <v/>
      </c>
      <c r="M19" s="49">
        <f>'Загальна'!M36</f>
        <v/>
      </c>
      <c r="N19" s="49">
        <f>'Загальна'!N36</f>
        <v/>
      </c>
      <c r="O19" s="49">
        <f>'Загальна'!O36</f>
        <v/>
      </c>
      <c r="P19" s="49">
        <f>'Загальна'!P36</f>
        <v/>
      </c>
      <c r="Q19" s="49">
        <f>'Загальна'!Q36</f>
        <v/>
      </c>
      <c r="R19" s="49">
        <f>'Загальна'!R36</f>
        <v/>
      </c>
      <c r="S19" s="49">
        <f>'Загальна'!S36</f>
        <v/>
      </c>
      <c r="T19" s="42">
        <f>IF(COUNTIF($F19:S19,"=*")&gt;0,IF($C19="K","-"," - "),IF(COUNTIF($F19:S19,"&lt;4")&gt;0,IF(C19="K","-"," - "),(IFERROR(AVERAGE($F19:S19),"Очікую"))))</f>
        <v/>
      </c>
      <c r="U19" s="22" t="n"/>
      <c r="V19" s="39" t="n"/>
    </row>
    <row r="20" ht="15" customFormat="1" customHeight="1" s="11">
      <c r="A20" s="40" t="n"/>
      <c r="B20" s="12" t="n"/>
      <c r="C20" s="47">
        <f>'Загальна'!C37</f>
        <v/>
      </c>
      <c r="D20" s="47" t="n">
        <v>11</v>
      </c>
      <c r="E20" s="48">
        <f>'Загальна'!E37</f>
        <v/>
      </c>
      <c r="F20" s="49">
        <f>'Загальна'!F37</f>
        <v/>
      </c>
      <c r="G20" s="49">
        <f>'Загальна'!G37</f>
        <v/>
      </c>
      <c r="H20" s="49">
        <f>'Загальна'!H37</f>
        <v/>
      </c>
      <c r="I20" s="49">
        <f>'Загальна'!I37</f>
        <v/>
      </c>
      <c r="J20" s="49">
        <f>'Загальна'!J37</f>
        <v/>
      </c>
      <c r="K20" s="49">
        <f>'Загальна'!K37</f>
        <v/>
      </c>
      <c r="L20" s="49">
        <f>'Загальна'!L37</f>
        <v/>
      </c>
      <c r="M20" s="49">
        <f>'Загальна'!M37</f>
        <v/>
      </c>
      <c r="N20" s="49">
        <f>'Загальна'!N37</f>
        <v/>
      </c>
      <c r="O20" s="49">
        <f>'Загальна'!O37</f>
        <v/>
      </c>
      <c r="P20" s="49">
        <f>'Загальна'!P37</f>
        <v/>
      </c>
      <c r="Q20" s="49">
        <f>'Загальна'!Q37</f>
        <v/>
      </c>
      <c r="R20" s="49">
        <f>'Загальна'!R37</f>
        <v/>
      </c>
      <c r="S20" s="49">
        <f>'Загальна'!S37</f>
        <v/>
      </c>
      <c r="T20" s="42">
        <f>IF(COUNTIF($F20:S20,"=*")&gt;0,IF($C20="K","-"," - "),IF(COUNTIF($F20:S20,"&lt;4")&gt;0,IF(C20="K","-"," - "),(IFERROR(AVERAGE($F20:S20),"Очікую"))))</f>
        <v/>
      </c>
      <c r="U20" s="22" t="n"/>
      <c r="V20" s="39" t="n"/>
    </row>
    <row r="21" ht="15" customFormat="1" customHeight="1" s="11">
      <c r="A21" s="40" t="n"/>
      <c r="B21" s="12" t="n"/>
      <c r="C21" s="47">
        <f>'Загальна'!C42</f>
        <v/>
      </c>
      <c r="D21" s="47" t="n">
        <v>12</v>
      </c>
      <c r="E21" s="48">
        <f>'Загальна'!E42</f>
        <v/>
      </c>
      <c r="F21" s="49">
        <f>'Загальна'!F42</f>
        <v/>
      </c>
      <c r="G21" s="49">
        <f>'Загальна'!G42</f>
        <v/>
      </c>
      <c r="H21" s="49">
        <f>'Загальна'!H42</f>
        <v/>
      </c>
      <c r="I21" s="49">
        <f>'Загальна'!I42</f>
        <v/>
      </c>
      <c r="J21" s="49">
        <f>'Загальна'!J42</f>
        <v/>
      </c>
      <c r="K21" s="49">
        <f>'Загальна'!K42</f>
        <v/>
      </c>
      <c r="L21" s="49">
        <f>'Загальна'!L42</f>
        <v/>
      </c>
      <c r="M21" s="49">
        <f>'Загальна'!M42</f>
        <v/>
      </c>
      <c r="N21" s="49">
        <f>'Загальна'!N42</f>
        <v/>
      </c>
      <c r="O21" s="49">
        <f>'Загальна'!O42</f>
        <v/>
      </c>
      <c r="P21" s="49">
        <f>'Загальна'!P42</f>
        <v/>
      </c>
      <c r="Q21" s="49">
        <f>'Загальна'!Q42</f>
        <v/>
      </c>
      <c r="R21" s="49">
        <f>'Загальна'!R42</f>
        <v/>
      </c>
      <c r="S21" s="49">
        <f>'Загальна'!S42</f>
        <v/>
      </c>
      <c r="T21" s="42">
        <f>IF(COUNTIF($F21:S21,"=*")&gt;0,IF($C21="K","-"," - "),IF(COUNTIF($F21:S21,"&lt;4")&gt;0,IF(C21="K","-"," - "),(IFERROR(AVERAGE($F21:S21),"Очікую"))))</f>
        <v/>
      </c>
      <c r="U21" s="22" t="n"/>
      <c r="V21" s="39" t="n"/>
    </row>
    <row r="22" ht="15" customFormat="1" customHeight="1" s="11">
      <c r="A22" s="40" t="n"/>
      <c r="B22" s="12" t="n"/>
      <c r="C22" s="47">
        <f>'Загальна'!C46</f>
        <v/>
      </c>
      <c r="D22" s="47" t="n">
        <v>13</v>
      </c>
      <c r="E22" s="48">
        <f>'Загальна'!E46</f>
        <v/>
      </c>
      <c r="F22" s="49">
        <f>'Загальна'!F46</f>
        <v/>
      </c>
      <c r="G22" s="49">
        <f>'Загальна'!G46</f>
        <v/>
      </c>
      <c r="H22" s="49">
        <f>'Загальна'!H46</f>
        <v/>
      </c>
      <c r="I22" s="49">
        <f>'Загальна'!I46</f>
        <v/>
      </c>
      <c r="J22" s="49">
        <f>'Загальна'!J46</f>
        <v/>
      </c>
      <c r="K22" s="49">
        <f>'Загальна'!K46</f>
        <v/>
      </c>
      <c r="L22" s="49">
        <f>'Загальна'!L46</f>
        <v/>
      </c>
      <c r="M22" s="49">
        <f>'Загальна'!M46</f>
        <v/>
      </c>
      <c r="N22" s="49">
        <f>'Загальна'!N46</f>
        <v/>
      </c>
      <c r="O22" s="49">
        <f>'Загальна'!O46</f>
        <v/>
      </c>
      <c r="P22" s="49">
        <f>'Загальна'!P46</f>
        <v/>
      </c>
      <c r="Q22" s="49">
        <f>'Загальна'!Q46</f>
        <v/>
      </c>
      <c r="R22" s="49">
        <f>'Загальна'!R46</f>
        <v/>
      </c>
      <c r="S22" s="49">
        <f>'Загальна'!S46</f>
        <v/>
      </c>
      <c r="T22" s="42">
        <f>IF(COUNTIF($F22:S22,"=*")&gt;0,IF($C22="K","-"," - "),IF(COUNTIF($F22:S22,"&lt;4")&gt;0,IF(C22="K","-"," - "),(IFERROR(AVERAGE($F22:S22),"Очікую"))))</f>
        <v/>
      </c>
      <c r="U22" s="22" t="n"/>
      <c r="V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9">
        <f>IFERROR(AVERAGE($F23:S23),"Очікую")</f>
        <v/>
      </c>
      <c r="U23" s="20" t="n"/>
      <c r="V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6" t="n"/>
      <c r="U24" s="20" t="n"/>
      <c r="V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6" t="n"/>
      <c r="U25" s="20" t="n"/>
      <c r="V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IFERROR(AVERAGE(F24:S24),"Очікую")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20" t="n"/>
      <c r="V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IFERROR(AVERAGE($F25:S25),"Очікую")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20" t="n"/>
      <c r="V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52" t="n"/>
      <c r="R28" s="52" t="n"/>
      <c r="S28" s="52" t="n"/>
      <c r="T28" s="52" t="n"/>
      <c r="U28" s="20" t="n"/>
      <c r="V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6" t="n"/>
      <c r="M29" s="6" t="n"/>
      <c r="N29" s="6" t="n"/>
      <c r="O29" s="56" t="n"/>
      <c r="P29" s="54">
        <f>'Загальна'!P53</f>
        <v/>
      </c>
      <c r="Q29" s="54" t="n"/>
      <c r="R29" s="54" t="n"/>
      <c r="S29" s="54" t="n"/>
      <c r="T29" s="54" t="n"/>
      <c r="U29" s="20" t="n"/>
      <c r="V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6" t="n"/>
      <c r="M30" s="6" t="n"/>
      <c r="N30" s="6" t="n"/>
      <c r="O30" s="56" t="n"/>
      <c r="P30" s="52" t="n"/>
      <c r="Q30" s="52" t="n"/>
      <c r="R30" s="52" t="n"/>
      <c r="S30" s="52" t="n"/>
      <c r="T30" s="52" t="n"/>
      <c r="U30" s="20" t="n"/>
      <c r="V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IF(F28="Очікую","Очікую",IF(F28-COUNTIF($T$10:$T22," - ")&lt;ROUNDDOWN(F28*0.4,0),F28-COUNTIF($T$10:$T22,"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6" t="n"/>
      <c r="M31" s="6" t="n"/>
      <c r="N31" s="6" t="n"/>
      <c r="O31" s="56" t="n"/>
      <c r="P31" s="54" t="inlineStr">
        <is>
          <t>Margarita BRITIKOVA</t>
        </is>
      </c>
      <c r="Q31" s="54" t="n"/>
      <c r="R31" s="54" t="n"/>
      <c r="S31" s="54" t="n"/>
      <c r="T31" s="54" t="n"/>
      <c r="U31" s="20" t="n"/>
      <c r="V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5" t="n"/>
      <c r="V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'Загальна'!C38</f>
        <v/>
      </c>
      <c r="D10" s="47" t="n">
        <v>1</v>
      </c>
      <c r="E10" s="48">
        <f>'Загальна'!E38</f>
        <v/>
      </c>
      <c r="F10" s="49">
        <f>'Загальна'!F38</f>
        <v/>
      </c>
      <c r="G10" s="49">
        <f>'Загальна'!G38</f>
        <v/>
      </c>
      <c r="H10" s="49">
        <f>'Загальна'!H38</f>
        <v/>
      </c>
      <c r="I10" s="49">
        <f>'Загальна'!I38</f>
        <v/>
      </c>
      <c r="J10" s="49">
        <f>'Загальна'!J38</f>
        <v/>
      </c>
      <c r="K10" s="49">
        <f>'Загальна'!K38</f>
        <v/>
      </c>
      <c r="L10" s="49">
        <f>'Загальна'!L38</f>
        <v/>
      </c>
      <c r="M10" s="49">
        <f>'Загальна'!M38</f>
        <v/>
      </c>
      <c r="N10" s="49">
        <f>'Загальна'!N38</f>
        <v/>
      </c>
      <c r="O10" s="49">
        <f>'Загальна'!O38</f>
        <v/>
      </c>
      <c r="P10" s="49">
        <f>'Загальна'!P38</f>
        <v/>
      </c>
      <c r="Q10" s="49">
        <f>'Загальна'!Q38</f>
        <v/>
      </c>
      <c r="R10" s="49">
        <f>'Загальна'!R38</f>
        <v/>
      </c>
      <c r="S10" s="49">
        <f>'Загальна'!S38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9">
        <f>IFERROR(AVERAGE($F11:S11),"Очікую")</f>
        <v/>
      </c>
      <c r="U11" s="20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6" t="n"/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IFERROR(AVERAGE(F12:S12),"Очікую")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52" t="n"/>
      <c r="R16" s="52" t="n"/>
      <c r="S16" s="52" t="n"/>
      <c r="T16" s="52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6" t="n"/>
      <c r="M17" s="6" t="n"/>
      <c r="N17" s="6" t="n"/>
      <c r="O17" s="56" t="n"/>
      <c r="P17" s="54">
        <f>'Загальна'!P53</f>
        <v/>
      </c>
      <c r="Q17" s="54" t="n"/>
      <c r="R17" s="54" t="n"/>
      <c r="S17" s="54" t="n"/>
      <c r="T17" s="54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6" t="n"/>
      <c r="M18" s="6" t="n"/>
      <c r="N18" s="6" t="n"/>
      <c r="O18" s="56" t="n"/>
      <c r="P18" s="52" t="n"/>
      <c r="Q18" s="52" t="n"/>
      <c r="R18" s="52" t="n"/>
      <c r="S18" s="52" t="n"/>
      <c r="T18" s="52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IF(F16="Очікую","Очікую",IF(F16-COUNTIF($T$10:$T10," - ")&lt;ROUNDDOWN(F16*0.4,0),F16-COUNTIF($T$10:$T10,"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6" t="n"/>
      <c r="M19" s="6" t="n"/>
      <c r="N19" s="6" t="n"/>
      <c r="O19" s="56" t="n"/>
      <c r="P19" s="54" t="inlineStr">
        <is>
          <t>Margarita BRITIKOVA</t>
        </is>
      </c>
      <c r="Q19" s="54" t="n"/>
      <c r="R19" s="54" t="n"/>
      <c r="S19" s="54" t="n"/>
      <c r="T19" s="54" t="n"/>
      <c r="U19" s="20" t="n"/>
      <c r="V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5" t="n"/>
      <c r="V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5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1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'Загальна'!C17</f>
        <v/>
      </c>
      <c r="D10" s="47" t="n">
        <v>1</v>
      </c>
      <c r="E10" s="48">
        <f>'Загальна'!E17</f>
        <v/>
      </c>
      <c r="F10" s="49">
        <f>'Загальна'!F17</f>
        <v/>
      </c>
      <c r="G10" s="49">
        <f>'Загальна'!G17</f>
        <v/>
      </c>
      <c r="H10" s="49">
        <f>'Загальна'!H17</f>
        <v/>
      </c>
      <c r="I10" s="49">
        <f>'Загальна'!I17</f>
        <v/>
      </c>
      <c r="J10" s="49">
        <f>'Загальна'!J17</f>
        <v/>
      </c>
      <c r="K10" s="49">
        <f>'Загальна'!K17</f>
        <v/>
      </c>
      <c r="L10" s="49">
        <f>'Загальна'!L17</f>
        <v/>
      </c>
      <c r="M10" s="49">
        <f>'Загальна'!M17</f>
        <v/>
      </c>
      <c r="N10" s="49">
        <f>'Загальна'!N17</f>
        <v/>
      </c>
      <c r="O10" s="49">
        <f>'Загальна'!O17</f>
        <v/>
      </c>
      <c r="P10" s="49">
        <f>'Загальна'!P17</f>
        <v/>
      </c>
      <c r="Q10" s="49">
        <f>'Загальна'!Q17</f>
        <v/>
      </c>
      <c r="R10" s="49">
        <f>'Загальна'!R17</f>
        <v/>
      </c>
      <c r="S10" s="49">
        <f>'Загальна'!S17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6" t="n"/>
      <c r="D11" s="6" t="n"/>
      <c r="E11" s="7" t="inlineStr">
        <is>
          <t>Середній бал успішності з дисципліни</t>
        </is>
      </c>
      <c r="F11" s="8">
        <f>IF(SUM(F$10:F10)=0,IF(COUNTA(F$10:F10)=0,"Очікую",0),SUM(F$10:F10)/$D10)</f>
        <v/>
      </c>
      <c r="G11" s="8">
        <f>IF(SUM(G$10:G10)=0,IF(COUNTA(G$10:G10)=0,"Очікую",0),SUM(G$10:G10)/$D10)</f>
        <v/>
      </c>
      <c r="H11" s="8">
        <f>IF(SUM(H$10:H10)=0,IF(COUNTA(H$10:H10)=0,"Очікую",0),SUM(H$10:H10)/$D10)</f>
        <v/>
      </c>
      <c r="I11" s="8">
        <f>IF(SUM(I$10:I10)=0,IF(COUNTA(I$10:I10)=0,"Очікую",0),SUM(I$10:I10)/$D10)</f>
        <v/>
      </c>
      <c r="J11" s="8">
        <f>IF(SUM(J$10:J10)=0,IF(COUNTA(J$10:J10)=0,"Очікую",0),SUM(J$10:J10)/$D10)</f>
        <v/>
      </c>
      <c r="K11" s="8">
        <f>IF(SUM(K$10:K10)=0,IF(COUNTA(K$10:K10)=0,"Очікую",0),SUM(K$10:K10)/$D10)</f>
        <v/>
      </c>
      <c r="L11" s="8">
        <f>IF(SUM(L$10:L10)=0,IF(COUNTA(L$10:L10)=0,"Очікую",0),SUM(L$10:L10)/$D10)</f>
        <v/>
      </c>
      <c r="M11" s="8">
        <f>IF(SUM(M$10:M10)=0,IF(COUNTA(M$10:M10)=0,"Очікую",0),SUM(M$10:M10)/$D10)</f>
        <v/>
      </c>
      <c r="N11" s="8">
        <f>IF(SUM(N$10:N10)=0,IF(COUNTA(N$10:N10)=0,"Очікую",0),SUM(N$10:N10)/$D10)</f>
        <v/>
      </c>
      <c r="O11" s="8">
        <f>IF(SUM(O$10:O10)=0,IF(COUNTA(O$10:O10)=0,"Очікую",0),SUM(O$10:O10)/$D10)</f>
        <v/>
      </c>
      <c r="P11" s="8">
        <f>IF(SUM(P$10:P10)=0,IF(COUNTA(P$10:P10)=0,"Очікую",0),SUM(P$10:P10)/$D10)</f>
        <v/>
      </c>
      <c r="Q11" s="8">
        <f>IF(SUM(Q$10:Q10)=0,IF(COUNTA(Q$10:Q10)=0,"Очікую",0),SUM(Q$10:Q10)/$D10)</f>
        <v/>
      </c>
      <c r="R11" s="8">
        <f>IF(SUM(R$10:R10)=0,IF(COUNTA(R$10:R10)=0,"Очікую",0),SUM(R$10:R10)/$D10)</f>
        <v/>
      </c>
      <c r="S11" s="8">
        <f>IF(SUM(S$10:S10)=0,IF(COUNTA(S$10:S10)=0,"Очікую",0),SUM(S$10:S10)/$D10)</f>
        <v/>
      </c>
      <c r="T11" s="9">
        <f>IFERROR(AVERAGE($F11:S11),"Очікую")</f>
        <v/>
      </c>
      <c r="U11" s="20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Абсолютна успішність</t>
        </is>
      </c>
      <c r="F12" s="43">
        <f>IF(SUM(F$10:F10)=0,IF(COUNTA(F$10:F10)=0,"Очікую",0),IF(COUNTIF(F$10:F10,"&gt;=4")=0,0,COUNTIF(F$10:F10,"&gt;=4")/$D10*100))</f>
        <v/>
      </c>
      <c r="G12" s="43">
        <f>IF(SUM(G$10:G10)=0,IF(COUNTA(G$10:G10)=0,"Очікую",0),IF(COUNTIF(G$10:G10,"&gt;=4")=0,0,COUNTIF(G$10:G10,"&gt;=4")/$D10*100))</f>
        <v/>
      </c>
      <c r="H12" s="43">
        <f>IF(SUM(H$10:H10)=0,IF(COUNTA(H$10:H10)=0,"Очікую",0),IF(COUNTIF(H$10:H10,"&gt;=4")=0,0,COUNTIF(H$10:H10,"&gt;=4")/$D10*100))</f>
        <v/>
      </c>
      <c r="I12" s="43">
        <f>IF(SUM(I$10:I10)=0,IF(COUNTA(I$10:I10)=0,"Очікую",0),IF(COUNTIF(I$10:I10,"&gt;=4")=0,0,COUNTIF(I$10:I10,"&gt;=4")/$D10*100))</f>
        <v/>
      </c>
      <c r="J12" s="43">
        <f>IF(SUM(J$10:J10)=0,IF(COUNTA(J$10:J10)=0,"Очікую",0),IF(COUNTIF(J$10:J10,"&gt;=4")=0,0,COUNTIF(J$10:J10,"&gt;=4")/$D10*100))</f>
        <v/>
      </c>
      <c r="K12" s="43">
        <f>IF(SUM(K$10:K10)=0,IF(COUNTA(K$10:K10)=0,"Очікую",0),IF(COUNTIF(K$10:K10,"&gt;=4")=0,0,COUNTIF(K$10:K10,"&gt;=4")/$D10*100))</f>
        <v/>
      </c>
      <c r="L12" s="43">
        <f>IF(SUM(L$10:L10)=0,IF(COUNTA(L$10:L10)=0,"Очікую",0),IF(COUNTIF(L$10:L10,"&gt;=4")=0,0,COUNTIF(L$10:L10,"&gt;=4")/$D10*100))</f>
        <v/>
      </c>
      <c r="M12" s="43">
        <f>IF(SUM(M$10:M10)=0,IF(COUNTA(M$10:M10)=0,"Очікую",0),IF(COUNTIF(M$10:M10,"&gt;=4")=0,0,COUNTIF(M$10:M10,"&gt;=4")/$D10*100))</f>
        <v/>
      </c>
      <c r="N12" s="43">
        <f>IF(SUM(N$10:N10)=0,IF(COUNTA(N$10:N10)=0,"Очікую",0),IF(COUNTIF(N$10:N10,"&gt;=4")=0,0,COUNTIF(N$10:N10,"&gt;=4")/$D10*100))</f>
        <v/>
      </c>
      <c r="O12" s="43">
        <f>IF(SUM(O$10:O10)=0,IF(COUNTA(O$10:O10)=0,"Очікую",0),IF(COUNTIF(O$10:O10,"&gt;=4")=0,0,COUNTIF(O$10:O10,"&gt;=4")/$D10*100))</f>
        <v/>
      </c>
      <c r="P12" s="43">
        <f>IF(SUM(P$10:P10)=0,IF(COUNTA(P$10:P10)=0,"Очікую",0),IF(COUNTIF(P$10:P10,"&gt;=4")=0,0,COUNTIF(P$10:P10,"&gt;=4")/$D10*100))</f>
        <v/>
      </c>
      <c r="Q12" s="43">
        <f>IF(SUM(Q$10:Q10)=0,IF(COUNTA(Q$10:Q10)=0,"Очікую",0),IF(COUNTIF(Q$10:Q10,"&gt;=4")=0,0,COUNTIF(Q$10:Q10,"&gt;=4")/$D10*100))</f>
        <v/>
      </c>
      <c r="R12" s="43">
        <f>IF(SUM(R$10:R10)=0,IF(COUNTA(R$10:R10)=0,"Очікую",0),IF(COUNTIF(R$10:R10,"&gt;=4")=0,0,COUNTIF(R$10:R10,"&gt;=4")/$D10*100))</f>
        <v/>
      </c>
      <c r="S12" s="43">
        <f>IF(SUM(S$10:S10)=0,IF(COUNTA(S$10:S10)=0,"Очікую",0),IF(COUNTIF(S$10:S10,"&gt;=4")=0,0,COUNTIF(S$10:S10,"&gt;=4")/$D10*100))</f>
        <v/>
      </c>
      <c r="T12" s="6" t="n"/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Якісна успішність</t>
        </is>
      </c>
      <c r="F13" s="43">
        <f>IF(SUM(F$10:F10)=0,IF(COUNTA(F$10:F10)=0,"Очікую",0),IF(COUNTIF(F$10:F10,"&gt;=7")=0,0,COUNTIF(F$10:F10,"&gt;=7")/$D10*100))</f>
        <v/>
      </c>
      <c r="G13" s="43">
        <f>IF(SUM(G$10:G10)=0,IF(COUNTA(G$10:G10)=0,"Очікую",0),IF(COUNTIF(G$10:G10,"&gt;=7")=0,0,COUNTIF(G$10:G10,"&gt;=7")/$D10*100))</f>
        <v/>
      </c>
      <c r="H13" s="43">
        <f>IF(SUM(H$10:H10)=0,IF(COUNTA(H$10:H10)=0,"Очікую",0),IF(COUNTIF(H$10:H10,"&gt;=7")=0,0,COUNTIF(H$10:H10,"&gt;=7")/$D10*100))</f>
        <v/>
      </c>
      <c r="I13" s="43">
        <f>IF(SUM(I$10:I10)=0,IF(COUNTA(I$10:I10)=0,"Очікую",0),IF(COUNTIF(I$10:I10,"&gt;=7")=0,0,COUNTIF(I$10:I10,"&gt;=7")/$D10*100))</f>
        <v/>
      </c>
      <c r="J13" s="43">
        <f>IF(SUM(J$10:J10)=0,IF(COUNTA(J$10:J10)=0,"Очікую",0),IF(COUNTIF(J$10:J10,"&gt;=7")=0,0,COUNTIF(J$10:J10,"&gt;=7")/$D10*100))</f>
        <v/>
      </c>
      <c r="K13" s="43">
        <f>IF(SUM(K$10:K10)=0,IF(COUNTA(K$10:K10)=0,"Очікую",0),IF(COUNTIF(K$10:K10,"&gt;=7")=0,0,COUNTIF(K$10:K10,"&gt;=7")/$D10*100))</f>
        <v/>
      </c>
      <c r="L13" s="43">
        <f>IF(SUM(L$10:L10)=0,IF(COUNTA(L$10:L10)=0,"Очікую",0),IF(COUNTIF(L$10:L10,"&gt;=7")=0,0,COUNTIF(L$10:L10,"&gt;=7")/$D10*100))</f>
        <v/>
      </c>
      <c r="M13" s="43">
        <f>IF(SUM(M$10:M10)=0,IF(COUNTA(M$10:M10)=0,"Очікую",0),IF(COUNTIF(M$10:M10,"&gt;=7")=0,0,COUNTIF(M$10:M10,"&gt;=7")/$D10*100))</f>
        <v/>
      </c>
      <c r="N13" s="43">
        <f>IF(SUM(N$10:N10)=0,IF(COUNTA(N$10:N10)=0,"Очікую",0),IF(COUNTIF(N$10:N10,"&gt;=7")=0,0,COUNTIF(N$10:N10,"&gt;=7")/$D10*100))</f>
        <v/>
      </c>
      <c r="O13" s="43">
        <f>IF(SUM(O$10:O10)=0,IF(COUNTA(O$10:O10)=0,"Очікую",0),IF(COUNTIF(O$10:O10,"&gt;=7")=0,0,COUNTIF(O$10:O10,"&gt;=7")/$D10*100))</f>
        <v/>
      </c>
      <c r="P13" s="43">
        <f>IF(SUM(P$10:P10)=0,IF(COUNTA(P$10:P10)=0,"Очікую",0),IF(COUNTIF(P$10:P10,"&gt;=7")=0,0,COUNTIF(P$10:P10,"&gt;=7")/$D10*100))</f>
        <v/>
      </c>
      <c r="Q13" s="43">
        <f>IF(SUM(Q$10:Q10)=0,IF(COUNTA(Q$10:Q10)=0,"Очікую",0),IF(COUNTIF(Q$10:Q10,"&gt;=7")=0,0,COUNTIF(Q$10:Q10,"&gt;=7")/$D10*100))</f>
        <v/>
      </c>
      <c r="R13" s="43">
        <f>IF(SUM(R$10:R10)=0,IF(COUNTA(R$10:R10)=0,"Очікую",0),IF(COUNTIF(R$10:R10,"&gt;=7")=0,0,COUNTIF(R$10:R10,"&gt;=7")/$D10*100))</f>
        <v/>
      </c>
      <c r="S13" s="43">
        <f>IF(SUM(S$10:S10)=0,IF(COUNTA(S$10:S10)=0,"Очікую",0),IF(COUNTIF(S$10:S10,"&gt;=7")=0,0,COUNTIF(S$10:S10,"&gt;=7")/$D10*100))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Абсолютна успішність по групі</t>
        </is>
      </c>
      <c r="F14" s="8">
        <f>IFERROR(AVERAGE(F12:S12),"Очікую")</f>
        <v/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Якісна успішність по групі</t>
        </is>
      </c>
      <c r="F15" s="8">
        <f>IFERROR(AVERAGE($F13:S13),"Очікую")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Кількість бюджетників</t>
        </is>
      </c>
      <c r="F16" s="63">
        <f>IF(COUNTIF($C$10:$C10,"=B")=0,IF(COUNTIF($C$10:$C10,"=K")=0,"Очікую",0),COUNTIF($C$10:$C10,"=B"))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52" t="n"/>
      <c r="R16" s="52" t="n"/>
      <c r="S16" s="52" t="n"/>
      <c r="T16" s="52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контрактників</t>
        </is>
      </c>
      <c r="F17" s="63">
        <f>IF(COUNTIF($C$10:$C10,"=K")=0,IF(COUNTIF($C$10:$C10,"=B")=0,"Очікую",0),COUNTIF($C$10:$C10,"=K"))</f>
        <v/>
      </c>
      <c r="G17" s="6" t="n"/>
      <c r="H17" s="55" t="inlineStr">
        <is>
          <t>Класний керівник</t>
        </is>
      </c>
      <c r="I17" s="55" t="n"/>
      <c r="J17" s="55" t="n"/>
      <c r="K17" s="55" t="n"/>
      <c r="L17" s="6" t="n"/>
      <c r="M17" s="6" t="n"/>
      <c r="N17" s="6" t="n"/>
      <c r="O17" s="56" t="n"/>
      <c r="P17" s="54">
        <f>'Загальна'!P53</f>
        <v/>
      </c>
      <c r="Q17" s="54" t="n"/>
      <c r="R17" s="54" t="n"/>
      <c r="S17" s="54" t="n"/>
      <c r="T17" s="54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соціального контингенту</t>
        </is>
      </c>
      <c r="F18" s="4" t="n"/>
      <c r="G18" s="6" t="n"/>
      <c r="H18" s="55" t="n"/>
      <c r="I18" s="55" t="n"/>
      <c r="J18" s="55" t="n"/>
      <c r="K18" s="55" t="n"/>
      <c r="L18" s="6" t="n"/>
      <c r="M18" s="6" t="n"/>
      <c r="N18" s="6" t="n"/>
      <c r="O18" s="56" t="n"/>
      <c r="P18" s="52" t="n"/>
      <c r="Q18" s="52" t="n"/>
      <c r="R18" s="52" t="n"/>
      <c r="S18" s="52" t="n"/>
      <c r="T18" s="52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Вийшли на стипендію</t>
        </is>
      </c>
      <c r="F19" s="63">
        <f>IF(F16="Очікую","Очікую",IF(F16-COUNTIF($T$10:$T10," - ")&lt;ROUNDDOWN(F16*0.4,0),F16-COUNTIF($T$10:$T10," - "),ROUNDDOWN(F16*0.4,0)))</f>
        <v/>
      </c>
      <c r="G19" s="6" t="n"/>
      <c r="H19" s="56" t="inlineStr">
        <is>
          <t>Завідувач відділення ПЗСО</t>
        </is>
      </c>
      <c r="I19" s="56" t="n"/>
      <c r="J19" s="56" t="n"/>
      <c r="K19" s="56" t="n"/>
      <c r="L19" s="6" t="n"/>
      <c r="M19" s="6" t="n"/>
      <c r="N19" s="6" t="n"/>
      <c r="O19" s="56" t="n"/>
      <c r="P19" s="54" t="inlineStr">
        <is>
          <t>Margarita BRITIKOVA</t>
        </is>
      </c>
      <c r="Q19" s="54" t="n"/>
      <c r="R19" s="54" t="n"/>
      <c r="S19" s="54" t="n"/>
      <c r="T19" s="54" t="n"/>
      <c r="U19" s="20" t="n"/>
      <c r="V19" s="39" t="n"/>
    </row>
    <row r="20" ht="15" customFormat="1" customHeight="1" s="11">
      <c r="A20" s="40" t="n"/>
      <c r="B20" s="21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5" t="n"/>
      <c r="V20" s="39" t="n"/>
    </row>
    <row r="21" ht="15" customFormat="1" customHeight="1" s="1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9" t="n"/>
    </row>
    <row r="22" hidden="1" ht="15" customFormat="1" customHeight="1" s="11"/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6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V2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0" max="20"/>
    <col width="2.7" customWidth="1" min="21" max="21"/>
    <col width="2.7" customWidth="1" min="22" max="22"/>
    <col hidden="1" width="13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9" t="n"/>
      <c r="V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20" t="n"/>
      <c r="V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20" t="n"/>
      <c r="V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20" t="n"/>
      <c r="V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20" t="n"/>
      <c r="V6" s="39" t="n"/>
    </row>
    <row r="7" ht="15" customFormat="1" customHeight="1" s="2">
      <c r="A7" s="40" t="n"/>
      <c r="B7" s="12" t="n"/>
      <c r="C7" s="72" t="inlineStr">
        <is>
          <t>Група 25-1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20" t="n"/>
      <c r="V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9" t="n"/>
      <c r="T8" s="90" t="inlineStr">
        <is>
          <t>Середній бал</t>
        </is>
      </c>
      <c r="U8" s="20" t="n"/>
      <c r="V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91" t="n"/>
      <c r="U9" s="20" t="n"/>
      <c r="V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2">
        <f>IF(COUNTIF($F10:S10,"=*")&gt;0,IF($C10="K","-"," - "),IF(COUNTIF($F10:S10,"&lt;4")&gt;0,IF(C10="K","-"," - "),(IFERROR(AVERAGE($F10:S10),"Очікую"))))</f>
        <v/>
      </c>
      <c r="U10" s="22" t="n"/>
      <c r="V10" s="39" t="n"/>
    </row>
    <row r="11" ht="15" customFormat="1" customHeight="1" s="11">
      <c r="A11" s="40" t="n"/>
      <c r="B11" s="12" t="n"/>
      <c r="C11" s="47">
        <f>'Загальна'!C39</f>
        <v/>
      </c>
      <c r="D11" s="47" t="n">
        <v>2</v>
      </c>
      <c r="E11" s="48">
        <f>'Загальна'!E39</f>
        <v/>
      </c>
      <c r="F11" s="49">
        <f>'Загальна'!F39</f>
        <v/>
      </c>
      <c r="G11" s="49">
        <f>'Загальна'!G39</f>
        <v/>
      </c>
      <c r="H11" s="49">
        <f>'Загальна'!H39</f>
        <v/>
      </c>
      <c r="I11" s="49">
        <f>'Загальна'!I39</f>
        <v/>
      </c>
      <c r="J11" s="49">
        <f>'Загальна'!J39</f>
        <v/>
      </c>
      <c r="K11" s="49">
        <f>'Загальна'!K39</f>
        <v/>
      </c>
      <c r="L11" s="49">
        <f>'Загальна'!L39</f>
        <v/>
      </c>
      <c r="M11" s="49">
        <f>'Загальна'!M39</f>
        <v/>
      </c>
      <c r="N11" s="49">
        <f>'Загальна'!N39</f>
        <v/>
      </c>
      <c r="O11" s="49">
        <f>'Загальна'!O39</f>
        <v/>
      </c>
      <c r="P11" s="49">
        <f>'Загальна'!P39</f>
        <v/>
      </c>
      <c r="Q11" s="49">
        <f>'Загальна'!Q39</f>
        <v/>
      </c>
      <c r="R11" s="49">
        <f>'Загальна'!R39</f>
        <v/>
      </c>
      <c r="S11" s="49">
        <f>'Загальна'!S39</f>
        <v/>
      </c>
      <c r="T11" s="42">
        <f>IF(COUNTIF($F11:S11,"=*")&gt;0,IF($C11="K","-"," - "),IF(COUNTIF($F11:S11,"&lt;4")&gt;0,IF(C11="K","-"," - "),(IFERROR(AVERAGE($F11:S11),"Очікую"))))</f>
        <v/>
      </c>
      <c r="U11" s="22" t="n"/>
      <c r="V11" s="39" t="n"/>
    </row>
    <row r="12" ht="15" customFormat="1" customHeight="1" s="11">
      <c r="A12" s="40" t="n"/>
      <c r="B12" s="12" t="n"/>
      <c r="C12" s="6" t="n"/>
      <c r="D12" s="6" t="n"/>
      <c r="E12" s="7" t="inlineStr">
        <is>
          <t>Середній бал успішності з дисципліни</t>
        </is>
      </c>
      <c r="F12" s="8">
        <f>IF(SUM(F$10:F11)=0,IF(COUNTA(F$10:F11)=0,"Очікую",0),SUM(F$10:F11)/$D11)</f>
        <v/>
      </c>
      <c r="G12" s="8">
        <f>IF(SUM(G$10:G11)=0,IF(COUNTA(G$10:G11)=0,"Очікую",0),SUM(G$10:G11)/$D11)</f>
        <v/>
      </c>
      <c r="H12" s="8">
        <f>IF(SUM(H$10:H11)=0,IF(COUNTA(H$10:H11)=0,"Очікую",0),SUM(H$10:H11)/$D11)</f>
        <v/>
      </c>
      <c r="I12" s="8">
        <f>IF(SUM(I$10:I11)=0,IF(COUNTA(I$10:I11)=0,"Очікую",0),SUM(I$10:I11)/$D11)</f>
        <v/>
      </c>
      <c r="J12" s="8">
        <f>IF(SUM(J$10:J11)=0,IF(COUNTA(J$10:J11)=0,"Очікую",0),SUM(J$10:J11)/$D11)</f>
        <v/>
      </c>
      <c r="K12" s="8">
        <f>IF(SUM(K$10:K11)=0,IF(COUNTA(K$10:K11)=0,"Очікую",0),SUM(K$10:K11)/$D11)</f>
        <v/>
      </c>
      <c r="L12" s="8">
        <f>IF(SUM(L$10:L11)=0,IF(COUNTA(L$10:L11)=0,"Очікую",0),SUM(L$10:L11)/$D11)</f>
        <v/>
      </c>
      <c r="M12" s="8">
        <f>IF(SUM(M$10:M11)=0,IF(COUNTA(M$10:M11)=0,"Очікую",0),SUM(M$10:M11)/$D11)</f>
        <v/>
      </c>
      <c r="N12" s="8">
        <f>IF(SUM(N$10:N11)=0,IF(COUNTA(N$10:N11)=0,"Очікую",0),SUM(N$10:N11)/$D11)</f>
        <v/>
      </c>
      <c r="O12" s="8">
        <f>IF(SUM(O$10:O11)=0,IF(COUNTA(O$10:O11)=0,"Очікую",0),SUM(O$10:O11)/$D11)</f>
        <v/>
      </c>
      <c r="P12" s="8">
        <f>IF(SUM(P$10:P11)=0,IF(COUNTA(P$10:P11)=0,"Очікую",0),SUM(P$10:P11)/$D11)</f>
        <v/>
      </c>
      <c r="Q12" s="8">
        <f>IF(SUM(Q$10:Q11)=0,IF(COUNTA(Q$10:Q11)=0,"Очікую",0),SUM(Q$10:Q11)/$D11)</f>
        <v/>
      </c>
      <c r="R12" s="8">
        <f>IF(SUM(R$10:R11)=0,IF(COUNTA(R$10:R11)=0,"Очікую",0),SUM(R$10:R11)/$D11)</f>
        <v/>
      </c>
      <c r="S12" s="8">
        <f>IF(SUM(S$10:S11)=0,IF(COUNTA(S$10:S11)=0,"Очікую",0),SUM(S$10:S11)/$D11)</f>
        <v/>
      </c>
      <c r="T12" s="9">
        <f>IFERROR(AVERAGE($F12:S12),"Очікую")</f>
        <v/>
      </c>
      <c r="U12" s="20" t="n"/>
      <c r="V12" s="39" t="n"/>
    </row>
    <row r="13" ht="15" customFormat="1" customHeight="1" s="11">
      <c r="A13" s="40" t="n"/>
      <c r="B13" s="12" t="n"/>
      <c r="C13" s="6" t="n"/>
      <c r="D13" s="6" t="n"/>
      <c r="E13" s="7" t="inlineStr">
        <is>
          <t>Абсолютна успішність</t>
        </is>
      </c>
      <c r="F13" s="43">
        <f>IF(SUM(F$10:F11)=0,IF(COUNTA(F$10:F11)=0,"Очікую",0),IF(COUNTIF(F$10:F11,"&gt;=4")=0,0,COUNTIF(F$10:F11,"&gt;=4")/$D11*100))</f>
        <v/>
      </c>
      <c r="G13" s="43">
        <f>IF(SUM(G$10:G11)=0,IF(COUNTA(G$10:G11)=0,"Очікую",0),IF(COUNTIF(G$10:G11,"&gt;=4")=0,0,COUNTIF(G$10:G11,"&gt;=4")/$D11*100))</f>
        <v/>
      </c>
      <c r="H13" s="43">
        <f>IF(SUM(H$10:H11)=0,IF(COUNTA(H$10:H11)=0,"Очікую",0),IF(COUNTIF(H$10:H11,"&gt;=4")=0,0,COUNTIF(H$10:H11,"&gt;=4")/$D11*100))</f>
        <v/>
      </c>
      <c r="I13" s="43">
        <f>IF(SUM(I$10:I11)=0,IF(COUNTA(I$10:I11)=0,"Очікую",0),IF(COUNTIF(I$10:I11,"&gt;=4")=0,0,COUNTIF(I$10:I11,"&gt;=4")/$D11*100))</f>
        <v/>
      </c>
      <c r="J13" s="43">
        <f>IF(SUM(J$10:J11)=0,IF(COUNTA(J$10:J11)=0,"Очікую",0),IF(COUNTIF(J$10:J11,"&gt;=4")=0,0,COUNTIF(J$10:J11,"&gt;=4")/$D11*100))</f>
        <v/>
      </c>
      <c r="K13" s="43">
        <f>IF(SUM(K$10:K11)=0,IF(COUNTA(K$10:K11)=0,"Очікую",0),IF(COUNTIF(K$10:K11,"&gt;=4")=0,0,COUNTIF(K$10:K11,"&gt;=4")/$D11*100))</f>
        <v/>
      </c>
      <c r="L13" s="43">
        <f>IF(SUM(L$10:L11)=0,IF(COUNTA(L$10:L11)=0,"Очікую",0),IF(COUNTIF(L$10:L11,"&gt;=4")=0,0,COUNTIF(L$10:L11,"&gt;=4")/$D11*100))</f>
        <v/>
      </c>
      <c r="M13" s="43">
        <f>IF(SUM(M$10:M11)=0,IF(COUNTA(M$10:M11)=0,"Очікую",0),IF(COUNTIF(M$10:M11,"&gt;=4")=0,0,COUNTIF(M$10:M11,"&gt;=4")/$D11*100))</f>
        <v/>
      </c>
      <c r="N13" s="43">
        <f>IF(SUM(N$10:N11)=0,IF(COUNTA(N$10:N11)=0,"Очікую",0),IF(COUNTIF(N$10:N11,"&gt;=4")=0,0,COUNTIF(N$10:N11,"&gt;=4")/$D11*100))</f>
        <v/>
      </c>
      <c r="O13" s="43">
        <f>IF(SUM(O$10:O11)=0,IF(COUNTA(O$10:O11)=0,"Очікую",0),IF(COUNTIF(O$10:O11,"&gt;=4")=0,0,COUNTIF(O$10:O11,"&gt;=4")/$D11*100))</f>
        <v/>
      </c>
      <c r="P13" s="43">
        <f>IF(SUM(P$10:P11)=0,IF(COUNTA(P$10:P11)=0,"Очікую",0),IF(COUNTIF(P$10:P11,"&gt;=4")=0,0,COUNTIF(P$10:P11,"&gt;=4")/$D11*100))</f>
        <v/>
      </c>
      <c r="Q13" s="43">
        <f>IF(SUM(Q$10:Q11)=0,IF(COUNTA(Q$10:Q11)=0,"Очікую",0),IF(COUNTIF(Q$10:Q11,"&gt;=4")=0,0,COUNTIF(Q$10:Q11,"&gt;=4")/$D11*100))</f>
        <v/>
      </c>
      <c r="R13" s="43">
        <f>IF(SUM(R$10:R11)=0,IF(COUNTA(R$10:R11)=0,"Очікую",0),IF(COUNTIF(R$10:R11,"&gt;=4")=0,0,COUNTIF(R$10:R11,"&gt;=4")/$D11*100))</f>
        <v/>
      </c>
      <c r="S13" s="43">
        <f>IF(SUM(S$10:S11)=0,IF(COUNTA(S$10:S11)=0,"Очікую",0),IF(COUNTIF(S$10:S11,"&gt;=4")=0,0,COUNTIF(S$10:S11,"&gt;=4")/$D11*100))</f>
        <v/>
      </c>
      <c r="T13" s="6" t="n"/>
      <c r="U13" s="20" t="n"/>
      <c r="V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Якісна успішність</t>
        </is>
      </c>
      <c r="F14" s="43">
        <f>IF(SUM(F$10:F11)=0,IF(COUNTA(F$10:F11)=0,"Очікую",0),IF(COUNTIF(F$10:F11,"&gt;=7")=0,0,COUNTIF(F$10:F11,"&gt;=7")/$D11*100))</f>
        <v/>
      </c>
      <c r="G14" s="43">
        <f>IF(SUM(G$10:G11)=0,IF(COUNTA(G$10:G11)=0,"Очікую",0),IF(COUNTIF(G$10:G11,"&gt;=7")=0,0,COUNTIF(G$10:G11,"&gt;=7")/$D11*100))</f>
        <v/>
      </c>
      <c r="H14" s="43">
        <f>IF(SUM(H$10:H11)=0,IF(COUNTA(H$10:H11)=0,"Очікую",0),IF(COUNTIF(H$10:H11,"&gt;=7")=0,0,COUNTIF(H$10:H11,"&gt;=7")/$D11*100))</f>
        <v/>
      </c>
      <c r="I14" s="43">
        <f>IF(SUM(I$10:I11)=0,IF(COUNTA(I$10:I11)=0,"Очікую",0),IF(COUNTIF(I$10:I11,"&gt;=7")=0,0,COUNTIF(I$10:I11,"&gt;=7")/$D11*100))</f>
        <v/>
      </c>
      <c r="J14" s="43">
        <f>IF(SUM(J$10:J11)=0,IF(COUNTA(J$10:J11)=0,"Очікую",0),IF(COUNTIF(J$10:J11,"&gt;=7")=0,0,COUNTIF(J$10:J11,"&gt;=7")/$D11*100))</f>
        <v/>
      </c>
      <c r="K14" s="43">
        <f>IF(SUM(K$10:K11)=0,IF(COUNTA(K$10:K11)=0,"Очікую",0),IF(COUNTIF(K$10:K11,"&gt;=7")=0,0,COUNTIF(K$10:K11,"&gt;=7")/$D11*100))</f>
        <v/>
      </c>
      <c r="L14" s="43">
        <f>IF(SUM(L$10:L11)=0,IF(COUNTA(L$10:L11)=0,"Очікую",0),IF(COUNTIF(L$10:L11,"&gt;=7")=0,0,COUNTIF(L$10:L11,"&gt;=7")/$D11*100))</f>
        <v/>
      </c>
      <c r="M14" s="43">
        <f>IF(SUM(M$10:M11)=0,IF(COUNTA(M$10:M11)=0,"Очікую",0),IF(COUNTIF(M$10:M11,"&gt;=7")=0,0,COUNTIF(M$10:M11,"&gt;=7")/$D11*100))</f>
        <v/>
      </c>
      <c r="N14" s="43">
        <f>IF(SUM(N$10:N11)=0,IF(COUNTA(N$10:N11)=0,"Очікую",0),IF(COUNTIF(N$10:N11,"&gt;=7")=0,0,COUNTIF(N$10:N11,"&gt;=7")/$D11*100))</f>
        <v/>
      </c>
      <c r="O14" s="43">
        <f>IF(SUM(O$10:O11)=0,IF(COUNTA(O$10:O11)=0,"Очікую",0),IF(COUNTIF(O$10:O11,"&gt;=7")=0,0,COUNTIF(O$10:O11,"&gt;=7")/$D11*100))</f>
        <v/>
      </c>
      <c r="P14" s="43">
        <f>IF(SUM(P$10:P11)=0,IF(COUNTA(P$10:P11)=0,"Очікую",0),IF(COUNTIF(P$10:P11,"&gt;=7")=0,0,COUNTIF(P$10:P11,"&gt;=7")/$D11*100))</f>
        <v/>
      </c>
      <c r="Q14" s="43">
        <f>IF(SUM(Q$10:Q11)=0,IF(COUNTA(Q$10:Q11)=0,"Очікую",0),IF(COUNTIF(Q$10:Q11,"&gt;=7")=0,0,COUNTIF(Q$10:Q11,"&gt;=7")/$D11*100))</f>
        <v/>
      </c>
      <c r="R14" s="43">
        <f>IF(SUM(R$10:R11)=0,IF(COUNTA(R$10:R11)=0,"Очікую",0),IF(COUNTIF(R$10:R11,"&gt;=7")=0,0,COUNTIF(R$10:R11,"&gt;=7")/$D11*100))</f>
        <v/>
      </c>
      <c r="S14" s="43">
        <f>IF(SUM(S$10:S11)=0,IF(COUNTA(S$10:S11)=0,"Очікую",0),IF(COUNTIF(S$10:S11,"&gt;=7")=0,0,COUNTIF(S$10:S11,"&gt;=7")/$D11*100))</f>
        <v/>
      </c>
      <c r="T14" s="6" t="n"/>
      <c r="U14" s="20" t="n"/>
      <c r="V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 по групі</t>
        </is>
      </c>
      <c r="F15" s="8">
        <f>IFERROR(AVERAGE(F13:S13),"Очікую")</f>
        <v/>
      </c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20" t="n"/>
      <c r="V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 по групі</t>
        </is>
      </c>
      <c r="F16" s="8">
        <f>IFERROR(AVERAGE($F14:S14),"Очікую")</f>
        <v/>
      </c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20" t="n"/>
      <c r="V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Кількість бюджетників</t>
        </is>
      </c>
      <c r="F17" s="63">
        <f>IF(COUNTIF($C$10:$C11,"=B")=0,IF(COUNTIF($C$10:$C11,"=K")=0,"Очікую",0),COUNTIF($C$10:$C11,"=B"))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52" t="n"/>
      <c r="R17" s="52" t="n"/>
      <c r="S17" s="52" t="n"/>
      <c r="T17" s="52" t="n"/>
      <c r="U17" s="20" t="n"/>
      <c r="V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Кількість контрактників</t>
        </is>
      </c>
      <c r="F18" s="63">
        <f>IF(COUNTIF($C$10:$C11,"=K")=0,IF(COUNTIF($C$10:$C11,"=B")=0,"Очікую",0),COUNTIF($C$10:$C11,"=K"))</f>
        <v/>
      </c>
      <c r="G18" s="6" t="n"/>
      <c r="H18" s="55" t="inlineStr">
        <is>
          <t>Класний керівник</t>
        </is>
      </c>
      <c r="I18" s="55" t="n"/>
      <c r="J18" s="55" t="n"/>
      <c r="K18" s="55" t="n"/>
      <c r="L18" s="6" t="n"/>
      <c r="M18" s="6" t="n"/>
      <c r="N18" s="6" t="n"/>
      <c r="O18" s="56" t="n"/>
      <c r="P18" s="54">
        <f>'Загальна'!P53</f>
        <v/>
      </c>
      <c r="Q18" s="54" t="n"/>
      <c r="R18" s="54" t="n"/>
      <c r="S18" s="54" t="n"/>
      <c r="T18" s="54" t="n"/>
      <c r="U18" s="20" t="n"/>
      <c r="V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соціального контингенту</t>
        </is>
      </c>
      <c r="F19" s="4" t="n"/>
      <c r="G19" s="6" t="n"/>
      <c r="H19" s="55" t="n"/>
      <c r="I19" s="55" t="n"/>
      <c r="J19" s="55" t="n"/>
      <c r="K19" s="55" t="n"/>
      <c r="L19" s="6" t="n"/>
      <c r="M19" s="6" t="n"/>
      <c r="N19" s="6" t="n"/>
      <c r="O19" s="56" t="n"/>
      <c r="P19" s="52" t="n"/>
      <c r="Q19" s="52" t="n"/>
      <c r="R19" s="52" t="n"/>
      <c r="S19" s="52" t="n"/>
      <c r="T19" s="52" t="n"/>
      <c r="U19" s="20" t="n"/>
      <c r="V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Вийшли на стипендію</t>
        </is>
      </c>
      <c r="F20" s="63">
        <f>IF(F17="Очікую","Очікую",IF(F17-COUNTIF($T$10:$T11," - ")&lt;ROUNDDOWN(F17*0.4,0),F17-COUNTIF($T$10:$T11," - "),ROUNDDOWN(F17*0.4,0)))</f>
        <v/>
      </c>
      <c r="G20" s="6" t="n"/>
      <c r="H20" s="56" t="inlineStr">
        <is>
          <t>Завідувач відділення ПЗСО</t>
        </is>
      </c>
      <c r="I20" s="56" t="n"/>
      <c r="J20" s="56" t="n"/>
      <c r="K20" s="56" t="n"/>
      <c r="L20" s="6" t="n"/>
      <c r="M20" s="6" t="n"/>
      <c r="N20" s="6" t="n"/>
      <c r="O20" s="56" t="n"/>
      <c r="P20" s="54" t="inlineStr">
        <is>
          <t>Margarita BRITIKOVA</t>
        </is>
      </c>
      <c r="Q20" s="54" t="n"/>
      <c r="R20" s="54" t="n"/>
      <c r="S20" s="54" t="n"/>
      <c r="T20" s="54" t="n"/>
      <c r="U20" s="20" t="n"/>
      <c r="V20" s="39" t="n"/>
    </row>
    <row r="21" ht="15" customFormat="1" customHeight="1" s="11">
      <c r="A21" s="40" t="n"/>
      <c r="B21" s="21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5" t="n"/>
      <c r="V21" s="39" t="n"/>
    </row>
    <row r="22" ht="15" customFormat="1" customHeight="1" s="11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9" t="n"/>
    </row>
    <row r="23" hidden="1" ht="15" customFormat="1" customHeight="1" s="11"/>
    <row r="24" hidden="1" ht="15" customFormat="1" customHeight="1" s="11"/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3:T3"/>
    <mergeCell ref="F8:S8"/>
    <mergeCell ref="C6:T6"/>
    <mergeCell ref="C7:T7"/>
    <mergeCell ref="E8:E9"/>
    <mergeCell ref="C8:C9"/>
    <mergeCell ref="D8:D9"/>
    <mergeCell ref="C5:T5"/>
    <mergeCell ref="T8:T9"/>
    <mergeCell ref="C4:T4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2026-06-17T19:11:34Z</dcterms:modified>
  <cp:lastModifiedBy>Maxim Surkov</cp:lastModifiedBy>
  <cp:lastPrinted>2026-01-07T15:30:50Z</cp:lastPrinted>
</cp:coreProperties>
</file>