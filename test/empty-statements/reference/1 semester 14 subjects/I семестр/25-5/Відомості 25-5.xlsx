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'Загальна'!$C$3:$S$49</definedName>
    <definedName name="A1048577" localSheetId="1">#REF!</definedName>
    <definedName name="Ф80" localSheetId="1">#REF!</definedName>
    <definedName name="_xlnm.Print_Area" localSheetId="1">'Зведена G13'!$C$3:$S$31</definedName>
    <definedName name="A1048577" localSheetId="2">#REF!</definedName>
    <definedName name="Ф80" localSheetId="2">#REF!</definedName>
    <definedName name="_xlnm.Print_Area" localSheetId="2">'Зведена J2'!$C$3:$S$31</definedName>
    <definedName name="A1048577" localSheetId="3">#REF!</definedName>
    <definedName name="Ф80" localSheetId="3">#REF!</definedName>
    <definedName name="_xlnm.Print_Area" localSheetId="3">'Зведена J3'!$C$3:$S$23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9">
        <f>IFERROR(AVERAGE($F41:S41),"Очікую")</f>
        <v/>
      </c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IFERROR(AVERAGE(F42:S42),"Очікую")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IFERROR(AVERAGE($F43:S43),"Очікую")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/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52" t="n"/>
      <c r="P48" s="52" t="n"/>
      <c r="Q48" s="52" t="n"/>
      <c r="R48" s="52" t="n"/>
      <c r="S48" s="52" t="n"/>
      <c r="T48" s="52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IF(F46="Очікую","Очікую",IF(F46-COUNTIF($T$10:$T40," - ")&lt;ROUNDDOWN(F46*0.4,0),F46-COUNTIF($T$10:$T40,"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54" t="n"/>
      <c r="P49" s="54" t="inlineStr">
        <is>
          <t>Margarita BRITIKOVA</t>
        </is>
      </c>
      <c r="Q49" s="54" t="n"/>
      <c r="R49" s="54" t="n"/>
      <c r="S49" s="54" t="n"/>
      <c r="T49" s="54" t="n"/>
      <c r="U49" s="20" t="n"/>
      <c r="V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5" t="n"/>
      <c r="V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59" t="n"/>
      <c r="V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9">
        <f>IFERROR(AVERAGE($F15:S15),"Очікую")</f>
        <v/>
      </c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IFERROR(AVERAGE($F17:S17),"Очікую")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52" t="n"/>
      <c r="R20" s="52" t="n"/>
      <c r="S20" s="52" t="n"/>
      <c r="T20" s="52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6" t="n"/>
      <c r="M21" s="6" t="n"/>
      <c r="N21" s="6" t="n"/>
      <c r="O21" s="56" t="n"/>
      <c r="P21" s="54">
        <f>'Загальна'!P47</f>
        <v/>
      </c>
      <c r="Q21" s="54" t="n"/>
      <c r="R21" s="54" t="n"/>
      <c r="S21" s="54" t="n"/>
      <c r="T21" s="54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6" t="n"/>
      <c r="M22" s="6" t="n"/>
      <c r="N22" s="6" t="n"/>
      <c r="O22" s="56" t="n"/>
      <c r="P22" s="52" t="n"/>
      <c r="Q22" s="52" t="n"/>
      <c r="R22" s="52" t="n"/>
      <c r="S22" s="52" t="n"/>
      <c r="T22" s="52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IF(F20="Очікую","Очікую",IF(F20-COUNTIF($T$10:$T14," - ")&lt;ROUNDDOWN(F20*0.4,0),F20-COUNTIF($T$10:$T14,"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6" t="n"/>
      <c r="M23" s="6" t="n"/>
      <c r="N23" s="6" t="n"/>
      <c r="O23" s="56" t="n"/>
      <c r="P23" s="54" t="inlineStr">
        <is>
          <t>Margarita BRITIKOVA</t>
        </is>
      </c>
      <c r="Q23" s="54" t="n"/>
      <c r="R23" s="54" t="n"/>
      <c r="S23" s="54" t="n"/>
      <c r="T23" s="54" t="n"/>
      <c r="U23" s="20" t="n"/>
      <c r="V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5" t="n"/>
      <c r="V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2026-06-17T19:11:36Z</dcterms:modified>
  <cp:lastModifiedBy>Maxim Surkov</cp:lastModifiedBy>
  <cp:lastPrinted>2026-01-07T15:30:50Z</cp:lastPrinted>
</cp:coreProperties>
</file>