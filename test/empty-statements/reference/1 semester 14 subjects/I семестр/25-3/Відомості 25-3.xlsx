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'Загальна'!$C$3:$S$53</definedName>
    <definedName name="A1048577" localSheetId="1">#REF!</definedName>
    <definedName name="Ф80" localSheetId="1">#REF!</definedName>
    <definedName name="_xlnm.Print_Area" localSheetId="1">'Зведена E2'!$C$3:$S$28</definedName>
    <definedName name="A1048577" localSheetId="2">#REF!</definedName>
    <definedName name="Ф80" localSheetId="2">#REF!</definedName>
    <definedName name="_xlnm.Print_Area" localSheetId="2">'Зведена G1'!$C$3:$S$26</definedName>
    <definedName name="A1048577" localSheetId="3">#REF!</definedName>
    <definedName name="Ф80" localSheetId="3">#REF!</definedName>
    <definedName name="_xlnm.Print_Area" localSheetId="3">'Зведена G7'!$C$3:$S$35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Земляна Т.М.</t>
        </is>
      </c>
      <c r="O9" s="13" t="inlineStr">
        <is>
          <t>Українська література
Юрченко О.Б.</t>
        </is>
      </c>
      <c r="P9" s="13" t="inlineStr">
        <is>
          <t>Українська мова
Юрченко О.Б.</t>
        </is>
      </c>
      <c r="Q9" s="13" t="inlineStr">
        <is>
          <t>Фізика
Калюта Н.М.</t>
        </is>
      </c>
      <c r="R9" s="13" t="inlineStr">
        <is>
          <t>Фізична культура
Галеніна І.С.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9">
        <f>IFERROR(AVERAGE($F45:S45),"Очікую")</f>
        <v/>
      </c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6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6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IFERROR(AVERAGE(F46:S46),"Очікую")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IFERROR(AVERAGE($F47:S47),"Очікую")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52" t="n"/>
      <c r="R50" s="52" t="n"/>
      <c r="S50" s="52" t="n"/>
      <c r="T50" s="52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54" t="n"/>
      <c r="P51" s="54" t="inlineStr"/>
      <c r="Q51" s="54" t="n"/>
      <c r="R51" s="54" t="n"/>
      <c r="S51" s="54" t="n"/>
      <c r="T51" s="54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52" t="n"/>
      <c r="P52" s="52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IF(F50="Очікую","Очікую",IF(F50-COUNTIF($T$10:$T44," - ")&lt;ROUNDDOWN(F50*0.4,0),F50-COUNTIF($T$10:$T44,"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>
        <is>
          <t>Margarita BRITIKOVA</t>
        </is>
      </c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5" t="n"/>
      <c r="V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59" t="n"/>
      <c r="V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9">
        <f>IFERROR(AVERAGE($F20:S20),"Очікую")</f>
        <v/>
      </c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6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IFERROR(AVERAGE(F21:S21),"Очікую")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IFERROR(AVERAGE($F22:S22),"Очікую")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52" t="n"/>
      <c r="R25" s="52" t="n"/>
      <c r="S25" s="52" t="n"/>
      <c r="T25" s="52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6" t="n"/>
      <c r="M26" s="6" t="n"/>
      <c r="N26" s="6" t="n"/>
      <c r="O26" s="56" t="n"/>
      <c r="P26" s="54">
        <f>'Загальна'!P51</f>
        <v/>
      </c>
      <c r="Q26" s="54" t="n"/>
      <c r="R26" s="54" t="n"/>
      <c r="S26" s="54" t="n"/>
      <c r="T26" s="54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6" t="n"/>
      <c r="M27" s="6" t="n"/>
      <c r="N27" s="6" t="n"/>
      <c r="O27" s="56" t="n"/>
      <c r="P27" s="52" t="n"/>
      <c r="Q27" s="52" t="n"/>
      <c r="R27" s="52" t="n"/>
      <c r="S27" s="52" t="n"/>
      <c r="T27" s="52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IF(F25="Очікую","Очікую",IF(F25-COUNTIF($T$10:$T19," - ")&lt;ROUNDDOWN(F25*0.4,0),F25-COUNTIF($T$10:$T19,"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6" t="n"/>
      <c r="M28" s="6" t="n"/>
      <c r="N28" s="6" t="n"/>
      <c r="O28" s="56" t="n"/>
      <c r="P28" s="54" t="inlineStr">
        <is>
          <t>Margarita BRITIKOVA</t>
        </is>
      </c>
      <c r="Q28" s="54" t="n"/>
      <c r="R28" s="54" t="n"/>
      <c r="S28" s="54" t="n"/>
      <c r="T28" s="54" t="n"/>
      <c r="U28" s="20" t="n"/>
      <c r="V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5" t="n"/>
      <c r="V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9">
        <f>IFERROR(AVERAGE($F18:S18),"Очікую")</f>
        <v/>
      </c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6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6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IFERROR(AVERAGE(F19:S19),"Очікую")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IFERROR(AVERAGE($F20:S20),"Очікую")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52" t="n"/>
      <c r="R23" s="52" t="n"/>
      <c r="S23" s="52" t="n"/>
      <c r="T23" s="52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6" t="n"/>
      <c r="M24" s="6" t="n"/>
      <c r="N24" s="6" t="n"/>
      <c r="O24" s="56" t="n"/>
      <c r="P24" s="54">
        <f>'Загальна'!P51</f>
        <v/>
      </c>
      <c r="Q24" s="54" t="n"/>
      <c r="R24" s="54" t="n"/>
      <c r="S24" s="54" t="n"/>
      <c r="T24" s="54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6" t="n"/>
      <c r="M25" s="6" t="n"/>
      <c r="N25" s="6" t="n"/>
      <c r="O25" s="56" t="n"/>
      <c r="P25" s="52" t="n"/>
      <c r="Q25" s="52" t="n"/>
      <c r="R25" s="52" t="n"/>
      <c r="S25" s="52" t="n"/>
      <c r="T25" s="52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IF(F23="Очікую","Очікую",IF(F23-COUNTIF($T$10:$T17," - ")&lt;ROUNDDOWN(F23*0.4,0),F23-COUNTIF($T$10:$T17,"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6" t="n"/>
      <c r="M26" s="6" t="n"/>
      <c r="N26" s="6" t="n"/>
      <c r="O26" s="56" t="n"/>
      <c r="P26" s="54" t="inlineStr">
        <is>
          <t>Margarita BRITIKOVA</t>
        </is>
      </c>
      <c r="Q26" s="54" t="n"/>
      <c r="R26" s="54" t="n"/>
      <c r="S26" s="54" t="n"/>
      <c r="T26" s="54" t="n"/>
      <c r="U26" s="20" t="n"/>
      <c r="V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5" t="n"/>
      <c r="V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9">
        <f>IFERROR(AVERAGE($F27:S27),"Очікую")</f>
        <v/>
      </c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6" t="n"/>
      <c r="M33" s="6" t="n"/>
      <c r="N33" s="6" t="n"/>
      <c r="O33" s="56" t="n"/>
      <c r="P33" s="54">
        <f>'Загальна'!P51</f>
        <v/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6" t="n"/>
      <c r="M34" s="6" t="n"/>
      <c r="N34" s="6" t="n"/>
      <c r="O34" s="56" t="n"/>
      <c r="P34" s="52" t="n"/>
      <c r="Q34" s="52" t="n"/>
      <c r="R34" s="52" t="n"/>
      <c r="S34" s="52" t="n"/>
      <c r="T34" s="52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IF(F32="Очікую","Очікую",IF(F32-COUNTIF($T$10:$T26," - ")&lt;ROUNDDOWN(F32*0.4,0),F32-COUNTIF($T$10:$T26,"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6" t="n"/>
      <c r="M35" s="6" t="n"/>
      <c r="N35" s="6" t="n"/>
      <c r="O35" s="56" t="n"/>
      <c r="P35" s="54" t="inlineStr">
        <is>
          <t>Margarita BRITIKOVA</t>
        </is>
      </c>
      <c r="Q35" s="54" t="n"/>
      <c r="R35" s="54" t="n"/>
      <c r="S35" s="54" t="n"/>
      <c r="T35" s="54" t="n"/>
      <c r="U35" s="20" t="n"/>
      <c r="V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5" t="n"/>
      <c r="V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2026-06-18T10:03:01Z</dcterms:modified>
  <cp:lastModifiedBy>Maxim Surkov</cp:lastModifiedBy>
  <cp:lastPrinted>2026-01-07T15:30:50Z</cp:lastPrinted>
</cp:coreProperties>
</file>