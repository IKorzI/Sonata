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13" sheetId="2" state="visible" r:id="rId2"/>
    <sheet xmlns:r="http://schemas.openxmlformats.org/officeDocument/2006/relationships" name="Зведена J2" sheetId="3" state="visible" r:id="rId3"/>
    <sheet xmlns:r="http://schemas.openxmlformats.org/officeDocument/2006/relationships" name="Зведена J3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'Загальна'!$C$3:$S$49</definedName>
    <definedName name="A1048577" localSheetId="1">#REF!</definedName>
    <definedName name="Ф80" localSheetId="1">#REF!</definedName>
    <definedName name="_xlnm.Print_Area" localSheetId="1">'Зведена G13'!$C$3:$S$31</definedName>
    <definedName name="A1048577" localSheetId="2">#REF!</definedName>
    <definedName name="Ф80" localSheetId="2">#REF!</definedName>
    <definedName name="_xlnm.Print_Area" localSheetId="2">'Зведена J2'!$C$3:$S$31</definedName>
    <definedName name="A1048577" localSheetId="3">#REF!</definedName>
    <definedName name="Ф80" localSheetId="3">#REF!</definedName>
    <definedName name="_xlnm.Print_Area" localSheetId="3">'Зведена J3'!$C$3:$S$23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1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Земляна Т.М.</t>
        </is>
      </c>
      <c r="O9" s="13" t="inlineStr">
        <is>
          <t>Українська література
Юрченко О.Б.</t>
        </is>
      </c>
      <c r="P9" s="13" t="inlineStr">
        <is>
          <t>Українська мова
Юрченко О.Б.</t>
        </is>
      </c>
      <c r="Q9" s="13" t="inlineStr">
        <is>
          <t>Фізика
Калюта Н.М.</t>
        </is>
      </c>
      <c r="R9" s="13" t="inlineStr">
        <is>
          <t>Фізична культура
Галеніна І.С.</t>
        </is>
      </c>
      <c r="S9" s="13" t="inlineStr">
        <is>
          <t>Хімія
Пономарьов К.М.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Багнич Агата Валеріївна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Балабан Єлизавета Олексіївна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Басов Костянтин Юрійович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Білик Катерина Андріївна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Бойко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Бондаренко Олександр Вікторович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"),(IFERROR(AVERAGE($F15:S15),"Waiting"))))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Вілейко Вікторія Віленівна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"),(IFERROR(AVERAGE($F16:S16),"Waiting"))))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Голуб Вероніка Русланівна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"),(IFERROR(AVERAGE($F17:S17),"Waiting"))))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Б</t>
        </is>
      </c>
      <c r="D18" s="47" t="n">
        <v>9</v>
      </c>
      <c r="E18" s="48" t="inlineStr">
        <is>
          <t>Гроза Вікторія Сергіївна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"),(IFERROR(AVERAGE($F18:S18),"Waiting"))))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К</t>
        </is>
      </c>
      <c r="D19" s="47" t="n">
        <v>10</v>
      </c>
      <c r="E19" s="48" t="inlineStr">
        <is>
          <t>Гуділіна Олександра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"),(IFERROR(AVERAGE($F19:S19),"Waiting"))))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Денисенко Ярослав Денисович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"),(IFERROR(AVERAGE($F20:S20),"Waiting"))))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Змашко Дар`я Сергіївна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"),(IFERROR(AVERAGE($F21:S21),"Waiting"))))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Ілющенко Марія Володимирівна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"),(IFERROR(AVERAGE($F22:S22),"Waiting"))))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Кловак Анастасія Ярославівна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"),(IFERROR(AVERAGE($F23:S23),"Waiting"))))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Кобелецька Ніколь Олегівна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"),(IFERROR(AVERAGE($F24:S24),"Waiting"))))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Коцел Єгор Костянтинович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"),(IFERROR(AVERAGE($F25:S25),"Waiting"))))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Крижньова Галина Олександрівна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"),(IFERROR(AVERAGE($F26:S26),"Waiting"))))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Крівцова Анжеліка Олегівна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"),(IFERROR(AVERAGE($F27:S27),"Waiting"))))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Кусенко Данило Сергійович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"),(IFERROR(AVERAGE($F28:S28),"Waiting"))))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Місяць Олександра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"),(IFERROR(AVERAGE($F29:S29),"Waiting"))))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Міхней Анна Олександрівна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"),(IFERROR(AVERAGE($F30:S30),"Waiting"))))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Палій Маргарита Олександрівна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"),(IFERROR(AVERAGE($F31:S31),"Waiting"))))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Померанцев Ілля Артурович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"),(IFERROR(AVERAGE($F32:S32),"Waiting"))))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Саркісова Олена Сергіївна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"),(IFERROR(AVERAGE($F33:S33),"Waiting"))))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Сумець Вероніка Сергіївна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"),(IFERROR(AVERAGE($F34:S34),"Waiting"))))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Тітаренко Маргарита Олександрівна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"),(IFERROR(AVERAGE($F35:S35),"Waiting"))))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Торкатюк Ілля Сергійович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"),(IFERROR(AVERAGE($F36:S36),"Waiting"))))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Чернель Олександра Олегівна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"),(IFERROR(AVERAGE($F37:S37),"Waiting"))))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Чомов Максим Андрійович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"),(IFERROR(AVERAGE($F38:S38),"Waiting"))))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Шатілов Тимур Максимович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"),(IFERROR(AVERAGE($F39:S39),"Waiting"))))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Яковенко Крістіна Іванівна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"),(IFERROR(AVERAGE($F40:S40),"Waiting"))))</f>
        <v/>
      </c>
      <c r="U40" s="22" t="n"/>
      <c r="V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Середній бал успішності з дисципліни</t>
        </is>
      </c>
      <c r="F41" s="8">
        <f>IF(SUM(F$10:F40)=0,IF(COUNTA(F$10:F40)=0,"Waiting",0),SUM(F$10:F40)/$D40)</f>
        <v/>
      </c>
      <c r="G41" s="8">
        <f>IF(SUM(G$10:G40)=0,IF(COUNTA(G$10:G40)=0,"Waiting",0),SUM(G$10:G40)/$D40)</f>
        <v/>
      </c>
      <c r="H41" s="8">
        <f>IF(SUM(H$10:H40)=0,IF(COUNTA(H$10:H40)=0,"Waiting",0),SUM(H$10:H40)/$D40)</f>
        <v/>
      </c>
      <c r="I41" s="8">
        <f>IF(SUM(I$10:I40)=0,IF(COUNTA(I$10:I40)=0,"Waiting",0),SUM(I$10:I40)/$D40)</f>
        <v/>
      </c>
      <c r="J41" s="8">
        <f>IF(SUM(J$10:J40)=0,IF(COUNTA(J$10:J40)=0,"Waiting",0),SUM(J$10:J40)/$D40)</f>
        <v/>
      </c>
      <c r="K41" s="8">
        <f>IF(SUM(K$10:K40)=0,IF(COUNTA(K$10:K40)=0,"Waiting",0),SUM(K$10:K40)/$D40)</f>
        <v/>
      </c>
      <c r="L41" s="8">
        <f>IF(SUM(L$10:L40)=0,IF(COUNTA(L$10:L40)=0,"Waiting",0),SUM(L$10:L40)/$D40)</f>
        <v/>
      </c>
      <c r="M41" s="8">
        <f>IF(SUM(M$10:M40)=0,IF(COUNTA(M$10:M40)=0,"Waiting",0),SUM(M$10:M40)/$D40)</f>
        <v/>
      </c>
      <c r="N41" s="8">
        <f>IF(SUM(N$10:N40)=0,IF(COUNTA(N$10:N40)=0,"Waiting",0),SUM(N$10:N40)/$D40)</f>
        <v/>
      </c>
      <c r="O41" s="8">
        <f>IF(SUM(O$10:O40)=0,IF(COUNTA(O$10:O40)=0,"Waiting",0),SUM(O$10:O40)/$D40)</f>
        <v/>
      </c>
      <c r="P41" s="8">
        <f>IF(SUM(P$10:P40)=0,IF(COUNTA(P$10:P40)=0,"Waiting",0),SUM(P$10:P40)/$D40)</f>
        <v/>
      </c>
      <c r="Q41" s="8">
        <f>IF(SUM(Q$10:Q40)=0,IF(COUNTA(Q$10:Q40)=0,"Waiting",0),SUM(Q$10:Q40)/$D40)</f>
        <v/>
      </c>
      <c r="R41" s="8">
        <f>IF(SUM(R$10:R40)=0,IF(COUNTA(R$10:R40)=0,"Waiting",0),SUM(R$10:R40)/$D40)</f>
        <v/>
      </c>
      <c r="S41" s="8">
        <f>IF(SUM(S$10:S40)=0,IF(COUNTA(S$10:S40)=0,"Waiting",0),SUM(S$10:S40)/$D40)</f>
        <v/>
      </c>
      <c r="T41" s="9">
        <f>IFERROR(AVERAGE($F41:S41),"Waiting")</f>
        <v/>
      </c>
      <c r="U41" s="20" t="n"/>
      <c r="V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</t>
        </is>
      </c>
      <c r="F42" s="43">
        <f>IF(SUM(F$10:F40)=0,IF(COUNTA(F$10:F40)=0,"Waiting",0),IF(COUNTIF(F$10:F40,"&gt;=4")=0,0,COUNTIF(F$10:F40,"&gt;=4")/$D40*100))</f>
        <v/>
      </c>
      <c r="G42" s="43">
        <f>IF(SUM(G$10:G40)=0,IF(COUNTA(G$10:G40)=0,"Waiting",0),IF(COUNTIF(G$10:G40,"&gt;=4")=0,0,COUNTIF(G$10:G40,"&gt;=4")/$D40*100))</f>
        <v/>
      </c>
      <c r="H42" s="43">
        <f>IF(SUM(H$10:H40)=0,IF(COUNTA(H$10:H40)=0,"Waiting",0),IF(COUNTIF(H$10:H40,"&gt;=4")=0,0,COUNTIF(H$10:H40,"&gt;=4")/$D40*100))</f>
        <v/>
      </c>
      <c r="I42" s="43">
        <f>IF(SUM(I$10:I40)=0,IF(COUNTA(I$10:I40)=0,"Waiting",0),IF(COUNTIF(I$10:I40,"&gt;=4")=0,0,COUNTIF(I$10:I40,"&gt;=4")/$D40*100))</f>
        <v/>
      </c>
      <c r="J42" s="43">
        <f>IF(SUM(J$10:J40)=0,IF(COUNTA(J$10:J40)=0,"Waiting",0),IF(COUNTIF(J$10:J40,"&gt;=4")=0,0,COUNTIF(J$10:J40,"&gt;=4")/$D40*100))</f>
        <v/>
      </c>
      <c r="K42" s="43">
        <f>IF(SUM(K$10:K40)=0,IF(COUNTA(K$10:K40)=0,"Waiting",0),IF(COUNTIF(K$10:K40,"&gt;=4")=0,0,COUNTIF(K$10:K40,"&gt;=4")/$D40*100))</f>
        <v/>
      </c>
      <c r="L42" s="43">
        <f>IF(SUM(L$10:L40)=0,IF(COUNTA(L$10:L40)=0,"Waiting",0),IF(COUNTIF(L$10:L40,"&gt;=4")=0,0,COUNTIF(L$10:L40,"&gt;=4")/$D40*100))</f>
        <v/>
      </c>
      <c r="M42" s="43">
        <f>IF(SUM(M$10:M40)=0,IF(COUNTA(M$10:M40)=0,"Waiting",0),IF(COUNTIF(M$10:M40,"&gt;=4")=0,0,COUNTIF(M$10:M40,"&gt;=4")/$D40*100))</f>
        <v/>
      </c>
      <c r="N42" s="43">
        <f>IF(SUM(N$10:N40)=0,IF(COUNTA(N$10:N40)=0,"Waiting",0),IF(COUNTIF(N$10:N40,"&gt;=4")=0,0,COUNTIF(N$10:N40,"&gt;=4")/$D40*100))</f>
        <v/>
      </c>
      <c r="O42" s="43">
        <f>IF(SUM(O$10:O40)=0,IF(COUNTA(O$10:O40)=0,"Waiting",0),IF(COUNTIF(O$10:O40,"&gt;=4")=0,0,COUNTIF(O$10:O40,"&gt;=4")/$D40*100))</f>
        <v/>
      </c>
      <c r="P42" s="43">
        <f>IF(SUM(P$10:P40)=0,IF(COUNTA(P$10:P40)=0,"Waiting",0),IF(COUNTIF(P$10:P40,"&gt;=4")=0,0,COUNTIF(P$10:P40,"&gt;=4")/$D40*100))</f>
        <v/>
      </c>
      <c r="Q42" s="43">
        <f>IF(SUM(Q$10:Q40)=0,IF(COUNTA(Q$10:Q40)=0,"Waiting",0),IF(COUNTIF(Q$10:Q40,"&gt;=4")=0,0,COUNTIF(Q$10:Q40,"&gt;=4")/$D40*100))</f>
        <v/>
      </c>
      <c r="R42" s="43">
        <f>IF(SUM(R$10:R40)=0,IF(COUNTA(R$10:R40)=0,"Waiting",0),IF(COUNTIF(R$10:R40,"&gt;=4")=0,0,COUNTIF(R$10:R40,"&gt;=4")/$D40*100))</f>
        <v/>
      </c>
      <c r="S42" s="43">
        <f>IF(SUM(S$10:S40)=0,IF(COUNTA(S$10:S40)=0,"Waiting",0),IF(COUNTIF(S$10:S40,"&gt;=4")=0,0,COUNTIF(S$10:S40,"&gt;=4")/$D40*100))</f>
        <v/>
      </c>
      <c r="T42" s="6" t="n"/>
      <c r="U42" s="20" t="n"/>
      <c r="V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</t>
        </is>
      </c>
      <c r="F43" s="43">
        <f>IF(SUM(F$10:F40)=0,IF(COUNTA(F$10:F40)=0,"Waiting",0),IF(COUNTIF(F$10:F40,"&gt;=7")=0,0,COUNTIF(F$10:F40,"&gt;=7")/$D40*100))</f>
        <v/>
      </c>
      <c r="G43" s="43">
        <f>IF(SUM(G$10:G40)=0,IF(COUNTA(G$10:G40)=0,"Waiting",0),IF(COUNTIF(G$10:G40,"&gt;=7")=0,0,COUNTIF(G$10:G40,"&gt;=7")/$D40*100))</f>
        <v/>
      </c>
      <c r="H43" s="43">
        <f>IF(SUM(H$10:H40)=0,IF(COUNTA(H$10:H40)=0,"Waiting",0),IF(COUNTIF(H$10:H40,"&gt;=7")=0,0,COUNTIF(H$10:H40,"&gt;=7")/$D40*100))</f>
        <v/>
      </c>
      <c r="I43" s="43">
        <f>IF(SUM(I$10:I40)=0,IF(COUNTA(I$10:I40)=0,"Waiting",0),IF(COUNTIF(I$10:I40,"&gt;=7")=0,0,COUNTIF(I$10:I40,"&gt;=7")/$D40*100))</f>
        <v/>
      </c>
      <c r="J43" s="43">
        <f>IF(SUM(J$10:J40)=0,IF(COUNTA(J$10:J40)=0,"Waiting",0),IF(COUNTIF(J$10:J40,"&gt;=7")=0,0,COUNTIF(J$10:J40,"&gt;=7")/$D40*100))</f>
        <v/>
      </c>
      <c r="K43" s="43">
        <f>IF(SUM(K$10:K40)=0,IF(COUNTA(K$10:K40)=0,"Waiting",0),IF(COUNTIF(K$10:K40,"&gt;=7")=0,0,COUNTIF(K$10:K40,"&gt;=7")/$D40*100))</f>
        <v/>
      </c>
      <c r="L43" s="43">
        <f>IF(SUM(L$10:L40)=0,IF(COUNTA(L$10:L40)=0,"Waiting",0),IF(COUNTIF(L$10:L40,"&gt;=7")=0,0,COUNTIF(L$10:L40,"&gt;=7")/$D40*100))</f>
        <v/>
      </c>
      <c r="M43" s="43">
        <f>IF(SUM(M$10:M40)=0,IF(COUNTA(M$10:M40)=0,"Waiting",0),IF(COUNTIF(M$10:M40,"&gt;=7")=0,0,COUNTIF(M$10:M40,"&gt;=7")/$D40*100))</f>
        <v/>
      </c>
      <c r="N43" s="43">
        <f>IF(SUM(N$10:N40)=0,IF(COUNTA(N$10:N40)=0,"Waiting",0),IF(COUNTIF(N$10:N40,"&gt;=7")=0,0,COUNTIF(N$10:N40,"&gt;=7")/$D40*100))</f>
        <v/>
      </c>
      <c r="O43" s="43">
        <f>IF(SUM(O$10:O40)=0,IF(COUNTA(O$10:O40)=0,"Waiting",0),IF(COUNTIF(O$10:O40,"&gt;=7")=0,0,COUNTIF(O$10:O40,"&gt;=7")/$D40*100))</f>
        <v/>
      </c>
      <c r="P43" s="43">
        <f>IF(SUM(P$10:P40)=0,IF(COUNTA(P$10:P40)=0,"Waiting",0),IF(COUNTIF(P$10:P40,"&gt;=7")=0,0,COUNTIF(P$10:P40,"&gt;=7")/$D40*100))</f>
        <v/>
      </c>
      <c r="Q43" s="43">
        <f>IF(SUM(Q$10:Q40)=0,IF(COUNTA(Q$10:Q40)=0,"Waiting",0),IF(COUNTIF(Q$10:Q40,"&gt;=7")=0,0,COUNTIF(Q$10:Q40,"&gt;=7")/$D40*100))</f>
        <v/>
      </c>
      <c r="R43" s="43">
        <f>IF(SUM(R$10:R40)=0,IF(COUNTA(R$10:R40)=0,"Waiting",0),IF(COUNTIF(R$10:R40,"&gt;=7")=0,0,COUNTIF(R$10:R40,"&gt;=7")/$D40*100))</f>
        <v/>
      </c>
      <c r="S43" s="43">
        <f>IF(SUM(S$10:S40)=0,IF(COUNTA(S$10:S40)=0,"Waiting",0),IF(COUNTIF(S$10:S40,"&gt;=7")=0,0,COUNTIF(S$10:S40,"&gt;=7")/$D40*100))</f>
        <v/>
      </c>
      <c r="T43" s="6" t="n"/>
      <c r="U43" s="20" t="n"/>
      <c r="V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Абсолютна успішність по групі</t>
        </is>
      </c>
      <c r="F44" s="8">
        <f>IFERROR(AVERAGE(F42:S42),"Waiting")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20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Якісна успішність по групі</t>
        </is>
      </c>
      <c r="F45" s="8">
        <f>IFERROR(AVERAGE($F43:S43),"Waiting")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бюджетників</t>
        </is>
      </c>
      <c r="F46" s="63">
        <f>IF(COUNTIF($C$10:$C40,"=B")=0,IF(COUNTIF($C$10:$C40,"=K")=0,"Waiting",0),COUNTIF($C$10:$C40,"=B"))</f>
        <v/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52" t="n"/>
      <c r="R46" s="52" t="n"/>
      <c r="S46" s="52" t="n"/>
      <c r="T46" s="52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Кількість контрактників</t>
        </is>
      </c>
      <c r="F47" s="63">
        <f>IF(COUNTIF($C$10:$C40,"=K")=0,IF(COUNTIF($C$10:$C40,"=B")=0,"Waiting",0),COUNTIF($C$10:$C40,"=K"))</f>
        <v/>
      </c>
      <c r="G47" s="6" t="n"/>
      <c r="H47" s="58" t="inlineStr">
        <is>
          <t>Класний керівник</t>
        </is>
      </c>
      <c r="I47" s="6" t="n"/>
      <c r="J47" s="6" t="n"/>
      <c r="K47" s="6" t="n"/>
      <c r="L47" s="6" t="n"/>
      <c r="M47" s="6" t="n"/>
      <c r="N47" s="6" t="n"/>
      <c r="O47" s="54" t="n"/>
      <c r="P47" s="54" t="inlineStr"/>
      <c r="Q47" s="54" t="n"/>
      <c r="R47" s="54" t="n"/>
      <c r="S47" s="54" t="n"/>
      <c r="T47" s="54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Кількість соціального контингенту</t>
        </is>
      </c>
      <c r="F48" s="4" t="n"/>
      <c r="G48" s="6" t="n"/>
      <c r="H48" s="53" t="n"/>
      <c r="I48" s="6" t="n"/>
      <c r="J48" s="6" t="n"/>
      <c r="K48" s="6" t="n"/>
      <c r="L48" s="6" t="n"/>
      <c r="M48" s="6" t="n"/>
      <c r="N48" s="6" t="n"/>
      <c r="O48" s="52" t="n"/>
      <c r="P48" s="52" t="n"/>
      <c r="Q48" s="52" t="n"/>
      <c r="R48" s="52" t="n"/>
      <c r="S48" s="52" t="n"/>
      <c r="T48" s="52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Вийшли на стипендію</t>
        </is>
      </c>
      <c r="F49" s="63">
        <f>IF(F46="Waiting","Waiting",IF(F46-COUNTIF($T$10:$T40," - ")&lt;ROUNDDOWN(F46*0.4,0),F46-COUNTIF($T$10:$T40," - "),ROUNDDOWN(F46*0.4,0)))</f>
        <v/>
      </c>
      <c r="G49" s="6" t="n"/>
      <c r="H49" s="54" t="inlineStr">
        <is>
          <t>Завідувач відділення ПЗСО</t>
        </is>
      </c>
      <c r="I49" s="6" t="n"/>
      <c r="J49" s="6" t="n"/>
      <c r="K49" s="6" t="n"/>
      <c r="L49" s="6" t="n"/>
      <c r="M49" s="6" t="n"/>
      <c r="N49" s="6" t="n"/>
      <c r="O49" s="54" t="n"/>
      <c r="P49" s="54" t="inlineStr">
        <is>
          <t>Margarita BRITIKOVA</t>
        </is>
      </c>
      <c r="Q49" s="54" t="n"/>
      <c r="R49" s="54" t="n"/>
      <c r="S49" s="54" t="n"/>
      <c r="T49" s="54" t="n"/>
      <c r="U49" s="20" t="n"/>
      <c r="V49" s="39" t="n"/>
    </row>
    <row r="50" ht="15" customFormat="1" customHeight="1" s="11">
      <c r="A50" s="40" t="n"/>
      <c r="B50" s="21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5" t="n"/>
      <c r="V50" s="39" t="n"/>
    </row>
    <row r="51" ht="15" customFormat="1" customHeight="1" s="11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59" t="n"/>
      <c r="V51" s="39" t="n"/>
    </row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««Харчові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'General'!F9</f>
        <v/>
      </c>
      <c r="G9" s="13">
        <f>'General'!G9</f>
        <v/>
      </c>
      <c r="H9" s="13">
        <f>'General'!H9</f>
        <v/>
      </c>
      <c r="I9" s="13">
        <f>'General'!I9</f>
        <v/>
      </c>
      <c r="J9" s="13">
        <f>'General'!J9</f>
        <v/>
      </c>
      <c r="K9" s="13">
        <f>'General'!K9</f>
        <v/>
      </c>
      <c r="L9" s="13">
        <f>'General'!L9</f>
        <v/>
      </c>
      <c r="M9" s="13">
        <f>'General'!M9</f>
        <v/>
      </c>
      <c r="N9" s="13">
        <f>'General'!N9</f>
        <v/>
      </c>
      <c r="O9" s="13">
        <f>'General'!O9</f>
        <v/>
      </c>
      <c r="P9" s="13">
        <f>'General'!P9</f>
        <v/>
      </c>
      <c r="Q9" s="13">
        <f>'General'!Q9</f>
        <v/>
      </c>
      <c r="R9" s="13">
        <f>'General'!R9</f>
        <v/>
      </c>
      <c r="S9" s="13">
        <f>'General'!S9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'General'!C13</f>
        <v/>
      </c>
      <c r="D10" s="47" t="n">
        <v>1</v>
      </c>
      <c r="E10" s="48">
        <f>'General'!E13</f>
        <v/>
      </c>
      <c r="F10" s="49">
        <f>'General'!F13</f>
        <v/>
      </c>
      <c r="G10" s="49">
        <f>'General'!G13</f>
        <v/>
      </c>
      <c r="H10" s="49">
        <f>'General'!H13</f>
        <v/>
      </c>
      <c r="I10" s="49">
        <f>'General'!I13</f>
        <v/>
      </c>
      <c r="J10" s="49">
        <f>'General'!J13</f>
        <v/>
      </c>
      <c r="K10" s="49">
        <f>'General'!K13</f>
        <v/>
      </c>
      <c r="L10" s="49">
        <f>'General'!L13</f>
        <v/>
      </c>
      <c r="M10" s="49">
        <f>'General'!M13</f>
        <v/>
      </c>
      <c r="N10" s="49">
        <f>'General'!N13</f>
        <v/>
      </c>
      <c r="O10" s="49">
        <f>'General'!O13</f>
        <v/>
      </c>
      <c r="P10" s="49">
        <f>'General'!P13</f>
        <v/>
      </c>
      <c r="Q10" s="49">
        <f>'General'!Q13</f>
        <v/>
      </c>
      <c r="R10" s="49">
        <f>'General'!R13</f>
        <v/>
      </c>
      <c r="S10" s="49">
        <f>'General'!S13</f>
        <v/>
      </c>
      <c r="T10" s="42">
        <f>IF(COUNTIF($F10:S10,"=*")&gt;0,IF($C10="K","-"," - "),IF(COUNTIF($F10:S10,"&lt;4")&gt;0,IF(C10="K","-","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>
        <f>'General'!C15</f>
        <v/>
      </c>
      <c r="D11" s="47" t="n">
        <v>2</v>
      </c>
      <c r="E11" s="48">
        <f>'General'!E15</f>
        <v/>
      </c>
      <c r="F11" s="49">
        <f>'General'!F15</f>
        <v/>
      </c>
      <c r="G11" s="49">
        <f>'General'!G15</f>
        <v/>
      </c>
      <c r="H11" s="49">
        <f>'General'!H15</f>
        <v/>
      </c>
      <c r="I11" s="49">
        <f>'General'!I15</f>
        <v/>
      </c>
      <c r="J11" s="49">
        <f>'General'!J15</f>
        <v/>
      </c>
      <c r="K11" s="49">
        <f>'General'!K15</f>
        <v/>
      </c>
      <c r="L11" s="49">
        <f>'General'!L15</f>
        <v/>
      </c>
      <c r="M11" s="49">
        <f>'General'!M15</f>
        <v/>
      </c>
      <c r="N11" s="49">
        <f>'General'!N15</f>
        <v/>
      </c>
      <c r="O11" s="49">
        <f>'General'!O15</f>
        <v/>
      </c>
      <c r="P11" s="49">
        <f>'General'!P15</f>
        <v/>
      </c>
      <c r="Q11" s="49">
        <f>'General'!Q15</f>
        <v/>
      </c>
      <c r="R11" s="49">
        <f>'General'!R15</f>
        <v/>
      </c>
      <c r="S11" s="49">
        <f>'General'!S15</f>
        <v/>
      </c>
      <c r="T11" s="42">
        <f>IF(COUNTIF($F11:S11,"=*")&gt;0,IF($C11="K","-"," - "),IF(COUNTIF($F11:S11,"&lt;4")&gt;0,IF(C11="K","-","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>
        <f>'General'!C17</f>
        <v/>
      </c>
      <c r="D12" s="47" t="n">
        <v>3</v>
      </c>
      <c r="E12" s="48">
        <f>'General'!E17</f>
        <v/>
      </c>
      <c r="F12" s="49">
        <f>'General'!F17</f>
        <v/>
      </c>
      <c r="G12" s="49">
        <f>'General'!G17</f>
        <v/>
      </c>
      <c r="H12" s="49">
        <f>'General'!H17</f>
        <v/>
      </c>
      <c r="I12" s="49">
        <f>'General'!I17</f>
        <v/>
      </c>
      <c r="J12" s="49">
        <f>'General'!J17</f>
        <v/>
      </c>
      <c r="K12" s="49">
        <f>'General'!K17</f>
        <v/>
      </c>
      <c r="L12" s="49">
        <f>'General'!L17</f>
        <v/>
      </c>
      <c r="M12" s="49">
        <f>'General'!M17</f>
        <v/>
      </c>
      <c r="N12" s="49">
        <f>'General'!N17</f>
        <v/>
      </c>
      <c r="O12" s="49">
        <f>'General'!O17</f>
        <v/>
      </c>
      <c r="P12" s="49">
        <f>'General'!P17</f>
        <v/>
      </c>
      <c r="Q12" s="49">
        <f>'General'!Q17</f>
        <v/>
      </c>
      <c r="R12" s="49">
        <f>'General'!R17</f>
        <v/>
      </c>
      <c r="S12" s="49">
        <f>'General'!S17</f>
        <v/>
      </c>
      <c r="T12" s="42">
        <f>IF(COUNTIF($F12:S12,"=*")&gt;0,IF($C12="K","-"," - "),IF(COUNTIF($F12:S12,"&lt;4")&gt;0,IF(C12="K","-","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>
        <f>'General'!C18</f>
        <v/>
      </c>
      <c r="D13" s="47" t="n">
        <v>4</v>
      </c>
      <c r="E13" s="48">
        <f>'General'!E18</f>
        <v/>
      </c>
      <c r="F13" s="49">
        <f>'General'!F18</f>
        <v/>
      </c>
      <c r="G13" s="49">
        <f>'General'!G18</f>
        <v/>
      </c>
      <c r="H13" s="49">
        <f>'General'!H18</f>
        <v/>
      </c>
      <c r="I13" s="49">
        <f>'General'!I18</f>
        <v/>
      </c>
      <c r="J13" s="49">
        <f>'General'!J18</f>
        <v/>
      </c>
      <c r="K13" s="49">
        <f>'General'!K18</f>
        <v/>
      </c>
      <c r="L13" s="49">
        <f>'General'!L18</f>
        <v/>
      </c>
      <c r="M13" s="49">
        <f>'General'!M18</f>
        <v/>
      </c>
      <c r="N13" s="49">
        <f>'General'!N18</f>
        <v/>
      </c>
      <c r="O13" s="49">
        <f>'General'!O18</f>
        <v/>
      </c>
      <c r="P13" s="49">
        <f>'General'!P18</f>
        <v/>
      </c>
      <c r="Q13" s="49">
        <f>'General'!Q18</f>
        <v/>
      </c>
      <c r="R13" s="49">
        <f>'General'!R18</f>
        <v/>
      </c>
      <c r="S13" s="49">
        <f>'General'!S18</f>
        <v/>
      </c>
      <c r="T13" s="42">
        <f>IF(COUNTIF($F13:S13,"=*")&gt;0,IF($C13="K","-"," - "),IF(COUNTIF($F13:S13,"&lt;4")&gt;0,IF(C13="K","-","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>
        <f>'General'!C20</f>
        <v/>
      </c>
      <c r="D14" s="47" t="n">
        <v>5</v>
      </c>
      <c r="E14" s="48">
        <f>'General'!E20</f>
        <v/>
      </c>
      <c r="F14" s="49">
        <f>'General'!F20</f>
        <v/>
      </c>
      <c r="G14" s="49">
        <f>'General'!G20</f>
        <v/>
      </c>
      <c r="H14" s="49">
        <f>'General'!H20</f>
        <v/>
      </c>
      <c r="I14" s="49">
        <f>'General'!I20</f>
        <v/>
      </c>
      <c r="J14" s="49">
        <f>'General'!J20</f>
        <v/>
      </c>
      <c r="K14" s="49">
        <f>'General'!K20</f>
        <v/>
      </c>
      <c r="L14" s="49">
        <f>'General'!L20</f>
        <v/>
      </c>
      <c r="M14" s="49">
        <f>'General'!M20</f>
        <v/>
      </c>
      <c r="N14" s="49">
        <f>'General'!N20</f>
        <v/>
      </c>
      <c r="O14" s="49">
        <f>'General'!O20</f>
        <v/>
      </c>
      <c r="P14" s="49">
        <f>'General'!P20</f>
        <v/>
      </c>
      <c r="Q14" s="49">
        <f>'General'!Q20</f>
        <v/>
      </c>
      <c r="R14" s="49">
        <f>'General'!R20</f>
        <v/>
      </c>
      <c r="S14" s="49">
        <f>'General'!S20</f>
        <v/>
      </c>
      <c r="T14" s="42">
        <f>IF(COUNTIF($F14:S14,"=*")&gt;0,IF($C14="K","-"," - "),IF(COUNTIF($F14:S14,"&lt;4")&gt;0,IF(C14="K","-","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47">
        <f>'General'!C23</f>
        <v/>
      </c>
      <c r="D15" s="47" t="n">
        <v>6</v>
      </c>
      <c r="E15" s="48">
        <f>'General'!E23</f>
        <v/>
      </c>
      <c r="F15" s="49">
        <f>'General'!F23</f>
        <v/>
      </c>
      <c r="G15" s="49">
        <f>'General'!G23</f>
        <v/>
      </c>
      <c r="H15" s="49">
        <f>'General'!H23</f>
        <v/>
      </c>
      <c r="I15" s="49">
        <f>'General'!I23</f>
        <v/>
      </c>
      <c r="J15" s="49">
        <f>'General'!J23</f>
        <v/>
      </c>
      <c r="K15" s="49">
        <f>'General'!K23</f>
        <v/>
      </c>
      <c r="L15" s="49">
        <f>'General'!L23</f>
        <v/>
      </c>
      <c r="M15" s="49">
        <f>'General'!M23</f>
        <v/>
      </c>
      <c r="N15" s="49">
        <f>'General'!N23</f>
        <v/>
      </c>
      <c r="O15" s="49">
        <f>'General'!O23</f>
        <v/>
      </c>
      <c r="P15" s="49">
        <f>'General'!P23</f>
        <v/>
      </c>
      <c r="Q15" s="49">
        <f>'General'!Q23</f>
        <v/>
      </c>
      <c r="R15" s="49">
        <f>'General'!R23</f>
        <v/>
      </c>
      <c r="S15" s="49">
        <f>'General'!S23</f>
        <v/>
      </c>
      <c r="T15" s="42">
        <f>IF(COUNTIF($F15:S15,"=*")&gt;0,IF($C15="K","-"," - "),IF(COUNTIF($F15:S15,"&lt;4")&gt;0,IF(C15="K","-"," - "),(IFERROR(AVERAGE($F15:S15),"Waiting"))))</f>
        <v/>
      </c>
      <c r="U15" s="22" t="n"/>
      <c r="V15" s="39" t="n"/>
    </row>
    <row r="16" ht="15" customFormat="1" customHeight="1" s="11">
      <c r="A16" s="40" t="n"/>
      <c r="B16" s="12" t="n"/>
      <c r="C16" s="47">
        <f>'General'!C25</f>
        <v/>
      </c>
      <c r="D16" s="47" t="n">
        <v>7</v>
      </c>
      <c r="E16" s="48">
        <f>'General'!E25</f>
        <v/>
      </c>
      <c r="F16" s="49">
        <f>'General'!F25</f>
        <v/>
      </c>
      <c r="G16" s="49">
        <f>'General'!G25</f>
        <v/>
      </c>
      <c r="H16" s="49">
        <f>'General'!H25</f>
        <v/>
      </c>
      <c r="I16" s="49">
        <f>'General'!I25</f>
        <v/>
      </c>
      <c r="J16" s="49">
        <f>'General'!J25</f>
        <v/>
      </c>
      <c r="K16" s="49">
        <f>'General'!K25</f>
        <v/>
      </c>
      <c r="L16" s="49">
        <f>'General'!L25</f>
        <v/>
      </c>
      <c r="M16" s="49">
        <f>'General'!M25</f>
        <v/>
      </c>
      <c r="N16" s="49">
        <f>'General'!N25</f>
        <v/>
      </c>
      <c r="O16" s="49">
        <f>'General'!O25</f>
        <v/>
      </c>
      <c r="P16" s="49">
        <f>'General'!P25</f>
        <v/>
      </c>
      <c r="Q16" s="49">
        <f>'General'!Q25</f>
        <v/>
      </c>
      <c r="R16" s="49">
        <f>'General'!R25</f>
        <v/>
      </c>
      <c r="S16" s="49">
        <f>'General'!S25</f>
        <v/>
      </c>
      <c r="T16" s="42">
        <f>IF(COUNTIF($F16:S16,"=*")&gt;0,IF($C16="K","-"," - "),IF(COUNTIF($F16:S16,"&lt;4")&gt;0,IF(C16="K","-"," - "),(IFERROR(AVERAGE($F16:S16),"Waiting"))))</f>
        <v/>
      </c>
      <c r="U16" s="22" t="n"/>
      <c r="V16" s="39" t="n"/>
    </row>
    <row r="17" ht="15" customFormat="1" customHeight="1" s="11">
      <c r="A17" s="40" t="n"/>
      <c r="B17" s="12" t="n"/>
      <c r="C17" s="47">
        <f>'General'!C26</f>
        <v/>
      </c>
      <c r="D17" s="47" t="n">
        <v>8</v>
      </c>
      <c r="E17" s="48">
        <f>'General'!E26</f>
        <v/>
      </c>
      <c r="F17" s="49">
        <f>'General'!F26</f>
        <v/>
      </c>
      <c r="G17" s="49">
        <f>'General'!G26</f>
        <v/>
      </c>
      <c r="H17" s="49">
        <f>'General'!H26</f>
        <v/>
      </c>
      <c r="I17" s="49">
        <f>'General'!I26</f>
        <v/>
      </c>
      <c r="J17" s="49">
        <f>'General'!J26</f>
        <v/>
      </c>
      <c r="K17" s="49">
        <f>'General'!K26</f>
        <v/>
      </c>
      <c r="L17" s="49">
        <f>'General'!L26</f>
        <v/>
      </c>
      <c r="M17" s="49">
        <f>'General'!M26</f>
        <v/>
      </c>
      <c r="N17" s="49">
        <f>'General'!N26</f>
        <v/>
      </c>
      <c r="O17" s="49">
        <f>'General'!O26</f>
        <v/>
      </c>
      <c r="P17" s="49">
        <f>'General'!P26</f>
        <v/>
      </c>
      <c r="Q17" s="49">
        <f>'General'!Q26</f>
        <v/>
      </c>
      <c r="R17" s="49">
        <f>'General'!R26</f>
        <v/>
      </c>
      <c r="S17" s="49">
        <f>'General'!S26</f>
        <v/>
      </c>
      <c r="T17" s="42">
        <f>IF(COUNTIF($F17:S17,"=*")&gt;0,IF($C17="K","-"," - "),IF(COUNTIF($F17:S17,"&lt;4")&gt;0,IF(C17="K","-"," - "),(IFERROR(AVERAGE($F17:S17),"Waiting"))))</f>
        <v/>
      </c>
      <c r="U17" s="22" t="n"/>
      <c r="V17" s="39" t="n"/>
    </row>
    <row r="18" ht="15" customFormat="1" customHeight="1" s="11">
      <c r="A18" s="40" t="n"/>
      <c r="B18" s="12" t="n"/>
      <c r="C18" s="47">
        <f>'General'!C27</f>
        <v/>
      </c>
      <c r="D18" s="47" t="n">
        <v>9</v>
      </c>
      <c r="E18" s="48">
        <f>'General'!E27</f>
        <v/>
      </c>
      <c r="F18" s="49">
        <f>'General'!F27</f>
        <v/>
      </c>
      <c r="G18" s="49">
        <f>'General'!G27</f>
        <v/>
      </c>
      <c r="H18" s="49">
        <f>'General'!H27</f>
        <v/>
      </c>
      <c r="I18" s="49">
        <f>'General'!I27</f>
        <v/>
      </c>
      <c r="J18" s="49">
        <f>'General'!J27</f>
        <v/>
      </c>
      <c r="K18" s="49">
        <f>'General'!K27</f>
        <v/>
      </c>
      <c r="L18" s="49">
        <f>'General'!L27</f>
        <v/>
      </c>
      <c r="M18" s="49">
        <f>'General'!M27</f>
        <v/>
      </c>
      <c r="N18" s="49">
        <f>'General'!N27</f>
        <v/>
      </c>
      <c r="O18" s="49">
        <f>'General'!O27</f>
        <v/>
      </c>
      <c r="P18" s="49">
        <f>'General'!P27</f>
        <v/>
      </c>
      <c r="Q18" s="49">
        <f>'General'!Q27</f>
        <v/>
      </c>
      <c r="R18" s="49">
        <f>'General'!R27</f>
        <v/>
      </c>
      <c r="S18" s="49">
        <f>'General'!S27</f>
        <v/>
      </c>
      <c r="T18" s="42">
        <f>IF(COUNTIF($F18:S18,"=*")&gt;0,IF($C18="K","-"," - "),IF(COUNTIF($F18:S18,"&lt;4")&gt;0,IF(C18="K","-"," - "),(IFERROR(AVERAGE($F18:S18),"Waiting"))))</f>
        <v/>
      </c>
      <c r="U18" s="22" t="n"/>
      <c r="V18" s="39" t="n"/>
    </row>
    <row r="19" ht="15" customFormat="1" customHeight="1" s="11">
      <c r="A19" s="40" t="n"/>
      <c r="B19" s="12" t="n"/>
      <c r="C19" s="47">
        <f>'General'!C28</f>
        <v/>
      </c>
      <c r="D19" s="47" t="n">
        <v>10</v>
      </c>
      <c r="E19" s="48">
        <f>'General'!E28</f>
        <v/>
      </c>
      <c r="F19" s="49">
        <f>'General'!F28</f>
        <v/>
      </c>
      <c r="G19" s="49">
        <f>'General'!G28</f>
        <v/>
      </c>
      <c r="H19" s="49">
        <f>'General'!H28</f>
        <v/>
      </c>
      <c r="I19" s="49">
        <f>'General'!I28</f>
        <v/>
      </c>
      <c r="J19" s="49">
        <f>'General'!J28</f>
        <v/>
      </c>
      <c r="K19" s="49">
        <f>'General'!K28</f>
        <v/>
      </c>
      <c r="L19" s="49">
        <f>'General'!L28</f>
        <v/>
      </c>
      <c r="M19" s="49">
        <f>'General'!M28</f>
        <v/>
      </c>
      <c r="N19" s="49">
        <f>'General'!N28</f>
        <v/>
      </c>
      <c r="O19" s="49">
        <f>'General'!O28</f>
        <v/>
      </c>
      <c r="P19" s="49">
        <f>'General'!P28</f>
        <v/>
      </c>
      <c r="Q19" s="49">
        <f>'General'!Q28</f>
        <v/>
      </c>
      <c r="R19" s="49">
        <f>'General'!R28</f>
        <v/>
      </c>
      <c r="S19" s="49">
        <f>'General'!S28</f>
        <v/>
      </c>
      <c r="T19" s="42">
        <f>IF(COUNTIF($F19:S19,"=*")&gt;0,IF($C19="K","-"," - "),IF(COUNTIF($F19:S19,"&lt;4")&gt;0,IF(C19="K","-"," - "),(IFERROR(AVERAGE($F19:S19),"Waiting"))))</f>
        <v/>
      </c>
      <c r="U19" s="22" t="n"/>
      <c r="V19" s="39" t="n"/>
    </row>
    <row r="20" ht="15" customFormat="1" customHeight="1" s="11">
      <c r="A20" s="40" t="n"/>
      <c r="B20" s="12" t="n"/>
      <c r="C20" s="47">
        <f>'General'!C29</f>
        <v/>
      </c>
      <c r="D20" s="47" t="n">
        <v>11</v>
      </c>
      <c r="E20" s="48">
        <f>'General'!E29</f>
        <v/>
      </c>
      <c r="F20" s="49">
        <f>'General'!F29</f>
        <v/>
      </c>
      <c r="G20" s="49">
        <f>'General'!G29</f>
        <v/>
      </c>
      <c r="H20" s="49">
        <f>'General'!H29</f>
        <v/>
      </c>
      <c r="I20" s="49">
        <f>'General'!I29</f>
        <v/>
      </c>
      <c r="J20" s="49">
        <f>'General'!J29</f>
        <v/>
      </c>
      <c r="K20" s="49">
        <f>'General'!K29</f>
        <v/>
      </c>
      <c r="L20" s="49">
        <f>'General'!L29</f>
        <v/>
      </c>
      <c r="M20" s="49">
        <f>'General'!M29</f>
        <v/>
      </c>
      <c r="N20" s="49">
        <f>'General'!N29</f>
        <v/>
      </c>
      <c r="O20" s="49">
        <f>'General'!O29</f>
        <v/>
      </c>
      <c r="P20" s="49">
        <f>'General'!P29</f>
        <v/>
      </c>
      <c r="Q20" s="49">
        <f>'General'!Q29</f>
        <v/>
      </c>
      <c r="R20" s="49">
        <f>'General'!R29</f>
        <v/>
      </c>
      <c r="S20" s="49">
        <f>'General'!S29</f>
        <v/>
      </c>
      <c r="T20" s="42">
        <f>IF(COUNTIF($F20:S20,"=*")&gt;0,IF($C20="K","-"," - "),IF(COUNTIF($F20:S20,"&lt;4")&gt;0,IF(C20="K","-"," - "),(IFERROR(AVERAGE($F20:S20),"Waiting"))))</f>
        <v/>
      </c>
      <c r="U20" s="22" t="n"/>
      <c r="V20" s="39" t="n"/>
    </row>
    <row r="21" ht="15" customFormat="1" customHeight="1" s="11">
      <c r="A21" s="40" t="n"/>
      <c r="B21" s="12" t="n"/>
      <c r="C21" s="47">
        <f>'General'!C30</f>
        <v/>
      </c>
      <c r="D21" s="47" t="n">
        <v>12</v>
      </c>
      <c r="E21" s="48">
        <f>'General'!E30</f>
        <v/>
      </c>
      <c r="F21" s="49">
        <f>'General'!F30</f>
        <v/>
      </c>
      <c r="G21" s="49">
        <f>'General'!G30</f>
        <v/>
      </c>
      <c r="H21" s="49">
        <f>'General'!H30</f>
        <v/>
      </c>
      <c r="I21" s="49">
        <f>'General'!I30</f>
        <v/>
      </c>
      <c r="J21" s="49">
        <f>'General'!J30</f>
        <v/>
      </c>
      <c r="K21" s="49">
        <f>'General'!K30</f>
        <v/>
      </c>
      <c r="L21" s="49">
        <f>'General'!L30</f>
        <v/>
      </c>
      <c r="M21" s="49">
        <f>'General'!M30</f>
        <v/>
      </c>
      <c r="N21" s="49">
        <f>'General'!N30</f>
        <v/>
      </c>
      <c r="O21" s="49">
        <f>'General'!O30</f>
        <v/>
      </c>
      <c r="P21" s="49">
        <f>'General'!P30</f>
        <v/>
      </c>
      <c r="Q21" s="49">
        <f>'General'!Q30</f>
        <v/>
      </c>
      <c r="R21" s="49">
        <f>'General'!R30</f>
        <v/>
      </c>
      <c r="S21" s="49">
        <f>'General'!S30</f>
        <v/>
      </c>
      <c r="T21" s="42">
        <f>IF(COUNTIF($F21:S21,"=*")&gt;0,IF($C21="K","-"," - "),IF(COUNTIF($F21:S21,"&lt;4")&gt;0,IF(C21="K","-"," - "),(IFERROR(AVERAGE($F21:S21),"Waiting"))))</f>
        <v/>
      </c>
      <c r="U21" s="22" t="n"/>
      <c r="V21" s="39" t="n"/>
    </row>
    <row r="22" ht="15" customFormat="1" customHeight="1" s="11">
      <c r="A22" s="40" t="n"/>
      <c r="B22" s="12" t="n"/>
      <c r="C22" s="47">
        <f>'General'!C33</f>
        <v/>
      </c>
      <c r="D22" s="47" t="n">
        <v>13</v>
      </c>
      <c r="E22" s="48">
        <f>'General'!E33</f>
        <v/>
      </c>
      <c r="F22" s="49">
        <f>'General'!F33</f>
        <v/>
      </c>
      <c r="G22" s="49">
        <f>'General'!G33</f>
        <v/>
      </c>
      <c r="H22" s="49">
        <f>'General'!H33</f>
        <v/>
      </c>
      <c r="I22" s="49">
        <f>'General'!I33</f>
        <v/>
      </c>
      <c r="J22" s="49">
        <f>'General'!J33</f>
        <v/>
      </c>
      <c r="K22" s="49">
        <f>'General'!K33</f>
        <v/>
      </c>
      <c r="L22" s="49">
        <f>'General'!L33</f>
        <v/>
      </c>
      <c r="M22" s="49">
        <f>'General'!M33</f>
        <v/>
      </c>
      <c r="N22" s="49">
        <f>'General'!N33</f>
        <v/>
      </c>
      <c r="O22" s="49">
        <f>'General'!O33</f>
        <v/>
      </c>
      <c r="P22" s="49">
        <f>'General'!P33</f>
        <v/>
      </c>
      <c r="Q22" s="49">
        <f>'General'!Q33</f>
        <v/>
      </c>
      <c r="R22" s="49">
        <f>'General'!R33</f>
        <v/>
      </c>
      <c r="S22" s="49">
        <f>'General'!S33</f>
        <v/>
      </c>
      <c r="T22" s="42">
        <f>IF(COUNTIF($F22:S22,"=*")&gt;0,IF($C22="K","-"," - "),IF(COUNTIF($F22:S22,"&lt;4")&gt;0,IF(C22="K","-"," - "),(IFERROR(AVERAGE($F22:S22),"Waiting"))))</f>
        <v/>
      </c>
      <c r="U22" s="22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IF(SUM(F$10:F22)=0,IF(COUNTA(F$10:F22)=0,"Waiting",0),SUM(F$10:F22)/$D22)</f>
        <v/>
      </c>
      <c r="G23" s="8">
        <f>IF(SUM(G$10:G22)=0,IF(COUNTA(G$10:G22)=0,"Waiting",0),SUM(G$10:G22)/$D22)</f>
        <v/>
      </c>
      <c r="H23" s="8">
        <f>IF(SUM(H$10:H22)=0,IF(COUNTA(H$10:H22)=0,"Waiting",0),SUM(H$10:H22)/$D22)</f>
        <v/>
      </c>
      <c r="I23" s="8">
        <f>IF(SUM(I$10:I22)=0,IF(COUNTA(I$10:I22)=0,"Waiting",0),SUM(I$10:I22)/$D22)</f>
        <v/>
      </c>
      <c r="J23" s="8">
        <f>IF(SUM(J$10:J22)=0,IF(COUNTA(J$10:J22)=0,"Waiting",0),SUM(J$10:J22)/$D22)</f>
        <v/>
      </c>
      <c r="K23" s="8">
        <f>IF(SUM(K$10:K22)=0,IF(COUNTA(K$10:K22)=0,"Waiting",0),SUM(K$10:K22)/$D22)</f>
        <v/>
      </c>
      <c r="L23" s="8">
        <f>IF(SUM(L$10:L22)=0,IF(COUNTA(L$10:L22)=0,"Waiting",0),SUM(L$10:L22)/$D22)</f>
        <v/>
      </c>
      <c r="M23" s="8">
        <f>IF(SUM(M$10:M22)=0,IF(COUNTA(M$10:M22)=0,"Waiting",0),SUM(M$10:M22)/$D22)</f>
        <v/>
      </c>
      <c r="N23" s="8">
        <f>IF(SUM(N$10:N22)=0,IF(COUNTA(N$10:N22)=0,"Waiting",0),SUM(N$10:N22)/$D22)</f>
        <v/>
      </c>
      <c r="O23" s="8">
        <f>IF(SUM(O$10:O22)=0,IF(COUNTA(O$10:O22)=0,"Waiting",0),SUM(O$10:O22)/$D22)</f>
        <v/>
      </c>
      <c r="P23" s="8">
        <f>IF(SUM(P$10:P22)=0,IF(COUNTA(P$10:P22)=0,"Waiting",0),SUM(P$10:P22)/$D22)</f>
        <v/>
      </c>
      <c r="Q23" s="8">
        <f>IF(SUM(Q$10:Q22)=0,IF(COUNTA(Q$10:Q22)=0,"Waiting",0),SUM(Q$10:Q22)/$D22)</f>
        <v/>
      </c>
      <c r="R23" s="8">
        <f>IF(SUM(R$10:R22)=0,IF(COUNTA(R$10:R22)=0,"Waiting",0),SUM(R$10:R22)/$D22)</f>
        <v/>
      </c>
      <c r="S23" s="8">
        <f>IF(SUM(S$10:S22)=0,IF(COUNTA(S$10:S22)=0,"Waiting",0),SUM(S$10:S22)/$D22)</f>
        <v/>
      </c>
      <c r="T23" s="9">
        <f>IFERROR(AVERAGE($F23:S23),"Waiting")</f>
        <v/>
      </c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IF(SUM(F$10:F22)=0,IF(COUNTA(F$10:F22)=0,"Waiting",0),IF(COUNTIF(F$10:F22,"&gt;=4")=0,0,COUNTIF(F$10:F22,"&gt;=4")/$D22*100))</f>
        <v/>
      </c>
      <c r="G24" s="43">
        <f>IF(SUM(G$10:G22)=0,IF(COUNTA(G$10:G22)=0,"Waiting",0),IF(COUNTIF(G$10:G22,"&gt;=4")=0,0,COUNTIF(G$10:G22,"&gt;=4")/$D22*100))</f>
        <v/>
      </c>
      <c r="H24" s="43">
        <f>IF(SUM(H$10:H22)=0,IF(COUNTA(H$10:H22)=0,"Waiting",0),IF(COUNTIF(H$10:H22,"&gt;=4")=0,0,COUNTIF(H$10:H22,"&gt;=4")/$D22*100))</f>
        <v/>
      </c>
      <c r="I24" s="43">
        <f>IF(SUM(I$10:I22)=0,IF(COUNTA(I$10:I22)=0,"Waiting",0),IF(COUNTIF(I$10:I22,"&gt;=4")=0,0,COUNTIF(I$10:I22,"&gt;=4")/$D22*100))</f>
        <v/>
      </c>
      <c r="J24" s="43">
        <f>IF(SUM(J$10:J22)=0,IF(COUNTA(J$10:J22)=0,"Waiting",0),IF(COUNTIF(J$10:J22,"&gt;=4")=0,0,COUNTIF(J$10:J22,"&gt;=4")/$D22*100))</f>
        <v/>
      </c>
      <c r="K24" s="43">
        <f>IF(SUM(K$10:K22)=0,IF(COUNTA(K$10:K22)=0,"Waiting",0),IF(COUNTIF(K$10:K22,"&gt;=4")=0,0,COUNTIF(K$10:K22,"&gt;=4")/$D22*100))</f>
        <v/>
      </c>
      <c r="L24" s="43">
        <f>IF(SUM(L$10:L22)=0,IF(COUNTA(L$10:L22)=0,"Waiting",0),IF(COUNTIF(L$10:L22,"&gt;=4")=0,0,COUNTIF(L$10:L22,"&gt;=4")/$D22*100))</f>
        <v/>
      </c>
      <c r="M24" s="43">
        <f>IF(SUM(M$10:M22)=0,IF(COUNTA(M$10:M22)=0,"Waiting",0),IF(COUNTIF(M$10:M22,"&gt;=4")=0,0,COUNTIF(M$10:M22,"&gt;=4")/$D22*100))</f>
        <v/>
      </c>
      <c r="N24" s="43">
        <f>IF(SUM(N$10:N22)=0,IF(COUNTA(N$10:N22)=0,"Waiting",0),IF(COUNTIF(N$10:N22,"&gt;=4")=0,0,COUNTIF(N$10:N22,"&gt;=4")/$D22*100))</f>
        <v/>
      </c>
      <c r="O24" s="43">
        <f>IF(SUM(O$10:O22)=0,IF(COUNTA(O$10:O22)=0,"Waiting",0),IF(COUNTIF(O$10:O22,"&gt;=4")=0,0,COUNTIF(O$10:O22,"&gt;=4")/$D22*100))</f>
        <v/>
      </c>
      <c r="P24" s="43">
        <f>IF(SUM(P$10:P22)=0,IF(COUNTA(P$10:P22)=0,"Waiting",0),IF(COUNTIF(P$10:P22,"&gt;=4")=0,0,COUNTIF(P$10:P22,"&gt;=4")/$D22*100))</f>
        <v/>
      </c>
      <c r="Q24" s="43">
        <f>IF(SUM(Q$10:Q22)=0,IF(COUNTA(Q$10:Q22)=0,"Waiting",0),IF(COUNTIF(Q$10:Q22,"&gt;=4")=0,0,COUNTIF(Q$10:Q22,"&gt;=4")/$D22*100))</f>
        <v/>
      </c>
      <c r="R24" s="43">
        <f>IF(SUM(R$10:R22)=0,IF(COUNTA(R$10:R22)=0,"Waiting",0),IF(COUNTIF(R$10:R22,"&gt;=4")=0,0,COUNTIF(R$10:R22,"&gt;=4")/$D22*100))</f>
        <v/>
      </c>
      <c r="S24" s="43">
        <f>IF(SUM(S$10:S22)=0,IF(COUNTA(S$10:S22)=0,"Waiting",0),IF(COUNTIF(S$10:S22,"&gt;=4")=0,0,COUNTIF(S$10:S22,"&gt;=4")/$D22*100))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IF(SUM(F$10:F22)=0,IF(COUNTA(F$10:F22)=0,"Waiting",0),IF(COUNTIF(F$10:F22,"&gt;=7")=0,0,COUNTIF(F$10:F22,"&gt;=7")/$D22*100))</f>
        <v/>
      </c>
      <c r="G25" s="43">
        <f>IF(SUM(G$10:G22)=0,IF(COUNTA(G$10:G22)=0,"Waiting",0),IF(COUNTIF(G$10:G22,"&gt;=7")=0,0,COUNTIF(G$10:G22,"&gt;=7")/$D22*100))</f>
        <v/>
      </c>
      <c r="H25" s="43">
        <f>IF(SUM(H$10:H22)=0,IF(COUNTA(H$10:H22)=0,"Waiting",0),IF(COUNTIF(H$10:H22,"&gt;=7")=0,0,COUNTIF(H$10:H22,"&gt;=7")/$D22*100))</f>
        <v/>
      </c>
      <c r="I25" s="43">
        <f>IF(SUM(I$10:I22)=0,IF(COUNTA(I$10:I22)=0,"Waiting",0),IF(COUNTIF(I$10:I22,"&gt;=7")=0,0,COUNTIF(I$10:I22,"&gt;=7")/$D22*100))</f>
        <v/>
      </c>
      <c r="J25" s="43">
        <f>IF(SUM(J$10:J22)=0,IF(COUNTA(J$10:J22)=0,"Waiting",0),IF(COUNTIF(J$10:J22,"&gt;=7")=0,0,COUNTIF(J$10:J22,"&gt;=7")/$D22*100))</f>
        <v/>
      </c>
      <c r="K25" s="43">
        <f>IF(SUM(K$10:K22)=0,IF(COUNTA(K$10:K22)=0,"Waiting",0),IF(COUNTIF(K$10:K22,"&gt;=7")=0,0,COUNTIF(K$10:K22,"&gt;=7")/$D22*100))</f>
        <v/>
      </c>
      <c r="L25" s="43">
        <f>IF(SUM(L$10:L22)=0,IF(COUNTA(L$10:L22)=0,"Waiting",0),IF(COUNTIF(L$10:L22,"&gt;=7")=0,0,COUNTIF(L$10:L22,"&gt;=7")/$D22*100))</f>
        <v/>
      </c>
      <c r="M25" s="43">
        <f>IF(SUM(M$10:M22)=0,IF(COUNTA(M$10:M22)=0,"Waiting",0),IF(COUNTIF(M$10:M22,"&gt;=7")=0,0,COUNTIF(M$10:M22,"&gt;=7")/$D22*100))</f>
        <v/>
      </c>
      <c r="N25" s="43">
        <f>IF(SUM(N$10:N22)=0,IF(COUNTA(N$10:N22)=0,"Waiting",0),IF(COUNTIF(N$10:N22,"&gt;=7")=0,0,COUNTIF(N$10:N22,"&gt;=7")/$D22*100))</f>
        <v/>
      </c>
      <c r="O25" s="43">
        <f>IF(SUM(O$10:O22)=0,IF(COUNTA(O$10:O22)=0,"Waiting",0),IF(COUNTIF(O$10:O22,"&gt;=7")=0,0,COUNTIF(O$10:O22,"&gt;=7")/$D22*100))</f>
        <v/>
      </c>
      <c r="P25" s="43">
        <f>IF(SUM(P$10:P22)=0,IF(COUNTA(P$10:P22)=0,"Waiting",0),IF(COUNTIF(P$10:P22,"&gt;=7")=0,0,COUNTIF(P$10:P22,"&gt;=7")/$D22*100))</f>
        <v/>
      </c>
      <c r="Q25" s="43">
        <f>IF(SUM(Q$10:Q22)=0,IF(COUNTA(Q$10:Q22)=0,"Waiting",0),IF(COUNTIF(Q$10:Q22,"&gt;=7")=0,0,COUNTIF(Q$10:Q22,"&gt;=7")/$D22*100))</f>
        <v/>
      </c>
      <c r="R25" s="43">
        <f>IF(SUM(R$10:R22)=0,IF(COUNTA(R$10:R22)=0,"Waiting",0),IF(COUNTIF(R$10:R22,"&gt;=7")=0,0,COUNTIF(R$10:R22,"&gt;=7")/$D22*100))</f>
        <v/>
      </c>
      <c r="S25" s="43">
        <f>IF(SUM(S$10:S22)=0,IF(COUNTA(S$10:S22)=0,"Waiting",0),IF(COUNTIF(S$10:S22,"&gt;=7")=0,0,COUNTIF(S$10:S22,"&gt;=7")/$D22*100))</f>
        <v/>
      </c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IFERROR(AVERAGE(F24:S24),"Waiting")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IFERROR(AVERAGE($F25:S25),"Waiting")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IF(COUNTIF($C$10:$C22,"=B")=0,IF(COUNTIF($C$10:$C22,"=K")=0,"Waiting",0),COUNTIF($C$10:$C22,"=B"))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52" t="n"/>
      <c r="R28" s="52" t="n"/>
      <c r="S28" s="52" t="n"/>
      <c r="T28" s="52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IF(COUNTIF($C$10:$C22,"=K")=0,IF(COUNTIF($C$10:$C22,"=B")=0,"Waiting",0),COUNTIF($C$10:$C22,"=K"))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6" t="n"/>
      <c r="M29" s="6" t="n"/>
      <c r="N29" s="6" t="n"/>
      <c r="O29" s="56" t="n"/>
      <c r="P29" s="54">
        <f>'General'!P47</f>
        <v/>
      </c>
      <c r="Q29" s="54" t="n"/>
      <c r="R29" s="54" t="n"/>
      <c r="S29" s="54" t="n"/>
      <c r="T29" s="54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6" t="n"/>
      <c r="M30" s="6" t="n"/>
      <c r="N30" s="6" t="n"/>
      <c r="O30" s="56" t="n"/>
      <c r="P30" s="52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IF(F28="Waiting","Waiting",IF(F28-COUNTIF($T$10:$T22," - ")&lt;ROUNDDOWN(F28*0.4,0),F28-COUNTIF($T$10:$T22,"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6" t="n"/>
      <c r="M31" s="6" t="n"/>
      <c r="N31" s="6" t="n"/>
      <c r="O31" s="56" t="n"/>
      <c r="P31" s="54" t="inlineStr">
        <is>
          <t>Margarita BRITIKOVA</t>
        </is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  <c r="V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««Готельно-ресторанна справа та кейтеринг»»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'General'!F9</f>
        <v/>
      </c>
      <c r="G9" s="13">
        <f>'General'!G9</f>
        <v/>
      </c>
      <c r="H9" s="13">
        <f>'General'!H9</f>
        <v/>
      </c>
      <c r="I9" s="13">
        <f>'General'!I9</f>
        <v/>
      </c>
      <c r="J9" s="13">
        <f>'General'!J9</f>
        <v/>
      </c>
      <c r="K9" s="13">
        <f>'General'!K9</f>
        <v/>
      </c>
      <c r="L9" s="13">
        <f>'General'!L9</f>
        <v/>
      </c>
      <c r="M9" s="13">
        <f>'General'!M9</f>
        <v/>
      </c>
      <c r="N9" s="13">
        <f>'General'!N9</f>
        <v/>
      </c>
      <c r="O9" s="13">
        <f>'General'!O9</f>
        <v/>
      </c>
      <c r="P9" s="13">
        <f>'General'!P9</f>
        <v/>
      </c>
      <c r="Q9" s="13">
        <f>'General'!Q9</f>
        <v/>
      </c>
      <c r="R9" s="13">
        <f>'General'!R9</f>
        <v/>
      </c>
      <c r="S9" s="13">
        <f>'General'!S9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'General'!C24</f>
        <v/>
      </c>
      <c r="D10" s="47" t="n">
        <v>1</v>
      </c>
      <c r="E10" s="48">
        <f>'General'!E24</f>
        <v/>
      </c>
      <c r="F10" s="49">
        <f>'General'!F24</f>
        <v/>
      </c>
      <c r="G10" s="49">
        <f>'General'!G24</f>
        <v/>
      </c>
      <c r="H10" s="49">
        <f>'General'!H24</f>
        <v/>
      </c>
      <c r="I10" s="49">
        <f>'General'!I24</f>
        <v/>
      </c>
      <c r="J10" s="49">
        <f>'General'!J24</f>
        <v/>
      </c>
      <c r="K10" s="49">
        <f>'General'!K24</f>
        <v/>
      </c>
      <c r="L10" s="49">
        <f>'General'!L24</f>
        <v/>
      </c>
      <c r="M10" s="49">
        <f>'General'!M24</f>
        <v/>
      </c>
      <c r="N10" s="49">
        <f>'General'!N24</f>
        <v/>
      </c>
      <c r="O10" s="49">
        <f>'General'!O24</f>
        <v/>
      </c>
      <c r="P10" s="49">
        <f>'General'!P24</f>
        <v/>
      </c>
      <c r="Q10" s="49">
        <f>'General'!Q24</f>
        <v/>
      </c>
      <c r="R10" s="49">
        <f>'General'!R24</f>
        <v/>
      </c>
      <c r="S10" s="49">
        <f>'General'!S24</f>
        <v/>
      </c>
      <c r="T10" s="42">
        <f>IF(COUNTIF($F10:S10,"=*")&gt;0,IF($C10="K","-"," - "),IF(COUNTIF($F10:S10,"&lt;4")&gt;0,IF(C10="K","-","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>
        <f>'General'!C37</f>
        <v/>
      </c>
      <c r="D11" s="47" t="n">
        <v>2</v>
      </c>
      <c r="E11" s="48">
        <f>'General'!E37</f>
        <v/>
      </c>
      <c r="F11" s="49">
        <f>'General'!F37</f>
        <v/>
      </c>
      <c r="G11" s="49">
        <f>'General'!G37</f>
        <v/>
      </c>
      <c r="H11" s="49">
        <f>'General'!H37</f>
        <v/>
      </c>
      <c r="I11" s="49">
        <f>'General'!I37</f>
        <v/>
      </c>
      <c r="J11" s="49">
        <f>'General'!J37</f>
        <v/>
      </c>
      <c r="K11" s="49">
        <f>'General'!K37</f>
        <v/>
      </c>
      <c r="L11" s="49">
        <f>'General'!L37</f>
        <v/>
      </c>
      <c r="M11" s="49">
        <f>'General'!M37</f>
        <v/>
      </c>
      <c r="N11" s="49">
        <f>'General'!N37</f>
        <v/>
      </c>
      <c r="O11" s="49">
        <f>'General'!O37</f>
        <v/>
      </c>
      <c r="P11" s="49">
        <f>'General'!P37</f>
        <v/>
      </c>
      <c r="Q11" s="49">
        <f>'General'!Q37</f>
        <v/>
      </c>
      <c r="R11" s="49">
        <f>'General'!R37</f>
        <v/>
      </c>
      <c r="S11" s="49">
        <f>'General'!S37</f>
        <v/>
      </c>
      <c r="T11" s="42">
        <f>IF(COUNTIF($F11:S11,"=*")&gt;0,IF($C11="K","-"," - "),IF(COUNTIF($F11:S11,"&lt;4")&gt;0,IF(C11="K","-","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>
        <f>'General'!C40</f>
        <v/>
      </c>
      <c r="D12" s="47" t="n">
        <v>3</v>
      </c>
      <c r="E12" s="48">
        <f>'General'!E40</f>
        <v/>
      </c>
      <c r="F12" s="49">
        <f>'General'!F40</f>
        <v/>
      </c>
      <c r="G12" s="49">
        <f>'General'!G40</f>
        <v/>
      </c>
      <c r="H12" s="49">
        <f>'General'!H40</f>
        <v/>
      </c>
      <c r="I12" s="49">
        <f>'General'!I40</f>
        <v/>
      </c>
      <c r="J12" s="49">
        <f>'General'!J40</f>
        <v/>
      </c>
      <c r="K12" s="49">
        <f>'General'!K40</f>
        <v/>
      </c>
      <c r="L12" s="49">
        <f>'General'!L40</f>
        <v/>
      </c>
      <c r="M12" s="49">
        <f>'General'!M40</f>
        <v/>
      </c>
      <c r="N12" s="49">
        <f>'General'!N40</f>
        <v/>
      </c>
      <c r="O12" s="49">
        <f>'General'!O40</f>
        <v/>
      </c>
      <c r="P12" s="49">
        <f>'General'!P40</f>
        <v/>
      </c>
      <c r="Q12" s="49">
        <f>'General'!Q40</f>
        <v/>
      </c>
      <c r="R12" s="49">
        <f>'General'!R40</f>
        <v/>
      </c>
      <c r="S12" s="49">
        <f>'General'!S40</f>
        <v/>
      </c>
      <c r="T12" s="42">
        <f>IF(COUNTIF($F12:S12,"=*")&gt;0,IF($C12="K","-"," - "),IF(COUNTIF($F12:S12,"&lt;4")&gt;0,IF(C12="K","-","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>
        <f>'General'!C10</f>
        <v/>
      </c>
      <c r="D13" s="47" t="n">
        <v>4</v>
      </c>
      <c r="E13" s="48">
        <f>'General'!E10</f>
        <v/>
      </c>
      <c r="F13" s="49">
        <f>'General'!F10</f>
        <v/>
      </c>
      <c r="G13" s="49">
        <f>'General'!G10</f>
        <v/>
      </c>
      <c r="H13" s="49">
        <f>'General'!H10</f>
        <v/>
      </c>
      <c r="I13" s="49">
        <f>'General'!I10</f>
        <v/>
      </c>
      <c r="J13" s="49">
        <f>'General'!J10</f>
        <v/>
      </c>
      <c r="K13" s="49">
        <f>'General'!K10</f>
        <v/>
      </c>
      <c r="L13" s="49">
        <f>'General'!L10</f>
        <v/>
      </c>
      <c r="M13" s="49">
        <f>'General'!M10</f>
        <v/>
      </c>
      <c r="N13" s="49">
        <f>'General'!N10</f>
        <v/>
      </c>
      <c r="O13" s="49">
        <f>'General'!O10</f>
        <v/>
      </c>
      <c r="P13" s="49">
        <f>'General'!P10</f>
        <v/>
      </c>
      <c r="Q13" s="49">
        <f>'General'!Q10</f>
        <v/>
      </c>
      <c r="R13" s="49">
        <f>'General'!R10</f>
        <v/>
      </c>
      <c r="S13" s="49">
        <f>'General'!S10</f>
        <v/>
      </c>
      <c r="T13" s="42">
        <f>IF(COUNTIF($F13:S13,"=*")&gt;0,IF($C13="K","-"," - "),IF(COUNTIF($F13:S13,"&lt;4")&gt;0,IF(C13="K","-","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>
        <f>'General'!C11</f>
        <v/>
      </c>
      <c r="D14" s="47" t="n">
        <v>5</v>
      </c>
      <c r="E14" s="48">
        <f>'General'!E11</f>
        <v/>
      </c>
      <c r="F14" s="49">
        <f>'General'!F11</f>
        <v/>
      </c>
      <c r="G14" s="49">
        <f>'General'!G11</f>
        <v/>
      </c>
      <c r="H14" s="49">
        <f>'General'!H11</f>
        <v/>
      </c>
      <c r="I14" s="49">
        <f>'General'!I11</f>
        <v/>
      </c>
      <c r="J14" s="49">
        <f>'General'!J11</f>
        <v/>
      </c>
      <c r="K14" s="49">
        <f>'General'!K11</f>
        <v/>
      </c>
      <c r="L14" s="49">
        <f>'General'!L11</f>
        <v/>
      </c>
      <c r="M14" s="49">
        <f>'General'!M11</f>
        <v/>
      </c>
      <c r="N14" s="49">
        <f>'General'!N11</f>
        <v/>
      </c>
      <c r="O14" s="49">
        <f>'General'!O11</f>
        <v/>
      </c>
      <c r="P14" s="49">
        <f>'General'!P11</f>
        <v/>
      </c>
      <c r="Q14" s="49">
        <f>'General'!Q11</f>
        <v/>
      </c>
      <c r="R14" s="49">
        <f>'General'!R11</f>
        <v/>
      </c>
      <c r="S14" s="49">
        <f>'General'!S11</f>
        <v/>
      </c>
      <c r="T14" s="42">
        <f>IF(COUNTIF($F14:S14,"=*")&gt;0,IF($C14="K","-"," - "),IF(COUNTIF($F14:S14,"&lt;4")&gt;0,IF(C14="K","-","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47">
        <f>'General'!C12</f>
        <v/>
      </c>
      <c r="D15" s="47" t="n">
        <v>6</v>
      </c>
      <c r="E15" s="48">
        <f>'General'!E12</f>
        <v/>
      </c>
      <c r="F15" s="49">
        <f>'General'!F12</f>
        <v/>
      </c>
      <c r="G15" s="49">
        <f>'General'!G12</f>
        <v/>
      </c>
      <c r="H15" s="49">
        <f>'General'!H12</f>
        <v/>
      </c>
      <c r="I15" s="49">
        <f>'General'!I12</f>
        <v/>
      </c>
      <c r="J15" s="49">
        <f>'General'!J12</f>
        <v/>
      </c>
      <c r="K15" s="49">
        <f>'General'!K12</f>
        <v/>
      </c>
      <c r="L15" s="49">
        <f>'General'!L12</f>
        <v/>
      </c>
      <c r="M15" s="49">
        <f>'General'!M12</f>
        <v/>
      </c>
      <c r="N15" s="49">
        <f>'General'!N12</f>
        <v/>
      </c>
      <c r="O15" s="49">
        <f>'General'!O12</f>
        <v/>
      </c>
      <c r="P15" s="49">
        <f>'General'!P12</f>
        <v/>
      </c>
      <c r="Q15" s="49">
        <f>'General'!Q12</f>
        <v/>
      </c>
      <c r="R15" s="49">
        <f>'General'!R12</f>
        <v/>
      </c>
      <c r="S15" s="49">
        <f>'General'!S12</f>
        <v/>
      </c>
      <c r="T15" s="42">
        <f>IF(COUNTIF($F15:S15,"=*")&gt;0,IF($C15="K","-"," - "),IF(COUNTIF($F15:S15,"&lt;4")&gt;0,IF(C15="K","-"," - "),(IFERROR(AVERAGE($F15:S15),"Waiting"))))</f>
        <v/>
      </c>
      <c r="U15" s="22" t="n"/>
      <c r="V15" s="39" t="n"/>
    </row>
    <row r="16" ht="15" customFormat="1" customHeight="1" s="11">
      <c r="A16" s="40" t="n"/>
      <c r="B16" s="12" t="n"/>
      <c r="C16" s="47">
        <f>'General'!C14</f>
        <v/>
      </c>
      <c r="D16" s="47" t="n">
        <v>7</v>
      </c>
      <c r="E16" s="48">
        <f>'General'!E14</f>
        <v/>
      </c>
      <c r="F16" s="49">
        <f>'General'!F14</f>
        <v/>
      </c>
      <c r="G16" s="49">
        <f>'General'!G14</f>
        <v/>
      </c>
      <c r="H16" s="49">
        <f>'General'!H14</f>
        <v/>
      </c>
      <c r="I16" s="49">
        <f>'General'!I14</f>
        <v/>
      </c>
      <c r="J16" s="49">
        <f>'General'!J14</f>
        <v/>
      </c>
      <c r="K16" s="49">
        <f>'General'!K14</f>
        <v/>
      </c>
      <c r="L16" s="49">
        <f>'General'!L14</f>
        <v/>
      </c>
      <c r="M16" s="49">
        <f>'General'!M14</f>
        <v/>
      </c>
      <c r="N16" s="49">
        <f>'General'!N14</f>
        <v/>
      </c>
      <c r="O16" s="49">
        <f>'General'!O14</f>
        <v/>
      </c>
      <c r="P16" s="49">
        <f>'General'!P14</f>
        <v/>
      </c>
      <c r="Q16" s="49">
        <f>'General'!Q14</f>
        <v/>
      </c>
      <c r="R16" s="49">
        <f>'General'!R14</f>
        <v/>
      </c>
      <c r="S16" s="49">
        <f>'General'!S14</f>
        <v/>
      </c>
      <c r="T16" s="42">
        <f>IF(COUNTIF($F16:S16,"=*")&gt;0,IF($C16="K","-"," - "),IF(COUNTIF($F16:S16,"&lt;4")&gt;0,IF(C16="K","-"," - "),(IFERROR(AVERAGE($F16:S16),"Waiting"))))</f>
        <v/>
      </c>
      <c r="U16" s="22" t="n"/>
      <c r="V16" s="39" t="n"/>
    </row>
    <row r="17" ht="15" customFormat="1" customHeight="1" s="11">
      <c r="A17" s="40" t="n"/>
      <c r="B17" s="12" t="n"/>
      <c r="C17" s="47">
        <f>'General'!C21</f>
        <v/>
      </c>
      <c r="D17" s="47" t="n">
        <v>8</v>
      </c>
      <c r="E17" s="48">
        <f>'General'!E21</f>
        <v/>
      </c>
      <c r="F17" s="49">
        <f>'General'!F21</f>
        <v/>
      </c>
      <c r="G17" s="49">
        <f>'General'!G21</f>
        <v/>
      </c>
      <c r="H17" s="49">
        <f>'General'!H21</f>
        <v/>
      </c>
      <c r="I17" s="49">
        <f>'General'!I21</f>
        <v/>
      </c>
      <c r="J17" s="49">
        <f>'General'!J21</f>
        <v/>
      </c>
      <c r="K17" s="49">
        <f>'General'!K21</f>
        <v/>
      </c>
      <c r="L17" s="49">
        <f>'General'!L21</f>
        <v/>
      </c>
      <c r="M17" s="49">
        <f>'General'!M21</f>
        <v/>
      </c>
      <c r="N17" s="49">
        <f>'General'!N21</f>
        <v/>
      </c>
      <c r="O17" s="49">
        <f>'General'!O21</f>
        <v/>
      </c>
      <c r="P17" s="49">
        <f>'General'!P21</f>
        <v/>
      </c>
      <c r="Q17" s="49">
        <f>'General'!Q21</f>
        <v/>
      </c>
      <c r="R17" s="49">
        <f>'General'!R21</f>
        <v/>
      </c>
      <c r="S17" s="49">
        <f>'General'!S21</f>
        <v/>
      </c>
      <c r="T17" s="42">
        <f>IF(COUNTIF($F17:S17,"=*")&gt;0,IF($C17="K","-"," - "),IF(COUNTIF($F17:S17,"&lt;4")&gt;0,IF(C17="K","-"," - "),(IFERROR(AVERAGE($F17:S17),"Waiting"))))</f>
        <v/>
      </c>
      <c r="U17" s="22" t="n"/>
      <c r="V17" s="39" t="n"/>
    </row>
    <row r="18" ht="15" customFormat="1" customHeight="1" s="11">
      <c r="A18" s="40" t="n"/>
      <c r="B18" s="12" t="n"/>
      <c r="C18" s="47">
        <f>'General'!C22</f>
        <v/>
      </c>
      <c r="D18" s="47" t="n">
        <v>9</v>
      </c>
      <c r="E18" s="48">
        <f>'General'!E22</f>
        <v/>
      </c>
      <c r="F18" s="49">
        <f>'General'!F22</f>
        <v/>
      </c>
      <c r="G18" s="49">
        <f>'General'!G22</f>
        <v/>
      </c>
      <c r="H18" s="49">
        <f>'General'!H22</f>
        <v/>
      </c>
      <c r="I18" s="49">
        <f>'General'!I22</f>
        <v/>
      </c>
      <c r="J18" s="49">
        <f>'General'!J22</f>
        <v/>
      </c>
      <c r="K18" s="49">
        <f>'General'!K22</f>
        <v/>
      </c>
      <c r="L18" s="49">
        <f>'General'!L22</f>
        <v/>
      </c>
      <c r="M18" s="49">
        <f>'General'!M22</f>
        <v/>
      </c>
      <c r="N18" s="49">
        <f>'General'!N22</f>
        <v/>
      </c>
      <c r="O18" s="49">
        <f>'General'!O22</f>
        <v/>
      </c>
      <c r="P18" s="49">
        <f>'General'!P22</f>
        <v/>
      </c>
      <c r="Q18" s="49">
        <f>'General'!Q22</f>
        <v/>
      </c>
      <c r="R18" s="49">
        <f>'General'!R22</f>
        <v/>
      </c>
      <c r="S18" s="49">
        <f>'General'!S22</f>
        <v/>
      </c>
      <c r="T18" s="42">
        <f>IF(COUNTIF($F18:S18,"=*")&gt;0,IF($C18="K","-"," - "),IF(COUNTIF($F18:S18,"&lt;4")&gt;0,IF(C18="K","-"," - "),(IFERROR(AVERAGE($F18:S18),"Waiting"))))</f>
        <v/>
      </c>
      <c r="U18" s="22" t="n"/>
      <c r="V18" s="39" t="n"/>
    </row>
    <row r="19" ht="15" customFormat="1" customHeight="1" s="11">
      <c r="A19" s="40" t="n"/>
      <c r="B19" s="12" t="n"/>
      <c r="C19" s="47">
        <f>'General'!C31</f>
        <v/>
      </c>
      <c r="D19" s="47" t="n">
        <v>10</v>
      </c>
      <c r="E19" s="48">
        <f>'General'!E31</f>
        <v/>
      </c>
      <c r="F19" s="49">
        <f>'General'!F31</f>
        <v/>
      </c>
      <c r="G19" s="49">
        <f>'General'!G31</f>
        <v/>
      </c>
      <c r="H19" s="49">
        <f>'General'!H31</f>
        <v/>
      </c>
      <c r="I19" s="49">
        <f>'General'!I31</f>
        <v/>
      </c>
      <c r="J19" s="49">
        <f>'General'!J31</f>
        <v/>
      </c>
      <c r="K19" s="49">
        <f>'General'!K31</f>
        <v/>
      </c>
      <c r="L19" s="49">
        <f>'General'!L31</f>
        <v/>
      </c>
      <c r="M19" s="49">
        <f>'General'!M31</f>
        <v/>
      </c>
      <c r="N19" s="49">
        <f>'General'!N31</f>
        <v/>
      </c>
      <c r="O19" s="49">
        <f>'General'!O31</f>
        <v/>
      </c>
      <c r="P19" s="49">
        <f>'General'!P31</f>
        <v/>
      </c>
      <c r="Q19" s="49">
        <f>'General'!Q31</f>
        <v/>
      </c>
      <c r="R19" s="49">
        <f>'General'!R31</f>
        <v/>
      </c>
      <c r="S19" s="49">
        <f>'General'!S31</f>
        <v/>
      </c>
      <c r="T19" s="42">
        <f>IF(COUNTIF($F19:S19,"=*")&gt;0,IF($C19="K","-"," - "),IF(COUNTIF($F19:S19,"&lt;4")&gt;0,IF(C19="K","-"," - "),(IFERROR(AVERAGE($F19:S19),"Waiting"))))</f>
        <v/>
      </c>
      <c r="U19" s="22" t="n"/>
      <c r="V19" s="39" t="n"/>
    </row>
    <row r="20" ht="15" customFormat="1" customHeight="1" s="11">
      <c r="A20" s="40" t="n"/>
      <c r="B20" s="12" t="n"/>
      <c r="C20" s="47">
        <f>'General'!C32</f>
        <v/>
      </c>
      <c r="D20" s="47" t="n">
        <v>11</v>
      </c>
      <c r="E20" s="48">
        <f>'General'!E32</f>
        <v/>
      </c>
      <c r="F20" s="49">
        <f>'General'!F32</f>
        <v/>
      </c>
      <c r="G20" s="49">
        <f>'General'!G32</f>
        <v/>
      </c>
      <c r="H20" s="49">
        <f>'General'!H32</f>
        <v/>
      </c>
      <c r="I20" s="49">
        <f>'General'!I32</f>
        <v/>
      </c>
      <c r="J20" s="49">
        <f>'General'!J32</f>
        <v/>
      </c>
      <c r="K20" s="49">
        <f>'General'!K32</f>
        <v/>
      </c>
      <c r="L20" s="49">
        <f>'General'!L32</f>
        <v/>
      </c>
      <c r="M20" s="49">
        <f>'General'!M32</f>
        <v/>
      </c>
      <c r="N20" s="49">
        <f>'General'!N32</f>
        <v/>
      </c>
      <c r="O20" s="49">
        <f>'General'!O32</f>
        <v/>
      </c>
      <c r="P20" s="49">
        <f>'General'!P32</f>
        <v/>
      </c>
      <c r="Q20" s="49">
        <f>'General'!Q32</f>
        <v/>
      </c>
      <c r="R20" s="49">
        <f>'General'!R32</f>
        <v/>
      </c>
      <c r="S20" s="49">
        <f>'General'!S32</f>
        <v/>
      </c>
      <c r="T20" s="42">
        <f>IF(COUNTIF($F20:S20,"=*")&gt;0,IF($C20="K","-"," - "),IF(COUNTIF($F20:S20,"&lt;4")&gt;0,IF(C20="K","-"," - "),(IFERROR(AVERAGE($F20:S20),"Waiting"))))</f>
        <v/>
      </c>
      <c r="U20" s="22" t="n"/>
      <c r="V20" s="39" t="n"/>
    </row>
    <row r="21" ht="15" customFormat="1" customHeight="1" s="11">
      <c r="A21" s="40" t="n"/>
      <c r="B21" s="12" t="n"/>
      <c r="C21" s="47">
        <f>'General'!C36</f>
        <v/>
      </c>
      <c r="D21" s="47" t="n">
        <v>12</v>
      </c>
      <c r="E21" s="48">
        <f>'General'!E36</f>
        <v/>
      </c>
      <c r="F21" s="49">
        <f>'General'!F36</f>
        <v/>
      </c>
      <c r="G21" s="49">
        <f>'General'!G36</f>
        <v/>
      </c>
      <c r="H21" s="49">
        <f>'General'!H36</f>
        <v/>
      </c>
      <c r="I21" s="49">
        <f>'General'!I36</f>
        <v/>
      </c>
      <c r="J21" s="49">
        <f>'General'!J36</f>
        <v/>
      </c>
      <c r="K21" s="49">
        <f>'General'!K36</f>
        <v/>
      </c>
      <c r="L21" s="49">
        <f>'General'!L36</f>
        <v/>
      </c>
      <c r="M21" s="49">
        <f>'General'!M36</f>
        <v/>
      </c>
      <c r="N21" s="49">
        <f>'General'!N36</f>
        <v/>
      </c>
      <c r="O21" s="49">
        <f>'General'!O36</f>
        <v/>
      </c>
      <c r="P21" s="49">
        <f>'General'!P36</f>
        <v/>
      </c>
      <c r="Q21" s="49">
        <f>'General'!Q36</f>
        <v/>
      </c>
      <c r="R21" s="49">
        <f>'General'!R36</f>
        <v/>
      </c>
      <c r="S21" s="49">
        <f>'General'!S36</f>
        <v/>
      </c>
      <c r="T21" s="42">
        <f>IF(COUNTIF($F21:S21,"=*")&gt;0,IF($C21="K","-"," - "),IF(COUNTIF($F21:S21,"&lt;4")&gt;0,IF(C21="K","-"," - "),(IFERROR(AVERAGE($F21:S21),"Waiting"))))</f>
        <v/>
      </c>
      <c r="U21" s="22" t="n"/>
      <c r="V21" s="39" t="n"/>
    </row>
    <row r="22" ht="15" customFormat="1" customHeight="1" s="11">
      <c r="A22" s="40" t="n"/>
      <c r="B22" s="12" t="n"/>
      <c r="C22" s="47">
        <f>'General'!C38</f>
        <v/>
      </c>
      <c r="D22" s="47" t="n">
        <v>13</v>
      </c>
      <c r="E22" s="48">
        <f>'General'!E38</f>
        <v/>
      </c>
      <c r="F22" s="49">
        <f>'General'!F38</f>
        <v/>
      </c>
      <c r="G22" s="49">
        <f>'General'!G38</f>
        <v/>
      </c>
      <c r="H22" s="49">
        <f>'General'!H38</f>
        <v/>
      </c>
      <c r="I22" s="49">
        <f>'General'!I38</f>
        <v/>
      </c>
      <c r="J22" s="49">
        <f>'General'!J38</f>
        <v/>
      </c>
      <c r="K22" s="49">
        <f>'General'!K38</f>
        <v/>
      </c>
      <c r="L22" s="49">
        <f>'General'!L38</f>
        <v/>
      </c>
      <c r="M22" s="49">
        <f>'General'!M38</f>
        <v/>
      </c>
      <c r="N22" s="49">
        <f>'General'!N38</f>
        <v/>
      </c>
      <c r="O22" s="49">
        <f>'General'!O38</f>
        <v/>
      </c>
      <c r="P22" s="49">
        <f>'General'!P38</f>
        <v/>
      </c>
      <c r="Q22" s="49">
        <f>'General'!Q38</f>
        <v/>
      </c>
      <c r="R22" s="49">
        <f>'General'!R38</f>
        <v/>
      </c>
      <c r="S22" s="49">
        <f>'General'!S38</f>
        <v/>
      </c>
      <c r="T22" s="42">
        <f>IF(COUNTIF($F22:S22,"=*")&gt;0,IF($C22="K","-"," - "),IF(COUNTIF($F22:S22,"&lt;4")&gt;0,IF(C22="K","-"," - "),(IFERROR(AVERAGE($F22:S22),"Waiting"))))</f>
        <v/>
      </c>
      <c r="U22" s="22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IF(SUM(F$10:F22)=0,IF(COUNTA(F$10:F22)=0,"Waiting",0),SUM(F$10:F22)/$D22)</f>
        <v/>
      </c>
      <c r="G23" s="8">
        <f>IF(SUM(G$10:G22)=0,IF(COUNTA(G$10:G22)=0,"Waiting",0),SUM(G$10:G22)/$D22)</f>
        <v/>
      </c>
      <c r="H23" s="8">
        <f>IF(SUM(H$10:H22)=0,IF(COUNTA(H$10:H22)=0,"Waiting",0),SUM(H$10:H22)/$D22)</f>
        <v/>
      </c>
      <c r="I23" s="8">
        <f>IF(SUM(I$10:I22)=0,IF(COUNTA(I$10:I22)=0,"Waiting",0),SUM(I$10:I22)/$D22)</f>
        <v/>
      </c>
      <c r="J23" s="8">
        <f>IF(SUM(J$10:J22)=0,IF(COUNTA(J$10:J22)=0,"Waiting",0),SUM(J$10:J22)/$D22)</f>
        <v/>
      </c>
      <c r="K23" s="8">
        <f>IF(SUM(K$10:K22)=0,IF(COUNTA(K$10:K22)=0,"Waiting",0),SUM(K$10:K22)/$D22)</f>
        <v/>
      </c>
      <c r="L23" s="8">
        <f>IF(SUM(L$10:L22)=0,IF(COUNTA(L$10:L22)=0,"Waiting",0),SUM(L$10:L22)/$D22)</f>
        <v/>
      </c>
      <c r="M23" s="8">
        <f>IF(SUM(M$10:M22)=0,IF(COUNTA(M$10:M22)=0,"Waiting",0),SUM(M$10:M22)/$D22)</f>
        <v/>
      </c>
      <c r="N23" s="8">
        <f>IF(SUM(N$10:N22)=0,IF(COUNTA(N$10:N22)=0,"Waiting",0),SUM(N$10:N22)/$D22)</f>
        <v/>
      </c>
      <c r="O23" s="8">
        <f>IF(SUM(O$10:O22)=0,IF(COUNTA(O$10:O22)=0,"Waiting",0),SUM(O$10:O22)/$D22)</f>
        <v/>
      </c>
      <c r="P23" s="8">
        <f>IF(SUM(P$10:P22)=0,IF(COUNTA(P$10:P22)=0,"Waiting",0),SUM(P$10:P22)/$D22)</f>
        <v/>
      </c>
      <c r="Q23" s="8">
        <f>IF(SUM(Q$10:Q22)=0,IF(COUNTA(Q$10:Q22)=0,"Waiting",0),SUM(Q$10:Q22)/$D22)</f>
        <v/>
      </c>
      <c r="R23" s="8">
        <f>IF(SUM(R$10:R22)=0,IF(COUNTA(R$10:R22)=0,"Waiting",0),SUM(R$10:R22)/$D22)</f>
        <v/>
      </c>
      <c r="S23" s="8">
        <f>IF(SUM(S$10:S22)=0,IF(COUNTA(S$10:S22)=0,"Waiting",0),SUM(S$10:S22)/$D22)</f>
        <v/>
      </c>
      <c r="T23" s="9">
        <f>IFERROR(AVERAGE($F23:S23),"Waiting")</f>
        <v/>
      </c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IF(SUM(F$10:F22)=0,IF(COUNTA(F$10:F22)=0,"Waiting",0),IF(COUNTIF(F$10:F22,"&gt;=4")=0,0,COUNTIF(F$10:F22,"&gt;=4")/$D22*100))</f>
        <v/>
      </c>
      <c r="G24" s="43">
        <f>IF(SUM(G$10:G22)=0,IF(COUNTA(G$10:G22)=0,"Waiting",0),IF(COUNTIF(G$10:G22,"&gt;=4")=0,0,COUNTIF(G$10:G22,"&gt;=4")/$D22*100))</f>
        <v/>
      </c>
      <c r="H24" s="43">
        <f>IF(SUM(H$10:H22)=0,IF(COUNTA(H$10:H22)=0,"Waiting",0),IF(COUNTIF(H$10:H22,"&gt;=4")=0,0,COUNTIF(H$10:H22,"&gt;=4")/$D22*100))</f>
        <v/>
      </c>
      <c r="I24" s="43">
        <f>IF(SUM(I$10:I22)=0,IF(COUNTA(I$10:I22)=0,"Waiting",0),IF(COUNTIF(I$10:I22,"&gt;=4")=0,0,COUNTIF(I$10:I22,"&gt;=4")/$D22*100))</f>
        <v/>
      </c>
      <c r="J24" s="43">
        <f>IF(SUM(J$10:J22)=0,IF(COUNTA(J$10:J22)=0,"Waiting",0),IF(COUNTIF(J$10:J22,"&gt;=4")=0,0,COUNTIF(J$10:J22,"&gt;=4")/$D22*100))</f>
        <v/>
      </c>
      <c r="K24" s="43">
        <f>IF(SUM(K$10:K22)=0,IF(COUNTA(K$10:K22)=0,"Waiting",0),IF(COUNTIF(K$10:K22,"&gt;=4")=0,0,COUNTIF(K$10:K22,"&gt;=4")/$D22*100))</f>
        <v/>
      </c>
      <c r="L24" s="43">
        <f>IF(SUM(L$10:L22)=0,IF(COUNTA(L$10:L22)=0,"Waiting",0),IF(COUNTIF(L$10:L22,"&gt;=4")=0,0,COUNTIF(L$10:L22,"&gt;=4")/$D22*100))</f>
        <v/>
      </c>
      <c r="M24" s="43">
        <f>IF(SUM(M$10:M22)=0,IF(COUNTA(M$10:M22)=0,"Waiting",0),IF(COUNTIF(M$10:M22,"&gt;=4")=0,0,COUNTIF(M$10:M22,"&gt;=4")/$D22*100))</f>
        <v/>
      </c>
      <c r="N24" s="43">
        <f>IF(SUM(N$10:N22)=0,IF(COUNTA(N$10:N22)=0,"Waiting",0),IF(COUNTIF(N$10:N22,"&gt;=4")=0,0,COUNTIF(N$10:N22,"&gt;=4")/$D22*100))</f>
        <v/>
      </c>
      <c r="O24" s="43">
        <f>IF(SUM(O$10:O22)=0,IF(COUNTA(O$10:O22)=0,"Waiting",0),IF(COUNTIF(O$10:O22,"&gt;=4")=0,0,COUNTIF(O$10:O22,"&gt;=4")/$D22*100))</f>
        <v/>
      </c>
      <c r="P24" s="43">
        <f>IF(SUM(P$10:P22)=0,IF(COUNTA(P$10:P22)=0,"Waiting",0),IF(COUNTIF(P$10:P22,"&gt;=4")=0,0,COUNTIF(P$10:P22,"&gt;=4")/$D22*100))</f>
        <v/>
      </c>
      <c r="Q24" s="43">
        <f>IF(SUM(Q$10:Q22)=0,IF(COUNTA(Q$10:Q22)=0,"Waiting",0),IF(COUNTIF(Q$10:Q22,"&gt;=4")=0,0,COUNTIF(Q$10:Q22,"&gt;=4")/$D22*100))</f>
        <v/>
      </c>
      <c r="R24" s="43">
        <f>IF(SUM(R$10:R22)=0,IF(COUNTA(R$10:R22)=0,"Waiting",0),IF(COUNTIF(R$10:R22,"&gt;=4")=0,0,COUNTIF(R$10:R22,"&gt;=4")/$D22*100))</f>
        <v/>
      </c>
      <c r="S24" s="43">
        <f>IF(SUM(S$10:S22)=0,IF(COUNTA(S$10:S22)=0,"Waiting",0),IF(COUNTIF(S$10:S22,"&gt;=4")=0,0,COUNTIF(S$10:S22,"&gt;=4")/$D22*100))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IF(SUM(F$10:F22)=0,IF(COUNTA(F$10:F22)=0,"Waiting",0),IF(COUNTIF(F$10:F22,"&gt;=7")=0,0,COUNTIF(F$10:F22,"&gt;=7")/$D22*100))</f>
        <v/>
      </c>
      <c r="G25" s="43">
        <f>IF(SUM(G$10:G22)=0,IF(COUNTA(G$10:G22)=0,"Waiting",0),IF(COUNTIF(G$10:G22,"&gt;=7")=0,0,COUNTIF(G$10:G22,"&gt;=7")/$D22*100))</f>
        <v/>
      </c>
      <c r="H25" s="43">
        <f>IF(SUM(H$10:H22)=0,IF(COUNTA(H$10:H22)=0,"Waiting",0),IF(COUNTIF(H$10:H22,"&gt;=7")=0,0,COUNTIF(H$10:H22,"&gt;=7")/$D22*100))</f>
        <v/>
      </c>
      <c r="I25" s="43">
        <f>IF(SUM(I$10:I22)=0,IF(COUNTA(I$10:I22)=0,"Waiting",0),IF(COUNTIF(I$10:I22,"&gt;=7")=0,0,COUNTIF(I$10:I22,"&gt;=7")/$D22*100))</f>
        <v/>
      </c>
      <c r="J25" s="43">
        <f>IF(SUM(J$10:J22)=0,IF(COUNTA(J$10:J22)=0,"Waiting",0),IF(COUNTIF(J$10:J22,"&gt;=7")=0,0,COUNTIF(J$10:J22,"&gt;=7")/$D22*100))</f>
        <v/>
      </c>
      <c r="K25" s="43">
        <f>IF(SUM(K$10:K22)=0,IF(COUNTA(K$10:K22)=0,"Waiting",0),IF(COUNTIF(K$10:K22,"&gt;=7")=0,0,COUNTIF(K$10:K22,"&gt;=7")/$D22*100))</f>
        <v/>
      </c>
      <c r="L25" s="43">
        <f>IF(SUM(L$10:L22)=0,IF(COUNTA(L$10:L22)=0,"Waiting",0),IF(COUNTIF(L$10:L22,"&gt;=7")=0,0,COUNTIF(L$10:L22,"&gt;=7")/$D22*100))</f>
        <v/>
      </c>
      <c r="M25" s="43">
        <f>IF(SUM(M$10:M22)=0,IF(COUNTA(M$10:M22)=0,"Waiting",0),IF(COUNTIF(M$10:M22,"&gt;=7")=0,0,COUNTIF(M$10:M22,"&gt;=7")/$D22*100))</f>
        <v/>
      </c>
      <c r="N25" s="43">
        <f>IF(SUM(N$10:N22)=0,IF(COUNTA(N$10:N22)=0,"Waiting",0),IF(COUNTIF(N$10:N22,"&gt;=7")=0,0,COUNTIF(N$10:N22,"&gt;=7")/$D22*100))</f>
        <v/>
      </c>
      <c r="O25" s="43">
        <f>IF(SUM(O$10:O22)=0,IF(COUNTA(O$10:O22)=0,"Waiting",0),IF(COUNTIF(O$10:O22,"&gt;=7")=0,0,COUNTIF(O$10:O22,"&gt;=7")/$D22*100))</f>
        <v/>
      </c>
      <c r="P25" s="43">
        <f>IF(SUM(P$10:P22)=0,IF(COUNTA(P$10:P22)=0,"Waiting",0),IF(COUNTIF(P$10:P22,"&gt;=7")=0,0,COUNTIF(P$10:P22,"&gt;=7")/$D22*100))</f>
        <v/>
      </c>
      <c r="Q25" s="43">
        <f>IF(SUM(Q$10:Q22)=0,IF(COUNTA(Q$10:Q22)=0,"Waiting",0),IF(COUNTIF(Q$10:Q22,"&gt;=7")=0,0,COUNTIF(Q$10:Q22,"&gt;=7")/$D22*100))</f>
        <v/>
      </c>
      <c r="R25" s="43">
        <f>IF(SUM(R$10:R22)=0,IF(COUNTA(R$10:R22)=0,"Waiting",0),IF(COUNTIF(R$10:R22,"&gt;=7")=0,0,COUNTIF(R$10:R22,"&gt;=7")/$D22*100))</f>
        <v/>
      </c>
      <c r="S25" s="43">
        <f>IF(SUM(S$10:S22)=0,IF(COUNTA(S$10:S22)=0,"Waiting",0),IF(COUNTIF(S$10:S22,"&gt;=7")=0,0,COUNTIF(S$10:S22,"&gt;=7")/$D22*100))</f>
        <v/>
      </c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IFERROR(AVERAGE(F24:S24),"Waiting")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IFERROR(AVERAGE($F25:S25),"Waiting")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IF(COUNTIF($C$10:$C22,"=B")=0,IF(COUNTIF($C$10:$C22,"=K")=0,"Waiting",0),COUNTIF($C$10:$C22,"=B"))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52" t="n"/>
      <c r="R28" s="52" t="n"/>
      <c r="S28" s="52" t="n"/>
      <c r="T28" s="52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IF(COUNTIF($C$10:$C22,"=K")=0,IF(COUNTIF($C$10:$C22,"=B")=0,"Waiting",0),COUNTIF($C$10:$C22,"=K"))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6" t="n"/>
      <c r="M29" s="6" t="n"/>
      <c r="N29" s="6" t="n"/>
      <c r="O29" s="56" t="n"/>
      <c r="P29" s="54">
        <f>'General'!P47</f>
        <v/>
      </c>
      <c r="Q29" s="54" t="n"/>
      <c r="R29" s="54" t="n"/>
      <c r="S29" s="54" t="n"/>
      <c r="T29" s="54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6" t="n"/>
      <c r="M30" s="6" t="n"/>
      <c r="N30" s="6" t="n"/>
      <c r="O30" s="56" t="n"/>
      <c r="P30" s="52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IF(F28="Waiting","Waiting",IF(F28-COUNTIF($T$10:$T22," - ")&lt;ROUNDDOWN(F28*0.4,0),F28-COUNTIF($T$10:$T22,"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6" t="n"/>
      <c r="M31" s="6" t="n"/>
      <c r="N31" s="6" t="n"/>
      <c r="O31" s="56" t="n"/>
      <c r="P31" s="54" t="inlineStr">
        <is>
          <t>Margarita BRITIKOVA</t>
        </is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  <c r="V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««Туризм та рекреація»»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'General'!F9</f>
        <v/>
      </c>
      <c r="G9" s="13">
        <f>'General'!G9</f>
        <v/>
      </c>
      <c r="H9" s="13">
        <f>'General'!H9</f>
        <v/>
      </c>
      <c r="I9" s="13">
        <f>'General'!I9</f>
        <v/>
      </c>
      <c r="J9" s="13">
        <f>'General'!J9</f>
        <v/>
      </c>
      <c r="K9" s="13">
        <f>'General'!K9</f>
        <v/>
      </c>
      <c r="L9" s="13">
        <f>'General'!L9</f>
        <v/>
      </c>
      <c r="M9" s="13">
        <f>'General'!M9</f>
        <v/>
      </c>
      <c r="N9" s="13">
        <f>'General'!N9</f>
        <v/>
      </c>
      <c r="O9" s="13">
        <f>'General'!O9</f>
        <v/>
      </c>
      <c r="P9" s="13">
        <f>'General'!P9</f>
        <v/>
      </c>
      <c r="Q9" s="13">
        <f>'General'!Q9</f>
        <v/>
      </c>
      <c r="R9" s="13">
        <f>'General'!R9</f>
        <v/>
      </c>
      <c r="S9" s="13">
        <f>'General'!S9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'General'!C16</f>
        <v/>
      </c>
      <c r="D10" s="47" t="n">
        <v>1</v>
      </c>
      <c r="E10" s="48">
        <f>'General'!E16</f>
        <v/>
      </c>
      <c r="F10" s="49">
        <f>'General'!F16</f>
        <v/>
      </c>
      <c r="G10" s="49">
        <f>'General'!G16</f>
        <v/>
      </c>
      <c r="H10" s="49">
        <f>'General'!H16</f>
        <v/>
      </c>
      <c r="I10" s="49">
        <f>'General'!I16</f>
        <v/>
      </c>
      <c r="J10" s="49">
        <f>'General'!J16</f>
        <v/>
      </c>
      <c r="K10" s="49">
        <f>'General'!K16</f>
        <v/>
      </c>
      <c r="L10" s="49">
        <f>'General'!L16</f>
        <v/>
      </c>
      <c r="M10" s="49">
        <f>'General'!M16</f>
        <v/>
      </c>
      <c r="N10" s="49">
        <f>'General'!N16</f>
        <v/>
      </c>
      <c r="O10" s="49">
        <f>'General'!O16</f>
        <v/>
      </c>
      <c r="P10" s="49">
        <f>'General'!P16</f>
        <v/>
      </c>
      <c r="Q10" s="49">
        <f>'General'!Q16</f>
        <v/>
      </c>
      <c r="R10" s="49">
        <f>'General'!R16</f>
        <v/>
      </c>
      <c r="S10" s="49">
        <f>'General'!S16</f>
        <v/>
      </c>
      <c r="T10" s="42">
        <f>IF(COUNTIF($F10:S10,"=*")&gt;0,IF($C10="K","-"," - "),IF(COUNTIF($F10:S10,"&lt;4")&gt;0,IF(C10="K","-","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>
        <f>'General'!C19</f>
        <v/>
      </c>
      <c r="D11" s="47" t="n">
        <v>2</v>
      </c>
      <c r="E11" s="48">
        <f>'General'!E19</f>
        <v/>
      </c>
      <c r="F11" s="49">
        <f>'General'!F19</f>
        <v/>
      </c>
      <c r="G11" s="49">
        <f>'General'!G19</f>
        <v/>
      </c>
      <c r="H11" s="49">
        <f>'General'!H19</f>
        <v/>
      </c>
      <c r="I11" s="49">
        <f>'General'!I19</f>
        <v/>
      </c>
      <c r="J11" s="49">
        <f>'General'!J19</f>
        <v/>
      </c>
      <c r="K11" s="49">
        <f>'General'!K19</f>
        <v/>
      </c>
      <c r="L11" s="49">
        <f>'General'!L19</f>
        <v/>
      </c>
      <c r="M11" s="49">
        <f>'General'!M19</f>
        <v/>
      </c>
      <c r="N11" s="49">
        <f>'General'!N19</f>
        <v/>
      </c>
      <c r="O11" s="49">
        <f>'General'!O19</f>
        <v/>
      </c>
      <c r="P11" s="49">
        <f>'General'!P19</f>
        <v/>
      </c>
      <c r="Q11" s="49">
        <f>'General'!Q19</f>
        <v/>
      </c>
      <c r="R11" s="49">
        <f>'General'!R19</f>
        <v/>
      </c>
      <c r="S11" s="49">
        <f>'General'!S19</f>
        <v/>
      </c>
      <c r="T11" s="42">
        <f>IF(COUNTIF($F11:S11,"=*")&gt;0,IF($C11="K","-"," - "),IF(COUNTIF($F11:S11,"&lt;4")&gt;0,IF(C11="K","-","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>
        <f>'General'!C34</f>
        <v/>
      </c>
      <c r="D12" s="47" t="n">
        <v>3</v>
      </c>
      <c r="E12" s="48">
        <f>'General'!E34</f>
        <v/>
      </c>
      <c r="F12" s="49">
        <f>'General'!F34</f>
        <v/>
      </c>
      <c r="G12" s="49">
        <f>'General'!G34</f>
        <v/>
      </c>
      <c r="H12" s="49">
        <f>'General'!H34</f>
        <v/>
      </c>
      <c r="I12" s="49">
        <f>'General'!I34</f>
        <v/>
      </c>
      <c r="J12" s="49">
        <f>'General'!J34</f>
        <v/>
      </c>
      <c r="K12" s="49">
        <f>'General'!K34</f>
        <v/>
      </c>
      <c r="L12" s="49">
        <f>'General'!L34</f>
        <v/>
      </c>
      <c r="M12" s="49">
        <f>'General'!M34</f>
        <v/>
      </c>
      <c r="N12" s="49">
        <f>'General'!N34</f>
        <v/>
      </c>
      <c r="O12" s="49">
        <f>'General'!O34</f>
        <v/>
      </c>
      <c r="P12" s="49">
        <f>'General'!P34</f>
        <v/>
      </c>
      <c r="Q12" s="49">
        <f>'General'!Q34</f>
        <v/>
      </c>
      <c r="R12" s="49">
        <f>'General'!R34</f>
        <v/>
      </c>
      <c r="S12" s="49">
        <f>'General'!S34</f>
        <v/>
      </c>
      <c r="T12" s="42">
        <f>IF(COUNTIF($F12:S12,"=*")&gt;0,IF($C12="K","-"," - "),IF(COUNTIF($F12:S12,"&lt;4")&gt;0,IF(C12="K","-","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>
        <f>'General'!C35</f>
        <v/>
      </c>
      <c r="D13" s="47" t="n">
        <v>4</v>
      </c>
      <c r="E13" s="48">
        <f>'General'!E35</f>
        <v/>
      </c>
      <c r="F13" s="49">
        <f>'General'!F35</f>
        <v/>
      </c>
      <c r="G13" s="49">
        <f>'General'!G35</f>
        <v/>
      </c>
      <c r="H13" s="49">
        <f>'General'!H35</f>
        <v/>
      </c>
      <c r="I13" s="49">
        <f>'General'!I35</f>
        <v/>
      </c>
      <c r="J13" s="49">
        <f>'General'!J35</f>
        <v/>
      </c>
      <c r="K13" s="49">
        <f>'General'!K35</f>
        <v/>
      </c>
      <c r="L13" s="49">
        <f>'General'!L35</f>
        <v/>
      </c>
      <c r="M13" s="49">
        <f>'General'!M35</f>
        <v/>
      </c>
      <c r="N13" s="49">
        <f>'General'!N35</f>
        <v/>
      </c>
      <c r="O13" s="49">
        <f>'General'!O35</f>
        <v/>
      </c>
      <c r="P13" s="49">
        <f>'General'!P35</f>
        <v/>
      </c>
      <c r="Q13" s="49">
        <f>'General'!Q35</f>
        <v/>
      </c>
      <c r="R13" s="49">
        <f>'General'!R35</f>
        <v/>
      </c>
      <c r="S13" s="49">
        <f>'General'!S35</f>
        <v/>
      </c>
      <c r="T13" s="42">
        <f>IF(COUNTIF($F13:S13,"=*")&gt;0,IF($C13="K","-"," - "),IF(COUNTIF($F13:S13,"&lt;4")&gt;0,IF(C13="K","-","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>
        <f>'General'!C39</f>
        <v/>
      </c>
      <c r="D14" s="47" t="n">
        <v>5</v>
      </c>
      <c r="E14" s="48">
        <f>'General'!E39</f>
        <v/>
      </c>
      <c r="F14" s="49">
        <f>'General'!F39</f>
        <v/>
      </c>
      <c r="G14" s="49">
        <f>'General'!G39</f>
        <v/>
      </c>
      <c r="H14" s="49">
        <f>'General'!H39</f>
        <v/>
      </c>
      <c r="I14" s="49">
        <f>'General'!I39</f>
        <v/>
      </c>
      <c r="J14" s="49">
        <f>'General'!J39</f>
        <v/>
      </c>
      <c r="K14" s="49">
        <f>'General'!K39</f>
        <v/>
      </c>
      <c r="L14" s="49">
        <f>'General'!L39</f>
        <v/>
      </c>
      <c r="M14" s="49">
        <f>'General'!M39</f>
        <v/>
      </c>
      <c r="N14" s="49">
        <f>'General'!N39</f>
        <v/>
      </c>
      <c r="O14" s="49">
        <f>'General'!O39</f>
        <v/>
      </c>
      <c r="P14" s="49">
        <f>'General'!P39</f>
        <v/>
      </c>
      <c r="Q14" s="49">
        <f>'General'!Q39</f>
        <v/>
      </c>
      <c r="R14" s="49">
        <f>'General'!R39</f>
        <v/>
      </c>
      <c r="S14" s="49">
        <f>'General'!S39</f>
        <v/>
      </c>
      <c r="T14" s="42">
        <f>IF(COUNTIF($F14:S14,"=*")&gt;0,IF($C14="K","-"," - "),IF(COUNTIF($F14:S14,"&lt;4")&gt;0,IF(C14="K","-","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Середній бал успішності з дисципліни</t>
        </is>
      </c>
      <c r="F15" s="8">
        <f>IF(SUM(F$10:F14)=0,IF(COUNTA(F$10:F14)=0,"Waiting",0),SUM(F$10:F14)/$D14)</f>
        <v/>
      </c>
      <c r="G15" s="8">
        <f>IF(SUM(G$10:G14)=0,IF(COUNTA(G$10:G14)=0,"Waiting",0),SUM(G$10:G14)/$D14)</f>
        <v/>
      </c>
      <c r="H15" s="8">
        <f>IF(SUM(H$10:H14)=0,IF(COUNTA(H$10:H14)=0,"Waiting",0),SUM(H$10:H14)/$D14)</f>
        <v/>
      </c>
      <c r="I15" s="8">
        <f>IF(SUM(I$10:I14)=0,IF(COUNTA(I$10:I14)=0,"Waiting",0),SUM(I$10:I14)/$D14)</f>
        <v/>
      </c>
      <c r="J15" s="8">
        <f>IF(SUM(J$10:J14)=0,IF(COUNTA(J$10:J14)=0,"Waiting",0),SUM(J$10:J14)/$D14)</f>
        <v/>
      </c>
      <c r="K15" s="8">
        <f>IF(SUM(K$10:K14)=0,IF(COUNTA(K$10:K14)=0,"Waiting",0),SUM(K$10:K14)/$D14)</f>
        <v/>
      </c>
      <c r="L15" s="8">
        <f>IF(SUM(L$10:L14)=0,IF(COUNTA(L$10:L14)=0,"Waiting",0),SUM(L$10:L14)/$D14)</f>
        <v/>
      </c>
      <c r="M15" s="8">
        <f>IF(SUM(M$10:M14)=0,IF(COUNTA(M$10:M14)=0,"Waiting",0),SUM(M$10:M14)/$D14)</f>
        <v/>
      </c>
      <c r="N15" s="8">
        <f>IF(SUM(N$10:N14)=0,IF(COUNTA(N$10:N14)=0,"Waiting",0),SUM(N$10:N14)/$D14)</f>
        <v/>
      </c>
      <c r="O15" s="8">
        <f>IF(SUM(O$10:O14)=0,IF(COUNTA(O$10:O14)=0,"Waiting",0),SUM(O$10:O14)/$D14)</f>
        <v/>
      </c>
      <c r="P15" s="8">
        <f>IF(SUM(P$10:P14)=0,IF(COUNTA(P$10:P14)=0,"Waiting",0),SUM(P$10:P14)/$D14)</f>
        <v/>
      </c>
      <c r="Q15" s="8">
        <f>IF(SUM(Q$10:Q14)=0,IF(COUNTA(Q$10:Q14)=0,"Waiting",0),SUM(Q$10:Q14)/$D14)</f>
        <v/>
      </c>
      <c r="R15" s="8">
        <f>IF(SUM(R$10:R14)=0,IF(COUNTA(R$10:R14)=0,"Waiting",0),SUM(R$10:R14)/$D14)</f>
        <v/>
      </c>
      <c r="S15" s="8">
        <f>IF(SUM(S$10:S14)=0,IF(COUNTA(S$10:S14)=0,"Waiting",0),SUM(S$10:S14)/$D14)</f>
        <v/>
      </c>
      <c r="T15" s="9">
        <f>IFERROR(AVERAGE($F15:S15),"Waiting")</f>
        <v/>
      </c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Абсолютна успішність</t>
        </is>
      </c>
      <c r="F16" s="43">
        <f>IF(SUM(F$10:F14)=0,IF(COUNTA(F$10:F14)=0,"Waiting",0),IF(COUNTIF(F$10:F14,"&gt;=4")=0,0,COUNTIF(F$10:F14,"&gt;=4")/$D14*100))</f>
        <v/>
      </c>
      <c r="G16" s="43">
        <f>IF(SUM(G$10:G14)=0,IF(COUNTA(G$10:G14)=0,"Waiting",0),IF(COUNTIF(G$10:G14,"&gt;=4")=0,0,COUNTIF(G$10:G14,"&gt;=4")/$D14*100))</f>
        <v/>
      </c>
      <c r="H16" s="43">
        <f>IF(SUM(H$10:H14)=0,IF(COUNTA(H$10:H14)=0,"Waiting",0),IF(COUNTIF(H$10:H14,"&gt;=4")=0,0,COUNTIF(H$10:H14,"&gt;=4")/$D14*100))</f>
        <v/>
      </c>
      <c r="I16" s="43">
        <f>IF(SUM(I$10:I14)=0,IF(COUNTA(I$10:I14)=0,"Waiting",0),IF(COUNTIF(I$10:I14,"&gt;=4")=0,0,COUNTIF(I$10:I14,"&gt;=4")/$D14*100))</f>
        <v/>
      </c>
      <c r="J16" s="43">
        <f>IF(SUM(J$10:J14)=0,IF(COUNTA(J$10:J14)=0,"Waiting",0),IF(COUNTIF(J$10:J14,"&gt;=4")=0,0,COUNTIF(J$10:J14,"&gt;=4")/$D14*100))</f>
        <v/>
      </c>
      <c r="K16" s="43">
        <f>IF(SUM(K$10:K14)=0,IF(COUNTA(K$10:K14)=0,"Waiting",0),IF(COUNTIF(K$10:K14,"&gt;=4")=0,0,COUNTIF(K$10:K14,"&gt;=4")/$D14*100))</f>
        <v/>
      </c>
      <c r="L16" s="43">
        <f>IF(SUM(L$10:L14)=0,IF(COUNTA(L$10:L14)=0,"Waiting",0),IF(COUNTIF(L$10:L14,"&gt;=4")=0,0,COUNTIF(L$10:L14,"&gt;=4")/$D14*100))</f>
        <v/>
      </c>
      <c r="M16" s="43">
        <f>IF(SUM(M$10:M14)=0,IF(COUNTA(M$10:M14)=0,"Waiting",0),IF(COUNTIF(M$10:M14,"&gt;=4")=0,0,COUNTIF(M$10:M14,"&gt;=4")/$D14*100))</f>
        <v/>
      </c>
      <c r="N16" s="43">
        <f>IF(SUM(N$10:N14)=0,IF(COUNTA(N$10:N14)=0,"Waiting",0),IF(COUNTIF(N$10:N14,"&gt;=4")=0,0,COUNTIF(N$10:N14,"&gt;=4")/$D14*100))</f>
        <v/>
      </c>
      <c r="O16" s="43">
        <f>IF(SUM(O$10:O14)=0,IF(COUNTA(O$10:O14)=0,"Waiting",0),IF(COUNTIF(O$10:O14,"&gt;=4")=0,0,COUNTIF(O$10:O14,"&gt;=4")/$D14*100))</f>
        <v/>
      </c>
      <c r="P16" s="43">
        <f>IF(SUM(P$10:P14)=0,IF(COUNTA(P$10:P14)=0,"Waiting",0),IF(COUNTIF(P$10:P14,"&gt;=4")=0,0,COUNTIF(P$10:P14,"&gt;=4")/$D14*100))</f>
        <v/>
      </c>
      <c r="Q16" s="43">
        <f>IF(SUM(Q$10:Q14)=0,IF(COUNTA(Q$10:Q14)=0,"Waiting",0),IF(COUNTIF(Q$10:Q14,"&gt;=4")=0,0,COUNTIF(Q$10:Q14,"&gt;=4")/$D14*100))</f>
        <v/>
      </c>
      <c r="R16" s="43">
        <f>IF(SUM(R$10:R14)=0,IF(COUNTA(R$10:R14)=0,"Waiting",0),IF(COUNTIF(R$10:R14,"&gt;=4")=0,0,COUNTIF(R$10:R14,"&gt;=4")/$D14*100))</f>
        <v/>
      </c>
      <c r="S16" s="43">
        <f>IF(SUM(S$10:S14)=0,IF(COUNTA(S$10:S14)=0,"Waiting",0),IF(COUNTIF(S$10:S14,"&gt;=4")=0,0,COUNTIF(S$10:S14,"&gt;=4")/$D14*100))</f>
        <v/>
      </c>
      <c r="T16" s="6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Якісна успішність</t>
        </is>
      </c>
      <c r="F17" s="43">
        <f>IF(SUM(F$10:F14)=0,IF(COUNTA(F$10:F14)=0,"Waiting",0),IF(COUNTIF(F$10:F14,"&gt;=7")=0,0,COUNTIF(F$10:F14,"&gt;=7")/$D14*100))</f>
        <v/>
      </c>
      <c r="G17" s="43">
        <f>IF(SUM(G$10:G14)=0,IF(COUNTA(G$10:G14)=0,"Waiting",0),IF(COUNTIF(G$10:G14,"&gt;=7")=0,0,COUNTIF(G$10:G14,"&gt;=7")/$D14*100))</f>
        <v/>
      </c>
      <c r="H17" s="43">
        <f>IF(SUM(H$10:H14)=0,IF(COUNTA(H$10:H14)=0,"Waiting",0),IF(COUNTIF(H$10:H14,"&gt;=7")=0,0,COUNTIF(H$10:H14,"&gt;=7")/$D14*100))</f>
        <v/>
      </c>
      <c r="I17" s="43">
        <f>IF(SUM(I$10:I14)=0,IF(COUNTA(I$10:I14)=0,"Waiting",0),IF(COUNTIF(I$10:I14,"&gt;=7")=0,0,COUNTIF(I$10:I14,"&gt;=7")/$D14*100))</f>
        <v/>
      </c>
      <c r="J17" s="43">
        <f>IF(SUM(J$10:J14)=0,IF(COUNTA(J$10:J14)=0,"Waiting",0),IF(COUNTIF(J$10:J14,"&gt;=7")=0,0,COUNTIF(J$10:J14,"&gt;=7")/$D14*100))</f>
        <v/>
      </c>
      <c r="K17" s="43">
        <f>IF(SUM(K$10:K14)=0,IF(COUNTA(K$10:K14)=0,"Waiting",0),IF(COUNTIF(K$10:K14,"&gt;=7")=0,0,COUNTIF(K$10:K14,"&gt;=7")/$D14*100))</f>
        <v/>
      </c>
      <c r="L17" s="43">
        <f>IF(SUM(L$10:L14)=0,IF(COUNTA(L$10:L14)=0,"Waiting",0),IF(COUNTIF(L$10:L14,"&gt;=7")=0,0,COUNTIF(L$10:L14,"&gt;=7")/$D14*100))</f>
        <v/>
      </c>
      <c r="M17" s="43">
        <f>IF(SUM(M$10:M14)=0,IF(COUNTA(M$10:M14)=0,"Waiting",0),IF(COUNTIF(M$10:M14,"&gt;=7")=0,0,COUNTIF(M$10:M14,"&gt;=7")/$D14*100))</f>
        <v/>
      </c>
      <c r="N17" s="43">
        <f>IF(SUM(N$10:N14)=0,IF(COUNTA(N$10:N14)=0,"Waiting",0),IF(COUNTIF(N$10:N14,"&gt;=7")=0,0,COUNTIF(N$10:N14,"&gt;=7")/$D14*100))</f>
        <v/>
      </c>
      <c r="O17" s="43">
        <f>IF(SUM(O$10:O14)=0,IF(COUNTA(O$10:O14)=0,"Waiting",0),IF(COUNTIF(O$10:O14,"&gt;=7")=0,0,COUNTIF(O$10:O14,"&gt;=7")/$D14*100))</f>
        <v/>
      </c>
      <c r="P17" s="43">
        <f>IF(SUM(P$10:P14)=0,IF(COUNTA(P$10:P14)=0,"Waiting",0),IF(COUNTIF(P$10:P14,"&gt;=7")=0,0,COUNTIF(P$10:P14,"&gt;=7")/$D14*100))</f>
        <v/>
      </c>
      <c r="Q17" s="43">
        <f>IF(SUM(Q$10:Q14)=0,IF(COUNTA(Q$10:Q14)=0,"Waiting",0),IF(COUNTIF(Q$10:Q14,"&gt;=7")=0,0,COUNTIF(Q$10:Q14,"&gt;=7")/$D14*100))</f>
        <v/>
      </c>
      <c r="R17" s="43">
        <f>IF(SUM(R$10:R14)=0,IF(COUNTA(R$10:R14)=0,"Waiting",0),IF(COUNTIF(R$10:R14,"&gt;=7")=0,0,COUNTIF(R$10:R14,"&gt;=7")/$D14*100))</f>
        <v/>
      </c>
      <c r="S17" s="43">
        <f>IF(SUM(S$10:S14)=0,IF(COUNTA(S$10:S14)=0,"Waiting",0),IF(COUNTIF(S$10:S14,"&gt;=7")=0,0,COUNTIF(S$10:S14,"&gt;=7")/$D14*100))</f>
        <v/>
      </c>
      <c r="T17" s="6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Абсолютна успішність по групі</t>
        </is>
      </c>
      <c r="F18" s="8">
        <f>IFERROR(AVERAGE(F16:S16),"Waiting")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Якісна успішність по групі</t>
        </is>
      </c>
      <c r="F19" s="8">
        <f>IFERROR(AVERAGE($F17:S17),"Waiting")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бюджетників</t>
        </is>
      </c>
      <c r="F20" s="63">
        <f>IF(COUNTIF($C$10:$C14,"=B")=0,IF(COUNTIF($C$10:$C14,"=K")=0,"Waiting",0),COUNTIF($C$10:$C14,"=B"))</f>
        <v/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52" t="n"/>
      <c r="R20" s="52" t="n"/>
      <c r="S20" s="52" t="n"/>
      <c r="T20" s="52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контрактників</t>
        </is>
      </c>
      <c r="F21" s="63">
        <f>IF(COUNTIF($C$10:$C14,"=K")=0,IF(COUNTIF($C$10:$C14,"=B")=0,"Waiting",0),COUNTIF($C$10:$C14,"=K"))</f>
        <v/>
      </c>
      <c r="G21" s="6" t="n"/>
      <c r="H21" s="55" t="inlineStr">
        <is>
          <t>Класний керівник</t>
        </is>
      </c>
      <c r="I21" s="55" t="n"/>
      <c r="J21" s="55" t="n"/>
      <c r="K21" s="55" t="n"/>
      <c r="L21" s="6" t="n"/>
      <c r="M21" s="6" t="n"/>
      <c r="N21" s="6" t="n"/>
      <c r="O21" s="56" t="n"/>
      <c r="P21" s="54">
        <f>'General'!P47</f>
        <v/>
      </c>
      <c r="Q21" s="54" t="n"/>
      <c r="R21" s="54" t="n"/>
      <c r="S21" s="54" t="n"/>
      <c r="T21" s="54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Кількість соціального контингенту</t>
        </is>
      </c>
      <c r="F22" s="4" t="n"/>
      <c r="G22" s="6" t="n"/>
      <c r="H22" s="55" t="n"/>
      <c r="I22" s="55" t="n"/>
      <c r="J22" s="55" t="n"/>
      <c r="K22" s="55" t="n"/>
      <c r="L22" s="6" t="n"/>
      <c r="M22" s="6" t="n"/>
      <c r="N22" s="6" t="n"/>
      <c r="O22" s="56" t="n"/>
      <c r="P22" s="52" t="n"/>
      <c r="Q22" s="52" t="n"/>
      <c r="R22" s="52" t="n"/>
      <c r="S22" s="52" t="n"/>
      <c r="T22" s="52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Вийшли на стипендію</t>
        </is>
      </c>
      <c r="F23" s="63">
        <f>IF(F20="Waiting","Waiting",IF(F20-COUNTIF($T$10:$T14," - ")&lt;ROUNDDOWN(F20*0.4,0),F20-COUNTIF($T$10:$T14," - "),ROUNDDOWN(F20*0.4,0)))</f>
        <v/>
      </c>
      <c r="G23" s="6" t="n"/>
      <c r="H23" s="56" t="inlineStr">
        <is>
          <t>Завідувач відділення ПЗСО</t>
        </is>
      </c>
      <c r="I23" s="56" t="n"/>
      <c r="J23" s="56" t="n"/>
      <c r="K23" s="56" t="n"/>
      <c r="L23" s="6" t="n"/>
      <c r="M23" s="6" t="n"/>
      <c r="N23" s="6" t="n"/>
      <c r="O23" s="56" t="n"/>
      <c r="P23" s="54" t="inlineStr">
        <is>
          <t>Margarita BRITIKOVA</t>
        </is>
      </c>
      <c r="Q23" s="54" t="n"/>
      <c r="R23" s="54" t="n"/>
      <c r="S23" s="54" t="n"/>
      <c r="T23" s="54" t="n"/>
      <c r="U23" s="20" t="n"/>
      <c r="V23" s="39" t="n"/>
    </row>
    <row r="24" ht="15" customFormat="1" customHeight="1" s="11">
      <c r="A24" s="40" t="n"/>
      <c r="B24" s="21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5" t="n"/>
      <c r="V24" s="39" t="n"/>
    </row>
    <row r="25" ht="15" customFormat="1" customHeight="1" s="11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9" t="n"/>
    </row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2026-06-16T12:23:50Z</dcterms:modified>
  <cp:lastModifiedBy>Maxim Surkov</cp:lastModifiedBy>
  <cp:lastPrinted>2026-01-07T15:30:50Z</cp:lastPrinted>
</cp:coreProperties>
</file>