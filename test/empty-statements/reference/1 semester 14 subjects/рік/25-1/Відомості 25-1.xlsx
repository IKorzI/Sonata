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"),(IFERROR(AVERAGE($F45:S45),"Waiting"))))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"),(IFERROR(AVERAGE($F46:S46),"Waiting"))))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IF(SUM(F$10:F46)=0,IF(COUNTA(F$10:F46)=0,"Waiting",0),SUM(F$10:F46)/$D46)</f>
        <v/>
      </c>
      <c r="G47" s="8">
        <f>IF(SUM(G$10:G46)=0,IF(COUNTA(G$10:G46)=0,"Waiting",0),SUM(G$10:G46)/$D46)</f>
        <v/>
      </c>
      <c r="H47" s="8">
        <f>IF(SUM(H$10:H46)=0,IF(COUNTA(H$10:H46)=0,"Waiting",0),SUM(H$10:H46)/$D46)</f>
        <v/>
      </c>
      <c r="I47" s="8">
        <f>IF(SUM(I$10:I46)=0,IF(COUNTA(I$10:I46)=0,"Waiting",0),SUM(I$10:I46)/$D46)</f>
        <v/>
      </c>
      <c r="J47" s="8">
        <f>IF(SUM(J$10:J46)=0,IF(COUNTA(J$10:J46)=0,"Waiting",0),SUM(J$10:J46)/$D46)</f>
        <v/>
      </c>
      <c r="K47" s="8">
        <f>IF(SUM(K$10:K46)=0,IF(COUNTA(K$10:K46)=0,"Waiting",0),SUM(K$10:K46)/$D46)</f>
        <v/>
      </c>
      <c r="L47" s="8">
        <f>IF(SUM(L$10:L46)=0,IF(COUNTA(L$10:L46)=0,"Waiting",0),SUM(L$10:L46)/$D46)</f>
        <v/>
      </c>
      <c r="M47" s="8">
        <f>IF(SUM(M$10:M46)=0,IF(COUNTA(M$10:M46)=0,"Waiting",0),SUM(M$10:M46)/$D46)</f>
        <v/>
      </c>
      <c r="N47" s="8">
        <f>IF(SUM(N$10:N46)=0,IF(COUNTA(N$10:N46)=0,"Waiting",0),SUM(N$10:N46)/$D46)</f>
        <v/>
      </c>
      <c r="O47" s="8">
        <f>IF(SUM(O$10:O46)=0,IF(COUNTA(O$10:O46)=0,"Waiting",0),SUM(O$10:O46)/$D46)</f>
        <v/>
      </c>
      <c r="P47" s="8">
        <f>IF(SUM(P$10:P46)=0,IF(COUNTA(P$10:P46)=0,"Waiting",0),SUM(P$10:P46)/$D46)</f>
        <v/>
      </c>
      <c r="Q47" s="8">
        <f>IF(SUM(Q$10:Q46)=0,IF(COUNTA(Q$10:Q46)=0,"Waiting",0),SUM(Q$10:Q46)/$D46)</f>
        <v/>
      </c>
      <c r="R47" s="8">
        <f>IF(SUM(R$10:R46)=0,IF(COUNTA(R$10:R46)=0,"Waiting",0),SUM(R$10:R46)/$D46)</f>
        <v/>
      </c>
      <c r="S47" s="8">
        <f>IF(SUM(S$10:S46)=0,IF(COUNTA(S$10:S46)=0,"Waiting",0),SUM(S$10:S46)/$D46)</f>
        <v/>
      </c>
      <c r="T47" s="9">
        <f>IFERROR(AVERAGE($F47:S47),"Waiting")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IF(SUM(F$10:F46)=0,IF(COUNTA(F$10:F46)=0,"Waiting",0),IF(COUNTIF(F$10:F46,"&gt;=4")=0,0,COUNTIF(F$10:F46,"&gt;=4")/$D46*100))</f>
        <v/>
      </c>
      <c r="G48" s="43">
        <f>IF(SUM(G$10:G46)=0,IF(COUNTA(G$10:G46)=0,"Waiting",0),IF(COUNTIF(G$10:G46,"&gt;=4")=0,0,COUNTIF(G$10:G46,"&gt;=4")/$D46*100))</f>
        <v/>
      </c>
      <c r="H48" s="43">
        <f>IF(SUM(H$10:H46)=0,IF(COUNTA(H$10:H46)=0,"Waiting",0),IF(COUNTIF(H$10:H46,"&gt;=4")=0,0,COUNTIF(H$10:H46,"&gt;=4")/$D46*100))</f>
        <v/>
      </c>
      <c r="I48" s="43">
        <f>IF(SUM(I$10:I46)=0,IF(COUNTA(I$10:I46)=0,"Waiting",0),IF(COUNTIF(I$10:I46,"&gt;=4")=0,0,COUNTIF(I$10:I46,"&gt;=4")/$D46*100))</f>
        <v/>
      </c>
      <c r="J48" s="43">
        <f>IF(SUM(J$10:J46)=0,IF(COUNTA(J$10:J46)=0,"Waiting",0),IF(COUNTIF(J$10:J46,"&gt;=4")=0,0,COUNTIF(J$10:J46,"&gt;=4")/$D46*100))</f>
        <v/>
      </c>
      <c r="K48" s="43">
        <f>IF(SUM(K$10:K46)=0,IF(COUNTA(K$10:K46)=0,"Waiting",0),IF(COUNTIF(K$10:K46,"&gt;=4")=0,0,COUNTIF(K$10:K46,"&gt;=4")/$D46*100))</f>
        <v/>
      </c>
      <c r="L48" s="43">
        <f>IF(SUM(L$10:L46)=0,IF(COUNTA(L$10:L46)=0,"Waiting",0),IF(COUNTIF(L$10:L46,"&gt;=4")=0,0,COUNTIF(L$10:L46,"&gt;=4")/$D46*100))</f>
        <v/>
      </c>
      <c r="M48" s="43">
        <f>IF(SUM(M$10:M46)=0,IF(COUNTA(M$10:M46)=0,"Waiting",0),IF(COUNTIF(M$10:M46,"&gt;=4")=0,0,COUNTIF(M$10:M46,"&gt;=4")/$D46*100))</f>
        <v/>
      </c>
      <c r="N48" s="43">
        <f>IF(SUM(N$10:N46)=0,IF(COUNTA(N$10:N46)=0,"Waiting",0),IF(COUNTIF(N$10:N46,"&gt;=4")=0,0,COUNTIF(N$10:N46,"&gt;=4")/$D46*100))</f>
        <v/>
      </c>
      <c r="O48" s="43">
        <f>IF(SUM(O$10:O46)=0,IF(COUNTA(O$10:O46)=0,"Waiting",0),IF(COUNTIF(O$10:O46,"&gt;=4")=0,0,COUNTIF(O$10:O46,"&gt;=4")/$D46*100))</f>
        <v/>
      </c>
      <c r="P48" s="43">
        <f>IF(SUM(P$10:P46)=0,IF(COUNTA(P$10:P46)=0,"Waiting",0),IF(COUNTIF(P$10:P46,"&gt;=4")=0,0,COUNTIF(P$10:P46,"&gt;=4")/$D46*100))</f>
        <v/>
      </c>
      <c r="Q48" s="43">
        <f>IF(SUM(Q$10:Q46)=0,IF(COUNTA(Q$10:Q46)=0,"Waiting",0),IF(COUNTIF(Q$10:Q46,"&gt;=4")=0,0,COUNTIF(Q$10:Q46,"&gt;=4")/$D46*100))</f>
        <v/>
      </c>
      <c r="R48" s="43">
        <f>IF(SUM(R$10:R46)=0,IF(COUNTA(R$10:R46)=0,"Waiting",0),IF(COUNTIF(R$10:R46,"&gt;=4")=0,0,COUNTIF(R$10:R46,"&gt;=4")/$D46*100))</f>
        <v/>
      </c>
      <c r="S48" s="43">
        <f>IF(SUM(S$10:S46)=0,IF(COUNTA(S$10:S46)=0,"Waiting",0),IF(COUNTIF(S$10:S46,"&gt;=4")=0,0,COUNTIF(S$10:S46,"&gt;=4")/$D46*100))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IF(SUM(F$10:F46)=0,IF(COUNTA(F$10:F46)=0,"Waiting",0),IF(COUNTIF(F$10:F46,"&gt;=7")=0,0,COUNTIF(F$10:F46,"&gt;=7")/$D46*100))</f>
        <v/>
      </c>
      <c r="G49" s="43">
        <f>IF(SUM(G$10:G46)=0,IF(COUNTA(G$10:G46)=0,"Waiting",0),IF(COUNTIF(G$10:G46,"&gt;=7")=0,0,COUNTIF(G$10:G46,"&gt;=7")/$D46*100))</f>
        <v/>
      </c>
      <c r="H49" s="43">
        <f>IF(SUM(H$10:H46)=0,IF(COUNTA(H$10:H46)=0,"Waiting",0),IF(COUNTIF(H$10:H46,"&gt;=7")=0,0,COUNTIF(H$10:H46,"&gt;=7")/$D46*100))</f>
        <v/>
      </c>
      <c r="I49" s="43">
        <f>IF(SUM(I$10:I46)=0,IF(COUNTA(I$10:I46)=0,"Waiting",0),IF(COUNTIF(I$10:I46,"&gt;=7")=0,0,COUNTIF(I$10:I46,"&gt;=7")/$D46*100))</f>
        <v/>
      </c>
      <c r="J49" s="43">
        <f>IF(SUM(J$10:J46)=0,IF(COUNTA(J$10:J46)=0,"Waiting",0),IF(COUNTIF(J$10:J46,"&gt;=7")=0,0,COUNTIF(J$10:J46,"&gt;=7")/$D46*100))</f>
        <v/>
      </c>
      <c r="K49" s="43">
        <f>IF(SUM(K$10:K46)=0,IF(COUNTA(K$10:K46)=0,"Waiting",0),IF(COUNTIF(K$10:K46,"&gt;=7")=0,0,COUNTIF(K$10:K46,"&gt;=7")/$D46*100))</f>
        <v/>
      </c>
      <c r="L49" s="43">
        <f>IF(SUM(L$10:L46)=0,IF(COUNTA(L$10:L46)=0,"Waiting",0),IF(COUNTIF(L$10:L46,"&gt;=7")=0,0,COUNTIF(L$10:L46,"&gt;=7")/$D46*100))</f>
        <v/>
      </c>
      <c r="M49" s="43">
        <f>IF(SUM(M$10:M46)=0,IF(COUNTA(M$10:M46)=0,"Waiting",0),IF(COUNTIF(M$10:M46,"&gt;=7")=0,0,COUNTIF(M$10:M46,"&gt;=7")/$D46*100))</f>
        <v/>
      </c>
      <c r="N49" s="43">
        <f>IF(SUM(N$10:N46)=0,IF(COUNTA(N$10:N46)=0,"Waiting",0),IF(COUNTIF(N$10:N46,"&gt;=7")=0,0,COUNTIF(N$10:N46,"&gt;=7")/$D46*100))</f>
        <v/>
      </c>
      <c r="O49" s="43">
        <f>IF(SUM(O$10:O46)=0,IF(COUNTA(O$10:O46)=0,"Waiting",0),IF(COUNTIF(O$10:O46,"&gt;=7")=0,0,COUNTIF(O$10:O46,"&gt;=7")/$D46*100))</f>
        <v/>
      </c>
      <c r="P49" s="43">
        <f>IF(SUM(P$10:P46)=0,IF(COUNTA(P$10:P46)=0,"Waiting",0),IF(COUNTIF(P$10:P46,"&gt;=7")=0,0,COUNTIF(P$10:P46,"&gt;=7")/$D46*100))</f>
        <v/>
      </c>
      <c r="Q49" s="43">
        <f>IF(SUM(Q$10:Q46)=0,IF(COUNTA(Q$10:Q46)=0,"Waiting",0),IF(COUNTIF(Q$10:Q46,"&gt;=7")=0,0,COUNTIF(Q$10:Q46,"&gt;=7")/$D46*100))</f>
        <v/>
      </c>
      <c r="R49" s="43">
        <f>IF(SUM(R$10:R46)=0,IF(COUNTA(R$10:R46)=0,"Waiting",0),IF(COUNTIF(R$10:R46,"&gt;=7")=0,0,COUNTIF(R$10:R46,"&gt;=7")/$D46*100))</f>
        <v/>
      </c>
      <c r="S49" s="43">
        <f>IF(SUM(S$10:S46)=0,IF(COUNTA(S$10:S46)=0,"Waiting",0),IF(COUNTIF(S$10:S46,"&gt;=7")=0,0,COUNTIF(S$10:S46,"&gt;=7")/$D46*100))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IFERROR(AVERAGE(F48:S48),"Waiting")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IFERROR(AVERAGE($F49:S49),"Waiting")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IF(COUNTIF($C$10:$C46,"=B")=0,IF(COUNTIF($C$10:$C46,"=K")=0,"Waiting",0),COUNTIF($C$10:$C46,"=B"))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IF(COUNTIF($C$10:$C46,"=K")=0,IF(COUNTIF($C$10:$C46,"=B")=0,"Waiting",0),COUNTIF($C$10:$C46,"=K"))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IF(F52="Waiting","Waiting",IF(F52-COUNTIF($T$10:$T46,"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'General'!C12</f>
        <v/>
      </c>
      <c r="D11" s="47" t="n">
        <v>2</v>
      </c>
      <c r="E11" s="48">
        <f>'General'!E12</f>
        <v/>
      </c>
      <c r="F11" s="49">
        <f>'General'!F12</f>
        <v/>
      </c>
      <c r="G11" s="49">
        <f>'General'!G12</f>
        <v/>
      </c>
      <c r="H11" s="49">
        <f>'General'!H12</f>
        <v/>
      </c>
      <c r="I11" s="49">
        <f>'General'!I12</f>
        <v/>
      </c>
      <c r="J11" s="49">
        <f>'General'!J12</f>
        <v/>
      </c>
      <c r="K11" s="49">
        <f>'General'!K12</f>
        <v/>
      </c>
      <c r="L11" s="49">
        <f>'General'!L12</f>
        <v/>
      </c>
      <c r="M11" s="49">
        <f>'General'!M12</f>
        <v/>
      </c>
      <c r="N11" s="49">
        <f>'General'!N12</f>
        <v/>
      </c>
      <c r="O11" s="49">
        <f>'General'!O12</f>
        <v/>
      </c>
      <c r="P11" s="49">
        <f>'General'!P12</f>
        <v/>
      </c>
      <c r="Q11" s="49">
        <f>'General'!Q12</f>
        <v/>
      </c>
      <c r="R11" s="49">
        <f>'General'!R12</f>
        <v/>
      </c>
      <c r="S11" s="49">
        <f>'General'!S12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'General'!C13</f>
        <v/>
      </c>
      <c r="D12" s="47" t="n">
        <v>3</v>
      </c>
      <c r="E12" s="48">
        <f>'General'!E13</f>
        <v/>
      </c>
      <c r="F12" s="49">
        <f>'General'!F13</f>
        <v/>
      </c>
      <c r="G12" s="49">
        <f>'General'!G13</f>
        <v/>
      </c>
      <c r="H12" s="49">
        <f>'General'!H13</f>
        <v/>
      </c>
      <c r="I12" s="49">
        <f>'General'!I13</f>
        <v/>
      </c>
      <c r="J12" s="49">
        <f>'General'!J13</f>
        <v/>
      </c>
      <c r="K12" s="49">
        <f>'General'!K13</f>
        <v/>
      </c>
      <c r="L12" s="49">
        <f>'General'!L13</f>
        <v/>
      </c>
      <c r="M12" s="49">
        <f>'General'!M13</f>
        <v/>
      </c>
      <c r="N12" s="49">
        <f>'General'!N13</f>
        <v/>
      </c>
      <c r="O12" s="49">
        <f>'General'!O13</f>
        <v/>
      </c>
      <c r="P12" s="49">
        <f>'General'!P13</f>
        <v/>
      </c>
      <c r="Q12" s="49">
        <f>'General'!Q13</f>
        <v/>
      </c>
      <c r="R12" s="49">
        <f>'General'!R13</f>
        <v/>
      </c>
      <c r="S12" s="49">
        <f>'General'!S13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'General'!C15</f>
        <v/>
      </c>
      <c r="D13" s="47" t="n">
        <v>4</v>
      </c>
      <c r="E13" s="48">
        <f>'General'!E15</f>
        <v/>
      </c>
      <c r="F13" s="49">
        <f>'General'!F15</f>
        <v/>
      </c>
      <c r="G13" s="49">
        <f>'General'!G15</f>
        <v/>
      </c>
      <c r="H13" s="49">
        <f>'General'!H15</f>
        <v/>
      </c>
      <c r="I13" s="49">
        <f>'General'!I15</f>
        <v/>
      </c>
      <c r="J13" s="49">
        <f>'General'!J15</f>
        <v/>
      </c>
      <c r="K13" s="49">
        <f>'General'!K15</f>
        <v/>
      </c>
      <c r="L13" s="49">
        <f>'General'!L15</f>
        <v/>
      </c>
      <c r="M13" s="49">
        <f>'General'!M15</f>
        <v/>
      </c>
      <c r="N13" s="49">
        <f>'General'!N15</f>
        <v/>
      </c>
      <c r="O13" s="49">
        <f>'General'!O15</f>
        <v/>
      </c>
      <c r="P13" s="49">
        <f>'General'!P15</f>
        <v/>
      </c>
      <c r="Q13" s="49">
        <f>'General'!Q15</f>
        <v/>
      </c>
      <c r="R13" s="49">
        <f>'General'!R15</f>
        <v/>
      </c>
      <c r="S13" s="49">
        <f>'General'!S15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'General'!C19</f>
        <v/>
      </c>
      <c r="D14" s="47" t="n">
        <v>5</v>
      </c>
      <c r="E14" s="48">
        <f>'General'!E19</f>
        <v/>
      </c>
      <c r="F14" s="49">
        <f>'General'!F19</f>
        <v/>
      </c>
      <c r="G14" s="49">
        <f>'General'!G19</f>
        <v/>
      </c>
      <c r="H14" s="49">
        <f>'General'!H19</f>
        <v/>
      </c>
      <c r="I14" s="49">
        <f>'General'!I19</f>
        <v/>
      </c>
      <c r="J14" s="49">
        <f>'General'!J19</f>
        <v/>
      </c>
      <c r="K14" s="49">
        <f>'General'!K19</f>
        <v/>
      </c>
      <c r="L14" s="49">
        <f>'General'!L19</f>
        <v/>
      </c>
      <c r="M14" s="49">
        <f>'General'!M19</f>
        <v/>
      </c>
      <c r="N14" s="49">
        <f>'General'!N19</f>
        <v/>
      </c>
      <c r="O14" s="49">
        <f>'General'!O19</f>
        <v/>
      </c>
      <c r="P14" s="49">
        <f>'General'!P19</f>
        <v/>
      </c>
      <c r="Q14" s="49">
        <f>'General'!Q19</f>
        <v/>
      </c>
      <c r="R14" s="49">
        <f>'General'!R19</f>
        <v/>
      </c>
      <c r="S14" s="49">
        <f>'General'!S19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'General'!C20</f>
        <v/>
      </c>
      <c r="D15" s="47" t="n">
        <v>6</v>
      </c>
      <c r="E15" s="48">
        <f>'General'!E20</f>
        <v/>
      </c>
      <c r="F15" s="49">
        <f>'General'!F20</f>
        <v/>
      </c>
      <c r="G15" s="49">
        <f>'General'!G20</f>
        <v/>
      </c>
      <c r="H15" s="49">
        <f>'General'!H20</f>
        <v/>
      </c>
      <c r="I15" s="49">
        <f>'General'!I20</f>
        <v/>
      </c>
      <c r="J15" s="49">
        <f>'General'!J20</f>
        <v/>
      </c>
      <c r="K15" s="49">
        <f>'General'!K20</f>
        <v/>
      </c>
      <c r="L15" s="49">
        <f>'General'!L20</f>
        <v/>
      </c>
      <c r="M15" s="49">
        <f>'General'!M20</f>
        <v/>
      </c>
      <c r="N15" s="49">
        <f>'General'!N20</f>
        <v/>
      </c>
      <c r="O15" s="49">
        <f>'General'!O20</f>
        <v/>
      </c>
      <c r="P15" s="49">
        <f>'General'!P20</f>
        <v/>
      </c>
      <c r="Q15" s="49">
        <f>'General'!Q20</f>
        <v/>
      </c>
      <c r="R15" s="49">
        <f>'General'!R20</f>
        <v/>
      </c>
      <c r="S15" s="49">
        <f>'General'!S20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'General'!C22</f>
        <v/>
      </c>
      <c r="D16" s="47" t="n">
        <v>7</v>
      </c>
      <c r="E16" s="48">
        <f>'General'!E22</f>
        <v/>
      </c>
      <c r="F16" s="49">
        <f>'General'!F22</f>
        <v/>
      </c>
      <c r="G16" s="49">
        <f>'General'!G22</f>
        <v/>
      </c>
      <c r="H16" s="49">
        <f>'General'!H22</f>
        <v/>
      </c>
      <c r="I16" s="49">
        <f>'General'!I22</f>
        <v/>
      </c>
      <c r="J16" s="49">
        <f>'General'!J22</f>
        <v/>
      </c>
      <c r="K16" s="49">
        <f>'General'!K22</f>
        <v/>
      </c>
      <c r="L16" s="49">
        <f>'General'!L22</f>
        <v/>
      </c>
      <c r="M16" s="49">
        <f>'General'!M22</f>
        <v/>
      </c>
      <c r="N16" s="49">
        <f>'General'!N22</f>
        <v/>
      </c>
      <c r="O16" s="49">
        <f>'General'!O22</f>
        <v/>
      </c>
      <c r="P16" s="49">
        <f>'General'!P22</f>
        <v/>
      </c>
      <c r="Q16" s="49">
        <f>'General'!Q22</f>
        <v/>
      </c>
      <c r="R16" s="49">
        <f>'General'!R22</f>
        <v/>
      </c>
      <c r="S16" s="49">
        <f>'General'!S22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'General'!C23</f>
        <v/>
      </c>
      <c r="D17" s="47" t="n">
        <v>8</v>
      </c>
      <c r="E17" s="48">
        <f>'General'!E23</f>
        <v/>
      </c>
      <c r="F17" s="49">
        <f>'General'!F23</f>
        <v/>
      </c>
      <c r="G17" s="49">
        <f>'General'!G23</f>
        <v/>
      </c>
      <c r="H17" s="49">
        <f>'General'!H23</f>
        <v/>
      </c>
      <c r="I17" s="49">
        <f>'General'!I23</f>
        <v/>
      </c>
      <c r="J17" s="49">
        <f>'General'!J23</f>
        <v/>
      </c>
      <c r="K17" s="49">
        <f>'General'!K23</f>
        <v/>
      </c>
      <c r="L17" s="49">
        <f>'General'!L23</f>
        <v/>
      </c>
      <c r="M17" s="49">
        <f>'General'!M23</f>
        <v/>
      </c>
      <c r="N17" s="49">
        <f>'General'!N23</f>
        <v/>
      </c>
      <c r="O17" s="49">
        <f>'General'!O23</f>
        <v/>
      </c>
      <c r="P17" s="49">
        <f>'General'!P23</f>
        <v/>
      </c>
      <c r="Q17" s="49">
        <f>'General'!Q23</f>
        <v/>
      </c>
      <c r="R17" s="49">
        <f>'General'!R23</f>
        <v/>
      </c>
      <c r="S17" s="49">
        <f>'General'!S23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'General'!C25</f>
        <v/>
      </c>
      <c r="D18" s="47" t="n">
        <v>9</v>
      </c>
      <c r="E18" s="48">
        <f>'General'!E25</f>
        <v/>
      </c>
      <c r="F18" s="49">
        <f>'General'!F25</f>
        <v/>
      </c>
      <c r="G18" s="49">
        <f>'General'!G25</f>
        <v/>
      </c>
      <c r="H18" s="49">
        <f>'General'!H25</f>
        <v/>
      </c>
      <c r="I18" s="49">
        <f>'General'!I25</f>
        <v/>
      </c>
      <c r="J18" s="49">
        <f>'General'!J25</f>
        <v/>
      </c>
      <c r="K18" s="49">
        <f>'General'!K25</f>
        <v/>
      </c>
      <c r="L18" s="49">
        <f>'General'!L25</f>
        <v/>
      </c>
      <c r="M18" s="49">
        <f>'General'!M25</f>
        <v/>
      </c>
      <c r="N18" s="49">
        <f>'General'!N25</f>
        <v/>
      </c>
      <c r="O18" s="49">
        <f>'General'!O25</f>
        <v/>
      </c>
      <c r="P18" s="49">
        <f>'General'!P25</f>
        <v/>
      </c>
      <c r="Q18" s="49">
        <f>'General'!Q25</f>
        <v/>
      </c>
      <c r="R18" s="49">
        <f>'General'!R25</f>
        <v/>
      </c>
      <c r="S18" s="49">
        <f>'General'!S25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'General'!C28</f>
        <v/>
      </c>
      <c r="D19" s="47" t="n">
        <v>10</v>
      </c>
      <c r="E19" s="48">
        <f>'General'!E28</f>
        <v/>
      </c>
      <c r="F19" s="49">
        <f>'General'!F28</f>
        <v/>
      </c>
      <c r="G19" s="49">
        <f>'General'!G28</f>
        <v/>
      </c>
      <c r="H19" s="49">
        <f>'General'!H28</f>
        <v/>
      </c>
      <c r="I19" s="49">
        <f>'General'!I28</f>
        <v/>
      </c>
      <c r="J19" s="49">
        <f>'General'!J28</f>
        <v/>
      </c>
      <c r="K19" s="49">
        <f>'General'!K28</f>
        <v/>
      </c>
      <c r="L19" s="49">
        <f>'General'!L28</f>
        <v/>
      </c>
      <c r="M19" s="49">
        <f>'General'!M28</f>
        <v/>
      </c>
      <c r="N19" s="49">
        <f>'General'!N28</f>
        <v/>
      </c>
      <c r="O19" s="49">
        <f>'General'!O28</f>
        <v/>
      </c>
      <c r="P19" s="49">
        <f>'General'!P28</f>
        <v/>
      </c>
      <c r="Q19" s="49">
        <f>'General'!Q28</f>
        <v/>
      </c>
      <c r="R19" s="49">
        <f>'General'!R28</f>
        <v/>
      </c>
      <c r="S19" s="49">
        <f>'General'!S28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'General'!C29</f>
        <v/>
      </c>
      <c r="D20" s="47" t="n">
        <v>11</v>
      </c>
      <c r="E20" s="48">
        <f>'General'!E29</f>
        <v/>
      </c>
      <c r="F20" s="49">
        <f>'General'!F29</f>
        <v/>
      </c>
      <c r="G20" s="49">
        <f>'General'!G29</f>
        <v/>
      </c>
      <c r="H20" s="49">
        <f>'General'!H29</f>
        <v/>
      </c>
      <c r="I20" s="49">
        <f>'General'!I29</f>
        <v/>
      </c>
      <c r="J20" s="49">
        <f>'General'!J29</f>
        <v/>
      </c>
      <c r="K20" s="49">
        <f>'General'!K29</f>
        <v/>
      </c>
      <c r="L20" s="49">
        <f>'General'!L29</f>
        <v/>
      </c>
      <c r="M20" s="49">
        <f>'General'!M29</f>
        <v/>
      </c>
      <c r="N20" s="49">
        <f>'General'!N29</f>
        <v/>
      </c>
      <c r="O20" s="49">
        <f>'General'!O29</f>
        <v/>
      </c>
      <c r="P20" s="49">
        <f>'General'!P29</f>
        <v/>
      </c>
      <c r="Q20" s="49">
        <f>'General'!Q29</f>
        <v/>
      </c>
      <c r="R20" s="49">
        <f>'General'!R29</f>
        <v/>
      </c>
      <c r="S20" s="49">
        <f>'General'!S29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'General'!C30</f>
        <v/>
      </c>
      <c r="D21" s="47" t="n">
        <v>12</v>
      </c>
      <c r="E21" s="48">
        <f>'General'!E30</f>
        <v/>
      </c>
      <c r="F21" s="49">
        <f>'General'!F30</f>
        <v/>
      </c>
      <c r="G21" s="49">
        <f>'General'!G30</f>
        <v/>
      </c>
      <c r="H21" s="49">
        <f>'General'!H30</f>
        <v/>
      </c>
      <c r="I21" s="49">
        <f>'General'!I30</f>
        <v/>
      </c>
      <c r="J21" s="49">
        <f>'General'!J30</f>
        <v/>
      </c>
      <c r="K21" s="49">
        <f>'General'!K30</f>
        <v/>
      </c>
      <c r="L21" s="49">
        <f>'General'!L30</f>
        <v/>
      </c>
      <c r="M21" s="49">
        <f>'General'!M30</f>
        <v/>
      </c>
      <c r="N21" s="49">
        <f>'General'!N30</f>
        <v/>
      </c>
      <c r="O21" s="49">
        <f>'General'!O30</f>
        <v/>
      </c>
      <c r="P21" s="49">
        <f>'General'!P30</f>
        <v/>
      </c>
      <c r="Q21" s="49">
        <f>'General'!Q30</f>
        <v/>
      </c>
      <c r="R21" s="49">
        <f>'General'!R30</f>
        <v/>
      </c>
      <c r="S21" s="49">
        <f>'General'!S30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'General'!C32</f>
        <v/>
      </c>
      <c r="D22" s="47" t="n">
        <v>13</v>
      </c>
      <c r="E22" s="48">
        <f>'General'!E32</f>
        <v/>
      </c>
      <c r="F22" s="49">
        <f>'General'!F32</f>
        <v/>
      </c>
      <c r="G22" s="49">
        <f>'General'!G32</f>
        <v/>
      </c>
      <c r="H22" s="49">
        <f>'General'!H32</f>
        <v/>
      </c>
      <c r="I22" s="49">
        <f>'General'!I32</f>
        <v/>
      </c>
      <c r="J22" s="49">
        <f>'General'!J32</f>
        <v/>
      </c>
      <c r="K22" s="49">
        <f>'General'!K32</f>
        <v/>
      </c>
      <c r="L22" s="49">
        <f>'General'!L32</f>
        <v/>
      </c>
      <c r="M22" s="49">
        <f>'General'!M32</f>
        <v/>
      </c>
      <c r="N22" s="49">
        <f>'General'!N32</f>
        <v/>
      </c>
      <c r="O22" s="49">
        <f>'General'!O32</f>
        <v/>
      </c>
      <c r="P22" s="49">
        <f>'General'!P32</f>
        <v/>
      </c>
      <c r="Q22" s="49">
        <f>'General'!Q32</f>
        <v/>
      </c>
      <c r="R22" s="49">
        <f>'General'!R32</f>
        <v/>
      </c>
      <c r="S22" s="49">
        <f>'General'!S32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'General'!C33</f>
        <v/>
      </c>
      <c r="D23" s="47" t="n">
        <v>14</v>
      </c>
      <c r="E23" s="48">
        <f>'General'!E33</f>
        <v/>
      </c>
      <c r="F23" s="49">
        <f>'General'!F33</f>
        <v/>
      </c>
      <c r="G23" s="49">
        <f>'General'!G33</f>
        <v/>
      </c>
      <c r="H23" s="49">
        <f>'General'!H33</f>
        <v/>
      </c>
      <c r="I23" s="49">
        <f>'General'!I33</f>
        <v/>
      </c>
      <c r="J23" s="49">
        <f>'General'!J33</f>
        <v/>
      </c>
      <c r="K23" s="49">
        <f>'General'!K33</f>
        <v/>
      </c>
      <c r="L23" s="49">
        <f>'General'!L33</f>
        <v/>
      </c>
      <c r="M23" s="49">
        <f>'General'!M33</f>
        <v/>
      </c>
      <c r="N23" s="49">
        <f>'General'!N33</f>
        <v/>
      </c>
      <c r="O23" s="49">
        <f>'General'!O33</f>
        <v/>
      </c>
      <c r="P23" s="49">
        <f>'General'!P33</f>
        <v/>
      </c>
      <c r="Q23" s="49">
        <f>'General'!Q33</f>
        <v/>
      </c>
      <c r="R23" s="49">
        <f>'General'!R33</f>
        <v/>
      </c>
      <c r="S23" s="49">
        <f>'General'!S33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'General'!C35</f>
        <v/>
      </c>
      <c r="D24" s="47" t="n">
        <v>15</v>
      </c>
      <c r="E24" s="48">
        <f>'General'!E35</f>
        <v/>
      </c>
      <c r="F24" s="49">
        <f>'General'!F35</f>
        <v/>
      </c>
      <c r="G24" s="49">
        <f>'General'!G35</f>
        <v/>
      </c>
      <c r="H24" s="49">
        <f>'General'!H35</f>
        <v/>
      </c>
      <c r="I24" s="49">
        <f>'General'!I35</f>
        <v/>
      </c>
      <c r="J24" s="49">
        <f>'General'!J35</f>
        <v/>
      </c>
      <c r="K24" s="49">
        <f>'General'!K35</f>
        <v/>
      </c>
      <c r="L24" s="49">
        <f>'General'!L35</f>
        <v/>
      </c>
      <c r="M24" s="49">
        <f>'General'!M35</f>
        <v/>
      </c>
      <c r="N24" s="49">
        <f>'General'!N35</f>
        <v/>
      </c>
      <c r="O24" s="49">
        <f>'General'!O35</f>
        <v/>
      </c>
      <c r="P24" s="49">
        <f>'General'!P35</f>
        <v/>
      </c>
      <c r="Q24" s="49">
        <f>'General'!Q35</f>
        <v/>
      </c>
      <c r="R24" s="49">
        <f>'General'!R35</f>
        <v/>
      </c>
      <c r="S24" s="49">
        <f>'General'!S35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'General'!C40</f>
        <v/>
      </c>
      <c r="D25" s="47" t="n">
        <v>16</v>
      </c>
      <c r="E25" s="48">
        <f>'General'!E40</f>
        <v/>
      </c>
      <c r="F25" s="49">
        <f>'General'!F40</f>
        <v/>
      </c>
      <c r="G25" s="49">
        <f>'General'!G40</f>
        <v/>
      </c>
      <c r="H25" s="49">
        <f>'General'!H40</f>
        <v/>
      </c>
      <c r="I25" s="49">
        <f>'General'!I40</f>
        <v/>
      </c>
      <c r="J25" s="49">
        <f>'General'!J40</f>
        <v/>
      </c>
      <c r="K25" s="49">
        <f>'General'!K40</f>
        <v/>
      </c>
      <c r="L25" s="49">
        <f>'General'!L40</f>
        <v/>
      </c>
      <c r="M25" s="49">
        <f>'General'!M40</f>
        <v/>
      </c>
      <c r="N25" s="49">
        <f>'General'!N40</f>
        <v/>
      </c>
      <c r="O25" s="49">
        <f>'General'!O40</f>
        <v/>
      </c>
      <c r="P25" s="49">
        <f>'General'!P40</f>
        <v/>
      </c>
      <c r="Q25" s="49">
        <f>'General'!Q40</f>
        <v/>
      </c>
      <c r="R25" s="49">
        <f>'General'!R40</f>
        <v/>
      </c>
      <c r="S25" s="49">
        <f>'General'!S40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'General'!C41</f>
        <v/>
      </c>
      <c r="D26" s="47" t="n">
        <v>17</v>
      </c>
      <c r="E26" s="48">
        <f>'General'!E41</f>
        <v/>
      </c>
      <c r="F26" s="49">
        <f>'General'!F41</f>
        <v/>
      </c>
      <c r="G26" s="49">
        <f>'General'!G41</f>
        <v/>
      </c>
      <c r="H26" s="49">
        <f>'General'!H41</f>
        <v/>
      </c>
      <c r="I26" s="49">
        <f>'General'!I41</f>
        <v/>
      </c>
      <c r="J26" s="49">
        <f>'General'!J41</f>
        <v/>
      </c>
      <c r="K26" s="49">
        <f>'General'!K41</f>
        <v/>
      </c>
      <c r="L26" s="49">
        <f>'General'!L41</f>
        <v/>
      </c>
      <c r="M26" s="49">
        <f>'General'!M41</f>
        <v/>
      </c>
      <c r="N26" s="49">
        <f>'General'!N41</f>
        <v/>
      </c>
      <c r="O26" s="49">
        <f>'General'!O41</f>
        <v/>
      </c>
      <c r="P26" s="49">
        <f>'General'!P41</f>
        <v/>
      </c>
      <c r="Q26" s="49">
        <f>'General'!Q41</f>
        <v/>
      </c>
      <c r="R26" s="49">
        <f>'General'!R41</f>
        <v/>
      </c>
      <c r="S26" s="49">
        <f>'General'!S41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>
        <f>'General'!C43</f>
        <v/>
      </c>
      <c r="D27" s="47" t="n">
        <v>18</v>
      </c>
      <c r="E27" s="48">
        <f>'General'!E43</f>
        <v/>
      </c>
      <c r="F27" s="49">
        <f>'General'!F43</f>
        <v/>
      </c>
      <c r="G27" s="49">
        <f>'General'!G43</f>
        <v/>
      </c>
      <c r="H27" s="49">
        <f>'General'!H43</f>
        <v/>
      </c>
      <c r="I27" s="49">
        <f>'General'!I43</f>
        <v/>
      </c>
      <c r="J27" s="49">
        <f>'General'!J43</f>
        <v/>
      </c>
      <c r="K27" s="49">
        <f>'General'!K43</f>
        <v/>
      </c>
      <c r="L27" s="49">
        <f>'General'!L43</f>
        <v/>
      </c>
      <c r="M27" s="49">
        <f>'General'!M43</f>
        <v/>
      </c>
      <c r="N27" s="49">
        <f>'General'!N43</f>
        <v/>
      </c>
      <c r="O27" s="49">
        <f>'General'!O43</f>
        <v/>
      </c>
      <c r="P27" s="49">
        <f>'General'!P43</f>
        <v/>
      </c>
      <c r="Q27" s="49">
        <f>'General'!Q43</f>
        <v/>
      </c>
      <c r="R27" s="49">
        <f>'General'!R43</f>
        <v/>
      </c>
      <c r="S27" s="49">
        <f>'General'!S43</f>
        <v/>
      </c>
      <c r="T27" s="42">
        <f>IF(COUNTIF($F27:S27,"=*")&gt;0,IF($C27="K","-"," - "),IF(COUNTIF($F27:S27,"&lt;4")&gt;0,IF(C27="K","-","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>
        <f>'General'!C44</f>
        <v/>
      </c>
      <c r="D28" s="47" t="n">
        <v>19</v>
      </c>
      <c r="E28" s="48">
        <f>'General'!E44</f>
        <v/>
      </c>
      <c r="F28" s="49">
        <f>'General'!F44</f>
        <v/>
      </c>
      <c r="G28" s="49">
        <f>'General'!G44</f>
        <v/>
      </c>
      <c r="H28" s="49">
        <f>'General'!H44</f>
        <v/>
      </c>
      <c r="I28" s="49">
        <f>'General'!I44</f>
        <v/>
      </c>
      <c r="J28" s="49">
        <f>'General'!J44</f>
        <v/>
      </c>
      <c r="K28" s="49">
        <f>'General'!K44</f>
        <v/>
      </c>
      <c r="L28" s="49">
        <f>'General'!L44</f>
        <v/>
      </c>
      <c r="M28" s="49">
        <f>'General'!M44</f>
        <v/>
      </c>
      <c r="N28" s="49">
        <f>'General'!N44</f>
        <v/>
      </c>
      <c r="O28" s="49">
        <f>'General'!O44</f>
        <v/>
      </c>
      <c r="P28" s="49">
        <f>'General'!P44</f>
        <v/>
      </c>
      <c r="Q28" s="49">
        <f>'General'!Q44</f>
        <v/>
      </c>
      <c r="R28" s="49">
        <f>'General'!R44</f>
        <v/>
      </c>
      <c r="S28" s="49">
        <f>'General'!S44</f>
        <v/>
      </c>
      <c r="T28" s="42">
        <f>IF(COUNTIF($F28:S28,"=*")&gt;0,IF($C28="K","-"," - "),IF(COUNTIF($F28:S28,"&lt;4")&gt;0,IF(C28="K","-","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>
        <f>'General'!C45</f>
        <v/>
      </c>
      <c r="D29" s="47" t="n">
        <v>20</v>
      </c>
      <c r="E29" s="48">
        <f>'General'!E45</f>
        <v/>
      </c>
      <c r="F29" s="49">
        <f>'General'!F45</f>
        <v/>
      </c>
      <c r="G29" s="49">
        <f>'General'!G45</f>
        <v/>
      </c>
      <c r="H29" s="49">
        <f>'General'!H45</f>
        <v/>
      </c>
      <c r="I29" s="49">
        <f>'General'!I45</f>
        <v/>
      </c>
      <c r="J29" s="49">
        <f>'General'!J45</f>
        <v/>
      </c>
      <c r="K29" s="49">
        <f>'General'!K45</f>
        <v/>
      </c>
      <c r="L29" s="49">
        <f>'General'!L45</f>
        <v/>
      </c>
      <c r="M29" s="49">
        <f>'General'!M45</f>
        <v/>
      </c>
      <c r="N29" s="49">
        <f>'General'!N45</f>
        <v/>
      </c>
      <c r="O29" s="49">
        <f>'General'!O45</f>
        <v/>
      </c>
      <c r="P29" s="49">
        <f>'General'!P45</f>
        <v/>
      </c>
      <c r="Q29" s="49">
        <f>'General'!Q45</f>
        <v/>
      </c>
      <c r="R29" s="49">
        <f>'General'!R45</f>
        <v/>
      </c>
      <c r="S29" s="49">
        <f>'General'!S45</f>
        <v/>
      </c>
      <c r="T29" s="42">
        <f>IF(COUNTIF($F29:S29,"=*")&gt;0,IF($C29="K","-"," - "),IF(COUNTIF($F29:S29,"&lt;4")&gt;0,IF(C29="K","-","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IF(SUM(F$10:F29)=0,IF(COUNTA(F$10:F29)=0,"Waiting",0),SUM(F$10:F29)/$D29)</f>
        <v/>
      </c>
      <c r="G30" s="8">
        <f>IF(SUM(G$10:G29)=0,IF(COUNTA(G$10:G29)=0,"Waiting",0),SUM(G$10:G29)/$D29)</f>
        <v/>
      </c>
      <c r="H30" s="8">
        <f>IF(SUM(H$10:H29)=0,IF(COUNTA(H$10:H29)=0,"Waiting",0),SUM(H$10:H29)/$D29)</f>
        <v/>
      </c>
      <c r="I30" s="8">
        <f>IF(SUM(I$10:I29)=0,IF(COUNTA(I$10:I29)=0,"Waiting",0),SUM(I$10:I29)/$D29)</f>
        <v/>
      </c>
      <c r="J30" s="8">
        <f>IF(SUM(J$10:J29)=0,IF(COUNTA(J$10:J29)=0,"Waiting",0),SUM(J$10:J29)/$D29)</f>
        <v/>
      </c>
      <c r="K30" s="8">
        <f>IF(SUM(K$10:K29)=0,IF(COUNTA(K$10:K29)=0,"Waiting",0),SUM(K$10:K29)/$D29)</f>
        <v/>
      </c>
      <c r="L30" s="8">
        <f>IF(SUM(L$10:L29)=0,IF(COUNTA(L$10:L29)=0,"Waiting",0),SUM(L$10:L29)/$D29)</f>
        <v/>
      </c>
      <c r="M30" s="8">
        <f>IF(SUM(M$10:M29)=0,IF(COUNTA(M$10:M29)=0,"Waiting",0),SUM(M$10:M29)/$D29)</f>
        <v/>
      </c>
      <c r="N30" s="8">
        <f>IF(SUM(N$10:N29)=0,IF(COUNTA(N$10:N29)=0,"Waiting",0),SUM(N$10:N29)/$D29)</f>
        <v/>
      </c>
      <c r="O30" s="8">
        <f>IF(SUM(O$10:O29)=0,IF(COUNTA(O$10:O29)=0,"Waiting",0),SUM(O$10:O29)/$D29)</f>
        <v/>
      </c>
      <c r="P30" s="8">
        <f>IF(SUM(P$10:P29)=0,IF(COUNTA(P$10:P29)=0,"Waiting",0),SUM(P$10:P29)/$D29)</f>
        <v/>
      </c>
      <c r="Q30" s="8">
        <f>IF(SUM(Q$10:Q29)=0,IF(COUNTA(Q$10:Q29)=0,"Waiting",0),SUM(Q$10:Q29)/$D29)</f>
        <v/>
      </c>
      <c r="R30" s="8">
        <f>IF(SUM(R$10:R29)=0,IF(COUNTA(R$10:R29)=0,"Waiting",0),SUM(R$10:R29)/$D29)</f>
        <v/>
      </c>
      <c r="S30" s="8">
        <f>IF(SUM(S$10:S29)=0,IF(COUNTA(S$10:S29)=0,"Waiting",0),SUM(S$10:S29)/$D29)</f>
        <v/>
      </c>
      <c r="T30" s="9">
        <f>IFERROR(AVERAGE($F30:S30),"Waiting")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IF(SUM(F$10:F29)=0,IF(COUNTA(F$10:F29)=0,"Waiting",0),IF(COUNTIF(F$10:F29,"&gt;=4")=0,0,COUNTIF(F$10:F29,"&gt;=4")/$D29*100))</f>
        <v/>
      </c>
      <c r="G31" s="43">
        <f>IF(SUM(G$10:G29)=0,IF(COUNTA(G$10:G29)=0,"Waiting",0),IF(COUNTIF(G$10:G29,"&gt;=4")=0,0,COUNTIF(G$10:G29,"&gt;=4")/$D29*100))</f>
        <v/>
      </c>
      <c r="H31" s="43">
        <f>IF(SUM(H$10:H29)=0,IF(COUNTA(H$10:H29)=0,"Waiting",0),IF(COUNTIF(H$10:H29,"&gt;=4")=0,0,COUNTIF(H$10:H29,"&gt;=4")/$D29*100))</f>
        <v/>
      </c>
      <c r="I31" s="43">
        <f>IF(SUM(I$10:I29)=0,IF(COUNTA(I$10:I29)=0,"Waiting",0),IF(COUNTIF(I$10:I29,"&gt;=4")=0,0,COUNTIF(I$10:I29,"&gt;=4")/$D29*100))</f>
        <v/>
      </c>
      <c r="J31" s="43">
        <f>IF(SUM(J$10:J29)=0,IF(COUNTA(J$10:J29)=0,"Waiting",0),IF(COUNTIF(J$10:J29,"&gt;=4")=0,0,COUNTIF(J$10:J29,"&gt;=4")/$D29*100))</f>
        <v/>
      </c>
      <c r="K31" s="43">
        <f>IF(SUM(K$10:K29)=0,IF(COUNTA(K$10:K29)=0,"Waiting",0),IF(COUNTIF(K$10:K29,"&gt;=4")=0,0,COUNTIF(K$10:K29,"&gt;=4")/$D29*100))</f>
        <v/>
      </c>
      <c r="L31" s="43">
        <f>IF(SUM(L$10:L29)=0,IF(COUNTA(L$10:L29)=0,"Waiting",0),IF(COUNTIF(L$10:L29,"&gt;=4")=0,0,COUNTIF(L$10:L29,"&gt;=4")/$D29*100))</f>
        <v/>
      </c>
      <c r="M31" s="43">
        <f>IF(SUM(M$10:M29)=0,IF(COUNTA(M$10:M29)=0,"Waiting",0),IF(COUNTIF(M$10:M29,"&gt;=4")=0,0,COUNTIF(M$10:M29,"&gt;=4")/$D29*100))</f>
        <v/>
      </c>
      <c r="N31" s="43">
        <f>IF(SUM(N$10:N29)=0,IF(COUNTA(N$10:N29)=0,"Waiting",0),IF(COUNTIF(N$10:N29,"&gt;=4")=0,0,COUNTIF(N$10:N29,"&gt;=4")/$D29*100))</f>
        <v/>
      </c>
      <c r="O31" s="43">
        <f>IF(SUM(O$10:O29)=0,IF(COUNTA(O$10:O29)=0,"Waiting",0),IF(COUNTIF(O$10:O29,"&gt;=4")=0,0,COUNTIF(O$10:O29,"&gt;=4")/$D29*100))</f>
        <v/>
      </c>
      <c r="P31" s="43">
        <f>IF(SUM(P$10:P29)=0,IF(COUNTA(P$10:P29)=0,"Waiting",0),IF(COUNTIF(P$10:P29,"&gt;=4")=0,0,COUNTIF(P$10:P29,"&gt;=4")/$D29*100))</f>
        <v/>
      </c>
      <c r="Q31" s="43">
        <f>IF(SUM(Q$10:Q29)=0,IF(COUNTA(Q$10:Q29)=0,"Waiting",0),IF(COUNTIF(Q$10:Q29,"&gt;=4")=0,0,COUNTIF(Q$10:Q29,"&gt;=4")/$D29*100))</f>
        <v/>
      </c>
      <c r="R31" s="43">
        <f>IF(SUM(R$10:R29)=0,IF(COUNTA(R$10:R29)=0,"Waiting",0),IF(COUNTIF(R$10:R29,"&gt;=4")=0,0,COUNTIF(R$10:R29,"&gt;=4")/$D29*100))</f>
        <v/>
      </c>
      <c r="S31" s="43">
        <f>IF(SUM(S$10:S29)=0,IF(COUNTA(S$10:S29)=0,"Waiting",0),IF(COUNTIF(S$10:S29,"&gt;=4")=0,0,COUNTIF(S$10:S29,"&gt;=4")/$D29*100))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IF(SUM(F$10:F29)=0,IF(COUNTA(F$10:F29)=0,"Waiting",0),IF(COUNTIF(F$10:F29,"&gt;=7")=0,0,COUNTIF(F$10:F29,"&gt;=7")/$D29*100))</f>
        <v/>
      </c>
      <c r="G32" s="43">
        <f>IF(SUM(G$10:G29)=0,IF(COUNTA(G$10:G29)=0,"Waiting",0),IF(COUNTIF(G$10:G29,"&gt;=7")=0,0,COUNTIF(G$10:G29,"&gt;=7")/$D29*100))</f>
        <v/>
      </c>
      <c r="H32" s="43">
        <f>IF(SUM(H$10:H29)=0,IF(COUNTA(H$10:H29)=0,"Waiting",0),IF(COUNTIF(H$10:H29,"&gt;=7")=0,0,COUNTIF(H$10:H29,"&gt;=7")/$D29*100))</f>
        <v/>
      </c>
      <c r="I32" s="43">
        <f>IF(SUM(I$10:I29)=0,IF(COUNTA(I$10:I29)=0,"Waiting",0),IF(COUNTIF(I$10:I29,"&gt;=7")=0,0,COUNTIF(I$10:I29,"&gt;=7")/$D29*100))</f>
        <v/>
      </c>
      <c r="J32" s="43">
        <f>IF(SUM(J$10:J29)=0,IF(COUNTA(J$10:J29)=0,"Waiting",0),IF(COUNTIF(J$10:J29,"&gt;=7")=0,0,COUNTIF(J$10:J29,"&gt;=7")/$D29*100))</f>
        <v/>
      </c>
      <c r="K32" s="43">
        <f>IF(SUM(K$10:K29)=0,IF(COUNTA(K$10:K29)=0,"Waiting",0),IF(COUNTIF(K$10:K29,"&gt;=7")=0,0,COUNTIF(K$10:K29,"&gt;=7")/$D29*100))</f>
        <v/>
      </c>
      <c r="L32" s="43">
        <f>IF(SUM(L$10:L29)=0,IF(COUNTA(L$10:L29)=0,"Waiting",0),IF(COUNTIF(L$10:L29,"&gt;=7")=0,0,COUNTIF(L$10:L29,"&gt;=7")/$D29*100))</f>
        <v/>
      </c>
      <c r="M32" s="43">
        <f>IF(SUM(M$10:M29)=0,IF(COUNTA(M$10:M29)=0,"Waiting",0),IF(COUNTIF(M$10:M29,"&gt;=7")=0,0,COUNTIF(M$10:M29,"&gt;=7")/$D29*100))</f>
        <v/>
      </c>
      <c r="N32" s="43">
        <f>IF(SUM(N$10:N29)=0,IF(COUNTA(N$10:N29)=0,"Waiting",0),IF(COUNTIF(N$10:N29,"&gt;=7")=0,0,COUNTIF(N$10:N29,"&gt;=7")/$D29*100))</f>
        <v/>
      </c>
      <c r="O32" s="43">
        <f>IF(SUM(O$10:O29)=0,IF(COUNTA(O$10:O29)=0,"Waiting",0),IF(COUNTIF(O$10:O29,"&gt;=7")=0,0,COUNTIF(O$10:O29,"&gt;=7")/$D29*100))</f>
        <v/>
      </c>
      <c r="P32" s="43">
        <f>IF(SUM(P$10:P29)=0,IF(COUNTA(P$10:P29)=0,"Waiting",0),IF(COUNTIF(P$10:P29,"&gt;=7")=0,0,COUNTIF(P$10:P29,"&gt;=7")/$D29*100))</f>
        <v/>
      </c>
      <c r="Q32" s="43">
        <f>IF(SUM(Q$10:Q29)=0,IF(COUNTA(Q$10:Q29)=0,"Waiting",0),IF(COUNTIF(Q$10:Q29,"&gt;=7")=0,0,COUNTIF(Q$10:Q29,"&gt;=7")/$D29*100))</f>
        <v/>
      </c>
      <c r="R32" s="43">
        <f>IF(SUM(R$10:R29)=0,IF(COUNTA(R$10:R29)=0,"Waiting",0),IF(COUNTIF(R$10:R29,"&gt;=7")=0,0,COUNTIF(R$10:R29,"&gt;=7")/$D29*100))</f>
        <v/>
      </c>
      <c r="S32" s="43">
        <f>IF(SUM(S$10:S29)=0,IF(COUNTA(S$10:S29)=0,"Waiting",0),IF(COUNTIF(S$10:S29,"&gt;=7")=0,0,COUNTIF(S$10:S29,"&gt;=7")/$D29*100))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IFERROR(AVERAGE(F31:S31),"Waiting")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IFERROR(AVERAGE($F32:S32),"Waiting")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IF(COUNTIF($C$10:$C29,"=B")=0,IF(COUNTIF($C$10:$C29,"=K")=0,"Waiting",0),COUNTIF($C$10:$C29,"=B"))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IF(COUNTIF($C$10:$C29,"=K")=0,IF(COUNTIF($C$10:$C29,"=B")=0,"Waiting",0),COUNTIF($C$10:$C29,"=K"))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'General'!P53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IF(F35="Waiting","Waiting",IF(F35-COUNTIF($T$10:$T29,"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'General'!C11</f>
        <v/>
      </c>
      <c r="D10" s="47" t="n">
        <v>1</v>
      </c>
      <c r="E10" s="48">
        <f>'General'!E11</f>
        <v/>
      </c>
      <c r="F10" s="49">
        <f>'General'!F11</f>
        <v/>
      </c>
      <c r="G10" s="49">
        <f>'General'!G11</f>
        <v/>
      </c>
      <c r="H10" s="49">
        <f>'General'!H11</f>
        <v/>
      </c>
      <c r="I10" s="49">
        <f>'General'!I11</f>
        <v/>
      </c>
      <c r="J10" s="49">
        <f>'General'!J11</f>
        <v/>
      </c>
      <c r="K10" s="49">
        <f>'General'!K11</f>
        <v/>
      </c>
      <c r="L10" s="49">
        <f>'General'!L11</f>
        <v/>
      </c>
      <c r="M10" s="49">
        <f>'General'!M11</f>
        <v/>
      </c>
      <c r="N10" s="49">
        <f>'General'!N11</f>
        <v/>
      </c>
      <c r="O10" s="49">
        <f>'General'!O11</f>
        <v/>
      </c>
      <c r="P10" s="49">
        <f>'General'!P11</f>
        <v/>
      </c>
      <c r="Q10" s="49">
        <f>'General'!Q11</f>
        <v/>
      </c>
      <c r="R10" s="49">
        <f>'General'!R11</f>
        <v/>
      </c>
      <c r="S10" s="49">
        <f>'General'!S11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'General'!C24</f>
        <v/>
      </c>
      <c r="D14" s="47" t="n">
        <v>5</v>
      </c>
      <c r="E14" s="48">
        <f>'General'!E24</f>
        <v/>
      </c>
      <c r="F14" s="49">
        <f>'General'!F24</f>
        <v/>
      </c>
      <c r="G14" s="49">
        <f>'General'!G24</f>
        <v/>
      </c>
      <c r="H14" s="49">
        <f>'General'!H24</f>
        <v/>
      </c>
      <c r="I14" s="49">
        <f>'General'!I24</f>
        <v/>
      </c>
      <c r="J14" s="49">
        <f>'General'!J24</f>
        <v/>
      </c>
      <c r="K14" s="49">
        <f>'General'!K24</f>
        <v/>
      </c>
      <c r="L14" s="49">
        <f>'General'!L24</f>
        <v/>
      </c>
      <c r="M14" s="49">
        <f>'General'!M24</f>
        <v/>
      </c>
      <c r="N14" s="49">
        <f>'General'!N24</f>
        <v/>
      </c>
      <c r="O14" s="49">
        <f>'General'!O24</f>
        <v/>
      </c>
      <c r="P14" s="49">
        <f>'General'!P24</f>
        <v/>
      </c>
      <c r="Q14" s="49">
        <f>'General'!Q24</f>
        <v/>
      </c>
      <c r="R14" s="49">
        <f>'General'!R24</f>
        <v/>
      </c>
      <c r="S14" s="49">
        <f>'General'!S24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'General'!C26</f>
        <v/>
      </c>
      <c r="D15" s="47" t="n">
        <v>6</v>
      </c>
      <c r="E15" s="48">
        <f>'General'!E26</f>
        <v/>
      </c>
      <c r="F15" s="49">
        <f>'General'!F26</f>
        <v/>
      </c>
      <c r="G15" s="49">
        <f>'General'!G26</f>
        <v/>
      </c>
      <c r="H15" s="49">
        <f>'General'!H26</f>
        <v/>
      </c>
      <c r="I15" s="49">
        <f>'General'!I26</f>
        <v/>
      </c>
      <c r="J15" s="49">
        <f>'General'!J26</f>
        <v/>
      </c>
      <c r="K15" s="49">
        <f>'General'!K26</f>
        <v/>
      </c>
      <c r="L15" s="49">
        <f>'General'!L26</f>
        <v/>
      </c>
      <c r="M15" s="49">
        <f>'General'!M26</f>
        <v/>
      </c>
      <c r="N15" s="49">
        <f>'General'!N26</f>
        <v/>
      </c>
      <c r="O15" s="49">
        <f>'General'!O26</f>
        <v/>
      </c>
      <c r="P15" s="49">
        <f>'General'!P26</f>
        <v/>
      </c>
      <c r="Q15" s="49">
        <f>'General'!Q26</f>
        <v/>
      </c>
      <c r="R15" s="49">
        <f>'General'!R26</f>
        <v/>
      </c>
      <c r="S15" s="49">
        <f>'General'!S26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'General'!C27</f>
        <v/>
      </c>
      <c r="D16" s="47" t="n">
        <v>7</v>
      </c>
      <c r="E16" s="48">
        <f>'General'!E27</f>
        <v/>
      </c>
      <c r="F16" s="49">
        <f>'General'!F27</f>
        <v/>
      </c>
      <c r="G16" s="49">
        <f>'General'!G27</f>
        <v/>
      </c>
      <c r="H16" s="49">
        <f>'General'!H27</f>
        <v/>
      </c>
      <c r="I16" s="49">
        <f>'General'!I27</f>
        <v/>
      </c>
      <c r="J16" s="49">
        <f>'General'!J27</f>
        <v/>
      </c>
      <c r="K16" s="49">
        <f>'General'!K27</f>
        <v/>
      </c>
      <c r="L16" s="49">
        <f>'General'!L27</f>
        <v/>
      </c>
      <c r="M16" s="49">
        <f>'General'!M27</f>
        <v/>
      </c>
      <c r="N16" s="49">
        <f>'General'!N27</f>
        <v/>
      </c>
      <c r="O16" s="49">
        <f>'General'!O27</f>
        <v/>
      </c>
      <c r="P16" s="49">
        <f>'General'!P27</f>
        <v/>
      </c>
      <c r="Q16" s="49">
        <f>'General'!Q27</f>
        <v/>
      </c>
      <c r="R16" s="49">
        <f>'General'!R27</f>
        <v/>
      </c>
      <c r="S16" s="49">
        <f>'General'!S27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'General'!C34</f>
        <v/>
      </c>
      <c r="D18" s="47" t="n">
        <v>9</v>
      </c>
      <c r="E18" s="48">
        <f>'General'!E34</f>
        <v/>
      </c>
      <c r="F18" s="49">
        <f>'General'!F34</f>
        <v/>
      </c>
      <c r="G18" s="49">
        <f>'General'!G34</f>
        <v/>
      </c>
      <c r="H18" s="49">
        <f>'General'!H34</f>
        <v/>
      </c>
      <c r="I18" s="49">
        <f>'General'!I34</f>
        <v/>
      </c>
      <c r="J18" s="49">
        <f>'General'!J34</f>
        <v/>
      </c>
      <c r="K18" s="49">
        <f>'General'!K34</f>
        <v/>
      </c>
      <c r="L18" s="49">
        <f>'General'!L34</f>
        <v/>
      </c>
      <c r="M18" s="49">
        <f>'General'!M34</f>
        <v/>
      </c>
      <c r="N18" s="49">
        <f>'General'!N34</f>
        <v/>
      </c>
      <c r="O18" s="49">
        <f>'General'!O34</f>
        <v/>
      </c>
      <c r="P18" s="49">
        <f>'General'!P34</f>
        <v/>
      </c>
      <c r="Q18" s="49">
        <f>'General'!Q34</f>
        <v/>
      </c>
      <c r="R18" s="49">
        <f>'General'!R34</f>
        <v/>
      </c>
      <c r="S18" s="49">
        <f>'General'!S34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'General'!C36</f>
        <v/>
      </c>
      <c r="D19" s="47" t="n">
        <v>10</v>
      </c>
      <c r="E19" s="48">
        <f>'General'!E36</f>
        <v/>
      </c>
      <c r="F19" s="49">
        <f>'General'!F36</f>
        <v/>
      </c>
      <c r="G19" s="49">
        <f>'General'!G36</f>
        <v/>
      </c>
      <c r="H19" s="49">
        <f>'General'!H36</f>
        <v/>
      </c>
      <c r="I19" s="49">
        <f>'General'!I36</f>
        <v/>
      </c>
      <c r="J19" s="49">
        <f>'General'!J36</f>
        <v/>
      </c>
      <c r="K19" s="49">
        <f>'General'!K36</f>
        <v/>
      </c>
      <c r="L19" s="49">
        <f>'General'!L36</f>
        <v/>
      </c>
      <c r="M19" s="49">
        <f>'General'!M36</f>
        <v/>
      </c>
      <c r="N19" s="49">
        <f>'General'!N36</f>
        <v/>
      </c>
      <c r="O19" s="49">
        <f>'General'!O36</f>
        <v/>
      </c>
      <c r="P19" s="49">
        <f>'General'!P36</f>
        <v/>
      </c>
      <c r="Q19" s="49">
        <f>'General'!Q36</f>
        <v/>
      </c>
      <c r="R19" s="49">
        <f>'General'!R36</f>
        <v/>
      </c>
      <c r="S19" s="49">
        <f>'General'!S36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'General'!C37</f>
        <v/>
      </c>
      <c r="D20" s="47" t="n">
        <v>11</v>
      </c>
      <c r="E20" s="48">
        <f>'General'!E37</f>
        <v/>
      </c>
      <c r="F20" s="49">
        <f>'General'!F37</f>
        <v/>
      </c>
      <c r="G20" s="49">
        <f>'General'!G37</f>
        <v/>
      </c>
      <c r="H20" s="49">
        <f>'General'!H37</f>
        <v/>
      </c>
      <c r="I20" s="49">
        <f>'General'!I37</f>
        <v/>
      </c>
      <c r="J20" s="49">
        <f>'General'!J37</f>
        <v/>
      </c>
      <c r="K20" s="49">
        <f>'General'!K37</f>
        <v/>
      </c>
      <c r="L20" s="49">
        <f>'General'!L37</f>
        <v/>
      </c>
      <c r="M20" s="49">
        <f>'General'!M37</f>
        <v/>
      </c>
      <c r="N20" s="49">
        <f>'General'!N37</f>
        <v/>
      </c>
      <c r="O20" s="49">
        <f>'General'!O37</f>
        <v/>
      </c>
      <c r="P20" s="49">
        <f>'General'!P37</f>
        <v/>
      </c>
      <c r="Q20" s="49">
        <f>'General'!Q37</f>
        <v/>
      </c>
      <c r="R20" s="49">
        <f>'General'!R37</f>
        <v/>
      </c>
      <c r="S20" s="49">
        <f>'General'!S37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'General'!C42</f>
        <v/>
      </c>
      <c r="D21" s="47" t="n">
        <v>12</v>
      </c>
      <c r="E21" s="48">
        <f>'General'!E42</f>
        <v/>
      </c>
      <c r="F21" s="49">
        <f>'General'!F42</f>
        <v/>
      </c>
      <c r="G21" s="49">
        <f>'General'!G42</f>
        <v/>
      </c>
      <c r="H21" s="49">
        <f>'General'!H42</f>
        <v/>
      </c>
      <c r="I21" s="49">
        <f>'General'!I42</f>
        <v/>
      </c>
      <c r="J21" s="49">
        <f>'General'!J42</f>
        <v/>
      </c>
      <c r="K21" s="49">
        <f>'General'!K42</f>
        <v/>
      </c>
      <c r="L21" s="49">
        <f>'General'!L42</f>
        <v/>
      </c>
      <c r="M21" s="49">
        <f>'General'!M42</f>
        <v/>
      </c>
      <c r="N21" s="49">
        <f>'General'!N42</f>
        <v/>
      </c>
      <c r="O21" s="49">
        <f>'General'!O42</f>
        <v/>
      </c>
      <c r="P21" s="49">
        <f>'General'!P42</f>
        <v/>
      </c>
      <c r="Q21" s="49">
        <f>'General'!Q42</f>
        <v/>
      </c>
      <c r="R21" s="49">
        <f>'General'!R42</f>
        <v/>
      </c>
      <c r="S21" s="49">
        <f>'General'!S42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'General'!C46</f>
        <v/>
      </c>
      <c r="D22" s="47" t="n">
        <v>13</v>
      </c>
      <c r="E22" s="48">
        <f>'General'!E46</f>
        <v/>
      </c>
      <c r="F22" s="49">
        <f>'General'!F46</f>
        <v/>
      </c>
      <c r="G22" s="49">
        <f>'General'!G46</f>
        <v/>
      </c>
      <c r="H22" s="49">
        <f>'General'!H46</f>
        <v/>
      </c>
      <c r="I22" s="49">
        <f>'General'!I46</f>
        <v/>
      </c>
      <c r="J22" s="49">
        <f>'General'!J46</f>
        <v/>
      </c>
      <c r="K22" s="49">
        <f>'General'!K46</f>
        <v/>
      </c>
      <c r="L22" s="49">
        <f>'General'!L46</f>
        <v/>
      </c>
      <c r="M22" s="49">
        <f>'General'!M46</f>
        <v/>
      </c>
      <c r="N22" s="49">
        <f>'General'!N46</f>
        <v/>
      </c>
      <c r="O22" s="49">
        <f>'General'!O46</f>
        <v/>
      </c>
      <c r="P22" s="49">
        <f>'General'!P46</f>
        <v/>
      </c>
      <c r="Q22" s="49">
        <f>'General'!Q46</f>
        <v/>
      </c>
      <c r="R22" s="49">
        <f>'General'!R46</f>
        <v/>
      </c>
      <c r="S22" s="49">
        <f>'General'!S46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'General'!C38</f>
        <v/>
      </c>
      <c r="D10" s="47" t="n">
        <v>1</v>
      </c>
      <c r="E10" s="48">
        <f>'General'!E38</f>
        <v/>
      </c>
      <c r="F10" s="49">
        <f>'General'!F38</f>
        <v/>
      </c>
      <c r="G10" s="49">
        <f>'General'!G38</f>
        <v/>
      </c>
      <c r="H10" s="49">
        <f>'General'!H38</f>
        <v/>
      </c>
      <c r="I10" s="49">
        <f>'General'!I38</f>
        <v/>
      </c>
      <c r="J10" s="49">
        <f>'General'!J38</f>
        <v/>
      </c>
      <c r="K10" s="49">
        <f>'General'!K38</f>
        <v/>
      </c>
      <c r="L10" s="49">
        <f>'General'!L38</f>
        <v/>
      </c>
      <c r="M10" s="49">
        <f>'General'!M38</f>
        <v/>
      </c>
      <c r="N10" s="49">
        <f>'General'!N38</f>
        <v/>
      </c>
      <c r="O10" s="49">
        <f>'General'!O38</f>
        <v/>
      </c>
      <c r="P10" s="49">
        <f>'General'!P38</f>
        <v/>
      </c>
      <c r="Q10" s="49">
        <f>'General'!Q38</f>
        <v/>
      </c>
      <c r="R10" s="49">
        <f>'General'!R38</f>
        <v/>
      </c>
      <c r="S10" s="49">
        <f>'General'!S38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IF(SUM(F$10:F10)=0,IF(COUNTA(F$10:F10)=0,"Waiting",0),SUM(F$10:F10)/$D10)</f>
        <v/>
      </c>
      <c r="G11" s="8">
        <f>IF(SUM(G$10:G10)=0,IF(COUNTA(G$10:G10)=0,"Waiting",0),SUM(G$10:G10)/$D10)</f>
        <v/>
      </c>
      <c r="H11" s="8">
        <f>IF(SUM(H$10:H10)=0,IF(COUNTA(H$10:H10)=0,"Waiting",0),SUM(H$10:H10)/$D10)</f>
        <v/>
      </c>
      <c r="I11" s="8">
        <f>IF(SUM(I$10:I10)=0,IF(COUNTA(I$10:I10)=0,"Waiting",0),SUM(I$10:I10)/$D10)</f>
        <v/>
      </c>
      <c r="J11" s="8">
        <f>IF(SUM(J$10:J10)=0,IF(COUNTA(J$10:J10)=0,"Waiting",0),SUM(J$10:J10)/$D10)</f>
        <v/>
      </c>
      <c r="K11" s="8">
        <f>IF(SUM(K$10:K10)=0,IF(COUNTA(K$10:K10)=0,"Waiting",0),SUM(K$10:K10)/$D10)</f>
        <v/>
      </c>
      <c r="L11" s="8">
        <f>IF(SUM(L$10:L10)=0,IF(COUNTA(L$10:L10)=0,"Waiting",0),SUM(L$10:L10)/$D10)</f>
        <v/>
      </c>
      <c r="M11" s="8">
        <f>IF(SUM(M$10:M10)=0,IF(COUNTA(M$10:M10)=0,"Waiting",0),SUM(M$10:M10)/$D10)</f>
        <v/>
      </c>
      <c r="N11" s="8">
        <f>IF(SUM(N$10:N10)=0,IF(COUNTA(N$10:N10)=0,"Waiting",0),SUM(N$10:N10)/$D10)</f>
        <v/>
      </c>
      <c r="O11" s="8">
        <f>IF(SUM(O$10:O10)=0,IF(COUNTA(O$10:O10)=0,"Waiting",0),SUM(O$10:O10)/$D10)</f>
        <v/>
      </c>
      <c r="P11" s="8">
        <f>IF(SUM(P$10:P10)=0,IF(COUNTA(P$10:P10)=0,"Waiting",0),SUM(P$10:P10)/$D10)</f>
        <v/>
      </c>
      <c r="Q11" s="8">
        <f>IF(SUM(Q$10:Q10)=0,IF(COUNTA(Q$10:Q10)=0,"Waiting",0),SUM(Q$10:Q10)/$D10)</f>
        <v/>
      </c>
      <c r="R11" s="8">
        <f>IF(SUM(R$10:R10)=0,IF(COUNTA(R$10:R10)=0,"Waiting",0),SUM(R$10:R10)/$D10)</f>
        <v/>
      </c>
      <c r="S11" s="8">
        <f>IF(SUM(S$10:S10)=0,IF(COUNTA(S$10:S10)=0,"Waiting",0),SUM(S$10:S10)/$D10)</f>
        <v/>
      </c>
      <c r="T11" s="9">
        <f>IFERROR(AVERAGE($F11:S11),"Waiting")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IF(SUM(F$10:F10)=0,IF(COUNTA(F$10:F10)=0,"Waiting",0),IF(COUNTIF(F$10:F10,"&gt;=4")=0,0,COUNTIF(F$10:F10,"&gt;=4")/$D10*100))</f>
        <v/>
      </c>
      <c r="G12" s="43">
        <f>IF(SUM(G$10:G10)=0,IF(COUNTA(G$10:G10)=0,"Waiting",0),IF(COUNTIF(G$10:G10,"&gt;=4")=0,0,COUNTIF(G$10:G10,"&gt;=4")/$D10*100))</f>
        <v/>
      </c>
      <c r="H12" s="43">
        <f>IF(SUM(H$10:H10)=0,IF(COUNTA(H$10:H10)=0,"Waiting",0),IF(COUNTIF(H$10:H10,"&gt;=4")=0,0,COUNTIF(H$10:H10,"&gt;=4")/$D10*100))</f>
        <v/>
      </c>
      <c r="I12" s="43">
        <f>IF(SUM(I$10:I10)=0,IF(COUNTA(I$10:I10)=0,"Waiting",0),IF(COUNTIF(I$10:I10,"&gt;=4")=0,0,COUNTIF(I$10:I10,"&gt;=4")/$D10*100))</f>
        <v/>
      </c>
      <c r="J12" s="43">
        <f>IF(SUM(J$10:J10)=0,IF(COUNTA(J$10:J10)=0,"Waiting",0),IF(COUNTIF(J$10:J10,"&gt;=4")=0,0,COUNTIF(J$10:J10,"&gt;=4")/$D10*100))</f>
        <v/>
      </c>
      <c r="K12" s="43">
        <f>IF(SUM(K$10:K10)=0,IF(COUNTA(K$10:K10)=0,"Waiting",0),IF(COUNTIF(K$10:K10,"&gt;=4")=0,0,COUNTIF(K$10:K10,"&gt;=4")/$D10*100))</f>
        <v/>
      </c>
      <c r="L12" s="43">
        <f>IF(SUM(L$10:L10)=0,IF(COUNTA(L$10:L10)=0,"Waiting",0),IF(COUNTIF(L$10:L10,"&gt;=4")=0,0,COUNTIF(L$10:L10,"&gt;=4")/$D10*100))</f>
        <v/>
      </c>
      <c r="M12" s="43">
        <f>IF(SUM(M$10:M10)=0,IF(COUNTA(M$10:M10)=0,"Waiting",0),IF(COUNTIF(M$10:M10,"&gt;=4")=0,0,COUNTIF(M$10:M10,"&gt;=4")/$D10*100))</f>
        <v/>
      </c>
      <c r="N12" s="43">
        <f>IF(SUM(N$10:N10)=0,IF(COUNTA(N$10:N10)=0,"Waiting",0),IF(COUNTIF(N$10:N10,"&gt;=4")=0,0,COUNTIF(N$10:N10,"&gt;=4")/$D10*100))</f>
        <v/>
      </c>
      <c r="O12" s="43">
        <f>IF(SUM(O$10:O10)=0,IF(COUNTA(O$10:O10)=0,"Waiting",0),IF(COUNTIF(O$10:O10,"&gt;=4")=0,0,COUNTIF(O$10:O10,"&gt;=4")/$D10*100))</f>
        <v/>
      </c>
      <c r="P12" s="43">
        <f>IF(SUM(P$10:P10)=0,IF(COUNTA(P$10:P10)=0,"Waiting",0),IF(COUNTIF(P$10:P10,"&gt;=4")=0,0,COUNTIF(P$10:P10,"&gt;=4")/$D10*100))</f>
        <v/>
      </c>
      <c r="Q12" s="43">
        <f>IF(SUM(Q$10:Q10)=0,IF(COUNTA(Q$10:Q10)=0,"Waiting",0),IF(COUNTIF(Q$10:Q10,"&gt;=4")=0,0,COUNTIF(Q$10:Q10,"&gt;=4")/$D10*100))</f>
        <v/>
      </c>
      <c r="R12" s="43">
        <f>IF(SUM(R$10:R10)=0,IF(COUNTA(R$10:R10)=0,"Waiting",0),IF(COUNTIF(R$10:R10,"&gt;=4")=0,0,COUNTIF(R$10:R10,"&gt;=4")/$D10*100))</f>
        <v/>
      </c>
      <c r="S12" s="43">
        <f>IF(SUM(S$10:S10)=0,IF(COUNTA(S$10:S10)=0,"Waiting",0),IF(COUNTIF(S$10:S10,"&gt;=4")=0,0,COUNTIF(S$10:S10,"&gt;=4")/$D10*100))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IF(SUM(F$10:F10)=0,IF(COUNTA(F$10:F10)=0,"Waiting",0),IF(COUNTIF(F$10:F10,"&gt;=7")=0,0,COUNTIF(F$10:F10,"&gt;=7")/$D10*100))</f>
        <v/>
      </c>
      <c r="G13" s="43">
        <f>IF(SUM(G$10:G10)=0,IF(COUNTA(G$10:G10)=0,"Waiting",0),IF(COUNTIF(G$10:G10,"&gt;=7")=0,0,COUNTIF(G$10:G10,"&gt;=7")/$D10*100))</f>
        <v/>
      </c>
      <c r="H13" s="43">
        <f>IF(SUM(H$10:H10)=0,IF(COUNTA(H$10:H10)=0,"Waiting",0),IF(COUNTIF(H$10:H10,"&gt;=7")=0,0,COUNTIF(H$10:H10,"&gt;=7")/$D10*100))</f>
        <v/>
      </c>
      <c r="I13" s="43">
        <f>IF(SUM(I$10:I10)=0,IF(COUNTA(I$10:I10)=0,"Waiting",0),IF(COUNTIF(I$10:I10,"&gt;=7")=0,0,COUNTIF(I$10:I10,"&gt;=7")/$D10*100))</f>
        <v/>
      </c>
      <c r="J13" s="43">
        <f>IF(SUM(J$10:J10)=0,IF(COUNTA(J$10:J10)=0,"Waiting",0),IF(COUNTIF(J$10:J10,"&gt;=7")=0,0,COUNTIF(J$10:J10,"&gt;=7")/$D10*100))</f>
        <v/>
      </c>
      <c r="K13" s="43">
        <f>IF(SUM(K$10:K10)=0,IF(COUNTA(K$10:K10)=0,"Waiting",0),IF(COUNTIF(K$10:K10,"&gt;=7")=0,0,COUNTIF(K$10:K10,"&gt;=7")/$D10*100))</f>
        <v/>
      </c>
      <c r="L13" s="43">
        <f>IF(SUM(L$10:L10)=0,IF(COUNTA(L$10:L10)=0,"Waiting",0),IF(COUNTIF(L$10:L10,"&gt;=7")=0,0,COUNTIF(L$10:L10,"&gt;=7")/$D10*100))</f>
        <v/>
      </c>
      <c r="M13" s="43">
        <f>IF(SUM(M$10:M10)=0,IF(COUNTA(M$10:M10)=0,"Waiting",0),IF(COUNTIF(M$10:M10,"&gt;=7")=0,0,COUNTIF(M$10:M10,"&gt;=7")/$D10*100))</f>
        <v/>
      </c>
      <c r="N13" s="43">
        <f>IF(SUM(N$10:N10)=0,IF(COUNTA(N$10:N10)=0,"Waiting",0),IF(COUNTIF(N$10:N10,"&gt;=7")=0,0,COUNTIF(N$10:N10,"&gt;=7")/$D10*100))</f>
        <v/>
      </c>
      <c r="O13" s="43">
        <f>IF(SUM(O$10:O10)=0,IF(COUNTA(O$10:O10)=0,"Waiting",0),IF(COUNTIF(O$10:O10,"&gt;=7")=0,0,COUNTIF(O$10:O10,"&gt;=7")/$D10*100))</f>
        <v/>
      </c>
      <c r="P13" s="43">
        <f>IF(SUM(P$10:P10)=0,IF(COUNTA(P$10:P10)=0,"Waiting",0),IF(COUNTIF(P$10:P10,"&gt;=7")=0,0,COUNTIF(P$10:P10,"&gt;=7")/$D10*100))</f>
        <v/>
      </c>
      <c r="Q13" s="43">
        <f>IF(SUM(Q$10:Q10)=0,IF(COUNTA(Q$10:Q10)=0,"Waiting",0),IF(COUNTIF(Q$10:Q10,"&gt;=7")=0,0,COUNTIF(Q$10:Q10,"&gt;=7")/$D10*100))</f>
        <v/>
      </c>
      <c r="R13" s="43">
        <f>IF(SUM(R$10:R10)=0,IF(COUNTA(R$10:R10)=0,"Waiting",0),IF(COUNTIF(R$10:R10,"&gt;=7")=0,0,COUNTIF(R$10:R10,"&gt;=7")/$D10*100))</f>
        <v/>
      </c>
      <c r="S13" s="43">
        <f>IF(SUM(S$10:S10)=0,IF(COUNTA(S$10:S10)=0,"Waiting",0),IF(COUNTIF(S$10:S10,"&gt;=7")=0,0,COUNTIF(S$10:S10,"&gt;=7")/$D10*100))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IFERROR(AVERAGE(F12:S12),"Waiting")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IF(COUNTIF($C$10:$C10,"=B")=0,IF(COUNTIF($C$10:$C10,"=K")=0,"Waiting",0),COUNTIF($C$10:$C10,"=B"))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IF(COUNTIF($C$10:$C10,"=K")=0,IF(COUNTIF($C$10:$C10,"=B")=0,"Waiting",0),COUNTIF($C$10:$C10,"=K"))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'General'!P53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IF(F16="Waiting","Waiting",IF(F16-COUNTIF($T$10:$T10,"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'General'!C17</f>
        <v/>
      </c>
      <c r="D10" s="47" t="n">
        <v>1</v>
      </c>
      <c r="E10" s="48">
        <f>'General'!E17</f>
        <v/>
      </c>
      <c r="F10" s="49">
        <f>'General'!F17</f>
        <v/>
      </c>
      <c r="G10" s="49">
        <f>'General'!G17</f>
        <v/>
      </c>
      <c r="H10" s="49">
        <f>'General'!H17</f>
        <v/>
      </c>
      <c r="I10" s="49">
        <f>'General'!I17</f>
        <v/>
      </c>
      <c r="J10" s="49">
        <f>'General'!J17</f>
        <v/>
      </c>
      <c r="K10" s="49">
        <f>'General'!K17</f>
        <v/>
      </c>
      <c r="L10" s="49">
        <f>'General'!L17</f>
        <v/>
      </c>
      <c r="M10" s="49">
        <f>'General'!M17</f>
        <v/>
      </c>
      <c r="N10" s="49">
        <f>'General'!N17</f>
        <v/>
      </c>
      <c r="O10" s="49">
        <f>'General'!O17</f>
        <v/>
      </c>
      <c r="P10" s="49">
        <f>'General'!P17</f>
        <v/>
      </c>
      <c r="Q10" s="49">
        <f>'General'!Q17</f>
        <v/>
      </c>
      <c r="R10" s="49">
        <f>'General'!R17</f>
        <v/>
      </c>
      <c r="S10" s="49">
        <f>'General'!S17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IF(SUM(F$10:F10)=0,IF(COUNTA(F$10:F10)=0,"Waiting",0),SUM(F$10:F10)/$D10)</f>
        <v/>
      </c>
      <c r="G11" s="8">
        <f>IF(SUM(G$10:G10)=0,IF(COUNTA(G$10:G10)=0,"Waiting",0),SUM(G$10:G10)/$D10)</f>
        <v/>
      </c>
      <c r="H11" s="8">
        <f>IF(SUM(H$10:H10)=0,IF(COUNTA(H$10:H10)=0,"Waiting",0),SUM(H$10:H10)/$D10)</f>
        <v/>
      </c>
      <c r="I11" s="8">
        <f>IF(SUM(I$10:I10)=0,IF(COUNTA(I$10:I10)=0,"Waiting",0),SUM(I$10:I10)/$D10)</f>
        <v/>
      </c>
      <c r="J11" s="8">
        <f>IF(SUM(J$10:J10)=0,IF(COUNTA(J$10:J10)=0,"Waiting",0),SUM(J$10:J10)/$D10)</f>
        <v/>
      </c>
      <c r="K11" s="8">
        <f>IF(SUM(K$10:K10)=0,IF(COUNTA(K$10:K10)=0,"Waiting",0),SUM(K$10:K10)/$D10)</f>
        <v/>
      </c>
      <c r="L11" s="8">
        <f>IF(SUM(L$10:L10)=0,IF(COUNTA(L$10:L10)=0,"Waiting",0),SUM(L$10:L10)/$D10)</f>
        <v/>
      </c>
      <c r="M11" s="8">
        <f>IF(SUM(M$10:M10)=0,IF(COUNTA(M$10:M10)=0,"Waiting",0),SUM(M$10:M10)/$D10)</f>
        <v/>
      </c>
      <c r="N11" s="8">
        <f>IF(SUM(N$10:N10)=0,IF(COUNTA(N$10:N10)=0,"Waiting",0),SUM(N$10:N10)/$D10)</f>
        <v/>
      </c>
      <c r="O11" s="8">
        <f>IF(SUM(O$10:O10)=0,IF(COUNTA(O$10:O10)=0,"Waiting",0),SUM(O$10:O10)/$D10)</f>
        <v/>
      </c>
      <c r="P11" s="8">
        <f>IF(SUM(P$10:P10)=0,IF(COUNTA(P$10:P10)=0,"Waiting",0),SUM(P$10:P10)/$D10)</f>
        <v/>
      </c>
      <c r="Q11" s="8">
        <f>IF(SUM(Q$10:Q10)=0,IF(COUNTA(Q$10:Q10)=0,"Waiting",0),SUM(Q$10:Q10)/$D10)</f>
        <v/>
      </c>
      <c r="R11" s="8">
        <f>IF(SUM(R$10:R10)=0,IF(COUNTA(R$10:R10)=0,"Waiting",0),SUM(R$10:R10)/$D10)</f>
        <v/>
      </c>
      <c r="S11" s="8">
        <f>IF(SUM(S$10:S10)=0,IF(COUNTA(S$10:S10)=0,"Waiting",0),SUM(S$10:S10)/$D10)</f>
        <v/>
      </c>
      <c r="T11" s="9">
        <f>IFERROR(AVERAGE($F11:S11),"Waiting")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IF(SUM(F$10:F10)=0,IF(COUNTA(F$10:F10)=0,"Waiting",0),IF(COUNTIF(F$10:F10,"&gt;=4")=0,0,COUNTIF(F$10:F10,"&gt;=4")/$D10*100))</f>
        <v/>
      </c>
      <c r="G12" s="43">
        <f>IF(SUM(G$10:G10)=0,IF(COUNTA(G$10:G10)=0,"Waiting",0),IF(COUNTIF(G$10:G10,"&gt;=4")=0,0,COUNTIF(G$10:G10,"&gt;=4")/$D10*100))</f>
        <v/>
      </c>
      <c r="H12" s="43">
        <f>IF(SUM(H$10:H10)=0,IF(COUNTA(H$10:H10)=0,"Waiting",0),IF(COUNTIF(H$10:H10,"&gt;=4")=0,0,COUNTIF(H$10:H10,"&gt;=4")/$D10*100))</f>
        <v/>
      </c>
      <c r="I12" s="43">
        <f>IF(SUM(I$10:I10)=0,IF(COUNTA(I$10:I10)=0,"Waiting",0),IF(COUNTIF(I$10:I10,"&gt;=4")=0,0,COUNTIF(I$10:I10,"&gt;=4")/$D10*100))</f>
        <v/>
      </c>
      <c r="J12" s="43">
        <f>IF(SUM(J$10:J10)=0,IF(COUNTA(J$10:J10)=0,"Waiting",0),IF(COUNTIF(J$10:J10,"&gt;=4")=0,0,COUNTIF(J$10:J10,"&gt;=4")/$D10*100))</f>
        <v/>
      </c>
      <c r="K12" s="43">
        <f>IF(SUM(K$10:K10)=0,IF(COUNTA(K$10:K10)=0,"Waiting",0),IF(COUNTIF(K$10:K10,"&gt;=4")=0,0,COUNTIF(K$10:K10,"&gt;=4")/$D10*100))</f>
        <v/>
      </c>
      <c r="L12" s="43">
        <f>IF(SUM(L$10:L10)=0,IF(COUNTA(L$10:L10)=0,"Waiting",0),IF(COUNTIF(L$10:L10,"&gt;=4")=0,0,COUNTIF(L$10:L10,"&gt;=4")/$D10*100))</f>
        <v/>
      </c>
      <c r="M12" s="43">
        <f>IF(SUM(M$10:M10)=0,IF(COUNTA(M$10:M10)=0,"Waiting",0),IF(COUNTIF(M$10:M10,"&gt;=4")=0,0,COUNTIF(M$10:M10,"&gt;=4")/$D10*100))</f>
        <v/>
      </c>
      <c r="N12" s="43">
        <f>IF(SUM(N$10:N10)=0,IF(COUNTA(N$10:N10)=0,"Waiting",0),IF(COUNTIF(N$10:N10,"&gt;=4")=0,0,COUNTIF(N$10:N10,"&gt;=4")/$D10*100))</f>
        <v/>
      </c>
      <c r="O12" s="43">
        <f>IF(SUM(O$10:O10)=0,IF(COUNTA(O$10:O10)=0,"Waiting",0),IF(COUNTIF(O$10:O10,"&gt;=4")=0,0,COUNTIF(O$10:O10,"&gt;=4")/$D10*100))</f>
        <v/>
      </c>
      <c r="P12" s="43">
        <f>IF(SUM(P$10:P10)=0,IF(COUNTA(P$10:P10)=0,"Waiting",0),IF(COUNTIF(P$10:P10,"&gt;=4")=0,0,COUNTIF(P$10:P10,"&gt;=4")/$D10*100))</f>
        <v/>
      </c>
      <c r="Q12" s="43">
        <f>IF(SUM(Q$10:Q10)=0,IF(COUNTA(Q$10:Q10)=0,"Waiting",0),IF(COUNTIF(Q$10:Q10,"&gt;=4")=0,0,COUNTIF(Q$10:Q10,"&gt;=4")/$D10*100))</f>
        <v/>
      </c>
      <c r="R12" s="43">
        <f>IF(SUM(R$10:R10)=0,IF(COUNTA(R$10:R10)=0,"Waiting",0),IF(COUNTIF(R$10:R10,"&gt;=4")=0,0,COUNTIF(R$10:R10,"&gt;=4")/$D10*100))</f>
        <v/>
      </c>
      <c r="S12" s="43">
        <f>IF(SUM(S$10:S10)=0,IF(COUNTA(S$10:S10)=0,"Waiting",0),IF(COUNTIF(S$10:S10,"&gt;=4")=0,0,COUNTIF(S$10:S10,"&gt;=4")/$D10*100))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IF(SUM(F$10:F10)=0,IF(COUNTA(F$10:F10)=0,"Waiting",0),IF(COUNTIF(F$10:F10,"&gt;=7")=0,0,COUNTIF(F$10:F10,"&gt;=7")/$D10*100))</f>
        <v/>
      </c>
      <c r="G13" s="43">
        <f>IF(SUM(G$10:G10)=0,IF(COUNTA(G$10:G10)=0,"Waiting",0),IF(COUNTIF(G$10:G10,"&gt;=7")=0,0,COUNTIF(G$10:G10,"&gt;=7")/$D10*100))</f>
        <v/>
      </c>
      <c r="H13" s="43">
        <f>IF(SUM(H$10:H10)=0,IF(COUNTA(H$10:H10)=0,"Waiting",0),IF(COUNTIF(H$10:H10,"&gt;=7")=0,0,COUNTIF(H$10:H10,"&gt;=7")/$D10*100))</f>
        <v/>
      </c>
      <c r="I13" s="43">
        <f>IF(SUM(I$10:I10)=0,IF(COUNTA(I$10:I10)=0,"Waiting",0),IF(COUNTIF(I$10:I10,"&gt;=7")=0,0,COUNTIF(I$10:I10,"&gt;=7")/$D10*100))</f>
        <v/>
      </c>
      <c r="J13" s="43">
        <f>IF(SUM(J$10:J10)=0,IF(COUNTA(J$10:J10)=0,"Waiting",0),IF(COUNTIF(J$10:J10,"&gt;=7")=0,0,COUNTIF(J$10:J10,"&gt;=7")/$D10*100))</f>
        <v/>
      </c>
      <c r="K13" s="43">
        <f>IF(SUM(K$10:K10)=0,IF(COUNTA(K$10:K10)=0,"Waiting",0),IF(COUNTIF(K$10:K10,"&gt;=7")=0,0,COUNTIF(K$10:K10,"&gt;=7")/$D10*100))</f>
        <v/>
      </c>
      <c r="L13" s="43">
        <f>IF(SUM(L$10:L10)=0,IF(COUNTA(L$10:L10)=0,"Waiting",0),IF(COUNTIF(L$10:L10,"&gt;=7")=0,0,COUNTIF(L$10:L10,"&gt;=7")/$D10*100))</f>
        <v/>
      </c>
      <c r="M13" s="43">
        <f>IF(SUM(M$10:M10)=0,IF(COUNTA(M$10:M10)=0,"Waiting",0),IF(COUNTIF(M$10:M10,"&gt;=7")=0,0,COUNTIF(M$10:M10,"&gt;=7")/$D10*100))</f>
        <v/>
      </c>
      <c r="N13" s="43">
        <f>IF(SUM(N$10:N10)=0,IF(COUNTA(N$10:N10)=0,"Waiting",0),IF(COUNTIF(N$10:N10,"&gt;=7")=0,0,COUNTIF(N$10:N10,"&gt;=7")/$D10*100))</f>
        <v/>
      </c>
      <c r="O13" s="43">
        <f>IF(SUM(O$10:O10)=0,IF(COUNTA(O$10:O10)=0,"Waiting",0),IF(COUNTIF(O$10:O10,"&gt;=7")=0,0,COUNTIF(O$10:O10,"&gt;=7")/$D10*100))</f>
        <v/>
      </c>
      <c r="P13" s="43">
        <f>IF(SUM(P$10:P10)=0,IF(COUNTA(P$10:P10)=0,"Waiting",0),IF(COUNTIF(P$10:P10,"&gt;=7")=0,0,COUNTIF(P$10:P10,"&gt;=7")/$D10*100))</f>
        <v/>
      </c>
      <c r="Q13" s="43">
        <f>IF(SUM(Q$10:Q10)=0,IF(COUNTA(Q$10:Q10)=0,"Waiting",0),IF(COUNTIF(Q$10:Q10,"&gt;=7")=0,0,COUNTIF(Q$10:Q10,"&gt;=7")/$D10*100))</f>
        <v/>
      </c>
      <c r="R13" s="43">
        <f>IF(SUM(R$10:R10)=0,IF(COUNTA(R$10:R10)=0,"Waiting",0),IF(COUNTIF(R$10:R10,"&gt;=7")=0,0,COUNTIF(R$10:R10,"&gt;=7")/$D10*100))</f>
        <v/>
      </c>
      <c r="S13" s="43">
        <f>IF(SUM(S$10:S10)=0,IF(COUNTA(S$10:S10)=0,"Waiting",0),IF(COUNTIF(S$10:S10,"&gt;=7")=0,0,COUNTIF(S$10:S10,"&gt;=7")/$D10*100))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IFERROR(AVERAGE(F12:S12),"Waiting")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IF(COUNTIF($C$10:$C10,"=B")=0,IF(COUNTIF($C$10:$C10,"=K")=0,"Waiting",0),COUNTIF($C$10:$C10,"=B"))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IF(COUNTIF($C$10:$C10,"=K")=0,IF(COUNTIF($C$10:$C10,"=B")=0,"Waiting",0),COUNTIF($C$10:$C10,"=K"))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'General'!P53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IF(F16="Waiting","Waiting",IF(F16-COUNTIF($T$10:$T10,"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'General'!C16</f>
        <v/>
      </c>
      <c r="D10" s="47" t="n">
        <v>1</v>
      </c>
      <c r="E10" s="48">
        <f>'General'!E16</f>
        <v/>
      </c>
      <c r="F10" s="49">
        <f>'General'!F16</f>
        <v/>
      </c>
      <c r="G10" s="49">
        <f>'General'!G16</f>
        <v/>
      </c>
      <c r="H10" s="49">
        <f>'General'!H16</f>
        <v/>
      </c>
      <c r="I10" s="49">
        <f>'General'!I16</f>
        <v/>
      </c>
      <c r="J10" s="49">
        <f>'General'!J16</f>
        <v/>
      </c>
      <c r="K10" s="49">
        <f>'General'!K16</f>
        <v/>
      </c>
      <c r="L10" s="49">
        <f>'General'!L16</f>
        <v/>
      </c>
      <c r="M10" s="49">
        <f>'General'!M16</f>
        <v/>
      </c>
      <c r="N10" s="49">
        <f>'General'!N16</f>
        <v/>
      </c>
      <c r="O10" s="49">
        <f>'General'!O16</f>
        <v/>
      </c>
      <c r="P10" s="49">
        <f>'General'!P16</f>
        <v/>
      </c>
      <c r="Q10" s="49">
        <f>'General'!Q16</f>
        <v/>
      </c>
      <c r="R10" s="49">
        <f>'General'!R16</f>
        <v/>
      </c>
      <c r="S10" s="49">
        <f>'General'!S16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'General'!C39</f>
        <v/>
      </c>
      <c r="D11" s="47" t="n">
        <v>2</v>
      </c>
      <c r="E11" s="48">
        <f>'General'!E39</f>
        <v/>
      </c>
      <c r="F11" s="49">
        <f>'General'!F39</f>
        <v/>
      </c>
      <c r="G11" s="49">
        <f>'General'!G39</f>
        <v/>
      </c>
      <c r="H11" s="49">
        <f>'General'!H39</f>
        <v/>
      </c>
      <c r="I11" s="49">
        <f>'General'!I39</f>
        <v/>
      </c>
      <c r="J11" s="49">
        <f>'General'!J39</f>
        <v/>
      </c>
      <c r="K11" s="49">
        <f>'General'!K39</f>
        <v/>
      </c>
      <c r="L11" s="49">
        <f>'General'!L39</f>
        <v/>
      </c>
      <c r="M11" s="49">
        <f>'General'!M39</f>
        <v/>
      </c>
      <c r="N11" s="49">
        <f>'General'!N39</f>
        <v/>
      </c>
      <c r="O11" s="49">
        <f>'General'!O39</f>
        <v/>
      </c>
      <c r="P11" s="49">
        <f>'General'!P39</f>
        <v/>
      </c>
      <c r="Q11" s="49">
        <f>'General'!Q39</f>
        <v/>
      </c>
      <c r="R11" s="49">
        <f>'General'!R39</f>
        <v/>
      </c>
      <c r="S11" s="49">
        <f>'General'!S39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IF(SUM(F$10:F11)=0,IF(COUNTA(F$10:F11)=0,"Waiting",0),SUM(F$10:F11)/$D11)</f>
        <v/>
      </c>
      <c r="G12" s="8">
        <f>IF(SUM(G$10:G11)=0,IF(COUNTA(G$10:G11)=0,"Waiting",0),SUM(G$10:G11)/$D11)</f>
        <v/>
      </c>
      <c r="H12" s="8">
        <f>IF(SUM(H$10:H11)=0,IF(COUNTA(H$10:H11)=0,"Waiting",0),SUM(H$10:H11)/$D11)</f>
        <v/>
      </c>
      <c r="I12" s="8">
        <f>IF(SUM(I$10:I11)=0,IF(COUNTA(I$10:I11)=0,"Waiting",0),SUM(I$10:I11)/$D11)</f>
        <v/>
      </c>
      <c r="J12" s="8">
        <f>IF(SUM(J$10:J11)=0,IF(COUNTA(J$10:J11)=0,"Waiting",0),SUM(J$10:J11)/$D11)</f>
        <v/>
      </c>
      <c r="K12" s="8">
        <f>IF(SUM(K$10:K11)=0,IF(COUNTA(K$10:K11)=0,"Waiting",0),SUM(K$10:K11)/$D11)</f>
        <v/>
      </c>
      <c r="L12" s="8">
        <f>IF(SUM(L$10:L11)=0,IF(COUNTA(L$10:L11)=0,"Waiting",0),SUM(L$10:L11)/$D11)</f>
        <v/>
      </c>
      <c r="M12" s="8">
        <f>IF(SUM(M$10:M11)=0,IF(COUNTA(M$10:M11)=0,"Waiting",0),SUM(M$10:M11)/$D11)</f>
        <v/>
      </c>
      <c r="N12" s="8">
        <f>IF(SUM(N$10:N11)=0,IF(COUNTA(N$10:N11)=0,"Waiting",0),SUM(N$10:N11)/$D11)</f>
        <v/>
      </c>
      <c r="O12" s="8">
        <f>IF(SUM(O$10:O11)=0,IF(COUNTA(O$10:O11)=0,"Waiting",0),SUM(O$10:O11)/$D11)</f>
        <v/>
      </c>
      <c r="P12" s="8">
        <f>IF(SUM(P$10:P11)=0,IF(COUNTA(P$10:P11)=0,"Waiting",0),SUM(P$10:P11)/$D11)</f>
        <v/>
      </c>
      <c r="Q12" s="8">
        <f>IF(SUM(Q$10:Q11)=0,IF(COUNTA(Q$10:Q11)=0,"Waiting",0),SUM(Q$10:Q11)/$D11)</f>
        <v/>
      </c>
      <c r="R12" s="8">
        <f>IF(SUM(R$10:R11)=0,IF(COUNTA(R$10:R11)=0,"Waiting",0),SUM(R$10:R11)/$D11)</f>
        <v/>
      </c>
      <c r="S12" s="8">
        <f>IF(SUM(S$10:S11)=0,IF(COUNTA(S$10:S11)=0,"Waiting",0),SUM(S$10:S11)/$D11)</f>
        <v/>
      </c>
      <c r="T12" s="9">
        <f>IFERROR(AVERAGE($F12:S12),"Waiting")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IF(SUM(F$10:F11)=0,IF(COUNTA(F$10:F11)=0,"Waiting",0),IF(COUNTIF(F$10:F11,"&gt;=4")=0,0,COUNTIF(F$10:F11,"&gt;=4")/$D11*100))</f>
        <v/>
      </c>
      <c r="G13" s="43">
        <f>IF(SUM(G$10:G11)=0,IF(COUNTA(G$10:G11)=0,"Waiting",0),IF(COUNTIF(G$10:G11,"&gt;=4")=0,0,COUNTIF(G$10:G11,"&gt;=4")/$D11*100))</f>
        <v/>
      </c>
      <c r="H13" s="43">
        <f>IF(SUM(H$10:H11)=0,IF(COUNTA(H$10:H11)=0,"Waiting",0),IF(COUNTIF(H$10:H11,"&gt;=4")=0,0,COUNTIF(H$10:H11,"&gt;=4")/$D11*100))</f>
        <v/>
      </c>
      <c r="I13" s="43">
        <f>IF(SUM(I$10:I11)=0,IF(COUNTA(I$10:I11)=0,"Waiting",0),IF(COUNTIF(I$10:I11,"&gt;=4")=0,0,COUNTIF(I$10:I11,"&gt;=4")/$D11*100))</f>
        <v/>
      </c>
      <c r="J13" s="43">
        <f>IF(SUM(J$10:J11)=0,IF(COUNTA(J$10:J11)=0,"Waiting",0),IF(COUNTIF(J$10:J11,"&gt;=4")=0,0,COUNTIF(J$10:J11,"&gt;=4")/$D11*100))</f>
        <v/>
      </c>
      <c r="K13" s="43">
        <f>IF(SUM(K$10:K11)=0,IF(COUNTA(K$10:K11)=0,"Waiting",0),IF(COUNTIF(K$10:K11,"&gt;=4")=0,0,COUNTIF(K$10:K11,"&gt;=4")/$D11*100))</f>
        <v/>
      </c>
      <c r="L13" s="43">
        <f>IF(SUM(L$10:L11)=0,IF(COUNTA(L$10:L11)=0,"Waiting",0),IF(COUNTIF(L$10:L11,"&gt;=4")=0,0,COUNTIF(L$10:L11,"&gt;=4")/$D11*100))</f>
        <v/>
      </c>
      <c r="M13" s="43">
        <f>IF(SUM(M$10:M11)=0,IF(COUNTA(M$10:M11)=0,"Waiting",0),IF(COUNTIF(M$10:M11,"&gt;=4")=0,0,COUNTIF(M$10:M11,"&gt;=4")/$D11*100))</f>
        <v/>
      </c>
      <c r="N13" s="43">
        <f>IF(SUM(N$10:N11)=0,IF(COUNTA(N$10:N11)=0,"Waiting",0),IF(COUNTIF(N$10:N11,"&gt;=4")=0,0,COUNTIF(N$10:N11,"&gt;=4")/$D11*100))</f>
        <v/>
      </c>
      <c r="O13" s="43">
        <f>IF(SUM(O$10:O11)=0,IF(COUNTA(O$10:O11)=0,"Waiting",0),IF(COUNTIF(O$10:O11,"&gt;=4")=0,0,COUNTIF(O$10:O11,"&gt;=4")/$D11*100))</f>
        <v/>
      </c>
      <c r="P13" s="43">
        <f>IF(SUM(P$10:P11)=0,IF(COUNTA(P$10:P11)=0,"Waiting",0),IF(COUNTIF(P$10:P11,"&gt;=4")=0,0,COUNTIF(P$10:P11,"&gt;=4")/$D11*100))</f>
        <v/>
      </c>
      <c r="Q13" s="43">
        <f>IF(SUM(Q$10:Q11)=0,IF(COUNTA(Q$10:Q11)=0,"Waiting",0),IF(COUNTIF(Q$10:Q11,"&gt;=4")=0,0,COUNTIF(Q$10:Q11,"&gt;=4")/$D11*100))</f>
        <v/>
      </c>
      <c r="R13" s="43">
        <f>IF(SUM(R$10:R11)=0,IF(COUNTA(R$10:R11)=0,"Waiting",0),IF(COUNTIF(R$10:R11,"&gt;=4")=0,0,COUNTIF(R$10:R11,"&gt;=4")/$D11*100))</f>
        <v/>
      </c>
      <c r="S13" s="43">
        <f>IF(SUM(S$10:S11)=0,IF(COUNTA(S$10:S11)=0,"Waiting",0),IF(COUNTIF(S$10:S11,"&gt;=4")=0,0,COUNTIF(S$10:S11,"&gt;=4")/$D11*100))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IF(SUM(F$10:F11)=0,IF(COUNTA(F$10:F11)=0,"Waiting",0),IF(COUNTIF(F$10:F11,"&gt;=7")=0,0,COUNTIF(F$10:F11,"&gt;=7")/$D11*100))</f>
        <v/>
      </c>
      <c r="G14" s="43">
        <f>IF(SUM(G$10:G11)=0,IF(COUNTA(G$10:G11)=0,"Waiting",0),IF(COUNTIF(G$10:G11,"&gt;=7")=0,0,COUNTIF(G$10:G11,"&gt;=7")/$D11*100))</f>
        <v/>
      </c>
      <c r="H14" s="43">
        <f>IF(SUM(H$10:H11)=0,IF(COUNTA(H$10:H11)=0,"Waiting",0),IF(COUNTIF(H$10:H11,"&gt;=7")=0,0,COUNTIF(H$10:H11,"&gt;=7")/$D11*100))</f>
        <v/>
      </c>
      <c r="I14" s="43">
        <f>IF(SUM(I$10:I11)=0,IF(COUNTA(I$10:I11)=0,"Waiting",0),IF(COUNTIF(I$10:I11,"&gt;=7")=0,0,COUNTIF(I$10:I11,"&gt;=7")/$D11*100))</f>
        <v/>
      </c>
      <c r="J14" s="43">
        <f>IF(SUM(J$10:J11)=0,IF(COUNTA(J$10:J11)=0,"Waiting",0),IF(COUNTIF(J$10:J11,"&gt;=7")=0,0,COUNTIF(J$10:J11,"&gt;=7")/$D11*100))</f>
        <v/>
      </c>
      <c r="K14" s="43">
        <f>IF(SUM(K$10:K11)=0,IF(COUNTA(K$10:K11)=0,"Waiting",0),IF(COUNTIF(K$10:K11,"&gt;=7")=0,0,COUNTIF(K$10:K11,"&gt;=7")/$D11*100))</f>
        <v/>
      </c>
      <c r="L14" s="43">
        <f>IF(SUM(L$10:L11)=0,IF(COUNTA(L$10:L11)=0,"Waiting",0),IF(COUNTIF(L$10:L11,"&gt;=7")=0,0,COUNTIF(L$10:L11,"&gt;=7")/$D11*100))</f>
        <v/>
      </c>
      <c r="M14" s="43">
        <f>IF(SUM(M$10:M11)=0,IF(COUNTA(M$10:M11)=0,"Waiting",0),IF(COUNTIF(M$10:M11,"&gt;=7")=0,0,COUNTIF(M$10:M11,"&gt;=7")/$D11*100))</f>
        <v/>
      </c>
      <c r="N14" s="43">
        <f>IF(SUM(N$10:N11)=0,IF(COUNTA(N$10:N11)=0,"Waiting",0),IF(COUNTIF(N$10:N11,"&gt;=7")=0,0,COUNTIF(N$10:N11,"&gt;=7")/$D11*100))</f>
        <v/>
      </c>
      <c r="O14" s="43">
        <f>IF(SUM(O$10:O11)=0,IF(COUNTA(O$10:O11)=0,"Waiting",0),IF(COUNTIF(O$10:O11,"&gt;=7")=0,0,COUNTIF(O$10:O11,"&gt;=7")/$D11*100))</f>
        <v/>
      </c>
      <c r="P14" s="43">
        <f>IF(SUM(P$10:P11)=0,IF(COUNTA(P$10:P11)=0,"Waiting",0),IF(COUNTIF(P$10:P11,"&gt;=7")=0,0,COUNTIF(P$10:P11,"&gt;=7")/$D11*100))</f>
        <v/>
      </c>
      <c r="Q14" s="43">
        <f>IF(SUM(Q$10:Q11)=0,IF(COUNTA(Q$10:Q11)=0,"Waiting",0),IF(COUNTIF(Q$10:Q11,"&gt;=7")=0,0,COUNTIF(Q$10:Q11,"&gt;=7")/$D11*100))</f>
        <v/>
      </c>
      <c r="R14" s="43">
        <f>IF(SUM(R$10:R11)=0,IF(COUNTA(R$10:R11)=0,"Waiting",0),IF(COUNTIF(R$10:R11,"&gt;=7")=0,0,COUNTIF(R$10:R11,"&gt;=7")/$D11*100))</f>
        <v/>
      </c>
      <c r="S14" s="43">
        <f>IF(SUM(S$10:S11)=0,IF(COUNTA(S$10:S11)=0,"Waiting",0),IF(COUNTIF(S$10:S11,"&gt;=7")=0,0,COUNTIF(S$10:S11,"&gt;=7")/$D11*100))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IFERROR(AVERAGE($F14:S14),"Waiting")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IF(COUNTIF($C$10:$C11,"=B")=0,IF(COUNTIF($C$10:$C11,"=K")=0,"Waiting",0),COUNTIF($C$10:$C11,"=B"))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IF(COUNTIF($C$10:$C11,"=K")=0,IF(COUNTIF($C$10:$C11,"=B")=0,"Waiting",0),COUNTIF($C$10:$C11,"=K"))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'General'!P53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IF(F17="Waiting","Waiting",IF(F17-COUNTIF($T$10:$T11,"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2026-06-16T12:23:57Z</dcterms:modified>
  <cp:lastModifiedBy>Maxim Surkov</cp:lastModifiedBy>
  <cp:lastPrinted>2026-01-07T15:30:50Z</cp:lastPrinted>
</cp:coreProperties>
</file>