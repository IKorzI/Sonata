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D7'!$C$3:$S$33</definedName>
    <definedName name="A1048577" localSheetId="2">#REF!</definedName>
    <definedName name="Ф80" localSheetId="2">#REF!</definedName>
    <definedName name="_xlnm.Print_Area" localSheetId="2">'Зведена G1'!$C$3:$S$22</definedName>
    <definedName name="A1048577" localSheetId="3">#REF!</definedName>
    <definedName name="Ф80" localSheetId="3">#REF!</definedName>
    <definedName name="_xlnm.Print_Area" localSheetId="3">'Зведена G16'!$C$3:$S$34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"),(IFERROR(AVERAGE($F25:S25),"Waiting"))))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"),(IFERROR(AVERAGE($F26:S26),"Waiting"))))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"),(IFERROR(AVERAGE($F27:S27),"Waiting"))))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"),(IFERROR(AVERAGE($F28:S28),"Waiting"))))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"),(IFERROR(AVERAGE($F29:S29),"Waiting"))))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"),(IFERROR(AVERAGE($F30:S30),"Waiting"))))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"),(IFERROR(AVERAGE($F31:S31),"Waiting"))))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"),(IFERROR(AVERAGE($F32:S32),"Waiting"))))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"),(IFERROR(AVERAGE($F33:S33),"Waiting"))))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"),(IFERROR(AVERAGE($F34:S34),"Waiting"))))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"),(IFERROR(AVERAGE($F35:S35),"Waiting"))))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"),(IFERROR(AVERAGE($F36:S36),"Waiting"))))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"),(IFERROR(AVERAGE($F37:S37),"Waiting"))))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"),(IFERROR(AVERAGE($F38:S38),"Waiting"))))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"),(IFERROR(AVERAGE($F39:S39),"Waiting"))))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"),(IFERROR(AVERAGE($F40:S40),"Waiting"))))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"),(IFERROR(AVERAGE($F41:S41),"Waiting"))))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"),(IFERROR(AVERAGE($F42:S42),"Waiting"))))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"),(IFERROR(AVERAGE($F43:S43),"Waiting"))))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"),(IFERROR(AVERAGE($F44:S44),"Waiting"))))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IF(SUM(F$10:F44)=0,IF(COUNTA(F$10:F44)=0,"Waiting",0),SUM(F$10:F44)/$D44)</f>
        <v/>
      </c>
      <c r="G45" s="8">
        <f>IF(SUM(G$10:G44)=0,IF(COUNTA(G$10:G44)=0,"Waiting",0),SUM(G$10:G44)/$D44)</f>
        <v/>
      </c>
      <c r="H45" s="8">
        <f>IF(SUM(H$10:H44)=0,IF(COUNTA(H$10:H44)=0,"Waiting",0),SUM(H$10:H44)/$D44)</f>
        <v/>
      </c>
      <c r="I45" s="8">
        <f>IF(SUM(I$10:I44)=0,IF(COUNTA(I$10:I44)=0,"Waiting",0),SUM(I$10:I44)/$D44)</f>
        <v/>
      </c>
      <c r="J45" s="8">
        <f>IF(SUM(J$10:J44)=0,IF(COUNTA(J$10:J44)=0,"Waiting",0),SUM(J$10:J44)/$D44)</f>
        <v/>
      </c>
      <c r="K45" s="8">
        <f>IF(SUM(K$10:K44)=0,IF(COUNTA(K$10:K44)=0,"Waiting",0),SUM(K$10:K44)/$D44)</f>
        <v/>
      </c>
      <c r="L45" s="8">
        <f>IF(SUM(L$10:L44)=0,IF(COUNTA(L$10:L44)=0,"Waiting",0),SUM(L$10:L44)/$D44)</f>
        <v/>
      </c>
      <c r="M45" s="8">
        <f>IF(SUM(M$10:M44)=0,IF(COUNTA(M$10:M44)=0,"Waiting",0),SUM(M$10:M44)/$D44)</f>
        <v/>
      </c>
      <c r="N45" s="8">
        <f>IF(SUM(N$10:N44)=0,IF(COUNTA(N$10:N44)=0,"Waiting",0),SUM(N$10:N44)/$D44)</f>
        <v/>
      </c>
      <c r="O45" s="8">
        <f>IF(SUM(O$10:O44)=0,IF(COUNTA(O$10:O44)=0,"Waiting",0),SUM(O$10:O44)/$D44)</f>
        <v/>
      </c>
      <c r="P45" s="8">
        <f>IF(SUM(P$10:P44)=0,IF(COUNTA(P$10:P44)=0,"Waiting",0),SUM(P$10:P44)/$D44)</f>
        <v/>
      </c>
      <c r="Q45" s="8">
        <f>IF(SUM(Q$10:Q44)=0,IF(COUNTA(Q$10:Q44)=0,"Waiting",0),SUM(Q$10:Q44)/$D44)</f>
        <v/>
      </c>
      <c r="R45" s="8">
        <f>IF(SUM(R$10:R44)=0,IF(COUNTA(R$10:R44)=0,"Waiting",0),SUM(R$10:R44)/$D44)</f>
        <v/>
      </c>
      <c r="S45" s="8">
        <f>IF(SUM(S$10:S44)=0,IF(COUNTA(S$10:S44)=0,"Waiting",0),SUM(S$10:S44)/$D44)</f>
        <v/>
      </c>
      <c r="T45" s="9">
        <f>IFERROR(AVERAGE($F45:S45),"Waiting")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IF(SUM(F$10:F44)=0,IF(COUNTA(F$10:F44)=0,"Waiting",0),IF(COUNTIF(F$10:F44,"&gt;=4")=0,0,COUNTIF(F$10:F44,"&gt;=4")/$D44*100))</f>
        <v/>
      </c>
      <c r="G46" s="43">
        <f>IF(SUM(G$10:G44)=0,IF(COUNTA(G$10:G44)=0,"Waiting",0),IF(COUNTIF(G$10:G44,"&gt;=4")=0,0,COUNTIF(G$10:G44,"&gt;=4")/$D44*100))</f>
        <v/>
      </c>
      <c r="H46" s="43">
        <f>IF(SUM(H$10:H44)=0,IF(COUNTA(H$10:H44)=0,"Waiting",0),IF(COUNTIF(H$10:H44,"&gt;=4")=0,0,COUNTIF(H$10:H44,"&gt;=4")/$D44*100))</f>
        <v/>
      </c>
      <c r="I46" s="43">
        <f>IF(SUM(I$10:I44)=0,IF(COUNTA(I$10:I44)=0,"Waiting",0),IF(COUNTIF(I$10:I44,"&gt;=4")=0,0,COUNTIF(I$10:I44,"&gt;=4")/$D44*100))</f>
        <v/>
      </c>
      <c r="J46" s="43">
        <f>IF(SUM(J$10:J44)=0,IF(COUNTA(J$10:J44)=0,"Waiting",0),IF(COUNTIF(J$10:J44,"&gt;=4")=0,0,COUNTIF(J$10:J44,"&gt;=4")/$D44*100))</f>
        <v/>
      </c>
      <c r="K46" s="43">
        <f>IF(SUM(K$10:K44)=0,IF(COUNTA(K$10:K44)=0,"Waiting",0),IF(COUNTIF(K$10:K44,"&gt;=4")=0,0,COUNTIF(K$10:K44,"&gt;=4")/$D44*100))</f>
        <v/>
      </c>
      <c r="L46" s="43">
        <f>IF(SUM(L$10:L44)=0,IF(COUNTA(L$10:L44)=0,"Waiting",0),IF(COUNTIF(L$10:L44,"&gt;=4")=0,0,COUNTIF(L$10:L44,"&gt;=4")/$D44*100))</f>
        <v/>
      </c>
      <c r="M46" s="43">
        <f>IF(SUM(M$10:M44)=0,IF(COUNTA(M$10:M44)=0,"Waiting",0),IF(COUNTIF(M$10:M44,"&gt;=4")=0,0,COUNTIF(M$10:M44,"&gt;=4")/$D44*100))</f>
        <v/>
      </c>
      <c r="N46" s="43">
        <f>IF(SUM(N$10:N44)=0,IF(COUNTA(N$10:N44)=0,"Waiting",0),IF(COUNTIF(N$10:N44,"&gt;=4")=0,0,COUNTIF(N$10:N44,"&gt;=4")/$D44*100))</f>
        <v/>
      </c>
      <c r="O46" s="43">
        <f>IF(SUM(O$10:O44)=0,IF(COUNTA(O$10:O44)=0,"Waiting",0),IF(COUNTIF(O$10:O44,"&gt;=4")=0,0,COUNTIF(O$10:O44,"&gt;=4")/$D44*100))</f>
        <v/>
      </c>
      <c r="P46" s="43">
        <f>IF(SUM(P$10:P44)=0,IF(COUNTA(P$10:P44)=0,"Waiting",0),IF(COUNTIF(P$10:P44,"&gt;=4")=0,0,COUNTIF(P$10:P44,"&gt;=4")/$D44*100))</f>
        <v/>
      </c>
      <c r="Q46" s="43">
        <f>IF(SUM(Q$10:Q44)=0,IF(COUNTA(Q$10:Q44)=0,"Waiting",0),IF(COUNTIF(Q$10:Q44,"&gt;=4")=0,0,COUNTIF(Q$10:Q44,"&gt;=4")/$D44*100))</f>
        <v/>
      </c>
      <c r="R46" s="43">
        <f>IF(SUM(R$10:R44)=0,IF(COUNTA(R$10:R44)=0,"Waiting",0),IF(COUNTIF(R$10:R44,"&gt;=4")=0,0,COUNTIF(R$10:R44,"&gt;=4")/$D44*100))</f>
        <v/>
      </c>
      <c r="S46" s="43">
        <f>IF(SUM(S$10:S44)=0,IF(COUNTA(S$10:S44)=0,"Waiting",0),IF(COUNTIF(S$10:S44,"&gt;=4")=0,0,COUNTIF(S$10:S44,"&gt;=4")/$D44*100))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IF(SUM(F$10:F44)=0,IF(COUNTA(F$10:F44)=0,"Waiting",0),IF(COUNTIF(F$10:F44,"&gt;=7")=0,0,COUNTIF(F$10:F44,"&gt;=7")/$D44*100))</f>
        <v/>
      </c>
      <c r="G47" s="43">
        <f>IF(SUM(G$10:G44)=0,IF(COUNTA(G$10:G44)=0,"Waiting",0),IF(COUNTIF(G$10:G44,"&gt;=7")=0,0,COUNTIF(G$10:G44,"&gt;=7")/$D44*100))</f>
        <v/>
      </c>
      <c r="H47" s="43">
        <f>IF(SUM(H$10:H44)=0,IF(COUNTA(H$10:H44)=0,"Waiting",0),IF(COUNTIF(H$10:H44,"&gt;=7")=0,0,COUNTIF(H$10:H44,"&gt;=7")/$D44*100))</f>
        <v/>
      </c>
      <c r="I47" s="43">
        <f>IF(SUM(I$10:I44)=0,IF(COUNTA(I$10:I44)=0,"Waiting",0),IF(COUNTIF(I$10:I44,"&gt;=7")=0,0,COUNTIF(I$10:I44,"&gt;=7")/$D44*100))</f>
        <v/>
      </c>
      <c r="J47" s="43">
        <f>IF(SUM(J$10:J44)=0,IF(COUNTA(J$10:J44)=0,"Waiting",0),IF(COUNTIF(J$10:J44,"&gt;=7")=0,0,COUNTIF(J$10:J44,"&gt;=7")/$D44*100))</f>
        <v/>
      </c>
      <c r="K47" s="43">
        <f>IF(SUM(K$10:K44)=0,IF(COUNTA(K$10:K44)=0,"Waiting",0),IF(COUNTIF(K$10:K44,"&gt;=7")=0,0,COUNTIF(K$10:K44,"&gt;=7")/$D44*100))</f>
        <v/>
      </c>
      <c r="L47" s="43">
        <f>IF(SUM(L$10:L44)=0,IF(COUNTA(L$10:L44)=0,"Waiting",0),IF(COUNTIF(L$10:L44,"&gt;=7")=0,0,COUNTIF(L$10:L44,"&gt;=7")/$D44*100))</f>
        <v/>
      </c>
      <c r="M47" s="43">
        <f>IF(SUM(M$10:M44)=0,IF(COUNTA(M$10:M44)=0,"Waiting",0),IF(COUNTIF(M$10:M44,"&gt;=7")=0,0,COUNTIF(M$10:M44,"&gt;=7")/$D44*100))</f>
        <v/>
      </c>
      <c r="N47" s="43">
        <f>IF(SUM(N$10:N44)=0,IF(COUNTA(N$10:N44)=0,"Waiting",0),IF(COUNTIF(N$10:N44,"&gt;=7")=0,0,COUNTIF(N$10:N44,"&gt;=7")/$D44*100))</f>
        <v/>
      </c>
      <c r="O47" s="43">
        <f>IF(SUM(O$10:O44)=0,IF(COUNTA(O$10:O44)=0,"Waiting",0),IF(COUNTIF(O$10:O44,"&gt;=7")=0,0,COUNTIF(O$10:O44,"&gt;=7")/$D44*100))</f>
        <v/>
      </c>
      <c r="P47" s="43">
        <f>IF(SUM(P$10:P44)=0,IF(COUNTA(P$10:P44)=0,"Waiting",0),IF(COUNTIF(P$10:P44,"&gt;=7")=0,0,COUNTIF(P$10:P44,"&gt;=7")/$D44*100))</f>
        <v/>
      </c>
      <c r="Q47" s="43">
        <f>IF(SUM(Q$10:Q44)=0,IF(COUNTA(Q$10:Q44)=0,"Waiting",0),IF(COUNTIF(Q$10:Q44,"&gt;=7")=0,0,COUNTIF(Q$10:Q44,"&gt;=7")/$D44*100))</f>
        <v/>
      </c>
      <c r="R47" s="43">
        <f>IF(SUM(R$10:R44)=0,IF(COUNTA(R$10:R44)=0,"Waiting",0),IF(COUNTIF(R$10:R44,"&gt;=7")=0,0,COUNTIF(R$10:R44,"&gt;=7")/$D44*100))</f>
        <v/>
      </c>
      <c r="S47" s="43">
        <f>IF(SUM(S$10:S44)=0,IF(COUNTA(S$10:S44)=0,"Waiting",0),IF(COUNTIF(S$10:S44,"&gt;=7")=0,0,COUNTIF(S$10:S44,"&gt;=7")/$D44*100))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IFERROR(AVERAGE(F46:S46),"Waiting")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IFERROR(AVERAGE($F47:S47),"Waiting")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IF(COUNTIF($C$10:$C44,"=B")=0,IF(COUNTIF($C$10:$C44,"=K")=0,"Waiting",0),COUNTIF($C$10:$C44,"=B"))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IF(COUNTIF($C$10:$C44,"=K")=0,IF(COUNTIF($C$10:$C44,"=B")=0,"Waiting",0),COUNTIF($C$10:$C44,"=K"))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IF(F50="Waiting","Waiting",IF(F50-COUNTIF($T$10:$T44," - ")&lt;ROUNDDOWN(F50*0.4,0),F50-COUNTIF($T$10:$T44,"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Margarita BRITIKOVA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««Торгівля»»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'General'!C11</f>
        <v/>
      </c>
      <c r="D10" s="47" t="n">
        <v>1</v>
      </c>
      <c r="E10" s="48">
        <f>'General'!E11</f>
        <v/>
      </c>
      <c r="F10" s="49">
        <f>'General'!F11</f>
        <v/>
      </c>
      <c r="G10" s="49">
        <f>'General'!G11</f>
        <v/>
      </c>
      <c r="H10" s="49">
        <f>'General'!H11</f>
        <v/>
      </c>
      <c r="I10" s="49">
        <f>'General'!I11</f>
        <v/>
      </c>
      <c r="J10" s="49">
        <f>'General'!J11</f>
        <v/>
      </c>
      <c r="K10" s="49">
        <f>'General'!K11</f>
        <v/>
      </c>
      <c r="L10" s="49">
        <f>'General'!L11</f>
        <v/>
      </c>
      <c r="M10" s="49">
        <f>'General'!M11</f>
        <v/>
      </c>
      <c r="N10" s="49">
        <f>'General'!N11</f>
        <v/>
      </c>
      <c r="O10" s="49">
        <f>'General'!O11</f>
        <v/>
      </c>
      <c r="P10" s="49">
        <f>'General'!P11</f>
        <v/>
      </c>
      <c r="Q10" s="49">
        <f>'General'!Q11</f>
        <v/>
      </c>
      <c r="R10" s="49">
        <f>'General'!R11</f>
        <v/>
      </c>
      <c r="S10" s="49">
        <f>'General'!S11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'General'!C17</f>
        <v/>
      </c>
      <c r="D11" s="47" t="n">
        <v>2</v>
      </c>
      <c r="E11" s="48">
        <f>'General'!E17</f>
        <v/>
      </c>
      <c r="F11" s="49">
        <f>'General'!F17</f>
        <v/>
      </c>
      <c r="G11" s="49">
        <f>'General'!G17</f>
        <v/>
      </c>
      <c r="H11" s="49">
        <f>'General'!H17</f>
        <v/>
      </c>
      <c r="I11" s="49">
        <f>'General'!I17</f>
        <v/>
      </c>
      <c r="J11" s="49">
        <f>'General'!J17</f>
        <v/>
      </c>
      <c r="K11" s="49">
        <f>'General'!K17</f>
        <v/>
      </c>
      <c r="L11" s="49">
        <f>'General'!L17</f>
        <v/>
      </c>
      <c r="M11" s="49">
        <f>'General'!M17</f>
        <v/>
      </c>
      <c r="N11" s="49">
        <f>'General'!N17</f>
        <v/>
      </c>
      <c r="O11" s="49">
        <f>'General'!O17</f>
        <v/>
      </c>
      <c r="P11" s="49">
        <f>'General'!P17</f>
        <v/>
      </c>
      <c r="Q11" s="49">
        <f>'General'!Q17</f>
        <v/>
      </c>
      <c r="R11" s="49">
        <f>'General'!R17</f>
        <v/>
      </c>
      <c r="S11" s="49">
        <f>'General'!S17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'General'!C19</f>
        <v/>
      </c>
      <c r="D12" s="47" t="n">
        <v>3</v>
      </c>
      <c r="E12" s="48">
        <f>'General'!E19</f>
        <v/>
      </c>
      <c r="F12" s="49">
        <f>'General'!F19</f>
        <v/>
      </c>
      <c r="G12" s="49">
        <f>'General'!G19</f>
        <v/>
      </c>
      <c r="H12" s="49">
        <f>'General'!H19</f>
        <v/>
      </c>
      <c r="I12" s="49">
        <f>'General'!I19</f>
        <v/>
      </c>
      <c r="J12" s="49">
        <f>'General'!J19</f>
        <v/>
      </c>
      <c r="K12" s="49">
        <f>'General'!K19</f>
        <v/>
      </c>
      <c r="L12" s="49">
        <f>'General'!L19</f>
        <v/>
      </c>
      <c r="M12" s="49">
        <f>'General'!M19</f>
        <v/>
      </c>
      <c r="N12" s="49">
        <f>'General'!N19</f>
        <v/>
      </c>
      <c r="O12" s="49">
        <f>'General'!O19</f>
        <v/>
      </c>
      <c r="P12" s="49">
        <f>'General'!P19</f>
        <v/>
      </c>
      <c r="Q12" s="49">
        <f>'General'!Q19</f>
        <v/>
      </c>
      <c r="R12" s="49">
        <f>'General'!R19</f>
        <v/>
      </c>
      <c r="S12" s="49">
        <f>'General'!S19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'General'!C21</f>
        <v/>
      </c>
      <c r="D13" s="47" t="n">
        <v>4</v>
      </c>
      <c r="E13" s="48">
        <f>'General'!E21</f>
        <v/>
      </c>
      <c r="F13" s="49">
        <f>'General'!F21</f>
        <v/>
      </c>
      <c r="G13" s="49">
        <f>'General'!G21</f>
        <v/>
      </c>
      <c r="H13" s="49">
        <f>'General'!H21</f>
        <v/>
      </c>
      <c r="I13" s="49">
        <f>'General'!I21</f>
        <v/>
      </c>
      <c r="J13" s="49">
        <f>'General'!J21</f>
        <v/>
      </c>
      <c r="K13" s="49">
        <f>'General'!K21</f>
        <v/>
      </c>
      <c r="L13" s="49">
        <f>'General'!L21</f>
        <v/>
      </c>
      <c r="M13" s="49">
        <f>'General'!M21</f>
        <v/>
      </c>
      <c r="N13" s="49">
        <f>'General'!N21</f>
        <v/>
      </c>
      <c r="O13" s="49">
        <f>'General'!O21</f>
        <v/>
      </c>
      <c r="P13" s="49">
        <f>'General'!P21</f>
        <v/>
      </c>
      <c r="Q13" s="49">
        <f>'General'!Q21</f>
        <v/>
      </c>
      <c r="R13" s="49">
        <f>'General'!R21</f>
        <v/>
      </c>
      <c r="S13" s="49">
        <f>'General'!S21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'General'!C22</f>
        <v/>
      </c>
      <c r="D14" s="47" t="n">
        <v>5</v>
      </c>
      <c r="E14" s="48">
        <f>'General'!E22</f>
        <v/>
      </c>
      <c r="F14" s="49">
        <f>'General'!F22</f>
        <v/>
      </c>
      <c r="G14" s="49">
        <f>'General'!G22</f>
        <v/>
      </c>
      <c r="H14" s="49">
        <f>'General'!H22</f>
        <v/>
      </c>
      <c r="I14" s="49">
        <f>'General'!I22</f>
        <v/>
      </c>
      <c r="J14" s="49">
        <f>'General'!J22</f>
        <v/>
      </c>
      <c r="K14" s="49">
        <f>'General'!K22</f>
        <v/>
      </c>
      <c r="L14" s="49">
        <f>'General'!L22</f>
        <v/>
      </c>
      <c r="M14" s="49">
        <f>'General'!M22</f>
        <v/>
      </c>
      <c r="N14" s="49">
        <f>'General'!N22</f>
        <v/>
      </c>
      <c r="O14" s="49">
        <f>'General'!O22</f>
        <v/>
      </c>
      <c r="P14" s="49">
        <f>'General'!P22</f>
        <v/>
      </c>
      <c r="Q14" s="49">
        <f>'General'!Q22</f>
        <v/>
      </c>
      <c r="R14" s="49">
        <f>'General'!R22</f>
        <v/>
      </c>
      <c r="S14" s="49">
        <f>'General'!S22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'General'!C25</f>
        <v/>
      </c>
      <c r="D15" s="47" t="n">
        <v>6</v>
      </c>
      <c r="E15" s="48">
        <f>'General'!E25</f>
        <v/>
      </c>
      <c r="F15" s="49">
        <f>'General'!F25</f>
        <v/>
      </c>
      <c r="G15" s="49">
        <f>'General'!G25</f>
        <v/>
      </c>
      <c r="H15" s="49">
        <f>'General'!H25</f>
        <v/>
      </c>
      <c r="I15" s="49">
        <f>'General'!I25</f>
        <v/>
      </c>
      <c r="J15" s="49">
        <f>'General'!J25</f>
        <v/>
      </c>
      <c r="K15" s="49">
        <f>'General'!K25</f>
        <v/>
      </c>
      <c r="L15" s="49">
        <f>'General'!L25</f>
        <v/>
      </c>
      <c r="M15" s="49">
        <f>'General'!M25</f>
        <v/>
      </c>
      <c r="N15" s="49">
        <f>'General'!N25</f>
        <v/>
      </c>
      <c r="O15" s="49">
        <f>'General'!O25</f>
        <v/>
      </c>
      <c r="P15" s="49">
        <f>'General'!P25</f>
        <v/>
      </c>
      <c r="Q15" s="49">
        <f>'General'!Q25</f>
        <v/>
      </c>
      <c r="R15" s="49">
        <f>'General'!R25</f>
        <v/>
      </c>
      <c r="S15" s="49">
        <f>'General'!S25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'General'!C26</f>
        <v/>
      </c>
      <c r="D16" s="47" t="n">
        <v>7</v>
      </c>
      <c r="E16" s="48">
        <f>'General'!E26</f>
        <v/>
      </c>
      <c r="F16" s="49">
        <f>'General'!F26</f>
        <v/>
      </c>
      <c r="G16" s="49">
        <f>'General'!G26</f>
        <v/>
      </c>
      <c r="H16" s="49">
        <f>'General'!H26</f>
        <v/>
      </c>
      <c r="I16" s="49">
        <f>'General'!I26</f>
        <v/>
      </c>
      <c r="J16" s="49">
        <f>'General'!J26</f>
        <v/>
      </c>
      <c r="K16" s="49">
        <f>'General'!K26</f>
        <v/>
      </c>
      <c r="L16" s="49">
        <f>'General'!L26</f>
        <v/>
      </c>
      <c r="M16" s="49">
        <f>'General'!M26</f>
        <v/>
      </c>
      <c r="N16" s="49">
        <f>'General'!N26</f>
        <v/>
      </c>
      <c r="O16" s="49">
        <f>'General'!O26</f>
        <v/>
      </c>
      <c r="P16" s="49">
        <f>'General'!P26</f>
        <v/>
      </c>
      <c r="Q16" s="49">
        <f>'General'!Q26</f>
        <v/>
      </c>
      <c r="R16" s="49">
        <f>'General'!R26</f>
        <v/>
      </c>
      <c r="S16" s="49">
        <f>'General'!S26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'General'!C32</f>
        <v/>
      </c>
      <c r="D17" s="47" t="n">
        <v>8</v>
      </c>
      <c r="E17" s="48">
        <f>'General'!E32</f>
        <v/>
      </c>
      <c r="F17" s="49">
        <f>'General'!F32</f>
        <v/>
      </c>
      <c r="G17" s="49">
        <f>'General'!G32</f>
        <v/>
      </c>
      <c r="H17" s="49">
        <f>'General'!H32</f>
        <v/>
      </c>
      <c r="I17" s="49">
        <f>'General'!I32</f>
        <v/>
      </c>
      <c r="J17" s="49">
        <f>'General'!J32</f>
        <v/>
      </c>
      <c r="K17" s="49">
        <f>'General'!K32</f>
        <v/>
      </c>
      <c r="L17" s="49">
        <f>'General'!L32</f>
        <v/>
      </c>
      <c r="M17" s="49">
        <f>'General'!M32</f>
        <v/>
      </c>
      <c r="N17" s="49">
        <f>'General'!N32</f>
        <v/>
      </c>
      <c r="O17" s="49">
        <f>'General'!O32</f>
        <v/>
      </c>
      <c r="P17" s="49">
        <f>'General'!P32</f>
        <v/>
      </c>
      <c r="Q17" s="49">
        <f>'General'!Q32</f>
        <v/>
      </c>
      <c r="R17" s="49">
        <f>'General'!R32</f>
        <v/>
      </c>
      <c r="S17" s="49">
        <f>'General'!S32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'General'!C33</f>
        <v/>
      </c>
      <c r="D18" s="47" t="n">
        <v>9</v>
      </c>
      <c r="E18" s="48">
        <f>'General'!E33</f>
        <v/>
      </c>
      <c r="F18" s="49">
        <f>'General'!F33</f>
        <v/>
      </c>
      <c r="G18" s="49">
        <f>'General'!G33</f>
        <v/>
      </c>
      <c r="H18" s="49">
        <f>'General'!H33</f>
        <v/>
      </c>
      <c r="I18" s="49">
        <f>'General'!I33</f>
        <v/>
      </c>
      <c r="J18" s="49">
        <f>'General'!J33</f>
        <v/>
      </c>
      <c r="K18" s="49">
        <f>'General'!K33</f>
        <v/>
      </c>
      <c r="L18" s="49">
        <f>'General'!L33</f>
        <v/>
      </c>
      <c r="M18" s="49">
        <f>'General'!M33</f>
        <v/>
      </c>
      <c r="N18" s="49">
        <f>'General'!N33</f>
        <v/>
      </c>
      <c r="O18" s="49">
        <f>'General'!O33</f>
        <v/>
      </c>
      <c r="P18" s="49">
        <f>'General'!P33</f>
        <v/>
      </c>
      <c r="Q18" s="49">
        <f>'General'!Q33</f>
        <v/>
      </c>
      <c r="R18" s="49">
        <f>'General'!R33</f>
        <v/>
      </c>
      <c r="S18" s="49">
        <f>'General'!S33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'General'!C37</f>
        <v/>
      </c>
      <c r="D19" s="47" t="n">
        <v>10</v>
      </c>
      <c r="E19" s="48">
        <f>'General'!E37</f>
        <v/>
      </c>
      <c r="F19" s="49">
        <f>'General'!F37</f>
        <v/>
      </c>
      <c r="G19" s="49">
        <f>'General'!G37</f>
        <v/>
      </c>
      <c r="H19" s="49">
        <f>'General'!H37</f>
        <v/>
      </c>
      <c r="I19" s="49">
        <f>'General'!I37</f>
        <v/>
      </c>
      <c r="J19" s="49">
        <f>'General'!J37</f>
        <v/>
      </c>
      <c r="K19" s="49">
        <f>'General'!K37</f>
        <v/>
      </c>
      <c r="L19" s="49">
        <f>'General'!L37</f>
        <v/>
      </c>
      <c r="M19" s="49">
        <f>'General'!M37</f>
        <v/>
      </c>
      <c r="N19" s="49">
        <f>'General'!N37</f>
        <v/>
      </c>
      <c r="O19" s="49">
        <f>'General'!O37</f>
        <v/>
      </c>
      <c r="P19" s="49">
        <f>'General'!P37</f>
        <v/>
      </c>
      <c r="Q19" s="49">
        <f>'General'!Q37</f>
        <v/>
      </c>
      <c r="R19" s="49">
        <f>'General'!R37</f>
        <v/>
      </c>
      <c r="S19" s="49">
        <f>'General'!S37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>
        <f>'General'!C38</f>
        <v/>
      </c>
      <c r="D20" s="47" t="n">
        <v>11</v>
      </c>
      <c r="E20" s="48">
        <f>'General'!E38</f>
        <v/>
      </c>
      <c r="F20" s="49">
        <f>'General'!F38</f>
        <v/>
      </c>
      <c r="G20" s="49">
        <f>'General'!G38</f>
        <v/>
      </c>
      <c r="H20" s="49">
        <f>'General'!H38</f>
        <v/>
      </c>
      <c r="I20" s="49">
        <f>'General'!I38</f>
        <v/>
      </c>
      <c r="J20" s="49">
        <f>'General'!J38</f>
        <v/>
      </c>
      <c r="K20" s="49">
        <f>'General'!K38</f>
        <v/>
      </c>
      <c r="L20" s="49">
        <f>'General'!L38</f>
        <v/>
      </c>
      <c r="M20" s="49">
        <f>'General'!M38</f>
        <v/>
      </c>
      <c r="N20" s="49">
        <f>'General'!N38</f>
        <v/>
      </c>
      <c r="O20" s="49">
        <f>'General'!O38</f>
        <v/>
      </c>
      <c r="P20" s="49">
        <f>'General'!P38</f>
        <v/>
      </c>
      <c r="Q20" s="49">
        <f>'General'!Q38</f>
        <v/>
      </c>
      <c r="R20" s="49">
        <f>'General'!R38</f>
        <v/>
      </c>
      <c r="S20" s="49">
        <f>'General'!S38</f>
        <v/>
      </c>
      <c r="T20" s="42">
        <f>IF(COUNTIF($F20:S20,"=*")&gt;0,IF($C20="K","-"," - "),IF(COUNTIF($F20:S20,"&lt;4")&gt;0,IF(C20="K","-","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>
        <f>'General'!C41</f>
        <v/>
      </c>
      <c r="D21" s="47" t="n">
        <v>12</v>
      </c>
      <c r="E21" s="48">
        <f>'General'!E41</f>
        <v/>
      </c>
      <c r="F21" s="49">
        <f>'General'!F41</f>
        <v/>
      </c>
      <c r="G21" s="49">
        <f>'General'!G41</f>
        <v/>
      </c>
      <c r="H21" s="49">
        <f>'General'!H41</f>
        <v/>
      </c>
      <c r="I21" s="49">
        <f>'General'!I41</f>
        <v/>
      </c>
      <c r="J21" s="49">
        <f>'General'!J41</f>
        <v/>
      </c>
      <c r="K21" s="49">
        <f>'General'!K41</f>
        <v/>
      </c>
      <c r="L21" s="49">
        <f>'General'!L41</f>
        <v/>
      </c>
      <c r="M21" s="49">
        <f>'General'!M41</f>
        <v/>
      </c>
      <c r="N21" s="49">
        <f>'General'!N41</f>
        <v/>
      </c>
      <c r="O21" s="49">
        <f>'General'!O41</f>
        <v/>
      </c>
      <c r="P21" s="49">
        <f>'General'!P41</f>
        <v/>
      </c>
      <c r="Q21" s="49">
        <f>'General'!Q41</f>
        <v/>
      </c>
      <c r="R21" s="49">
        <f>'General'!R41</f>
        <v/>
      </c>
      <c r="S21" s="49">
        <f>'General'!S41</f>
        <v/>
      </c>
      <c r="T21" s="42">
        <f>IF(COUNTIF($F21:S21,"=*")&gt;0,IF($C21="K","-"," - "),IF(COUNTIF($F21:S21,"&lt;4")&gt;0,IF(C21="K","-","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>
        <f>'General'!C42</f>
        <v/>
      </c>
      <c r="D22" s="47" t="n">
        <v>13</v>
      </c>
      <c r="E22" s="48">
        <f>'General'!E42</f>
        <v/>
      </c>
      <c r="F22" s="49">
        <f>'General'!F42</f>
        <v/>
      </c>
      <c r="G22" s="49">
        <f>'General'!G42</f>
        <v/>
      </c>
      <c r="H22" s="49">
        <f>'General'!H42</f>
        <v/>
      </c>
      <c r="I22" s="49">
        <f>'General'!I42</f>
        <v/>
      </c>
      <c r="J22" s="49">
        <f>'General'!J42</f>
        <v/>
      </c>
      <c r="K22" s="49">
        <f>'General'!K42</f>
        <v/>
      </c>
      <c r="L22" s="49">
        <f>'General'!L42</f>
        <v/>
      </c>
      <c r="M22" s="49">
        <f>'General'!M42</f>
        <v/>
      </c>
      <c r="N22" s="49">
        <f>'General'!N42</f>
        <v/>
      </c>
      <c r="O22" s="49">
        <f>'General'!O42</f>
        <v/>
      </c>
      <c r="P22" s="49">
        <f>'General'!P42</f>
        <v/>
      </c>
      <c r="Q22" s="49">
        <f>'General'!Q42</f>
        <v/>
      </c>
      <c r="R22" s="49">
        <f>'General'!R42</f>
        <v/>
      </c>
      <c r="S22" s="49">
        <f>'General'!S42</f>
        <v/>
      </c>
      <c r="T22" s="42">
        <f>IF(COUNTIF($F22:S22,"=*")&gt;0,IF($C22="K","-"," - "),IF(COUNTIF($F22:S22,"&lt;4")&gt;0,IF(C22="K","-","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>
        <f>'General'!C43</f>
        <v/>
      </c>
      <c r="D23" s="47" t="n">
        <v>14</v>
      </c>
      <c r="E23" s="48">
        <f>'General'!E43</f>
        <v/>
      </c>
      <c r="F23" s="49">
        <f>'General'!F43</f>
        <v/>
      </c>
      <c r="G23" s="49">
        <f>'General'!G43</f>
        <v/>
      </c>
      <c r="H23" s="49">
        <f>'General'!H43</f>
        <v/>
      </c>
      <c r="I23" s="49">
        <f>'General'!I43</f>
        <v/>
      </c>
      <c r="J23" s="49">
        <f>'General'!J43</f>
        <v/>
      </c>
      <c r="K23" s="49">
        <f>'General'!K43</f>
        <v/>
      </c>
      <c r="L23" s="49">
        <f>'General'!L43</f>
        <v/>
      </c>
      <c r="M23" s="49">
        <f>'General'!M43</f>
        <v/>
      </c>
      <c r="N23" s="49">
        <f>'General'!N43</f>
        <v/>
      </c>
      <c r="O23" s="49">
        <f>'General'!O43</f>
        <v/>
      </c>
      <c r="P23" s="49">
        <f>'General'!P43</f>
        <v/>
      </c>
      <c r="Q23" s="49">
        <f>'General'!Q43</f>
        <v/>
      </c>
      <c r="R23" s="49">
        <f>'General'!R43</f>
        <v/>
      </c>
      <c r="S23" s="49">
        <f>'General'!S43</f>
        <v/>
      </c>
      <c r="T23" s="42">
        <f>IF(COUNTIF($F23:S23,"=*")&gt;0,IF($C23="K","-"," - "),IF(COUNTIF($F23:S23,"&lt;4")&gt;0,IF(C23="K","-","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>
        <f>'General'!C44</f>
        <v/>
      </c>
      <c r="D24" s="47" t="n">
        <v>15</v>
      </c>
      <c r="E24" s="48">
        <f>'General'!E44</f>
        <v/>
      </c>
      <c r="F24" s="49">
        <f>'General'!F44</f>
        <v/>
      </c>
      <c r="G24" s="49">
        <f>'General'!G44</f>
        <v/>
      </c>
      <c r="H24" s="49">
        <f>'General'!H44</f>
        <v/>
      </c>
      <c r="I24" s="49">
        <f>'General'!I44</f>
        <v/>
      </c>
      <c r="J24" s="49">
        <f>'General'!J44</f>
        <v/>
      </c>
      <c r="K24" s="49">
        <f>'General'!K44</f>
        <v/>
      </c>
      <c r="L24" s="49">
        <f>'General'!L44</f>
        <v/>
      </c>
      <c r="M24" s="49">
        <f>'General'!M44</f>
        <v/>
      </c>
      <c r="N24" s="49">
        <f>'General'!N44</f>
        <v/>
      </c>
      <c r="O24" s="49">
        <f>'General'!O44</f>
        <v/>
      </c>
      <c r="P24" s="49">
        <f>'General'!P44</f>
        <v/>
      </c>
      <c r="Q24" s="49">
        <f>'General'!Q44</f>
        <v/>
      </c>
      <c r="R24" s="49">
        <f>'General'!R44</f>
        <v/>
      </c>
      <c r="S24" s="49">
        <f>'General'!S44</f>
        <v/>
      </c>
      <c r="T24" s="42">
        <f>IF(COUNTIF($F24:S24,"=*")&gt;0,IF($C24="K","-"," - "),IF(COUNTIF($F24:S24,"&lt;4")&gt;0,IF(C24="K","-","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IF(SUM(F$10:F24)=0,IF(COUNTA(F$10:F24)=0,"Waiting",0),SUM(F$10:F24)/$D24)</f>
        <v/>
      </c>
      <c r="G25" s="8">
        <f>IF(SUM(G$10:G24)=0,IF(COUNTA(G$10:G24)=0,"Waiting",0),SUM(G$10:G24)/$D24)</f>
        <v/>
      </c>
      <c r="H25" s="8">
        <f>IF(SUM(H$10:H24)=0,IF(COUNTA(H$10:H24)=0,"Waiting",0),SUM(H$10:H24)/$D24)</f>
        <v/>
      </c>
      <c r="I25" s="8">
        <f>IF(SUM(I$10:I24)=0,IF(COUNTA(I$10:I24)=0,"Waiting",0),SUM(I$10:I24)/$D24)</f>
        <v/>
      </c>
      <c r="J25" s="8">
        <f>IF(SUM(J$10:J24)=0,IF(COUNTA(J$10:J24)=0,"Waiting",0),SUM(J$10:J24)/$D24)</f>
        <v/>
      </c>
      <c r="K25" s="8">
        <f>IF(SUM(K$10:K24)=0,IF(COUNTA(K$10:K24)=0,"Waiting",0),SUM(K$10:K24)/$D24)</f>
        <v/>
      </c>
      <c r="L25" s="8">
        <f>IF(SUM(L$10:L24)=0,IF(COUNTA(L$10:L24)=0,"Waiting",0),SUM(L$10:L24)/$D24)</f>
        <v/>
      </c>
      <c r="M25" s="8">
        <f>IF(SUM(M$10:M24)=0,IF(COUNTA(M$10:M24)=0,"Waiting",0),SUM(M$10:M24)/$D24)</f>
        <v/>
      </c>
      <c r="N25" s="8">
        <f>IF(SUM(N$10:N24)=0,IF(COUNTA(N$10:N24)=0,"Waiting",0),SUM(N$10:N24)/$D24)</f>
        <v/>
      </c>
      <c r="O25" s="8">
        <f>IF(SUM(O$10:O24)=0,IF(COUNTA(O$10:O24)=0,"Waiting",0),SUM(O$10:O24)/$D24)</f>
        <v/>
      </c>
      <c r="P25" s="8">
        <f>IF(SUM(P$10:P24)=0,IF(COUNTA(P$10:P24)=0,"Waiting",0),SUM(P$10:P24)/$D24)</f>
        <v/>
      </c>
      <c r="Q25" s="8">
        <f>IF(SUM(Q$10:Q24)=0,IF(COUNTA(Q$10:Q24)=0,"Waiting",0),SUM(Q$10:Q24)/$D24)</f>
        <v/>
      </c>
      <c r="R25" s="8">
        <f>IF(SUM(R$10:R24)=0,IF(COUNTA(R$10:R24)=0,"Waiting",0),SUM(R$10:R24)/$D24)</f>
        <v/>
      </c>
      <c r="S25" s="8">
        <f>IF(SUM(S$10:S24)=0,IF(COUNTA(S$10:S24)=0,"Waiting",0),SUM(S$10:S24)/$D24)</f>
        <v/>
      </c>
      <c r="T25" s="9">
        <f>IFERROR(AVERAGE($F25:S25),"Waiting")</f>
        <v/>
      </c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IF(SUM(F$10:F24)=0,IF(COUNTA(F$10:F24)=0,"Waiting",0),IF(COUNTIF(F$10:F24,"&gt;=4")=0,0,COUNTIF(F$10:F24,"&gt;=4")/$D24*100))</f>
        <v/>
      </c>
      <c r="G26" s="43">
        <f>IF(SUM(G$10:G24)=0,IF(COUNTA(G$10:G24)=0,"Waiting",0),IF(COUNTIF(G$10:G24,"&gt;=4")=0,0,COUNTIF(G$10:G24,"&gt;=4")/$D24*100))</f>
        <v/>
      </c>
      <c r="H26" s="43">
        <f>IF(SUM(H$10:H24)=0,IF(COUNTA(H$10:H24)=0,"Waiting",0),IF(COUNTIF(H$10:H24,"&gt;=4")=0,0,COUNTIF(H$10:H24,"&gt;=4")/$D24*100))</f>
        <v/>
      </c>
      <c r="I26" s="43">
        <f>IF(SUM(I$10:I24)=0,IF(COUNTA(I$10:I24)=0,"Waiting",0),IF(COUNTIF(I$10:I24,"&gt;=4")=0,0,COUNTIF(I$10:I24,"&gt;=4")/$D24*100))</f>
        <v/>
      </c>
      <c r="J26" s="43">
        <f>IF(SUM(J$10:J24)=0,IF(COUNTA(J$10:J24)=0,"Waiting",0),IF(COUNTIF(J$10:J24,"&gt;=4")=0,0,COUNTIF(J$10:J24,"&gt;=4")/$D24*100))</f>
        <v/>
      </c>
      <c r="K26" s="43">
        <f>IF(SUM(K$10:K24)=0,IF(COUNTA(K$10:K24)=0,"Waiting",0),IF(COUNTIF(K$10:K24,"&gt;=4")=0,0,COUNTIF(K$10:K24,"&gt;=4")/$D24*100))</f>
        <v/>
      </c>
      <c r="L26" s="43">
        <f>IF(SUM(L$10:L24)=0,IF(COUNTA(L$10:L24)=0,"Waiting",0),IF(COUNTIF(L$10:L24,"&gt;=4")=0,0,COUNTIF(L$10:L24,"&gt;=4")/$D24*100))</f>
        <v/>
      </c>
      <c r="M26" s="43">
        <f>IF(SUM(M$10:M24)=0,IF(COUNTA(M$10:M24)=0,"Waiting",0),IF(COUNTIF(M$10:M24,"&gt;=4")=0,0,COUNTIF(M$10:M24,"&gt;=4")/$D24*100))</f>
        <v/>
      </c>
      <c r="N26" s="43">
        <f>IF(SUM(N$10:N24)=0,IF(COUNTA(N$10:N24)=0,"Waiting",0),IF(COUNTIF(N$10:N24,"&gt;=4")=0,0,COUNTIF(N$10:N24,"&gt;=4")/$D24*100))</f>
        <v/>
      </c>
      <c r="O26" s="43">
        <f>IF(SUM(O$10:O24)=0,IF(COUNTA(O$10:O24)=0,"Waiting",0),IF(COUNTIF(O$10:O24,"&gt;=4")=0,0,COUNTIF(O$10:O24,"&gt;=4")/$D24*100))</f>
        <v/>
      </c>
      <c r="P26" s="43">
        <f>IF(SUM(P$10:P24)=0,IF(COUNTA(P$10:P24)=0,"Waiting",0),IF(COUNTIF(P$10:P24,"&gt;=4")=0,0,COUNTIF(P$10:P24,"&gt;=4")/$D24*100))</f>
        <v/>
      </c>
      <c r="Q26" s="43">
        <f>IF(SUM(Q$10:Q24)=0,IF(COUNTA(Q$10:Q24)=0,"Waiting",0),IF(COUNTIF(Q$10:Q24,"&gt;=4")=0,0,COUNTIF(Q$10:Q24,"&gt;=4")/$D24*100))</f>
        <v/>
      </c>
      <c r="R26" s="43">
        <f>IF(SUM(R$10:R24)=0,IF(COUNTA(R$10:R24)=0,"Waiting",0),IF(COUNTIF(R$10:R24,"&gt;=4")=0,0,COUNTIF(R$10:R24,"&gt;=4")/$D24*100))</f>
        <v/>
      </c>
      <c r="S26" s="43">
        <f>IF(SUM(S$10:S24)=0,IF(COUNTA(S$10:S24)=0,"Waiting",0),IF(COUNTIF(S$10:S24,"&gt;=4")=0,0,COUNTIF(S$10:S24,"&gt;=4")/$D24*100))</f>
        <v/>
      </c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IF(SUM(F$10:F24)=0,IF(COUNTA(F$10:F24)=0,"Waiting",0),IF(COUNTIF(F$10:F24,"&gt;=7")=0,0,COUNTIF(F$10:F24,"&gt;=7")/$D24*100))</f>
        <v/>
      </c>
      <c r="G27" s="43">
        <f>IF(SUM(G$10:G24)=0,IF(COUNTA(G$10:G24)=0,"Waiting",0),IF(COUNTIF(G$10:G24,"&gt;=7")=0,0,COUNTIF(G$10:G24,"&gt;=7")/$D24*100))</f>
        <v/>
      </c>
      <c r="H27" s="43">
        <f>IF(SUM(H$10:H24)=0,IF(COUNTA(H$10:H24)=0,"Waiting",0),IF(COUNTIF(H$10:H24,"&gt;=7")=0,0,COUNTIF(H$10:H24,"&gt;=7")/$D24*100))</f>
        <v/>
      </c>
      <c r="I27" s="43">
        <f>IF(SUM(I$10:I24)=0,IF(COUNTA(I$10:I24)=0,"Waiting",0),IF(COUNTIF(I$10:I24,"&gt;=7")=0,0,COUNTIF(I$10:I24,"&gt;=7")/$D24*100))</f>
        <v/>
      </c>
      <c r="J27" s="43">
        <f>IF(SUM(J$10:J24)=0,IF(COUNTA(J$10:J24)=0,"Waiting",0),IF(COUNTIF(J$10:J24,"&gt;=7")=0,0,COUNTIF(J$10:J24,"&gt;=7")/$D24*100))</f>
        <v/>
      </c>
      <c r="K27" s="43">
        <f>IF(SUM(K$10:K24)=0,IF(COUNTA(K$10:K24)=0,"Waiting",0),IF(COUNTIF(K$10:K24,"&gt;=7")=0,0,COUNTIF(K$10:K24,"&gt;=7")/$D24*100))</f>
        <v/>
      </c>
      <c r="L27" s="43">
        <f>IF(SUM(L$10:L24)=0,IF(COUNTA(L$10:L24)=0,"Waiting",0),IF(COUNTIF(L$10:L24,"&gt;=7")=0,0,COUNTIF(L$10:L24,"&gt;=7")/$D24*100))</f>
        <v/>
      </c>
      <c r="M27" s="43">
        <f>IF(SUM(M$10:M24)=0,IF(COUNTA(M$10:M24)=0,"Waiting",0),IF(COUNTIF(M$10:M24,"&gt;=7")=0,0,COUNTIF(M$10:M24,"&gt;=7")/$D24*100))</f>
        <v/>
      </c>
      <c r="N27" s="43">
        <f>IF(SUM(N$10:N24)=0,IF(COUNTA(N$10:N24)=0,"Waiting",0),IF(COUNTIF(N$10:N24,"&gt;=7")=0,0,COUNTIF(N$10:N24,"&gt;=7")/$D24*100))</f>
        <v/>
      </c>
      <c r="O27" s="43">
        <f>IF(SUM(O$10:O24)=0,IF(COUNTA(O$10:O24)=0,"Waiting",0),IF(COUNTIF(O$10:O24,"&gt;=7")=0,0,COUNTIF(O$10:O24,"&gt;=7")/$D24*100))</f>
        <v/>
      </c>
      <c r="P27" s="43">
        <f>IF(SUM(P$10:P24)=0,IF(COUNTA(P$10:P24)=0,"Waiting",0),IF(COUNTIF(P$10:P24,"&gt;=7")=0,0,COUNTIF(P$10:P24,"&gt;=7")/$D24*100))</f>
        <v/>
      </c>
      <c r="Q27" s="43">
        <f>IF(SUM(Q$10:Q24)=0,IF(COUNTA(Q$10:Q24)=0,"Waiting",0),IF(COUNTIF(Q$10:Q24,"&gt;=7")=0,0,COUNTIF(Q$10:Q24,"&gt;=7")/$D24*100))</f>
        <v/>
      </c>
      <c r="R27" s="43">
        <f>IF(SUM(R$10:R24)=0,IF(COUNTA(R$10:R24)=0,"Waiting",0),IF(COUNTIF(R$10:R24,"&gt;=7")=0,0,COUNTIF(R$10:R24,"&gt;=7")/$D24*100))</f>
        <v/>
      </c>
      <c r="S27" s="43">
        <f>IF(SUM(S$10:S24)=0,IF(COUNTA(S$10:S24)=0,"Waiting",0),IF(COUNTIF(S$10:S24,"&gt;=7")=0,0,COUNTIF(S$10:S24,"&gt;=7")/$D24*100))</f>
        <v/>
      </c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IFERROR(AVERAGE(F26:S26),"Waiting")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IFERROR(AVERAGE($F27:S27),"Waiting")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IF(COUNTIF($C$10:$C24,"=B")=0,IF(COUNTIF($C$10:$C24,"=K")=0,"Waiting",0),COUNTIF($C$10:$C24,"=B"))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IF(COUNTIF($C$10:$C24,"=K")=0,IF(COUNTIF($C$10:$C24,"=B")=0,"Waiting",0),COUNTIF($C$10:$C24,"=K"))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6" t="n"/>
      <c r="M31" s="6" t="n"/>
      <c r="N31" s="6" t="n"/>
      <c r="O31" s="56" t="n"/>
      <c r="P31" s="54">
        <f>'General'!P51</f>
        <v/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6" t="n"/>
      <c r="M32" s="6" t="n"/>
      <c r="N32" s="6" t="n"/>
      <c r="O32" s="56" t="n"/>
      <c r="P32" s="52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IF(F30="Waiting","Waiting",IF(F30-COUNTIF($T$10:$T24," - ")&lt;ROUNDDOWN(F30*0.4,0),F30-COUNTIF($T$10:$T24," - "),ROUNDDOWN(F30*0.4,0)))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6" t="n"/>
      <c r="M33" s="6" t="n"/>
      <c r="N33" s="6" t="n"/>
      <c r="O33" s="56" t="n"/>
      <c r="P33" s="54" t="inlineStr">
        <is>
          <t>Margarita BRITIKOVA</t>
        </is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5" t="n"/>
      <c r="V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'General'!C12</f>
        <v/>
      </c>
      <c r="D10" s="47" t="n">
        <v>1</v>
      </c>
      <c r="E10" s="48">
        <f>'General'!E12</f>
        <v/>
      </c>
      <c r="F10" s="49">
        <f>'General'!F12</f>
        <v/>
      </c>
      <c r="G10" s="49">
        <f>'General'!G12</f>
        <v/>
      </c>
      <c r="H10" s="49">
        <f>'General'!H12</f>
        <v/>
      </c>
      <c r="I10" s="49">
        <f>'General'!I12</f>
        <v/>
      </c>
      <c r="J10" s="49">
        <f>'General'!J12</f>
        <v/>
      </c>
      <c r="K10" s="49">
        <f>'General'!K12</f>
        <v/>
      </c>
      <c r="L10" s="49">
        <f>'General'!L12</f>
        <v/>
      </c>
      <c r="M10" s="49">
        <f>'General'!M12</f>
        <v/>
      </c>
      <c r="N10" s="49">
        <f>'General'!N12</f>
        <v/>
      </c>
      <c r="O10" s="49">
        <f>'General'!O12</f>
        <v/>
      </c>
      <c r="P10" s="49">
        <f>'General'!P12</f>
        <v/>
      </c>
      <c r="Q10" s="49">
        <f>'General'!Q12</f>
        <v/>
      </c>
      <c r="R10" s="49">
        <f>'General'!R12</f>
        <v/>
      </c>
      <c r="S10" s="49">
        <f>'General'!S12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'General'!C14</f>
        <v/>
      </c>
      <c r="D11" s="47" t="n">
        <v>2</v>
      </c>
      <c r="E11" s="48">
        <f>'General'!E14</f>
        <v/>
      </c>
      <c r="F11" s="49">
        <f>'General'!F14</f>
        <v/>
      </c>
      <c r="G11" s="49">
        <f>'General'!G14</f>
        <v/>
      </c>
      <c r="H11" s="49">
        <f>'General'!H14</f>
        <v/>
      </c>
      <c r="I11" s="49">
        <f>'General'!I14</f>
        <v/>
      </c>
      <c r="J11" s="49">
        <f>'General'!J14</f>
        <v/>
      </c>
      <c r="K11" s="49">
        <f>'General'!K14</f>
        <v/>
      </c>
      <c r="L11" s="49">
        <f>'General'!L14</f>
        <v/>
      </c>
      <c r="M11" s="49">
        <f>'General'!M14</f>
        <v/>
      </c>
      <c r="N11" s="49">
        <f>'General'!N14</f>
        <v/>
      </c>
      <c r="O11" s="49">
        <f>'General'!O14</f>
        <v/>
      </c>
      <c r="P11" s="49">
        <f>'General'!P14</f>
        <v/>
      </c>
      <c r="Q11" s="49">
        <f>'General'!Q14</f>
        <v/>
      </c>
      <c r="R11" s="49">
        <f>'General'!R14</f>
        <v/>
      </c>
      <c r="S11" s="49">
        <f>'General'!S14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'General'!C27</f>
        <v/>
      </c>
      <c r="D12" s="47" t="n">
        <v>3</v>
      </c>
      <c r="E12" s="48">
        <f>'General'!E27</f>
        <v/>
      </c>
      <c r="F12" s="49">
        <f>'General'!F27</f>
        <v/>
      </c>
      <c r="G12" s="49">
        <f>'General'!G27</f>
        <v/>
      </c>
      <c r="H12" s="49">
        <f>'General'!H27</f>
        <v/>
      </c>
      <c r="I12" s="49">
        <f>'General'!I27</f>
        <v/>
      </c>
      <c r="J12" s="49">
        <f>'General'!J27</f>
        <v/>
      </c>
      <c r="K12" s="49">
        <f>'General'!K27</f>
        <v/>
      </c>
      <c r="L12" s="49">
        <f>'General'!L27</f>
        <v/>
      </c>
      <c r="M12" s="49">
        <f>'General'!M27</f>
        <v/>
      </c>
      <c r="N12" s="49">
        <f>'General'!N27</f>
        <v/>
      </c>
      <c r="O12" s="49">
        <f>'General'!O27</f>
        <v/>
      </c>
      <c r="P12" s="49">
        <f>'General'!P27</f>
        <v/>
      </c>
      <c r="Q12" s="49">
        <f>'General'!Q27</f>
        <v/>
      </c>
      <c r="R12" s="49">
        <f>'General'!R27</f>
        <v/>
      </c>
      <c r="S12" s="49">
        <f>'General'!S27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'General'!C29</f>
        <v/>
      </c>
      <c r="D13" s="47" t="n">
        <v>4</v>
      </c>
      <c r="E13" s="48">
        <f>'General'!E29</f>
        <v/>
      </c>
      <c r="F13" s="49">
        <f>'General'!F29</f>
        <v/>
      </c>
      <c r="G13" s="49">
        <f>'General'!G29</f>
        <v/>
      </c>
      <c r="H13" s="49">
        <f>'General'!H29</f>
        <v/>
      </c>
      <c r="I13" s="49">
        <f>'General'!I29</f>
        <v/>
      </c>
      <c r="J13" s="49">
        <f>'General'!J29</f>
        <v/>
      </c>
      <c r="K13" s="49">
        <f>'General'!K29</f>
        <v/>
      </c>
      <c r="L13" s="49">
        <f>'General'!L29</f>
        <v/>
      </c>
      <c r="M13" s="49">
        <f>'General'!M29</f>
        <v/>
      </c>
      <c r="N13" s="49">
        <f>'General'!N29</f>
        <v/>
      </c>
      <c r="O13" s="49">
        <f>'General'!O29</f>
        <v/>
      </c>
      <c r="P13" s="49">
        <f>'General'!P29</f>
        <v/>
      </c>
      <c r="Q13" s="49">
        <f>'General'!Q29</f>
        <v/>
      </c>
      <c r="R13" s="49">
        <f>'General'!R29</f>
        <v/>
      </c>
      <c r="S13" s="49">
        <f>'General'!S29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IF(SUM(F$10:F13)=0,IF(COUNTA(F$10:F13)=0,"Waiting",0),SUM(F$10:F13)/$D13)</f>
        <v/>
      </c>
      <c r="G14" s="8">
        <f>IF(SUM(G$10:G13)=0,IF(COUNTA(G$10:G13)=0,"Waiting",0),SUM(G$10:G13)/$D13)</f>
        <v/>
      </c>
      <c r="H14" s="8">
        <f>IF(SUM(H$10:H13)=0,IF(COUNTA(H$10:H13)=0,"Waiting",0),SUM(H$10:H13)/$D13)</f>
        <v/>
      </c>
      <c r="I14" s="8">
        <f>IF(SUM(I$10:I13)=0,IF(COUNTA(I$10:I13)=0,"Waiting",0),SUM(I$10:I13)/$D13)</f>
        <v/>
      </c>
      <c r="J14" s="8">
        <f>IF(SUM(J$10:J13)=0,IF(COUNTA(J$10:J13)=0,"Waiting",0),SUM(J$10:J13)/$D13)</f>
        <v/>
      </c>
      <c r="K14" s="8">
        <f>IF(SUM(K$10:K13)=0,IF(COUNTA(K$10:K13)=0,"Waiting",0),SUM(K$10:K13)/$D13)</f>
        <v/>
      </c>
      <c r="L14" s="8">
        <f>IF(SUM(L$10:L13)=0,IF(COUNTA(L$10:L13)=0,"Waiting",0),SUM(L$10:L13)/$D13)</f>
        <v/>
      </c>
      <c r="M14" s="8">
        <f>IF(SUM(M$10:M13)=0,IF(COUNTA(M$10:M13)=0,"Waiting",0),SUM(M$10:M13)/$D13)</f>
        <v/>
      </c>
      <c r="N14" s="8">
        <f>IF(SUM(N$10:N13)=0,IF(COUNTA(N$10:N13)=0,"Waiting",0),SUM(N$10:N13)/$D13)</f>
        <v/>
      </c>
      <c r="O14" s="8">
        <f>IF(SUM(O$10:O13)=0,IF(COUNTA(O$10:O13)=0,"Waiting",0),SUM(O$10:O13)/$D13)</f>
        <v/>
      </c>
      <c r="P14" s="8">
        <f>IF(SUM(P$10:P13)=0,IF(COUNTA(P$10:P13)=0,"Waiting",0),SUM(P$10:P13)/$D13)</f>
        <v/>
      </c>
      <c r="Q14" s="8">
        <f>IF(SUM(Q$10:Q13)=0,IF(COUNTA(Q$10:Q13)=0,"Waiting",0),SUM(Q$10:Q13)/$D13)</f>
        <v/>
      </c>
      <c r="R14" s="8">
        <f>IF(SUM(R$10:R13)=0,IF(COUNTA(R$10:R13)=0,"Waiting",0),SUM(R$10:R13)/$D13)</f>
        <v/>
      </c>
      <c r="S14" s="8">
        <f>IF(SUM(S$10:S13)=0,IF(COUNTA(S$10:S13)=0,"Waiting",0),SUM(S$10:S13)/$D13)</f>
        <v/>
      </c>
      <c r="T14" s="9">
        <f>IFERROR(AVERAGE($F14:S14),"Waiting")</f>
        <v/>
      </c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IF(SUM(F$10:F13)=0,IF(COUNTA(F$10:F13)=0,"Waiting",0),IF(COUNTIF(F$10:F13,"&gt;=4")=0,0,COUNTIF(F$10:F13,"&gt;=4")/$D13*100))</f>
        <v/>
      </c>
      <c r="G15" s="43">
        <f>IF(SUM(G$10:G13)=0,IF(COUNTA(G$10:G13)=0,"Waiting",0),IF(COUNTIF(G$10:G13,"&gt;=4")=0,0,COUNTIF(G$10:G13,"&gt;=4")/$D13*100))</f>
        <v/>
      </c>
      <c r="H15" s="43">
        <f>IF(SUM(H$10:H13)=0,IF(COUNTA(H$10:H13)=0,"Waiting",0),IF(COUNTIF(H$10:H13,"&gt;=4")=0,0,COUNTIF(H$10:H13,"&gt;=4")/$D13*100))</f>
        <v/>
      </c>
      <c r="I15" s="43">
        <f>IF(SUM(I$10:I13)=0,IF(COUNTA(I$10:I13)=0,"Waiting",0),IF(COUNTIF(I$10:I13,"&gt;=4")=0,0,COUNTIF(I$10:I13,"&gt;=4")/$D13*100))</f>
        <v/>
      </c>
      <c r="J15" s="43">
        <f>IF(SUM(J$10:J13)=0,IF(COUNTA(J$10:J13)=0,"Waiting",0),IF(COUNTIF(J$10:J13,"&gt;=4")=0,0,COUNTIF(J$10:J13,"&gt;=4")/$D13*100))</f>
        <v/>
      </c>
      <c r="K15" s="43">
        <f>IF(SUM(K$10:K13)=0,IF(COUNTA(K$10:K13)=0,"Waiting",0),IF(COUNTIF(K$10:K13,"&gt;=4")=0,0,COUNTIF(K$10:K13,"&gt;=4")/$D13*100))</f>
        <v/>
      </c>
      <c r="L15" s="43">
        <f>IF(SUM(L$10:L13)=0,IF(COUNTA(L$10:L13)=0,"Waiting",0),IF(COUNTIF(L$10:L13,"&gt;=4")=0,0,COUNTIF(L$10:L13,"&gt;=4")/$D13*100))</f>
        <v/>
      </c>
      <c r="M15" s="43">
        <f>IF(SUM(M$10:M13)=0,IF(COUNTA(M$10:M13)=0,"Waiting",0),IF(COUNTIF(M$10:M13,"&gt;=4")=0,0,COUNTIF(M$10:M13,"&gt;=4")/$D13*100))</f>
        <v/>
      </c>
      <c r="N15" s="43">
        <f>IF(SUM(N$10:N13)=0,IF(COUNTA(N$10:N13)=0,"Waiting",0),IF(COUNTIF(N$10:N13,"&gt;=4")=0,0,COUNTIF(N$10:N13,"&gt;=4")/$D13*100))</f>
        <v/>
      </c>
      <c r="O15" s="43">
        <f>IF(SUM(O$10:O13)=0,IF(COUNTA(O$10:O13)=0,"Waiting",0),IF(COUNTIF(O$10:O13,"&gt;=4")=0,0,COUNTIF(O$10:O13,"&gt;=4")/$D13*100))</f>
        <v/>
      </c>
      <c r="P15" s="43">
        <f>IF(SUM(P$10:P13)=0,IF(COUNTA(P$10:P13)=0,"Waiting",0),IF(COUNTIF(P$10:P13,"&gt;=4")=0,0,COUNTIF(P$10:P13,"&gt;=4")/$D13*100))</f>
        <v/>
      </c>
      <c r="Q15" s="43">
        <f>IF(SUM(Q$10:Q13)=0,IF(COUNTA(Q$10:Q13)=0,"Waiting",0),IF(COUNTIF(Q$10:Q13,"&gt;=4")=0,0,COUNTIF(Q$10:Q13,"&gt;=4")/$D13*100))</f>
        <v/>
      </c>
      <c r="R15" s="43">
        <f>IF(SUM(R$10:R13)=0,IF(COUNTA(R$10:R13)=0,"Waiting",0),IF(COUNTIF(R$10:R13,"&gt;=4")=0,0,COUNTIF(R$10:R13,"&gt;=4")/$D13*100))</f>
        <v/>
      </c>
      <c r="S15" s="43">
        <f>IF(SUM(S$10:S13)=0,IF(COUNTA(S$10:S13)=0,"Waiting",0),IF(COUNTIF(S$10:S13,"&gt;=4")=0,0,COUNTIF(S$10:S13,"&gt;=4")/$D13*100))</f>
        <v/>
      </c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IF(SUM(F$10:F13)=0,IF(COUNTA(F$10:F13)=0,"Waiting",0),IF(COUNTIF(F$10:F13,"&gt;=7")=0,0,COUNTIF(F$10:F13,"&gt;=7")/$D13*100))</f>
        <v/>
      </c>
      <c r="G16" s="43">
        <f>IF(SUM(G$10:G13)=0,IF(COUNTA(G$10:G13)=0,"Waiting",0),IF(COUNTIF(G$10:G13,"&gt;=7")=0,0,COUNTIF(G$10:G13,"&gt;=7")/$D13*100))</f>
        <v/>
      </c>
      <c r="H16" s="43">
        <f>IF(SUM(H$10:H13)=0,IF(COUNTA(H$10:H13)=0,"Waiting",0),IF(COUNTIF(H$10:H13,"&gt;=7")=0,0,COUNTIF(H$10:H13,"&gt;=7")/$D13*100))</f>
        <v/>
      </c>
      <c r="I16" s="43">
        <f>IF(SUM(I$10:I13)=0,IF(COUNTA(I$10:I13)=0,"Waiting",0),IF(COUNTIF(I$10:I13,"&gt;=7")=0,0,COUNTIF(I$10:I13,"&gt;=7")/$D13*100))</f>
        <v/>
      </c>
      <c r="J16" s="43">
        <f>IF(SUM(J$10:J13)=0,IF(COUNTA(J$10:J13)=0,"Waiting",0),IF(COUNTIF(J$10:J13,"&gt;=7")=0,0,COUNTIF(J$10:J13,"&gt;=7")/$D13*100))</f>
        <v/>
      </c>
      <c r="K16" s="43">
        <f>IF(SUM(K$10:K13)=0,IF(COUNTA(K$10:K13)=0,"Waiting",0),IF(COUNTIF(K$10:K13,"&gt;=7")=0,0,COUNTIF(K$10:K13,"&gt;=7")/$D13*100))</f>
        <v/>
      </c>
      <c r="L16" s="43">
        <f>IF(SUM(L$10:L13)=0,IF(COUNTA(L$10:L13)=0,"Waiting",0),IF(COUNTIF(L$10:L13,"&gt;=7")=0,0,COUNTIF(L$10:L13,"&gt;=7")/$D13*100))</f>
        <v/>
      </c>
      <c r="M16" s="43">
        <f>IF(SUM(M$10:M13)=0,IF(COUNTA(M$10:M13)=0,"Waiting",0),IF(COUNTIF(M$10:M13,"&gt;=7")=0,0,COUNTIF(M$10:M13,"&gt;=7")/$D13*100))</f>
        <v/>
      </c>
      <c r="N16" s="43">
        <f>IF(SUM(N$10:N13)=0,IF(COUNTA(N$10:N13)=0,"Waiting",0),IF(COUNTIF(N$10:N13,"&gt;=7")=0,0,COUNTIF(N$10:N13,"&gt;=7")/$D13*100))</f>
        <v/>
      </c>
      <c r="O16" s="43">
        <f>IF(SUM(O$10:O13)=0,IF(COUNTA(O$10:O13)=0,"Waiting",0),IF(COUNTIF(O$10:O13,"&gt;=7")=0,0,COUNTIF(O$10:O13,"&gt;=7")/$D13*100))</f>
        <v/>
      </c>
      <c r="P16" s="43">
        <f>IF(SUM(P$10:P13)=0,IF(COUNTA(P$10:P13)=0,"Waiting",0),IF(COUNTIF(P$10:P13,"&gt;=7")=0,0,COUNTIF(P$10:P13,"&gt;=7")/$D13*100))</f>
        <v/>
      </c>
      <c r="Q16" s="43">
        <f>IF(SUM(Q$10:Q13)=0,IF(COUNTA(Q$10:Q13)=0,"Waiting",0),IF(COUNTIF(Q$10:Q13,"&gt;=7")=0,0,COUNTIF(Q$10:Q13,"&gt;=7")/$D13*100))</f>
        <v/>
      </c>
      <c r="R16" s="43">
        <f>IF(SUM(R$10:R13)=0,IF(COUNTA(R$10:R13)=0,"Waiting",0),IF(COUNTIF(R$10:R13,"&gt;=7")=0,0,COUNTIF(R$10:R13,"&gt;=7")/$D13*100))</f>
        <v/>
      </c>
      <c r="S16" s="43">
        <f>IF(SUM(S$10:S13)=0,IF(COUNTA(S$10:S13)=0,"Waiting",0),IF(COUNTIF(S$10:S13,"&gt;=7")=0,0,COUNTIF(S$10:S13,"&gt;=7")/$D13*100))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IFERROR(AVERAGE(F15:S15),"Waiting")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IFERROR(AVERAGE($F16:S16),"Waiting")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IF(COUNTIF($C$10:$C13,"=B")=0,IF(COUNTIF($C$10:$C13,"=K")=0,"Waiting",0),COUNTIF($C$10:$C13,"=B"))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52" t="n"/>
      <c r="R19" s="52" t="n"/>
      <c r="S19" s="52" t="n"/>
      <c r="T19" s="52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IF(COUNTIF($C$10:$C13,"=K")=0,IF(COUNTIF($C$10:$C13,"=B")=0,"Waiting",0),COUNTIF($C$10:$C13,"=K"))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6" t="n"/>
      <c r="M20" s="6" t="n"/>
      <c r="N20" s="6" t="n"/>
      <c r="O20" s="56" t="n"/>
      <c r="P20" s="54">
        <f>'General'!P51</f>
        <v/>
      </c>
      <c r="Q20" s="54" t="n"/>
      <c r="R20" s="54" t="n"/>
      <c r="S20" s="54" t="n"/>
      <c r="T20" s="54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6" t="n"/>
      <c r="M21" s="6" t="n"/>
      <c r="N21" s="6" t="n"/>
      <c r="O21" s="56" t="n"/>
      <c r="P21" s="52" t="n"/>
      <c r="Q21" s="52" t="n"/>
      <c r="R21" s="52" t="n"/>
      <c r="S21" s="52" t="n"/>
      <c r="T21" s="52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IF(F19="Waiting","Waiting",IF(F19-COUNTIF($T$10:$T13," - ")&lt;ROUNDDOWN(F19*0.4,0),F19-COUNTIF($T$10:$T13," - "),ROUNDDOWN(F19*0.4,0)))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6" t="n"/>
      <c r="M22" s="6" t="n"/>
      <c r="N22" s="6" t="n"/>
      <c r="O22" s="56" t="n"/>
      <c r="P22" s="54" t="inlineStr">
        <is>
          <t>Margarita BRITIKOVA</t>
        </is>
      </c>
      <c r="Q22" s="54" t="n"/>
      <c r="R22" s="54" t="n"/>
      <c r="S22" s="54" t="n"/>
      <c r="T22" s="54" t="n"/>
      <c r="U22" s="20" t="n"/>
      <c r="V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5" t="n"/>
      <c r="V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««Гірництво та нафтогазові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'General'!C10</f>
        <v/>
      </c>
      <c r="D10" s="47" t="n">
        <v>1</v>
      </c>
      <c r="E10" s="48">
        <f>'General'!E10</f>
        <v/>
      </c>
      <c r="F10" s="49">
        <f>'General'!F10</f>
        <v/>
      </c>
      <c r="G10" s="49">
        <f>'General'!G10</f>
        <v/>
      </c>
      <c r="H10" s="49">
        <f>'General'!H10</f>
        <v/>
      </c>
      <c r="I10" s="49">
        <f>'General'!I10</f>
        <v/>
      </c>
      <c r="J10" s="49">
        <f>'General'!J10</f>
        <v/>
      </c>
      <c r="K10" s="49">
        <f>'General'!K10</f>
        <v/>
      </c>
      <c r="L10" s="49">
        <f>'General'!L10</f>
        <v/>
      </c>
      <c r="M10" s="49">
        <f>'General'!M10</f>
        <v/>
      </c>
      <c r="N10" s="49">
        <f>'General'!N10</f>
        <v/>
      </c>
      <c r="O10" s="49">
        <f>'General'!O10</f>
        <v/>
      </c>
      <c r="P10" s="49">
        <f>'General'!P10</f>
        <v/>
      </c>
      <c r="Q10" s="49">
        <f>'General'!Q10</f>
        <v/>
      </c>
      <c r="R10" s="49">
        <f>'General'!R10</f>
        <v/>
      </c>
      <c r="S10" s="49">
        <f>'General'!S10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'General'!C13</f>
        <v/>
      </c>
      <c r="D11" s="47" t="n">
        <v>2</v>
      </c>
      <c r="E11" s="48">
        <f>'General'!E13</f>
        <v/>
      </c>
      <c r="F11" s="49">
        <f>'General'!F13</f>
        <v/>
      </c>
      <c r="G11" s="49">
        <f>'General'!G13</f>
        <v/>
      </c>
      <c r="H11" s="49">
        <f>'General'!H13</f>
        <v/>
      </c>
      <c r="I11" s="49">
        <f>'General'!I13</f>
        <v/>
      </c>
      <c r="J11" s="49">
        <f>'General'!J13</f>
        <v/>
      </c>
      <c r="K11" s="49">
        <f>'General'!K13</f>
        <v/>
      </c>
      <c r="L11" s="49">
        <f>'General'!L13</f>
        <v/>
      </c>
      <c r="M11" s="49">
        <f>'General'!M13</f>
        <v/>
      </c>
      <c r="N11" s="49">
        <f>'General'!N13</f>
        <v/>
      </c>
      <c r="O11" s="49">
        <f>'General'!O13</f>
        <v/>
      </c>
      <c r="P11" s="49">
        <f>'General'!P13</f>
        <v/>
      </c>
      <c r="Q11" s="49">
        <f>'General'!Q13</f>
        <v/>
      </c>
      <c r="R11" s="49">
        <f>'General'!R13</f>
        <v/>
      </c>
      <c r="S11" s="49">
        <f>'General'!S13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'General'!C15</f>
        <v/>
      </c>
      <c r="D12" s="47" t="n">
        <v>3</v>
      </c>
      <c r="E12" s="48">
        <f>'General'!E15</f>
        <v/>
      </c>
      <c r="F12" s="49">
        <f>'General'!F15</f>
        <v/>
      </c>
      <c r="G12" s="49">
        <f>'General'!G15</f>
        <v/>
      </c>
      <c r="H12" s="49">
        <f>'General'!H15</f>
        <v/>
      </c>
      <c r="I12" s="49">
        <f>'General'!I15</f>
        <v/>
      </c>
      <c r="J12" s="49">
        <f>'General'!J15</f>
        <v/>
      </c>
      <c r="K12" s="49">
        <f>'General'!K15</f>
        <v/>
      </c>
      <c r="L12" s="49">
        <f>'General'!L15</f>
        <v/>
      </c>
      <c r="M12" s="49">
        <f>'General'!M15</f>
        <v/>
      </c>
      <c r="N12" s="49">
        <f>'General'!N15</f>
        <v/>
      </c>
      <c r="O12" s="49">
        <f>'General'!O15</f>
        <v/>
      </c>
      <c r="P12" s="49">
        <f>'General'!P15</f>
        <v/>
      </c>
      <c r="Q12" s="49">
        <f>'General'!Q15</f>
        <v/>
      </c>
      <c r="R12" s="49">
        <f>'General'!R15</f>
        <v/>
      </c>
      <c r="S12" s="49">
        <f>'General'!S15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'General'!C16</f>
        <v/>
      </c>
      <c r="D13" s="47" t="n">
        <v>4</v>
      </c>
      <c r="E13" s="48">
        <f>'General'!E16</f>
        <v/>
      </c>
      <c r="F13" s="49">
        <f>'General'!F16</f>
        <v/>
      </c>
      <c r="G13" s="49">
        <f>'General'!G16</f>
        <v/>
      </c>
      <c r="H13" s="49">
        <f>'General'!H16</f>
        <v/>
      </c>
      <c r="I13" s="49">
        <f>'General'!I16</f>
        <v/>
      </c>
      <c r="J13" s="49">
        <f>'General'!J16</f>
        <v/>
      </c>
      <c r="K13" s="49">
        <f>'General'!K16</f>
        <v/>
      </c>
      <c r="L13" s="49">
        <f>'General'!L16</f>
        <v/>
      </c>
      <c r="M13" s="49">
        <f>'General'!M16</f>
        <v/>
      </c>
      <c r="N13" s="49">
        <f>'General'!N16</f>
        <v/>
      </c>
      <c r="O13" s="49">
        <f>'General'!O16</f>
        <v/>
      </c>
      <c r="P13" s="49">
        <f>'General'!P16</f>
        <v/>
      </c>
      <c r="Q13" s="49">
        <f>'General'!Q16</f>
        <v/>
      </c>
      <c r="R13" s="49">
        <f>'General'!R16</f>
        <v/>
      </c>
      <c r="S13" s="49">
        <f>'General'!S16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'General'!C18</f>
        <v/>
      </c>
      <c r="D14" s="47" t="n">
        <v>5</v>
      </c>
      <c r="E14" s="48">
        <f>'General'!E18</f>
        <v/>
      </c>
      <c r="F14" s="49">
        <f>'General'!F18</f>
        <v/>
      </c>
      <c r="G14" s="49">
        <f>'General'!G18</f>
        <v/>
      </c>
      <c r="H14" s="49">
        <f>'General'!H18</f>
        <v/>
      </c>
      <c r="I14" s="49">
        <f>'General'!I18</f>
        <v/>
      </c>
      <c r="J14" s="49">
        <f>'General'!J18</f>
        <v/>
      </c>
      <c r="K14" s="49">
        <f>'General'!K18</f>
        <v/>
      </c>
      <c r="L14" s="49">
        <f>'General'!L18</f>
        <v/>
      </c>
      <c r="M14" s="49">
        <f>'General'!M18</f>
        <v/>
      </c>
      <c r="N14" s="49">
        <f>'General'!N18</f>
        <v/>
      </c>
      <c r="O14" s="49">
        <f>'General'!O18</f>
        <v/>
      </c>
      <c r="P14" s="49">
        <f>'General'!P18</f>
        <v/>
      </c>
      <c r="Q14" s="49">
        <f>'General'!Q18</f>
        <v/>
      </c>
      <c r="R14" s="49">
        <f>'General'!R18</f>
        <v/>
      </c>
      <c r="S14" s="49">
        <f>'General'!S18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'General'!C20</f>
        <v/>
      </c>
      <c r="D15" s="47" t="n">
        <v>6</v>
      </c>
      <c r="E15" s="48">
        <f>'General'!E20</f>
        <v/>
      </c>
      <c r="F15" s="49">
        <f>'General'!F20</f>
        <v/>
      </c>
      <c r="G15" s="49">
        <f>'General'!G20</f>
        <v/>
      </c>
      <c r="H15" s="49">
        <f>'General'!H20</f>
        <v/>
      </c>
      <c r="I15" s="49">
        <f>'General'!I20</f>
        <v/>
      </c>
      <c r="J15" s="49">
        <f>'General'!J20</f>
        <v/>
      </c>
      <c r="K15" s="49">
        <f>'General'!K20</f>
        <v/>
      </c>
      <c r="L15" s="49">
        <f>'General'!L20</f>
        <v/>
      </c>
      <c r="M15" s="49">
        <f>'General'!M20</f>
        <v/>
      </c>
      <c r="N15" s="49">
        <f>'General'!N20</f>
        <v/>
      </c>
      <c r="O15" s="49">
        <f>'General'!O20</f>
        <v/>
      </c>
      <c r="P15" s="49">
        <f>'General'!P20</f>
        <v/>
      </c>
      <c r="Q15" s="49">
        <f>'General'!Q20</f>
        <v/>
      </c>
      <c r="R15" s="49">
        <f>'General'!R20</f>
        <v/>
      </c>
      <c r="S15" s="49">
        <f>'General'!S20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'General'!C23</f>
        <v/>
      </c>
      <c r="D16" s="47" t="n">
        <v>7</v>
      </c>
      <c r="E16" s="48">
        <f>'General'!E23</f>
        <v/>
      </c>
      <c r="F16" s="49">
        <f>'General'!F23</f>
        <v/>
      </c>
      <c r="G16" s="49">
        <f>'General'!G23</f>
        <v/>
      </c>
      <c r="H16" s="49">
        <f>'General'!H23</f>
        <v/>
      </c>
      <c r="I16" s="49">
        <f>'General'!I23</f>
        <v/>
      </c>
      <c r="J16" s="49">
        <f>'General'!J23</f>
        <v/>
      </c>
      <c r="K16" s="49">
        <f>'General'!K23</f>
        <v/>
      </c>
      <c r="L16" s="49">
        <f>'General'!L23</f>
        <v/>
      </c>
      <c r="M16" s="49">
        <f>'General'!M23</f>
        <v/>
      </c>
      <c r="N16" s="49">
        <f>'General'!N23</f>
        <v/>
      </c>
      <c r="O16" s="49">
        <f>'General'!O23</f>
        <v/>
      </c>
      <c r="P16" s="49">
        <f>'General'!P23</f>
        <v/>
      </c>
      <c r="Q16" s="49">
        <f>'General'!Q23</f>
        <v/>
      </c>
      <c r="R16" s="49">
        <f>'General'!R23</f>
        <v/>
      </c>
      <c r="S16" s="49">
        <f>'General'!S23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'General'!C24</f>
        <v/>
      </c>
      <c r="D17" s="47" t="n">
        <v>8</v>
      </c>
      <c r="E17" s="48">
        <f>'General'!E24</f>
        <v/>
      </c>
      <c r="F17" s="49">
        <f>'General'!F24</f>
        <v/>
      </c>
      <c r="G17" s="49">
        <f>'General'!G24</f>
        <v/>
      </c>
      <c r="H17" s="49">
        <f>'General'!H24</f>
        <v/>
      </c>
      <c r="I17" s="49">
        <f>'General'!I24</f>
        <v/>
      </c>
      <c r="J17" s="49">
        <f>'General'!J24</f>
        <v/>
      </c>
      <c r="K17" s="49">
        <f>'General'!K24</f>
        <v/>
      </c>
      <c r="L17" s="49">
        <f>'General'!L24</f>
        <v/>
      </c>
      <c r="M17" s="49">
        <f>'General'!M24</f>
        <v/>
      </c>
      <c r="N17" s="49">
        <f>'General'!N24</f>
        <v/>
      </c>
      <c r="O17" s="49">
        <f>'General'!O24</f>
        <v/>
      </c>
      <c r="P17" s="49">
        <f>'General'!P24</f>
        <v/>
      </c>
      <c r="Q17" s="49">
        <f>'General'!Q24</f>
        <v/>
      </c>
      <c r="R17" s="49">
        <f>'General'!R24</f>
        <v/>
      </c>
      <c r="S17" s="49">
        <f>'General'!S24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'General'!C28</f>
        <v/>
      </c>
      <c r="D18" s="47" t="n">
        <v>9</v>
      </c>
      <c r="E18" s="48">
        <f>'General'!E28</f>
        <v/>
      </c>
      <c r="F18" s="49">
        <f>'General'!F28</f>
        <v/>
      </c>
      <c r="G18" s="49">
        <f>'General'!G28</f>
        <v/>
      </c>
      <c r="H18" s="49">
        <f>'General'!H28</f>
        <v/>
      </c>
      <c r="I18" s="49">
        <f>'General'!I28</f>
        <v/>
      </c>
      <c r="J18" s="49">
        <f>'General'!J28</f>
        <v/>
      </c>
      <c r="K18" s="49">
        <f>'General'!K28</f>
        <v/>
      </c>
      <c r="L18" s="49">
        <f>'General'!L28</f>
        <v/>
      </c>
      <c r="M18" s="49">
        <f>'General'!M28</f>
        <v/>
      </c>
      <c r="N18" s="49">
        <f>'General'!N28</f>
        <v/>
      </c>
      <c r="O18" s="49">
        <f>'General'!O28</f>
        <v/>
      </c>
      <c r="P18" s="49">
        <f>'General'!P28</f>
        <v/>
      </c>
      <c r="Q18" s="49">
        <f>'General'!Q28</f>
        <v/>
      </c>
      <c r="R18" s="49">
        <f>'General'!R28</f>
        <v/>
      </c>
      <c r="S18" s="49">
        <f>'General'!S28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'General'!C30</f>
        <v/>
      </c>
      <c r="D19" s="47" t="n">
        <v>10</v>
      </c>
      <c r="E19" s="48">
        <f>'General'!E30</f>
        <v/>
      </c>
      <c r="F19" s="49">
        <f>'General'!F30</f>
        <v/>
      </c>
      <c r="G19" s="49">
        <f>'General'!G30</f>
        <v/>
      </c>
      <c r="H19" s="49">
        <f>'General'!H30</f>
        <v/>
      </c>
      <c r="I19" s="49">
        <f>'General'!I30</f>
        <v/>
      </c>
      <c r="J19" s="49">
        <f>'General'!J30</f>
        <v/>
      </c>
      <c r="K19" s="49">
        <f>'General'!K30</f>
        <v/>
      </c>
      <c r="L19" s="49">
        <f>'General'!L30</f>
        <v/>
      </c>
      <c r="M19" s="49">
        <f>'General'!M30</f>
        <v/>
      </c>
      <c r="N19" s="49">
        <f>'General'!N30</f>
        <v/>
      </c>
      <c r="O19" s="49">
        <f>'General'!O30</f>
        <v/>
      </c>
      <c r="P19" s="49">
        <f>'General'!P30</f>
        <v/>
      </c>
      <c r="Q19" s="49">
        <f>'General'!Q30</f>
        <v/>
      </c>
      <c r="R19" s="49">
        <f>'General'!R30</f>
        <v/>
      </c>
      <c r="S19" s="49">
        <f>'General'!S30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>
        <f>'General'!C31</f>
        <v/>
      </c>
      <c r="D20" s="47" t="n">
        <v>11</v>
      </c>
      <c r="E20" s="48">
        <f>'General'!E31</f>
        <v/>
      </c>
      <c r="F20" s="49">
        <f>'General'!F31</f>
        <v/>
      </c>
      <c r="G20" s="49">
        <f>'General'!G31</f>
        <v/>
      </c>
      <c r="H20" s="49">
        <f>'General'!H31</f>
        <v/>
      </c>
      <c r="I20" s="49">
        <f>'General'!I31</f>
        <v/>
      </c>
      <c r="J20" s="49">
        <f>'General'!J31</f>
        <v/>
      </c>
      <c r="K20" s="49">
        <f>'General'!K31</f>
        <v/>
      </c>
      <c r="L20" s="49">
        <f>'General'!L31</f>
        <v/>
      </c>
      <c r="M20" s="49">
        <f>'General'!M31</f>
        <v/>
      </c>
      <c r="N20" s="49">
        <f>'General'!N31</f>
        <v/>
      </c>
      <c r="O20" s="49">
        <f>'General'!O31</f>
        <v/>
      </c>
      <c r="P20" s="49">
        <f>'General'!P31</f>
        <v/>
      </c>
      <c r="Q20" s="49">
        <f>'General'!Q31</f>
        <v/>
      </c>
      <c r="R20" s="49">
        <f>'General'!R31</f>
        <v/>
      </c>
      <c r="S20" s="49">
        <f>'General'!S31</f>
        <v/>
      </c>
      <c r="T20" s="42">
        <f>IF(COUNTIF($F20:S20,"=*")&gt;0,IF($C20="K","-"," - "),IF(COUNTIF($F20:S20,"&lt;4")&gt;0,IF(C20="K","-","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>
        <f>'General'!C34</f>
        <v/>
      </c>
      <c r="D21" s="47" t="n">
        <v>12</v>
      </c>
      <c r="E21" s="48">
        <f>'General'!E34</f>
        <v/>
      </c>
      <c r="F21" s="49">
        <f>'General'!F34</f>
        <v/>
      </c>
      <c r="G21" s="49">
        <f>'General'!G34</f>
        <v/>
      </c>
      <c r="H21" s="49">
        <f>'General'!H34</f>
        <v/>
      </c>
      <c r="I21" s="49">
        <f>'General'!I34</f>
        <v/>
      </c>
      <c r="J21" s="49">
        <f>'General'!J34</f>
        <v/>
      </c>
      <c r="K21" s="49">
        <f>'General'!K34</f>
        <v/>
      </c>
      <c r="L21" s="49">
        <f>'General'!L34</f>
        <v/>
      </c>
      <c r="M21" s="49">
        <f>'General'!M34</f>
        <v/>
      </c>
      <c r="N21" s="49">
        <f>'General'!N34</f>
        <v/>
      </c>
      <c r="O21" s="49">
        <f>'General'!O34</f>
        <v/>
      </c>
      <c r="P21" s="49">
        <f>'General'!P34</f>
        <v/>
      </c>
      <c r="Q21" s="49">
        <f>'General'!Q34</f>
        <v/>
      </c>
      <c r="R21" s="49">
        <f>'General'!R34</f>
        <v/>
      </c>
      <c r="S21" s="49">
        <f>'General'!S34</f>
        <v/>
      </c>
      <c r="T21" s="42">
        <f>IF(COUNTIF($F21:S21,"=*")&gt;0,IF($C21="K","-"," - "),IF(COUNTIF($F21:S21,"&lt;4")&gt;0,IF(C21="K","-","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>
        <f>'General'!C35</f>
        <v/>
      </c>
      <c r="D22" s="47" t="n">
        <v>13</v>
      </c>
      <c r="E22" s="48">
        <f>'General'!E35</f>
        <v/>
      </c>
      <c r="F22" s="49">
        <f>'General'!F35</f>
        <v/>
      </c>
      <c r="G22" s="49">
        <f>'General'!G35</f>
        <v/>
      </c>
      <c r="H22" s="49">
        <f>'General'!H35</f>
        <v/>
      </c>
      <c r="I22" s="49">
        <f>'General'!I35</f>
        <v/>
      </c>
      <c r="J22" s="49">
        <f>'General'!J35</f>
        <v/>
      </c>
      <c r="K22" s="49">
        <f>'General'!K35</f>
        <v/>
      </c>
      <c r="L22" s="49">
        <f>'General'!L35</f>
        <v/>
      </c>
      <c r="M22" s="49">
        <f>'General'!M35</f>
        <v/>
      </c>
      <c r="N22" s="49">
        <f>'General'!N35</f>
        <v/>
      </c>
      <c r="O22" s="49">
        <f>'General'!O35</f>
        <v/>
      </c>
      <c r="P22" s="49">
        <f>'General'!P35</f>
        <v/>
      </c>
      <c r="Q22" s="49">
        <f>'General'!Q35</f>
        <v/>
      </c>
      <c r="R22" s="49">
        <f>'General'!R35</f>
        <v/>
      </c>
      <c r="S22" s="49">
        <f>'General'!S35</f>
        <v/>
      </c>
      <c r="T22" s="42">
        <f>IF(COUNTIF($F22:S22,"=*")&gt;0,IF($C22="K","-"," - "),IF(COUNTIF($F22:S22,"&lt;4")&gt;0,IF(C22="K","-","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>
        <f>'General'!C36</f>
        <v/>
      </c>
      <c r="D23" s="47" t="n">
        <v>14</v>
      </c>
      <c r="E23" s="48">
        <f>'General'!E36</f>
        <v/>
      </c>
      <c r="F23" s="49">
        <f>'General'!F36</f>
        <v/>
      </c>
      <c r="G23" s="49">
        <f>'General'!G36</f>
        <v/>
      </c>
      <c r="H23" s="49">
        <f>'General'!H36</f>
        <v/>
      </c>
      <c r="I23" s="49">
        <f>'General'!I36</f>
        <v/>
      </c>
      <c r="J23" s="49">
        <f>'General'!J36</f>
        <v/>
      </c>
      <c r="K23" s="49">
        <f>'General'!K36</f>
        <v/>
      </c>
      <c r="L23" s="49">
        <f>'General'!L36</f>
        <v/>
      </c>
      <c r="M23" s="49">
        <f>'General'!M36</f>
        <v/>
      </c>
      <c r="N23" s="49">
        <f>'General'!N36</f>
        <v/>
      </c>
      <c r="O23" s="49">
        <f>'General'!O36</f>
        <v/>
      </c>
      <c r="P23" s="49">
        <f>'General'!P36</f>
        <v/>
      </c>
      <c r="Q23" s="49">
        <f>'General'!Q36</f>
        <v/>
      </c>
      <c r="R23" s="49">
        <f>'General'!R36</f>
        <v/>
      </c>
      <c r="S23" s="49">
        <f>'General'!S36</f>
        <v/>
      </c>
      <c r="T23" s="42">
        <f>IF(COUNTIF($F23:S23,"=*")&gt;0,IF($C23="K","-"," - "),IF(COUNTIF($F23:S23,"&lt;4")&gt;0,IF(C23="K","-","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>
        <f>'General'!C39</f>
        <v/>
      </c>
      <c r="D24" s="47" t="n">
        <v>15</v>
      </c>
      <c r="E24" s="48">
        <f>'General'!E39</f>
        <v/>
      </c>
      <c r="F24" s="49">
        <f>'General'!F39</f>
        <v/>
      </c>
      <c r="G24" s="49">
        <f>'General'!G39</f>
        <v/>
      </c>
      <c r="H24" s="49">
        <f>'General'!H39</f>
        <v/>
      </c>
      <c r="I24" s="49">
        <f>'General'!I39</f>
        <v/>
      </c>
      <c r="J24" s="49">
        <f>'General'!J39</f>
        <v/>
      </c>
      <c r="K24" s="49">
        <f>'General'!K39</f>
        <v/>
      </c>
      <c r="L24" s="49">
        <f>'General'!L39</f>
        <v/>
      </c>
      <c r="M24" s="49">
        <f>'General'!M39</f>
        <v/>
      </c>
      <c r="N24" s="49">
        <f>'General'!N39</f>
        <v/>
      </c>
      <c r="O24" s="49">
        <f>'General'!O39</f>
        <v/>
      </c>
      <c r="P24" s="49">
        <f>'General'!P39</f>
        <v/>
      </c>
      <c r="Q24" s="49">
        <f>'General'!Q39</f>
        <v/>
      </c>
      <c r="R24" s="49">
        <f>'General'!R39</f>
        <v/>
      </c>
      <c r="S24" s="49">
        <f>'General'!S39</f>
        <v/>
      </c>
      <c r="T24" s="42">
        <f>IF(COUNTIF($F24:S24,"=*")&gt;0,IF($C24="K","-"," - "),IF(COUNTIF($F24:S24,"&lt;4")&gt;0,IF(C24="K","-","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47">
        <f>'General'!C40</f>
        <v/>
      </c>
      <c r="D25" s="47" t="n">
        <v>16</v>
      </c>
      <c r="E25" s="48">
        <f>'General'!E40</f>
        <v/>
      </c>
      <c r="F25" s="49">
        <f>'General'!F40</f>
        <v/>
      </c>
      <c r="G25" s="49">
        <f>'General'!G40</f>
        <v/>
      </c>
      <c r="H25" s="49">
        <f>'General'!H40</f>
        <v/>
      </c>
      <c r="I25" s="49">
        <f>'General'!I40</f>
        <v/>
      </c>
      <c r="J25" s="49">
        <f>'General'!J40</f>
        <v/>
      </c>
      <c r="K25" s="49">
        <f>'General'!K40</f>
        <v/>
      </c>
      <c r="L25" s="49">
        <f>'General'!L40</f>
        <v/>
      </c>
      <c r="M25" s="49">
        <f>'General'!M40</f>
        <v/>
      </c>
      <c r="N25" s="49">
        <f>'General'!N40</f>
        <v/>
      </c>
      <c r="O25" s="49">
        <f>'General'!O40</f>
        <v/>
      </c>
      <c r="P25" s="49">
        <f>'General'!P40</f>
        <v/>
      </c>
      <c r="Q25" s="49">
        <f>'General'!Q40</f>
        <v/>
      </c>
      <c r="R25" s="49">
        <f>'General'!R40</f>
        <v/>
      </c>
      <c r="S25" s="49">
        <f>'General'!S40</f>
        <v/>
      </c>
      <c r="T25" s="42">
        <f>IF(COUNTIF($F25:S25,"=*")&gt;0,IF($C25="K","-"," - "),IF(COUNTIF($F25:S25,"&lt;4")&gt;0,IF(C25="K","-"," - "),(IFERROR(AVERAGE($F25:S25),"Waiting"))))</f>
        <v/>
      </c>
      <c r="U25" s="22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IF(SUM(F$10:F25)=0,IF(COUNTA(F$10:F25)=0,"Waiting",0),SUM(F$10:F25)/$D25)</f>
        <v/>
      </c>
      <c r="G26" s="8">
        <f>IF(SUM(G$10:G25)=0,IF(COUNTA(G$10:G25)=0,"Waiting",0),SUM(G$10:G25)/$D25)</f>
        <v/>
      </c>
      <c r="H26" s="8">
        <f>IF(SUM(H$10:H25)=0,IF(COUNTA(H$10:H25)=0,"Waiting",0),SUM(H$10:H25)/$D25)</f>
        <v/>
      </c>
      <c r="I26" s="8">
        <f>IF(SUM(I$10:I25)=0,IF(COUNTA(I$10:I25)=0,"Waiting",0),SUM(I$10:I25)/$D25)</f>
        <v/>
      </c>
      <c r="J26" s="8">
        <f>IF(SUM(J$10:J25)=0,IF(COUNTA(J$10:J25)=0,"Waiting",0),SUM(J$10:J25)/$D25)</f>
        <v/>
      </c>
      <c r="K26" s="8">
        <f>IF(SUM(K$10:K25)=0,IF(COUNTA(K$10:K25)=0,"Waiting",0),SUM(K$10:K25)/$D25)</f>
        <v/>
      </c>
      <c r="L26" s="8">
        <f>IF(SUM(L$10:L25)=0,IF(COUNTA(L$10:L25)=0,"Waiting",0),SUM(L$10:L25)/$D25)</f>
        <v/>
      </c>
      <c r="M26" s="8">
        <f>IF(SUM(M$10:M25)=0,IF(COUNTA(M$10:M25)=0,"Waiting",0),SUM(M$10:M25)/$D25)</f>
        <v/>
      </c>
      <c r="N26" s="8">
        <f>IF(SUM(N$10:N25)=0,IF(COUNTA(N$10:N25)=0,"Waiting",0),SUM(N$10:N25)/$D25)</f>
        <v/>
      </c>
      <c r="O26" s="8">
        <f>IF(SUM(O$10:O25)=0,IF(COUNTA(O$10:O25)=0,"Waiting",0),SUM(O$10:O25)/$D25)</f>
        <v/>
      </c>
      <c r="P26" s="8">
        <f>IF(SUM(P$10:P25)=0,IF(COUNTA(P$10:P25)=0,"Waiting",0),SUM(P$10:P25)/$D25)</f>
        <v/>
      </c>
      <c r="Q26" s="8">
        <f>IF(SUM(Q$10:Q25)=0,IF(COUNTA(Q$10:Q25)=0,"Waiting",0),SUM(Q$10:Q25)/$D25)</f>
        <v/>
      </c>
      <c r="R26" s="8">
        <f>IF(SUM(R$10:R25)=0,IF(COUNTA(R$10:R25)=0,"Waiting",0),SUM(R$10:R25)/$D25)</f>
        <v/>
      </c>
      <c r="S26" s="8">
        <f>IF(SUM(S$10:S25)=0,IF(COUNTA(S$10:S25)=0,"Waiting",0),SUM(S$10:S25)/$D25)</f>
        <v/>
      </c>
      <c r="T26" s="9">
        <f>IFERROR(AVERAGE($F26:S26),"Waiting")</f>
        <v/>
      </c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IF(SUM(F$10:F25)=0,IF(COUNTA(F$10:F25)=0,"Waiting",0),IF(COUNTIF(F$10:F25,"&gt;=4")=0,0,COUNTIF(F$10:F25,"&gt;=4")/$D25*100))</f>
        <v/>
      </c>
      <c r="G27" s="43">
        <f>IF(SUM(G$10:G25)=0,IF(COUNTA(G$10:G25)=0,"Waiting",0),IF(COUNTIF(G$10:G25,"&gt;=4")=0,0,COUNTIF(G$10:G25,"&gt;=4")/$D25*100))</f>
        <v/>
      </c>
      <c r="H27" s="43">
        <f>IF(SUM(H$10:H25)=0,IF(COUNTA(H$10:H25)=0,"Waiting",0),IF(COUNTIF(H$10:H25,"&gt;=4")=0,0,COUNTIF(H$10:H25,"&gt;=4")/$D25*100))</f>
        <v/>
      </c>
      <c r="I27" s="43">
        <f>IF(SUM(I$10:I25)=0,IF(COUNTA(I$10:I25)=0,"Waiting",0),IF(COUNTIF(I$10:I25,"&gt;=4")=0,0,COUNTIF(I$10:I25,"&gt;=4")/$D25*100))</f>
        <v/>
      </c>
      <c r="J27" s="43">
        <f>IF(SUM(J$10:J25)=0,IF(COUNTA(J$10:J25)=0,"Waiting",0),IF(COUNTIF(J$10:J25,"&gt;=4")=0,0,COUNTIF(J$10:J25,"&gt;=4")/$D25*100))</f>
        <v/>
      </c>
      <c r="K27" s="43">
        <f>IF(SUM(K$10:K25)=0,IF(COUNTA(K$10:K25)=0,"Waiting",0),IF(COUNTIF(K$10:K25,"&gt;=4")=0,0,COUNTIF(K$10:K25,"&gt;=4")/$D25*100))</f>
        <v/>
      </c>
      <c r="L27" s="43">
        <f>IF(SUM(L$10:L25)=0,IF(COUNTA(L$10:L25)=0,"Waiting",0),IF(COUNTIF(L$10:L25,"&gt;=4")=0,0,COUNTIF(L$10:L25,"&gt;=4")/$D25*100))</f>
        <v/>
      </c>
      <c r="M27" s="43">
        <f>IF(SUM(M$10:M25)=0,IF(COUNTA(M$10:M25)=0,"Waiting",0),IF(COUNTIF(M$10:M25,"&gt;=4")=0,0,COUNTIF(M$10:M25,"&gt;=4")/$D25*100))</f>
        <v/>
      </c>
      <c r="N27" s="43">
        <f>IF(SUM(N$10:N25)=0,IF(COUNTA(N$10:N25)=0,"Waiting",0),IF(COUNTIF(N$10:N25,"&gt;=4")=0,0,COUNTIF(N$10:N25,"&gt;=4")/$D25*100))</f>
        <v/>
      </c>
      <c r="O27" s="43">
        <f>IF(SUM(O$10:O25)=0,IF(COUNTA(O$10:O25)=0,"Waiting",0),IF(COUNTIF(O$10:O25,"&gt;=4")=0,0,COUNTIF(O$10:O25,"&gt;=4")/$D25*100))</f>
        <v/>
      </c>
      <c r="P27" s="43">
        <f>IF(SUM(P$10:P25)=0,IF(COUNTA(P$10:P25)=0,"Waiting",0),IF(COUNTIF(P$10:P25,"&gt;=4")=0,0,COUNTIF(P$10:P25,"&gt;=4")/$D25*100))</f>
        <v/>
      </c>
      <c r="Q27" s="43">
        <f>IF(SUM(Q$10:Q25)=0,IF(COUNTA(Q$10:Q25)=0,"Waiting",0),IF(COUNTIF(Q$10:Q25,"&gt;=4")=0,0,COUNTIF(Q$10:Q25,"&gt;=4")/$D25*100))</f>
        <v/>
      </c>
      <c r="R27" s="43">
        <f>IF(SUM(R$10:R25)=0,IF(COUNTA(R$10:R25)=0,"Waiting",0),IF(COUNTIF(R$10:R25,"&gt;=4")=0,0,COUNTIF(R$10:R25,"&gt;=4")/$D25*100))</f>
        <v/>
      </c>
      <c r="S27" s="43">
        <f>IF(SUM(S$10:S25)=0,IF(COUNTA(S$10:S25)=0,"Waiting",0),IF(COUNTIF(S$10:S25,"&gt;=4")=0,0,COUNTIF(S$10:S25,"&gt;=4")/$D25*100))</f>
        <v/>
      </c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IF(SUM(F$10:F25)=0,IF(COUNTA(F$10:F25)=0,"Waiting",0),IF(COUNTIF(F$10:F25,"&gt;=7")=0,0,COUNTIF(F$10:F25,"&gt;=7")/$D25*100))</f>
        <v/>
      </c>
      <c r="G28" s="43">
        <f>IF(SUM(G$10:G25)=0,IF(COUNTA(G$10:G25)=0,"Waiting",0),IF(COUNTIF(G$10:G25,"&gt;=7")=0,0,COUNTIF(G$10:G25,"&gt;=7")/$D25*100))</f>
        <v/>
      </c>
      <c r="H28" s="43">
        <f>IF(SUM(H$10:H25)=0,IF(COUNTA(H$10:H25)=0,"Waiting",0),IF(COUNTIF(H$10:H25,"&gt;=7")=0,0,COUNTIF(H$10:H25,"&gt;=7")/$D25*100))</f>
        <v/>
      </c>
      <c r="I28" s="43">
        <f>IF(SUM(I$10:I25)=0,IF(COUNTA(I$10:I25)=0,"Waiting",0),IF(COUNTIF(I$10:I25,"&gt;=7")=0,0,COUNTIF(I$10:I25,"&gt;=7")/$D25*100))</f>
        <v/>
      </c>
      <c r="J28" s="43">
        <f>IF(SUM(J$10:J25)=0,IF(COUNTA(J$10:J25)=0,"Waiting",0),IF(COUNTIF(J$10:J25,"&gt;=7")=0,0,COUNTIF(J$10:J25,"&gt;=7")/$D25*100))</f>
        <v/>
      </c>
      <c r="K28" s="43">
        <f>IF(SUM(K$10:K25)=0,IF(COUNTA(K$10:K25)=0,"Waiting",0),IF(COUNTIF(K$10:K25,"&gt;=7")=0,0,COUNTIF(K$10:K25,"&gt;=7")/$D25*100))</f>
        <v/>
      </c>
      <c r="L28" s="43">
        <f>IF(SUM(L$10:L25)=0,IF(COUNTA(L$10:L25)=0,"Waiting",0),IF(COUNTIF(L$10:L25,"&gt;=7")=0,0,COUNTIF(L$10:L25,"&gt;=7")/$D25*100))</f>
        <v/>
      </c>
      <c r="M28" s="43">
        <f>IF(SUM(M$10:M25)=0,IF(COUNTA(M$10:M25)=0,"Waiting",0),IF(COUNTIF(M$10:M25,"&gt;=7")=0,0,COUNTIF(M$10:M25,"&gt;=7")/$D25*100))</f>
        <v/>
      </c>
      <c r="N28" s="43">
        <f>IF(SUM(N$10:N25)=0,IF(COUNTA(N$10:N25)=0,"Waiting",0),IF(COUNTIF(N$10:N25,"&gt;=7")=0,0,COUNTIF(N$10:N25,"&gt;=7")/$D25*100))</f>
        <v/>
      </c>
      <c r="O28" s="43">
        <f>IF(SUM(O$10:O25)=0,IF(COUNTA(O$10:O25)=0,"Waiting",0),IF(COUNTIF(O$10:O25,"&gt;=7")=0,0,COUNTIF(O$10:O25,"&gt;=7")/$D25*100))</f>
        <v/>
      </c>
      <c r="P28" s="43">
        <f>IF(SUM(P$10:P25)=0,IF(COUNTA(P$10:P25)=0,"Waiting",0),IF(COUNTIF(P$10:P25,"&gt;=7")=0,0,COUNTIF(P$10:P25,"&gt;=7")/$D25*100))</f>
        <v/>
      </c>
      <c r="Q28" s="43">
        <f>IF(SUM(Q$10:Q25)=0,IF(COUNTA(Q$10:Q25)=0,"Waiting",0),IF(COUNTIF(Q$10:Q25,"&gt;=7")=0,0,COUNTIF(Q$10:Q25,"&gt;=7")/$D25*100))</f>
        <v/>
      </c>
      <c r="R28" s="43">
        <f>IF(SUM(R$10:R25)=0,IF(COUNTA(R$10:R25)=0,"Waiting",0),IF(COUNTIF(R$10:R25,"&gt;=7")=0,0,COUNTIF(R$10:R25,"&gt;=7")/$D25*100))</f>
        <v/>
      </c>
      <c r="S28" s="43">
        <f>IF(SUM(S$10:S25)=0,IF(COUNTA(S$10:S25)=0,"Waiting",0),IF(COUNTIF(S$10:S25,"&gt;=7")=0,0,COUNTIF(S$10:S25,"&gt;=7")/$D25*100))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IFERROR(AVERAGE(F27:S27),"Waiting")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IFERROR(AVERAGE($F28:S28),"Waiting")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IF(COUNTIF($C$10:$C25,"=B")=0,IF(COUNTIF($C$10:$C25,"=K")=0,"Waiting",0),COUNTIF($C$10:$C25,"=B"))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52" t="n"/>
      <c r="R31" s="52" t="n"/>
      <c r="S31" s="52" t="n"/>
      <c r="T31" s="52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IF(COUNTIF($C$10:$C25,"=K")=0,IF(COUNTIF($C$10:$C25,"=B")=0,"Waiting",0),COUNTIF($C$10:$C25,"=K"))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6" t="n"/>
      <c r="M32" s="6" t="n"/>
      <c r="N32" s="6" t="n"/>
      <c r="O32" s="56" t="n"/>
      <c r="P32" s="54">
        <f>'General'!P51</f>
        <v/>
      </c>
      <c r="Q32" s="54" t="n"/>
      <c r="R32" s="54" t="n"/>
      <c r="S32" s="54" t="n"/>
      <c r="T32" s="54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6" t="n"/>
      <c r="M33" s="6" t="n"/>
      <c r="N33" s="6" t="n"/>
      <c r="O33" s="56" t="n"/>
      <c r="P33" s="52" t="n"/>
      <c r="Q33" s="52" t="n"/>
      <c r="R33" s="52" t="n"/>
      <c r="S33" s="52" t="n"/>
      <c r="T33" s="52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IF(F31="Waiting","Waiting",IF(F31-COUNTIF($T$10:$T25," - ")&lt;ROUNDDOWN(F31*0.4,0),F31-COUNTIF($T$10:$T25," - "),ROUNDDOWN(F31*0.4,0)))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6" t="n"/>
      <c r="M34" s="6" t="n"/>
      <c r="N34" s="6" t="n"/>
      <c r="O34" s="56" t="n"/>
      <c r="P34" s="54" t="inlineStr">
        <is>
          <t>Margarita BRITIKOVA</t>
        </is>
      </c>
      <c r="Q34" s="54" t="n"/>
      <c r="R34" s="54" t="n"/>
      <c r="S34" s="54" t="n"/>
      <c r="T34" s="54" t="n"/>
      <c r="U34" s="20" t="n"/>
      <c r="V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5" t="n"/>
      <c r="V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2026-06-16T12:23:59Z</dcterms:modified>
  <cp:lastModifiedBy>Maxim Surkov</cp:lastModifiedBy>
  <cp:lastPrinted>2026-01-07T15:30:50Z</cp:lastPrinted>
</cp:coreProperties>
</file>