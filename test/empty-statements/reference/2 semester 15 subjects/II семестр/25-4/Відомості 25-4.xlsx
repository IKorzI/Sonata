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3" sheetId="2" state="visible" r:id="rId2"/>
    <sheet xmlns:r="http://schemas.openxmlformats.org/officeDocument/2006/relationships" name="Зведена G5" sheetId="3" state="visible" r:id="rId3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'Загальна'!$C$3:$T$47</definedName>
    <definedName name="A1048577" localSheetId="1">#REF!</definedName>
    <definedName name="Ф80" localSheetId="1">#REF!</definedName>
    <definedName name="_xlnm.Print_Area" localSheetId="1">'Зведена G3'!$C$3:$T$35</definedName>
    <definedName name="A1048577" localSheetId="2">#REF!</definedName>
    <definedName name="Ф80" localSheetId="2">#REF!</definedName>
    <definedName name="_xlnm.Print_Area" localSheetId="2">'Зведена G5'!$C$3:$T$30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49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Пономарьов К.М.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Алексєєв Дмитро Олегович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Бойцов Олексій Валерійович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Бурдіяк Ростислав Сергійович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Висоцький Арсеній Андрійович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Дехтяренко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Дудник Михайло Олександрович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Жуков Артем Андрійович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Змієвський Іван Максимович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Кабанова Наталія Володимирівна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Кисіль Артем Сергійович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Коваленко Володимир Олександрович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Ковтонюк Роман Сергійович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Кожукар Степан Степанович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Косяк Антон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Кукурінчук Євгеній Ігорович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Ляшенко Данііл Євгенович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Мєржан Іван Віталійович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Ненашов Микола Валерійович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Нєдов Дмитро Степанович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Петров Дмитро Ігорович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К</t>
        </is>
      </c>
      <c r="D30" s="47" t="n">
        <v>21</v>
      </c>
      <c r="E30" s="48" t="inlineStr">
        <is>
          <t>Половинко Костянтин Ігорович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Рзаєв Біннат Асеф огли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Рижкін Василь Петрович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Сінькевич Назар Володимирович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Соколов Данііл Михайлович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Фомін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Чебан Іван Іванович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Шереметьєв Владислав Артемович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Ясюренко Михайло Сергійович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6" t="n"/>
      <c r="D39" s="6" t="n"/>
      <c r="E39" s="7" t="inlineStr">
        <is>
          <t>Середній бал успішності з дисципліни</t>
        </is>
      </c>
      <c r="F39" s="8">
        <f>IF(SUM(F$10:F38)=0,IF(COUNTA(F$10:F38)=0,"Очікую",0),SUM(F$10:F38)/$D38)</f>
        <v/>
      </c>
      <c r="G39" s="8">
        <f>IF(SUM(G$10:G38)=0,IF(COUNTA(G$10:G38)=0,"Очікую",0),SUM(G$10:G38)/$D38)</f>
        <v/>
      </c>
      <c r="H39" s="8">
        <f>IF(SUM(H$10:H38)=0,IF(COUNTA(H$10:H38)=0,"Очікую",0),SUM(H$10:H38)/$D38)</f>
        <v/>
      </c>
      <c r="I39" s="8">
        <f>IF(SUM(I$10:I38)=0,IF(COUNTA(I$10:I38)=0,"Очікую",0),SUM(I$10:I38)/$D38)</f>
        <v/>
      </c>
      <c r="J39" s="8">
        <f>IF(SUM(J$10:J38)=0,IF(COUNTA(J$10:J38)=0,"Очікую",0),SUM(J$10:J38)/$D38)</f>
        <v/>
      </c>
      <c r="K39" s="8">
        <f>IF(SUM(K$10:K38)=0,IF(COUNTA(K$10:K38)=0,"Очікую",0),SUM(K$10:K38)/$D38)</f>
        <v/>
      </c>
      <c r="L39" s="8">
        <f>IF(SUM(L$10:L38)=0,IF(COUNTA(L$10:L38)=0,"Очікую",0),SUM(L$10:L38)/$D38)</f>
        <v/>
      </c>
      <c r="M39" s="8">
        <f>IF(SUM(M$10:M38)=0,IF(COUNTA(M$10:M38)=0,"Очікую",0),SUM(M$10:M38)/$D38)</f>
        <v/>
      </c>
      <c r="N39" s="8">
        <f>IF(SUM(N$10:N38)=0,IF(COUNTA(N$10:N38)=0,"Очікую",0),SUM(N$10:N38)/$D38)</f>
        <v/>
      </c>
      <c r="O39" s="8">
        <f>IF(SUM(O$10:O38)=0,IF(COUNTA(O$10:O38)=0,"Очікую",0),SUM(O$10:O38)/$D38)</f>
        <v/>
      </c>
      <c r="P39" s="8">
        <f>IF(SUM(P$10:P38)=0,IF(COUNTA(P$10:P38)=0,"Очікую",0),SUM(P$10:P38)/$D38)</f>
        <v/>
      </c>
      <c r="Q39" s="8">
        <f>IF(SUM(Q$10:Q38)=0,IF(COUNTA(Q$10:Q38)=0,"Очікую",0),SUM(Q$10:Q38)/$D38)</f>
        <v/>
      </c>
      <c r="R39" s="8">
        <f>IF(SUM(R$10:R38)=0,IF(COUNTA(R$10:R38)=0,"Очікую",0),SUM(R$10:R38)/$D38)</f>
        <v/>
      </c>
      <c r="S39" s="8">
        <f>IF(SUM(S$10:S38)=0,IF(COUNTA(S$10:S38)=0,"Очікую",0),SUM(S$10:S38)/$D38)</f>
        <v/>
      </c>
      <c r="T39" s="8">
        <f>IF(SUM(T$10:T38)=0,IF(COUNTA(T$10:T38)=0,"Очікую",0),SUM(T$10:T38)/$D38)</f>
        <v/>
      </c>
      <c r="U39" s="9">
        <f>IFERROR(AVERAGE($F39:T39),"Очікую")</f>
        <v/>
      </c>
      <c r="V39" s="20" t="n"/>
      <c r="W39" s="39" t="n"/>
    </row>
    <row r="40" ht="15" customFormat="1" customHeight="1" s="11">
      <c r="A40" s="40" t="n"/>
      <c r="B40" s="12" t="n"/>
      <c r="C40" s="6" t="n"/>
      <c r="D40" s="6" t="n"/>
      <c r="E40" s="7" t="inlineStr">
        <is>
          <t>Абсолютна успішність</t>
        </is>
      </c>
      <c r="F40" s="43">
        <f>IF(SUM(F$10:F38)=0,IF(COUNTA(F$10:F38)=0,"Очікую",0),IF(COUNTIF(F$10:F38,"&gt;=4")=0,0,COUNTIF(F$10:F38,"&gt;=4")/$D38*100))</f>
        <v/>
      </c>
      <c r="G40" s="43">
        <f>IF(SUM(G$10:G38)=0,IF(COUNTA(G$10:G38)=0,"Очікую",0),IF(COUNTIF(G$10:G38,"&gt;=4")=0,0,COUNTIF(G$10:G38,"&gt;=4")/$D38*100))</f>
        <v/>
      </c>
      <c r="H40" s="43">
        <f>IF(SUM(H$10:H38)=0,IF(COUNTA(H$10:H38)=0,"Очікую",0),IF(COUNTIF(H$10:H38,"&gt;=4")=0,0,COUNTIF(H$10:H38,"&gt;=4")/$D38*100))</f>
        <v/>
      </c>
      <c r="I40" s="43">
        <f>IF(SUM(I$10:I38)=0,IF(COUNTA(I$10:I38)=0,"Очікую",0),IF(COUNTIF(I$10:I38,"&gt;=4")=0,0,COUNTIF(I$10:I38,"&gt;=4")/$D38*100))</f>
        <v/>
      </c>
      <c r="J40" s="43">
        <f>IF(SUM(J$10:J38)=0,IF(COUNTA(J$10:J38)=0,"Очікую",0),IF(COUNTIF(J$10:J38,"&gt;=4")=0,0,COUNTIF(J$10:J38,"&gt;=4")/$D38*100))</f>
        <v/>
      </c>
      <c r="K40" s="43">
        <f>IF(SUM(K$10:K38)=0,IF(COUNTA(K$10:K38)=0,"Очікую",0),IF(COUNTIF(K$10:K38,"&gt;=4")=0,0,COUNTIF(K$10:K38,"&gt;=4")/$D38*100))</f>
        <v/>
      </c>
      <c r="L40" s="43">
        <f>IF(SUM(L$10:L38)=0,IF(COUNTA(L$10:L38)=0,"Очікую",0),IF(COUNTIF(L$10:L38,"&gt;=4")=0,0,COUNTIF(L$10:L38,"&gt;=4")/$D38*100))</f>
        <v/>
      </c>
      <c r="M40" s="43">
        <f>IF(SUM(M$10:M38)=0,IF(COUNTA(M$10:M38)=0,"Очікую",0),IF(COUNTIF(M$10:M38,"&gt;=4")=0,0,COUNTIF(M$10:M38,"&gt;=4")/$D38*100))</f>
        <v/>
      </c>
      <c r="N40" s="43">
        <f>IF(SUM(N$10:N38)=0,IF(COUNTA(N$10:N38)=0,"Очікую",0),IF(COUNTIF(N$10:N38,"&gt;=4")=0,0,COUNTIF(N$10:N38,"&gt;=4")/$D38*100))</f>
        <v/>
      </c>
      <c r="O40" s="43">
        <f>IF(SUM(O$10:O38)=0,IF(COUNTA(O$10:O38)=0,"Очікую",0),IF(COUNTIF(O$10:O38,"&gt;=4")=0,0,COUNTIF(O$10:O38,"&gt;=4")/$D38*100))</f>
        <v/>
      </c>
      <c r="P40" s="43">
        <f>IF(SUM(P$10:P38)=0,IF(COUNTA(P$10:P38)=0,"Очікую",0),IF(COUNTIF(P$10:P38,"&gt;=4")=0,0,COUNTIF(P$10:P38,"&gt;=4")/$D38*100))</f>
        <v/>
      </c>
      <c r="Q40" s="43">
        <f>IF(SUM(Q$10:Q38)=0,IF(COUNTA(Q$10:Q38)=0,"Очікую",0),IF(COUNTIF(Q$10:Q38,"&gt;=4")=0,0,COUNTIF(Q$10:Q38,"&gt;=4")/$D38*100))</f>
        <v/>
      </c>
      <c r="R40" s="43">
        <f>IF(SUM(R$10:R38)=0,IF(COUNTA(R$10:R38)=0,"Очікую",0),IF(COUNTIF(R$10:R38,"&gt;=4")=0,0,COUNTIF(R$10:R38,"&gt;=4")/$D38*100))</f>
        <v/>
      </c>
      <c r="S40" s="43">
        <f>IF(SUM(S$10:S38)=0,IF(COUNTA(S$10:S38)=0,"Очікую",0),IF(COUNTIF(S$10:S38,"&gt;=4")=0,0,COUNTIF(S$10:S38,"&gt;=4")/$D38*100))</f>
        <v/>
      </c>
      <c r="T40" s="43">
        <f>IF(SUM(T$10:T38)=0,IF(COUNTA(T$10:T38)=0,"Очікую",0),IF(COUNTIF(T$10:T38,"&gt;=4")=0,0,COUNTIF(T$10:T38,"&gt;=4")/$D38*100))</f>
        <v/>
      </c>
      <c r="U40" s="6" t="n"/>
      <c r="V40" s="20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Якісна успішність</t>
        </is>
      </c>
      <c r="F41" s="43">
        <f>IF(SUM(F$10:F38)=0,IF(COUNTA(F$10:F38)=0,"Очікую",0),IF(COUNTIF(F$10:F38,"&gt;=7")=0,0,COUNTIF(F$10:F38,"&gt;=7")/$D38*100))</f>
        <v/>
      </c>
      <c r="G41" s="43">
        <f>IF(SUM(G$10:G38)=0,IF(COUNTA(G$10:G38)=0,"Очікую",0),IF(COUNTIF(G$10:G38,"&gt;=7")=0,0,COUNTIF(G$10:G38,"&gt;=7")/$D38*100))</f>
        <v/>
      </c>
      <c r="H41" s="43">
        <f>IF(SUM(H$10:H38)=0,IF(COUNTA(H$10:H38)=0,"Очікую",0),IF(COUNTIF(H$10:H38,"&gt;=7")=0,0,COUNTIF(H$10:H38,"&gt;=7")/$D38*100))</f>
        <v/>
      </c>
      <c r="I41" s="43">
        <f>IF(SUM(I$10:I38)=0,IF(COUNTA(I$10:I38)=0,"Очікую",0),IF(COUNTIF(I$10:I38,"&gt;=7")=0,0,COUNTIF(I$10:I38,"&gt;=7")/$D38*100))</f>
        <v/>
      </c>
      <c r="J41" s="43">
        <f>IF(SUM(J$10:J38)=0,IF(COUNTA(J$10:J38)=0,"Очікую",0),IF(COUNTIF(J$10:J38,"&gt;=7")=0,0,COUNTIF(J$10:J38,"&gt;=7")/$D38*100))</f>
        <v/>
      </c>
      <c r="K41" s="43">
        <f>IF(SUM(K$10:K38)=0,IF(COUNTA(K$10:K38)=0,"Очікую",0),IF(COUNTIF(K$10:K38,"&gt;=7")=0,0,COUNTIF(K$10:K38,"&gt;=7")/$D38*100))</f>
        <v/>
      </c>
      <c r="L41" s="43">
        <f>IF(SUM(L$10:L38)=0,IF(COUNTA(L$10:L38)=0,"Очікую",0),IF(COUNTIF(L$10:L38,"&gt;=7")=0,0,COUNTIF(L$10:L38,"&gt;=7")/$D38*100))</f>
        <v/>
      </c>
      <c r="M41" s="43">
        <f>IF(SUM(M$10:M38)=0,IF(COUNTA(M$10:M38)=0,"Очікую",0),IF(COUNTIF(M$10:M38,"&gt;=7")=0,0,COUNTIF(M$10:M38,"&gt;=7")/$D38*100))</f>
        <v/>
      </c>
      <c r="N41" s="43">
        <f>IF(SUM(N$10:N38)=0,IF(COUNTA(N$10:N38)=0,"Очікую",0),IF(COUNTIF(N$10:N38,"&gt;=7")=0,0,COUNTIF(N$10:N38,"&gt;=7")/$D38*100))</f>
        <v/>
      </c>
      <c r="O41" s="43">
        <f>IF(SUM(O$10:O38)=0,IF(COUNTA(O$10:O38)=0,"Очікую",0),IF(COUNTIF(O$10:O38,"&gt;=7")=0,0,COUNTIF(O$10:O38,"&gt;=7")/$D38*100))</f>
        <v/>
      </c>
      <c r="P41" s="43">
        <f>IF(SUM(P$10:P38)=0,IF(COUNTA(P$10:P38)=0,"Очікую",0),IF(COUNTIF(P$10:P38,"&gt;=7")=0,0,COUNTIF(P$10:P38,"&gt;=7")/$D38*100))</f>
        <v/>
      </c>
      <c r="Q41" s="43">
        <f>IF(SUM(Q$10:Q38)=0,IF(COUNTA(Q$10:Q38)=0,"Очікую",0),IF(COUNTIF(Q$10:Q38,"&gt;=7")=0,0,COUNTIF(Q$10:Q38,"&gt;=7")/$D38*100))</f>
        <v/>
      </c>
      <c r="R41" s="43">
        <f>IF(SUM(R$10:R38)=0,IF(COUNTA(R$10:R38)=0,"Очікую",0),IF(COUNTIF(R$10:R38,"&gt;=7")=0,0,COUNTIF(R$10:R38,"&gt;=7")/$D38*100))</f>
        <v/>
      </c>
      <c r="S41" s="43">
        <f>IF(SUM(S$10:S38)=0,IF(COUNTA(S$10:S38)=0,"Очікую",0),IF(COUNTIF(S$10:S38,"&gt;=7")=0,0,COUNTIF(S$10:S38,"&gt;=7")/$D38*100))</f>
        <v/>
      </c>
      <c r="T41" s="43">
        <f>IF(SUM(T$10:T38)=0,IF(COUNTA(T$10:T38)=0,"Очікую",0),IF(COUNTIF(T$10:T38,"&gt;=7")=0,0,COUNTIF(T$10:T38,"&gt;=7")/$D38*100))</f>
        <v/>
      </c>
      <c r="U41" s="6" t="n"/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 по групі</t>
        </is>
      </c>
      <c r="F42" s="8">
        <f>IFERROR(AVERAGE(F40:T40),"Очікую")</f>
        <v/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 по групі</t>
        </is>
      </c>
      <c r="F43" s="8">
        <f>IFERROR(AVERAGE($F41:T41),"Очікую")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Кількість бюджетників</t>
        </is>
      </c>
      <c r="F44" s="63">
        <f>IF(COUNTIF($C$10:$C38,"=B")=0,IF(COUNTIF($C$10:$C38,"=K")=0,"Очікую",0),COUNTIF($C$10:$C38,"=B"))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52" t="n"/>
      <c r="S44" s="52" t="n"/>
      <c r="T44" s="52" t="n"/>
      <c r="U44" s="52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Кількість контрактників</t>
        </is>
      </c>
      <c r="F45" s="63">
        <f>IF(COUNTIF($C$10:$C38,"=K")=0,IF(COUNTIF($C$10:$C38,"=B")=0,"Очікую",0),COUNTIF($C$10:$C38,"=K"))</f>
        <v/>
      </c>
      <c r="G45" s="6" t="n"/>
      <c r="H45" s="58" t="inlineStr">
        <is>
          <t>Класний керівник</t>
        </is>
      </c>
      <c r="I45" s="6" t="n"/>
      <c r="J45" s="6" t="n"/>
      <c r="K45" s="6" t="n"/>
      <c r="L45" s="6" t="n"/>
      <c r="M45" s="6" t="n"/>
      <c r="N45" s="6" t="n"/>
      <c r="O45" s="6" t="n"/>
      <c r="P45" s="54" t="inlineStr"/>
      <c r="Q45" s="54" t="n"/>
      <c r="R45" s="54" t="n"/>
      <c r="S45" s="54" t="n"/>
      <c r="T45" s="54" t="n"/>
      <c r="U45" s="54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соціального контингенту</t>
        </is>
      </c>
      <c r="F46" s="4" t="n"/>
      <c r="G46" s="6" t="n"/>
      <c r="H46" s="53" t="n"/>
      <c r="I46" s="6" t="n"/>
      <c r="J46" s="6" t="n"/>
      <c r="K46" s="6" t="n"/>
      <c r="L46" s="6" t="n"/>
      <c r="M46" s="6" t="n"/>
      <c r="N46" s="6" t="n"/>
      <c r="O46" s="6" t="n"/>
      <c r="P46" s="52" t="n"/>
      <c r="Q46" s="52" t="n"/>
      <c r="R46" s="52" t="n"/>
      <c r="S46" s="52" t="n"/>
      <c r="T46" s="52" t="n"/>
      <c r="U46" s="52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Вийшли на стипендію</t>
        </is>
      </c>
      <c r="F47" s="63">
        <f>IF(F44="Очікую","Очікую",IF(F44-COUNTIF($U$10:$U38," - ")&lt;ROUNDDOWN(F44*0.4,0),F44-COUNTIF($U$10:$U38," - "),ROUNDDOWN(F44*0.4,0)))</f>
        <v/>
      </c>
      <c r="G47" s="6" t="n"/>
      <c r="H47" s="54" t="inlineStr">
        <is>
          <t>Завідувач відділення ПЗСО</t>
        </is>
      </c>
      <c r="I47" s="6" t="n"/>
      <c r="J47" s="6" t="n"/>
      <c r="K47" s="6" t="n"/>
      <c r="L47" s="6" t="n"/>
      <c r="M47" s="6" t="n"/>
      <c r="N47" s="6" t="n"/>
      <c r="O47" s="6" t="n"/>
      <c r="P47" s="54" t="inlineStr">
        <is>
          <t>Margarita BRITIKOVA</t>
        </is>
      </c>
      <c r="Q47" s="54" t="n"/>
      <c r="R47" s="54" t="n"/>
      <c r="S47" s="54" t="n"/>
      <c r="T47" s="54" t="n"/>
      <c r="U47" s="54" t="n"/>
      <c r="V47" s="20" t="n"/>
      <c r="W47" s="39" t="n"/>
    </row>
    <row r="48" ht="15" customFormat="1" customHeight="1" s="11">
      <c r="A48" s="40" t="n"/>
      <c r="B48" s="21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5" t="n"/>
      <c r="W48" s="39" t="n"/>
    </row>
    <row r="49" ht="15" customFormat="1" customHeight="1" s="11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59" t="n"/>
      <c r="W49" s="39" t="n"/>
    </row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G3 ««Електрична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'Загальна'!C14</f>
        <v/>
      </c>
      <c r="D13" s="47" t="n">
        <v>4</v>
      </c>
      <c r="E13" s="48">
        <f>'Загальна'!E14</f>
        <v/>
      </c>
      <c r="F13" s="49">
        <f>'Загальна'!F14</f>
        <v/>
      </c>
      <c r="G13" s="49">
        <f>'Загальна'!G14</f>
        <v/>
      </c>
      <c r="H13" s="49">
        <f>'Загальна'!H14</f>
        <v/>
      </c>
      <c r="I13" s="49">
        <f>'Загальна'!I14</f>
        <v/>
      </c>
      <c r="J13" s="49">
        <f>'Загальна'!J14</f>
        <v/>
      </c>
      <c r="K13" s="49">
        <f>'Загальна'!K14</f>
        <v/>
      </c>
      <c r="L13" s="49">
        <f>'Загальна'!L14</f>
        <v/>
      </c>
      <c r="M13" s="49">
        <f>'Загальна'!M14</f>
        <v/>
      </c>
      <c r="N13" s="49">
        <f>'Загальна'!N14</f>
        <v/>
      </c>
      <c r="O13" s="49">
        <f>'Загальна'!O14</f>
        <v/>
      </c>
      <c r="P13" s="49">
        <f>'Загальна'!P14</f>
        <v/>
      </c>
      <c r="Q13" s="49">
        <f>'Загальна'!Q14</f>
        <v/>
      </c>
      <c r="R13" s="49">
        <f>'Загальна'!R14</f>
        <v/>
      </c>
      <c r="S13" s="49">
        <f>'Загальна'!S14</f>
        <v/>
      </c>
      <c r="T13" s="49">
        <f>'Загальна'!T14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'Загальна'!C16</f>
        <v/>
      </c>
      <c r="D14" s="47" t="n">
        <v>5</v>
      </c>
      <c r="E14" s="48">
        <f>'Загальна'!E16</f>
        <v/>
      </c>
      <c r="F14" s="49">
        <f>'Загальна'!F16</f>
        <v/>
      </c>
      <c r="G14" s="49">
        <f>'Загальна'!G16</f>
        <v/>
      </c>
      <c r="H14" s="49">
        <f>'Загальна'!H16</f>
        <v/>
      </c>
      <c r="I14" s="49">
        <f>'Загальна'!I16</f>
        <v/>
      </c>
      <c r="J14" s="49">
        <f>'Загальна'!J16</f>
        <v/>
      </c>
      <c r="K14" s="49">
        <f>'Загальна'!K16</f>
        <v/>
      </c>
      <c r="L14" s="49">
        <f>'Загальна'!L16</f>
        <v/>
      </c>
      <c r="M14" s="49">
        <f>'Загальна'!M16</f>
        <v/>
      </c>
      <c r="N14" s="49">
        <f>'Загальна'!N16</f>
        <v/>
      </c>
      <c r="O14" s="49">
        <f>'Загальна'!O16</f>
        <v/>
      </c>
      <c r="P14" s="49">
        <f>'Загальна'!P16</f>
        <v/>
      </c>
      <c r="Q14" s="49">
        <f>'Загальна'!Q16</f>
        <v/>
      </c>
      <c r="R14" s="49">
        <f>'Загальна'!R16</f>
        <v/>
      </c>
      <c r="S14" s="49">
        <f>'Загальна'!S16</f>
        <v/>
      </c>
      <c r="T14" s="49">
        <f>'Загальна'!T16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'Загальна'!C17</f>
        <v/>
      </c>
      <c r="D15" s="47" t="n">
        <v>6</v>
      </c>
      <c r="E15" s="48">
        <f>'Загальна'!E17</f>
        <v/>
      </c>
      <c r="F15" s="49">
        <f>'Загальна'!F17</f>
        <v/>
      </c>
      <c r="G15" s="49">
        <f>'Загальна'!G17</f>
        <v/>
      </c>
      <c r="H15" s="49">
        <f>'Загальна'!H17</f>
        <v/>
      </c>
      <c r="I15" s="49">
        <f>'Загальна'!I17</f>
        <v/>
      </c>
      <c r="J15" s="49">
        <f>'Загальна'!J17</f>
        <v/>
      </c>
      <c r="K15" s="49">
        <f>'Загальна'!K17</f>
        <v/>
      </c>
      <c r="L15" s="49">
        <f>'Загальна'!L17</f>
        <v/>
      </c>
      <c r="M15" s="49">
        <f>'Загальна'!M17</f>
        <v/>
      </c>
      <c r="N15" s="49">
        <f>'Загальна'!N17</f>
        <v/>
      </c>
      <c r="O15" s="49">
        <f>'Загальна'!O17</f>
        <v/>
      </c>
      <c r="P15" s="49">
        <f>'Загальна'!P17</f>
        <v/>
      </c>
      <c r="Q15" s="49">
        <f>'Загальна'!Q17</f>
        <v/>
      </c>
      <c r="R15" s="49">
        <f>'Загальна'!R17</f>
        <v/>
      </c>
      <c r="S15" s="49">
        <f>'Загальна'!S17</f>
        <v/>
      </c>
      <c r="T15" s="49">
        <f>'Загальна'!T17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'Загальна'!C19</f>
        <v/>
      </c>
      <c r="D16" s="47" t="n">
        <v>7</v>
      </c>
      <c r="E16" s="48">
        <f>'Загальна'!E19</f>
        <v/>
      </c>
      <c r="F16" s="49">
        <f>'Загальна'!F19</f>
        <v/>
      </c>
      <c r="G16" s="49">
        <f>'Загальна'!G19</f>
        <v/>
      </c>
      <c r="H16" s="49">
        <f>'Загальна'!H19</f>
        <v/>
      </c>
      <c r="I16" s="49">
        <f>'Загальна'!I19</f>
        <v/>
      </c>
      <c r="J16" s="49">
        <f>'Загальна'!J19</f>
        <v/>
      </c>
      <c r="K16" s="49">
        <f>'Загальна'!K19</f>
        <v/>
      </c>
      <c r="L16" s="49">
        <f>'Загальна'!L19</f>
        <v/>
      </c>
      <c r="M16" s="49">
        <f>'Загальна'!M19</f>
        <v/>
      </c>
      <c r="N16" s="49">
        <f>'Загальна'!N19</f>
        <v/>
      </c>
      <c r="O16" s="49">
        <f>'Загальна'!O19</f>
        <v/>
      </c>
      <c r="P16" s="49">
        <f>'Загальна'!P19</f>
        <v/>
      </c>
      <c r="Q16" s="49">
        <f>'Загальна'!Q19</f>
        <v/>
      </c>
      <c r="R16" s="49">
        <f>'Загальна'!R19</f>
        <v/>
      </c>
      <c r="S16" s="49">
        <f>'Загальна'!S19</f>
        <v/>
      </c>
      <c r="T16" s="49">
        <f>'Загальна'!T19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'Загальна'!C20</f>
        <v/>
      </c>
      <c r="D17" s="47" t="n">
        <v>8</v>
      </c>
      <c r="E17" s="48">
        <f>'Загальна'!E20</f>
        <v/>
      </c>
      <c r="F17" s="49">
        <f>'Загальна'!F20</f>
        <v/>
      </c>
      <c r="G17" s="49">
        <f>'Загальна'!G20</f>
        <v/>
      </c>
      <c r="H17" s="49">
        <f>'Загальна'!H20</f>
        <v/>
      </c>
      <c r="I17" s="49">
        <f>'Загальна'!I20</f>
        <v/>
      </c>
      <c r="J17" s="49">
        <f>'Загальна'!J20</f>
        <v/>
      </c>
      <c r="K17" s="49">
        <f>'Загальна'!K20</f>
        <v/>
      </c>
      <c r="L17" s="49">
        <f>'Загальна'!L20</f>
        <v/>
      </c>
      <c r="M17" s="49">
        <f>'Загальна'!M20</f>
        <v/>
      </c>
      <c r="N17" s="49">
        <f>'Загальна'!N20</f>
        <v/>
      </c>
      <c r="O17" s="49">
        <f>'Загальна'!O20</f>
        <v/>
      </c>
      <c r="P17" s="49">
        <f>'Загальна'!P20</f>
        <v/>
      </c>
      <c r="Q17" s="49">
        <f>'Загальна'!Q20</f>
        <v/>
      </c>
      <c r="R17" s="49">
        <f>'Загальна'!R20</f>
        <v/>
      </c>
      <c r="S17" s="49">
        <f>'Загальна'!S20</f>
        <v/>
      </c>
      <c r="T17" s="49">
        <f>'Загальна'!T20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'Загальна'!C21</f>
        <v/>
      </c>
      <c r="D18" s="47" t="n">
        <v>9</v>
      </c>
      <c r="E18" s="48">
        <f>'Загальна'!E21</f>
        <v/>
      </c>
      <c r="F18" s="49">
        <f>'Загальна'!F21</f>
        <v/>
      </c>
      <c r="G18" s="49">
        <f>'Загальна'!G21</f>
        <v/>
      </c>
      <c r="H18" s="49">
        <f>'Загальна'!H21</f>
        <v/>
      </c>
      <c r="I18" s="49">
        <f>'Загальна'!I21</f>
        <v/>
      </c>
      <c r="J18" s="49">
        <f>'Загальна'!J21</f>
        <v/>
      </c>
      <c r="K18" s="49">
        <f>'Загальна'!K21</f>
        <v/>
      </c>
      <c r="L18" s="49">
        <f>'Загальна'!L21</f>
        <v/>
      </c>
      <c r="M18" s="49">
        <f>'Загальна'!M21</f>
        <v/>
      </c>
      <c r="N18" s="49">
        <f>'Загальна'!N21</f>
        <v/>
      </c>
      <c r="O18" s="49">
        <f>'Загальна'!O21</f>
        <v/>
      </c>
      <c r="P18" s="49">
        <f>'Загальна'!P21</f>
        <v/>
      </c>
      <c r="Q18" s="49">
        <f>'Загальна'!Q21</f>
        <v/>
      </c>
      <c r="R18" s="49">
        <f>'Загальна'!R21</f>
        <v/>
      </c>
      <c r="S18" s="49">
        <f>'Загальна'!S21</f>
        <v/>
      </c>
      <c r="T18" s="49">
        <f>'Загальна'!T21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'Загальна'!C22</f>
        <v/>
      </c>
      <c r="D19" s="47" t="n">
        <v>10</v>
      </c>
      <c r="E19" s="48">
        <f>'Загальна'!E22</f>
        <v/>
      </c>
      <c r="F19" s="49">
        <f>'Загальна'!F22</f>
        <v/>
      </c>
      <c r="G19" s="49">
        <f>'Загальна'!G22</f>
        <v/>
      </c>
      <c r="H19" s="49">
        <f>'Загальна'!H22</f>
        <v/>
      </c>
      <c r="I19" s="49">
        <f>'Загальна'!I22</f>
        <v/>
      </c>
      <c r="J19" s="49">
        <f>'Загальна'!J22</f>
        <v/>
      </c>
      <c r="K19" s="49">
        <f>'Загальна'!K22</f>
        <v/>
      </c>
      <c r="L19" s="49">
        <f>'Загальна'!L22</f>
        <v/>
      </c>
      <c r="M19" s="49">
        <f>'Загальна'!M22</f>
        <v/>
      </c>
      <c r="N19" s="49">
        <f>'Загальна'!N22</f>
        <v/>
      </c>
      <c r="O19" s="49">
        <f>'Загальна'!O22</f>
        <v/>
      </c>
      <c r="P19" s="49">
        <f>'Загальна'!P22</f>
        <v/>
      </c>
      <c r="Q19" s="49">
        <f>'Загальна'!Q22</f>
        <v/>
      </c>
      <c r="R19" s="49">
        <f>'Загальна'!R22</f>
        <v/>
      </c>
      <c r="S19" s="49">
        <f>'Загальна'!S22</f>
        <v/>
      </c>
      <c r="T19" s="49">
        <f>'Загальна'!T22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'Загальна'!C24</f>
        <v/>
      </c>
      <c r="D20" s="47" t="n">
        <v>11</v>
      </c>
      <c r="E20" s="48">
        <f>'Загальна'!E24</f>
        <v/>
      </c>
      <c r="F20" s="49">
        <f>'Загальна'!F24</f>
        <v/>
      </c>
      <c r="G20" s="49">
        <f>'Загальна'!G24</f>
        <v/>
      </c>
      <c r="H20" s="49">
        <f>'Загальна'!H24</f>
        <v/>
      </c>
      <c r="I20" s="49">
        <f>'Загальна'!I24</f>
        <v/>
      </c>
      <c r="J20" s="49">
        <f>'Загальна'!J24</f>
        <v/>
      </c>
      <c r="K20" s="49">
        <f>'Загальна'!K24</f>
        <v/>
      </c>
      <c r="L20" s="49">
        <f>'Загальна'!L24</f>
        <v/>
      </c>
      <c r="M20" s="49">
        <f>'Загальна'!M24</f>
        <v/>
      </c>
      <c r="N20" s="49">
        <f>'Загальна'!N24</f>
        <v/>
      </c>
      <c r="O20" s="49">
        <f>'Загальна'!O24</f>
        <v/>
      </c>
      <c r="P20" s="49">
        <f>'Загальна'!P24</f>
        <v/>
      </c>
      <c r="Q20" s="49">
        <f>'Загальна'!Q24</f>
        <v/>
      </c>
      <c r="R20" s="49">
        <f>'Загальна'!R24</f>
        <v/>
      </c>
      <c r="S20" s="49">
        <f>'Загальна'!S24</f>
        <v/>
      </c>
      <c r="T20" s="49">
        <f>'Загальна'!T24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'Загальна'!C28</f>
        <v/>
      </c>
      <c r="D21" s="47" t="n">
        <v>12</v>
      </c>
      <c r="E21" s="48">
        <f>'Загальна'!E28</f>
        <v/>
      </c>
      <c r="F21" s="49">
        <f>'Загальна'!F28</f>
        <v/>
      </c>
      <c r="G21" s="49">
        <f>'Загальна'!G28</f>
        <v/>
      </c>
      <c r="H21" s="49">
        <f>'Загальна'!H28</f>
        <v/>
      </c>
      <c r="I21" s="49">
        <f>'Загальна'!I28</f>
        <v/>
      </c>
      <c r="J21" s="49">
        <f>'Загальна'!J28</f>
        <v/>
      </c>
      <c r="K21" s="49">
        <f>'Загальна'!K28</f>
        <v/>
      </c>
      <c r="L21" s="49">
        <f>'Загальна'!L28</f>
        <v/>
      </c>
      <c r="M21" s="49">
        <f>'Загальна'!M28</f>
        <v/>
      </c>
      <c r="N21" s="49">
        <f>'Загальна'!N28</f>
        <v/>
      </c>
      <c r="O21" s="49">
        <f>'Загальна'!O28</f>
        <v/>
      </c>
      <c r="P21" s="49">
        <f>'Загальна'!P28</f>
        <v/>
      </c>
      <c r="Q21" s="49">
        <f>'Загальна'!Q28</f>
        <v/>
      </c>
      <c r="R21" s="49">
        <f>'Загальна'!R28</f>
        <v/>
      </c>
      <c r="S21" s="49">
        <f>'Загальна'!S28</f>
        <v/>
      </c>
      <c r="T21" s="49">
        <f>'Загальна'!T28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'Загальна'!C27</f>
        <v/>
      </c>
      <c r="D22" s="47" t="n">
        <v>13</v>
      </c>
      <c r="E22" s="48">
        <f>'Загальна'!E27</f>
        <v/>
      </c>
      <c r="F22" s="49">
        <f>'Загальна'!F27</f>
        <v/>
      </c>
      <c r="G22" s="49">
        <f>'Загальна'!G27</f>
        <v/>
      </c>
      <c r="H22" s="49">
        <f>'Загальна'!H27</f>
        <v/>
      </c>
      <c r="I22" s="49">
        <f>'Загальна'!I27</f>
        <v/>
      </c>
      <c r="J22" s="49">
        <f>'Загальна'!J27</f>
        <v/>
      </c>
      <c r="K22" s="49">
        <f>'Загальна'!K27</f>
        <v/>
      </c>
      <c r="L22" s="49">
        <f>'Загальна'!L27</f>
        <v/>
      </c>
      <c r="M22" s="49">
        <f>'Загальна'!M27</f>
        <v/>
      </c>
      <c r="N22" s="49">
        <f>'Загальна'!N27</f>
        <v/>
      </c>
      <c r="O22" s="49">
        <f>'Загальна'!O27</f>
        <v/>
      </c>
      <c r="P22" s="49">
        <f>'Загальна'!P27</f>
        <v/>
      </c>
      <c r="Q22" s="49">
        <f>'Загальна'!Q27</f>
        <v/>
      </c>
      <c r="R22" s="49">
        <f>'Загальна'!R27</f>
        <v/>
      </c>
      <c r="S22" s="49">
        <f>'Загальна'!S27</f>
        <v/>
      </c>
      <c r="T22" s="49">
        <f>'Загальна'!T27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'Загальна'!C29</f>
        <v/>
      </c>
      <c r="D23" s="47" t="n">
        <v>14</v>
      </c>
      <c r="E23" s="48">
        <f>'Загальна'!E29</f>
        <v/>
      </c>
      <c r="F23" s="49">
        <f>'Загальна'!F29</f>
        <v/>
      </c>
      <c r="G23" s="49">
        <f>'Загальна'!G29</f>
        <v/>
      </c>
      <c r="H23" s="49">
        <f>'Загальна'!H29</f>
        <v/>
      </c>
      <c r="I23" s="49">
        <f>'Загальна'!I29</f>
        <v/>
      </c>
      <c r="J23" s="49">
        <f>'Загальна'!J29</f>
        <v/>
      </c>
      <c r="K23" s="49">
        <f>'Загальна'!K29</f>
        <v/>
      </c>
      <c r="L23" s="49">
        <f>'Загальна'!L29</f>
        <v/>
      </c>
      <c r="M23" s="49">
        <f>'Загальна'!M29</f>
        <v/>
      </c>
      <c r="N23" s="49">
        <f>'Загальна'!N29</f>
        <v/>
      </c>
      <c r="O23" s="49">
        <f>'Загальна'!O29</f>
        <v/>
      </c>
      <c r="P23" s="49">
        <f>'Загальна'!P29</f>
        <v/>
      </c>
      <c r="Q23" s="49">
        <f>'Загальна'!Q29</f>
        <v/>
      </c>
      <c r="R23" s="49">
        <f>'Загальна'!R29</f>
        <v/>
      </c>
      <c r="S23" s="49">
        <f>'Загальна'!S29</f>
        <v/>
      </c>
      <c r="T23" s="49">
        <f>'Загальна'!T29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'Загальна'!C32</f>
        <v/>
      </c>
      <c r="D24" s="47" t="n">
        <v>15</v>
      </c>
      <c r="E24" s="48">
        <f>'Загальна'!E32</f>
        <v/>
      </c>
      <c r="F24" s="49">
        <f>'Загальна'!F32</f>
        <v/>
      </c>
      <c r="G24" s="49">
        <f>'Загальна'!G32</f>
        <v/>
      </c>
      <c r="H24" s="49">
        <f>'Загальна'!H32</f>
        <v/>
      </c>
      <c r="I24" s="49">
        <f>'Загальна'!I32</f>
        <v/>
      </c>
      <c r="J24" s="49">
        <f>'Загальна'!J32</f>
        <v/>
      </c>
      <c r="K24" s="49">
        <f>'Загальна'!K32</f>
        <v/>
      </c>
      <c r="L24" s="49">
        <f>'Загальна'!L32</f>
        <v/>
      </c>
      <c r="M24" s="49">
        <f>'Загальна'!M32</f>
        <v/>
      </c>
      <c r="N24" s="49">
        <f>'Загальна'!N32</f>
        <v/>
      </c>
      <c r="O24" s="49">
        <f>'Загальна'!O32</f>
        <v/>
      </c>
      <c r="P24" s="49">
        <f>'Загальна'!P32</f>
        <v/>
      </c>
      <c r="Q24" s="49">
        <f>'Загальна'!Q32</f>
        <v/>
      </c>
      <c r="R24" s="49">
        <f>'Загальна'!R32</f>
        <v/>
      </c>
      <c r="S24" s="49">
        <f>'Загальна'!S32</f>
        <v/>
      </c>
      <c r="T24" s="49">
        <f>'Загальна'!T32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'Загальна'!C36</f>
        <v/>
      </c>
      <c r="D25" s="47" t="n">
        <v>16</v>
      </c>
      <c r="E25" s="48">
        <f>'Загальна'!E36</f>
        <v/>
      </c>
      <c r="F25" s="49">
        <f>'Загальна'!F36</f>
        <v/>
      </c>
      <c r="G25" s="49">
        <f>'Загальна'!G36</f>
        <v/>
      </c>
      <c r="H25" s="49">
        <f>'Загальна'!H36</f>
        <v/>
      </c>
      <c r="I25" s="49">
        <f>'Загальна'!I36</f>
        <v/>
      </c>
      <c r="J25" s="49">
        <f>'Загальна'!J36</f>
        <v/>
      </c>
      <c r="K25" s="49">
        <f>'Загальна'!K36</f>
        <v/>
      </c>
      <c r="L25" s="49">
        <f>'Загальна'!L36</f>
        <v/>
      </c>
      <c r="M25" s="49">
        <f>'Загальна'!M36</f>
        <v/>
      </c>
      <c r="N25" s="49">
        <f>'Загальна'!N36</f>
        <v/>
      </c>
      <c r="O25" s="49">
        <f>'Загальна'!O36</f>
        <v/>
      </c>
      <c r="P25" s="49">
        <f>'Загальна'!P36</f>
        <v/>
      </c>
      <c r="Q25" s="49">
        <f>'Загальна'!Q36</f>
        <v/>
      </c>
      <c r="R25" s="49">
        <f>'Загальна'!R36</f>
        <v/>
      </c>
      <c r="S25" s="49">
        <f>'Загальна'!S36</f>
        <v/>
      </c>
      <c r="T25" s="49">
        <f>'Загальна'!T36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'Загальна'!C37</f>
        <v/>
      </c>
      <c r="D26" s="47" t="n">
        <v>17</v>
      </c>
      <c r="E26" s="48">
        <f>'Загальна'!E37</f>
        <v/>
      </c>
      <c r="F26" s="49">
        <f>'Загальна'!F37</f>
        <v/>
      </c>
      <c r="G26" s="49">
        <f>'Загальна'!G37</f>
        <v/>
      </c>
      <c r="H26" s="49">
        <f>'Загальна'!H37</f>
        <v/>
      </c>
      <c r="I26" s="49">
        <f>'Загальна'!I37</f>
        <v/>
      </c>
      <c r="J26" s="49">
        <f>'Загальна'!J37</f>
        <v/>
      </c>
      <c r="K26" s="49">
        <f>'Загальна'!K37</f>
        <v/>
      </c>
      <c r="L26" s="49">
        <f>'Загальна'!L37</f>
        <v/>
      </c>
      <c r="M26" s="49">
        <f>'Загальна'!M37</f>
        <v/>
      </c>
      <c r="N26" s="49">
        <f>'Загальна'!N37</f>
        <v/>
      </c>
      <c r="O26" s="49">
        <f>'Загальна'!O37</f>
        <v/>
      </c>
      <c r="P26" s="49">
        <f>'Загальна'!P37</f>
        <v/>
      </c>
      <c r="Q26" s="49">
        <f>'Загальна'!Q37</f>
        <v/>
      </c>
      <c r="R26" s="49">
        <f>'Загальна'!R37</f>
        <v/>
      </c>
      <c r="S26" s="49">
        <f>'Загальна'!S37</f>
        <v/>
      </c>
      <c r="T26" s="49">
        <f>'Загальна'!T37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'Загальна'!P45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G5 ««Електроніка, електронні комунікації, приладобудування та радіотехніка»»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9">
        <f>'Загальна'!T15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'Загальна'!C23</f>
        <v/>
      </c>
      <c r="D13" s="47" t="n">
        <v>4</v>
      </c>
      <c r="E13" s="48">
        <f>'Загальна'!E23</f>
        <v/>
      </c>
      <c r="F13" s="49">
        <f>'Загальна'!F23</f>
        <v/>
      </c>
      <c r="G13" s="49">
        <f>'Загальна'!G23</f>
        <v/>
      </c>
      <c r="H13" s="49">
        <f>'Загальна'!H23</f>
        <v/>
      </c>
      <c r="I13" s="49">
        <f>'Загальна'!I23</f>
        <v/>
      </c>
      <c r="J13" s="49">
        <f>'Загальна'!J23</f>
        <v/>
      </c>
      <c r="K13" s="49">
        <f>'Загальна'!K23</f>
        <v/>
      </c>
      <c r="L13" s="49">
        <f>'Загальна'!L23</f>
        <v/>
      </c>
      <c r="M13" s="49">
        <f>'Загальна'!M23</f>
        <v/>
      </c>
      <c r="N13" s="49">
        <f>'Загальна'!N23</f>
        <v/>
      </c>
      <c r="O13" s="49">
        <f>'Загальна'!O23</f>
        <v/>
      </c>
      <c r="P13" s="49">
        <f>'Загальна'!P23</f>
        <v/>
      </c>
      <c r="Q13" s="49">
        <f>'Загальна'!Q23</f>
        <v/>
      </c>
      <c r="R13" s="49">
        <f>'Загальна'!R23</f>
        <v/>
      </c>
      <c r="S13" s="49">
        <f>'Загальна'!S23</f>
        <v/>
      </c>
      <c r="T13" s="49">
        <f>'Загальна'!T23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'Загальна'!C25</f>
        <v/>
      </c>
      <c r="D14" s="47" t="n">
        <v>5</v>
      </c>
      <c r="E14" s="48">
        <f>'Загальна'!E25</f>
        <v/>
      </c>
      <c r="F14" s="49">
        <f>'Загальна'!F25</f>
        <v/>
      </c>
      <c r="G14" s="49">
        <f>'Загальна'!G25</f>
        <v/>
      </c>
      <c r="H14" s="49">
        <f>'Загальна'!H25</f>
        <v/>
      </c>
      <c r="I14" s="49">
        <f>'Загальна'!I25</f>
        <v/>
      </c>
      <c r="J14" s="49">
        <f>'Загальна'!J25</f>
        <v/>
      </c>
      <c r="K14" s="49">
        <f>'Загальна'!K25</f>
        <v/>
      </c>
      <c r="L14" s="49">
        <f>'Загальна'!L25</f>
        <v/>
      </c>
      <c r="M14" s="49">
        <f>'Загальна'!M25</f>
        <v/>
      </c>
      <c r="N14" s="49">
        <f>'Загальна'!N25</f>
        <v/>
      </c>
      <c r="O14" s="49">
        <f>'Загальна'!O25</f>
        <v/>
      </c>
      <c r="P14" s="49">
        <f>'Загальна'!P25</f>
        <v/>
      </c>
      <c r="Q14" s="49">
        <f>'Загальна'!Q25</f>
        <v/>
      </c>
      <c r="R14" s="49">
        <f>'Загальна'!R25</f>
        <v/>
      </c>
      <c r="S14" s="49">
        <f>'Загальна'!S25</f>
        <v/>
      </c>
      <c r="T14" s="49">
        <f>'Загальна'!T25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9">
        <f>'Загальна'!T26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'Загальна'!C30</f>
        <v/>
      </c>
      <c r="D16" s="47" t="n">
        <v>7</v>
      </c>
      <c r="E16" s="48">
        <f>'Загальна'!E30</f>
        <v/>
      </c>
      <c r="F16" s="49">
        <f>'Загальна'!F30</f>
        <v/>
      </c>
      <c r="G16" s="49">
        <f>'Загальна'!G30</f>
        <v/>
      </c>
      <c r="H16" s="49">
        <f>'Загальна'!H30</f>
        <v/>
      </c>
      <c r="I16" s="49">
        <f>'Загальна'!I30</f>
        <v/>
      </c>
      <c r="J16" s="49">
        <f>'Загальна'!J30</f>
        <v/>
      </c>
      <c r="K16" s="49">
        <f>'Загальна'!K30</f>
        <v/>
      </c>
      <c r="L16" s="49">
        <f>'Загальна'!L30</f>
        <v/>
      </c>
      <c r="M16" s="49">
        <f>'Загальна'!M30</f>
        <v/>
      </c>
      <c r="N16" s="49">
        <f>'Загальна'!N30</f>
        <v/>
      </c>
      <c r="O16" s="49">
        <f>'Загальна'!O30</f>
        <v/>
      </c>
      <c r="P16" s="49">
        <f>'Загальна'!P30</f>
        <v/>
      </c>
      <c r="Q16" s="49">
        <f>'Загальна'!Q30</f>
        <v/>
      </c>
      <c r="R16" s="49">
        <f>'Загальна'!R30</f>
        <v/>
      </c>
      <c r="S16" s="49">
        <f>'Загальна'!S30</f>
        <v/>
      </c>
      <c r="T16" s="49">
        <f>'Загальна'!T30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'Загальна'!C38</f>
        <v/>
      </c>
      <c r="D21" s="47" t="n">
        <v>12</v>
      </c>
      <c r="E21" s="48">
        <f>'Загальна'!E38</f>
        <v/>
      </c>
      <c r="F21" s="49">
        <f>'Загальна'!F38</f>
        <v/>
      </c>
      <c r="G21" s="49">
        <f>'Загальна'!G38</f>
        <v/>
      </c>
      <c r="H21" s="49">
        <f>'Загальна'!H38</f>
        <v/>
      </c>
      <c r="I21" s="49">
        <f>'Загальна'!I38</f>
        <v/>
      </c>
      <c r="J21" s="49">
        <f>'Загальна'!J38</f>
        <v/>
      </c>
      <c r="K21" s="49">
        <f>'Загальна'!K38</f>
        <v/>
      </c>
      <c r="L21" s="49">
        <f>'Загальна'!L38</f>
        <v/>
      </c>
      <c r="M21" s="49">
        <f>'Загальна'!M38</f>
        <v/>
      </c>
      <c r="N21" s="49">
        <f>'Загальна'!N38</f>
        <v/>
      </c>
      <c r="O21" s="49">
        <f>'Загальна'!O38</f>
        <v/>
      </c>
      <c r="P21" s="49">
        <f>'Загальна'!P38</f>
        <v/>
      </c>
      <c r="Q21" s="49">
        <f>'Загальна'!Q38</f>
        <v/>
      </c>
      <c r="R21" s="49">
        <f>'Загальна'!R38</f>
        <v/>
      </c>
      <c r="S21" s="49">
        <f>'Загальна'!S38</f>
        <v/>
      </c>
      <c r="T21" s="49">
        <f>'Загальна'!T38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Середній бал успішності з дисципліни</t>
        </is>
      </c>
      <c r="F22" s="8">
        <f>IF(SUM(F$10:F21)=0,IF(COUNTA(F$10:F21)=0,"Очікую",0),SUM(F$10:F21)/$D21)</f>
        <v/>
      </c>
      <c r="G22" s="8">
        <f>IF(SUM(G$10:G21)=0,IF(COUNTA(G$10:G21)=0,"Очікую",0),SUM(G$10:G21)/$D21)</f>
        <v/>
      </c>
      <c r="H22" s="8">
        <f>IF(SUM(H$10:H21)=0,IF(COUNTA(H$10:H21)=0,"Очікую",0),SUM(H$10:H21)/$D21)</f>
        <v/>
      </c>
      <c r="I22" s="8">
        <f>IF(SUM(I$10:I21)=0,IF(COUNTA(I$10:I21)=0,"Очікую",0),SUM(I$10:I21)/$D21)</f>
        <v/>
      </c>
      <c r="J22" s="8">
        <f>IF(SUM(J$10:J21)=0,IF(COUNTA(J$10:J21)=0,"Очікую",0),SUM(J$10:J21)/$D21)</f>
        <v/>
      </c>
      <c r="K22" s="8">
        <f>IF(SUM(K$10:K21)=0,IF(COUNTA(K$10:K21)=0,"Очікую",0),SUM(K$10:K21)/$D21)</f>
        <v/>
      </c>
      <c r="L22" s="8">
        <f>IF(SUM(L$10:L21)=0,IF(COUNTA(L$10:L21)=0,"Очікую",0),SUM(L$10:L21)/$D21)</f>
        <v/>
      </c>
      <c r="M22" s="8">
        <f>IF(SUM(M$10:M21)=0,IF(COUNTA(M$10:M21)=0,"Очікую",0),SUM(M$10:M21)/$D21)</f>
        <v/>
      </c>
      <c r="N22" s="8">
        <f>IF(SUM(N$10:N21)=0,IF(COUNTA(N$10:N21)=0,"Очікую",0),SUM(N$10:N21)/$D21)</f>
        <v/>
      </c>
      <c r="O22" s="8">
        <f>IF(SUM(O$10:O21)=0,IF(COUNTA(O$10:O21)=0,"Очікую",0),SUM(O$10:O21)/$D21)</f>
        <v/>
      </c>
      <c r="P22" s="8">
        <f>IF(SUM(P$10:P21)=0,IF(COUNTA(P$10:P21)=0,"Очікую",0),SUM(P$10:P21)/$D21)</f>
        <v/>
      </c>
      <c r="Q22" s="8">
        <f>IF(SUM(Q$10:Q21)=0,IF(COUNTA(Q$10:Q21)=0,"Очікую",0),SUM(Q$10:Q21)/$D21)</f>
        <v/>
      </c>
      <c r="R22" s="8">
        <f>IF(SUM(R$10:R21)=0,IF(COUNTA(R$10:R21)=0,"Очікую",0),SUM(R$10:R21)/$D21)</f>
        <v/>
      </c>
      <c r="S22" s="8">
        <f>IF(SUM(S$10:S21)=0,IF(COUNTA(S$10:S21)=0,"Очікую",0),SUM(S$10:S21)/$D21)</f>
        <v/>
      </c>
      <c r="T22" s="8">
        <f>IF(SUM(T$10:T21)=0,IF(COUNTA(T$10:T21)=0,"Очікую",0),SUM(T$10:T21)/$D21)</f>
        <v/>
      </c>
      <c r="U22" s="9">
        <f>IFERROR(AVERAGE($F22:T22),"Очікую")</f>
        <v/>
      </c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</t>
        </is>
      </c>
      <c r="F23" s="43">
        <f>IF(SUM(F$10:F21)=0,IF(COUNTA(F$10:F21)=0,"Очікую",0),IF(COUNTIF(F$10:F21,"&gt;=4")=0,0,COUNTIF(F$10:F21,"&gt;=4")/$D21*100))</f>
        <v/>
      </c>
      <c r="G23" s="43">
        <f>IF(SUM(G$10:G21)=0,IF(COUNTA(G$10:G21)=0,"Очікую",0),IF(COUNTIF(G$10:G21,"&gt;=4")=0,0,COUNTIF(G$10:G21,"&gt;=4")/$D21*100))</f>
        <v/>
      </c>
      <c r="H23" s="43">
        <f>IF(SUM(H$10:H21)=0,IF(COUNTA(H$10:H21)=0,"Очікую",0),IF(COUNTIF(H$10:H21,"&gt;=4")=0,0,COUNTIF(H$10:H21,"&gt;=4")/$D21*100))</f>
        <v/>
      </c>
      <c r="I23" s="43">
        <f>IF(SUM(I$10:I21)=0,IF(COUNTA(I$10:I21)=0,"Очікую",0),IF(COUNTIF(I$10:I21,"&gt;=4")=0,0,COUNTIF(I$10:I21,"&gt;=4")/$D21*100))</f>
        <v/>
      </c>
      <c r="J23" s="43">
        <f>IF(SUM(J$10:J21)=0,IF(COUNTA(J$10:J21)=0,"Очікую",0),IF(COUNTIF(J$10:J21,"&gt;=4")=0,0,COUNTIF(J$10:J21,"&gt;=4")/$D21*100))</f>
        <v/>
      </c>
      <c r="K23" s="43">
        <f>IF(SUM(K$10:K21)=0,IF(COUNTA(K$10:K21)=0,"Очікую",0),IF(COUNTIF(K$10:K21,"&gt;=4")=0,0,COUNTIF(K$10:K21,"&gt;=4")/$D21*100))</f>
        <v/>
      </c>
      <c r="L23" s="43">
        <f>IF(SUM(L$10:L21)=0,IF(COUNTA(L$10:L21)=0,"Очікую",0),IF(COUNTIF(L$10:L21,"&gt;=4")=0,0,COUNTIF(L$10:L21,"&gt;=4")/$D21*100))</f>
        <v/>
      </c>
      <c r="M23" s="43">
        <f>IF(SUM(M$10:M21)=0,IF(COUNTA(M$10:M21)=0,"Очікую",0),IF(COUNTIF(M$10:M21,"&gt;=4")=0,0,COUNTIF(M$10:M21,"&gt;=4")/$D21*100))</f>
        <v/>
      </c>
      <c r="N23" s="43">
        <f>IF(SUM(N$10:N21)=0,IF(COUNTA(N$10:N21)=0,"Очікую",0),IF(COUNTIF(N$10:N21,"&gt;=4")=0,0,COUNTIF(N$10:N21,"&gt;=4")/$D21*100))</f>
        <v/>
      </c>
      <c r="O23" s="43">
        <f>IF(SUM(O$10:O21)=0,IF(COUNTA(O$10:O21)=0,"Очікую",0),IF(COUNTIF(O$10:O21,"&gt;=4")=0,0,COUNTIF(O$10:O21,"&gt;=4")/$D21*100))</f>
        <v/>
      </c>
      <c r="P23" s="43">
        <f>IF(SUM(P$10:P21)=0,IF(COUNTA(P$10:P21)=0,"Очікую",0),IF(COUNTIF(P$10:P21,"&gt;=4")=0,0,COUNTIF(P$10:P21,"&gt;=4")/$D21*100))</f>
        <v/>
      </c>
      <c r="Q23" s="43">
        <f>IF(SUM(Q$10:Q21)=0,IF(COUNTA(Q$10:Q21)=0,"Очікую",0),IF(COUNTIF(Q$10:Q21,"&gt;=4")=0,0,COUNTIF(Q$10:Q21,"&gt;=4")/$D21*100))</f>
        <v/>
      </c>
      <c r="R23" s="43">
        <f>IF(SUM(R$10:R21)=0,IF(COUNTA(R$10:R21)=0,"Очікую",0),IF(COUNTIF(R$10:R21,"&gt;=4")=0,0,COUNTIF(R$10:R21,"&gt;=4")/$D21*100))</f>
        <v/>
      </c>
      <c r="S23" s="43">
        <f>IF(SUM(S$10:S21)=0,IF(COUNTA(S$10:S21)=0,"Очікую",0),IF(COUNTIF(S$10:S21,"&gt;=4")=0,0,COUNTIF(S$10:S21,"&gt;=4")/$D21*100))</f>
        <v/>
      </c>
      <c r="T23" s="43">
        <f>IF(SUM(T$10:T21)=0,IF(COUNTA(T$10:T21)=0,"Очікую",0),IF(COUNTIF(T$10:T21,"&gt;=4")=0,0,COUNTIF(T$10:T21,"&gt;=4")/$D21*100))</f>
        <v/>
      </c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</t>
        </is>
      </c>
      <c r="F24" s="43">
        <f>IF(SUM(F$10:F21)=0,IF(COUNTA(F$10:F21)=0,"Очікую",0),IF(COUNTIF(F$10:F21,"&gt;=7")=0,0,COUNTIF(F$10:F21,"&gt;=7")/$D21*100))</f>
        <v/>
      </c>
      <c r="G24" s="43">
        <f>IF(SUM(G$10:G21)=0,IF(COUNTA(G$10:G21)=0,"Очікую",0),IF(COUNTIF(G$10:G21,"&gt;=7")=0,0,COUNTIF(G$10:G21,"&gt;=7")/$D21*100))</f>
        <v/>
      </c>
      <c r="H24" s="43">
        <f>IF(SUM(H$10:H21)=0,IF(COUNTA(H$10:H21)=0,"Очікую",0),IF(COUNTIF(H$10:H21,"&gt;=7")=0,0,COUNTIF(H$10:H21,"&gt;=7")/$D21*100))</f>
        <v/>
      </c>
      <c r="I24" s="43">
        <f>IF(SUM(I$10:I21)=0,IF(COUNTA(I$10:I21)=0,"Очікую",0),IF(COUNTIF(I$10:I21,"&gt;=7")=0,0,COUNTIF(I$10:I21,"&gt;=7")/$D21*100))</f>
        <v/>
      </c>
      <c r="J24" s="43">
        <f>IF(SUM(J$10:J21)=0,IF(COUNTA(J$10:J21)=0,"Очікую",0),IF(COUNTIF(J$10:J21,"&gt;=7")=0,0,COUNTIF(J$10:J21,"&gt;=7")/$D21*100))</f>
        <v/>
      </c>
      <c r="K24" s="43">
        <f>IF(SUM(K$10:K21)=0,IF(COUNTA(K$10:K21)=0,"Очікую",0),IF(COUNTIF(K$10:K21,"&gt;=7")=0,0,COUNTIF(K$10:K21,"&gt;=7")/$D21*100))</f>
        <v/>
      </c>
      <c r="L24" s="43">
        <f>IF(SUM(L$10:L21)=0,IF(COUNTA(L$10:L21)=0,"Очікую",0),IF(COUNTIF(L$10:L21,"&gt;=7")=0,0,COUNTIF(L$10:L21,"&gt;=7")/$D21*100))</f>
        <v/>
      </c>
      <c r="M24" s="43">
        <f>IF(SUM(M$10:M21)=0,IF(COUNTA(M$10:M21)=0,"Очікую",0),IF(COUNTIF(M$10:M21,"&gt;=7")=0,0,COUNTIF(M$10:M21,"&gt;=7")/$D21*100))</f>
        <v/>
      </c>
      <c r="N24" s="43">
        <f>IF(SUM(N$10:N21)=0,IF(COUNTA(N$10:N21)=0,"Очікую",0),IF(COUNTIF(N$10:N21,"&gt;=7")=0,0,COUNTIF(N$10:N21,"&gt;=7")/$D21*100))</f>
        <v/>
      </c>
      <c r="O24" s="43">
        <f>IF(SUM(O$10:O21)=0,IF(COUNTA(O$10:O21)=0,"Очікую",0),IF(COUNTIF(O$10:O21,"&gt;=7")=0,0,COUNTIF(O$10:O21,"&gt;=7")/$D21*100))</f>
        <v/>
      </c>
      <c r="P24" s="43">
        <f>IF(SUM(P$10:P21)=0,IF(COUNTA(P$10:P21)=0,"Очікую",0),IF(COUNTIF(P$10:P21,"&gt;=7")=0,0,COUNTIF(P$10:P21,"&gt;=7")/$D21*100))</f>
        <v/>
      </c>
      <c r="Q24" s="43">
        <f>IF(SUM(Q$10:Q21)=0,IF(COUNTA(Q$10:Q21)=0,"Очікую",0),IF(COUNTIF(Q$10:Q21,"&gt;=7")=0,0,COUNTIF(Q$10:Q21,"&gt;=7")/$D21*100))</f>
        <v/>
      </c>
      <c r="R24" s="43">
        <f>IF(SUM(R$10:R21)=0,IF(COUNTA(R$10:R21)=0,"Очікую",0),IF(COUNTIF(R$10:R21,"&gt;=7")=0,0,COUNTIF(R$10:R21,"&gt;=7")/$D21*100))</f>
        <v/>
      </c>
      <c r="S24" s="43">
        <f>IF(SUM(S$10:S21)=0,IF(COUNTA(S$10:S21)=0,"Очікую",0),IF(COUNTIF(S$10:S21,"&gt;=7")=0,0,COUNTIF(S$10:S21,"&gt;=7")/$D21*100))</f>
        <v/>
      </c>
      <c r="T24" s="43">
        <f>IF(SUM(T$10:T21)=0,IF(COUNTA(T$10:T21)=0,"Очікую",0),IF(COUNTIF(T$10:T21,"&gt;=7")=0,0,COUNTIF(T$10:T21,"&gt;=7")/$D21*100))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Абсолютна успішність по групі</t>
        </is>
      </c>
      <c r="F25" s="8">
        <f>IFERROR(AVERAGE(F23:T23),"Очікую")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Якісна успішність по групі</t>
        </is>
      </c>
      <c r="F26" s="8">
        <f>IFERROR(AVERAGE($F24:T24),"Очікую")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бюджетників</t>
        </is>
      </c>
      <c r="F27" s="63">
        <f>IF(COUNTIF($C$10:$C21,"=B")=0,IF(COUNTIF($C$10:$C21,"=K")=0,"Очікую",0),COUNTIF($C$10:$C21,"=B"))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контрактників</t>
        </is>
      </c>
      <c r="F28" s="63">
        <f>IF(COUNTIF($C$10:$C21,"=K")=0,IF(COUNTIF($C$10:$C21,"=B")=0,"Очікую",0),COUNTIF($C$10:$C21,"=K"))</f>
        <v/>
      </c>
      <c r="G28" s="6" t="n"/>
      <c r="H28" s="55" t="inlineStr">
        <is>
          <t>Класний керівник</t>
        </is>
      </c>
      <c r="I28" s="55" t="n"/>
      <c r="J28" s="55" t="n"/>
      <c r="K28" s="55" t="n"/>
      <c r="L28" s="55" t="n"/>
      <c r="M28" s="6" t="n"/>
      <c r="N28" s="6" t="n"/>
      <c r="O28" s="6" t="n"/>
      <c r="P28" s="56">
        <f>'Загальна'!P45</f>
        <v/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соціального контингенту</t>
        </is>
      </c>
      <c r="F29" s="4" t="n"/>
      <c r="G29" s="6" t="n"/>
      <c r="H29" s="55" t="n"/>
      <c r="I29" s="55" t="n"/>
      <c r="J29" s="55" t="n"/>
      <c r="K29" s="55" t="n"/>
      <c r="L29" s="55" t="n"/>
      <c r="M29" s="6" t="n"/>
      <c r="N29" s="6" t="n"/>
      <c r="O29" s="6" t="n"/>
      <c r="P29" s="56" t="n"/>
      <c r="Q29" s="52" t="n"/>
      <c r="R29" s="52" t="n"/>
      <c r="S29" s="52" t="n"/>
      <c r="T29" s="52" t="n"/>
      <c r="U29" s="52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Вийшли на стипендію</t>
        </is>
      </c>
      <c r="F30" s="63">
        <f>IF(F27="Очікую","Очікую",IF(F27-COUNTIF($U$10:$U21," - ")&lt;ROUNDDOWN(F27*0.4,0),F27-COUNTIF($U$10:$U21," - "),ROUNDDOWN(F27*0.4,0)))</f>
        <v/>
      </c>
      <c r="G30" s="6" t="n"/>
      <c r="H30" s="56" t="inlineStr">
        <is>
          <t>Завідувач відділення ПЗСО</t>
        </is>
      </c>
      <c r="I30" s="56" t="n"/>
      <c r="J30" s="56" t="n"/>
      <c r="K30" s="56" t="n"/>
      <c r="L30" s="56" t="n"/>
      <c r="M30" s="6" t="n"/>
      <c r="N30" s="6" t="n"/>
      <c r="O30" s="6" t="n"/>
      <c r="P30" s="56" t="inlineStr">
        <is>
          <t>Margarita BRITIKOVA</t>
        </is>
      </c>
      <c r="Q30" s="54" t="n"/>
      <c r="R30" s="54" t="n"/>
      <c r="S30" s="54" t="n"/>
      <c r="T30" s="54" t="n"/>
      <c r="U30" s="54" t="n"/>
      <c r="V30" s="20" t="n"/>
      <c r="W30" s="39" t="n"/>
    </row>
    <row r="31" ht="15" customFormat="1" customHeight="1" s="11">
      <c r="A31" s="40" t="n"/>
      <c r="B31" s="21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5" t="n"/>
      <c r="W31" s="39" t="n"/>
    </row>
    <row r="32" ht="15" customFormat="1" customHeight="1" s="11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9" t="n"/>
    </row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2026-06-18T10:04:21Z</dcterms:modified>
  <cp:lastModifiedBy>Maxim Surkov</cp:lastModifiedBy>
  <cp:lastPrinted>2026-01-07T15:30:50Z</cp:lastPrinted>
</cp:coreProperties>
</file>