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'Загальна'!$C$3:$S$55</definedName>
    <definedName name="A1048577" localSheetId="1">#REF!</definedName>
    <definedName name="Ф80" localSheetId="1">#REF!</definedName>
    <definedName name="_xlnm.Print_Area" localSheetId="1">'Зведена D5'!$C$3:$S$38</definedName>
    <definedName name="A1048577" localSheetId="2">#REF!</definedName>
    <definedName name="Ф80" localSheetId="2">#REF!</definedName>
    <definedName name="_xlnm.Print_Area" localSheetId="2">'Зведена E2'!$C$3:$S$31</definedName>
    <definedName name="A1048577" localSheetId="3">#REF!</definedName>
    <definedName name="Ф80" localSheetId="3">#REF!</definedName>
    <definedName name="_xlnm.Print_Area" localSheetId="3">'Зведена G13'!$C$3:$S$19</definedName>
    <definedName name="A1048577" localSheetId="4">#REF!</definedName>
    <definedName name="Ф80" localSheetId="4">#REF!</definedName>
    <definedName name="_xlnm.Print_Area" localSheetId="4">'Зведена J2'!$C$3:$S$19</definedName>
    <definedName name="A1048577" localSheetId="5">#REF!</definedName>
    <definedName name="Ф80" localSheetId="5">#REF!</definedName>
    <definedName name="_xlnm.Print_Area" localSheetId="5">'Зведена J3'!$C$3:$S$20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Юрченко О.Б.</t>
        </is>
      </c>
      <c r="P9" s="13" t="inlineStr">
        <is>
          <t>Українська мова
Юрченко О.Б.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2">
        <f>IF(COUNTIF($F41:S41,"=*")&gt;0,IF($C41="K","-"," - "),IF(COUNTIF($F41:S41,"&lt;4")&gt;0,IF($C41="K","-"," - "),(IFERROR(AVERAGE($F41:S41),"Очікую"))))</f>
        <v/>
      </c>
      <c r="U41" s="22" t="n"/>
      <c r="V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2">
        <f>IF(COUNTIF($F42:S42,"=*")&gt;0,IF($C42="K","-"," - "),IF(COUNTIF($F42:S42,"&lt;4")&gt;0,IF($C42="K","-"," - "),(IFERROR(AVERAGE($F42:S42),"Очікую"))))</f>
        <v/>
      </c>
      <c r="U42" s="22" t="n"/>
      <c r="V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2">
        <f>IF(COUNTIF($F43:S43,"=*")&gt;0,IF($C43="K","-"," - "),IF(COUNTIF($F43:S43,"&lt;4")&gt;0,IF($C43="K","-"," - "),(IFERROR(AVERAGE($F43:S43),"Очікую"))))</f>
        <v/>
      </c>
      <c r="U43" s="22" t="n"/>
      <c r="V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2">
        <f>IF(COUNTIF($F44:S44,"=*")&gt;0,IF($C44="K","-"," - "),IF(COUNTIF($F44:S44,"&lt;4")&gt;0,IF($C44="K","-"," - "),(IFERROR(AVERAGE($F44:S44),"Очікую"))))</f>
        <v/>
      </c>
      <c r="U44" s="22" t="n"/>
      <c r="V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2">
        <f>IF(COUNTIF($F45:S45,"=*")&gt;0,IF($C45="K","-"," - "),IF(COUNTIF($F45:S45,"&lt;4")&gt;0,IF($C45="K","-"," - "),(IFERROR(AVERAGE($F45:S45),"Очікую"))))</f>
        <v/>
      </c>
      <c r="U45" s="22" t="n"/>
      <c r="V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2">
        <f>IF(COUNTIF($F46:S46,"=*")&gt;0,IF($C46="K","-"," - "),IF(COUNTIF($F46:S46,"&lt;4")&gt;0,IF($C46="K","-"," - "),(IFERROR(AVERAGE($F46:S46),"Очікую"))))</f>
        <v/>
      </c>
      <c r="U46" s="22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9">
        <f>IFERROR(AVERAGE($F47:S47),"Очікую")</f>
        <v/>
      </c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6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6" t="n"/>
      <c r="U49" s="20" t="n"/>
      <c r="V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IFERROR(AVERAGE(F48:S48),"Очікую")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20" t="n"/>
      <c r="V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IFERROR(AVERAGE($F49:S49),"Очікую")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20" t="n"/>
      <c r="V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52" t="n"/>
      <c r="R52" s="52" t="n"/>
      <c r="S52" s="52" t="n"/>
      <c r="T52" s="52" t="n"/>
      <c r="U52" s="20" t="n"/>
      <c r="V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54" t="n"/>
      <c r="P53" s="54" t="inlineStr"/>
      <c r="Q53" s="54" t="n"/>
      <c r="R53" s="54" t="n"/>
      <c r="S53" s="54" t="n"/>
      <c r="T53" s="54" t="n"/>
      <c r="U53" s="20" t="n"/>
      <c r="V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52" t="n"/>
      <c r="P54" s="52" t="n"/>
      <c r="Q54" s="52" t="n"/>
      <c r="R54" s="52" t="n"/>
      <c r="S54" s="52" t="n"/>
      <c r="T54" s="52" t="n"/>
      <c r="U54" s="20" t="n"/>
      <c r="V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IF(F52="Очікую","Очікую",IF(F52-COUNTIF($T$10:$T46," - ")&lt;ROUNDDOWN(F52*0.4,0),F52-COUNTIF($T$10:$T46,"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54" t="n"/>
      <c r="P55" s="54" t="inlineStr">
        <is>
          <t>Margarita BRITIKOVA</t>
        </is>
      </c>
      <c r="Q55" s="54" t="n"/>
      <c r="R55" s="54" t="n"/>
      <c r="S55" s="54" t="n"/>
      <c r="T55" s="54" t="n"/>
      <c r="U55" s="20" t="n"/>
      <c r="V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5" t="n"/>
      <c r="V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59" t="n"/>
      <c r="V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2">
        <f>IF(COUNTIF($F26:S26,"=*")&gt;0,IF($C26="K","-"," - "),IF(COUNTIF($F26:S26,"&lt;4")&gt;0,IF(C26="K","-","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2">
        <f>IF(COUNTIF($F27:S27,"=*")&gt;0,IF($C27="K","-"," - "),IF(COUNTIF($F27:S27,"&lt;4")&gt;0,IF(C27="K","-","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2">
        <f>IF(COUNTIF($F28:S28,"=*")&gt;0,IF($C28="K","-"," - "),IF(COUNTIF($F28:S28,"&lt;4")&gt;0,IF(C28="K","-","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2">
        <f>IF(COUNTIF($F29:S29,"=*")&gt;0,IF($C29="K","-"," - "),IF(COUNTIF($F29:S29,"&lt;4")&gt;0,IF(C29="K","-","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9">
        <f>IFERROR(AVERAGE($F30:S30),"Очікую")</f>
        <v/>
      </c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6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IFERROR(AVERAGE(F31:S31),"Очікую")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IFERROR(AVERAGE($F32:S32),"Очікую")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52" t="n"/>
      <c r="R35" s="52" t="n"/>
      <c r="S35" s="52" t="n"/>
      <c r="T35" s="52" t="n"/>
      <c r="U35" s="20" t="n"/>
      <c r="V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6" t="n"/>
      <c r="M36" s="6" t="n"/>
      <c r="N36" s="6" t="n"/>
      <c r="O36" s="56" t="n"/>
      <c r="P36" s="54">
        <f>'Загальна'!P53</f>
        <v/>
      </c>
      <c r="Q36" s="54" t="n"/>
      <c r="R36" s="54" t="n"/>
      <c r="S36" s="54" t="n"/>
      <c r="T36" s="54" t="n"/>
      <c r="U36" s="20" t="n"/>
      <c r="V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6" t="n"/>
      <c r="M37" s="6" t="n"/>
      <c r="N37" s="6" t="n"/>
      <c r="O37" s="56" t="n"/>
      <c r="P37" s="52" t="n"/>
      <c r="Q37" s="52" t="n"/>
      <c r="R37" s="52" t="n"/>
      <c r="S37" s="52" t="n"/>
      <c r="T37" s="52" t="n"/>
      <c r="U37" s="20" t="n"/>
      <c r="V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IF(F35="Очікую","Очікую",IF(F35-COUNTIF($T$10:$T29," - ")&lt;ROUNDDOWN(F35*0.4,0),F35-COUNTIF($T$10:$T29,"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6" t="n"/>
      <c r="M38" s="6" t="n"/>
      <c r="N38" s="6" t="n"/>
      <c r="O38" s="56" t="n"/>
      <c r="P38" s="54" t="inlineStr">
        <is>
          <t>Margarita BRITIKOVA</t>
        </is>
      </c>
      <c r="Q38" s="54" t="n"/>
      <c r="R38" s="54" t="n"/>
      <c r="S38" s="54" t="n"/>
      <c r="T38" s="54" t="n"/>
      <c r="U38" s="20" t="n"/>
      <c r="V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5" t="n"/>
      <c r="V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9">
        <f>IFERROR(AVERAGE($F23:S23),"Очікую")</f>
        <v/>
      </c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6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IFERROR(AVERAGE(F24:S24),"Очікую")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IFERROR(AVERAGE($F25:S25),"Очікую")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52" t="n"/>
      <c r="R28" s="52" t="n"/>
      <c r="S28" s="52" t="n"/>
      <c r="T28" s="52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6" t="n"/>
      <c r="M29" s="6" t="n"/>
      <c r="N29" s="6" t="n"/>
      <c r="O29" s="56" t="n"/>
      <c r="P29" s="54">
        <f>'Загальна'!P53</f>
        <v/>
      </c>
      <c r="Q29" s="54" t="n"/>
      <c r="R29" s="54" t="n"/>
      <c r="S29" s="54" t="n"/>
      <c r="T29" s="54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6" t="n"/>
      <c r="M30" s="6" t="n"/>
      <c r="N30" s="6" t="n"/>
      <c r="O30" s="56" t="n"/>
      <c r="P30" s="52" t="n"/>
      <c r="Q30" s="52" t="n"/>
      <c r="R30" s="52" t="n"/>
      <c r="S30" s="52" t="n"/>
      <c r="T30" s="52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IF(F28="Очікую","Очікую",IF(F28-COUNTIF($T$10:$T22," - ")&lt;ROUNDDOWN(F28*0.4,0),F28-COUNTIF($T$10:$T22,"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6" t="n"/>
      <c r="M31" s="6" t="n"/>
      <c r="N31" s="6" t="n"/>
      <c r="O31" s="56" t="n"/>
      <c r="P31" s="54" t="inlineStr">
        <is>
          <t>Margarita BRITIKOVA</t>
        </is>
      </c>
      <c r="Q31" s="54" t="n"/>
      <c r="R31" s="54" t="n"/>
      <c r="S31" s="54" t="n"/>
      <c r="T31" s="54" t="n"/>
      <c r="U31" s="20" t="n"/>
      <c r="V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5" t="n"/>
      <c r="V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9">
        <f>IFERROR(AVERAGE($F11:S11),"Очікую")</f>
        <v/>
      </c>
      <c r="U11" s="20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6" t="n"/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IFERROR(AVERAGE(F12:S12),"Очікую")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52" t="n"/>
      <c r="R16" s="52" t="n"/>
      <c r="S16" s="52" t="n"/>
      <c r="T16" s="52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6" t="n"/>
      <c r="M17" s="6" t="n"/>
      <c r="N17" s="6" t="n"/>
      <c r="O17" s="56" t="n"/>
      <c r="P17" s="54">
        <f>'Загальна'!P53</f>
        <v/>
      </c>
      <c r="Q17" s="54" t="n"/>
      <c r="R17" s="54" t="n"/>
      <c r="S17" s="54" t="n"/>
      <c r="T17" s="54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6" t="n"/>
      <c r="M18" s="6" t="n"/>
      <c r="N18" s="6" t="n"/>
      <c r="O18" s="56" t="n"/>
      <c r="P18" s="52" t="n"/>
      <c r="Q18" s="52" t="n"/>
      <c r="R18" s="52" t="n"/>
      <c r="S18" s="52" t="n"/>
      <c r="T18" s="52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IF(F16="Очікую","Очікую",IF(F16-COUNTIF($T$10:$T10," - ")&lt;ROUNDDOWN(F16*0.4,0),F16-COUNTIF($T$10:$T10,"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6" t="n"/>
      <c r="M19" s="6" t="n"/>
      <c r="N19" s="6" t="n"/>
      <c r="O19" s="56" t="n"/>
      <c r="P19" s="54" t="inlineStr">
        <is>
          <t>Margarita BRITIKOVA</t>
        </is>
      </c>
      <c r="Q19" s="54" t="n"/>
      <c r="R19" s="54" t="n"/>
      <c r="S19" s="54" t="n"/>
      <c r="T19" s="54" t="n"/>
      <c r="U19" s="20" t="n"/>
      <c r="V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5" t="n"/>
      <c r="V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9">
        <f>IFERROR(AVERAGE($F11:S11),"Очікую")</f>
        <v/>
      </c>
      <c r="U11" s="20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6" t="n"/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IFERROR(AVERAGE(F12:S12),"Очікую")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52" t="n"/>
      <c r="R16" s="52" t="n"/>
      <c r="S16" s="52" t="n"/>
      <c r="T16" s="52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6" t="n"/>
      <c r="M17" s="6" t="n"/>
      <c r="N17" s="6" t="n"/>
      <c r="O17" s="56" t="n"/>
      <c r="P17" s="54">
        <f>'Загальна'!P53</f>
        <v/>
      </c>
      <c r="Q17" s="54" t="n"/>
      <c r="R17" s="54" t="n"/>
      <c r="S17" s="54" t="n"/>
      <c r="T17" s="54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6" t="n"/>
      <c r="M18" s="6" t="n"/>
      <c r="N18" s="6" t="n"/>
      <c r="O18" s="56" t="n"/>
      <c r="P18" s="52" t="n"/>
      <c r="Q18" s="52" t="n"/>
      <c r="R18" s="52" t="n"/>
      <c r="S18" s="52" t="n"/>
      <c r="T18" s="52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IF(F16="Очікую","Очікую",IF(F16-COUNTIF($T$10:$T10," - ")&lt;ROUNDDOWN(F16*0.4,0),F16-COUNTIF($T$10:$T10,"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6" t="n"/>
      <c r="M19" s="6" t="n"/>
      <c r="N19" s="6" t="n"/>
      <c r="O19" s="56" t="n"/>
      <c r="P19" s="54" t="inlineStr">
        <is>
          <t>Margarita BRITIKOVA</t>
        </is>
      </c>
      <c r="Q19" s="54" t="n"/>
      <c r="R19" s="54" t="n"/>
      <c r="S19" s="54" t="n"/>
      <c r="T19" s="54" t="n"/>
      <c r="U19" s="20" t="n"/>
      <c r="V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5" t="n"/>
      <c r="V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9">
        <f>IFERROR(AVERAGE($F12:S12),"Очікую")</f>
        <v/>
      </c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IFERROR(AVERAGE($F14:S14),"Очікую")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52" t="n"/>
      <c r="R17" s="52" t="n"/>
      <c r="S17" s="52" t="n"/>
      <c r="T17" s="52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6" t="n"/>
      <c r="M18" s="6" t="n"/>
      <c r="N18" s="6" t="n"/>
      <c r="O18" s="56" t="n"/>
      <c r="P18" s="54">
        <f>'Загальна'!P53</f>
        <v/>
      </c>
      <c r="Q18" s="54" t="n"/>
      <c r="R18" s="54" t="n"/>
      <c r="S18" s="54" t="n"/>
      <c r="T18" s="54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6" t="n"/>
      <c r="M19" s="6" t="n"/>
      <c r="N19" s="6" t="n"/>
      <c r="O19" s="56" t="n"/>
      <c r="P19" s="52" t="n"/>
      <c r="Q19" s="52" t="n"/>
      <c r="R19" s="52" t="n"/>
      <c r="S19" s="52" t="n"/>
      <c r="T19" s="52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IF(F17="Очікую","Очікую",IF(F17-COUNTIF($T$10:$T11," - ")&lt;ROUNDDOWN(F17*0.4,0),F17-COUNTIF($T$10:$T11,"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6" t="n"/>
      <c r="M20" s="6" t="n"/>
      <c r="N20" s="6" t="n"/>
      <c r="O20" s="56" t="n"/>
      <c r="P20" s="54" t="inlineStr">
        <is>
          <t>Margarita BRITIKOVA</t>
        </is>
      </c>
      <c r="Q20" s="54" t="n"/>
      <c r="R20" s="54" t="n"/>
      <c r="S20" s="54" t="n"/>
      <c r="T20" s="54" t="n"/>
      <c r="U20" s="20" t="n"/>
      <c r="V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5" t="n"/>
      <c r="V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2026-06-17T18:39:02Z</dcterms:modified>
  <cp:lastModifiedBy>Maxim Surkov</cp:lastModifiedBy>
  <cp:lastPrinted>2026-01-07T15:30:50Z</cp:lastPrinted>
</cp:coreProperties>
</file>