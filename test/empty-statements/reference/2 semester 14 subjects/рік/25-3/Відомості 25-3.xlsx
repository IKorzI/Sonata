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E2'!$C$3:$S$28</definedName>
    <definedName name="A1048577" localSheetId="2">#REF!</definedName>
    <definedName name="Ф80" localSheetId="2">#REF!</definedName>
    <definedName name="_xlnm.Print_Area" localSheetId="2">'Зведена G1'!$C$3:$S$26</definedName>
    <definedName name="A1048577" localSheetId="3">#REF!</definedName>
    <definedName name="Ф80" localSheetId="3">#REF!</definedName>
    <definedName name="_xlnm.Print_Area" localSheetId="3">'Зведена G7'!$C$3:$S$35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9">
        <f>IFERROR(AVERAGE($F45:S45),"Очікую")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IF(F50="Очікую","Очікую",IF(F50-COUNTIF($T$10:$T44," - ")&lt;ROUNDDOWN(F50*0.4,0),F50-COUNTIF($T$10:$T44,"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Margarita BRITIKOVA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'Загальна'!C15</f>
        <v/>
      </c>
      <c r="D10" s="47" t="n">
        <v>1</v>
      </c>
      <c r="E10" s="48">
        <f>'Загальна'!E15</f>
        <v/>
      </c>
      <c r="F10" s="49">
        <f>'Загальна'!F15</f>
        <v/>
      </c>
      <c r="G10" s="49">
        <f>'Загальна'!G15</f>
        <v/>
      </c>
      <c r="H10" s="49">
        <f>'Загальна'!H15</f>
        <v/>
      </c>
      <c r="I10" s="49">
        <f>'Загальна'!I15</f>
        <v/>
      </c>
      <c r="J10" s="49">
        <f>'Загальна'!J15</f>
        <v/>
      </c>
      <c r="K10" s="49">
        <f>'Загальна'!K15</f>
        <v/>
      </c>
      <c r="L10" s="49">
        <f>'Загальна'!L15</f>
        <v/>
      </c>
      <c r="M10" s="49">
        <f>'Загальна'!M15</f>
        <v/>
      </c>
      <c r="N10" s="49">
        <f>'Загальна'!N15</f>
        <v/>
      </c>
      <c r="O10" s="49">
        <f>'Загальна'!O15</f>
        <v/>
      </c>
      <c r="P10" s="49">
        <f>'Загальна'!P15</f>
        <v/>
      </c>
      <c r="Q10" s="49">
        <f>'Загальна'!Q15</f>
        <v/>
      </c>
      <c r="R10" s="49">
        <f>'Загальна'!R15</f>
        <v/>
      </c>
      <c r="S10" s="49">
        <f>'Загальна'!S15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'Загальна'!C16</f>
        <v/>
      </c>
      <c r="D11" s="47" t="n">
        <v>2</v>
      </c>
      <c r="E11" s="48">
        <f>'Загальна'!E16</f>
        <v/>
      </c>
      <c r="F11" s="49">
        <f>'Загальна'!F16</f>
        <v/>
      </c>
      <c r="G11" s="49">
        <f>'Загальна'!G16</f>
        <v/>
      </c>
      <c r="H11" s="49">
        <f>'Загальна'!H16</f>
        <v/>
      </c>
      <c r="I11" s="49">
        <f>'Загальна'!I16</f>
        <v/>
      </c>
      <c r="J11" s="49">
        <f>'Загальна'!J16</f>
        <v/>
      </c>
      <c r="K11" s="49">
        <f>'Загальна'!K16</f>
        <v/>
      </c>
      <c r="L11" s="49">
        <f>'Загальна'!L16</f>
        <v/>
      </c>
      <c r="M11" s="49">
        <f>'Загальна'!M16</f>
        <v/>
      </c>
      <c r="N11" s="49">
        <f>'Загальна'!N16</f>
        <v/>
      </c>
      <c r="O11" s="49">
        <f>'Загальна'!O16</f>
        <v/>
      </c>
      <c r="P11" s="49">
        <f>'Загальна'!P16</f>
        <v/>
      </c>
      <c r="Q11" s="49">
        <f>'Загальна'!Q16</f>
        <v/>
      </c>
      <c r="R11" s="49">
        <f>'Загальна'!R16</f>
        <v/>
      </c>
      <c r="S11" s="49">
        <f>'Загальна'!S16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'Загальна'!C20</f>
        <v/>
      </c>
      <c r="D13" s="47" t="n">
        <v>4</v>
      </c>
      <c r="E13" s="48">
        <f>'Загальна'!E20</f>
        <v/>
      </c>
      <c r="F13" s="49">
        <f>'Загальна'!F20</f>
        <v/>
      </c>
      <c r="G13" s="49">
        <f>'Загальна'!G20</f>
        <v/>
      </c>
      <c r="H13" s="49">
        <f>'Загальна'!H20</f>
        <v/>
      </c>
      <c r="I13" s="49">
        <f>'Загальна'!I20</f>
        <v/>
      </c>
      <c r="J13" s="49">
        <f>'Загальна'!J20</f>
        <v/>
      </c>
      <c r="K13" s="49">
        <f>'Загальна'!K20</f>
        <v/>
      </c>
      <c r="L13" s="49">
        <f>'Загальна'!L20</f>
        <v/>
      </c>
      <c r="M13" s="49">
        <f>'Загальна'!M20</f>
        <v/>
      </c>
      <c r="N13" s="49">
        <f>'Загальна'!N20</f>
        <v/>
      </c>
      <c r="O13" s="49">
        <f>'Загальна'!O20</f>
        <v/>
      </c>
      <c r="P13" s="49">
        <f>'Загальна'!P20</f>
        <v/>
      </c>
      <c r="Q13" s="49">
        <f>'Загальна'!Q20</f>
        <v/>
      </c>
      <c r="R13" s="49">
        <f>'Загальна'!R20</f>
        <v/>
      </c>
      <c r="S13" s="49">
        <f>'Загальна'!S20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'Загальна'!C24</f>
        <v/>
      </c>
      <c r="D15" s="47" t="n">
        <v>6</v>
      </c>
      <c r="E15" s="48">
        <f>'Загальна'!E24</f>
        <v/>
      </c>
      <c r="F15" s="49">
        <f>'Загальна'!F24</f>
        <v/>
      </c>
      <c r="G15" s="49">
        <f>'Загальна'!G24</f>
        <v/>
      </c>
      <c r="H15" s="49">
        <f>'Загальна'!H24</f>
        <v/>
      </c>
      <c r="I15" s="49">
        <f>'Загальна'!I24</f>
        <v/>
      </c>
      <c r="J15" s="49">
        <f>'Загальна'!J24</f>
        <v/>
      </c>
      <c r="K15" s="49">
        <f>'Загальна'!K24</f>
        <v/>
      </c>
      <c r="L15" s="49">
        <f>'Загальна'!L24</f>
        <v/>
      </c>
      <c r="M15" s="49">
        <f>'Загальна'!M24</f>
        <v/>
      </c>
      <c r="N15" s="49">
        <f>'Загальна'!N24</f>
        <v/>
      </c>
      <c r="O15" s="49">
        <f>'Загальна'!O24</f>
        <v/>
      </c>
      <c r="P15" s="49">
        <f>'Загальна'!P24</f>
        <v/>
      </c>
      <c r="Q15" s="49">
        <f>'Загальна'!Q24</f>
        <v/>
      </c>
      <c r="R15" s="49">
        <f>'Загальна'!R24</f>
        <v/>
      </c>
      <c r="S15" s="49">
        <f>'Загальна'!S24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'Загальна'!C29</f>
        <v/>
      </c>
      <c r="D17" s="47" t="n">
        <v>8</v>
      </c>
      <c r="E17" s="48">
        <f>'Загальна'!E29</f>
        <v/>
      </c>
      <c r="F17" s="49">
        <f>'Загальна'!F29</f>
        <v/>
      </c>
      <c r="G17" s="49">
        <f>'Загальна'!G29</f>
        <v/>
      </c>
      <c r="H17" s="49">
        <f>'Загальна'!H29</f>
        <v/>
      </c>
      <c r="I17" s="49">
        <f>'Загальна'!I29</f>
        <v/>
      </c>
      <c r="J17" s="49">
        <f>'Загальна'!J29</f>
        <v/>
      </c>
      <c r="K17" s="49">
        <f>'Загальна'!K29</f>
        <v/>
      </c>
      <c r="L17" s="49">
        <f>'Загальна'!L29</f>
        <v/>
      </c>
      <c r="M17" s="49">
        <f>'Загальна'!M29</f>
        <v/>
      </c>
      <c r="N17" s="49">
        <f>'Загальна'!N29</f>
        <v/>
      </c>
      <c r="O17" s="49">
        <f>'Загальна'!O29</f>
        <v/>
      </c>
      <c r="P17" s="49">
        <f>'Загальна'!P29</f>
        <v/>
      </c>
      <c r="Q17" s="49">
        <f>'Загальна'!Q29</f>
        <v/>
      </c>
      <c r="R17" s="49">
        <f>'Загальна'!R29</f>
        <v/>
      </c>
      <c r="S17" s="49">
        <f>'Загальна'!S29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'Загальна'!C30</f>
        <v/>
      </c>
      <c r="D18" s="47" t="n">
        <v>9</v>
      </c>
      <c r="E18" s="48">
        <f>'Загальна'!E30</f>
        <v/>
      </c>
      <c r="F18" s="49">
        <f>'Загальна'!F30</f>
        <v/>
      </c>
      <c r="G18" s="49">
        <f>'Загальна'!G30</f>
        <v/>
      </c>
      <c r="H18" s="49">
        <f>'Загальна'!H30</f>
        <v/>
      </c>
      <c r="I18" s="49">
        <f>'Загальна'!I30</f>
        <v/>
      </c>
      <c r="J18" s="49">
        <f>'Загальна'!J30</f>
        <v/>
      </c>
      <c r="K18" s="49">
        <f>'Загальна'!K30</f>
        <v/>
      </c>
      <c r="L18" s="49">
        <f>'Загальна'!L30</f>
        <v/>
      </c>
      <c r="M18" s="49">
        <f>'Загальна'!M30</f>
        <v/>
      </c>
      <c r="N18" s="49">
        <f>'Загальна'!N30</f>
        <v/>
      </c>
      <c r="O18" s="49">
        <f>'Загальна'!O30</f>
        <v/>
      </c>
      <c r="P18" s="49">
        <f>'Загальна'!P30</f>
        <v/>
      </c>
      <c r="Q18" s="49">
        <f>'Загальна'!Q30</f>
        <v/>
      </c>
      <c r="R18" s="49">
        <f>'Загальна'!R30</f>
        <v/>
      </c>
      <c r="S18" s="49">
        <f>'Загальна'!S30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'Загальна'!C39</f>
        <v/>
      </c>
      <c r="D19" s="47" t="n">
        <v>10</v>
      </c>
      <c r="E19" s="48">
        <f>'Загальна'!E39</f>
        <v/>
      </c>
      <c r="F19" s="49">
        <f>'Загальна'!F39</f>
        <v/>
      </c>
      <c r="G19" s="49">
        <f>'Загальна'!G39</f>
        <v/>
      </c>
      <c r="H19" s="49">
        <f>'Загальна'!H39</f>
        <v/>
      </c>
      <c r="I19" s="49">
        <f>'Загальна'!I39</f>
        <v/>
      </c>
      <c r="J19" s="49">
        <f>'Загальна'!J39</f>
        <v/>
      </c>
      <c r="K19" s="49">
        <f>'Загальна'!K39</f>
        <v/>
      </c>
      <c r="L19" s="49">
        <f>'Загальна'!L39</f>
        <v/>
      </c>
      <c r="M19" s="49">
        <f>'Загальна'!M39</f>
        <v/>
      </c>
      <c r="N19" s="49">
        <f>'Загальна'!N39</f>
        <v/>
      </c>
      <c r="O19" s="49">
        <f>'Загальна'!O39</f>
        <v/>
      </c>
      <c r="P19" s="49">
        <f>'Загальна'!P39</f>
        <v/>
      </c>
      <c r="Q19" s="49">
        <f>'Загальна'!Q39</f>
        <v/>
      </c>
      <c r="R19" s="49">
        <f>'Загальна'!R39</f>
        <v/>
      </c>
      <c r="S19" s="49">
        <f>'Загальна'!S39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9">
        <f>IFERROR(AVERAGE($F20:S20),"Очікую")</f>
        <v/>
      </c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IFERROR(AVERAGE(F21:S21),"Очікую")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IFERROR(AVERAGE($F22:S22),"Очікую")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IF(COUNTIF($C$10:$C19,"=B")=0,IF(COUNTIF($C$10:$C19,"=K")=0,"Очікую",0),COUNTIF($C$10:$C19,"=B"))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IF(COUNTIF($C$10:$C19,"=K")=0,IF(COUNTIF($C$10:$C19,"=B")=0,"Очікую",0),COUNTIF($C$10:$C19,"=K"))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6" t="n"/>
      <c r="M26" s="6" t="n"/>
      <c r="N26" s="6" t="n"/>
      <c r="O26" s="56" t="n"/>
      <c r="P26" s="54">
        <f>'Загальна'!P51</f>
        <v/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6" t="n"/>
      <c r="M27" s="6" t="n"/>
      <c r="N27" s="6" t="n"/>
      <c r="O27" s="56" t="n"/>
      <c r="P27" s="52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IF(F25="Очікую","Очікую",IF(F25-COUNTIF($T$10:$T19," - ")&lt;ROUNDDOWN(F25*0.4,0),F25-COUNTIF($T$10:$T19," - "),ROUNDDOWN(F25*0.4,0)))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6" t="n"/>
      <c r="M28" s="6" t="n"/>
      <c r="N28" s="6" t="n"/>
      <c r="O28" s="56" t="n"/>
      <c r="P28" s="54" t="inlineStr">
        <is>
          <t>Margarita BRITIKOVA</t>
        </is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5" t="n"/>
      <c r="V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'Загальна'!C26</f>
        <v/>
      </c>
      <c r="D14" s="47" t="n">
        <v>5</v>
      </c>
      <c r="E14" s="48">
        <f>'Загальна'!E26</f>
        <v/>
      </c>
      <c r="F14" s="49">
        <f>'Загальна'!F26</f>
        <v/>
      </c>
      <c r="G14" s="49">
        <f>'Загальна'!G26</f>
        <v/>
      </c>
      <c r="H14" s="49">
        <f>'Загальна'!H26</f>
        <v/>
      </c>
      <c r="I14" s="49">
        <f>'Загальна'!I26</f>
        <v/>
      </c>
      <c r="J14" s="49">
        <f>'Загальна'!J26</f>
        <v/>
      </c>
      <c r="K14" s="49">
        <f>'Загальна'!K26</f>
        <v/>
      </c>
      <c r="L14" s="49">
        <f>'Загальна'!L26</f>
        <v/>
      </c>
      <c r="M14" s="49">
        <f>'Загальна'!M26</f>
        <v/>
      </c>
      <c r="N14" s="49">
        <f>'Загальна'!N26</f>
        <v/>
      </c>
      <c r="O14" s="49">
        <f>'Загальна'!O26</f>
        <v/>
      </c>
      <c r="P14" s="49">
        <f>'Загальна'!P26</f>
        <v/>
      </c>
      <c r="Q14" s="49">
        <f>'Загальна'!Q26</f>
        <v/>
      </c>
      <c r="R14" s="49">
        <f>'Загальна'!R26</f>
        <v/>
      </c>
      <c r="S14" s="49">
        <f>'Загальна'!S26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'Загальна'!C32</f>
        <v/>
      </c>
      <c r="D15" s="47" t="n">
        <v>6</v>
      </c>
      <c r="E15" s="48">
        <f>'Загальна'!E32</f>
        <v/>
      </c>
      <c r="F15" s="49">
        <f>'Загальна'!F32</f>
        <v/>
      </c>
      <c r="G15" s="49">
        <f>'Загальна'!G32</f>
        <v/>
      </c>
      <c r="H15" s="49">
        <f>'Загальна'!H32</f>
        <v/>
      </c>
      <c r="I15" s="49">
        <f>'Загальна'!I32</f>
        <v/>
      </c>
      <c r="J15" s="49">
        <f>'Загальна'!J32</f>
        <v/>
      </c>
      <c r="K15" s="49">
        <f>'Загальна'!K32</f>
        <v/>
      </c>
      <c r="L15" s="49">
        <f>'Загальна'!L32</f>
        <v/>
      </c>
      <c r="M15" s="49">
        <f>'Загальна'!M32</f>
        <v/>
      </c>
      <c r="N15" s="49">
        <f>'Загальна'!N32</f>
        <v/>
      </c>
      <c r="O15" s="49">
        <f>'Загальна'!O32</f>
        <v/>
      </c>
      <c r="P15" s="49">
        <f>'Загальна'!P32</f>
        <v/>
      </c>
      <c r="Q15" s="49">
        <f>'Загальна'!Q32</f>
        <v/>
      </c>
      <c r="R15" s="49">
        <f>'Загальна'!R32</f>
        <v/>
      </c>
      <c r="S15" s="49">
        <f>'Загальна'!S32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'Загальна'!C36</f>
        <v/>
      </c>
      <c r="D16" s="47" t="n">
        <v>7</v>
      </c>
      <c r="E16" s="48">
        <f>'Загальна'!E36</f>
        <v/>
      </c>
      <c r="F16" s="49">
        <f>'Загальна'!F36</f>
        <v/>
      </c>
      <c r="G16" s="49">
        <f>'Загальна'!G36</f>
        <v/>
      </c>
      <c r="H16" s="49">
        <f>'Загальна'!H36</f>
        <v/>
      </c>
      <c r="I16" s="49">
        <f>'Загальна'!I36</f>
        <v/>
      </c>
      <c r="J16" s="49">
        <f>'Загальна'!J36</f>
        <v/>
      </c>
      <c r="K16" s="49">
        <f>'Загальна'!K36</f>
        <v/>
      </c>
      <c r="L16" s="49">
        <f>'Загальна'!L36</f>
        <v/>
      </c>
      <c r="M16" s="49">
        <f>'Загальна'!M36</f>
        <v/>
      </c>
      <c r="N16" s="49">
        <f>'Загальна'!N36</f>
        <v/>
      </c>
      <c r="O16" s="49">
        <f>'Загальна'!O36</f>
        <v/>
      </c>
      <c r="P16" s="49">
        <f>'Загальна'!P36</f>
        <v/>
      </c>
      <c r="Q16" s="49">
        <f>'Загальна'!Q36</f>
        <v/>
      </c>
      <c r="R16" s="49">
        <f>'Загальна'!R36</f>
        <v/>
      </c>
      <c r="S16" s="49">
        <f>'Загальна'!S36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'Загальна'!C42</f>
        <v/>
      </c>
      <c r="D17" s="47" t="n">
        <v>8</v>
      </c>
      <c r="E17" s="48">
        <f>'Загальна'!E42</f>
        <v/>
      </c>
      <c r="F17" s="49">
        <f>'Загальна'!F42</f>
        <v/>
      </c>
      <c r="G17" s="49">
        <f>'Загальна'!G42</f>
        <v/>
      </c>
      <c r="H17" s="49">
        <f>'Загальна'!H42</f>
        <v/>
      </c>
      <c r="I17" s="49">
        <f>'Загальна'!I42</f>
        <v/>
      </c>
      <c r="J17" s="49">
        <f>'Загальна'!J42</f>
        <v/>
      </c>
      <c r="K17" s="49">
        <f>'Загальна'!K42</f>
        <v/>
      </c>
      <c r="L17" s="49">
        <f>'Загальна'!L42</f>
        <v/>
      </c>
      <c r="M17" s="49">
        <f>'Загальна'!M42</f>
        <v/>
      </c>
      <c r="N17" s="49">
        <f>'Загальна'!N42</f>
        <v/>
      </c>
      <c r="O17" s="49">
        <f>'Загальна'!O42</f>
        <v/>
      </c>
      <c r="P17" s="49">
        <f>'Загальна'!P42</f>
        <v/>
      </c>
      <c r="Q17" s="49">
        <f>'Загальна'!Q42</f>
        <v/>
      </c>
      <c r="R17" s="49">
        <f>'Загальна'!R42</f>
        <v/>
      </c>
      <c r="S17" s="49">
        <f>'Загальна'!S42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9">
        <f>IFERROR(AVERAGE($F18:S18),"Очікую")</f>
        <v/>
      </c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6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IFERROR(AVERAGE(F19:S19),"Очікую")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IFERROR(AVERAGE($F20:S20),"Очікую")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IF(COUNTIF($C$10:$C17,"=B")=0,IF(COUNTIF($C$10:$C17,"=K")=0,"Очікую",0),COUNTIF($C$10:$C17,"=B"))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2" t="n"/>
      <c r="R23" s="52" t="n"/>
      <c r="S23" s="52" t="n"/>
      <c r="T23" s="52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IF(COUNTIF($C$10:$C17,"=K")=0,IF(COUNTIF($C$10:$C17,"=B")=0,"Очікую",0),COUNTIF($C$10:$C17,"=K"))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6" t="n"/>
      <c r="M24" s="6" t="n"/>
      <c r="N24" s="6" t="n"/>
      <c r="O24" s="56" t="n"/>
      <c r="P24" s="54">
        <f>'Загальна'!P51</f>
        <v/>
      </c>
      <c r="Q24" s="54" t="n"/>
      <c r="R24" s="54" t="n"/>
      <c r="S24" s="54" t="n"/>
      <c r="T24" s="54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6" t="n"/>
      <c r="M25" s="6" t="n"/>
      <c r="N25" s="6" t="n"/>
      <c r="O25" s="56" t="n"/>
      <c r="P25" s="52" t="n"/>
      <c r="Q25" s="52" t="n"/>
      <c r="R25" s="52" t="n"/>
      <c r="S25" s="52" t="n"/>
      <c r="T25" s="52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IF(F23="Очікую","Очікую",IF(F23-COUNTIF($T$10:$T17," - ")&lt;ROUNDDOWN(F23*0.4,0),F23-COUNTIF($T$10:$T17," - "),ROUNDDOWN(F23*0.4,0)))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6" t="n"/>
      <c r="M26" s="6" t="n"/>
      <c r="N26" s="6" t="n"/>
      <c r="O26" s="56" t="n"/>
      <c r="P26" s="54" t="inlineStr">
        <is>
          <t>Margarita BRITIKOVA</t>
        </is>
      </c>
      <c r="Q26" s="54" t="n"/>
      <c r="R26" s="54" t="n"/>
      <c r="S26" s="54" t="n"/>
      <c r="T26" s="54" t="n"/>
      <c r="U26" s="20" t="n"/>
      <c r="V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5" t="n"/>
      <c r="V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««Автоматизація, комп'ютерно-інтегровані технології та робототехніка»»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'Загальна'!C17</f>
        <v/>
      </c>
      <c r="D13" s="47" t="n">
        <v>4</v>
      </c>
      <c r="E13" s="48">
        <f>'Загальна'!E17</f>
        <v/>
      </c>
      <c r="F13" s="49">
        <f>'Загальна'!F17</f>
        <v/>
      </c>
      <c r="G13" s="49">
        <f>'Загальна'!G17</f>
        <v/>
      </c>
      <c r="H13" s="49">
        <f>'Загальна'!H17</f>
        <v/>
      </c>
      <c r="I13" s="49">
        <f>'Загальна'!I17</f>
        <v/>
      </c>
      <c r="J13" s="49">
        <f>'Загальна'!J17</f>
        <v/>
      </c>
      <c r="K13" s="49">
        <f>'Загальна'!K17</f>
        <v/>
      </c>
      <c r="L13" s="49">
        <f>'Загальна'!L17</f>
        <v/>
      </c>
      <c r="M13" s="49">
        <f>'Загальна'!M17</f>
        <v/>
      </c>
      <c r="N13" s="49">
        <f>'Загальна'!N17</f>
        <v/>
      </c>
      <c r="O13" s="49">
        <f>'Загальна'!O17</f>
        <v/>
      </c>
      <c r="P13" s="49">
        <f>'Загальна'!P17</f>
        <v/>
      </c>
      <c r="Q13" s="49">
        <f>'Загальна'!Q17</f>
        <v/>
      </c>
      <c r="R13" s="49">
        <f>'Загальна'!R17</f>
        <v/>
      </c>
      <c r="S13" s="49">
        <f>'Загальна'!S17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'Загальна'!C23</f>
        <v/>
      </c>
      <c r="D14" s="47" t="n">
        <v>5</v>
      </c>
      <c r="E14" s="48">
        <f>'Загальна'!E23</f>
        <v/>
      </c>
      <c r="F14" s="49">
        <f>'Загальна'!F23</f>
        <v/>
      </c>
      <c r="G14" s="49">
        <f>'Загальна'!G23</f>
        <v/>
      </c>
      <c r="H14" s="49">
        <f>'Загальна'!H23</f>
        <v/>
      </c>
      <c r="I14" s="49">
        <f>'Загальна'!I23</f>
        <v/>
      </c>
      <c r="J14" s="49">
        <f>'Загальна'!J23</f>
        <v/>
      </c>
      <c r="K14" s="49">
        <f>'Загальна'!K23</f>
        <v/>
      </c>
      <c r="L14" s="49">
        <f>'Загальна'!L23</f>
        <v/>
      </c>
      <c r="M14" s="49">
        <f>'Загальна'!M23</f>
        <v/>
      </c>
      <c r="N14" s="49">
        <f>'Загальна'!N23</f>
        <v/>
      </c>
      <c r="O14" s="49">
        <f>'Загальна'!O23</f>
        <v/>
      </c>
      <c r="P14" s="49">
        <f>'Загальна'!P23</f>
        <v/>
      </c>
      <c r="Q14" s="49">
        <f>'Загальна'!Q23</f>
        <v/>
      </c>
      <c r="R14" s="49">
        <f>'Загальна'!R23</f>
        <v/>
      </c>
      <c r="S14" s="49">
        <f>'Загальна'!S23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'Загальна'!C27</f>
        <v/>
      </c>
      <c r="D15" s="47" t="n">
        <v>6</v>
      </c>
      <c r="E15" s="48">
        <f>'Загальна'!E27</f>
        <v/>
      </c>
      <c r="F15" s="49">
        <f>'Загальна'!F27</f>
        <v/>
      </c>
      <c r="G15" s="49">
        <f>'Загальна'!G27</f>
        <v/>
      </c>
      <c r="H15" s="49">
        <f>'Загальна'!H27</f>
        <v/>
      </c>
      <c r="I15" s="49">
        <f>'Загальна'!I27</f>
        <v/>
      </c>
      <c r="J15" s="49">
        <f>'Загальна'!J27</f>
        <v/>
      </c>
      <c r="K15" s="49">
        <f>'Загальна'!K27</f>
        <v/>
      </c>
      <c r="L15" s="49">
        <f>'Загальна'!L27</f>
        <v/>
      </c>
      <c r="M15" s="49">
        <f>'Загальна'!M27</f>
        <v/>
      </c>
      <c r="N15" s="49">
        <f>'Загальна'!N27</f>
        <v/>
      </c>
      <c r="O15" s="49">
        <f>'Загальна'!O27</f>
        <v/>
      </c>
      <c r="P15" s="49">
        <f>'Загальна'!P27</f>
        <v/>
      </c>
      <c r="Q15" s="49">
        <f>'Загальна'!Q27</f>
        <v/>
      </c>
      <c r="R15" s="49">
        <f>'Загальна'!R27</f>
        <v/>
      </c>
      <c r="S15" s="49">
        <f>'Загальна'!S27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'Загальна'!C28</f>
        <v/>
      </c>
      <c r="D16" s="47" t="n">
        <v>7</v>
      </c>
      <c r="E16" s="48">
        <f>'Загальна'!E28</f>
        <v/>
      </c>
      <c r="F16" s="49">
        <f>'Загальна'!F28</f>
        <v/>
      </c>
      <c r="G16" s="49">
        <f>'Загальна'!G28</f>
        <v/>
      </c>
      <c r="H16" s="49">
        <f>'Загальна'!H28</f>
        <v/>
      </c>
      <c r="I16" s="49">
        <f>'Загальна'!I28</f>
        <v/>
      </c>
      <c r="J16" s="49">
        <f>'Загальна'!J28</f>
        <v/>
      </c>
      <c r="K16" s="49">
        <f>'Загальна'!K28</f>
        <v/>
      </c>
      <c r="L16" s="49">
        <f>'Загальна'!L28</f>
        <v/>
      </c>
      <c r="M16" s="49">
        <f>'Загальна'!M28</f>
        <v/>
      </c>
      <c r="N16" s="49">
        <f>'Загальна'!N28</f>
        <v/>
      </c>
      <c r="O16" s="49">
        <f>'Загальна'!O28</f>
        <v/>
      </c>
      <c r="P16" s="49">
        <f>'Загальна'!P28</f>
        <v/>
      </c>
      <c r="Q16" s="49">
        <f>'Загальна'!Q28</f>
        <v/>
      </c>
      <c r="R16" s="49">
        <f>'Загальна'!R28</f>
        <v/>
      </c>
      <c r="S16" s="49">
        <f>'Загальна'!S28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'Загальна'!C37</f>
        <v/>
      </c>
      <c r="D21" s="47" t="n">
        <v>12</v>
      </c>
      <c r="E21" s="48">
        <f>'Загальна'!E37</f>
        <v/>
      </c>
      <c r="F21" s="49">
        <f>'Загальна'!F37</f>
        <v/>
      </c>
      <c r="G21" s="49">
        <f>'Загальна'!G37</f>
        <v/>
      </c>
      <c r="H21" s="49">
        <f>'Загальна'!H37</f>
        <v/>
      </c>
      <c r="I21" s="49">
        <f>'Загальна'!I37</f>
        <v/>
      </c>
      <c r="J21" s="49">
        <f>'Загальна'!J37</f>
        <v/>
      </c>
      <c r="K21" s="49">
        <f>'Загальна'!K37</f>
        <v/>
      </c>
      <c r="L21" s="49">
        <f>'Загальна'!L37</f>
        <v/>
      </c>
      <c r="M21" s="49">
        <f>'Загальна'!M37</f>
        <v/>
      </c>
      <c r="N21" s="49">
        <f>'Загальна'!N37</f>
        <v/>
      </c>
      <c r="O21" s="49">
        <f>'Загальна'!O37</f>
        <v/>
      </c>
      <c r="P21" s="49">
        <f>'Загальна'!P37</f>
        <v/>
      </c>
      <c r="Q21" s="49">
        <f>'Загальна'!Q37</f>
        <v/>
      </c>
      <c r="R21" s="49">
        <f>'Загальна'!R37</f>
        <v/>
      </c>
      <c r="S21" s="49">
        <f>'Загальна'!S37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'Загальна'!C40</f>
        <v/>
      </c>
      <c r="D23" s="47" t="n">
        <v>14</v>
      </c>
      <c r="E23" s="48">
        <f>'Загальна'!E40</f>
        <v/>
      </c>
      <c r="F23" s="49">
        <f>'Загальна'!F40</f>
        <v/>
      </c>
      <c r="G23" s="49">
        <f>'Загальна'!G40</f>
        <v/>
      </c>
      <c r="H23" s="49">
        <f>'Загальна'!H40</f>
        <v/>
      </c>
      <c r="I23" s="49">
        <f>'Загальна'!I40</f>
        <v/>
      </c>
      <c r="J23" s="49">
        <f>'Загальна'!J40</f>
        <v/>
      </c>
      <c r="K23" s="49">
        <f>'Загальна'!K40</f>
        <v/>
      </c>
      <c r="L23" s="49">
        <f>'Загальна'!L40</f>
        <v/>
      </c>
      <c r="M23" s="49">
        <f>'Загальна'!M40</f>
        <v/>
      </c>
      <c r="N23" s="49">
        <f>'Загальна'!N40</f>
        <v/>
      </c>
      <c r="O23" s="49">
        <f>'Загальна'!O40</f>
        <v/>
      </c>
      <c r="P23" s="49">
        <f>'Загальна'!P40</f>
        <v/>
      </c>
      <c r="Q23" s="49">
        <f>'Загальна'!Q40</f>
        <v/>
      </c>
      <c r="R23" s="49">
        <f>'Загальна'!R40</f>
        <v/>
      </c>
      <c r="S23" s="49">
        <f>'Загальна'!S40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'Загальна'!C41</f>
        <v/>
      </c>
      <c r="D24" s="47" t="n">
        <v>15</v>
      </c>
      <c r="E24" s="48">
        <f>'Загальна'!E41</f>
        <v/>
      </c>
      <c r="F24" s="49">
        <f>'Загальна'!F41</f>
        <v/>
      </c>
      <c r="G24" s="49">
        <f>'Загальна'!G41</f>
        <v/>
      </c>
      <c r="H24" s="49">
        <f>'Загальна'!H41</f>
        <v/>
      </c>
      <c r="I24" s="49">
        <f>'Загальна'!I41</f>
        <v/>
      </c>
      <c r="J24" s="49">
        <f>'Загальна'!J41</f>
        <v/>
      </c>
      <c r="K24" s="49">
        <f>'Загальна'!K41</f>
        <v/>
      </c>
      <c r="L24" s="49">
        <f>'Загальна'!L41</f>
        <v/>
      </c>
      <c r="M24" s="49">
        <f>'Загальна'!M41</f>
        <v/>
      </c>
      <c r="N24" s="49">
        <f>'Загальна'!N41</f>
        <v/>
      </c>
      <c r="O24" s="49">
        <f>'Загальна'!O41</f>
        <v/>
      </c>
      <c r="P24" s="49">
        <f>'Загальна'!P41</f>
        <v/>
      </c>
      <c r="Q24" s="49">
        <f>'Загальна'!Q41</f>
        <v/>
      </c>
      <c r="R24" s="49">
        <f>'Загальна'!R41</f>
        <v/>
      </c>
      <c r="S24" s="49">
        <f>'Загальна'!S41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'Загальна'!C43</f>
        <v/>
      </c>
      <c r="D25" s="47" t="n">
        <v>16</v>
      </c>
      <c r="E25" s="48">
        <f>'Загальна'!E43</f>
        <v/>
      </c>
      <c r="F25" s="49">
        <f>'Загальна'!F43</f>
        <v/>
      </c>
      <c r="G25" s="49">
        <f>'Загальна'!G43</f>
        <v/>
      </c>
      <c r="H25" s="49">
        <f>'Загальна'!H43</f>
        <v/>
      </c>
      <c r="I25" s="49">
        <f>'Загальна'!I43</f>
        <v/>
      </c>
      <c r="J25" s="49">
        <f>'Загальна'!J43</f>
        <v/>
      </c>
      <c r="K25" s="49">
        <f>'Загальна'!K43</f>
        <v/>
      </c>
      <c r="L25" s="49">
        <f>'Загальна'!L43</f>
        <v/>
      </c>
      <c r="M25" s="49">
        <f>'Загальна'!M43</f>
        <v/>
      </c>
      <c r="N25" s="49">
        <f>'Загальна'!N43</f>
        <v/>
      </c>
      <c r="O25" s="49">
        <f>'Загальна'!O43</f>
        <v/>
      </c>
      <c r="P25" s="49">
        <f>'Загальна'!P43</f>
        <v/>
      </c>
      <c r="Q25" s="49">
        <f>'Загальна'!Q43</f>
        <v/>
      </c>
      <c r="R25" s="49">
        <f>'Загальна'!R43</f>
        <v/>
      </c>
      <c r="S25" s="49">
        <f>'Загальна'!S43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'Загальна'!C44</f>
        <v/>
      </c>
      <c r="D26" s="47" t="n">
        <v>17</v>
      </c>
      <c r="E26" s="48">
        <f>'Загальна'!E44</f>
        <v/>
      </c>
      <c r="F26" s="49">
        <f>'Загальна'!F44</f>
        <v/>
      </c>
      <c r="G26" s="49">
        <f>'Загальна'!G44</f>
        <v/>
      </c>
      <c r="H26" s="49">
        <f>'Загальна'!H44</f>
        <v/>
      </c>
      <c r="I26" s="49">
        <f>'Загальна'!I44</f>
        <v/>
      </c>
      <c r="J26" s="49">
        <f>'Загальна'!J44</f>
        <v/>
      </c>
      <c r="K26" s="49">
        <f>'Загальна'!K44</f>
        <v/>
      </c>
      <c r="L26" s="49">
        <f>'Загальна'!L44</f>
        <v/>
      </c>
      <c r="M26" s="49">
        <f>'Загальна'!M44</f>
        <v/>
      </c>
      <c r="N26" s="49">
        <f>'Загальна'!N44</f>
        <v/>
      </c>
      <c r="O26" s="49">
        <f>'Загальна'!O44</f>
        <v/>
      </c>
      <c r="P26" s="49">
        <f>'Загальна'!P44</f>
        <v/>
      </c>
      <c r="Q26" s="49">
        <f>'Загальна'!Q44</f>
        <v/>
      </c>
      <c r="R26" s="49">
        <f>'Загальна'!R44</f>
        <v/>
      </c>
      <c r="S26" s="49">
        <f>'Загальна'!S44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9">
        <f>IFERROR(AVERAGE($F27:S27),"Очікую")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'Загальна'!P51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IF(F32="Очікую","Очікую",IF(F32-COUNTIF($T$10:$T26," - ")&lt;ROUNDDOWN(F32*0.4,0),F32-COUNTIF($T$10:$T26,"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Margarita BRITIKOVA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2026-06-17T18:39:09Z</dcterms:modified>
  <cp:lastModifiedBy>Maxim Surkov</cp:lastModifiedBy>
  <cp:lastPrinted>2026-01-07T15:30:50Z</cp:lastPrinted>
</cp:coreProperties>
</file>