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ЭтаКнига"/>
  <workbookProtection lockStructure="1" workbookAlgorithmName="SHA-512" workbookHashValue="xQo0fpBXc1NwzY3YcGmZQXySg+oVRoukHt0QRh89nrFrj9U3H4bYuaef3SAL0c4FfdEmb/nuL1mpJKA+lTtMTg==" workbookSaltValue="ZzotXy9bsgk1w5+A9hSCIA==" workbookSpinCount="100000"/>
  <bookViews>
    <workbookView visibility="visible" minimized="0" showHorizontalScroll="1" showVerticalScroll="1" showSheetTabs="1" xWindow="10905" yWindow="2655" windowWidth="19410" windowHeight="11640" tabRatio="600" firstSheet="0" activeTab="0" autoFilterDateGrouping="1"/>
  </bookViews>
  <sheets>
    <sheet xmlns:r="http://schemas.openxmlformats.org/officeDocument/2006/relationships" name="Дані" sheetId="1" state="visible" r:id="rId1"/>
    <sheet xmlns:r="http://schemas.openxmlformats.org/officeDocument/2006/relationships" name="ЗНО" sheetId="2" state="visible" r:id="rId2"/>
  </sheets>
  <definedNames>
    <definedName name="ЗНО">ЗНО!$A$1:$H$12</definedName>
    <definedName name="Контингент">#REF!</definedName>
    <definedName name="Семестр">#REF!</definedName>
    <definedName name="ЗНО" localSheetId="0">#REF!</definedName>
    <definedName name="Контингент" localSheetId="0">Дані!$T$1:$W$8</definedName>
    <definedName name="Семестр" localSheetId="0">Дані!$A$1:$T$34</definedName>
  </definedNames>
  <calcPr calcId="152511" calcMode="autoNoTable" fullCalcOnLoad="1"/>
</workbook>
</file>

<file path=xl/styles.xml><?xml version="1.0" encoding="utf-8"?>
<styleSheet xmlns="http://schemas.openxmlformats.org/spreadsheetml/2006/main">
  <numFmts count="0"/>
  <fonts count="13">
    <font>
      <name val="Arial"/>
      <color rgb="FF000000"/>
      <sz val="10"/>
      <scheme val="minor"/>
    </font>
    <font>
      <name val="Times New Roman"/>
      <charset val="204"/>
      <family val="1"/>
      <b val="1"/>
      <color theme="1"/>
      <sz val="16"/>
    </font>
    <font>
      <name val="Times New Roman"/>
      <charset val="204"/>
      <family val="1"/>
      <b val="1"/>
      <color theme="1"/>
      <sz val="15"/>
    </font>
    <font>
      <name val="Arial"/>
      <charset val="204"/>
      <family val="2"/>
      <color theme="0"/>
      <sz val="10"/>
      <scheme val="minor"/>
    </font>
    <font>
      <name val="Times New Roman"/>
      <charset val="204"/>
      <family val="1"/>
      <color theme="1"/>
      <sz val="14"/>
    </font>
    <font>
      <name val="Times New Roman"/>
      <charset val="204"/>
      <family val="1"/>
      <color theme="1"/>
      <sz val="11"/>
    </font>
    <font>
      <name val="Times New Roman"/>
      <charset val="204"/>
      <family val="1"/>
      <b val="1"/>
      <color theme="1"/>
      <sz val="11"/>
    </font>
    <font>
      <name val="Arial"/>
      <charset val="204"/>
      <family val="2"/>
      <sz val="10"/>
    </font>
    <font>
      <name val="Arial"/>
      <charset val="204"/>
      <family val="2"/>
      <color rgb="FF000000"/>
      <sz val="10"/>
      <scheme val="minor"/>
    </font>
    <font>
      <name val="Times New Roman"/>
      <charset val="204"/>
      <family val="1"/>
      <color rgb="FF000000"/>
      <sz val="14"/>
    </font>
    <font>
      <name val="Times New Roman"/>
      <charset val="204"/>
      <family val="1"/>
      <b val="1"/>
      <color rgb="FF000000"/>
      <sz val="14"/>
    </font>
    <font>
      <name val="Times New Roman"/>
      <charset val="204"/>
      <family val="1"/>
      <color rgb="FF000000"/>
      <sz val="10"/>
    </font>
    <font>
      <name val="Arial"/>
      <charset val="204"/>
      <family val="2"/>
      <color theme="0" tint="-0.249977111117893"/>
      <sz val="10"/>
      <scheme val="minor"/>
    </font>
  </fonts>
  <fills count="5">
    <fill>
      <patternFill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theme="0"/>
        <bgColor indexed="64"/>
      </patternFill>
    </fill>
  </fills>
  <borders count="66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/>
      <diagonal/>
    </border>
    <border>
      <left style="medium">
        <color indexed="64"/>
      </left>
      <right style="thin">
        <color rgb="FF000000"/>
      </right>
      <top/>
      <bottom/>
      <diagonal/>
    </border>
    <border>
      <left style="medium">
        <color indexed="64"/>
      </left>
      <right style="thin">
        <color rgb="FF000000"/>
      </right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/>
      <right/>
      <top/>
      <bottom style="medium">
        <color indexed="64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indexed="64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rgb="FF000000"/>
      </right>
      <top style="medium">
        <color indexed="64"/>
      </top>
      <bottom/>
      <diagonal/>
    </border>
    <border>
      <left/>
      <right/>
      <top style="medium">
        <color indexed="64"/>
      </top>
      <bottom style="thin">
        <color rgb="FF000000"/>
      </bottom>
      <diagonal/>
    </border>
    <border>
      <left/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109">
    <xf numFmtId="0" fontId="0" fillId="0" borderId="0" pivotButton="0" quotePrefix="0" xfId="0"/>
    <xf numFmtId="0" fontId="9" fillId="0" borderId="5" applyAlignment="1" pivotButton="0" quotePrefix="0" xfId="0">
      <alignment vertical="center"/>
    </xf>
    <xf numFmtId="0" fontId="9" fillId="0" borderId="9" applyAlignment="1" pivotButton="0" quotePrefix="0" xfId="0">
      <alignment vertical="center"/>
    </xf>
    <xf numFmtId="0" fontId="9" fillId="0" borderId="6" applyAlignment="1" pivotButton="0" quotePrefix="0" xfId="0">
      <alignment horizontal="center" vertical="center"/>
    </xf>
    <xf numFmtId="0" fontId="9" fillId="0" borderId="8" applyAlignment="1" pivotButton="0" quotePrefix="0" xfId="0">
      <alignment horizontal="center" vertical="center"/>
    </xf>
    <xf numFmtId="9" fontId="9" fillId="0" borderId="6" applyAlignment="1" pivotButton="0" quotePrefix="0" xfId="0">
      <alignment horizontal="center" vertical="center"/>
    </xf>
    <xf numFmtId="9" fontId="9" fillId="0" borderId="10" applyAlignment="1" pivotButton="0" quotePrefix="0" xfId="0">
      <alignment horizontal="center" vertical="center"/>
    </xf>
    <xf numFmtId="9" fontId="9" fillId="0" borderId="12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top" wrapText="1"/>
    </xf>
    <xf numFmtId="0" fontId="2" fillId="2" borderId="0" applyAlignment="1" pivotButton="0" quotePrefix="0" xfId="0">
      <alignment horizontal="center" vertical="center" wrapText="1"/>
    </xf>
    <xf numFmtId="0" fontId="0" fillId="2" borderId="0" pivotButton="0" quotePrefix="0" xfId="0"/>
    <xf numFmtId="0" fontId="3" fillId="2" borderId="0" pivotButton="0" quotePrefix="0" xfId="0"/>
    <xf numFmtId="0" fontId="10" fillId="0" borderId="13" applyAlignment="1" pivotButton="0" quotePrefix="0" xfId="0">
      <alignment horizontal="center" vertical="center"/>
    </xf>
    <xf numFmtId="0" fontId="10" fillId="0" borderId="14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 wrapText="1"/>
    </xf>
    <xf numFmtId="0" fontId="8" fillId="2" borderId="0" pivotButton="0" quotePrefix="0" xfId="0"/>
    <xf numFmtId="0" fontId="8" fillId="2" borderId="0" applyAlignment="1" pivotButton="0" quotePrefix="1" xfId="0">
      <alignment horizontal="center" vertical="center"/>
    </xf>
    <xf numFmtId="49" fontId="4" fillId="2" borderId="0" applyAlignment="1" pivotButton="0" quotePrefix="0" xfId="0">
      <alignment horizontal="center" vertical="center" wrapText="1"/>
    </xf>
    <xf numFmtId="0" fontId="11" fillId="0" borderId="36" applyAlignment="1" applyProtection="1" pivotButton="0" quotePrefix="0" xfId="0">
      <alignment horizontal="center" vertical="center"/>
      <protection locked="0" hidden="0"/>
    </xf>
    <xf numFmtId="0" fontId="11" fillId="0" borderId="37" applyAlignment="1" applyProtection="1" pivotButton="0" quotePrefix="0" xfId="0">
      <alignment horizontal="center" vertical="center"/>
      <protection locked="0" hidden="0"/>
    </xf>
    <xf numFmtId="0" fontId="11" fillId="0" borderId="38" applyAlignment="1" applyProtection="1" pivotButton="0" quotePrefix="0" xfId="0">
      <alignment horizontal="center" vertical="center"/>
      <protection locked="0" hidden="0"/>
    </xf>
    <xf numFmtId="0" fontId="11" fillId="2" borderId="35" applyAlignment="1" pivotButton="0" quotePrefix="0" xfId="0">
      <alignment horizontal="center" vertical="center"/>
    </xf>
    <xf numFmtId="0" fontId="0" fillId="2" borderId="35" pivotButton="0" quotePrefix="0" xfId="0"/>
    <xf numFmtId="0" fontId="8" fillId="2" borderId="35" pivotButton="0" quotePrefix="0" xfId="0"/>
    <xf numFmtId="0" fontId="11" fillId="0" borderId="38" applyAlignment="1" applyProtection="1" pivotButton="0" quotePrefix="0" xfId="0">
      <alignment horizontal="center" vertical="center"/>
      <protection locked="0" hidden="0"/>
    </xf>
    <xf numFmtId="0" fontId="12" fillId="2" borderId="0" applyAlignment="1" pivotButton="0" quotePrefix="0" xfId="0">
      <alignment horizontal="center" vertical="center"/>
    </xf>
    <xf numFmtId="49" fontId="11" fillId="0" borderId="36" applyAlignment="1" applyProtection="1" pivotButton="0" quotePrefix="0" xfId="0">
      <alignment horizontal="center" vertical="center"/>
      <protection locked="0" hidden="0"/>
    </xf>
    <xf numFmtId="1" fontId="9" fillId="0" borderId="7" applyAlignment="1" applyProtection="1" pivotButton="0" quotePrefix="0" xfId="0">
      <alignment horizontal="center" vertical="center"/>
      <protection locked="0" hidden="0"/>
    </xf>
    <xf numFmtId="0" fontId="5" fillId="2" borderId="0" applyAlignment="1" pivotButton="0" quotePrefix="0" xfId="0">
      <alignment vertical="center" wrapText="1"/>
    </xf>
    <xf numFmtId="0" fontId="9" fillId="2" borderId="0" applyAlignment="1" pivotButton="0" quotePrefix="0" xfId="0">
      <alignment horizontal="center" vertical="center"/>
    </xf>
    <xf numFmtId="0" fontId="9" fillId="2" borderId="0" applyAlignment="1" pivotButton="0" quotePrefix="0" xfId="0">
      <alignment vertical="center"/>
    </xf>
    <xf numFmtId="0" fontId="5" fillId="2" borderId="0" applyAlignment="1" pivotButton="0" quotePrefix="0" xfId="0">
      <alignment vertical="center"/>
    </xf>
    <xf numFmtId="0" fontId="9" fillId="2" borderId="16" applyAlignment="1" pivotButton="0" quotePrefix="0" xfId="0">
      <alignment horizontal="center" vertical="center"/>
    </xf>
    <xf numFmtId="9" fontId="9" fillId="2" borderId="16" applyAlignment="1" pivotButton="0" quotePrefix="0" xfId="0">
      <alignment horizontal="center" vertical="center"/>
    </xf>
    <xf numFmtId="9" fontId="9" fillId="2" borderId="0" applyAlignment="1" pivotButton="0" quotePrefix="0" xfId="0">
      <alignment horizontal="center" vertical="center"/>
    </xf>
    <xf numFmtId="0" fontId="11" fillId="2" borderId="35" applyAlignment="1" applyProtection="1" pivotButton="0" quotePrefix="0" xfId="0">
      <alignment horizontal="center" vertical="center"/>
      <protection locked="1" hidden="1"/>
    </xf>
    <xf numFmtId="0" fontId="0" fillId="2" borderId="35" applyProtection="1" pivotButton="0" quotePrefix="0" xfId="0">
      <protection locked="1" hidden="1"/>
    </xf>
    <xf numFmtId="0" fontId="11" fillId="3" borderId="37" applyAlignment="1" applyProtection="1" pivotButton="0" quotePrefix="0" xfId="0">
      <alignment horizontal="center" vertical="center"/>
      <protection locked="1" hidden="1"/>
    </xf>
    <xf numFmtId="0" fontId="11" fillId="3" borderId="17" applyAlignment="1" applyProtection="1" pivotButton="0" quotePrefix="0" xfId="0">
      <alignment horizontal="center" vertical="center"/>
      <protection locked="1" hidden="1"/>
    </xf>
    <xf numFmtId="10" fontId="11" fillId="3" borderId="36" applyAlignment="1" applyProtection="1" pivotButton="0" quotePrefix="0" xfId="0">
      <alignment horizontal="center" vertical="center"/>
      <protection locked="1" hidden="1"/>
    </xf>
    <xf numFmtId="10" fontId="11" fillId="3" borderId="37" applyAlignment="1" applyProtection="1" pivotButton="0" quotePrefix="0" xfId="0">
      <alignment horizontal="center" vertical="center"/>
      <protection locked="1" hidden="1"/>
    </xf>
    <xf numFmtId="0" fontId="11" fillId="3" borderId="38" applyAlignment="1" applyProtection="1" pivotButton="0" quotePrefix="0" xfId="0">
      <alignment horizontal="center" vertical="center"/>
      <protection locked="1" hidden="1"/>
    </xf>
    <xf numFmtId="1" fontId="9" fillId="3" borderId="7" applyAlignment="1" applyProtection="1" pivotButton="0" quotePrefix="0" xfId="0">
      <alignment horizontal="center" vertical="center"/>
      <protection locked="1" hidden="1"/>
    </xf>
    <xf numFmtId="1" fontId="9" fillId="3" borderId="11" applyAlignment="1" applyProtection="1" pivotButton="0" quotePrefix="0" xfId="0">
      <alignment horizontal="center" vertical="center"/>
      <protection locked="1" hidden="1"/>
    </xf>
    <xf numFmtId="9" fontId="9" fillId="0" borderId="8" applyAlignment="1" pivotButton="0" quotePrefix="0" xfId="0">
      <alignment horizontal="center" vertical="center"/>
    </xf>
    <xf numFmtId="0" fontId="9" fillId="0" borderId="40" applyAlignment="1" pivotButton="0" quotePrefix="0" xfId="0">
      <alignment horizontal="center" vertical="center"/>
    </xf>
    <xf numFmtId="9" fontId="9" fillId="0" borderId="41" applyAlignment="1" pivotButton="0" quotePrefix="0" xfId="0">
      <alignment horizontal="center" vertical="center"/>
    </xf>
    <xf numFmtId="9" fontId="9" fillId="0" borderId="42" applyAlignment="1" pivotButton="0" quotePrefix="0" xfId="0">
      <alignment horizontal="center" vertical="center"/>
    </xf>
    <xf numFmtId="0" fontId="9" fillId="0" borderId="43" applyAlignment="1" pivotButton="0" quotePrefix="0" xfId="0">
      <alignment horizontal="center" vertical="center"/>
    </xf>
    <xf numFmtId="9" fontId="9" fillId="0" borderId="43" applyAlignment="1" pivotButton="0" quotePrefix="0" xfId="0">
      <alignment horizontal="center" vertical="center"/>
    </xf>
    <xf numFmtId="9" fontId="9" fillId="0" borderId="39" applyAlignment="1" pivotButton="0" quotePrefix="0" xfId="0">
      <alignment horizontal="center" vertical="center"/>
    </xf>
    <xf numFmtId="10" fontId="9" fillId="3" borderId="7" applyAlignment="1" applyProtection="1" pivotButton="0" quotePrefix="0" xfId="0">
      <alignment horizontal="center" vertical="center"/>
      <protection locked="1" hidden="1"/>
    </xf>
    <xf numFmtId="0" fontId="9" fillId="0" borderId="46" applyAlignment="1" pivotButton="0" quotePrefix="0" xfId="0">
      <alignment vertical="center"/>
    </xf>
    <xf numFmtId="2" fontId="9" fillId="3" borderId="47" applyAlignment="1" applyProtection="1" pivotButton="0" quotePrefix="0" xfId="0">
      <alignment horizontal="center" vertical="center"/>
      <protection locked="1" hidden="1"/>
    </xf>
    <xf numFmtId="2" fontId="11" fillId="0" borderId="17" applyAlignment="1" applyProtection="1" pivotButton="0" quotePrefix="0" xfId="0">
      <alignment horizontal="center" vertical="center"/>
      <protection locked="0" hidden="0"/>
    </xf>
    <xf numFmtId="10" fontId="9" fillId="3" borderId="11" applyAlignment="1" applyProtection="1" pivotButton="0" quotePrefix="0" xfId="0">
      <alignment horizontal="center" vertical="center"/>
      <protection locked="1" hidden="1"/>
    </xf>
    <xf numFmtId="0" fontId="2" fillId="0" borderId="44" applyAlignment="1" pivotButton="0" quotePrefix="0" xfId="0">
      <alignment horizontal="center" vertical="center" wrapText="1"/>
    </xf>
    <xf numFmtId="0" fontId="9" fillId="4" borderId="45" applyAlignment="1" pivotButton="0" quotePrefix="0" xfId="0">
      <alignment horizontal="center" vertical="center"/>
    </xf>
    <xf numFmtId="0" fontId="9" fillId="4" borderId="4" applyAlignment="1" pivotButton="0" quotePrefix="0" xfId="0">
      <alignment horizontal="center" vertical="center"/>
    </xf>
    <xf numFmtId="0" fontId="5" fillId="0" borderId="19" applyAlignment="1" pivotButton="0" quotePrefix="0" xfId="0">
      <alignment horizontal="center" vertical="center" wrapText="1"/>
    </xf>
    <xf numFmtId="0" fontId="5" fillId="0" borderId="21" applyAlignment="1" pivotButton="0" quotePrefix="0" xfId="0">
      <alignment horizontal="center" vertical="center" wrapText="1"/>
    </xf>
    <xf numFmtId="0" fontId="5" fillId="0" borderId="23" applyAlignment="1" pivotButton="0" quotePrefix="0" xfId="0">
      <alignment horizontal="center" vertical="center" wrapText="1"/>
    </xf>
    <xf numFmtId="0" fontId="6" fillId="0" borderId="18" applyAlignment="1" pivotButton="0" quotePrefix="0" xfId="0">
      <alignment horizontal="center" vertical="center" wrapText="1"/>
    </xf>
    <xf numFmtId="0" fontId="7" fillId="0" borderId="27" pivotButton="0" quotePrefix="0" xfId="0"/>
    <xf numFmtId="0" fontId="7" fillId="0" borderId="28" pivotButton="0" quotePrefix="0" xfId="0"/>
    <xf numFmtId="0" fontId="5" fillId="0" borderId="32" applyAlignment="1" pivotButton="0" quotePrefix="0" xfId="0">
      <alignment horizontal="center" vertical="center" wrapText="1"/>
    </xf>
    <xf numFmtId="0" fontId="7" fillId="0" borderId="33" pivotButton="0" quotePrefix="0" xfId="0"/>
    <xf numFmtId="0" fontId="7" fillId="0" borderId="34" pivotButton="0" quotePrefix="0" xfId="0"/>
    <xf numFmtId="0" fontId="5" fillId="0" borderId="29" applyAlignment="1" pivotButton="0" quotePrefix="0" xfId="0">
      <alignment horizontal="center" vertical="center" wrapText="1"/>
    </xf>
    <xf numFmtId="0" fontId="7" fillId="0" borderId="31" pivotButton="0" quotePrefix="0" xfId="0"/>
    <xf numFmtId="0" fontId="5" fillId="0" borderId="18" applyAlignment="1" pivotButton="0" quotePrefix="0" xfId="0">
      <alignment horizontal="center" vertical="center" wrapText="1"/>
    </xf>
    <xf numFmtId="0" fontId="7" fillId="0" borderId="20" pivotButton="0" quotePrefix="0" xfId="0"/>
    <xf numFmtId="0" fontId="7" fillId="0" borderId="22" pivotButton="0" quotePrefix="0" xfId="0"/>
    <xf numFmtId="0" fontId="5" fillId="0" borderId="24" applyAlignment="1" pivotButton="0" quotePrefix="0" xfId="0">
      <alignment horizontal="center" vertical="center" wrapText="1"/>
    </xf>
    <xf numFmtId="0" fontId="5" fillId="0" borderId="25" applyAlignment="1" pivotButton="0" quotePrefix="0" xfId="0">
      <alignment horizontal="center" vertical="center" wrapText="1"/>
    </xf>
    <xf numFmtId="0" fontId="5" fillId="0" borderId="26" applyAlignment="1" pivotButton="0" quotePrefix="0" xfId="0">
      <alignment horizontal="center" vertical="center" wrapText="1"/>
    </xf>
    <xf numFmtId="0" fontId="5" fillId="0" borderId="32" applyAlignment="1" pivotButton="0" quotePrefix="0" xfId="0">
      <alignment horizontal="center" vertical="center" wrapText="1"/>
    </xf>
    <xf numFmtId="0" fontId="7" fillId="0" borderId="33" pivotButton="0" quotePrefix="0" xfId="0"/>
    <xf numFmtId="0" fontId="7" fillId="0" borderId="34" pivotButton="0" quotePrefix="0" xfId="0"/>
    <xf numFmtId="0" fontId="5" fillId="0" borderId="20" applyAlignment="1" pivotButton="0" quotePrefix="0" xfId="0">
      <alignment horizontal="center" vertical="center" wrapText="1"/>
    </xf>
    <xf numFmtId="0" fontId="5" fillId="0" borderId="6" applyAlignment="1" pivotButton="0" quotePrefix="0" xfId="0">
      <alignment horizontal="center" vertical="center" wrapText="1"/>
    </xf>
    <xf numFmtId="0" fontId="7" fillId="0" borderId="30" pivotButton="0" quotePrefix="0" xfId="0"/>
    <xf numFmtId="0" fontId="5" fillId="0" borderId="28" applyAlignment="1" pivotButton="0" quotePrefix="0" xfId="0">
      <alignment horizontal="center" vertical="center" wrapText="1"/>
    </xf>
    <xf numFmtId="0" fontId="7" fillId="0" borderId="29" pivotButton="0" quotePrefix="0" xfId="0"/>
    <xf numFmtId="0" fontId="9" fillId="0" borderId="1" applyAlignment="1" pivotButton="0" quotePrefix="0" xfId="0">
      <alignment horizontal="center" vertical="center"/>
    </xf>
    <xf numFmtId="0" fontId="7" fillId="0" borderId="15" pivotButton="0" quotePrefix="0" xfId="0"/>
    <xf numFmtId="0" fontId="9" fillId="0" borderId="2" applyAlignment="1" pivotButton="0" quotePrefix="0" xfId="0">
      <alignment horizontal="center" vertical="center"/>
    </xf>
    <xf numFmtId="0" fontId="7" fillId="0" borderId="3" pivotButton="0" quotePrefix="0" xfId="0"/>
    <xf numFmtId="0" fontId="7" fillId="0" borderId="4" pivotButton="0" quotePrefix="0" xfId="0"/>
    <xf numFmtId="0" fontId="0" fillId="0" borderId="44" pivotButton="0" quotePrefix="0" xfId="0"/>
    <xf numFmtId="0" fontId="5" fillId="0" borderId="57" applyAlignment="1" pivotButton="0" quotePrefix="0" xfId="0">
      <alignment horizontal="center" vertical="center" wrapText="1"/>
    </xf>
    <xf numFmtId="0" fontId="5" fillId="0" borderId="64" applyAlignment="1" pivotButton="0" quotePrefix="0" xfId="0">
      <alignment horizontal="center" vertical="center" wrapText="1"/>
    </xf>
    <xf numFmtId="0" fontId="0" fillId="0" borderId="60" pivotButton="0" quotePrefix="0" xfId="0"/>
    <xf numFmtId="0" fontId="0" fillId="0" borderId="61" pivotButton="0" quotePrefix="0" xfId="0"/>
    <xf numFmtId="0" fontId="0" fillId="0" borderId="25" pivotButton="0" quotePrefix="0" xfId="0"/>
    <xf numFmtId="0" fontId="0" fillId="0" borderId="21" pivotButton="0" quotePrefix="0" xfId="0"/>
    <xf numFmtId="0" fontId="0" fillId="0" borderId="62" pivotButton="0" quotePrefix="0" xfId="0"/>
    <xf numFmtId="0" fontId="0" fillId="0" borderId="52" pivotButton="0" quotePrefix="0" xfId="0"/>
    <xf numFmtId="0" fontId="0" fillId="0" borderId="23" pivotButton="0" quotePrefix="0" xfId="0"/>
    <xf numFmtId="0" fontId="0" fillId="0" borderId="26" pivotButton="0" quotePrefix="0" xfId="0"/>
    <xf numFmtId="0" fontId="0" fillId="0" borderId="50" pivotButton="0" quotePrefix="0" xfId="0"/>
    <xf numFmtId="0" fontId="0" fillId="0" borderId="53" pivotButton="0" quotePrefix="0" xfId="0"/>
    <xf numFmtId="0" fontId="0" fillId="0" borderId="63" pivotButton="0" quotePrefix="0" xfId="0"/>
    <xf numFmtId="0" fontId="9" fillId="4" borderId="54" applyAlignment="1" pivotButton="0" quotePrefix="0" xfId="0">
      <alignment horizontal="center" vertical="center"/>
    </xf>
    <xf numFmtId="0" fontId="0" fillId="0" borderId="4" pivotButton="0" quotePrefix="0" xfId="0"/>
    <xf numFmtId="0" fontId="9" fillId="0" borderId="13" applyAlignment="1" pivotButton="0" quotePrefix="0" xfId="0">
      <alignment horizontal="center" vertical="center"/>
    </xf>
    <xf numFmtId="0" fontId="9" fillId="0" borderId="14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15" pivotButton="0" quotePrefix="0" xfId="0"/>
  </cellXfs>
  <cellStyles count="1">
    <cellStyle name="Обычный" xfId="0" builtinId="0"/>
  </cellStyles>
  <dxfs count="2">
    <dxf>
      <border>
        <bottom style="thin">
          <color auto="1"/>
        </bottom>
        <vertical/>
        <horizontal/>
      </border>
    </dxf>
    <dxf>
      <font>
        <color theme="0" tint="-0.249946592608417"/>
      </font>
      <fill>
        <patternFill>
          <bgColor theme="0" tint="-0.249946592608417"/>
        </patternFill>
      </fill>
      <border>
        <left/>
        <right/>
        <bottom/>
        <vertical/>
        <horizontal/>
      </border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003FBC"/>
    <outlinePr summaryBelow="0" summaryRight="0"/>
    <pageSetUpPr/>
  </sheetPr>
  <dimension ref="A1:X45"/>
  <sheetViews>
    <sheetView showGridLines="0" tabSelected="1" zoomScale="70" zoomScaleNormal="70" workbookViewId="0">
      <selection activeCell="A1" sqref="A1"/>
    </sheetView>
  </sheetViews>
  <sheetFormatPr baseColWidth="8" defaultColWidth="0" defaultRowHeight="0" customHeight="1" zeroHeight="1" thickBottom="1"/>
  <cols>
    <col width="1.42578125" customWidth="1" style="10" min="1" max="1"/>
    <col width="8.7109375" customWidth="1" style="22" min="2" max="2"/>
    <col width="8.7109375" customWidth="1" style="36" min="3" max="3"/>
    <col width="9.7109375" customWidth="1" style="22" min="4" max="5"/>
    <col width="11.7109375" customWidth="1" style="22" min="6" max="7"/>
    <col width="9.7109375" customWidth="1" style="22" min="8" max="15"/>
    <col width="10.7109375" customWidth="1" style="22" min="16" max="16"/>
    <col width="11.7109375" customWidth="1" style="22" min="17" max="18"/>
    <col width="10.7109375" customWidth="1" style="22" min="19" max="19"/>
    <col width="1.42578125" customWidth="1" style="10" min="20" max="20"/>
    <col width="15.7109375" customWidth="1" style="10" min="21" max="22"/>
    <col width="1.42578125" customWidth="1" style="25" min="23" max="23"/>
    <col hidden="1" width="2.28515625" customWidth="1" style="10" min="24" max="24"/>
    <col hidden="1" width="9.140625" customWidth="1" style="10" min="25" max="16384"/>
  </cols>
  <sheetData>
    <row r="1" ht="7.5" customHeight="1" thickBot="1">
      <c r="A1" s="8" t="n"/>
      <c r="B1" s="9" t="n"/>
      <c r="C1" s="9" t="n"/>
      <c r="D1" s="9" t="n"/>
      <c r="E1" s="9" t="n"/>
      <c r="F1" s="9" t="n"/>
      <c r="G1" s="9" t="n"/>
      <c r="H1" s="9" t="n"/>
      <c r="I1" s="9" t="n"/>
      <c r="J1" s="9" t="n"/>
      <c r="K1" s="9" t="n"/>
      <c r="L1" s="9" t="n"/>
      <c r="M1" s="9" t="n"/>
      <c r="N1" s="9" t="n"/>
      <c r="O1" s="9" t="n"/>
      <c r="P1" s="9" t="n"/>
      <c r="Q1" s="9" t="n"/>
      <c r="R1" s="9" t="n"/>
      <c r="S1" s="9" t="n"/>
      <c r="X1" s="11" t="n"/>
    </row>
    <row r="2" ht="24.95" customHeight="1" thickBot="1">
      <c r="A2" s="8" t="n"/>
      <c r="B2" s="56" t="inlineStr">
        <is>
          <t>Дані за семестр</t>
        </is>
      </c>
      <c r="C2" s="89" t="n"/>
      <c r="D2" s="89" t="n"/>
      <c r="E2" s="89" t="n"/>
      <c r="F2" s="89" t="n"/>
      <c r="G2" s="89" t="n"/>
      <c r="H2" s="89" t="n"/>
      <c r="I2" s="89" t="n"/>
      <c r="J2" s="89" t="n"/>
      <c r="K2" s="89" t="n"/>
      <c r="L2" s="89" t="n"/>
      <c r="M2" s="89" t="n"/>
      <c r="N2" s="89" t="n"/>
      <c r="O2" s="89" t="n"/>
      <c r="P2" s="89" t="n"/>
      <c r="Q2" s="89" t="n"/>
      <c r="R2" s="89" t="n"/>
      <c r="S2" s="89" t="n"/>
      <c r="U2" s="12" t="inlineStr">
        <is>
          <t>Розділ</t>
        </is>
      </c>
      <c r="V2" s="13" t="inlineStr">
        <is>
          <t>Кількість</t>
        </is>
      </c>
      <c r="X2" s="11" t="n"/>
    </row>
    <row r="3" ht="24.95" customHeight="1">
      <c r="A3" s="14" t="n"/>
      <c r="B3" s="70" t="inlineStr">
        <is>
          <t>Група</t>
        </is>
      </c>
      <c r="C3" s="90" t="inlineStr">
        <is>
          <t>Всього</t>
        </is>
      </c>
      <c r="D3" s="91" t="inlineStr">
        <is>
          <t>Бюджет</t>
        </is>
      </c>
      <c r="E3" s="90" t="inlineStr">
        <is>
          <t>Контракт</t>
        </is>
      </c>
      <c r="F3" s="91" t="inlineStr">
        <is>
          <t>Академічна
стипендія</t>
        </is>
      </c>
      <c r="G3" s="90" t="inlineStr">
        <is>
          <t>Соціальна
стипендія</t>
        </is>
      </c>
      <c r="H3" s="62" t="inlineStr">
        <is>
          <t>Кількість студентів</t>
        </is>
      </c>
      <c r="I3" s="92" t="n"/>
      <c r="J3" s="92" t="n"/>
      <c r="K3" s="93" t="n"/>
      <c r="L3" s="62" t="inlineStr">
        <is>
          <t>Рівень навчальних досягнень</t>
        </is>
      </c>
      <c r="M3" s="92" t="n"/>
      <c r="N3" s="92" t="n"/>
      <c r="O3" s="93" t="n"/>
      <c r="P3" s="76" t="inlineStr">
        <is>
          <t>Кількість
боржників</t>
        </is>
      </c>
      <c r="Q3" s="70" t="inlineStr">
        <is>
          <t>Абсолютна
успішність</t>
        </is>
      </c>
      <c r="R3" s="82" t="inlineStr">
        <is>
          <t>Якісна
успішність</t>
        </is>
      </c>
      <c r="S3" s="76" t="inlineStr">
        <is>
          <t>Середній
бал</t>
        </is>
      </c>
      <c r="U3" s="1" t="inlineStr">
        <is>
          <t>Всього</t>
        </is>
      </c>
      <c r="V3" s="42">
        <f>IF(COUNTIF(D6:E6,"")=0,SUM(D6:E34),"")</f>
        <v/>
      </c>
      <c r="X3" s="15" t="n"/>
    </row>
    <row r="4" ht="24.95" customHeight="1">
      <c r="A4" s="14" t="n"/>
      <c r="B4" s="94" t="n"/>
      <c r="C4" s="95" t="n"/>
      <c r="D4" s="94" t="n"/>
      <c r="E4" s="95" t="n"/>
      <c r="F4" s="94" t="n"/>
      <c r="G4" s="95" t="n"/>
      <c r="H4" s="79" t="inlineStr">
        <is>
          <t>на початок</t>
        </is>
      </c>
      <c r="I4" s="80" t="inlineStr">
        <is>
          <t>прибуло</t>
        </is>
      </c>
      <c r="J4" s="80" t="inlineStr">
        <is>
          <t>вибуло</t>
        </is>
      </c>
      <c r="K4" s="68" t="inlineStr">
        <is>
          <t>на кінець</t>
        </is>
      </c>
      <c r="L4" s="79" t="inlineStr">
        <is>
          <t>високий
(10-12)</t>
        </is>
      </c>
      <c r="M4" s="80" t="inlineStr">
        <is>
          <t>достатній
(7-9)</t>
        </is>
      </c>
      <c r="N4" s="80" t="inlineStr">
        <is>
          <t>середній
(5-6)</t>
        </is>
      </c>
      <c r="O4" s="68" t="inlineStr">
        <is>
          <t>низький
(1-4)</t>
        </is>
      </c>
      <c r="P4" s="96" t="n"/>
      <c r="Q4" s="94" t="n"/>
      <c r="R4" s="95" t="n"/>
      <c r="S4" s="96" t="n"/>
      <c r="U4" s="1" t="inlineStr">
        <is>
          <t>Денна</t>
        </is>
      </c>
      <c r="V4" s="27" t="n">
        <v>90</v>
      </c>
    </row>
    <row r="5" ht="24.95" customHeight="1" thickBot="1">
      <c r="A5" s="14" t="n"/>
      <c r="B5" s="97" t="n"/>
      <c r="C5" s="98" t="n"/>
      <c r="D5" s="99" t="n"/>
      <c r="E5" s="98" t="n"/>
      <c r="F5" s="99" t="n"/>
      <c r="G5" s="98" t="n"/>
      <c r="H5" s="97" t="n"/>
      <c r="I5" s="100" t="n"/>
      <c r="J5" s="100" t="n"/>
      <c r="K5" s="101" t="n"/>
      <c r="L5" s="97" t="n"/>
      <c r="M5" s="100" t="n"/>
      <c r="N5" s="100" t="n"/>
      <c r="O5" s="101" t="n"/>
      <c r="P5" s="102" t="n"/>
      <c r="Q5" s="97" t="n"/>
      <c r="R5" s="101" t="n"/>
      <c r="S5" s="102" t="n"/>
      <c r="U5" s="1" t="inlineStr">
        <is>
          <t>Бюджет</t>
        </is>
      </c>
      <c r="V5" s="42">
        <f>IF(D6="","",SUM(D6:D34))</f>
        <v/>
      </c>
      <c r="W5" s="25" t="inlineStr">
        <is>
          <t>+</t>
        </is>
      </c>
      <c r="X5" s="16" t="n"/>
    </row>
    <row r="6" ht="24.95" customHeight="1" thickBot="1">
      <c r="A6" s="17" t="n"/>
      <c r="B6" s="26" t="inlineStr">
        <is>
          <t>26-1</t>
        </is>
      </c>
      <c r="C6" s="37">
        <f>IF(COUNTIF(D6:E6,"")&gt;0,"",D6+E6)</f>
        <v/>
      </c>
      <c r="D6" s="18" t="n">
        <v>24</v>
      </c>
      <c r="E6" s="19" t="n">
        <v>31</v>
      </c>
      <c r="F6" s="18" t="n">
        <v>8</v>
      </c>
      <c r="G6" s="19" t="n">
        <v>0</v>
      </c>
      <c r="H6" s="18" t="n">
        <v>55</v>
      </c>
      <c r="I6" s="24" t="n">
        <v>0</v>
      </c>
      <c r="J6" s="41">
        <f>IF(H6="","",IF(I6="","",IF(K6="","",H6+I6-K6)))</f>
        <v/>
      </c>
      <c r="K6" s="37">
        <f>IF(D6="","",IF(E6="","",D6+E6))</f>
        <v/>
      </c>
      <c r="L6" s="18" t="n">
        <v>0</v>
      </c>
      <c r="M6" s="24" t="n">
        <v>28</v>
      </c>
      <c r="N6" s="24" t="n">
        <v>6</v>
      </c>
      <c r="O6" s="19" t="n">
        <v>0</v>
      </c>
      <c r="P6" s="38">
        <f>IF(COUNTIF(K6:O6,"")&gt;0,"",K6-SUM(L6:O6))</f>
        <v/>
      </c>
      <c r="Q6" s="39">
        <f>IF(COUNTIF(K6:M6,"")&gt;0,"",SUM(L6:O6)/K6)</f>
        <v/>
      </c>
      <c r="R6" s="40">
        <f>IF(COUNTIF(K6:M6,"")&gt;0,"",SUM(L6:M6)/K6)</f>
        <v/>
      </c>
      <c r="S6" s="54" t="n">
        <v>7.62</v>
      </c>
      <c r="U6" s="1" t="inlineStr">
        <is>
          <t>Контракт</t>
        </is>
      </c>
      <c r="V6" s="42">
        <f>IF(E6="","",SUM(E6:E34))</f>
        <v/>
      </c>
      <c r="W6" s="25">
        <f>IF(COUNTIF($B$6:$S$6,"")&gt;0,"",IF(COUNTIF($D$6:$S$6,"=*")&gt;0,"","+"))</f>
        <v/>
      </c>
    </row>
    <row r="7" ht="24.95" customHeight="1" thickBot="1">
      <c r="A7" s="17" t="n"/>
      <c r="B7" s="26" t="inlineStr">
        <is>
          <t>26-2</t>
        </is>
      </c>
      <c r="C7" s="37">
        <f>IF(COUNTIF(D7:E7,"")&gt;0,"",D7+E7)</f>
        <v/>
      </c>
      <c r="D7" s="18" t="n">
        <v>29</v>
      </c>
      <c r="E7" s="19" t="n">
        <v>6</v>
      </c>
      <c r="F7" s="18" t="n">
        <v>11</v>
      </c>
      <c r="G7" s="19" t="n">
        <v>0</v>
      </c>
      <c r="H7" s="18" t="n">
        <v>35</v>
      </c>
      <c r="I7" s="24" t="n">
        <v>0</v>
      </c>
      <c r="J7" s="41">
        <f>IF(H7="","",IF(I7="","",IF(K7="","",H7+I7-K7)))</f>
        <v/>
      </c>
      <c r="K7" s="37">
        <f>IF(D7="","",IF(E7="","",D7+E7))</f>
        <v/>
      </c>
      <c r="L7" s="18" t="n">
        <v>1</v>
      </c>
      <c r="M7" s="24" t="n">
        <v>10</v>
      </c>
      <c r="N7" s="24" t="n">
        <v>17</v>
      </c>
      <c r="O7" s="19" t="n">
        <v>0</v>
      </c>
      <c r="P7" s="38">
        <f>IF(COUNTIF(K7:O7,"")&gt;0,"",K7-SUM(L7:O7))</f>
        <v/>
      </c>
      <c r="Q7" s="39">
        <f>IF(COUNTIF(K7:M7,"")&gt;0,"",SUM(L7:O7)/K7)</f>
        <v/>
      </c>
      <c r="R7" s="40">
        <f>IF(COUNTIF(K7:M7,"")&gt;0,"",SUM(L7:M7)/K7)</f>
        <v/>
      </c>
      <c r="S7" s="54" t="n">
        <v>7.01</v>
      </c>
      <c r="U7" s="2" t="inlineStr">
        <is>
          <t>Заочна</t>
        </is>
      </c>
      <c r="V7" s="43">
        <f>IF(COUNTIF(V3:V4,"")=0,V3-V4,"")</f>
        <v/>
      </c>
      <c r="W7" s="25">
        <f>IF(COUNTIF($B$7:$S$7,"")&gt;0,"",IF(COUNTIF($D$7:$S$7,"=*")&gt;0,"",IF(W6="+","+","")))</f>
        <v/>
      </c>
    </row>
    <row r="8" ht="24.95" customHeight="1" thickBot="1">
      <c r="A8" s="17" t="n"/>
      <c r="B8" s="26" t="n"/>
      <c r="C8" s="37">
        <f>IF(COUNTIF(D8:E8,"")&gt;0,"",D8+E8)</f>
        <v/>
      </c>
      <c r="D8" s="18" t="n"/>
      <c r="E8" s="19" t="n"/>
      <c r="F8" s="18" t="n"/>
      <c r="G8" s="19" t="n"/>
      <c r="H8" s="18" t="n"/>
      <c r="I8" s="24" t="n"/>
      <c r="J8" s="41">
        <f>IF(H8="","",IF(I8="","",IF(K8="","",H8+I8-K8)))</f>
        <v/>
      </c>
      <c r="K8" s="37">
        <f>IF(D8="","",IF(E8="","",D8+E8))</f>
        <v/>
      </c>
      <c r="L8" s="18" t="n"/>
      <c r="M8" s="24" t="n"/>
      <c r="N8" s="24" t="n"/>
      <c r="O8" s="19" t="n"/>
      <c r="P8" s="38">
        <f>IF(COUNTIF(K8:O8,"")&gt;0,"",K8-SUM(L8:O8))</f>
        <v/>
      </c>
      <c r="Q8" s="39">
        <f>IF(COUNTIF(K8:M8,"")&gt;0,"",SUM(L8:O8)/K8)</f>
        <v/>
      </c>
      <c r="R8" s="40">
        <f>IF(COUNTIF(K8:M8,"")&gt;0,"",SUM(L8:M8)/K8)</f>
        <v/>
      </c>
      <c r="S8" s="54" t="n"/>
      <c r="W8" s="25">
        <f>IF(COUNTIF($B$8:$S$8,"")&gt;0,"",IF(COUNTIF($D$8:$S$8,"=*")&gt;0,"",IF(W7="+","+","")))</f>
        <v/>
      </c>
    </row>
    <row r="9" ht="24.95" customHeight="1" thickBot="1">
      <c r="A9" s="17" t="n"/>
      <c r="B9" s="26" t="n"/>
      <c r="C9" s="37">
        <f>IF(COUNTIF(D9:E9,"")&gt;0,"",D9+E9)</f>
        <v/>
      </c>
      <c r="D9" s="18" t="n"/>
      <c r="E9" s="19" t="n"/>
      <c r="F9" s="18" t="n"/>
      <c r="G9" s="19" t="n"/>
      <c r="H9" s="18" t="n"/>
      <c r="I9" s="24" t="n"/>
      <c r="J9" s="41">
        <f>IF(H9="","",IF(I9="","",IF(K9="","",H9+I9-K9)))</f>
        <v/>
      </c>
      <c r="K9" s="37">
        <f>IF(D9="","",IF(E9="","",D9+E9))</f>
        <v/>
      </c>
      <c r="L9" s="18" t="n"/>
      <c r="M9" s="24" t="n"/>
      <c r="N9" s="24" t="n"/>
      <c r="O9" s="19" t="n"/>
      <c r="P9" s="38">
        <f>IF(COUNTIF(K9:O9,"")&gt;0,"",K9-SUM(L9:O9))</f>
        <v/>
      </c>
      <c r="Q9" s="39">
        <f>IF(COUNTIF(K9:M9,"")&gt;0,"",SUM(L9:O9)/K9)</f>
        <v/>
      </c>
      <c r="R9" s="40">
        <f>IF(COUNTIF(K9:M9,"")&gt;0,"",SUM(L9:M9)/K9)</f>
        <v/>
      </c>
      <c r="S9" s="54" t="n"/>
      <c r="U9" s="103" t="inlineStr">
        <is>
          <t>Стипендія</t>
        </is>
      </c>
      <c r="V9" s="104" t="n"/>
      <c r="W9" s="25">
        <f>IF(COUNTIF($B$9:$S$9,"")&gt;0,"",IF(COUNTIF($D$9:$S$9,"=*")&gt;0,"",IF(W8="+","+","")))</f>
        <v/>
      </c>
    </row>
    <row r="10" ht="24.95" customHeight="1" thickBot="1">
      <c r="A10" s="17" t="n"/>
      <c r="B10" s="26" t="n"/>
      <c r="C10" s="37">
        <f>IF(COUNTIF(D10:E10,"")&gt;0,"",D10+E10)</f>
        <v/>
      </c>
      <c r="D10" s="18" t="n"/>
      <c r="E10" s="19" t="n"/>
      <c r="F10" s="18" t="n"/>
      <c r="G10" s="19" t="n"/>
      <c r="H10" s="18" t="n"/>
      <c r="I10" s="24" t="n"/>
      <c r="J10" s="41">
        <f>IF(H10="","",IF(I10="","",IF(K10="","",H10+I10-K10)))</f>
        <v/>
      </c>
      <c r="K10" s="37">
        <f>IF(D10="","",IF(E10="","",D10+E10))</f>
        <v/>
      </c>
      <c r="L10" s="18" t="n"/>
      <c r="M10" s="24" t="n"/>
      <c r="N10" s="24" t="n"/>
      <c r="O10" s="19" t="n"/>
      <c r="P10" s="38">
        <f>IF(COUNTIF(K10:O10,"")&gt;0,"",K10-SUM(L10:O10))</f>
        <v/>
      </c>
      <c r="Q10" s="39">
        <f>IF(COUNTIF(K10:M10,"")&gt;0,"",SUM(L10:O10)/K10)</f>
        <v/>
      </c>
      <c r="R10" s="40">
        <f>IF(COUNTIF(K10:M10,"")&gt;0,"",SUM(L10:M10)/K10)</f>
        <v/>
      </c>
      <c r="S10" s="54" t="n"/>
      <c r="U10" s="1" t="inlineStr">
        <is>
          <t>академічна</t>
        </is>
      </c>
      <c r="V10" s="42">
        <f>IF(F6="","",SUM(F6:F34))</f>
        <v/>
      </c>
      <c r="W10" s="25">
        <f>IF(COUNTIF($B$10:$S$10,"")&gt;0,"",IF(COUNTIF($D$10:$S$10,"=*")&gt;0,"",IF(W9="+","+","")))</f>
        <v/>
      </c>
    </row>
    <row r="11" ht="24.95" customHeight="1" thickBot="1">
      <c r="A11" s="17" t="n"/>
      <c r="B11" s="26" t="n"/>
      <c r="C11" s="37">
        <f>IF(COUNTIF(D11:E11,"")&gt;0,"",D11+E11)</f>
        <v/>
      </c>
      <c r="D11" s="18" t="n"/>
      <c r="E11" s="19" t="n"/>
      <c r="F11" s="18" t="n"/>
      <c r="G11" s="19" t="n"/>
      <c r="H11" s="18" t="n"/>
      <c r="I11" s="24" t="n"/>
      <c r="J11" s="41">
        <f>IF(H11="","",IF(I11="","",IF(K11="","",H11+I11-K11)))</f>
        <v/>
      </c>
      <c r="K11" s="37">
        <f>IF(D11="","",IF(E11="","",D11+E11))</f>
        <v/>
      </c>
      <c r="L11" s="18" t="n"/>
      <c r="M11" s="24" t="n"/>
      <c r="N11" s="24" t="n"/>
      <c r="O11" s="19" t="n"/>
      <c r="P11" s="38">
        <f>IF(COUNTIF(K11:O11,"")&gt;0,"",K11-SUM(L11:O11))</f>
        <v/>
      </c>
      <c r="Q11" s="39">
        <f>IF(COUNTIF(K11:M11,"")&gt;0,"",SUM(L11:O11)/K11)</f>
        <v/>
      </c>
      <c r="R11" s="40">
        <f>IF(COUNTIF(K11:M11,"")&gt;0,"",SUM(L11:M11)/K11)</f>
        <v/>
      </c>
      <c r="S11" s="54" t="n"/>
      <c r="U11" s="2" t="inlineStr">
        <is>
          <t>соціальна</t>
        </is>
      </c>
      <c r="V11" s="43">
        <f>IF(G6="","",SUM(G6:G34))</f>
        <v/>
      </c>
      <c r="W11" s="25">
        <f>IF(COUNTIF($B$11:$S$11,"")&gt;0,"",IF(COUNTIF($D$11:$S$11,"=*")&gt;0,"",IF(W10="+","+","")))</f>
        <v/>
      </c>
    </row>
    <row r="12" ht="24.95" customHeight="1" thickBot="1">
      <c r="A12" s="17" t="n"/>
      <c r="B12" s="26" t="n"/>
      <c r="C12" s="37">
        <f>IF(COUNTIF(D12:E12,"")&gt;0,"",D12+E12)</f>
        <v/>
      </c>
      <c r="D12" s="18" t="n"/>
      <c r="E12" s="19" t="n"/>
      <c r="F12" s="18" t="n"/>
      <c r="G12" s="19" t="n"/>
      <c r="H12" s="18" t="n"/>
      <c r="I12" s="24" t="n"/>
      <c r="J12" s="41">
        <f>IF(H12="","",IF(I12="","",IF(K12="","",H12+I12-K12)))</f>
        <v/>
      </c>
      <c r="K12" s="37">
        <f>IF(D12="","",IF(E12="","",D12+E12))</f>
        <v/>
      </c>
      <c r="L12" s="18" t="n"/>
      <c r="M12" s="24" t="n"/>
      <c r="N12" s="24" t="n"/>
      <c r="O12" s="19" t="n"/>
      <c r="P12" s="38">
        <f>IF(COUNTIF(K12:O12,"")&gt;0,"",K12-SUM(L12:O12))</f>
        <v/>
      </c>
      <c r="Q12" s="39">
        <f>IF(COUNTIF(K12:M12,"")&gt;0,"",SUM(L12:O12)/K12)</f>
        <v/>
      </c>
      <c r="R12" s="40">
        <f>IF(COUNTIF(K12:M12,"")&gt;0,"",SUM(L12:M12)/K12)</f>
        <v/>
      </c>
      <c r="S12" s="54" t="n"/>
      <c r="U12" s="103" t="inlineStr">
        <is>
          <t>Кількість студентів</t>
        </is>
      </c>
      <c r="V12" s="104" t="n"/>
      <c r="W12" s="25">
        <f>IF(COUNTIF($B$12:$S$12,"")&gt;0,"",IF(COUNTIF($D$12:$S$12,"=*")&gt;0,"",IF(W11="+","+","")))</f>
        <v/>
      </c>
    </row>
    <row r="13" ht="24.95" customHeight="1" thickBot="1">
      <c r="A13" s="17" t="n"/>
      <c r="B13" s="26" t="n"/>
      <c r="C13" s="37">
        <f>IF(COUNTIF(D13:E13,"")&gt;0,"",D13+E13)</f>
        <v/>
      </c>
      <c r="D13" s="18" t="n"/>
      <c r="E13" s="19" t="n"/>
      <c r="F13" s="18" t="n"/>
      <c r="G13" s="19" t="n"/>
      <c r="H13" s="18" t="n"/>
      <c r="I13" s="24" t="n"/>
      <c r="J13" s="41">
        <f>IF(H13="","",IF(I13="","",IF(K13="","",H13+I13-K13)))</f>
        <v/>
      </c>
      <c r="K13" s="37">
        <f>IF(D13="","",IF(E13="","",D13+E13))</f>
        <v/>
      </c>
      <c r="L13" s="18" t="n"/>
      <c r="M13" s="24" t="n"/>
      <c r="N13" s="24" t="n"/>
      <c r="O13" s="19" t="n"/>
      <c r="P13" s="38">
        <f>IF(COUNTIF(K13:O13,"")&gt;0,"",K13-SUM(L13:O13))</f>
        <v/>
      </c>
      <c r="Q13" s="39">
        <f>IF(COUNTIF(K13:M13,"")&gt;0,"",SUM(L13:O13)/K13)</f>
        <v/>
      </c>
      <c r="R13" s="40">
        <f>IF(COUNTIF(K13:M13,"")&gt;0,"",SUM(L13:M13)/K13)</f>
        <v/>
      </c>
      <c r="S13" s="54" t="n"/>
      <c r="U13" s="1" t="inlineStr">
        <is>
          <t>на початок</t>
        </is>
      </c>
      <c r="V13" s="42">
        <f>IF(H6="","",SUM(H6:H34))</f>
        <v/>
      </c>
      <c r="W13" s="25">
        <f>IF(COUNTIF($B$13:$S$13,"")&gt;0,"",IF(COUNTIF($D$13:$S$13,"=*")&gt;0,"",IF(W12="+","+","")))</f>
        <v/>
      </c>
    </row>
    <row r="14" ht="24.95" customHeight="1" thickBot="1">
      <c r="A14" s="17" t="n"/>
      <c r="B14" s="26" t="n"/>
      <c r="C14" s="37">
        <f>IF(COUNTIF(D14:E14,"")&gt;0,"",D14+E14)</f>
        <v/>
      </c>
      <c r="D14" s="18" t="n"/>
      <c r="E14" s="19" t="n"/>
      <c r="F14" s="18" t="n"/>
      <c r="G14" s="19" t="n"/>
      <c r="H14" s="18" t="n"/>
      <c r="I14" s="24" t="n"/>
      <c r="J14" s="41">
        <f>IF(H14="","",IF(I14="","",IF(K14="","",H14+I14-K14)))</f>
        <v/>
      </c>
      <c r="K14" s="37">
        <f>IF(D14="","",IF(E14="","",D14+E14))</f>
        <v/>
      </c>
      <c r="L14" s="18" t="n"/>
      <c r="M14" s="24" t="n"/>
      <c r="N14" s="24" t="n"/>
      <c r="O14" s="19" t="n"/>
      <c r="P14" s="38">
        <f>IF(COUNTIF(K14:O14,"")&gt;0,"",K14-SUM(L14:O14))</f>
        <v/>
      </c>
      <c r="Q14" s="39">
        <f>IF(COUNTIF(K14:M14,"")&gt;0,"",SUM(L14:O14)/K14)</f>
        <v/>
      </c>
      <c r="R14" s="40">
        <f>IF(COUNTIF(K14:M14,"")&gt;0,"",SUM(L14:M14)/K14)</f>
        <v/>
      </c>
      <c r="S14" s="54" t="n"/>
      <c r="U14" s="1" t="inlineStr">
        <is>
          <t>прибуло</t>
        </is>
      </c>
      <c r="V14" s="42">
        <f>IF(I6="","",SUM(I6:I34))</f>
        <v/>
      </c>
      <c r="W14" s="25">
        <f>IF(COUNTIF($B$14:$S$14,"")&gt;0,"",IF(COUNTIF($D$14:$S$14,"=*")&gt;0,"",IF(W13="+","+","")))</f>
        <v/>
      </c>
    </row>
    <row r="15" ht="24.95" customHeight="1" thickBot="1">
      <c r="A15" s="17" t="n"/>
      <c r="B15" s="26" t="n"/>
      <c r="C15" s="37">
        <f>IF(COUNTIF(D15:E15,"")&gt;0,"",D15+E15)</f>
        <v/>
      </c>
      <c r="D15" s="18" t="n"/>
      <c r="E15" s="19" t="n"/>
      <c r="F15" s="18" t="n"/>
      <c r="G15" s="19" t="n"/>
      <c r="H15" s="18" t="n"/>
      <c r="I15" s="24" t="n"/>
      <c r="J15" s="41">
        <f>IF(H15="","",IF(I15="","",IF(K15="","",H15+I15-K15)))</f>
        <v/>
      </c>
      <c r="K15" s="37">
        <f>IF(D15="","",IF(E15="","",D15+E15))</f>
        <v/>
      </c>
      <c r="L15" s="18" t="n"/>
      <c r="M15" s="24" t="n"/>
      <c r="N15" s="24" t="n"/>
      <c r="O15" s="19" t="n"/>
      <c r="P15" s="38">
        <f>IF(COUNTIF(K15:O15,"")&gt;0,"",K15-SUM(L15:O15))</f>
        <v/>
      </c>
      <c r="Q15" s="39">
        <f>IF(COUNTIF(K15:M15,"")&gt;0,"",SUM(L15:O15)/K15)</f>
        <v/>
      </c>
      <c r="R15" s="40">
        <f>IF(COUNTIF(K15:M15,"")&gt;0,"",SUM(L15:M15)/K15)</f>
        <v/>
      </c>
      <c r="S15" s="54" t="n"/>
      <c r="U15" s="1" t="inlineStr">
        <is>
          <t>вибуло</t>
        </is>
      </c>
      <c r="V15" s="42">
        <f>IF(J6="","",SUM(J6:J34))</f>
        <v/>
      </c>
      <c r="W15" s="25">
        <f>IF(COUNTIF($B$15:$S$15,"")&gt;0,"",IF(COUNTIF($D$15:$S$15,"=*")&gt;0,"",IF(W14="+","+","")))</f>
        <v/>
      </c>
    </row>
    <row r="16" ht="24.95" customHeight="1" thickBot="1">
      <c r="A16" s="17" t="n"/>
      <c r="B16" s="26" t="n"/>
      <c r="C16" s="37">
        <f>IF(COUNTIF(D16:E16,"")&gt;0,"",D16+E16)</f>
        <v/>
      </c>
      <c r="D16" s="18" t="n"/>
      <c r="E16" s="19" t="n"/>
      <c r="F16" s="18" t="n"/>
      <c r="G16" s="19" t="n"/>
      <c r="H16" s="18" t="n"/>
      <c r="I16" s="24" t="n"/>
      <c r="J16" s="41">
        <f>IF(H16="","",IF(I16="","",IF(K16="","",H16+I16-K16)))</f>
        <v/>
      </c>
      <c r="K16" s="37">
        <f>IF(D16="","",IF(E16="","",D16+E16))</f>
        <v/>
      </c>
      <c r="L16" s="18" t="n"/>
      <c r="M16" s="24" t="n"/>
      <c r="N16" s="24" t="n"/>
      <c r="O16" s="19" t="n"/>
      <c r="P16" s="38">
        <f>IF(COUNTIF(K16:O16,"")&gt;0,"",K16-SUM(L16:O16))</f>
        <v/>
      </c>
      <c r="Q16" s="39">
        <f>IF(COUNTIF(K16:M16,"")&gt;0,"",SUM(L16:O16)/K16)</f>
        <v/>
      </c>
      <c r="R16" s="40">
        <f>IF(COUNTIF(K16:M16,"")&gt;0,"",SUM(L16:M16)/K16)</f>
        <v/>
      </c>
      <c r="S16" s="54" t="n"/>
      <c r="U16" s="1" t="inlineStr">
        <is>
          <t>на кінець</t>
        </is>
      </c>
      <c r="V16" s="42">
        <f>IF(K6="","",SUM(K6:K34))</f>
        <v/>
      </c>
      <c r="W16" s="25">
        <f>IF(COUNTIF($B$16:$S$16,"")&gt;0,"",IF(COUNTIF($D$16:$S$16,"=*")&gt;0,"",IF(W15="+","+","")))</f>
        <v/>
      </c>
    </row>
    <row r="17" ht="24.95" customHeight="1" thickBot="1">
      <c r="A17" s="17" t="n"/>
      <c r="B17" s="26" t="n"/>
      <c r="C17" s="37">
        <f>IF(COUNTIF(D17:E17,"")&gt;0,"",D17+E17)</f>
        <v/>
      </c>
      <c r="D17" s="18" t="n"/>
      <c r="E17" s="19" t="n"/>
      <c r="F17" s="18" t="n"/>
      <c r="G17" s="19" t="n"/>
      <c r="H17" s="18" t="n"/>
      <c r="I17" s="24" t="n"/>
      <c r="J17" s="41">
        <f>IF(H17="","",IF(I17="","",IF(K17="","",H17+I17-K17)))</f>
        <v/>
      </c>
      <c r="K17" s="37">
        <f>IF(D17="","",IF(E17="","",D17+E17))</f>
        <v/>
      </c>
      <c r="L17" s="18" t="n"/>
      <c r="M17" s="24" t="n"/>
      <c r="N17" s="24" t="n"/>
      <c r="O17" s="19" t="n"/>
      <c r="P17" s="38">
        <f>IF(COUNTIF(K17:O17,"")&gt;0,"",K17-SUM(L17:O17))</f>
        <v/>
      </c>
      <c r="Q17" s="39">
        <f>IF(COUNTIF(K17:M17,"")&gt;0,"",SUM(L17:O17)/K17)</f>
        <v/>
      </c>
      <c r="R17" s="40">
        <f>IF(COUNTIF(K17:M17,"")&gt;0,"",SUM(L17:M17)/K17)</f>
        <v/>
      </c>
      <c r="S17" s="54" t="n"/>
      <c r="U17" s="2" t="inlineStr">
        <is>
          <t>боржників</t>
        </is>
      </c>
      <c r="V17" s="43">
        <f>IF(P6="","",SUM(P6:P34))</f>
        <v/>
      </c>
      <c r="W17" s="25">
        <f>IF(COUNTIF($B$17:$S$17,"")&gt;0,"",IF(COUNTIF($D$17:$S$17,"=*")&gt;0,"",IF(W16="+","+","")))</f>
        <v/>
      </c>
    </row>
    <row r="18" ht="24.95" customHeight="1" thickBot="1">
      <c r="A18" s="17" t="n"/>
      <c r="B18" s="26" t="n"/>
      <c r="C18" s="37">
        <f>IF(COUNTIF(D18:E18,"")&gt;0,"",D18+E18)</f>
        <v/>
      </c>
      <c r="D18" s="18" t="n"/>
      <c r="E18" s="19" t="n"/>
      <c r="F18" s="18" t="n"/>
      <c r="G18" s="19" t="n"/>
      <c r="H18" s="18" t="n"/>
      <c r="I18" s="24" t="n"/>
      <c r="J18" s="41">
        <f>IF(H18="","",IF(I18="","",IF(K18="","",H18+I18-K18)))</f>
        <v/>
      </c>
      <c r="K18" s="37">
        <f>IF(D18="","",IF(E18="","",D18+E18))</f>
        <v/>
      </c>
      <c r="L18" s="18" t="n"/>
      <c r="M18" s="24" t="n"/>
      <c r="N18" s="24" t="n"/>
      <c r="O18" s="19" t="n"/>
      <c r="P18" s="38">
        <f>IF(COUNTIF(K18:O18,"")&gt;0,"",K18-SUM(L18:O18))</f>
        <v/>
      </c>
      <c r="Q18" s="39">
        <f>IF(COUNTIF(K18:M18,"")&gt;0,"",SUM(L18:O18)/K18)</f>
        <v/>
      </c>
      <c r="R18" s="40">
        <f>IF(COUNTIF(K18:M18,"")&gt;0,"",SUM(L18:M18)/K18)</f>
        <v/>
      </c>
      <c r="S18" s="54" t="n"/>
      <c r="U18" s="103" t="inlineStr">
        <is>
          <t>Успішність</t>
        </is>
      </c>
      <c r="V18" s="104" t="n"/>
      <c r="W18" s="25">
        <f>IF(COUNTIF($B$18:$S$18,"")&gt;0,"",IF(COUNTIF($D$18:$S$18,"=*")&gt;0,"",IF(W17="+","+","")))</f>
        <v/>
      </c>
    </row>
    <row r="19" ht="24.95" customHeight="1" thickBot="1">
      <c r="A19" s="17" t="n"/>
      <c r="B19" s="26" t="n"/>
      <c r="C19" s="37">
        <f>IF(COUNTIF(D19:E19,"")&gt;0,"",D19+E19)</f>
        <v/>
      </c>
      <c r="D19" s="18" t="n"/>
      <c r="E19" s="19" t="n"/>
      <c r="F19" s="18" t="n"/>
      <c r="G19" s="19" t="n"/>
      <c r="H19" s="18" t="n"/>
      <c r="I19" s="24" t="n"/>
      <c r="J19" s="41">
        <f>IF(H19="","",IF(I19="","",IF(K19="","",H19+I19-K19)))</f>
        <v/>
      </c>
      <c r="K19" s="37">
        <f>IF(D19="","",IF(E19="","",D19+E19))</f>
        <v/>
      </c>
      <c r="L19" s="18" t="n"/>
      <c r="M19" s="24" t="n"/>
      <c r="N19" s="24" t="n"/>
      <c r="O19" s="19" t="n"/>
      <c r="P19" s="38">
        <f>IF(COUNTIF(K19:O19,"")&gt;0,"",K19-SUM(L19:O19))</f>
        <v/>
      </c>
      <c r="Q19" s="39">
        <f>IF(COUNTIF(K19:M19,"")&gt;0,"",SUM(L19:O19)/K19)</f>
        <v/>
      </c>
      <c r="R19" s="40">
        <f>IF(COUNTIF(K19:M19,"")&gt;0,"",SUM(L19:M19)/K19)</f>
        <v/>
      </c>
      <c r="S19" s="54" t="n"/>
      <c r="U19" s="1" t="inlineStr">
        <is>
          <t>абсолютна</t>
        </is>
      </c>
      <c r="V19" s="51">
        <f>IF(Q6="","",AVERAGE(Q6:Q34))</f>
        <v/>
      </c>
      <c r="W19" s="25">
        <f>IF(COUNTIF($B$19:$S$19,"")&gt;0,"",IF(COUNTIF($D$19:$S$19,"=*")&gt;0,"",IF(W18="+","+","")))</f>
        <v/>
      </c>
    </row>
    <row r="20" ht="24.95" customHeight="1" thickBot="1">
      <c r="A20" s="17" t="n"/>
      <c r="B20" s="26" t="n"/>
      <c r="C20" s="37">
        <f>IF(COUNTIF(D20:E20,"")&gt;0,"",D20+E20)</f>
        <v/>
      </c>
      <c r="D20" s="18" t="n"/>
      <c r="E20" s="19" t="n"/>
      <c r="F20" s="18" t="n"/>
      <c r="G20" s="19" t="n"/>
      <c r="H20" s="18" t="n"/>
      <c r="I20" s="24" t="n"/>
      <c r="J20" s="41">
        <f>IF(H20="","",IF(I20="","",IF(K20="","",H20+I20-K20)))</f>
        <v/>
      </c>
      <c r="K20" s="37">
        <f>IF(D20="","",IF(E20="","",D20+E20))</f>
        <v/>
      </c>
      <c r="L20" s="18" t="n"/>
      <c r="M20" s="24" t="n"/>
      <c r="N20" s="24" t="n"/>
      <c r="O20" s="19" t="n"/>
      <c r="P20" s="38">
        <f>IF(COUNTIF(K20:O20,"")&gt;0,"",K20-SUM(L20:O20))</f>
        <v/>
      </c>
      <c r="Q20" s="39">
        <f>IF(COUNTIF(K20:M20,"")&gt;0,"",SUM(L20:O20)/K20)</f>
        <v/>
      </c>
      <c r="R20" s="40">
        <f>IF(COUNTIF(K20:M20,"")&gt;0,"",SUM(L20:M20)/K20)</f>
        <v/>
      </c>
      <c r="S20" s="54" t="n"/>
      <c r="U20" s="2" t="inlineStr">
        <is>
          <t>якісна</t>
        </is>
      </c>
      <c r="V20" s="55">
        <f>IF(R6="","",AVERAGE(R6:R34))</f>
        <v/>
      </c>
      <c r="W20" s="25">
        <f>IF(COUNTIF($B$20:$S$20,"")&gt;0,"",IF(COUNTIF($D$20:$S$20,"=*")&gt;0,"",IF(W19="+","+","")))</f>
        <v/>
      </c>
    </row>
    <row r="21" ht="24.95" customHeight="1" thickBot="1">
      <c r="A21" s="17" t="n"/>
      <c r="B21" s="26" t="n"/>
      <c r="C21" s="37">
        <f>IF(COUNTIF(D21:E21,"")&gt;0,"",D21+E21)</f>
        <v/>
      </c>
      <c r="D21" s="18" t="n"/>
      <c r="E21" s="19" t="n"/>
      <c r="F21" s="18" t="n"/>
      <c r="G21" s="19" t="n"/>
      <c r="H21" s="18" t="n"/>
      <c r="I21" s="24" t="n"/>
      <c r="J21" s="41">
        <f>IF(H21="","",IF(I21="","",IF(K21="","",H21+I21-K21)))</f>
        <v/>
      </c>
      <c r="K21" s="37">
        <f>IF(D21="","",IF(E21="","",D21+E21))</f>
        <v/>
      </c>
      <c r="L21" s="18" t="n"/>
      <c r="M21" s="24" t="n"/>
      <c r="N21" s="24" t="n"/>
      <c r="O21" s="19" t="n"/>
      <c r="P21" s="38">
        <f>IF(COUNTIF(K21:O21,"")&gt;0,"",K21-SUM(L21:O21))</f>
        <v/>
      </c>
      <c r="Q21" s="39">
        <f>IF(COUNTIF(K21:M21,"")&gt;0,"",SUM(L21:O21)/K21)</f>
        <v/>
      </c>
      <c r="R21" s="40">
        <f>IF(COUNTIF(K21:M21,"")&gt;0,"",SUM(L21:M21)/K21)</f>
        <v/>
      </c>
      <c r="S21" s="54" t="n"/>
      <c r="U21" s="52" t="inlineStr">
        <is>
          <t>Середній бал</t>
        </is>
      </c>
      <c r="V21" s="53">
        <f>IF(S6="","",AVERAGE(S6:S34))</f>
        <v/>
      </c>
      <c r="W21" s="25">
        <f>IF(COUNTIF($B$21:$S$21,"")&gt;0,"",IF(COUNTIF($D$21:$S$21,"=*")&gt;0,"",IF(W20="+","+","")))</f>
        <v/>
      </c>
    </row>
    <row r="22" ht="24.95" customHeight="1" thickBot="1">
      <c r="A22" s="17" t="n"/>
      <c r="B22" s="26" t="n"/>
      <c r="C22" s="37">
        <f>IF(COUNTIF(D22:E22,"")&gt;0,"",D22+E22)</f>
        <v/>
      </c>
      <c r="D22" s="18" t="n"/>
      <c r="E22" s="19" t="n"/>
      <c r="F22" s="18" t="n"/>
      <c r="G22" s="19" t="n"/>
      <c r="H22" s="18" t="n"/>
      <c r="I22" s="24" t="n"/>
      <c r="J22" s="41">
        <f>IF(H22="","",IF(I22="","",IF(K22="","",H22+I22-K22)))</f>
        <v/>
      </c>
      <c r="K22" s="37">
        <f>IF(D22="","",IF(E22="","",D22+E22))</f>
        <v/>
      </c>
      <c r="L22" s="18" t="n"/>
      <c r="M22" s="24" t="n"/>
      <c r="N22" s="24" t="n"/>
      <c r="O22" s="19" t="n"/>
      <c r="P22" s="38">
        <f>IF(COUNTIF(K22:O22,"")&gt;0,"",K22-SUM(L22:O22))</f>
        <v/>
      </c>
      <c r="Q22" s="39">
        <f>IF(COUNTIF(K22:M22,"")&gt;0,"",SUM(L22:O22)/K22)</f>
        <v/>
      </c>
      <c r="R22" s="40">
        <f>IF(COUNTIF(K22:M22,"")&gt;0,"",SUM(L22:M22)/K22)</f>
        <v/>
      </c>
      <c r="S22" s="54" t="n"/>
      <c r="W22" s="25">
        <f>IF(COUNTIF($B$22:$S$22,"")&gt;0,"",IF(COUNTIF($D$22:$S$22,"=*")&gt;0,"",IF(W21="+","+","")))</f>
        <v/>
      </c>
    </row>
    <row r="23" ht="24.95" customHeight="1" thickBot="1">
      <c r="A23" s="17" t="n"/>
      <c r="B23" s="26" t="n"/>
      <c r="C23" s="37">
        <f>IF(COUNTIF(D23:E23,"")&gt;0,"",D23+E23)</f>
        <v/>
      </c>
      <c r="D23" s="18" t="n"/>
      <c r="E23" s="19" t="n"/>
      <c r="F23" s="18" t="n"/>
      <c r="G23" s="19" t="n"/>
      <c r="H23" s="18" t="n"/>
      <c r="I23" s="24" t="n"/>
      <c r="J23" s="41">
        <f>IF(H23="","",IF(I23="","",IF(K23="","",H23+I23-K23)))</f>
        <v/>
      </c>
      <c r="K23" s="37">
        <f>IF(D23="","",IF(E23="","",D23+E23))</f>
        <v/>
      </c>
      <c r="L23" s="18" t="n"/>
      <c r="M23" s="24" t="n"/>
      <c r="N23" s="24" t="n"/>
      <c r="O23" s="19" t="n"/>
      <c r="P23" s="38">
        <f>IF(COUNTIF(K23:O23,"")&gt;0,"",K23-SUM(L23:O23))</f>
        <v/>
      </c>
      <c r="Q23" s="39">
        <f>IF(COUNTIF(K23:M23,"")&gt;0,"",SUM(L23:O23)/K23)</f>
        <v/>
      </c>
      <c r="R23" s="40">
        <f>IF(COUNTIF(K23:M23,"")&gt;0,"",SUM(L23:M23)/K23)</f>
        <v/>
      </c>
      <c r="S23" s="54" t="n"/>
      <c r="W23" s="25">
        <f>IF(COUNTIF($B$23:$S$23,"")&gt;0,"",IF(COUNTIF($D$23:$S$23,"=*")&gt;0,"",IF(W22="+","+","")))</f>
        <v/>
      </c>
    </row>
    <row r="24" ht="24.95" customHeight="1" thickBot="1">
      <c r="A24" s="17" t="n"/>
      <c r="B24" s="26" t="n"/>
      <c r="C24" s="37">
        <f>IF(COUNTIF(D24:E24,"")&gt;0,"",D24+E24)</f>
        <v/>
      </c>
      <c r="D24" s="18" t="n"/>
      <c r="E24" s="19" t="n"/>
      <c r="F24" s="18" t="n"/>
      <c r="G24" s="19" t="n"/>
      <c r="H24" s="18" t="n"/>
      <c r="I24" s="24" t="n"/>
      <c r="J24" s="41">
        <f>IF(H24="","",IF(I24="","",IF(K24="","",H24+I24-K24)))</f>
        <v/>
      </c>
      <c r="K24" s="37">
        <f>IF(D24="","",IF(E24="","",D24+E24))</f>
        <v/>
      </c>
      <c r="L24" s="18" t="n"/>
      <c r="M24" s="24" t="n"/>
      <c r="N24" s="24" t="n"/>
      <c r="O24" s="19" t="n"/>
      <c r="P24" s="38">
        <f>IF(COUNTIF(K24:O24,"")&gt;0,"",K24-SUM(L24:O24))</f>
        <v/>
      </c>
      <c r="Q24" s="39">
        <f>IF(COUNTIF(K24:M24,"")&gt;0,"",SUM(L24:O24)/K24)</f>
        <v/>
      </c>
      <c r="R24" s="40">
        <f>IF(COUNTIF(K24:M24,"")&gt;0,"",SUM(L24:M24)/K24)</f>
        <v/>
      </c>
      <c r="S24" s="54" t="n"/>
      <c r="W24" s="25">
        <f>IF(COUNTIF($B$24:$S$24,"")&gt;0,"",IF(COUNTIF($D$24:$S$24,"=*")&gt;0,"",IF(W23="+","+","")))</f>
        <v/>
      </c>
    </row>
    <row r="25" ht="24.95" customHeight="1" thickBot="1">
      <c r="A25" s="17" t="n"/>
      <c r="B25" s="26" t="n"/>
      <c r="C25" s="37">
        <f>IF(COUNTIF(D25:E25,"")&gt;0,"",D25+E25)</f>
        <v/>
      </c>
      <c r="D25" s="18" t="n"/>
      <c r="E25" s="19" t="n"/>
      <c r="F25" s="18" t="n"/>
      <c r="G25" s="19" t="n"/>
      <c r="H25" s="18" t="n"/>
      <c r="I25" s="24" t="n"/>
      <c r="J25" s="41">
        <f>IF(H25="","",IF(I25="","",IF(K25="","",H25+I25-K25)))</f>
        <v/>
      </c>
      <c r="K25" s="37">
        <f>IF(D25="","",IF(E25="","",D25+E25))</f>
        <v/>
      </c>
      <c r="L25" s="18" t="n"/>
      <c r="M25" s="24" t="n"/>
      <c r="N25" s="24" t="n"/>
      <c r="O25" s="19" t="n"/>
      <c r="P25" s="38">
        <f>IF(COUNTIF(K25:O25,"")&gt;0,"",K25-SUM(L25:O25))</f>
        <v/>
      </c>
      <c r="Q25" s="39">
        <f>IF(COUNTIF(K25:M25,"")&gt;0,"",SUM(L25:O25)/K25)</f>
        <v/>
      </c>
      <c r="R25" s="40">
        <f>IF(COUNTIF(K25:M25,"")&gt;0,"",SUM(L25:M25)/K25)</f>
        <v/>
      </c>
      <c r="S25" s="54" t="n"/>
      <c r="W25" s="25">
        <f>IF(COUNTIF($B$25:$S$25,"")&gt;0,"",IF(COUNTIF($D$25:$S$25,"=*")&gt;0,"",IF(W24="+","+","")))</f>
        <v/>
      </c>
    </row>
    <row r="26" ht="24.95" customHeight="1" thickBot="1">
      <c r="A26" s="17" t="n"/>
      <c r="B26" s="26" t="n"/>
      <c r="C26" s="37">
        <f>IF(COUNTIF(D26:E26,"")&gt;0,"",D26+E26)</f>
        <v/>
      </c>
      <c r="D26" s="18" t="n"/>
      <c r="E26" s="19" t="n"/>
      <c r="F26" s="18" t="n"/>
      <c r="G26" s="19" t="n"/>
      <c r="H26" s="18" t="n"/>
      <c r="I26" s="24" t="n"/>
      <c r="J26" s="41">
        <f>IF(H26="","",IF(I26="","",IF(K26="","",H26+I26-K26)))</f>
        <v/>
      </c>
      <c r="K26" s="37">
        <f>IF(D26="","",IF(E26="","",D26+E26))</f>
        <v/>
      </c>
      <c r="L26" s="18" t="n"/>
      <c r="M26" s="24" t="n"/>
      <c r="N26" s="24" t="n"/>
      <c r="O26" s="19" t="n"/>
      <c r="P26" s="38">
        <f>IF(COUNTIF(K26:O26,"")&gt;0,"",K26-SUM(L26:O26))</f>
        <v/>
      </c>
      <c r="Q26" s="39">
        <f>IF(COUNTIF(K26:M26,"")&gt;0,"",SUM(L26:O26)/K26)</f>
        <v/>
      </c>
      <c r="R26" s="40">
        <f>IF(COUNTIF(K26:M26,"")&gt;0,"",SUM(L26:M26)/K26)</f>
        <v/>
      </c>
      <c r="S26" s="54" t="n"/>
      <c r="W26" s="25">
        <f>IF(COUNTIF($B$26:$S$26,"")&gt;0,"",IF(COUNTIF($D$26:$S$26,"=*")&gt;0,"",IF(W25="+","+","")))</f>
        <v/>
      </c>
    </row>
    <row r="27" ht="24.95" customHeight="1" thickBot="1">
      <c r="A27" s="17" t="n"/>
      <c r="B27" s="26" t="n"/>
      <c r="C27" s="37">
        <f>IF(COUNTIF(D27:E27,"")&gt;0,"",D27+E27)</f>
        <v/>
      </c>
      <c r="D27" s="18" t="n"/>
      <c r="E27" s="19" t="n"/>
      <c r="F27" s="18" t="n"/>
      <c r="G27" s="19" t="n"/>
      <c r="H27" s="18" t="n"/>
      <c r="I27" s="24" t="n"/>
      <c r="J27" s="41">
        <f>IF(H27="","",IF(I27="","",IF(K27="","",H27+I27-K27)))</f>
        <v/>
      </c>
      <c r="K27" s="37">
        <f>IF(D27="","",IF(E27="","",D27+E27))</f>
        <v/>
      </c>
      <c r="L27" s="18" t="n"/>
      <c r="M27" s="24" t="n"/>
      <c r="N27" s="24" t="n"/>
      <c r="O27" s="19" t="n"/>
      <c r="P27" s="38">
        <f>IF(COUNTIF(K27:O27,"")&gt;0,"",K27-SUM(L27:O27))</f>
        <v/>
      </c>
      <c r="Q27" s="39">
        <f>IF(COUNTIF(K27:M27,"")&gt;0,"",SUM(L27:O27)/K27)</f>
        <v/>
      </c>
      <c r="R27" s="40">
        <f>IF(COUNTIF(K27:M27,"")&gt;0,"",SUM(L27:M27)/K27)</f>
        <v/>
      </c>
      <c r="S27" s="54" t="n"/>
      <c r="W27" s="25">
        <f>IF(COUNTIF($B$27:$S$27,"")&gt;0,"",IF(COUNTIF($D$27:$S$27,"=*")&gt;0,"",IF(W26="+","+","")))</f>
        <v/>
      </c>
    </row>
    <row r="28" ht="24.95" customHeight="1" thickBot="1">
      <c r="A28" s="17" t="n"/>
      <c r="B28" s="26" t="n"/>
      <c r="C28" s="37">
        <f>IF(COUNTIF(D28:E28,"")&gt;0,"",D28+E28)</f>
        <v/>
      </c>
      <c r="D28" s="18" t="n"/>
      <c r="E28" s="19" t="n"/>
      <c r="F28" s="18" t="n"/>
      <c r="G28" s="19" t="n"/>
      <c r="H28" s="18" t="n"/>
      <c r="I28" s="24" t="n"/>
      <c r="J28" s="41">
        <f>IF(H28="","",IF(I28="","",IF(K28="","",H28+I28-K28)))</f>
        <v/>
      </c>
      <c r="K28" s="37">
        <f>IF(D28="","",IF(E28="","",D28+E28))</f>
        <v/>
      </c>
      <c r="L28" s="18" t="n"/>
      <c r="M28" s="24" t="n"/>
      <c r="N28" s="24" t="n"/>
      <c r="O28" s="19" t="n"/>
      <c r="P28" s="38">
        <f>IF(COUNTIF(K28:O28,"")&gt;0,"",K28-SUM(L28:O28))</f>
        <v/>
      </c>
      <c r="Q28" s="39">
        <f>IF(COUNTIF(K28:M28,"")&gt;0,"",SUM(L28:O28)/K28)</f>
        <v/>
      </c>
      <c r="R28" s="40">
        <f>IF(COUNTIF(K28:M28,"")&gt;0,"",SUM(L28:M28)/K28)</f>
        <v/>
      </c>
      <c r="S28" s="54" t="n"/>
      <c r="W28" s="25">
        <f>IF(COUNTIF($B$28:$S$28,"")&gt;0,"",IF(COUNTIF($D$28:$S$28,"=*")&gt;0,"",IF(W27="+","+","")))</f>
        <v/>
      </c>
    </row>
    <row r="29" ht="24.95" customHeight="1" thickBot="1">
      <c r="A29" s="17" t="n"/>
      <c r="B29" s="26" t="n"/>
      <c r="C29" s="37">
        <f>IF(COUNTIF(D29:E29,"")&gt;0,"",D29+E29)</f>
        <v/>
      </c>
      <c r="D29" s="18" t="n"/>
      <c r="E29" s="19" t="n"/>
      <c r="F29" s="18" t="n"/>
      <c r="G29" s="19" t="n"/>
      <c r="H29" s="18" t="n"/>
      <c r="I29" s="24" t="n"/>
      <c r="J29" s="41">
        <f>IF(H29="","",IF(I29="","",IF(K29="","",H29+I29-K29)))</f>
        <v/>
      </c>
      <c r="K29" s="37">
        <f>IF(D29="","",IF(E29="","",D29+E29))</f>
        <v/>
      </c>
      <c r="L29" s="18" t="n"/>
      <c r="M29" s="24" t="n"/>
      <c r="N29" s="24" t="n"/>
      <c r="O29" s="19" t="n"/>
      <c r="P29" s="38">
        <f>IF(COUNTIF(K29:O29,"")&gt;0,"",K29-SUM(L29:O29))</f>
        <v/>
      </c>
      <c r="Q29" s="39">
        <f>IF(COUNTIF(K29:M29,"")&gt;0,"",SUM(L29:O29)/K29)</f>
        <v/>
      </c>
      <c r="R29" s="40">
        <f>IF(COUNTIF(K29:M29,"")&gt;0,"",SUM(L29:M29)/K29)</f>
        <v/>
      </c>
      <c r="S29" s="54" t="n"/>
      <c r="W29" s="25">
        <f>IF(COUNTIF($B$29:$S$29,"")&gt;0,"",IF(COUNTIF($D$29:$S$29,"=*")&gt;0,"",IF(W28="+","+","")))</f>
        <v/>
      </c>
    </row>
    <row r="30" ht="24.95" customHeight="1" thickBot="1">
      <c r="A30" s="17" t="n"/>
      <c r="B30" s="26" t="n"/>
      <c r="C30" s="37">
        <f>IF(COUNTIF(D30:E30,"")&gt;0,"",D30+E30)</f>
        <v/>
      </c>
      <c r="D30" s="18" t="n"/>
      <c r="E30" s="19" t="n"/>
      <c r="F30" s="18" t="n"/>
      <c r="G30" s="19" t="n"/>
      <c r="H30" s="18" t="n"/>
      <c r="I30" s="24" t="n"/>
      <c r="J30" s="41">
        <f>IF(H30="","",IF(I30="","",IF(K30="","",H30+I30-K30)))</f>
        <v/>
      </c>
      <c r="K30" s="37">
        <f>IF(D30="","",IF(E30="","",D30+E30))</f>
        <v/>
      </c>
      <c r="L30" s="18" t="n"/>
      <c r="M30" s="24" t="n"/>
      <c r="N30" s="24" t="n"/>
      <c r="O30" s="19" t="n"/>
      <c r="P30" s="38">
        <f>IF(COUNTIF(K30:O30,"")&gt;0,"",K30-SUM(L30:O30))</f>
        <v/>
      </c>
      <c r="Q30" s="39">
        <f>IF(COUNTIF(K30:M30,"")&gt;0,"",SUM(L30:O30)/K30)</f>
        <v/>
      </c>
      <c r="R30" s="40">
        <f>IF(COUNTIF(K30:M30,"")&gt;0,"",SUM(L30:M30)/K30)</f>
        <v/>
      </c>
      <c r="S30" s="54" t="n"/>
      <c r="W30" s="25">
        <f>IF(COUNTIF($B$30:$S$30,"")&gt;0,"",IF(COUNTIF($D$30:$S$30,"=*")&gt;0,"",IF(W29="+","+","")))</f>
        <v/>
      </c>
    </row>
    <row r="31" ht="24.95" customHeight="1" thickBot="1">
      <c r="A31" s="17" t="n"/>
      <c r="B31" s="26" t="n"/>
      <c r="C31" s="37">
        <f>IF(COUNTIF(D31:E31,"")&gt;0,"",D31+E31)</f>
        <v/>
      </c>
      <c r="D31" s="18" t="n"/>
      <c r="E31" s="19" t="n"/>
      <c r="F31" s="18" t="n"/>
      <c r="G31" s="19" t="n"/>
      <c r="H31" s="18" t="n"/>
      <c r="I31" s="24" t="n"/>
      <c r="J31" s="41">
        <f>IF(H31="","",IF(I31="","",IF(K31="","",H31+I31-K31)))</f>
        <v/>
      </c>
      <c r="K31" s="37">
        <f>IF(D31="","",IF(E31="","",D31+E31))</f>
        <v/>
      </c>
      <c r="L31" s="18" t="n"/>
      <c r="M31" s="24" t="n"/>
      <c r="N31" s="24" t="n"/>
      <c r="O31" s="19" t="n"/>
      <c r="P31" s="38">
        <f>IF(COUNTIF(K31:O31,"")&gt;0,"",K31-SUM(L31:O31))</f>
        <v/>
      </c>
      <c r="Q31" s="39">
        <f>IF(COUNTIF(K31:M31,"")&gt;0,"",SUM(L31:O31)/K31)</f>
        <v/>
      </c>
      <c r="R31" s="40">
        <f>IF(COUNTIF(K31:M31,"")&gt;0,"",SUM(L31:M31)/K31)</f>
        <v/>
      </c>
      <c r="S31" s="54" t="n"/>
      <c r="W31" s="25">
        <f>IF(COUNTIF($B$31:$S$31,"")&gt;0,"",IF(COUNTIF($D$31:$S$31,"=*")&gt;0,"",IF(W30="+","+","")))</f>
        <v/>
      </c>
    </row>
    <row r="32" ht="24.95" customHeight="1" thickBot="1">
      <c r="A32" s="17" t="n"/>
      <c r="B32" s="26" t="n"/>
      <c r="C32" s="37">
        <f>IF(COUNTIF(D32:E32,"")&gt;0,"",D32+E32)</f>
        <v/>
      </c>
      <c r="D32" s="18" t="n"/>
      <c r="E32" s="19" t="n"/>
      <c r="F32" s="18" t="n"/>
      <c r="G32" s="19" t="n"/>
      <c r="H32" s="18" t="n"/>
      <c r="I32" s="24" t="n"/>
      <c r="J32" s="41">
        <f>IF(H32="","",IF(I32="","",IF(K32="","",H32+I32-K32)))</f>
        <v/>
      </c>
      <c r="K32" s="37">
        <f>IF(D32="","",IF(E32="","",D32+E32))</f>
        <v/>
      </c>
      <c r="L32" s="18" t="n"/>
      <c r="M32" s="24" t="n"/>
      <c r="N32" s="24" t="n"/>
      <c r="O32" s="19" t="n"/>
      <c r="P32" s="38">
        <f>IF(COUNTIF(K32:O32,"")&gt;0,"",K32-SUM(L32:O32))</f>
        <v/>
      </c>
      <c r="Q32" s="39">
        <f>IF(COUNTIF(K32:M32,"")&gt;0,"",SUM(L32:O32)/K32)</f>
        <v/>
      </c>
      <c r="R32" s="40">
        <f>IF(COUNTIF(K32:M32,"")&gt;0,"",SUM(L32:M32)/K32)</f>
        <v/>
      </c>
      <c r="S32" s="54" t="n"/>
      <c r="W32" s="25">
        <f>IF(COUNTIF($B$32:$S$32,"")&gt;0,"",IF(COUNTIF($D$32:$S$32,"=*")&gt;0,"",IF(W31="+","+","")))</f>
        <v/>
      </c>
    </row>
    <row r="33" ht="24.95" customHeight="1" thickBot="1">
      <c r="B33" s="26" t="n"/>
      <c r="C33" s="37">
        <f>IF(COUNTIF(D33:E33,"")&gt;0,"",D33+E33)</f>
        <v/>
      </c>
      <c r="D33" s="18" t="n"/>
      <c r="E33" s="19" t="n"/>
      <c r="F33" s="18" t="n"/>
      <c r="G33" s="19" t="n"/>
      <c r="H33" s="18" t="n"/>
      <c r="I33" s="24" t="n"/>
      <c r="J33" s="41">
        <f>IF(H33="","",IF(I33="","",IF(K33="","",H33+I33-K33)))</f>
        <v/>
      </c>
      <c r="K33" s="37">
        <f>IF(D33="","",IF(E33="","",D33+E33))</f>
        <v/>
      </c>
      <c r="L33" s="18" t="n"/>
      <c r="M33" s="24" t="n"/>
      <c r="N33" s="24" t="n"/>
      <c r="O33" s="19" t="n"/>
      <c r="P33" s="38">
        <f>IF(COUNTIF(K33:O33,"")&gt;0,"",K33-SUM(L33:O33))</f>
        <v/>
      </c>
      <c r="Q33" s="39">
        <f>IF(COUNTIF(K33:M33,"")&gt;0,"",SUM(L33:O33)/K33)</f>
        <v/>
      </c>
      <c r="R33" s="40">
        <f>IF(COUNTIF(K33:M33,"")&gt;0,"",SUM(L33:M33)/K33)</f>
        <v/>
      </c>
      <c r="S33" s="54" t="n"/>
      <c r="W33" s="25">
        <f>IF(COUNTIF($B$32:$S$32,"")&gt;0,"",IF(COUNTIF($D$32:$S$32,"=*")&gt;0,"",IF(W32="+","+","")))</f>
        <v/>
      </c>
    </row>
    <row r="34" ht="24.95" customHeight="1" thickBot="1">
      <c r="B34" s="26" t="n"/>
      <c r="C34" s="37">
        <f>IF(COUNTIF(D34:E34,"")&gt;0,"",D34+E34)</f>
        <v/>
      </c>
      <c r="D34" s="18" t="n"/>
      <c r="E34" s="19" t="n"/>
      <c r="F34" s="18" t="n"/>
      <c r="G34" s="19" t="n"/>
      <c r="H34" s="18" t="n"/>
      <c r="I34" s="24" t="n"/>
      <c r="J34" s="41">
        <f>IF(H34="","",IF(I34="","",IF(K34="","",H34+I34-K34)))</f>
        <v/>
      </c>
      <c r="K34" s="37">
        <f>IF(D34="","",IF(E34="","",D34+E34))</f>
        <v/>
      </c>
      <c r="L34" s="18" t="n"/>
      <c r="M34" s="24" t="n"/>
      <c r="N34" s="24" t="n"/>
      <c r="O34" s="19" t="n"/>
      <c r="P34" s="38">
        <f>IF(COUNTIF(K34:O34,"")&gt;0,"",K34-SUM(L34:O34))</f>
        <v/>
      </c>
      <c r="Q34" s="39">
        <f>IF(COUNTIF(K34:M34,"")&gt;0,"",SUM(L34:O34)/K34)</f>
        <v/>
      </c>
      <c r="R34" s="40">
        <f>IF(COUNTIF(K34:M34,"")&gt;0,"",SUM(L34:M34)/K34)</f>
        <v/>
      </c>
      <c r="S34" s="54" t="n"/>
    </row>
    <row r="35" hidden="1" ht="24.95" customHeight="1">
      <c r="B35" s="21" t="n"/>
      <c r="C35" s="35" t="n"/>
      <c r="D35" s="21" t="n"/>
      <c r="E35" s="21" t="n"/>
      <c r="F35" s="21" t="n"/>
      <c r="G35" s="21" t="n"/>
      <c r="H35" s="21" t="n"/>
      <c r="I35" s="21" t="n"/>
      <c r="J35" s="21" t="n"/>
      <c r="K35" s="21" t="n"/>
      <c r="L35" s="21" t="n"/>
      <c r="M35" s="21" t="n"/>
      <c r="N35" s="21" t="n"/>
      <c r="O35" s="21" t="n"/>
      <c r="P35" s="21" t="n"/>
      <c r="Q35" s="21" t="n"/>
      <c r="R35" s="21" t="n"/>
      <c r="S35" s="21" t="n"/>
    </row>
    <row r="36" hidden="1" ht="24.95" customHeight="1">
      <c r="B36" s="21" t="n"/>
      <c r="C36" s="35" t="n"/>
      <c r="D36" s="21" t="n"/>
      <c r="E36" s="21" t="n"/>
      <c r="F36" s="21" t="n"/>
      <c r="G36" s="21" t="n"/>
      <c r="H36" s="21" t="n"/>
      <c r="I36" s="21" t="n"/>
      <c r="J36" s="21" t="n"/>
      <c r="K36" s="21" t="n"/>
      <c r="L36" s="21" t="n"/>
      <c r="M36" s="21" t="n"/>
      <c r="N36" s="21" t="n"/>
      <c r="O36" s="21" t="n"/>
      <c r="P36" s="21" t="n"/>
      <c r="Q36" s="21" t="n"/>
      <c r="R36" s="21" t="n"/>
      <c r="S36" s="21" t="n"/>
    </row>
    <row r="45" hidden="1" ht="24.95" customHeight="1">
      <c r="O45" s="23" t="n"/>
    </row>
  </sheetData>
  <sheetProtection selectLockedCells="0" selectUnlockedCells="0" algorithmName="SHA-512" sheet="1" objects="1" insertRows="1" insertHyperlinks="1" autoFilter="1" scenarios="1" formatColumns="1" deleteColumns="1" insertColumns="1" pivotTables="1" deleteRows="1" formatCells="1" saltValue="vDicyGJesnra9O8tA1bUgA==" formatRows="1" sort="1" spinCount="100000" hashValue="pZhjaaWMcRQHfd6/CJeyMgHNuX2wbjc+hpRVUgxA/ch5P6buZbRrFdzQecCPrSzSnlZpgNHwh3+/gm2thS933A=="/>
  <mergeCells count="24">
    <mergeCell ref="U9:V9"/>
    <mergeCell ref="B2:S2"/>
    <mergeCell ref="H3:K3"/>
    <mergeCell ref="P3:P5"/>
    <mergeCell ref="O4:O5"/>
    <mergeCell ref="R3:R5"/>
    <mergeCell ref="C3:C5"/>
    <mergeCell ref="J4:J5"/>
    <mergeCell ref="L4:L5"/>
    <mergeCell ref="E3:E5"/>
    <mergeCell ref="B3:B5"/>
    <mergeCell ref="S3:S5"/>
    <mergeCell ref="U12:V12"/>
    <mergeCell ref="Q3:Q5"/>
    <mergeCell ref="L3:O3"/>
    <mergeCell ref="I4:I5"/>
    <mergeCell ref="K4:K5"/>
    <mergeCell ref="F3:F5"/>
    <mergeCell ref="U18:V18"/>
    <mergeCell ref="M4:M5"/>
    <mergeCell ref="H4:H5"/>
    <mergeCell ref="N4:N5"/>
    <mergeCell ref="G3:G5"/>
    <mergeCell ref="D3:D5"/>
  </mergeCells>
  <conditionalFormatting sqref="B7:S34">
    <cfRule type="expression" priority="1" dxfId="1">
      <formula>$W6=""</formula>
    </cfRule>
  </conditionalFormatting>
  <conditionalFormatting sqref="B6:S34">
    <cfRule type="expression" priority="2" dxfId="0">
      <formula>$W6="+"</formula>
    </cfRule>
  </conditionalFormatting>
  <dataValidations count="4">
    <dataValidation sqref="V4" showDropDown="0" showInputMessage="0" showErrorMessage="1" allowBlank="1" errorTitle="Помилка" error="У цю клітинку потрібно вводити тільки цілі числа." type="whole">
      <formula1>1</formula1>
      <formula2>999</formula2>
    </dataValidation>
    <dataValidation sqref="B35:S35" showDropDown="0" showInputMessage="0" showErrorMessage="1" allowBlank="1" errorTitle="Помилка" error="Ви не можете почати заповнювати цей рядок оскільки рядок вище містить символ, який не є цифрою (стовпець &quot;Група&quot; та символи &quot;%&quot; та &quot;,&quot; не перевіряються) або рядок вище містить порожню клітинку." type="custom">
      <formula1>$W34="+"</formula1>
    </dataValidation>
    <dataValidation sqref="B36:S1048576" showDropDown="0" showInputMessage="0" showErrorMessage="1" allowBlank="1" errorTitle="Помилка" error="Ви не можете почати заповнювати цей рядок оскільки рядок вище містить символ, який не є цифрою (стовпець &quot;Група&quot; та символи &quot;%&quot; та &quot;,&quot; не перевіряються) або рядок вище містить порожню клітинку." type="custom">
      <formula1>$X35="+"</formula1>
    </dataValidation>
    <dataValidation sqref="B7:S34" showDropDown="0" showInputMessage="0" showErrorMessage="1" allowBlank="1" errorTitle="Помилка" error="Ви не можете почати заповнювати цей рядок з однієї з причин:_x000a_    1. Рядок вище містить порожню клітинку;_x000a_    2. Рядок вище містить символ, який не є цифрою._x000a_    (стовпець &quot;Група&quot; і символи &quot;%&quot; та &quot;,&quot; не перевіряються) " type="custom">
      <formula1>$W6="+"</formula1>
    </dataValidation>
  </dataValidations>
  <pageMargins left="0" right="0" top="0" bottom="0" header="0" footer="0"/>
  <pageSetup orientation="portrait" paperSize="9" horizontalDpi="300" verticalDpi="0"/>
</worksheet>
</file>

<file path=xl/worksheets/sheet2.xml><?xml version="1.0" encoding="utf-8"?>
<worksheet xmlns="http://schemas.openxmlformats.org/spreadsheetml/2006/main">
  <sheetPr codeName="Лист2">
    <tabColor rgb="FF003FBC"/>
    <outlinePr summaryBelow="1" summaryRight="1"/>
    <pageSetUpPr fitToPage="1"/>
  </sheetPr>
  <dimension ref="A1:H12"/>
  <sheetViews>
    <sheetView showGridLines="0" workbookViewId="0">
      <selection activeCell="A1" sqref="A1"/>
    </sheetView>
  </sheetViews>
  <sheetFormatPr baseColWidth="8" defaultColWidth="0" defaultRowHeight="0" customHeight="1" zeroHeight="1"/>
  <cols>
    <col width="1.42578125" customWidth="1" min="1" max="1"/>
    <col width="22.42578125" customWidth="1" min="2" max="2"/>
    <col width="9.42578125" customWidth="1" min="3" max="3"/>
    <col width="11.140625" customWidth="1" min="4" max="4"/>
    <col width="9.42578125" customWidth="1" min="5" max="7"/>
    <col width="1.42578125" customWidth="1" min="8" max="8"/>
    <col hidden="1" min="9" max="9"/>
    <col hidden="1" width="12.5703125" customWidth="1" min="10" max="16384"/>
  </cols>
  <sheetData>
    <row r="1" ht="11.25" customHeight="1" thickBot="1">
      <c r="A1" s="28" t="n"/>
      <c r="B1" s="28" t="n"/>
      <c r="C1" s="28" t="n"/>
      <c r="D1" s="31" t="n"/>
      <c r="E1" s="31" t="n"/>
      <c r="F1" s="31" t="n"/>
      <c r="G1" s="31" t="n"/>
      <c r="H1" s="31" t="n"/>
    </row>
    <row r="2" ht="22.5" customHeight="1">
      <c r="A2" s="29" t="n"/>
      <c r="B2" s="105" t="inlineStr">
        <is>
          <t>Предмет</t>
        </is>
      </c>
      <c r="C2" s="106" t="inlineStr">
        <is>
          <t>Рік</t>
        </is>
      </c>
      <c r="D2" s="107" t="n"/>
      <c r="E2" s="107" t="n"/>
      <c r="F2" s="107" t="n"/>
      <c r="G2" s="104" t="n"/>
      <c r="H2" s="29" t="n"/>
    </row>
    <row r="3" ht="22.5" customHeight="1">
      <c r="A3" s="29" t="n"/>
      <c r="B3" s="108" t="n"/>
      <c r="C3" s="3" t="n">
        <v>2020</v>
      </c>
      <c r="D3" s="3" t="n">
        <v>2021</v>
      </c>
      <c r="E3" s="4" t="n">
        <v>2022</v>
      </c>
      <c r="F3" s="48" t="n">
        <v>2023</v>
      </c>
      <c r="G3" s="45" t="n">
        <v>2024</v>
      </c>
      <c r="H3" s="32" t="n"/>
    </row>
    <row r="4" ht="22.5" customHeight="1">
      <c r="A4" s="30" t="n"/>
      <c r="B4" s="1" t="inlineStr">
        <is>
          <t>Історія України</t>
        </is>
      </c>
      <c r="C4" s="5" t="n">
        <v>0.88</v>
      </c>
      <c r="D4" s="5" t="n">
        <v>0.9</v>
      </c>
      <c r="E4" s="44" t="n">
        <v>0.99</v>
      </c>
      <c r="F4" s="49" t="n"/>
      <c r="G4" s="46" t="n"/>
      <c r="H4" s="33" t="n"/>
    </row>
    <row r="5" ht="22.5" customHeight="1">
      <c r="A5" s="30" t="n"/>
      <c r="B5" s="1" t="inlineStr">
        <is>
          <t>Математика</t>
        </is>
      </c>
      <c r="C5" s="5" t="n">
        <v>0.71</v>
      </c>
      <c r="D5" s="5" t="n">
        <v>0.25</v>
      </c>
      <c r="E5" s="44" t="n">
        <v>0.99</v>
      </c>
      <c r="F5" s="49" t="n"/>
      <c r="G5" s="46" t="n"/>
      <c r="H5" s="33" t="n"/>
    </row>
    <row r="6" ht="22.5" customHeight="1">
      <c r="A6" s="30" t="n"/>
      <c r="B6" s="1" t="inlineStr">
        <is>
          <t>Українська мова</t>
        </is>
      </c>
      <c r="C6" s="5" t="n">
        <v>0.8100000000000001</v>
      </c>
      <c r="D6" s="5" t="n">
        <v>0.7</v>
      </c>
      <c r="E6" s="44" t="n">
        <v>1</v>
      </c>
      <c r="F6" s="49" t="n"/>
      <c r="G6" s="46" t="n"/>
      <c r="H6" s="33" t="n"/>
    </row>
    <row r="7" ht="22.5" customHeight="1">
      <c r="A7" s="30" t="n"/>
      <c r="B7" s="1" t="inlineStr">
        <is>
          <t>Англійська мова</t>
        </is>
      </c>
      <c r="C7" s="5" t="n">
        <v>0.76</v>
      </c>
      <c r="D7" s="5" t="n">
        <v>0.65</v>
      </c>
      <c r="E7" s="44" t="n"/>
      <c r="F7" s="49" t="n"/>
      <c r="G7" s="46" t="n"/>
      <c r="H7" s="33" t="n"/>
    </row>
    <row r="8" ht="22.5" customHeight="1">
      <c r="A8" s="30" t="n"/>
      <c r="B8" s="1" t="inlineStr">
        <is>
          <t>Біологія</t>
        </is>
      </c>
      <c r="C8" s="5" t="n">
        <v>0.85</v>
      </c>
      <c r="D8" s="5" t="n">
        <v>0.75</v>
      </c>
      <c r="E8" s="44" t="n"/>
      <c r="F8" s="49" t="n"/>
      <c r="G8" s="46" t="n"/>
      <c r="H8" s="33" t="n"/>
    </row>
    <row r="9" ht="22.5" customHeight="1">
      <c r="A9" s="30" t="n"/>
      <c r="B9" s="1" t="inlineStr">
        <is>
          <t>Географія</t>
        </is>
      </c>
      <c r="C9" s="5" t="n">
        <v>0.88</v>
      </c>
      <c r="D9" s="5" t="n"/>
      <c r="E9" s="44" t="n"/>
      <c r="F9" s="49" t="n"/>
      <c r="G9" s="46" t="n"/>
      <c r="H9" s="33" t="n"/>
    </row>
    <row r="10" ht="22.5" customHeight="1">
      <c r="A10" s="30" t="n"/>
      <c r="B10" s="1" t="inlineStr">
        <is>
          <t>Фізика</t>
        </is>
      </c>
      <c r="C10" s="5" t="n">
        <v>0.75</v>
      </c>
      <c r="D10" s="5" t="n">
        <v>0.68</v>
      </c>
      <c r="E10" s="44" t="n"/>
      <c r="F10" s="49" t="n"/>
      <c r="G10" s="46" t="n"/>
      <c r="H10" s="33" t="n"/>
    </row>
    <row r="11" ht="22.5" customHeight="1" thickBot="1">
      <c r="A11" s="30" t="n"/>
      <c r="B11" s="2" t="inlineStr">
        <is>
          <t>Хімія</t>
        </is>
      </c>
      <c r="C11" s="6" t="n">
        <v>1</v>
      </c>
      <c r="D11" s="6" t="n">
        <v>0.28</v>
      </c>
      <c r="E11" s="7" t="n"/>
      <c r="F11" s="50" t="n"/>
      <c r="G11" s="47" t="n"/>
      <c r="H11" s="33" t="n"/>
    </row>
    <row r="12" ht="11.25" customHeight="1">
      <c r="A12" s="30" t="n"/>
      <c r="B12" s="30" t="n"/>
      <c r="C12" s="34" t="n"/>
      <c r="D12" s="34" t="n"/>
      <c r="E12" s="34" t="n"/>
      <c r="F12" s="34" t="n"/>
      <c r="G12" s="34" t="n"/>
      <c r="H12" s="34" t="n"/>
    </row>
  </sheetData>
  <mergeCells count="2">
    <mergeCell ref="C2:G2"/>
    <mergeCell ref="B2:B3"/>
  </mergeCells>
  <printOptions horizontalCentered="1"/>
  <pageMargins left="0" right="0" top="0" bottom="0" header="0" footer="0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Максим</dc:creator>
  <dcterms:created xmlns:dcterms="http://purl.org/dc/terms/" xmlns:xsi="http://www.w3.org/2001/XMLSchema-instance" xsi:type="dcterms:W3CDTF">2023-06-27T17:53:26Z</dcterms:created>
  <dcterms:modified xmlns:dcterms="http://purl.org/dc/terms/" xmlns:xsi="http://www.w3.org/2001/XMLSchema-instance" xsi:type="dcterms:W3CDTF">2026-06-18T13:01:24Z</dcterms:modified>
  <cp:lastModifiedBy>Maxim</cp:lastModifiedBy>
</cp:coreProperties>
</file>