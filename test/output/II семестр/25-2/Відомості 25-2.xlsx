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D7'!$C$3:$T$33</definedName>
    <definedName name="A1048577" localSheetId="2">#REF!</definedName>
    <definedName name="Ф80" localSheetId="2">#REF!</definedName>
    <definedName name="_xlnm.Print_Area" localSheetId="2">'Зведена G1'!$C$3:$T$22</definedName>
    <definedName name="A1048577" localSheetId="3">#REF!</definedName>
    <definedName name="Ф80" localSheetId="3">#REF!</definedName>
    <definedName name="_xlnm.Print_Area" localSheetId="3">'Зведена G16'!$C$3:$T$34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9">
        <f>'Загальна'!T17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9">
        <f>'Загальна'!T25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9">
        <f>'Загальна'!T26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9">
        <f>'Загальна'!T32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9">
        <f>'Загальна'!T37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9">
        <f>'Загальна'!T38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9">
        <f>'Загальна'!T41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9">
        <f>'Загальна'!T42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9">
        <f>'Загальна'!T43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9">
        <f>'Загальна'!T44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8">
        <f>IF(SUM(T$10:T24)=0,IF(COUNTA(T$10:T24)=0,"Очікую",0),SUM(T$10:T24)/$D24)</f>
        <v/>
      </c>
      <c r="U25" s="9">
        <f>IFERROR(AVERAGE($F25:T25),"Очікую")</f>
        <v/>
      </c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43">
        <f>IF(SUM(T$10:T24)=0,IF(COUNTA(T$10:T24)=0,"Очікую",0),IF(COUNTIF(T$10:T24,"&gt;=4")=0,0,COUNTIF(T$10:T24,"&gt;=4")/$D24*100))</f>
        <v/>
      </c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43">
        <f>IF(SUM(T$10:T24)=0,IF(COUNTA(T$10:T24)=0,"Очікую",0),IF(COUNTIF(T$10:T24,"&gt;=7")=0,0,COUNTIF(T$10:T24,"&gt;=7")/$D24*100))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IFERROR(AVERAGE(F26:T26),"Очікую")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55" t="n"/>
      <c r="M31" s="6" t="n"/>
      <c r="N31" s="6" t="n"/>
      <c r="O31" s="6" t="n"/>
      <c r="P31" s="56">
        <f>'Загальна'!P51</f>
        <v/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55" t="n"/>
      <c r="M32" s="6" t="n"/>
      <c r="N32" s="6" t="n"/>
      <c r="O32" s="6" t="n"/>
      <c r="P32" s="56" t="n"/>
      <c r="Q32" s="52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IF(F30="Очікую","Очікую",IF(F30-COUNTIF($U$10:$U24," - ")&lt;ROUNDDOWN(F30*0.4,0),F30-COUNTIF($U$10:$U24,"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56" t="n"/>
      <c r="M33" s="6" t="n"/>
      <c r="N33" s="6" t="n"/>
      <c r="O33" s="6" t="n"/>
      <c r="P33" s="56" t="inlineStr">
        <is>
          <t>Margarita BRITIKOVA</t>
        </is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5" t="n"/>
      <c r="W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9">
        <f>'Загальна'!T12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9">
        <f>'Загальна'!T27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9">
        <f>'Загальна'!T29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8">
        <f>IF(SUM(T$10:T13)=0,IF(COUNTA(T$10:T13)=0,"Очікую",0),SUM(T$10:T13)/$D13)</f>
        <v/>
      </c>
      <c r="U14" s="9">
        <f>IFERROR(AVERAGE($F14:T14),"Очікую")</f>
        <v/>
      </c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43">
        <f>IF(SUM(T$10:T13)=0,IF(COUNTA(T$10:T13)=0,"Очікую",0),IF(COUNTIF(T$10:T13,"&gt;=4")=0,0,COUNTIF(T$10:T13,"&gt;=4")/$D13*100))</f>
        <v/>
      </c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43">
        <f>IF(SUM(T$10:T13)=0,IF(COUNTA(T$10:T13)=0,"Очікую",0),IF(COUNTIF(T$10:T13,"&gt;=7")=0,0,COUNTIF(T$10:T13,"&gt;=7")/$D13*100))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IFERROR(AVERAGE(F15:T15),"Очікую")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55" t="n"/>
      <c r="M20" s="6" t="n"/>
      <c r="N20" s="6" t="n"/>
      <c r="O20" s="6" t="n"/>
      <c r="P20" s="56">
        <f>'Загальна'!P51</f>
        <v/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55" t="n"/>
      <c r="M21" s="6" t="n"/>
      <c r="N21" s="6" t="n"/>
      <c r="O21" s="6" t="n"/>
      <c r="P21" s="56" t="n"/>
      <c r="Q21" s="52" t="n"/>
      <c r="R21" s="52" t="n"/>
      <c r="S21" s="52" t="n"/>
      <c r="T21" s="52" t="n"/>
      <c r="U21" s="52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IF(F19="Очікую","Очікую",IF(F19-COUNTIF($U$10:$U13," - ")&lt;ROUNDDOWN(F19*0.4,0),F19-COUNTIF($U$10:$U13,"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56" t="n"/>
      <c r="M22" s="6" t="n"/>
      <c r="N22" s="6" t="n"/>
      <c r="O22" s="6" t="n"/>
      <c r="P22" s="56" t="inlineStr">
        <is>
          <t>Margarita BRITIKOVA</t>
        </is>
      </c>
      <c r="Q22" s="54" t="n"/>
      <c r="R22" s="54" t="n"/>
      <c r="S22" s="54" t="n"/>
      <c r="T22" s="54" t="n"/>
      <c r="U22" s="54" t="n"/>
      <c r="V22" s="20" t="n"/>
      <c r="W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5" t="n"/>
      <c r="W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9">
        <f>'Загальна'!T13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9">
        <f>'Загальна'!T15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9">
        <f>'Загальна'!T16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9">
        <f>'Загальна'!T18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9">
        <f>'Загальна'!T23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9">
        <f>'Загальна'!T24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9">
        <f>'Загальна'!T28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9">
        <f>'Загальна'!T30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9">
        <f>'Загальна'!T31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9">
        <f>'Загальна'!T34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9">
        <f>'Загальна'!T35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9">
        <f>'Загальна'!T36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9">
        <f>'Загальна'!T39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8">
        <f>IF(SUM(T$10:T25)=0,IF(COUNTA(T$10:T25)=0,"Очікую",0),SUM(T$10:T25)/$D25)</f>
        <v/>
      </c>
      <c r="U26" s="9">
        <f>IFERROR(AVERAGE($F26:T26),"Очікую")</f>
        <v/>
      </c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43">
        <f>IF(SUM(T$10:T25)=0,IF(COUNTA(T$10:T25)=0,"Очікую",0),IF(COUNTIF(T$10:T25,"&gt;=4")=0,0,COUNTIF(T$10:T25,"&gt;=4")/$D25*100))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43">
        <f>IF(SUM(T$10:T25)=0,IF(COUNTA(T$10:T25)=0,"Очікую",0),IF(COUNTIF(T$10:T25,"&gt;=7")=0,0,COUNTIF(T$10:T25,"&gt;=7")/$D25*100))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52" t="n"/>
      <c r="S31" s="52" t="n"/>
      <c r="T31" s="52" t="n"/>
      <c r="U31" s="52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55" t="n"/>
      <c r="M32" s="6" t="n"/>
      <c r="N32" s="6" t="n"/>
      <c r="O32" s="6" t="n"/>
      <c r="P32" s="56">
        <f>'Загальна'!P51</f>
        <v/>
      </c>
      <c r="Q32" s="54" t="n"/>
      <c r="R32" s="54" t="n"/>
      <c r="S32" s="54" t="n"/>
      <c r="T32" s="54" t="n"/>
      <c r="U32" s="54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55" t="n"/>
      <c r="M33" s="6" t="n"/>
      <c r="N33" s="6" t="n"/>
      <c r="O33" s="6" t="n"/>
      <c r="P33" s="56" t="n"/>
      <c r="Q33" s="52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IF(F31="Очікую","Очікую",IF(F31-COUNTIF($U$10:$U25," - ")&lt;ROUNDDOWN(F31*0.4,0),F31-COUNTIF($U$10:$U25,"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56" t="n"/>
      <c r="M34" s="6" t="n"/>
      <c r="N34" s="6" t="n"/>
      <c r="O34" s="6" t="n"/>
      <c r="P34" s="56" t="inlineStr">
        <is>
          <t>Margarita BRITIKOVA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5" t="n"/>
      <c r="W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2026-06-18T11:47:26Z</dcterms:modified>
  <cp:lastModifiedBy>Maxim Surkov</cp:lastModifiedBy>
  <cp:lastPrinted>2026-01-07T15:30:50Z</cp:lastPrinted>
</cp:coreProperties>
</file>