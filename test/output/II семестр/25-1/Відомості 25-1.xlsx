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38640" windowHeight="21120" tabRatio="876" firstSheet="0" activeTab="0" autoFilterDateGrouping="1"/>
  </bookViews>
  <sheets>
    <sheet xmlns:r="http://schemas.openxmlformats.org/officeDocument/2006/relationships" name="Загальна" sheetId="1" state="visible" r:id="rId1"/>
    <sheet xmlns:r="http://schemas.openxmlformats.org/officeDocument/2006/relationships" name="Зведена D5" sheetId="2" state="visible" r:id="rId2"/>
    <sheet xmlns:r="http://schemas.openxmlformats.org/officeDocument/2006/relationships" name="Зведена E2" sheetId="3" state="visible" r:id="rId3"/>
    <sheet xmlns:r="http://schemas.openxmlformats.org/officeDocument/2006/relationships" name="Зведена G13" sheetId="4" state="visible" r:id="rId4"/>
    <sheet xmlns:r="http://schemas.openxmlformats.org/officeDocument/2006/relationships" name="Зведена J2" sheetId="5" state="visible" r:id="rId5"/>
    <sheet xmlns:r="http://schemas.openxmlformats.org/officeDocument/2006/relationships" name="Зведена J3" sheetId="6" state="visible" r:id="rId6"/>
  </sheets>
  <definedNames>
    <definedName name="A1048577">#REF!</definedName>
    <definedName name="Ф80">#REF!</definedName>
    <definedName name="A1048577" localSheetId="0">#REF!</definedName>
    <definedName name="Ф80" localSheetId="0">#REF!</definedName>
    <definedName name="_xlnm.Print_Area" localSheetId="0">'Загальна'!$C$3:$T$55</definedName>
    <definedName name="A1048577" localSheetId="1">#REF!</definedName>
    <definedName name="Ф80" localSheetId="1">#REF!</definedName>
    <definedName name="_xlnm.Print_Area" localSheetId="1">'Зведена D5'!$C$3:$T$38</definedName>
    <definedName name="A1048577" localSheetId="2">#REF!</definedName>
    <definedName name="Ф80" localSheetId="2">#REF!</definedName>
    <definedName name="_xlnm.Print_Area" localSheetId="2">'Зведена E2'!$C$3:$T$31</definedName>
    <definedName name="A1048577" localSheetId="3">#REF!</definedName>
    <definedName name="Ф80" localSheetId="3">#REF!</definedName>
    <definedName name="_xlnm.Print_Area" localSheetId="3">'Зведена G13'!$C$3:$T$19</definedName>
    <definedName name="A1048577" localSheetId="4">#REF!</definedName>
    <definedName name="Ф80" localSheetId="4">#REF!</definedName>
    <definedName name="_xlnm.Print_Area" localSheetId="4">'Зведена J2'!$C$3:$T$19</definedName>
    <definedName name="A1048577" localSheetId="5">#REF!</definedName>
    <definedName name="Ф80" localSheetId="5">#REF!</definedName>
    <definedName name="_xlnm.Print_Area" localSheetId="5">'Зведена J3'!$C$3:$T$20</definedName>
  </definedNames>
  <calcPr calcId="191029" calcMode="autoNoTable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color rgb="FF000000"/>
      <sz val="11"/>
    </font>
    <font>
      <name val="Calibri"/>
      <charset val="204"/>
      <family val="2"/>
      <color rgb="FF000000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4"/>
    </font>
    <font>
      <name val="Times New Roman"/>
      <charset val="204"/>
      <family val="1"/>
      <b val="1"/>
      <sz val="14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sz val="14"/>
      <u val="single"/>
    </font>
    <font>
      <name val="Times New Roman"/>
      <charset val="204"/>
      <family val="1"/>
      <color theme="1"/>
      <sz val="14"/>
    </font>
  </fonts>
  <fills count="8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8">
    <xf numFmtId="0" fontId="0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94">
    <xf numFmtId="0" fontId="0" fillId="0" borderId="0" pivotButton="0" quotePrefix="0" xfId="0"/>
    <xf numFmtId="0" fontId="3" fillId="4" borderId="1" applyAlignment="1" pivotButton="0" quotePrefix="0" xfId="5">
      <alignment horizontal="center" vertical="center"/>
    </xf>
    <xf numFmtId="0" fontId="5" fillId="4" borderId="1" applyAlignment="1" pivotButton="0" quotePrefix="0" xfId="5">
      <alignment horizontal="center" vertical="center"/>
    </xf>
    <xf numFmtId="0" fontId="6" fillId="4" borderId="1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vertical="center"/>
      <protection locked="0" hidden="0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1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left" vertical="center" wrapText="1"/>
      <protection locked="1" hidden="1"/>
    </xf>
    <xf numFmtId="164" fontId="3" fillId="2" borderId="2" applyAlignment="1" applyProtection="1" pivotButton="0" quotePrefix="0" xfId="5">
      <alignment horizontal="center" vertical="center"/>
      <protection locked="1" hidden="1"/>
    </xf>
    <xf numFmtId="2" fontId="3" fillId="2" borderId="2" applyAlignment="1" applyProtection="1" pivotButton="0" quotePrefix="0" xfId="5">
      <alignment horizontal="center" vertical="center"/>
      <protection locked="1" hidden="1"/>
    </xf>
    <xf numFmtId="0" fontId="5" fillId="5" borderId="1" applyAlignment="1" applyProtection="1" pivotButton="0" quotePrefix="0" xfId="5">
      <alignment horizontal="left" vertical="center"/>
      <protection locked="1" hidden="1"/>
    </xf>
    <xf numFmtId="0" fontId="3" fillId="4" borderId="1" applyAlignment="1" applyProtection="1" pivotButton="0" quotePrefix="0" xfId="5">
      <alignment horizontal="center" vertical="center"/>
      <protection locked="0" hidden="1"/>
    </xf>
    <xf numFmtId="0" fontId="5" fillId="5" borderId="5" applyAlignment="1" applyProtection="1" pivotButton="0" quotePrefix="0" xfId="5">
      <alignment vertical="center"/>
      <protection locked="0" hidden="1"/>
    </xf>
    <xf numFmtId="0" fontId="3" fillId="0" borderId="2" applyAlignment="1" applyProtection="1" pivotButton="0" quotePrefix="0" xfId="5">
      <alignment horizontal="center" textRotation="90" wrapText="1"/>
      <protection locked="0" hidden="0"/>
    </xf>
    <xf numFmtId="0" fontId="3" fillId="5" borderId="3" applyAlignment="1" applyProtection="1" pivotButton="0" quotePrefix="0" xfId="5">
      <alignment vertical="center"/>
      <protection locked="1" hidden="1"/>
    </xf>
    <xf numFmtId="0" fontId="3" fillId="5" borderId="10" applyAlignment="1" applyProtection="1" pivotButton="0" quotePrefix="0" xfId="5">
      <alignment vertical="center"/>
      <protection locked="1" hidden="1"/>
    </xf>
    <xf numFmtId="0" fontId="3" fillId="4" borderId="1" applyAlignment="1" applyProtection="1" pivotButton="0" quotePrefix="0" xfId="5">
      <alignment vertical="center"/>
      <protection locked="1" hidden="1"/>
    </xf>
    <xf numFmtId="0" fontId="3" fillId="5" borderId="8" applyAlignment="1" applyProtection="1" pivotButton="0" quotePrefix="0" xfId="5">
      <alignment vertical="center"/>
      <protection locked="1" hidden="1"/>
    </xf>
    <xf numFmtId="0" fontId="3" fillId="5" borderId="6" applyAlignment="1" applyProtection="1" pivotButton="0" quotePrefix="0" xfId="5">
      <alignment vertical="center"/>
      <protection locked="1" hidden="1"/>
    </xf>
    <xf numFmtId="0" fontId="3" fillId="5" borderId="9" applyAlignment="1" applyProtection="1" pivotButton="0" quotePrefix="0" xfId="5">
      <alignment vertical="center"/>
      <protection locked="1" hidden="1"/>
    </xf>
    <xf numFmtId="0" fontId="3" fillId="5" borderId="4" applyAlignment="1" applyProtection="1" pivotButton="0" quotePrefix="0" xfId="5">
      <alignment vertical="center"/>
      <protection locked="1" hidden="1"/>
    </xf>
    <xf numFmtId="0" fontId="5" fillId="5" borderId="11" applyAlignment="1" applyProtection="1" pivotButton="0" quotePrefix="0" xfId="5">
      <alignment vertical="center"/>
      <protection locked="0" hidden="1"/>
    </xf>
    <xf numFmtId="0" fontId="3" fillId="5" borderId="4" applyAlignment="1" applyProtection="1" pivotButton="0" quotePrefix="0" xfId="5">
      <alignment vertical="center"/>
      <protection locked="0" hidden="1"/>
    </xf>
    <xf numFmtId="0" fontId="3" fillId="6" borderId="2" applyAlignment="1" applyProtection="1" pivotButton="0" quotePrefix="0" xfId="5">
      <alignment horizontal="center" textRotation="90" wrapText="1"/>
      <protection locked="0" hidden="0"/>
    </xf>
    <xf numFmtId="0" fontId="3" fillId="6" borderId="1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left" vertical="center" wrapText="1"/>
      <protection locked="1" hidden="1"/>
    </xf>
    <xf numFmtId="0" fontId="5" fillId="6" borderId="1" applyAlignment="1" applyProtection="1" pivotButton="0" quotePrefix="0" xfId="5">
      <alignment horizontal="left" vertical="center"/>
      <protection locked="1" hidden="1"/>
    </xf>
    <xf numFmtId="0" fontId="5" fillId="6" borderId="1" applyAlignment="1" applyProtection="1" pivotButton="0" quotePrefix="0" xfId="5">
      <alignment horizontal="left" vertical="center"/>
      <protection locked="0" hidden="0"/>
    </xf>
    <xf numFmtId="0" fontId="3" fillId="6" borderId="8" applyAlignment="1" applyProtection="1" pivotButton="0" quotePrefix="0" xfId="5">
      <alignment vertical="center"/>
      <protection locked="1" hidden="1"/>
    </xf>
    <xf numFmtId="0" fontId="3" fillId="6" borderId="6" applyAlignment="1" applyProtection="1" pivotButton="0" quotePrefix="0" xfId="5">
      <alignment vertical="center"/>
      <protection locked="1" hidden="1"/>
    </xf>
    <xf numFmtId="0" fontId="3" fillId="6" borderId="9" applyAlignment="1" applyProtection="1" pivotButton="0" quotePrefix="0" xfId="5">
      <alignment vertical="center"/>
      <protection locked="1" hidden="1"/>
    </xf>
    <xf numFmtId="0" fontId="5" fillId="6" borderId="5" applyAlignment="1" applyProtection="1" pivotButton="0" quotePrefix="0" xfId="5">
      <alignment vertical="center"/>
      <protection locked="0" hidden="1"/>
    </xf>
    <xf numFmtId="0" fontId="3" fillId="6" borderId="4" applyAlignment="1" applyProtection="1" pivotButton="0" quotePrefix="0" xfId="5">
      <alignment vertical="center"/>
      <protection locked="1" hidden="1"/>
    </xf>
    <xf numFmtId="0" fontId="3" fillId="6" borderId="4" applyAlignment="1" applyProtection="1" pivotButton="0" quotePrefix="0" xfId="5">
      <alignment vertical="center"/>
      <protection locked="0" hidden="1"/>
    </xf>
    <xf numFmtId="0" fontId="5" fillId="6" borderId="11" applyAlignment="1" applyProtection="1" pivotButton="0" quotePrefix="0" xfId="5">
      <alignment vertical="center"/>
      <protection locked="0" hidden="1"/>
    </xf>
    <xf numFmtId="0" fontId="3" fillId="6" borderId="3" applyAlignment="1" applyProtection="1" pivotButton="0" quotePrefix="0" xfId="5">
      <alignment vertical="center"/>
      <protection locked="1" hidden="1"/>
    </xf>
    <xf numFmtId="0" fontId="3" fillId="6" borderId="10" applyAlignment="1" applyProtection="1" pivotButton="0" quotePrefix="0" xfId="5">
      <alignment vertical="center"/>
      <protection locked="1" hidden="1"/>
    </xf>
    <xf numFmtId="0" fontId="8" fillId="7" borderId="1" applyAlignment="1" applyProtection="1" pivotButton="0" quotePrefix="0" xfId="5">
      <alignment horizontal="center" vertical="center"/>
      <protection locked="1" hidden="1"/>
    </xf>
    <xf numFmtId="0" fontId="3" fillId="7" borderId="1" applyAlignment="1" applyProtection="1" pivotButton="0" quotePrefix="0" xfId="5">
      <alignment vertical="center"/>
      <protection locked="1" hidden="1"/>
    </xf>
    <xf numFmtId="0" fontId="3" fillId="7" borderId="1" applyAlignment="1" applyProtection="1" pivotButton="0" quotePrefix="0" xfId="5">
      <alignment vertical="center"/>
      <protection locked="0" hidden="1"/>
    </xf>
    <xf numFmtId="0" fontId="3" fillId="7" borderId="4" applyAlignment="1" applyProtection="1" pivotButton="0" quotePrefix="0" xfId="5">
      <alignment vertical="center"/>
      <protection locked="0" hidden="1"/>
    </xf>
    <xf numFmtId="0" fontId="3" fillId="7" borderId="1" applyAlignment="1" pivotButton="0" quotePrefix="0" xfId="5">
      <alignment horizontal="center" vertical="center"/>
    </xf>
    <xf numFmtId="2" fontId="9" fillId="2" borderId="2" applyAlignment="1" pivotButton="0" quotePrefix="0" xfId="5">
      <alignment horizontal="center" vertical="center"/>
    </xf>
    <xf numFmtId="164" fontId="3" fillId="3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pivotButton="0" quotePrefix="0" xfId="5">
      <alignment horizontal="center" vertical="center" wrapText="1"/>
    </xf>
    <xf numFmtId="0" fontId="3" fillId="6" borderId="2" applyAlignment="1" pivotButton="0" quotePrefix="0" xfId="5">
      <alignment horizontal="left" vertical="center" wrapText="1"/>
    </xf>
    <xf numFmtId="2" fontId="3" fillId="6" borderId="2" applyAlignment="1" pivotButton="0" quotePrefix="0" xfId="5">
      <alignment horizontal="center" vertical="center"/>
    </xf>
    <xf numFmtId="0" fontId="3" fillId="5" borderId="2" applyAlignment="1" pivotButton="0" quotePrefix="0" xfId="5">
      <alignment horizontal="center" vertical="center" wrapText="1"/>
    </xf>
    <xf numFmtId="0" fontId="3" fillId="5" borderId="2" applyAlignment="1" pivotButton="0" quotePrefix="0" xfId="5">
      <alignment horizontal="left" vertical="center" wrapText="1"/>
    </xf>
    <xf numFmtId="0" fontId="3" fillId="5" borderId="2" applyAlignment="1" pivotButton="0" quotePrefix="0" xfId="5">
      <alignment horizontal="center" vertical="center"/>
    </xf>
    <xf numFmtId="0" fontId="3" fillId="5" borderId="2" applyAlignment="1" applyProtection="1" pivotButton="0" quotePrefix="0" xfId="5">
      <alignment horizontal="center" textRotation="90" wrapText="1"/>
      <protection locked="0" hidden="0"/>
    </xf>
    <xf numFmtId="2" fontId="3" fillId="5" borderId="2" applyAlignment="1" pivotButton="0" quotePrefix="0" xfId="5">
      <alignment horizontal="center" vertical="center"/>
    </xf>
    <xf numFmtId="0" fontId="5" fillId="5" borderId="1" applyAlignment="1" applyProtection="1" pivotButton="0" quotePrefix="0" xfId="5">
      <alignment vertical="top"/>
      <protection locked="0" hidden="0"/>
    </xf>
    <xf numFmtId="0" fontId="5" fillId="5" borderId="1" applyAlignment="1" applyProtection="1" pivotButton="0" quotePrefix="0" xfId="5">
      <alignment vertical="top"/>
      <protection locked="1" hidden="1"/>
    </xf>
    <xf numFmtId="0" fontId="5" fillId="5" borderId="1" applyProtection="1" pivotButton="0" quotePrefix="0" xfId="5">
      <protection locked="0" hidden="0"/>
    </xf>
    <xf numFmtId="0" fontId="5" fillId="5" borderId="1" applyAlignment="1" applyProtection="1" pivotButton="0" quotePrefix="0" xfId="5">
      <alignment vertical="center"/>
      <protection locked="1" hidden="1"/>
    </xf>
    <xf numFmtId="0" fontId="5" fillId="5" borderId="1" applyAlignment="1" applyProtection="1" pivotButton="0" quotePrefix="0" xfId="5">
      <alignment vertical="center"/>
      <protection locked="0" hidden="0"/>
    </xf>
    <xf numFmtId="2" fontId="9" fillId="5" borderId="2" applyAlignment="1" pivotButton="0" quotePrefix="0" xfId="5">
      <alignment horizontal="center" vertical="center"/>
    </xf>
    <xf numFmtId="0" fontId="5" fillId="5" borderId="1" applyProtection="1" pivotButton="0" quotePrefix="0" xfId="5">
      <protection locked="1" hidden="1"/>
    </xf>
    <xf numFmtId="0" fontId="11" fillId="6" borderId="0" applyAlignment="1" pivotButton="0" quotePrefix="0" xfId="0">
      <alignment horizontal="center" vertical="center"/>
    </xf>
    <xf numFmtId="0" fontId="6" fillId="5" borderId="1" applyAlignment="1" applyProtection="1" pivotButton="0" quotePrefix="0" xfId="5">
      <alignment horizontal="center" vertical="center" wrapText="1"/>
      <protection locked="1" hidden="1"/>
    </xf>
    <xf numFmtId="0" fontId="6" fillId="5" borderId="7" applyAlignment="1" applyProtection="1" pivotButton="0" quotePrefix="0" xfId="5">
      <alignment horizontal="center" vertical="center" wrapText="1"/>
      <protection locked="1" hidden="1"/>
    </xf>
    <xf numFmtId="0" fontId="3" fillId="5" borderId="2" applyAlignment="1" applyProtection="1" pivotButton="0" quotePrefix="1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/>
      <protection locked="1" hidden="1"/>
    </xf>
    <xf numFmtId="0" fontId="3" fillId="5" borderId="2" applyAlignment="1" applyProtection="1" pivotButton="0" quotePrefix="0" xfId="5">
      <alignment horizontal="center" vertical="center" wrapText="1"/>
      <protection locked="1" hidden="1"/>
    </xf>
    <xf numFmtId="0" fontId="3" fillId="5" borderId="14" applyAlignment="1" applyProtection="1" pivotButton="0" quotePrefix="0" xfId="5">
      <alignment horizontal="center" vertical="center"/>
      <protection locked="1" hidden="1"/>
    </xf>
    <xf numFmtId="0" fontId="3" fillId="5" borderId="15" applyAlignment="1" applyProtection="1" pivotButton="0" quotePrefix="0" xfId="5">
      <alignment horizontal="center" vertical="center"/>
      <protection locked="1" hidden="1"/>
    </xf>
    <xf numFmtId="0" fontId="3" fillId="5" borderId="13" applyAlignment="1" applyProtection="1" pivotButton="0" quotePrefix="0" xfId="5">
      <alignment horizontal="center" vertical="center"/>
      <protection locked="1" hidden="1"/>
    </xf>
    <xf numFmtId="0" fontId="4" fillId="5" borderId="16" applyAlignment="1" applyProtection="1" pivotButton="0" quotePrefix="0" xfId="5">
      <alignment horizontal="center" vertical="center" textRotation="90" wrapText="1"/>
      <protection locked="1" hidden="1"/>
    </xf>
    <xf numFmtId="0" fontId="4" fillId="5" borderId="12" applyAlignment="1" applyProtection="1" pivotButton="0" quotePrefix="0" xfId="5">
      <alignment horizontal="center" vertical="center" textRotation="90" wrapText="1"/>
      <protection locked="1" hidden="1"/>
    </xf>
    <xf numFmtId="0" fontId="5" fillId="5" borderId="1" applyAlignment="1" applyProtection="1" pivotButton="0" quotePrefix="0" xfId="5">
      <alignment horizontal="center" wrapText="1"/>
      <protection locked="1" hidden="1"/>
    </xf>
    <xf numFmtId="0" fontId="6" fillId="5" borderId="1" applyAlignment="1" applyProtection="1" pivotButton="0" quotePrefix="0" xfId="5">
      <alignment horizontal="center" vertical="center"/>
      <protection locked="1" hidden="1"/>
    </xf>
    <xf numFmtId="0" fontId="5" fillId="5" borderId="7" applyAlignment="1" applyProtection="1" pivotButton="0" quotePrefix="0" xfId="5">
      <alignment horizontal="center" vertical="center"/>
      <protection locked="0" hidden="0"/>
    </xf>
    <xf numFmtId="0" fontId="5" fillId="5" borderId="1" applyAlignment="1" applyProtection="1" pivotButton="0" quotePrefix="0" xfId="5">
      <alignment horizontal="center" vertical="center"/>
      <protection locked="0" hidden="0"/>
    </xf>
    <xf numFmtId="0" fontId="6" fillId="6" borderId="1" applyAlignment="1" applyProtection="1" pivotButton="0" quotePrefix="0" xfId="5">
      <alignment horizontal="center" vertical="center"/>
      <protection locked="1" hidden="1"/>
    </xf>
    <xf numFmtId="0" fontId="5" fillId="6" borderId="1" applyAlignment="1" applyProtection="1" pivotButton="0" quotePrefix="0" xfId="5">
      <alignment horizontal="center" wrapText="1"/>
      <protection locked="1" hidden="1"/>
    </xf>
    <xf numFmtId="0" fontId="5" fillId="6" borderId="1" applyAlignment="1" applyProtection="1" pivotButton="0" quotePrefix="0" xfId="5">
      <alignment horizontal="center" vertical="center"/>
      <protection locked="0" hidden="0"/>
    </xf>
    <xf numFmtId="0" fontId="5" fillId="6" borderId="7" applyAlignment="1" applyProtection="1" pivotButton="0" quotePrefix="0" xfId="5">
      <alignment horizontal="center" vertical="center"/>
      <protection locked="0" hidden="0"/>
    </xf>
    <xf numFmtId="0" fontId="3" fillId="6" borderId="2" applyAlignment="1" applyProtection="1" pivotButton="0" quotePrefix="1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/>
      <protection locked="1" hidden="1"/>
    </xf>
    <xf numFmtId="0" fontId="3" fillId="6" borderId="2" applyAlignment="1" applyProtection="1" pivotButton="0" quotePrefix="0" xfId="5">
      <alignment horizontal="center" vertical="center" wrapText="1"/>
      <protection locked="1" hidden="1"/>
    </xf>
    <xf numFmtId="0" fontId="3" fillId="6" borderId="14" applyAlignment="1" applyProtection="1" pivotButton="0" quotePrefix="0" xfId="5">
      <alignment horizontal="center" vertical="center"/>
      <protection locked="1" hidden="1"/>
    </xf>
    <xf numFmtId="0" fontId="3" fillId="6" borderId="15" applyAlignment="1" applyProtection="1" pivotButton="0" quotePrefix="0" xfId="5">
      <alignment horizontal="center" vertical="center"/>
      <protection locked="1" hidden="1"/>
    </xf>
    <xf numFmtId="0" fontId="3" fillId="6" borderId="13" applyAlignment="1" applyProtection="1" pivotButton="0" quotePrefix="0" xfId="5">
      <alignment horizontal="center" vertical="center"/>
      <protection locked="1" hidden="1"/>
    </xf>
    <xf numFmtId="0" fontId="4" fillId="6" borderId="16" applyAlignment="1" applyProtection="1" pivotButton="0" quotePrefix="0" xfId="5">
      <alignment horizontal="center" vertical="center" textRotation="90" wrapText="1"/>
      <protection locked="1" hidden="1"/>
    </xf>
    <xf numFmtId="0" fontId="4" fillId="6" borderId="12" applyAlignment="1" applyProtection="1" pivotButton="0" quotePrefix="0" xfId="5">
      <alignment horizontal="center" vertical="center" textRotation="90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5" applyProtection="1" pivotButton="0" quotePrefix="0" xfId="0">
      <protection locked="1" hidden="1"/>
    </xf>
    <xf numFmtId="0" fontId="0" fillId="0" borderId="13" applyProtection="1" pivotButton="0" quotePrefix="0" xfId="0">
      <protection locked="1" hidden="1"/>
    </xf>
    <xf numFmtId="0" fontId="4" fillId="5" borderId="2" applyAlignment="1" applyProtection="1" pivotButton="0" quotePrefix="0" xfId="5">
      <alignment horizontal="center" vertical="center" textRotation="90" wrapText="1"/>
      <protection locked="1" hidden="1"/>
    </xf>
    <xf numFmtId="0" fontId="0" fillId="0" borderId="12" applyProtection="1" pivotButton="0" quotePrefix="0" xfId="0">
      <protection locked="1" hidden="1"/>
    </xf>
    <xf numFmtId="0" fontId="0" fillId="0" borderId="0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</cellXfs>
  <cellStyles count="28">
    <cellStyle name="Обычный" xfId="0" builtinId="0"/>
    <cellStyle name="Обычный 11" xfId="1"/>
    <cellStyle name="Обычный 2" xfId="2"/>
    <cellStyle name="Обычный 10" xfId="3"/>
    <cellStyle name="Обычный 10 2" xfId="4"/>
    <cellStyle name="Обычный 11 2" xfId="5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  <cellStyle name="Обычный 12" xfId="22"/>
    <cellStyle name="Обычный 13" xfId="23"/>
    <cellStyle name="Обычный 14" xfId="24"/>
    <cellStyle name="Обычный 15" xfId="25"/>
    <cellStyle name="Обычный 2 5" xfId="26"/>
    <cellStyle name="Обычный 2 6" xfId="27"/>
  </cellStyles>
  <tableStyles count="1" defaultTableStyle="TableStyleMedium9" defaultPivotStyle="PivotStyleLight16">
    <tableStyle name="Стиль сводной таблицы 1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57"/>
  <sheetViews>
    <sheetView tabSelected="1"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12" customFormat="1" customHeight="1" s="2">
      <c r="A3" s="40" t="n"/>
      <c r="B3" s="12" t="n"/>
      <c r="C3" s="61" t="inlineStr">
        <is>
          <t>ЗАГАЛЬНА ВІДОМІСТЬ З УСІМА СПЕЦІАЛЬНОСТЯМИ. НЕ ДЛЯ ДРУКУ. ЗВІДСИ ОЦІНКИ АВТОМАТИЧНО ПЕРЕНОСЯТЬСЯ ДО ВІДОМОСТЕЙ.
СТВОРЕНО ДЛЯ ЛЕГШОГО ЗАПОВНЕННЯ ОЦІНОК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2" customFormat="1" customHeight="1" s="3">
      <c r="A4" s="40" t="n"/>
      <c r="B4" s="12" t="n"/>
      <c r="C4" s="86" t="n"/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2" customFormat="1" customHeight="1" s="2">
      <c r="A5" s="40" t="n"/>
      <c r="B5" s="12" t="n"/>
      <c r="C5" s="86" t="n"/>
      <c r="D5" s="86" t="n"/>
      <c r="E5" s="86" t="n"/>
      <c r="F5" s="86" t="n"/>
      <c r="G5" s="86" t="n"/>
      <c r="H5" s="86" t="n"/>
      <c r="I5" s="86" t="n"/>
      <c r="J5" s="86" t="n"/>
      <c r="K5" s="86" t="n"/>
      <c r="L5" s="86" t="n"/>
      <c r="M5" s="86" t="n"/>
      <c r="N5" s="86" t="n"/>
      <c r="O5" s="86" t="n"/>
      <c r="P5" s="86" t="n"/>
      <c r="Q5" s="86" t="n"/>
      <c r="R5" s="86" t="n"/>
      <c r="S5" s="86" t="n"/>
      <c r="T5" s="86" t="n"/>
      <c r="U5" s="86" t="n"/>
      <c r="V5" s="20" t="n"/>
      <c r="W5" s="39" t="n"/>
    </row>
    <row r="6" ht="12" customFormat="1" customHeight="1" s="2">
      <c r="A6" s="40" t="n"/>
      <c r="B6" s="12" t="n"/>
      <c r="C6" s="86" t="n"/>
      <c r="D6" s="86" t="n"/>
      <c r="E6" s="86" t="n"/>
      <c r="F6" s="86" t="n"/>
      <c r="G6" s="86" t="n"/>
      <c r="H6" s="86" t="n"/>
      <c r="I6" s="86" t="n"/>
      <c r="J6" s="86" t="n"/>
      <c r="K6" s="86" t="n"/>
      <c r="L6" s="86" t="n"/>
      <c r="M6" s="86" t="n"/>
      <c r="N6" s="86" t="n"/>
      <c r="O6" s="86" t="n"/>
      <c r="P6" s="86" t="n"/>
      <c r="Q6" s="86" t="n"/>
      <c r="R6" s="86" t="n"/>
      <c r="S6" s="86" t="n"/>
      <c r="T6" s="86" t="n"/>
      <c r="U6" s="86" t="n"/>
      <c r="V6" s="20" t="n"/>
      <c r="W6" s="39" t="n"/>
    </row>
    <row r="7" ht="12" customFormat="1" customHeight="1" s="2">
      <c r="A7" s="40" t="n"/>
      <c r="B7" s="12" t="n"/>
      <c r="C7" s="87" t="n"/>
      <c r="D7" s="87" t="n"/>
      <c r="E7" s="87" t="n"/>
      <c r="F7" s="87" t="n"/>
      <c r="G7" s="87" t="n"/>
      <c r="H7" s="87" t="n"/>
      <c r="I7" s="87" t="n"/>
      <c r="J7" s="87" t="n"/>
      <c r="K7" s="87" t="n"/>
      <c r="L7" s="87" t="n"/>
      <c r="M7" s="87" t="n"/>
      <c r="N7" s="87" t="n"/>
      <c r="O7" s="87" t="n"/>
      <c r="P7" s="87" t="n"/>
      <c r="Q7" s="87" t="n"/>
      <c r="R7" s="87" t="n"/>
      <c r="S7" s="87" t="n"/>
      <c r="T7" s="87" t="n"/>
      <c r="U7" s="87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 t="inlineStr">
        <is>
          <t>Астрономія
Мельничук С.А.</t>
        </is>
      </c>
      <c r="G9" s="13" t="inlineStr">
        <is>
          <t>Біологія
Богданенко О.В.</t>
        </is>
      </c>
      <c r="H9" s="13" t="inlineStr">
        <is>
          <t>Всесвітня Історія
Мельничук С.А.</t>
        </is>
      </c>
      <c r="I9" s="13" t="inlineStr">
        <is>
          <t>Географія
Наговська Т.С.</t>
        </is>
      </c>
      <c r="J9" s="13" t="inlineStr">
        <is>
          <t>Зарубіжна література
Бабенко Л.Е.</t>
        </is>
      </c>
      <c r="K9" s="13" t="inlineStr">
        <is>
          <t>Захист України
Лазар В.І.</t>
        </is>
      </c>
      <c r="L9" s="13" t="inlineStr">
        <is>
          <t>Іноземна мова
Нічик Н.О.</t>
        </is>
      </c>
      <c r="M9" s="13" t="inlineStr">
        <is>
          <t>Інформатика
Андрльє І.О.</t>
        </is>
      </c>
      <c r="N9" s="13" t="inlineStr">
        <is>
          <t>Історія України
Левчук Т.Г.</t>
        </is>
      </c>
      <c r="O9" s="13" t="inlineStr">
        <is>
          <t>Математика
Бондаренко О.С.</t>
        </is>
      </c>
      <c r="P9" s="13" t="inlineStr">
        <is>
          <t>Українська література
Юрченко О.Б.</t>
        </is>
      </c>
      <c r="Q9" s="13" t="inlineStr">
        <is>
          <t>Українська мова
Юрченко О.Б.</t>
        </is>
      </c>
      <c r="R9" s="13" t="inlineStr">
        <is>
          <t>Фізика
Калюта Н.М.</t>
        </is>
      </c>
      <c r="S9" s="13" t="inlineStr">
        <is>
          <t>Фізична культура
Возіян О.Г.</t>
        </is>
      </c>
      <c r="T9" s="13" t="inlineStr">
        <is>
          <t>Хімія
Сахно Н.О.</t>
        </is>
      </c>
      <c r="U9" s="91" t="n"/>
      <c r="V9" s="20" t="n"/>
      <c r="W9" s="39" t="n"/>
    </row>
    <row r="10" ht="15" customFormat="1" customHeight="1" s="11">
      <c r="A10" s="40" t="n"/>
      <c r="B10" s="12" t="n"/>
      <c r="C10" s="47" t="inlineStr">
        <is>
          <t>Б</t>
        </is>
      </c>
      <c r="D10" s="47" t="n">
        <v>1</v>
      </c>
      <c r="E10" s="48" t="inlineStr">
        <is>
          <t>Бернік Поліна Костянтинівна</t>
        </is>
      </c>
      <c r="F10" s="49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2">
        <f>IF(COUNTIF($F10:T10,"=*")&gt;0,IF($C10="K","-"," - "),IF(COUNTIF($F10:T10,"&lt;4")&gt;0,IF($C10="K","-","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 t="inlineStr">
        <is>
          <t>К</t>
        </is>
      </c>
      <c r="D11" s="47" t="n">
        <v>2</v>
      </c>
      <c r="E11" s="48" t="inlineStr">
        <is>
          <t>Брітіков Сергій Сергійович</t>
        </is>
      </c>
      <c r="F11" s="49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2">
        <f>IF(COUNTIF($F11:T11,"=*")&gt;0,IF($C11="K","-"," - "),IF(COUNTIF($F11:T11,"&lt;4")&gt;0,IF($C11="K","-","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 t="inlineStr">
        <is>
          <t>Б</t>
        </is>
      </c>
      <c r="D12" s="47" t="n">
        <v>3</v>
      </c>
      <c r="E12" s="48" t="inlineStr">
        <is>
          <t>Бучацька Олександра</t>
        </is>
      </c>
      <c r="F12" s="49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2">
        <f>IF(COUNTIF($F12:T12,"=*")&gt;0,IF($C12="K","-"," - "),IF(COUNTIF($F12:T12,"&lt;4")&gt;0,IF($C12="K","-","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 t="inlineStr">
        <is>
          <t>Б</t>
        </is>
      </c>
      <c r="D13" s="47" t="n">
        <v>4</v>
      </c>
      <c r="E13" s="48" t="inlineStr">
        <is>
          <t>Важельський Серафим Олександрович</t>
        </is>
      </c>
      <c r="F13" s="49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2">
        <f>IF(COUNTIF($F13:T13,"=*")&gt;0,IF($C13="K","-"," - "),IF(COUNTIF($F13:T13,"&lt;4")&gt;0,IF($C13="K","-","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 t="inlineStr">
        <is>
          <t>К</t>
        </is>
      </c>
      <c r="D14" s="47" t="n">
        <v>5</v>
      </c>
      <c r="E14" s="48" t="inlineStr">
        <is>
          <t>Вальчук Богдан Олександрович</t>
        </is>
      </c>
      <c r="F14" s="49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2">
        <f>IF(COUNTIF($F14:T14,"=*")&gt;0,IF($C14="K","-"," - "),IF(COUNTIF($F14:T14,"&lt;4")&gt;0,IF($C14="K","-","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 t="inlineStr">
        <is>
          <t>Б</t>
        </is>
      </c>
      <c r="D15" s="47" t="n">
        <v>6</v>
      </c>
      <c r="E15" s="48" t="inlineStr">
        <is>
          <t>Варивода Станіслава Михайлівна</t>
        </is>
      </c>
      <c r="F15" s="49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2">
        <f>IF(COUNTIF($F15:T15,"=*")&gt;0,IF($C15="K","-"," - "),IF(COUNTIF($F15:T15,"&lt;4")&gt;0,IF($C15="K","-","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 t="inlineStr">
        <is>
          <t>К</t>
        </is>
      </c>
      <c r="D16" s="47" t="n">
        <v>7</v>
      </c>
      <c r="E16" s="48" t="inlineStr">
        <is>
          <t>Господарюк Юрій Михайлович</t>
        </is>
      </c>
      <c r="F16" s="49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2">
        <f>IF(COUNTIF($F16:T16,"=*")&gt;0,IF($C16="K","-"," - "),IF(COUNTIF($F16:T16,"&lt;4")&gt;0,IF($C16="K","-","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 t="inlineStr">
        <is>
          <t>К</t>
        </is>
      </c>
      <c r="D17" s="47" t="n">
        <v>8</v>
      </c>
      <c r="E17" s="48" t="inlineStr">
        <is>
          <t>Дзюбка Мирослава Володимирівна</t>
        </is>
      </c>
      <c r="F17" s="49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2">
        <f>IF(COUNTIF($F17:T17,"=*")&gt;0,IF($C17="K","-"," - "),IF(COUNTIF($F17:T17,"&lt;4")&gt;0,IF($C17="K","-","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 t="inlineStr">
        <is>
          <t>К</t>
        </is>
      </c>
      <c r="D18" s="47" t="n">
        <v>9</v>
      </c>
      <c r="E18" s="48" t="inlineStr">
        <is>
          <t>Єсипович Володимир Іванович</t>
        </is>
      </c>
      <c r="F18" s="49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2">
        <f>IF(COUNTIF($F18:T18,"=*")&gt;0,IF($C18="K","-"," - "),IF(COUNTIF($F18:T18,"&lt;4")&gt;0,IF($C18="K","-","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 t="inlineStr">
        <is>
          <t>Б</t>
        </is>
      </c>
      <c r="D19" s="47" t="n">
        <v>10</v>
      </c>
      <c r="E19" s="48" t="inlineStr">
        <is>
          <t>Жумайло Дар`я Юріївна</t>
        </is>
      </c>
      <c r="F19" s="49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2">
        <f>IF(COUNTIF($F19:T19,"=*")&gt;0,IF($C19="K","-"," - "),IF(COUNTIF($F19:T19,"&lt;4")&gt;0,IF($C19="K","-","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 t="inlineStr">
        <is>
          <t>К</t>
        </is>
      </c>
      <c r="D20" s="47" t="n">
        <v>11</v>
      </c>
      <c r="E20" s="48" t="inlineStr">
        <is>
          <t>Залогін Володимир Євгенійович</t>
        </is>
      </c>
      <c r="F20" s="49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2">
        <f>IF(COUNTIF($F20:T20,"=*")&gt;0,IF($C20="K","-"," - "),IF(COUNTIF($F20:T20,"&lt;4")&gt;0,IF($C20="K","-","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 t="inlineStr">
        <is>
          <t>К</t>
        </is>
      </c>
      <c r="D21" s="47" t="n">
        <v>12</v>
      </c>
      <c r="E21" s="48" t="inlineStr">
        <is>
          <t>Катеринюк Юрій Юрійович</t>
        </is>
      </c>
      <c r="F21" s="49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2">
        <f>IF(COUNTIF($F21:T21,"=*")&gt;0,IF($C21="K","-"," - "),IF(COUNTIF($F21:T21,"&lt;4")&gt;0,IF($C21="K","-","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 t="inlineStr">
        <is>
          <t>Б</t>
        </is>
      </c>
      <c r="D22" s="47" t="n">
        <v>13</v>
      </c>
      <c r="E22" s="48" t="inlineStr">
        <is>
          <t>Кірон Ангеліна Петрівна</t>
        </is>
      </c>
      <c r="F22" s="49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2">
        <f>IF(COUNTIF($F22:T22,"=*")&gt;0,IF($C22="K","-"," - "),IF(COUNTIF($F22:T22,"&lt;4")&gt;0,IF($C22="K","-","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 t="inlineStr">
        <is>
          <t>Б</t>
        </is>
      </c>
      <c r="D23" s="47" t="n">
        <v>14</v>
      </c>
      <c r="E23" s="48" t="inlineStr">
        <is>
          <t>Кісельова Аріна Вадимівна</t>
        </is>
      </c>
      <c r="F23" s="49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2">
        <f>IF(COUNTIF($F23:T23,"=*")&gt;0,IF($C23="K","-"," - "),IF(COUNTIF($F23:T23,"&lt;4")&gt;0,IF($C23="K","-","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 t="inlineStr">
        <is>
          <t>К</t>
        </is>
      </c>
      <c r="D24" s="47" t="n">
        <v>15</v>
      </c>
      <c r="E24" s="48" t="inlineStr">
        <is>
          <t>Криворучко Олександр Степанович</t>
        </is>
      </c>
      <c r="F24" s="49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2">
        <f>IF(COUNTIF($F24:T24,"=*")&gt;0,IF($C24="K","-"," - "),IF(COUNTIF($F24:T24,"&lt;4")&gt;0,IF($C24="K","-","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 t="inlineStr">
        <is>
          <t>Б</t>
        </is>
      </c>
      <c r="D25" s="47" t="n">
        <v>16</v>
      </c>
      <c r="E25" s="48" t="inlineStr">
        <is>
          <t>Леженко Серафим Русланович</t>
        </is>
      </c>
      <c r="F25" s="49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2">
        <f>IF(COUNTIF($F25:T25,"=*")&gt;0,IF($C25="K","-"," - "),IF(COUNTIF($F25:T25,"&lt;4")&gt;0,IF($C25="K","-","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 t="inlineStr">
        <is>
          <t>К</t>
        </is>
      </c>
      <c r="D26" s="47" t="n">
        <v>17</v>
      </c>
      <c r="E26" s="48" t="inlineStr">
        <is>
          <t>Маркітан Станіслав Ігорович</t>
        </is>
      </c>
      <c r="F26" s="49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2">
        <f>IF(COUNTIF($F26:T26,"=*")&gt;0,IF($C26="K","-"," - "),IF(COUNTIF($F26:T26,"&lt;4")&gt;0,IF($C26="K","-","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 t="inlineStr">
        <is>
          <t>К</t>
        </is>
      </c>
      <c r="D27" s="47" t="n">
        <v>18</v>
      </c>
      <c r="E27" s="48" t="inlineStr">
        <is>
          <t>Новицький Руслан Віталійович</t>
        </is>
      </c>
      <c r="F27" s="49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2">
        <f>IF(COUNTIF($F27:T27,"=*")&gt;0,IF($C27="K","-"," - "),IF(COUNTIF($F27:T27,"&lt;4")&gt;0,IF($C27="K","-","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 t="inlineStr">
        <is>
          <t>Б</t>
        </is>
      </c>
      <c r="D28" s="47" t="n">
        <v>19</v>
      </c>
      <c r="E28" s="48" t="inlineStr">
        <is>
          <t>Овсяннікова Анастасія Віталіївна</t>
        </is>
      </c>
      <c r="F28" s="49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2">
        <f>IF(COUNTIF($F28:T28,"=*")&gt;0,IF($C28="K","-"," - "),IF(COUNTIF($F28:T28,"&lt;4")&gt;0,IF($C28="K","-","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 t="inlineStr">
        <is>
          <t>К</t>
        </is>
      </c>
      <c r="D29" s="47" t="n">
        <v>20</v>
      </c>
      <c r="E29" s="48" t="inlineStr">
        <is>
          <t>Полягошко Вероніка Миколаївна</t>
        </is>
      </c>
      <c r="F29" s="49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2">
        <f>IF(COUNTIF($F29:T29,"=*")&gt;0,IF($C29="K","-"," - "),IF(COUNTIF($F29:T29,"&lt;4")&gt;0,IF($C29="K","-","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47" t="inlineStr">
        <is>
          <t>Б</t>
        </is>
      </c>
      <c r="D30" s="47" t="n">
        <v>21</v>
      </c>
      <c r="E30" s="48" t="inlineStr">
        <is>
          <t>Поляков Михайло Олександрович</t>
        </is>
      </c>
      <c r="F30" s="49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2">
        <f>IF(COUNTIF($F30:T30,"=*")&gt;0,IF($C30="K","-"," - "),IF(COUNTIF($F30:T30,"&lt;4")&gt;0,IF($C30="K","-"," - "),(IFERROR(AVERAGE($F30:T30),"Очікую"))))</f>
        <v/>
      </c>
      <c r="V30" s="22" t="n"/>
      <c r="W30" s="39" t="n"/>
    </row>
    <row r="31" ht="15" customFormat="1" customHeight="1" s="11">
      <c r="A31" s="40" t="n"/>
      <c r="B31" s="12" t="n"/>
      <c r="C31" s="47" t="inlineStr">
        <is>
          <t>К</t>
        </is>
      </c>
      <c r="D31" s="47" t="n">
        <v>22</v>
      </c>
      <c r="E31" s="48" t="inlineStr">
        <is>
          <t>Помазан Валерій Миколайович</t>
        </is>
      </c>
      <c r="F31" s="49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2">
        <f>IF(COUNTIF($F31:T31,"=*")&gt;0,IF($C31="K","-"," - "),IF(COUNTIF($F31:T31,"&lt;4")&gt;0,IF($C31="K","-"," - "),(IFERROR(AVERAGE($F31:T31),"Очікую"))))</f>
        <v/>
      </c>
      <c r="V31" s="22" t="n"/>
      <c r="W31" s="39" t="n"/>
    </row>
    <row r="32" ht="15" customFormat="1" customHeight="1" s="11">
      <c r="A32" s="40" t="n"/>
      <c r="B32" s="12" t="n"/>
      <c r="C32" s="47" t="inlineStr">
        <is>
          <t>Б</t>
        </is>
      </c>
      <c r="D32" s="47" t="n">
        <v>23</v>
      </c>
      <c r="E32" s="48" t="inlineStr">
        <is>
          <t>Поплавських Єлизавета Іванівна</t>
        </is>
      </c>
      <c r="F32" s="49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2">
        <f>IF(COUNTIF($F32:T32,"=*")&gt;0,IF($C32="K","-"," - "),IF(COUNTIF($F32:T32,"&lt;4")&gt;0,IF($C32="K","-"," - "),(IFERROR(AVERAGE($F32:T32),"Очікую"))))</f>
        <v/>
      </c>
      <c r="V32" s="22" t="n"/>
      <c r="W32" s="39" t="n"/>
    </row>
    <row r="33" ht="15" customFormat="1" customHeight="1" s="11">
      <c r="A33" s="40" t="n"/>
      <c r="B33" s="12" t="n"/>
      <c r="C33" s="47" t="inlineStr">
        <is>
          <t>Б</t>
        </is>
      </c>
      <c r="D33" s="47" t="n">
        <v>24</v>
      </c>
      <c r="E33" s="48" t="inlineStr">
        <is>
          <t>Примаченко Інга Антонівна</t>
        </is>
      </c>
      <c r="F33" s="49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2">
        <f>IF(COUNTIF($F33:T33,"=*")&gt;0,IF($C33="K","-"," - "),IF(COUNTIF($F33:T33,"&lt;4")&gt;0,IF($C33="K","-"," - "),(IFERROR(AVERAGE($F33:T33),"Очікую"))))</f>
        <v/>
      </c>
      <c r="V33" s="22" t="n"/>
      <c r="W33" s="39" t="n"/>
    </row>
    <row r="34" ht="15" customFormat="1" customHeight="1" s="11">
      <c r="A34" s="40" t="n"/>
      <c r="B34" s="12" t="n"/>
      <c r="C34" s="47" t="inlineStr">
        <is>
          <t>К</t>
        </is>
      </c>
      <c r="D34" s="47" t="n">
        <v>25</v>
      </c>
      <c r="E34" s="48" t="inlineStr">
        <is>
          <t>Примха Павло Павлович</t>
        </is>
      </c>
      <c r="F34" s="49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2">
        <f>IF(COUNTIF($F34:T34,"=*")&gt;0,IF($C34="K","-"," - "),IF(COUNTIF($F34:T34,"&lt;4")&gt;0,IF($C34="K","-"," - "),(IFERROR(AVERAGE($F34:T34),"Очікую"))))</f>
        <v/>
      </c>
      <c r="V34" s="22" t="n"/>
      <c r="W34" s="39" t="n"/>
    </row>
    <row r="35" ht="15" customFormat="1" customHeight="1" s="11">
      <c r="A35" s="40" t="n"/>
      <c r="B35" s="12" t="n"/>
      <c r="C35" s="47" t="inlineStr">
        <is>
          <t>К</t>
        </is>
      </c>
      <c r="D35" s="47" t="n">
        <v>26</v>
      </c>
      <c r="E35" s="48" t="inlineStr">
        <is>
          <t>Проценко Микита Сергійович</t>
        </is>
      </c>
      <c r="F35" s="49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2">
        <f>IF(COUNTIF($F35:T35,"=*")&gt;0,IF($C35="K","-"," - "),IF(COUNTIF($F35:T35,"&lt;4")&gt;0,IF($C35="K","-"," - "),(IFERROR(AVERAGE($F35:T35),"Очікую"))))</f>
        <v/>
      </c>
      <c r="V35" s="22" t="n"/>
      <c r="W35" s="39" t="n"/>
    </row>
    <row r="36" ht="15" customFormat="1" customHeight="1" s="11">
      <c r="A36" s="40" t="n"/>
      <c r="B36" s="12" t="n"/>
      <c r="C36" s="47" t="inlineStr">
        <is>
          <t>К</t>
        </is>
      </c>
      <c r="D36" s="47" t="n">
        <v>27</v>
      </c>
      <c r="E36" s="48" t="inlineStr">
        <is>
          <t>Ракович Дмитро Вікторович</t>
        </is>
      </c>
      <c r="F36" s="49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2">
        <f>IF(COUNTIF($F36:T36,"=*")&gt;0,IF($C36="K","-"," - "),IF(COUNTIF($F36:T36,"&lt;4")&gt;0,IF($C36="K","-"," - "),(IFERROR(AVERAGE($F36:T36),"Очікую"))))</f>
        <v/>
      </c>
      <c r="V36" s="22" t="n"/>
      <c r="W36" s="39" t="n"/>
    </row>
    <row r="37" ht="15" customFormat="1" customHeight="1" s="11">
      <c r="A37" s="40" t="n"/>
      <c r="B37" s="12" t="n"/>
      <c r="C37" s="47" t="inlineStr">
        <is>
          <t>К</t>
        </is>
      </c>
      <c r="D37" s="47" t="n">
        <v>28</v>
      </c>
      <c r="E37" s="48" t="inlineStr">
        <is>
          <t>Рибинський Іван Іванович</t>
        </is>
      </c>
      <c r="F37" s="49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2">
        <f>IF(COUNTIF($F37:T37,"=*")&gt;0,IF($C37="K","-"," - "),IF(COUNTIF($F37:T37,"&lt;4")&gt;0,IF($C37="K","-"," - "),(IFERROR(AVERAGE($F37:T37),"Очікую"))))</f>
        <v/>
      </c>
      <c r="V37" s="22" t="n"/>
      <c r="W37" s="39" t="n"/>
    </row>
    <row r="38" ht="15" customFormat="1" customHeight="1" s="11">
      <c r="A38" s="40" t="n"/>
      <c r="B38" s="12" t="n"/>
      <c r="C38" s="47" t="inlineStr">
        <is>
          <t>К</t>
        </is>
      </c>
      <c r="D38" s="47" t="n">
        <v>29</v>
      </c>
      <c r="E38" s="48" t="inlineStr">
        <is>
          <t>Рижиков Василь Володимирович</t>
        </is>
      </c>
      <c r="F38" s="49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2">
        <f>IF(COUNTIF($F38:T38,"=*")&gt;0,IF($C38="K","-"," - "),IF(COUNTIF($F38:T38,"&lt;4")&gt;0,IF($C38="K","-"," - "),(IFERROR(AVERAGE($F38:T38),"Очікую"))))</f>
        <v/>
      </c>
      <c r="V38" s="22" t="n"/>
      <c r="W38" s="39" t="n"/>
    </row>
    <row r="39" ht="15" customFormat="1" customHeight="1" s="11">
      <c r="A39" s="40" t="n"/>
      <c r="B39" s="12" t="n"/>
      <c r="C39" s="47" t="inlineStr">
        <is>
          <t>К</t>
        </is>
      </c>
      <c r="D39" s="47" t="n">
        <v>30</v>
      </c>
      <c r="E39" s="48" t="inlineStr">
        <is>
          <t>Русєв Дмитро Георгійович</t>
        </is>
      </c>
      <c r="F39" s="49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2">
        <f>IF(COUNTIF($F39:T39,"=*")&gt;0,IF($C39="K","-"," - "),IF(COUNTIF($F39:T39,"&lt;4")&gt;0,IF($C39="K","-"," - "),(IFERROR(AVERAGE($F39:T39),"Очікую"))))</f>
        <v/>
      </c>
      <c r="V39" s="22" t="n"/>
      <c r="W39" s="39" t="n"/>
    </row>
    <row r="40" ht="15" customFormat="1" customHeight="1" s="11">
      <c r="A40" s="40" t="n"/>
      <c r="B40" s="12" t="n"/>
      <c r="C40" s="47" t="inlineStr">
        <is>
          <t>Б</t>
        </is>
      </c>
      <c r="D40" s="47" t="n">
        <v>31</v>
      </c>
      <c r="E40" s="48" t="inlineStr">
        <is>
          <t>Русу Альона Ігорівна</t>
        </is>
      </c>
      <c r="F40" s="49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2">
        <f>IF(COUNTIF($F40:T40,"=*")&gt;0,IF($C40="K","-"," - "),IF(COUNTIF($F40:T40,"&lt;4")&gt;0,IF($C40="K","-"," - "),(IFERROR(AVERAGE($F40:T40),"Очікую"))))</f>
        <v/>
      </c>
      <c r="V40" s="22" t="n"/>
      <c r="W40" s="39" t="n"/>
    </row>
    <row r="41" ht="15" customFormat="1" customHeight="1" s="11">
      <c r="A41" s="40" t="n"/>
      <c r="B41" s="12" t="n"/>
      <c r="C41" s="47" t="inlineStr">
        <is>
          <t>К</t>
        </is>
      </c>
      <c r="D41" s="47" t="n">
        <v>32</v>
      </c>
      <c r="E41" s="48" t="inlineStr">
        <is>
          <t>Соценко Ольга Олександрівна</t>
        </is>
      </c>
      <c r="F41" s="49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2">
        <f>IF(COUNTIF($F41:T41,"=*")&gt;0,IF($C41="K","-"," - "),IF(COUNTIF($F41:T41,"&lt;4")&gt;0,IF($C41="K","-"," - "),(IFERROR(AVERAGE($F41:T41),"Очікую"))))</f>
        <v/>
      </c>
      <c r="V41" s="22" t="n"/>
      <c r="W41" s="39" t="n"/>
    </row>
    <row r="42" ht="15" customFormat="1" customHeight="1" s="11">
      <c r="A42" s="40" t="n"/>
      <c r="B42" s="12" t="n"/>
      <c r="C42" s="47" t="inlineStr">
        <is>
          <t>К</t>
        </is>
      </c>
      <c r="D42" s="47" t="n">
        <v>33</v>
      </c>
      <c r="E42" s="48" t="inlineStr">
        <is>
          <t>Станчєв Віталій Васильович</t>
        </is>
      </c>
      <c r="F42" s="49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2">
        <f>IF(COUNTIF($F42:T42,"=*")&gt;0,IF($C42="K","-"," - "),IF(COUNTIF($F42:T42,"&lt;4")&gt;0,IF($C42="K","-"," - "),(IFERROR(AVERAGE($F42:T42),"Очікую"))))</f>
        <v/>
      </c>
      <c r="V42" s="22" t="n"/>
      <c r="W42" s="39" t="n"/>
    </row>
    <row r="43" ht="15" customFormat="1" customHeight="1" s="11">
      <c r="A43" s="40" t="n"/>
      <c r="B43" s="12" t="n"/>
      <c r="C43" s="47" t="inlineStr">
        <is>
          <t>Б</t>
        </is>
      </c>
      <c r="D43" s="47" t="n">
        <v>34</v>
      </c>
      <c r="E43" s="48" t="inlineStr">
        <is>
          <t>Тимошенко Владислав Романович</t>
        </is>
      </c>
      <c r="F43" s="49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2">
        <f>IF(COUNTIF($F43:T43,"=*")&gt;0,IF($C43="K","-"," - "),IF(COUNTIF($F43:T43,"&lt;4")&gt;0,IF($C43="K","-"," - "),(IFERROR(AVERAGE($F43:T43),"Очікую"))))</f>
        <v/>
      </c>
      <c r="V43" s="22" t="n"/>
      <c r="W43" s="39" t="n"/>
    </row>
    <row r="44" ht="15" customFormat="1" customHeight="1" s="11">
      <c r="A44" s="40" t="n"/>
      <c r="B44" s="12" t="n"/>
      <c r="C44" s="47" t="inlineStr">
        <is>
          <t>Б</t>
        </is>
      </c>
      <c r="D44" s="47" t="n">
        <v>35</v>
      </c>
      <c r="E44" s="48" t="inlineStr">
        <is>
          <t>Черепаха Арсеній Андрійович</t>
        </is>
      </c>
      <c r="F44" s="49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2">
        <f>IF(COUNTIF($F44:T44,"=*")&gt;0,IF($C44="K","-"," - "),IF(COUNTIF($F44:T44,"&lt;4")&gt;0,IF($C44="K","-"," - "),(IFERROR(AVERAGE($F44:T44),"Очікую"))))</f>
        <v/>
      </c>
      <c r="V44" s="22" t="n"/>
      <c r="W44" s="39" t="n"/>
    </row>
    <row r="45" ht="15" customFormat="1" customHeight="1" s="11">
      <c r="A45" s="40" t="n"/>
      <c r="B45" s="12" t="n"/>
      <c r="C45" s="47" t="inlineStr">
        <is>
          <t>Б</t>
        </is>
      </c>
      <c r="D45" s="47" t="n">
        <v>36</v>
      </c>
      <c r="E45" s="48" t="inlineStr">
        <is>
          <t>Шкут Іван Андрійович</t>
        </is>
      </c>
      <c r="F45" s="49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2">
        <f>IF(COUNTIF($F45:T45,"=*")&gt;0,IF($C45="K","-"," - "),IF(COUNTIF($F45:T45,"&lt;4")&gt;0,IF($C45="K","-"," - "),(IFERROR(AVERAGE($F45:T45),"Очікую"))))</f>
        <v/>
      </c>
      <c r="V45" s="22" t="n"/>
      <c r="W45" s="39" t="n"/>
    </row>
    <row r="46" ht="15" customFormat="1" customHeight="1" s="11">
      <c r="A46" s="40" t="n"/>
      <c r="B46" s="12" t="n"/>
      <c r="C46" s="47" t="inlineStr">
        <is>
          <t>К</t>
        </is>
      </c>
      <c r="D46" s="47" t="n">
        <v>37</v>
      </c>
      <c r="E46" s="48" t="inlineStr">
        <is>
          <t>Шрамов`ят Михайло Ігорович</t>
        </is>
      </c>
      <c r="F46" s="49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2">
        <f>IF(COUNTIF($F46:T46,"=*")&gt;0,IF($C46="K","-"," - "),IF(COUNTIF($F46:T46,"&lt;4")&gt;0,IF($C46="K","-"," - "),(IFERROR(AVERAGE($F46:T46),"Очікую"))))</f>
        <v/>
      </c>
      <c r="V46" s="22" t="n"/>
      <c r="W46" s="39" t="n"/>
    </row>
    <row r="47" ht="15" customFormat="1" customHeight="1" s="11">
      <c r="A47" s="40" t="n"/>
      <c r="B47" s="12" t="n"/>
      <c r="C47" s="6" t="n"/>
      <c r="D47" s="6" t="n"/>
      <c r="E47" s="7" t="inlineStr">
        <is>
          <t>Середній бал успішності з дисципліни</t>
        </is>
      </c>
      <c r="F47" s="8">
        <f>IF(SUM(F$10:F46)=0,IF(COUNTA(F$10:F46)=0,"Очікую",0),SUM(F$10:F46)/$D46)</f>
        <v/>
      </c>
      <c r="G47" s="8">
        <f>IF(SUM(G$10:G46)=0,IF(COUNTA(G$10:G46)=0,"Очікую",0),SUM(G$10:G46)/$D46)</f>
        <v/>
      </c>
      <c r="H47" s="8">
        <f>IF(SUM(H$10:H46)=0,IF(COUNTA(H$10:H46)=0,"Очікую",0),SUM(H$10:H46)/$D46)</f>
        <v/>
      </c>
      <c r="I47" s="8">
        <f>IF(SUM(I$10:I46)=0,IF(COUNTA(I$10:I46)=0,"Очікую",0),SUM(I$10:I46)/$D46)</f>
        <v/>
      </c>
      <c r="J47" s="8">
        <f>IF(SUM(J$10:J46)=0,IF(COUNTA(J$10:J46)=0,"Очікую",0),SUM(J$10:J46)/$D46)</f>
        <v/>
      </c>
      <c r="K47" s="8">
        <f>IF(SUM(K$10:K46)=0,IF(COUNTA(K$10:K46)=0,"Очікую",0),SUM(K$10:K46)/$D46)</f>
        <v/>
      </c>
      <c r="L47" s="8">
        <f>IF(SUM(L$10:L46)=0,IF(COUNTA(L$10:L46)=0,"Очікую",0),SUM(L$10:L46)/$D46)</f>
        <v/>
      </c>
      <c r="M47" s="8">
        <f>IF(SUM(M$10:M46)=0,IF(COUNTA(M$10:M46)=0,"Очікую",0),SUM(M$10:M46)/$D46)</f>
        <v/>
      </c>
      <c r="N47" s="8">
        <f>IF(SUM(N$10:N46)=0,IF(COUNTA(N$10:N46)=0,"Очікую",0),SUM(N$10:N46)/$D46)</f>
        <v/>
      </c>
      <c r="O47" s="8">
        <f>IF(SUM(O$10:O46)=0,IF(COUNTA(O$10:O46)=0,"Очікую",0),SUM(O$10:O46)/$D46)</f>
        <v/>
      </c>
      <c r="P47" s="8">
        <f>IF(SUM(P$10:P46)=0,IF(COUNTA(P$10:P46)=0,"Очікую",0),SUM(P$10:P46)/$D46)</f>
        <v/>
      </c>
      <c r="Q47" s="8">
        <f>IF(SUM(Q$10:Q46)=0,IF(COUNTA(Q$10:Q46)=0,"Очікую",0),SUM(Q$10:Q46)/$D46)</f>
        <v/>
      </c>
      <c r="R47" s="8">
        <f>IF(SUM(R$10:R46)=0,IF(COUNTA(R$10:R46)=0,"Очікую",0),SUM(R$10:R46)/$D46)</f>
        <v/>
      </c>
      <c r="S47" s="8">
        <f>IF(SUM(S$10:S46)=0,IF(COUNTA(S$10:S46)=0,"Очікую",0),SUM(S$10:S46)/$D46)</f>
        <v/>
      </c>
      <c r="T47" s="8">
        <f>IF(SUM(T$10:T46)=0,IF(COUNTA(T$10:T46)=0,"Очікую",0),SUM(T$10:T46)/$D46)</f>
        <v/>
      </c>
      <c r="U47" s="9">
        <f>IFERROR(AVERAGE($F47:T47),"Очікую")</f>
        <v/>
      </c>
      <c r="V47" s="20" t="n"/>
      <c r="W47" s="39" t="n"/>
    </row>
    <row r="48" ht="15" customFormat="1" customHeight="1" s="11">
      <c r="A48" s="40" t="n"/>
      <c r="B48" s="12" t="n"/>
      <c r="C48" s="6" t="n"/>
      <c r="D48" s="6" t="n"/>
      <c r="E48" s="7" t="inlineStr">
        <is>
          <t>Абсолютна успішність</t>
        </is>
      </c>
      <c r="F48" s="43">
        <f>IF(SUM(F$10:F46)=0,IF(COUNTA(F$10:F46)=0,"Очікую",0),IF(COUNTIF(F$10:F46,"&gt;=4")=0,0,COUNTIF(F$10:F46,"&gt;=4")/$D46*100))</f>
        <v/>
      </c>
      <c r="G48" s="43">
        <f>IF(SUM(G$10:G46)=0,IF(COUNTA(G$10:G46)=0,"Очікую",0),IF(COUNTIF(G$10:G46,"&gt;=4")=0,0,COUNTIF(G$10:G46,"&gt;=4")/$D46*100))</f>
        <v/>
      </c>
      <c r="H48" s="43">
        <f>IF(SUM(H$10:H46)=0,IF(COUNTA(H$10:H46)=0,"Очікую",0),IF(COUNTIF(H$10:H46,"&gt;=4")=0,0,COUNTIF(H$10:H46,"&gt;=4")/$D46*100))</f>
        <v/>
      </c>
      <c r="I48" s="43">
        <f>IF(SUM(I$10:I46)=0,IF(COUNTA(I$10:I46)=0,"Очікую",0),IF(COUNTIF(I$10:I46,"&gt;=4")=0,0,COUNTIF(I$10:I46,"&gt;=4")/$D46*100))</f>
        <v/>
      </c>
      <c r="J48" s="43">
        <f>IF(SUM(J$10:J46)=0,IF(COUNTA(J$10:J46)=0,"Очікую",0),IF(COUNTIF(J$10:J46,"&gt;=4")=0,0,COUNTIF(J$10:J46,"&gt;=4")/$D46*100))</f>
        <v/>
      </c>
      <c r="K48" s="43">
        <f>IF(SUM(K$10:K46)=0,IF(COUNTA(K$10:K46)=0,"Очікую",0),IF(COUNTIF(K$10:K46,"&gt;=4")=0,0,COUNTIF(K$10:K46,"&gt;=4")/$D46*100))</f>
        <v/>
      </c>
      <c r="L48" s="43">
        <f>IF(SUM(L$10:L46)=0,IF(COUNTA(L$10:L46)=0,"Очікую",0),IF(COUNTIF(L$10:L46,"&gt;=4")=0,0,COUNTIF(L$10:L46,"&gt;=4")/$D46*100))</f>
        <v/>
      </c>
      <c r="M48" s="43">
        <f>IF(SUM(M$10:M46)=0,IF(COUNTA(M$10:M46)=0,"Очікую",0),IF(COUNTIF(M$10:M46,"&gt;=4")=0,0,COUNTIF(M$10:M46,"&gt;=4")/$D46*100))</f>
        <v/>
      </c>
      <c r="N48" s="43">
        <f>IF(SUM(N$10:N46)=0,IF(COUNTA(N$10:N46)=0,"Очікую",0),IF(COUNTIF(N$10:N46,"&gt;=4")=0,0,COUNTIF(N$10:N46,"&gt;=4")/$D46*100))</f>
        <v/>
      </c>
      <c r="O48" s="43">
        <f>IF(SUM(O$10:O46)=0,IF(COUNTA(O$10:O46)=0,"Очікую",0),IF(COUNTIF(O$10:O46,"&gt;=4")=0,0,COUNTIF(O$10:O46,"&gt;=4")/$D46*100))</f>
        <v/>
      </c>
      <c r="P48" s="43">
        <f>IF(SUM(P$10:P46)=0,IF(COUNTA(P$10:P46)=0,"Очікую",0),IF(COUNTIF(P$10:P46,"&gt;=4")=0,0,COUNTIF(P$10:P46,"&gt;=4")/$D46*100))</f>
        <v/>
      </c>
      <c r="Q48" s="43">
        <f>IF(SUM(Q$10:Q46)=0,IF(COUNTA(Q$10:Q46)=0,"Очікую",0),IF(COUNTIF(Q$10:Q46,"&gt;=4")=0,0,COUNTIF(Q$10:Q46,"&gt;=4")/$D46*100))</f>
        <v/>
      </c>
      <c r="R48" s="43">
        <f>IF(SUM(R$10:R46)=0,IF(COUNTA(R$10:R46)=0,"Очікую",0),IF(COUNTIF(R$10:R46,"&gt;=4")=0,0,COUNTIF(R$10:R46,"&gt;=4")/$D46*100))</f>
        <v/>
      </c>
      <c r="S48" s="43">
        <f>IF(SUM(S$10:S46)=0,IF(COUNTA(S$10:S46)=0,"Очікую",0),IF(COUNTIF(S$10:S46,"&gt;=4")=0,0,COUNTIF(S$10:S46,"&gt;=4")/$D46*100))</f>
        <v/>
      </c>
      <c r="T48" s="43">
        <f>IF(SUM(T$10:T46)=0,IF(COUNTA(T$10:T46)=0,"Очікую",0),IF(COUNTIF(T$10:T46,"&gt;=4")=0,0,COUNTIF(T$10:T46,"&gt;=4")/$D46*100))</f>
        <v/>
      </c>
      <c r="U48" s="6" t="n"/>
      <c r="V48" s="20" t="n"/>
      <c r="W48" s="39" t="n"/>
    </row>
    <row r="49" ht="15" customFormat="1" customHeight="1" s="11">
      <c r="A49" s="40" t="n"/>
      <c r="B49" s="12" t="n"/>
      <c r="C49" s="6" t="n"/>
      <c r="D49" s="6" t="n"/>
      <c r="E49" s="7" t="inlineStr">
        <is>
          <t>Якісна успішність</t>
        </is>
      </c>
      <c r="F49" s="43">
        <f>IF(SUM(F$10:F46)=0,IF(COUNTA(F$10:F46)=0,"Очікую",0),IF(COUNTIF(F$10:F46,"&gt;=7")=0,0,COUNTIF(F$10:F46,"&gt;=7")/$D46*100))</f>
        <v/>
      </c>
      <c r="G49" s="43">
        <f>IF(SUM(G$10:G46)=0,IF(COUNTA(G$10:G46)=0,"Очікую",0),IF(COUNTIF(G$10:G46,"&gt;=7")=0,0,COUNTIF(G$10:G46,"&gt;=7")/$D46*100))</f>
        <v/>
      </c>
      <c r="H49" s="43">
        <f>IF(SUM(H$10:H46)=0,IF(COUNTA(H$10:H46)=0,"Очікую",0),IF(COUNTIF(H$10:H46,"&gt;=7")=0,0,COUNTIF(H$10:H46,"&gt;=7")/$D46*100))</f>
        <v/>
      </c>
      <c r="I49" s="43">
        <f>IF(SUM(I$10:I46)=0,IF(COUNTA(I$10:I46)=0,"Очікую",0),IF(COUNTIF(I$10:I46,"&gt;=7")=0,0,COUNTIF(I$10:I46,"&gt;=7")/$D46*100))</f>
        <v/>
      </c>
      <c r="J49" s="43">
        <f>IF(SUM(J$10:J46)=0,IF(COUNTA(J$10:J46)=0,"Очікую",0),IF(COUNTIF(J$10:J46,"&gt;=7")=0,0,COUNTIF(J$10:J46,"&gt;=7")/$D46*100))</f>
        <v/>
      </c>
      <c r="K49" s="43">
        <f>IF(SUM(K$10:K46)=0,IF(COUNTA(K$10:K46)=0,"Очікую",0),IF(COUNTIF(K$10:K46,"&gt;=7")=0,0,COUNTIF(K$10:K46,"&gt;=7")/$D46*100))</f>
        <v/>
      </c>
      <c r="L49" s="43">
        <f>IF(SUM(L$10:L46)=0,IF(COUNTA(L$10:L46)=0,"Очікую",0),IF(COUNTIF(L$10:L46,"&gt;=7")=0,0,COUNTIF(L$10:L46,"&gt;=7")/$D46*100))</f>
        <v/>
      </c>
      <c r="M49" s="43">
        <f>IF(SUM(M$10:M46)=0,IF(COUNTA(M$10:M46)=0,"Очікую",0),IF(COUNTIF(M$10:M46,"&gt;=7")=0,0,COUNTIF(M$10:M46,"&gt;=7")/$D46*100))</f>
        <v/>
      </c>
      <c r="N49" s="43">
        <f>IF(SUM(N$10:N46)=0,IF(COUNTA(N$10:N46)=0,"Очікую",0),IF(COUNTIF(N$10:N46,"&gt;=7")=0,0,COUNTIF(N$10:N46,"&gt;=7")/$D46*100))</f>
        <v/>
      </c>
      <c r="O49" s="43">
        <f>IF(SUM(O$10:O46)=0,IF(COUNTA(O$10:O46)=0,"Очікую",0),IF(COUNTIF(O$10:O46,"&gt;=7")=0,0,COUNTIF(O$10:O46,"&gt;=7")/$D46*100))</f>
        <v/>
      </c>
      <c r="P49" s="43">
        <f>IF(SUM(P$10:P46)=0,IF(COUNTA(P$10:P46)=0,"Очікую",0),IF(COUNTIF(P$10:P46,"&gt;=7")=0,0,COUNTIF(P$10:P46,"&gt;=7")/$D46*100))</f>
        <v/>
      </c>
      <c r="Q49" s="43">
        <f>IF(SUM(Q$10:Q46)=0,IF(COUNTA(Q$10:Q46)=0,"Очікую",0),IF(COUNTIF(Q$10:Q46,"&gt;=7")=0,0,COUNTIF(Q$10:Q46,"&gt;=7")/$D46*100))</f>
        <v/>
      </c>
      <c r="R49" s="43">
        <f>IF(SUM(R$10:R46)=0,IF(COUNTA(R$10:R46)=0,"Очікую",0),IF(COUNTIF(R$10:R46,"&gt;=7")=0,0,COUNTIF(R$10:R46,"&gt;=7")/$D46*100))</f>
        <v/>
      </c>
      <c r="S49" s="43">
        <f>IF(SUM(S$10:S46)=0,IF(COUNTA(S$10:S46)=0,"Очікую",0),IF(COUNTIF(S$10:S46,"&gt;=7")=0,0,COUNTIF(S$10:S46,"&gt;=7")/$D46*100))</f>
        <v/>
      </c>
      <c r="T49" s="43">
        <f>IF(SUM(T$10:T46)=0,IF(COUNTA(T$10:T46)=0,"Очікую",0),IF(COUNTIF(T$10:T46,"&gt;=7")=0,0,COUNTIF(T$10:T46,"&gt;=7")/$D46*100))</f>
        <v/>
      </c>
      <c r="U49" s="6" t="n"/>
      <c r="V49" s="20" t="n"/>
      <c r="W49" s="39" t="n"/>
    </row>
    <row r="50" ht="15" customFormat="1" customHeight="1" s="11">
      <c r="A50" s="40" t="n"/>
      <c r="B50" s="12" t="n"/>
      <c r="C50" s="6" t="n"/>
      <c r="D50" s="6" t="n"/>
      <c r="E50" s="7" t="inlineStr">
        <is>
          <t>Абсолютна успішність по групі</t>
        </is>
      </c>
      <c r="F50" s="8">
        <f>IFERROR(AVERAGE(F48:T48),"Очікую")</f>
        <v/>
      </c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20" t="n"/>
      <c r="W50" s="39" t="n"/>
    </row>
    <row r="51" ht="15" customFormat="1" customHeight="1" s="11">
      <c r="A51" s="40" t="n"/>
      <c r="B51" s="12" t="n"/>
      <c r="C51" s="6" t="n"/>
      <c r="D51" s="6" t="n"/>
      <c r="E51" s="7" t="inlineStr">
        <is>
          <t>Якісна успішність по групі</t>
        </is>
      </c>
      <c r="F51" s="8">
        <f>IFERROR(AVERAGE($F49:T49),"Очікую")</f>
        <v/>
      </c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20" t="n"/>
      <c r="W51" s="39" t="n"/>
    </row>
    <row r="52" ht="15" customFormat="1" customHeight="1" s="11">
      <c r="A52" s="40" t="n"/>
      <c r="B52" s="12" t="n"/>
      <c r="C52" s="6" t="n"/>
      <c r="D52" s="6" t="n"/>
      <c r="E52" s="7" t="inlineStr">
        <is>
          <t>Кількість бюджетників</t>
        </is>
      </c>
      <c r="F52" s="63">
        <f>IF(COUNTIF($C$10:$C46,"=B")=0,IF(COUNTIF($C$10:$C46,"=K")=0,"Очікую",0),COUNTIF($C$10:$C46,"=B"))</f>
        <v/>
      </c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52" t="n"/>
      <c r="S52" s="52" t="n"/>
      <c r="T52" s="52" t="n"/>
      <c r="U52" s="52" t="n"/>
      <c r="V52" s="20" t="n"/>
      <c r="W52" s="39" t="n"/>
    </row>
    <row r="53" ht="15" customFormat="1" customHeight="1" s="11">
      <c r="A53" s="40" t="n"/>
      <c r="B53" s="12" t="n"/>
      <c r="C53" s="6" t="n"/>
      <c r="D53" s="6" t="n"/>
      <c r="E53" s="7" t="inlineStr">
        <is>
          <t>Кількість контрактників</t>
        </is>
      </c>
      <c r="F53" s="63">
        <f>IF(COUNTIF($C$10:$C46,"=K")=0,IF(COUNTIF($C$10:$C46,"=B")=0,"Очікую",0),COUNTIF($C$10:$C46,"=K"))</f>
        <v/>
      </c>
      <c r="G53" s="6" t="n"/>
      <c r="H53" s="58" t="inlineStr">
        <is>
          <t>Класний керівник</t>
        </is>
      </c>
      <c r="I53" s="6" t="n"/>
      <c r="J53" s="6" t="n"/>
      <c r="K53" s="6" t="n"/>
      <c r="L53" s="6" t="n"/>
      <c r="M53" s="6" t="n"/>
      <c r="N53" s="6" t="n"/>
      <c r="O53" s="6" t="n"/>
      <c r="P53" s="54" t="inlineStr"/>
      <c r="Q53" s="54" t="n"/>
      <c r="R53" s="54" t="n"/>
      <c r="S53" s="54" t="n"/>
      <c r="T53" s="54" t="n"/>
      <c r="U53" s="54" t="n"/>
      <c r="V53" s="20" t="n"/>
      <c r="W53" s="39" t="n"/>
    </row>
    <row r="54" ht="15" customFormat="1" customHeight="1" s="11">
      <c r="A54" s="40" t="n"/>
      <c r="B54" s="12" t="n"/>
      <c r="C54" s="6" t="n"/>
      <c r="D54" s="6" t="n"/>
      <c r="E54" s="7" t="inlineStr">
        <is>
          <t>Кількість соціального контингенту</t>
        </is>
      </c>
      <c r="F54" s="4" t="n"/>
      <c r="G54" s="6" t="n"/>
      <c r="H54" s="53" t="n"/>
      <c r="I54" s="6" t="n"/>
      <c r="J54" s="6" t="n"/>
      <c r="K54" s="6" t="n"/>
      <c r="L54" s="6" t="n"/>
      <c r="M54" s="6" t="n"/>
      <c r="N54" s="6" t="n"/>
      <c r="O54" s="6" t="n"/>
      <c r="P54" s="52" t="n"/>
      <c r="Q54" s="52" t="n"/>
      <c r="R54" s="52" t="n"/>
      <c r="S54" s="52" t="n"/>
      <c r="T54" s="52" t="n"/>
      <c r="U54" s="52" t="n"/>
      <c r="V54" s="20" t="n"/>
      <c r="W54" s="39" t="n"/>
    </row>
    <row r="55" ht="15" customFormat="1" customHeight="1" s="11">
      <c r="A55" s="40" t="n"/>
      <c r="B55" s="12" t="n"/>
      <c r="C55" s="6" t="n"/>
      <c r="D55" s="6" t="n"/>
      <c r="E55" s="7" t="inlineStr">
        <is>
          <t>Вийшли на стипендію</t>
        </is>
      </c>
      <c r="F55" s="63">
        <f>IF(F52="Очікую","Очікую",IF(F52-COUNTIF($U$10:$U46," - ")&lt;ROUNDDOWN(F52*0.4,0),F52-COUNTIF($U$10:$U46," - "),ROUNDDOWN(F52*0.4,0)))</f>
        <v/>
      </c>
      <c r="G55" s="6" t="n"/>
      <c r="H55" s="54" t="inlineStr">
        <is>
          <t>Завідувач відділення ПЗСО</t>
        </is>
      </c>
      <c r="I55" s="6" t="n"/>
      <c r="J55" s="6" t="n"/>
      <c r="K55" s="6" t="n"/>
      <c r="L55" s="6" t="n"/>
      <c r="M55" s="6" t="n"/>
      <c r="N55" s="6" t="n"/>
      <c r="O55" s="6" t="n"/>
      <c r="P55" s="54" t="inlineStr">
        <is>
          <t>Margarita BRITIKOVA</t>
        </is>
      </c>
      <c r="Q55" s="54" t="n"/>
      <c r="R55" s="54" t="n"/>
      <c r="S55" s="54" t="n"/>
      <c r="T55" s="54" t="n"/>
      <c r="U55" s="54" t="n"/>
      <c r="V55" s="20" t="n"/>
      <c r="W55" s="39" t="n"/>
    </row>
    <row r="56" ht="15" customFormat="1" customHeight="1" s="11">
      <c r="A56" s="40" t="n"/>
      <c r="B56" s="21" t="n"/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14" t="n"/>
      <c r="T56" s="14" t="n"/>
      <c r="U56" s="14" t="n"/>
      <c r="V56" s="15" t="n"/>
      <c r="W56" s="39" t="n"/>
    </row>
    <row r="57" ht="15" customFormat="1" customHeight="1" s="11">
      <c r="A57" s="38" t="n"/>
      <c r="B57" s="38" t="n"/>
      <c r="C57" s="38" t="n"/>
      <c r="D57" s="38" t="n"/>
      <c r="E57" s="38" t="n"/>
      <c r="F57" s="38" t="n"/>
      <c r="G57" s="38" t="n"/>
      <c r="H57" s="38" t="n"/>
      <c r="I57" s="38" t="n"/>
      <c r="J57" s="38" t="n"/>
      <c r="K57" s="38" t="n"/>
      <c r="L57" s="38" t="n"/>
      <c r="M57" s="38" t="n"/>
      <c r="N57" s="38" t="n"/>
      <c r="O57" s="38" t="n"/>
      <c r="P57" s="38" t="n"/>
      <c r="Q57" s="38" t="n"/>
      <c r="R57" s="38" t="n"/>
      <c r="S57" s="38" t="n"/>
      <c r="T57" s="38" t="n"/>
      <c r="U57" s="38" t="n"/>
      <c r="V57" s="59" t="n"/>
      <c r="W57" s="39" t="n"/>
    </row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6">
    <mergeCell ref="E8:E9"/>
    <mergeCell ref="C8:C9"/>
    <mergeCell ref="U8:U9"/>
    <mergeCell ref="D8:D9"/>
    <mergeCell ref="F8:T8"/>
    <mergeCell ref="C3:U7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2.xml><?xml version="1.0" encoding="utf-8"?>
<worksheet xmlns="http://schemas.openxmlformats.org/spreadsheetml/2006/main">
  <sheetPr codeName="Лист11">
    <tabColor rgb="FF0070C0"/>
    <outlinePr summaryBelow="1" summaryRight="1"/>
    <pageSetUpPr fitToPage="1"/>
  </sheetPr>
  <dimension ref="A1:W40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D5 ««Маркетинг»»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'Загальна'!C10</f>
        <v/>
      </c>
      <c r="D10" s="47" t="n">
        <v>1</v>
      </c>
      <c r="E10" s="48">
        <f>'Загальна'!E10</f>
        <v/>
      </c>
      <c r="F10" s="49">
        <f>'Загальна'!F10</f>
        <v/>
      </c>
      <c r="G10" s="49">
        <f>'Загальна'!G10</f>
        <v/>
      </c>
      <c r="H10" s="49">
        <f>'Загальна'!H10</f>
        <v/>
      </c>
      <c r="I10" s="49">
        <f>'Загальна'!I10</f>
        <v/>
      </c>
      <c r="J10" s="49">
        <f>'Загальна'!J10</f>
        <v/>
      </c>
      <c r="K10" s="49">
        <f>'Загальна'!K10</f>
        <v/>
      </c>
      <c r="L10" s="49">
        <f>'Загальна'!L10</f>
        <v/>
      </c>
      <c r="M10" s="49">
        <f>'Загальна'!M10</f>
        <v/>
      </c>
      <c r="N10" s="49">
        <f>'Загальна'!N10</f>
        <v/>
      </c>
      <c r="O10" s="49">
        <f>'Загальна'!O10</f>
        <v/>
      </c>
      <c r="P10" s="49">
        <f>'Загальна'!P10</f>
        <v/>
      </c>
      <c r="Q10" s="49">
        <f>'Загальна'!Q10</f>
        <v/>
      </c>
      <c r="R10" s="49">
        <f>'Загальна'!R10</f>
        <v/>
      </c>
      <c r="S10" s="49">
        <f>'Загальна'!S10</f>
        <v/>
      </c>
      <c r="T10" s="49">
        <f>'Загальна'!T10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'Загальна'!C12</f>
        <v/>
      </c>
      <c r="D11" s="47" t="n">
        <v>2</v>
      </c>
      <c r="E11" s="48">
        <f>'Загальна'!E12</f>
        <v/>
      </c>
      <c r="F11" s="49">
        <f>'Загальна'!F12</f>
        <v/>
      </c>
      <c r="G11" s="49">
        <f>'Загальна'!G12</f>
        <v/>
      </c>
      <c r="H11" s="49">
        <f>'Загальна'!H12</f>
        <v/>
      </c>
      <c r="I11" s="49">
        <f>'Загальна'!I12</f>
        <v/>
      </c>
      <c r="J11" s="49">
        <f>'Загальна'!J12</f>
        <v/>
      </c>
      <c r="K11" s="49">
        <f>'Загальна'!K12</f>
        <v/>
      </c>
      <c r="L11" s="49">
        <f>'Загальна'!L12</f>
        <v/>
      </c>
      <c r="M11" s="49">
        <f>'Загальна'!M12</f>
        <v/>
      </c>
      <c r="N11" s="49">
        <f>'Загальна'!N12</f>
        <v/>
      </c>
      <c r="O11" s="49">
        <f>'Загальна'!O12</f>
        <v/>
      </c>
      <c r="P11" s="49">
        <f>'Загальна'!P12</f>
        <v/>
      </c>
      <c r="Q11" s="49">
        <f>'Загальна'!Q12</f>
        <v/>
      </c>
      <c r="R11" s="49">
        <f>'Загальна'!R12</f>
        <v/>
      </c>
      <c r="S11" s="49">
        <f>'Загальна'!S12</f>
        <v/>
      </c>
      <c r="T11" s="49">
        <f>'Загальна'!T12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'Загальна'!C13</f>
        <v/>
      </c>
      <c r="D12" s="47" t="n">
        <v>3</v>
      </c>
      <c r="E12" s="48">
        <f>'Загальна'!E13</f>
        <v/>
      </c>
      <c r="F12" s="49">
        <f>'Загальна'!F13</f>
        <v/>
      </c>
      <c r="G12" s="49">
        <f>'Загальна'!G13</f>
        <v/>
      </c>
      <c r="H12" s="49">
        <f>'Загальна'!H13</f>
        <v/>
      </c>
      <c r="I12" s="49">
        <f>'Загальна'!I13</f>
        <v/>
      </c>
      <c r="J12" s="49">
        <f>'Загальна'!J13</f>
        <v/>
      </c>
      <c r="K12" s="49">
        <f>'Загальна'!K13</f>
        <v/>
      </c>
      <c r="L12" s="49">
        <f>'Загальна'!L13</f>
        <v/>
      </c>
      <c r="M12" s="49">
        <f>'Загальна'!M13</f>
        <v/>
      </c>
      <c r="N12" s="49">
        <f>'Загальна'!N13</f>
        <v/>
      </c>
      <c r="O12" s="49">
        <f>'Загальна'!O13</f>
        <v/>
      </c>
      <c r="P12" s="49">
        <f>'Загальна'!P13</f>
        <v/>
      </c>
      <c r="Q12" s="49">
        <f>'Загальна'!Q13</f>
        <v/>
      </c>
      <c r="R12" s="49">
        <f>'Загальна'!R13</f>
        <v/>
      </c>
      <c r="S12" s="49">
        <f>'Загальна'!S13</f>
        <v/>
      </c>
      <c r="T12" s="49">
        <f>'Загальна'!T13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'Загальна'!C15</f>
        <v/>
      </c>
      <c r="D13" s="47" t="n">
        <v>4</v>
      </c>
      <c r="E13" s="48">
        <f>'Загальна'!E15</f>
        <v/>
      </c>
      <c r="F13" s="49">
        <f>'Загальна'!F15</f>
        <v/>
      </c>
      <c r="G13" s="49">
        <f>'Загальна'!G15</f>
        <v/>
      </c>
      <c r="H13" s="49">
        <f>'Загальна'!H15</f>
        <v/>
      </c>
      <c r="I13" s="49">
        <f>'Загальна'!I15</f>
        <v/>
      </c>
      <c r="J13" s="49">
        <f>'Загальна'!J15</f>
        <v/>
      </c>
      <c r="K13" s="49">
        <f>'Загальна'!K15</f>
        <v/>
      </c>
      <c r="L13" s="49">
        <f>'Загальна'!L15</f>
        <v/>
      </c>
      <c r="M13" s="49">
        <f>'Загальна'!M15</f>
        <v/>
      </c>
      <c r="N13" s="49">
        <f>'Загальна'!N15</f>
        <v/>
      </c>
      <c r="O13" s="49">
        <f>'Загальна'!O15</f>
        <v/>
      </c>
      <c r="P13" s="49">
        <f>'Загальна'!P15</f>
        <v/>
      </c>
      <c r="Q13" s="49">
        <f>'Загальна'!Q15</f>
        <v/>
      </c>
      <c r="R13" s="49">
        <f>'Загальна'!R15</f>
        <v/>
      </c>
      <c r="S13" s="49">
        <f>'Загальна'!S15</f>
        <v/>
      </c>
      <c r="T13" s="49">
        <f>'Загальна'!T15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'Загальна'!C19</f>
        <v/>
      </c>
      <c r="D14" s="47" t="n">
        <v>5</v>
      </c>
      <c r="E14" s="48">
        <f>'Загальна'!E19</f>
        <v/>
      </c>
      <c r="F14" s="49">
        <f>'Загальна'!F19</f>
        <v/>
      </c>
      <c r="G14" s="49">
        <f>'Загальна'!G19</f>
        <v/>
      </c>
      <c r="H14" s="49">
        <f>'Загальна'!H19</f>
        <v/>
      </c>
      <c r="I14" s="49">
        <f>'Загальна'!I19</f>
        <v/>
      </c>
      <c r="J14" s="49">
        <f>'Загальна'!J19</f>
        <v/>
      </c>
      <c r="K14" s="49">
        <f>'Загальна'!K19</f>
        <v/>
      </c>
      <c r="L14" s="49">
        <f>'Загальна'!L19</f>
        <v/>
      </c>
      <c r="M14" s="49">
        <f>'Загальна'!M19</f>
        <v/>
      </c>
      <c r="N14" s="49">
        <f>'Загальна'!N19</f>
        <v/>
      </c>
      <c r="O14" s="49">
        <f>'Загальна'!O19</f>
        <v/>
      </c>
      <c r="P14" s="49">
        <f>'Загальна'!P19</f>
        <v/>
      </c>
      <c r="Q14" s="49">
        <f>'Загальна'!Q19</f>
        <v/>
      </c>
      <c r="R14" s="49">
        <f>'Загальна'!R19</f>
        <v/>
      </c>
      <c r="S14" s="49">
        <f>'Загальна'!S19</f>
        <v/>
      </c>
      <c r="T14" s="49">
        <f>'Загальна'!T19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'Загальна'!C20</f>
        <v/>
      </c>
      <c r="D15" s="47" t="n">
        <v>6</v>
      </c>
      <c r="E15" s="48">
        <f>'Загальна'!E20</f>
        <v/>
      </c>
      <c r="F15" s="49">
        <f>'Загальна'!F20</f>
        <v/>
      </c>
      <c r="G15" s="49">
        <f>'Загальна'!G20</f>
        <v/>
      </c>
      <c r="H15" s="49">
        <f>'Загальна'!H20</f>
        <v/>
      </c>
      <c r="I15" s="49">
        <f>'Загальна'!I20</f>
        <v/>
      </c>
      <c r="J15" s="49">
        <f>'Загальна'!J20</f>
        <v/>
      </c>
      <c r="K15" s="49">
        <f>'Загальна'!K20</f>
        <v/>
      </c>
      <c r="L15" s="49">
        <f>'Загальна'!L20</f>
        <v/>
      </c>
      <c r="M15" s="49">
        <f>'Загальна'!M20</f>
        <v/>
      </c>
      <c r="N15" s="49">
        <f>'Загальна'!N20</f>
        <v/>
      </c>
      <c r="O15" s="49">
        <f>'Загальна'!O20</f>
        <v/>
      </c>
      <c r="P15" s="49">
        <f>'Загальна'!P20</f>
        <v/>
      </c>
      <c r="Q15" s="49">
        <f>'Загальна'!Q20</f>
        <v/>
      </c>
      <c r="R15" s="49">
        <f>'Загальна'!R20</f>
        <v/>
      </c>
      <c r="S15" s="49">
        <f>'Загальна'!S20</f>
        <v/>
      </c>
      <c r="T15" s="49">
        <f>'Загальна'!T20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'Загальна'!C22</f>
        <v/>
      </c>
      <c r="D16" s="47" t="n">
        <v>7</v>
      </c>
      <c r="E16" s="48">
        <f>'Загальна'!E22</f>
        <v/>
      </c>
      <c r="F16" s="49">
        <f>'Загальна'!F22</f>
        <v/>
      </c>
      <c r="G16" s="49">
        <f>'Загальна'!G22</f>
        <v/>
      </c>
      <c r="H16" s="49">
        <f>'Загальна'!H22</f>
        <v/>
      </c>
      <c r="I16" s="49">
        <f>'Загальна'!I22</f>
        <v/>
      </c>
      <c r="J16" s="49">
        <f>'Загальна'!J22</f>
        <v/>
      </c>
      <c r="K16" s="49">
        <f>'Загальна'!K22</f>
        <v/>
      </c>
      <c r="L16" s="49">
        <f>'Загальна'!L22</f>
        <v/>
      </c>
      <c r="M16" s="49">
        <f>'Загальна'!M22</f>
        <v/>
      </c>
      <c r="N16" s="49">
        <f>'Загальна'!N22</f>
        <v/>
      </c>
      <c r="O16" s="49">
        <f>'Загальна'!O22</f>
        <v/>
      </c>
      <c r="P16" s="49">
        <f>'Загальна'!P22</f>
        <v/>
      </c>
      <c r="Q16" s="49">
        <f>'Загальна'!Q22</f>
        <v/>
      </c>
      <c r="R16" s="49">
        <f>'Загальна'!R22</f>
        <v/>
      </c>
      <c r="S16" s="49">
        <f>'Загальна'!S22</f>
        <v/>
      </c>
      <c r="T16" s="49">
        <f>'Загальна'!T22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'Загальна'!C23</f>
        <v/>
      </c>
      <c r="D17" s="47" t="n">
        <v>8</v>
      </c>
      <c r="E17" s="48">
        <f>'Загальна'!E23</f>
        <v/>
      </c>
      <c r="F17" s="49">
        <f>'Загальна'!F23</f>
        <v/>
      </c>
      <c r="G17" s="49">
        <f>'Загальна'!G23</f>
        <v/>
      </c>
      <c r="H17" s="49">
        <f>'Загальна'!H23</f>
        <v/>
      </c>
      <c r="I17" s="49">
        <f>'Загальна'!I23</f>
        <v/>
      </c>
      <c r="J17" s="49">
        <f>'Загальна'!J23</f>
        <v/>
      </c>
      <c r="K17" s="49">
        <f>'Загальна'!K23</f>
        <v/>
      </c>
      <c r="L17" s="49">
        <f>'Загальна'!L23</f>
        <v/>
      </c>
      <c r="M17" s="49">
        <f>'Загальна'!M23</f>
        <v/>
      </c>
      <c r="N17" s="49">
        <f>'Загальна'!N23</f>
        <v/>
      </c>
      <c r="O17" s="49">
        <f>'Загальна'!O23</f>
        <v/>
      </c>
      <c r="P17" s="49">
        <f>'Загальна'!P23</f>
        <v/>
      </c>
      <c r="Q17" s="49">
        <f>'Загальна'!Q23</f>
        <v/>
      </c>
      <c r="R17" s="49">
        <f>'Загальна'!R23</f>
        <v/>
      </c>
      <c r="S17" s="49">
        <f>'Загальна'!S23</f>
        <v/>
      </c>
      <c r="T17" s="49">
        <f>'Загальна'!T23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'Загальна'!C25</f>
        <v/>
      </c>
      <c r="D18" s="47" t="n">
        <v>9</v>
      </c>
      <c r="E18" s="48">
        <f>'Загальна'!E25</f>
        <v/>
      </c>
      <c r="F18" s="49">
        <f>'Загальна'!F25</f>
        <v/>
      </c>
      <c r="G18" s="49">
        <f>'Загальна'!G25</f>
        <v/>
      </c>
      <c r="H18" s="49">
        <f>'Загальна'!H25</f>
        <v/>
      </c>
      <c r="I18" s="49">
        <f>'Загальна'!I25</f>
        <v/>
      </c>
      <c r="J18" s="49">
        <f>'Загальна'!J25</f>
        <v/>
      </c>
      <c r="K18" s="49">
        <f>'Загальна'!K25</f>
        <v/>
      </c>
      <c r="L18" s="49">
        <f>'Загальна'!L25</f>
        <v/>
      </c>
      <c r="M18" s="49">
        <f>'Загальна'!M25</f>
        <v/>
      </c>
      <c r="N18" s="49">
        <f>'Загальна'!N25</f>
        <v/>
      </c>
      <c r="O18" s="49">
        <f>'Загальна'!O25</f>
        <v/>
      </c>
      <c r="P18" s="49">
        <f>'Загальна'!P25</f>
        <v/>
      </c>
      <c r="Q18" s="49">
        <f>'Загальна'!Q25</f>
        <v/>
      </c>
      <c r="R18" s="49">
        <f>'Загальна'!R25</f>
        <v/>
      </c>
      <c r="S18" s="49">
        <f>'Загальна'!S25</f>
        <v/>
      </c>
      <c r="T18" s="49">
        <f>'Загальна'!T25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'Загальна'!C28</f>
        <v/>
      </c>
      <c r="D19" s="47" t="n">
        <v>10</v>
      </c>
      <c r="E19" s="48">
        <f>'Загальна'!E28</f>
        <v/>
      </c>
      <c r="F19" s="49">
        <f>'Загальна'!F28</f>
        <v/>
      </c>
      <c r="G19" s="49">
        <f>'Загальна'!G28</f>
        <v/>
      </c>
      <c r="H19" s="49">
        <f>'Загальна'!H28</f>
        <v/>
      </c>
      <c r="I19" s="49">
        <f>'Загальна'!I28</f>
        <v/>
      </c>
      <c r="J19" s="49">
        <f>'Загальна'!J28</f>
        <v/>
      </c>
      <c r="K19" s="49">
        <f>'Загальна'!K28</f>
        <v/>
      </c>
      <c r="L19" s="49">
        <f>'Загальна'!L28</f>
        <v/>
      </c>
      <c r="M19" s="49">
        <f>'Загальна'!M28</f>
        <v/>
      </c>
      <c r="N19" s="49">
        <f>'Загальна'!N28</f>
        <v/>
      </c>
      <c r="O19" s="49">
        <f>'Загальна'!O28</f>
        <v/>
      </c>
      <c r="P19" s="49">
        <f>'Загальна'!P28</f>
        <v/>
      </c>
      <c r="Q19" s="49">
        <f>'Загальна'!Q28</f>
        <v/>
      </c>
      <c r="R19" s="49">
        <f>'Загальна'!R28</f>
        <v/>
      </c>
      <c r="S19" s="49">
        <f>'Загальна'!S28</f>
        <v/>
      </c>
      <c r="T19" s="49">
        <f>'Загальна'!T28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'Загальна'!C29</f>
        <v/>
      </c>
      <c r="D20" s="47" t="n">
        <v>11</v>
      </c>
      <c r="E20" s="48">
        <f>'Загальна'!E29</f>
        <v/>
      </c>
      <c r="F20" s="49">
        <f>'Загальна'!F29</f>
        <v/>
      </c>
      <c r="G20" s="49">
        <f>'Загальна'!G29</f>
        <v/>
      </c>
      <c r="H20" s="49">
        <f>'Загальна'!H29</f>
        <v/>
      </c>
      <c r="I20" s="49">
        <f>'Загальна'!I29</f>
        <v/>
      </c>
      <c r="J20" s="49">
        <f>'Загальна'!J29</f>
        <v/>
      </c>
      <c r="K20" s="49">
        <f>'Загальна'!K29</f>
        <v/>
      </c>
      <c r="L20" s="49">
        <f>'Загальна'!L29</f>
        <v/>
      </c>
      <c r="M20" s="49">
        <f>'Загальна'!M29</f>
        <v/>
      </c>
      <c r="N20" s="49">
        <f>'Загальна'!N29</f>
        <v/>
      </c>
      <c r="O20" s="49">
        <f>'Загальна'!O29</f>
        <v/>
      </c>
      <c r="P20" s="49">
        <f>'Загальна'!P29</f>
        <v/>
      </c>
      <c r="Q20" s="49">
        <f>'Загальна'!Q29</f>
        <v/>
      </c>
      <c r="R20" s="49">
        <f>'Загальна'!R29</f>
        <v/>
      </c>
      <c r="S20" s="49">
        <f>'Загальна'!S29</f>
        <v/>
      </c>
      <c r="T20" s="49">
        <f>'Загальна'!T29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'Загальна'!C30</f>
        <v/>
      </c>
      <c r="D21" s="47" t="n">
        <v>12</v>
      </c>
      <c r="E21" s="48">
        <f>'Загальна'!E30</f>
        <v/>
      </c>
      <c r="F21" s="49">
        <f>'Загальна'!F30</f>
        <v/>
      </c>
      <c r="G21" s="49">
        <f>'Загальна'!G30</f>
        <v/>
      </c>
      <c r="H21" s="49">
        <f>'Загальна'!H30</f>
        <v/>
      </c>
      <c r="I21" s="49">
        <f>'Загальна'!I30</f>
        <v/>
      </c>
      <c r="J21" s="49">
        <f>'Загальна'!J30</f>
        <v/>
      </c>
      <c r="K21" s="49">
        <f>'Загальна'!K30</f>
        <v/>
      </c>
      <c r="L21" s="49">
        <f>'Загальна'!L30</f>
        <v/>
      </c>
      <c r="M21" s="49">
        <f>'Загальна'!M30</f>
        <v/>
      </c>
      <c r="N21" s="49">
        <f>'Загальна'!N30</f>
        <v/>
      </c>
      <c r="O21" s="49">
        <f>'Загальна'!O30</f>
        <v/>
      </c>
      <c r="P21" s="49">
        <f>'Загальна'!P30</f>
        <v/>
      </c>
      <c r="Q21" s="49">
        <f>'Загальна'!Q30</f>
        <v/>
      </c>
      <c r="R21" s="49">
        <f>'Загальна'!R30</f>
        <v/>
      </c>
      <c r="S21" s="49">
        <f>'Загальна'!S30</f>
        <v/>
      </c>
      <c r="T21" s="49">
        <f>'Загальна'!T30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'Загальна'!C32</f>
        <v/>
      </c>
      <c r="D22" s="47" t="n">
        <v>13</v>
      </c>
      <c r="E22" s="48">
        <f>'Загальна'!E32</f>
        <v/>
      </c>
      <c r="F22" s="49">
        <f>'Загальна'!F32</f>
        <v/>
      </c>
      <c r="G22" s="49">
        <f>'Загальна'!G32</f>
        <v/>
      </c>
      <c r="H22" s="49">
        <f>'Загальна'!H32</f>
        <v/>
      </c>
      <c r="I22" s="49">
        <f>'Загальна'!I32</f>
        <v/>
      </c>
      <c r="J22" s="49">
        <f>'Загальна'!J32</f>
        <v/>
      </c>
      <c r="K22" s="49">
        <f>'Загальна'!K32</f>
        <v/>
      </c>
      <c r="L22" s="49">
        <f>'Загальна'!L32</f>
        <v/>
      </c>
      <c r="M22" s="49">
        <f>'Загальна'!M32</f>
        <v/>
      </c>
      <c r="N22" s="49">
        <f>'Загальна'!N32</f>
        <v/>
      </c>
      <c r="O22" s="49">
        <f>'Загальна'!O32</f>
        <v/>
      </c>
      <c r="P22" s="49">
        <f>'Загальна'!P32</f>
        <v/>
      </c>
      <c r="Q22" s="49">
        <f>'Загальна'!Q32</f>
        <v/>
      </c>
      <c r="R22" s="49">
        <f>'Загальна'!R32</f>
        <v/>
      </c>
      <c r="S22" s="49">
        <f>'Загальна'!S32</f>
        <v/>
      </c>
      <c r="T22" s="49">
        <f>'Загальна'!T32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47">
        <f>'Загальна'!C33</f>
        <v/>
      </c>
      <c r="D23" s="47" t="n">
        <v>14</v>
      </c>
      <c r="E23" s="48">
        <f>'Загальна'!E33</f>
        <v/>
      </c>
      <c r="F23" s="49">
        <f>'Загальна'!F33</f>
        <v/>
      </c>
      <c r="G23" s="49">
        <f>'Загальна'!G33</f>
        <v/>
      </c>
      <c r="H23" s="49">
        <f>'Загальна'!H33</f>
        <v/>
      </c>
      <c r="I23" s="49">
        <f>'Загальна'!I33</f>
        <v/>
      </c>
      <c r="J23" s="49">
        <f>'Загальна'!J33</f>
        <v/>
      </c>
      <c r="K23" s="49">
        <f>'Загальна'!K33</f>
        <v/>
      </c>
      <c r="L23" s="49">
        <f>'Загальна'!L33</f>
        <v/>
      </c>
      <c r="M23" s="49">
        <f>'Загальна'!M33</f>
        <v/>
      </c>
      <c r="N23" s="49">
        <f>'Загальна'!N33</f>
        <v/>
      </c>
      <c r="O23" s="49">
        <f>'Загальна'!O33</f>
        <v/>
      </c>
      <c r="P23" s="49">
        <f>'Загальна'!P33</f>
        <v/>
      </c>
      <c r="Q23" s="49">
        <f>'Загальна'!Q33</f>
        <v/>
      </c>
      <c r="R23" s="49">
        <f>'Загальна'!R33</f>
        <v/>
      </c>
      <c r="S23" s="49">
        <f>'Загальна'!S33</f>
        <v/>
      </c>
      <c r="T23" s="49">
        <f>'Загальна'!T33</f>
        <v/>
      </c>
      <c r="U23" s="42">
        <f>IF(COUNTIF($F23:T23,"=*")&gt;0,IF($C23="K","-"," - "),IF(COUNTIF($F23:T23,"&lt;4")&gt;0,IF(C23="K","-"," - "),(IFERROR(AVERAGE($F23:T23),"Очікую"))))</f>
        <v/>
      </c>
      <c r="V23" s="22" t="n"/>
      <c r="W23" s="39" t="n"/>
    </row>
    <row r="24" ht="15" customFormat="1" customHeight="1" s="11">
      <c r="A24" s="40" t="n"/>
      <c r="B24" s="12" t="n"/>
      <c r="C24" s="47">
        <f>'Загальна'!C35</f>
        <v/>
      </c>
      <c r="D24" s="47" t="n">
        <v>15</v>
      </c>
      <c r="E24" s="48">
        <f>'Загальна'!E35</f>
        <v/>
      </c>
      <c r="F24" s="49">
        <f>'Загальна'!F35</f>
        <v/>
      </c>
      <c r="G24" s="49">
        <f>'Загальна'!G35</f>
        <v/>
      </c>
      <c r="H24" s="49">
        <f>'Загальна'!H35</f>
        <v/>
      </c>
      <c r="I24" s="49">
        <f>'Загальна'!I35</f>
        <v/>
      </c>
      <c r="J24" s="49">
        <f>'Загальна'!J35</f>
        <v/>
      </c>
      <c r="K24" s="49">
        <f>'Загальна'!K35</f>
        <v/>
      </c>
      <c r="L24" s="49">
        <f>'Загальна'!L35</f>
        <v/>
      </c>
      <c r="M24" s="49">
        <f>'Загальна'!M35</f>
        <v/>
      </c>
      <c r="N24" s="49">
        <f>'Загальна'!N35</f>
        <v/>
      </c>
      <c r="O24" s="49">
        <f>'Загальна'!O35</f>
        <v/>
      </c>
      <c r="P24" s="49">
        <f>'Загальна'!P35</f>
        <v/>
      </c>
      <c r="Q24" s="49">
        <f>'Загальна'!Q35</f>
        <v/>
      </c>
      <c r="R24" s="49">
        <f>'Загальна'!R35</f>
        <v/>
      </c>
      <c r="S24" s="49">
        <f>'Загальна'!S35</f>
        <v/>
      </c>
      <c r="T24" s="49">
        <f>'Загальна'!T35</f>
        <v/>
      </c>
      <c r="U24" s="42">
        <f>IF(COUNTIF($F24:T24,"=*")&gt;0,IF($C24="K","-"," - "),IF(COUNTIF($F24:T24,"&lt;4")&gt;0,IF(C24="K","-"," - "),(IFERROR(AVERAGE($F24:T24),"Очікую"))))</f>
        <v/>
      </c>
      <c r="V24" s="22" t="n"/>
      <c r="W24" s="39" t="n"/>
    </row>
    <row r="25" ht="15" customFormat="1" customHeight="1" s="11">
      <c r="A25" s="40" t="n"/>
      <c r="B25" s="12" t="n"/>
      <c r="C25" s="47">
        <f>'Загальна'!C40</f>
        <v/>
      </c>
      <c r="D25" s="47" t="n">
        <v>16</v>
      </c>
      <c r="E25" s="48">
        <f>'Загальна'!E40</f>
        <v/>
      </c>
      <c r="F25" s="49">
        <f>'Загальна'!F40</f>
        <v/>
      </c>
      <c r="G25" s="49">
        <f>'Загальна'!G40</f>
        <v/>
      </c>
      <c r="H25" s="49">
        <f>'Загальна'!H40</f>
        <v/>
      </c>
      <c r="I25" s="49">
        <f>'Загальна'!I40</f>
        <v/>
      </c>
      <c r="J25" s="49">
        <f>'Загальна'!J40</f>
        <v/>
      </c>
      <c r="K25" s="49">
        <f>'Загальна'!K40</f>
        <v/>
      </c>
      <c r="L25" s="49">
        <f>'Загальна'!L40</f>
        <v/>
      </c>
      <c r="M25" s="49">
        <f>'Загальна'!M40</f>
        <v/>
      </c>
      <c r="N25" s="49">
        <f>'Загальна'!N40</f>
        <v/>
      </c>
      <c r="O25" s="49">
        <f>'Загальна'!O40</f>
        <v/>
      </c>
      <c r="P25" s="49">
        <f>'Загальна'!P40</f>
        <v/>
      </c>
      <c r="Q25" s="49">
        <f>'Загальна'!Q40</f>
        <v/>
      </c>
      <c r="R25" s="49">
        <f>'Загальна'!R40</f>
        <v/>
      </c>
      <c r="S25" s="49">
        <f>'Загальна'!S40</f>
        <v/>
      </c>
      <c r="T25" s="49">
        <f>'Загальна'!T40</f>
        <v/>
      </c>
      <c r="U25" s="42">
        <f>IF(COUNTIF($F25:T25,"=*")&gt;0,IF($C25="K","-"," - "),IF(COUNTIF($F25:T25,"&lt;4")&gt;0,IF(C25="K","-"," - "),(IFERROR(AVERAGE($F25:T25),"Очікую"))))</f>
        <v/>
      </c>
      <c r="V25" s="22" t="n"/>
      <c r="W25" s="39" t="n"/>
    </row>
    <row r="26" ht="15" customFormat="1" customHeight="1" s="11">
      <c r="A26" s="40" t="n"/>
      <c r="B26" s="12" t="n"/>
      <c r="C26" s="47">
        <f>'Загальна'!C41</f>
        <v/>
      </c>
      <c r="D26" s="47" t="n">
        <v>17</v>
      </c>
      <c r="E26" s="48">
        <f>'Загальна'!E41</f>
        <v/>
      </c>
      <c r="F26" s="49">
        <f>'Загальна'!F41</f>
        <v/>
      </c>
      <c r="G26" s="49">
        <f>'Загальна'!G41</f>
        <v/>
      </c>
      <c r="H26" s="49">
        <f>'Загальна'!H41</f>
        <v/>
      </c>
      <c r="I26" s="49">
        <f>'Загальна'!I41</f>
        <v/>
      </c>
      <c r="J26" s="49">
        <f>'Загальна'!J41</f>
        <v/>
      </c>
      <c r="K26" s="49">
        <f>'Загальна'!K41</f>
        <v/>
      </c>
      <c r="L26" s="49">
        <f>'Загальна'!L41</f>
        <v/>
      </c>
      <c r="M26" s="49">
        <f>'Загальна'!M41</f>
        <v/>
      </c>
      <c r="N26" s="49">
        <f>'Загальна'!N41</f>
        <v/>
      </c>
      <c r="O26" s="49">
        <f>'Загальна'!O41</f>
        <v/>
      </c>
      <c r="P26" s="49">
        <f>'Загальна'!P41</f>
        <v/>
      </c>
      <c r="Q26" s="49">
        <f>'Загальна'!Q41</f>
        <v/>
      </c>
      <c r="R26" s="49">
        <f>'Загальна'!R41</f>
        <v/>
      </c>
      <c r="S26" s="49">
        <f>'Загальна'!S41</f>
        <v/>
      </c>
      <c r="T26" s="49">
        <f>'Загальна'!T41</f>
        <v/>
      </c>
      <c r="U26" s="42">
        <f>IF(COUNTIF($F26:T26,"=*")&gt;0,IF($C26="K","-"," - "),IF(COUNTIF($F26:T26,"&lt;4")&gt;0,IF(C26="K","-"," - "),(IFERROR(AVERAGE($F26:T26),"Очікую"))))</f>
        <v/>
      </c>
      <c r="V26" s="22" t="n"/>
      <c r="W26" s="39" t="n"/>
    </row>
    <row r="27" ht="15" customFormat="1" customHeight="1" s="11">
      <c r="A27" s="40" t="n"/>
      <c r="B27" s="12" t="n"/>
      <c r="C27" s="47">
        <f>'Загальна'!C43</f>
        <v/>
      </c>
      <c r="D27" s="47" t="n">
        <v>18</v>
      </c>
      <c r="E27" s="48">
        <f>'Загальна'!E43</f>
        <v/>
      </c>
      <c r="F27" s="49">
        <f>'Загальна'!F43</f>
        <v/>
      </c>
      <c r="G27" s="49">
        <f>'Загальна'!G43</f>
        <v/>
      </c>
      <c r="H27" s="49">
        <f>'Загальна'!H43</f>
        <v/>
      </c>
      <c r="I27" s="49">
        <f>'Загальна'!I43</f>
        <v/>
      </c>
      <c r="J27" s="49">
        <f>'Загальна'!J43</f>
        <v/>
      </c>
      <c r="K27" s="49">
        <f>'Загальна'!K43</f>
        <v/>
      </c>
      <c r="L27" s="49">
        <f>'Загальна'!L43</f>
        <v/>
      </c>
      <c r="M27" s="49">
        <f>'Загальна'!M43</f>
        <v/>
      </c>
      <c r="N27" s="49">
        <f>'Загальна'!N43</f>
        <v/>
      </c>
      <c r="O27" s="49">
        <f>'Загальна'!O43</f>
        <v/>
      </c>
      <c r="P27" s="49">
        <f>'Загальна'!P43</f>
        <v/>
      </c>
      <c r="Q27" s="49">
        <f>'Загальна'!Q43</f>
        <v/>
      </c>
      <c r="R27" s="49">
        <f>'Загальна'!R43</f>
        <v/>
      </c>
      <c r="S27" s="49">
        <f>'Загальна'!S43</f>
        <v/>
      </c>
      <c r="T27" s="49">
        <f>'Загальна'!T43</f>
        <v/>
      </c>
      <c r="U27" s="42">
        <f>IF(COUNTIF($F27:T27,"=*")&gt;0,IF($C27="K","-"," - "),IF(COUNTIF($F27:T27,"&lt;4")&gt;0,IF(C27="K","-"," - "),(IFERROR(AVERAGE($F27:T27),"Очікую"))))</f>
        <v/>
      </c>
      <c r="V27" s="22" t="n"/>
      <c r="W27" s="39" t="n"/>
    </row>
    <row r="28" ht="15" customFormat="1" customHeight="1" s="11">
      <c r="A28" s="40" t="n"/>
      <c r="B28" s="12" t="n"/>
      <c r="C28" s="47">
        <f>'Загальна'!C44</f>
        <v/>
      </c>
      <c r="D28" s="47" t="n">
        <v>19</v>
      </c>
      <c r="E28" s="48">
        <f>'Загальна'!E44</f>
        <v/>
      </c>
      <c r="F28" s="49">
        <f>'Загальна'!F44</f>
        <v/>
      </c>
      <c r="G28" s="49">
        <f>'Загальна'!G44</f>
        <v/>
      </c>
      <c r="H28" s="49">
        <f>'Загальна'!H44</f>
        <v/>
      </c>
      <c r="I28" s="49">
        <f>'Загальна'!I44</f>
        <v/>
      </c>
      <c r="J28" s="49">
        <f>'Загальна'!J44</f>
        <v/>
      </c>
      <c r="K28" s="49">
        <f>'Загальна'!K44</f>
        <v/>
      </c>
      <c r="L28" s="49">
        <f>'Загальна'!L44</f>
        <v/>
      </c>
      <c r="M28" s="49">
        <f>'Загальна'!M44</f>
        <v/>
      </c>
      <c r="N28" s="49">
        <f>'Загальна'!N44</f>
        <v/>
      </c>
      <c r="O28" s="49">
        <f>'Загальна'!O44</f>
        <v/>
      </c>
      <c r="P28" s="49">
        <f>'Загальна'!P44</f>
        <v/>
      </c>
      <c r="Q28" s="49">
        <f>'Загальна'!Q44</f>
        <v/>
      </c>
      <c r="R28" s="49">
        <f>'Загальна'!R44</f>
        <v/>
      </c>
      <c r="S28" s="49">
        <f>'Загальна'!S44</f>
        <v/>
      </c>
      <c r="T28" s="49">
        <f>'Загальна'!T44</f>
        <v/>
      </c>
      <c r="U28" s="42">
        <f>IF(COUNTIF($F28:T28,"=*")&gt;0,IF($C28="K","-"," - "),IF(COUNTIF($F28:T28,"&lt;4")&gt;0,IF(C28="K","-"," - "),(IFERROR(AVERAGE($F28:T28),"Очікую"))))</f>
        <v/>
      </c>
      <c r="V28" s="22" t="n"/>
      <c r="W28" s="39" t="n"/>
    </row>
    <row r="29" ht="15" customFormat="1" customHeight="1" s="11">
      <c r="A29" s="40" t="n"/>
      <c r="B29" s="12" t="n"/>
      <c r="C29" s="47">
        <f>'Загальна'!C45</f>
        <v/>
      </c>
      <c r="D29" s="47" t="n">
        <v>20</v>
      </c>
      <c r="E29" s="48">
        <f>'Загальна'!E45</f>
        <v/>
      </c>
      <c r="F29" s="49">
        <f>'Загальна'!F45</f>
        <v/>
      </c>
      <c r="G29" s="49">
        <f>'Загальна'!G45</f>
        <v/>
      </c>
      <c r="H29" s="49">
        <f>'Загальна'!H45</f>
        <v/>
      </c>
      <c r="I29" s="49">
        <f>'Загальна'!I45</f>
        <v/>
      </c>
      <c r="J29" s="49">
        <f>'Загальна'!J45</f>
        <v/>
      </c>
      <c r="K29" s="49">
        <f>'Загальна'!K45</f>
        <v/>
      </c>
      <c r="L29" s="49">
        <f>'Загальна'!L45</f>
        <v/>
      </c>
      <c r="M29" s="49">
        <f>'Загальна'!M45</f>
        <v/>
      </c>
      <c r="N29" s="49">
        <f>'Загальна'!N45</f>
        <v/>
      </c>
      <c r="O29" s="49">
        <f>'Загальна'!O45</f>
        <v/>
      </c>
      <c r="P29" s="49">
        <f>'Загальна'!P45</f>
        <v/>
      </c>
      <c r="Q29" s="49">
        <f>'Загальна'!Q45</f>
        <v/>
      </c>
      <c r="R29" s="49">
        <f>'Загальна'!R45</f>
        <v/>
      </c>
      <c r="S29" s="49">
        <f>'Загальна'!S45</f>
        <v/>
      </c>
      <c r="T29" s="49">
        <f>'Загальна'!T45</f>
        <v/>
      </c>
      <c r="U29" s="42">
        <f>IF(COUNTIF($F29:T29,"=*")&gt;0,IF($C29="K","-"," - "),IF(COUNTIF($F29:T29,"&lt;4")&gt;0,IF(C29="K","-"," - "),(IFERROR(AVERAGE($F29:T29),"Очікую"))))</f>
        <v/>
      </c>
      <c r="V29" s="22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Середній бал успішності з дисципліни</t>
        </is>
      </c>
      <c r="F30" s="8">
        <f>IF(SUM(F$10:F29)=0,IF(COUNTA(F$10:F29)=0,"Очікую",0),SUM(F$10:F29)/$D29)</f>
        <v/>
      </c>
      <c r="G30" s="8">
        <f>IF(SUM(G$10:G29)=0,IF(COUNTA(G$10:G29)=0,"Очікую",0),SUM(G$10:G29)/$D29)</f>
        <v/>
      </c>
      <c r="H30" s="8">
        <f>IF(SUM(H$10:H29)=0,IF(COUNTA(H$10:H29)=0,"Очікую",0),SUM(H$10:H29)/$D29)</f>
        <v/>
      </c>
      <c r="I30" s="8">
        <f>IF(SUM(I$10:I29)=0,IF(COUNTA(I$10:I29)=0,"Очікую",0),SUM(I$10:I29)/$D29)</f>
        <v/>
      </c>
      <c r="J30" s="8">
        <f>IF(SUM(J$10:J29)=0,IF(COUNTA(J$10:J29)=0,"Очікую",0),SUM(J$10:J29)/$D29)</f>
        <v/>
      </c>
      <c r="K30" s="8">
        <f>IF(SUM(K$10:K29)=0,IF(COUNTA(K$10:K29)=0,"Очікую",0),SUM(K$10:K29)/$D29)</f>
        <v/>
      </c>
      <c r="L30" s="8">
        <f>IF(SUM(L$10:L29)=0,IF(COUNTA(L$10:L29)=0,"Очікую",0),SUM(L$10:L29)/$D29)</f>
        <v/>
      </c>
      <c r="M30" s="8">
        <f>IF(SUM(M$10:M29)=0,IF(COUNTA(M$10:M29)=0,"Очікую",0),SUM(M$10:M29)/$D29)</f>
        <v/>
      </c>
      <c r="N30" s="8">
        <f>IF(SUM(N$10:N29)=0,IF(COUNTA(N$10:N29)=0,"Очікую",0),SUM(N$10:N29)/$D29)</f>
        <v/>
      </c>
      <c r="O30" s="8">
        <f>IF(SUM(O$10:O29)=0,IF(COUNTA(O$10:O29)=0,"Очікую",0),SUM(O$10:O29)/$D29)</f>
        <v/>
      </c>
      <c r="P30" s="8">
        <f>IF(SUM(P$10:P29)=0,IF(COUNTA(P$10:P29)=0,"Очікую",0),SUM(P$10:P29)/$D29)</f>
        <v/>
      </c>
      <c r="Q30" s="8">
        <f>IF(SUM(Q$10:Q29)=0,IF(COUNTA(Q$10:Q29)=0,"Очікую",0),SUM(Q$10:Q29)/$D29)</f>
        <v/>
      </c>
      <c r="R30" s="8">
        <f>IF(SUM(R$10:R29)=0,IF(COUNTA(R$10:R29)=0,"Очікую",0),SUM(R$10:R29)/$D29)</f>
        <v/>
      </c>
      <c r="S30" s="8">
        <f>IF(SUM(S$10:S29)=0,IF(COUNTA(S$10:S29)=0,"Очікую",0),SUM(S$10:S29)/$D29)</f>
        <v/>
      </c>
      <c r="T30" s="8">
        <f>IF(SUM(T$10:T29)=0,IF(COUNTA(T$10:T29)=0,"Очікую",0),SUM(T$10:T29)/$D29)</f>
        <v/>
      </c>
      <c r="U30" s="9">
        <f>IFERROR(AVERAGE($F30:T30),"Очікую")</f>
        <v/>
      </c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Абсолютна успішність</t>
        </is>
      </c>
      <c r="F31" s="43">
        <f>IF(SUM(F$10:F29)=0,IF(COUNTA(F$10:F29)=0,"Очікую",0),IF(COUNTIF(F$10:F29,"&gt;=4")=0,0,COUNTIF(F$10:F29,"&gt;=4")/$D29*100))</f>
        <v/>
      </c>
      <c r="G31" s="43">
        <f>IF(SUM(G$10:G29)=0,IF(COUNTA(G$10:G29)=0,"Очікую",0),IF(COUNTIF(G$10:G29,"&gt;=4")=0,0,COUNTIF(G$10:G29,"&gt;=4")/$D29*100))</f>
        <v/>
      </c>
      <c r="H31" s="43">
        <f>IF(SUM(H$10:H29)=0,IF(COUNTA(H$10:H29)=0,"Очікую",0),IF(COUNTIF(H$10:H29,"&gt;=4")=0,0,COUNTIF(H$10:H29,"&gt;=4")/$D29*100))</f>
        <v/>
      </c>
      <c r="I31" s="43">
        <f>IF(SUM(I$10:I29)=0,IF(COUNTA(I$10:I29)=0,"Очікую",0),IF(COUNTIF(I$10:I29,"&gt;=4")=0,0,COUNTIF(I$10:I29,"&gt;=4")/$D29*100))</f>
        <v/>
      </c>
      <c r="J31" s="43">
        <f>IF(SUM(J$10:J29)=0,IF(COUNTA(J$10:J29)=0,"Очікую",0),IF(COUNTIF(J$10:J29,"&gt;=4")=0,0,COUNTIF(J$10:J29,"&gt;=4")/$D29*100))</f>
        <v/>
      </c>
      <c r="K31" s="43">
        <f>IF(SUM(K$10:K29)=0,IF(COUNTA(K$10:K29)=0,"Очікую",0),IF(COUNTIF(K$10:K29,"&gt;=4")=0,0,COUNTIF(K$10:K29,"&gt;=4")/$D29*100))</f>
        <v/>
      </c>
      <c r="L31" s="43">
        <f>IF(SUM(L$10:L29)=0,IF(COUNTA(L$10:L29)=0,"Очікую",0),IF(COUNTIF(L$10:L29,"&gt;=4")=0,0,COUNTIF(L$10:L29,"&gt;=4")/$D29*100))</f>
        <v/>
      </c>
      <c r="M31" s="43">
        <f>IF(SUM(M$10:M29)=0,IF(COUNTA(M$10:M29)=0,"Очікую",0),IF(COUNTIF(M$10:M29,"&gt;=4")=0,0,COUNTIF(M$10:M29,"&gt;=4")/$D29*100))</f>
        <v/>
      </c>
      <c r="N31" s="43">
        <f>IF(SUM(N$10:N29)=0,IF(COUNTA(N$10:N29)=0,"Очікую",0),IF(COUNTIF(N$10:N29,"&gt;=4")=0,0,COUNTIF(N$10:N29,"&gt;=4")/$D29*100))</f>
        <v/>
      </c>
      <c r="O31" s="43">
        <f>IF(SUM(O$10:O29)=0,IF(COUNTA(O$10:O29)=0,"Очікую",0),IF(COUNTIF(O$10:O29,"&gt;=4")=0,0,COUNTIF(O$10:O29,"&gt;=4")/$D29*100))</f>
        <v/>
      </c>
      <c r="P31" s="43">
        <f>IF(SUM(P$10:P29)=0,IF(COUNTA(P$10:P29)=0,"Очікую",0),IF(COUNTIF(P$10:P29,"&gt;=4")=0,0,COUNTIF(P$10:P29,"&gt;=4")/$D29*100))</f>
        <v/>
      </c>
      <c r="Q31" s="43">
        <f>IF(SUM(Q$10:Q29)=0,IF(COUNTA(Q$10:Q29)=0,"Очікую",0),IF(COUNTIF(Q$10:Q29,"&gt;=4")=0,0,COUNTIF(Q$10:Q29,"&gt;=4")/$D29*100))</f>
        <v/>
      </c>
      <c r="R31" s="43">
        <f>IF(SUM(R$10:R29)=0,IF(COUNTA(R$10:R29)=0,"Очікую",0),IF(COUNTIF(R$10:R29,"&gt;=4")=0,0,COUNTIF(R$10:R29,"&gt;=4")/$D29*100))</f>
        <v/>
      </c>
      <c r="S31" s="43">
        <f>IF(SUM(S$10:S29)=0,IF(COUNTA(S$10:S29)=0,"Очікую",0),IF(COUNTIF(S$10:S29,"&gt;=4")=0,0,COUNTIF(S$10:S29,"&gt;=4")/$D29*100))</f>
        <v/>
      </c>
      <c r="T31" s="43">
        <f>IF(SUM(T$10:T29)=0,IF(COUNTA(T$10:T29)=0,"Очікую",0),IF(COUNTIF(T$10:T29,"&gt;=4")=0,0,COUNTIF(T$10:T29,"&gt;=4")/$D29*100))</f>
        <v/>
      </c>
      <c r="U31" s="6" t="n"/>
      <c r="V31" s="20" t="n"/>
      <c r="W31" s="39" t="n"/>
    </row>
    <row r="32" ht="15" customFormat="1" customHeight="1" s="11">
      <c r="A32" s="40" t="n"/>
      <c r="B32" s="12" t="n"/>
      <c r="C32" s="6" t="n"/>
      <c r="D32" s="6" t="n"/>
      <c r="E32" s="7" t="inlineStr">
        <is>
          <t>Якісна успішність</t>
        </is>
      </c>
      <c r="F32" s="43">
        <f>IF(SUM(F$10:F29)=0,IF(COUNTA(F$10:F29)=0,"Очікую",0),IF(COUNTIF(F$10:F29,"&gt;=7")=0,0,COUNTIF(F$10:F29,"&gt;=7")/$D29*100))</f>
        <v/>
      </c>
      <c r="G32" s="43">
        <f>IF(SUM(G$10:G29)=0,IF(COUNTA(G$10:G29)=0,"Очікую",0),IF(COUNTIF(G$10:G29,"&gt;=7")=0,0,COUNTIF(G$10:G29,"&gt;=7")/$D29*100))</f>
        <v/>
      </c>
      <c r="H32" s="43">
        <f>IF(SUM(H$10:H29)=0,IF(COUNTA(H$10:H29)=0,"Очікую",0),IF(COUNTIF(H$10:H29,"&gt;=7")=0,0,COUNTIF(H$10:H29,"&gt;=7")/$D29*100))</f>
        <v/>
      </c>
      <c r="I32" s="43">
        <f>IF(SUM(I$10:I29)=0,IF(COUNTA(I$10:I29)=0,"Очікую",0),IF(COUNTIF(I$10:I29,"&gt;=7")=0,0,COUNTIF(I$10:I29,"&gt;=7")/$D29*100))</f>
        <v/>
      </c>
      <c r="J32" s="43">
        <f>IF(SUM(J$10:J29)=0,IF(COUNTA(J$10:J29)=0,"Очікую",0),IF(COUNTIF(J$10:J29,"&gt;=7")=0,0,COUNTIF(J$10:J29,"&gt;=7")/$D29*100))</f>
        <v/>
      </c>
      <c r="K32" s="43">
        <f>IF(SUM(K$10:K29)=0,IF(COUNTA(K$10:K29)=0,"Очікую",0),IF(COUNTIF(K$10:K29,"&gt;=7")=0,0,COUNTIF(K$10:K29,"&gt;=7")/$D29*100))</f>
        <v/>
      </c>
      <c r="L32" s="43">
        <f>IF(SUM(L$10:L29)=0,IF(COUNTA(L$10:L29)=0,"Очікую",0),IF(COUNTIF(L$10:L29,"&gt;=7")=0,0,COUNTIF(L$10:L29,"&gt;=7")/$D29*100))</f>
        <v/>
      </c>
      <c r="M32" s="43">
        <f>IF(SUM(M$10:M29)=0,IF(COUNTA(M$10:M29)=0,"Очікую",0),IF(COUNTIF(M$10:M29,"&gt;=7")=0,0,COUNTIF(M$10:M29,"&gt;=7")/$D29*100))</f>
        <v/>
      </c>
      <c r="N32" s="43">
        <f>IF(SUM(N$10:N29)=0,IF(COUNTA(N$10:N29)=0,"Очікую",0),IF(COUNTIF(N$10:N29,"&gt;=7")=0,0,COUNTIF(N$10:N29,"&gt;=7")/$D29*100))</f>
        <v/>
      </c>
      <c r="O32" s="43">
        <f>IF(SUM(O$10:O29)=0,IF(COUNTA(O$10:O29)=0,"Очікую",0),IF(COUNTIF(O$10:O29,"&gt;=7")=0,0,COUNTIF(O$10:O29,"&gt;=7")/$D29*100))</f>
        <v/>
      </c>
      <c r="P32" s="43">
        <f>IF(SUM(P$10:P29)=0,IF(COUNTA(P$10:P29)=0,"Очікую",0),IF(COUNTIF(P$10:P29,"&gt;=7")=0,0,COUNTIF(P$10:P29,"&gt;=7")/$D29*100))</f>
        <v/>
      </c>
      <c r="Q32" s="43">
        <f>IF(SUM(Q$10:Q29)=0,IF(COUNTA(Q$10:Q29)=0,"Очікую",0),IF(COUNTIF(Q$10:Q29,"&gt;=7")=0,0,COUNTIF(Q$10:Q29,"&gt;=7")/$D29*100))</f>
        <v/>
      </c>
      <c r="R32" s="43">
        <f>IF(SUM(R$10:R29)=0,IF(COUNTA(R$10:R29)=0,"Очікую",0),IF(COUNTIF(R$10:R29,"&gt;=7")=0,0,COUNTIF(R$10:R29,"&gt;=7")/$D29*100))</f>
        <v/>
      </c>
      <c r="S32" s="43">
        <f>IF(SUM(S$10:S29)=0,IF(COUNTA(S$10:S29)=0,"Очікую",0),IF(COUNTIF(S$10:S29,"&gt;=7")=0,0,COUNTIF(S$10:S29,"&gt;=7")/$D29*100))</f>
        <v/>
      </c>
      <c r="T32" s="43">
        <f>IF(SUM(T$10:T29)=0,IF(COUNTA(T$10:T29)=0,"Очікую",0),IF(COUNTIF(T$10:T29,"&gt;=7")=0,0,COUNTIF(T$10:T29,"&gt;=7")/$D29*100))</f>
        <v/>
      </c>
      <c r="U32" s="6" t="n"/>
      <c r="V32" s="20" t="n"/>
      <c r="W32" s="39" t="n"/>
    </row>
    <row r="33" ht="15" customFormat="1" customHeight="1" s="11">
      <c r="A33" s="40" t="n"/>
      <c r="B33" s="12" t="n"/>
      <c r="C33" s="6" t="n"/>
      <c r="D33" s="6" t="n"/>
      <c r="E33" s="7" t="inlineStr">
        <is>
          <t>Абсолютна успішність по групі</t>
        </is>
      </c>
      <c r="F33" s="8">
        <f>IFERROR(AVERAGE(F31:T31),"Очікую")</f>
        <v/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20" t="n"/>
      <c r="W33" s="39" t="n"/>
    </row>
    <row r="34" ht="15" customFormat="1" customHeight="1" s="11">
      <c r="A34" s="40" t="n"/>
      <c r="B34" s="12" t="n"/>
      <c r="C34" s="6" t="n"/>
      <c r="D34" s="6" t="n"/>
      <c r="E34" s="7" t="inlineStr">
        <is>
          <t>Якісна успішність по групі</t>
        </is>
      </c>
      <c r="F34" s="8">
        <f>IFERROR(AVERAGE($F32:T32),"Очікую")</f>
        <v/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20" t="n"/>
      <c r="W34" s="39" t="n"/>
    </row>
    <row r="35" ht="15" customFormat="1" customHeight="1" s="11">
      <c r="A35" s="40" t="n"/>
      <c r="B35" s="12" t="n"/>
      <c r="C35" s="6" t="n"/>
      <c r="D35" s="6" t="n"/>
      <c r="E35" s="7" t="inlineStr">
        <is>
          <t>Кількість бюджетників</t>
        </is>
      </c>
      <c r="F35" s="63">
        <f>IF(COUNTIF($C$10:$C29,"=B")=0,IF(COUNTIF($C$10:$C29,"=K")=0,"Очікую",0),COUNTIF($C$10:$C29,"=B"))</f>
        <v/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52" t="n"/>
      <c r="S35" s="52" t="n"/>
      <c r="T35" s="52" t="n"/>
      <c r="U35" s="52" t="n"/>
      <c r="V35" s="20" t="n"/>
      <c r="W35" s="39" t="n"/>
    </row>
    <row r="36" ht="15" customFormat="1" customHeight="1" s="11">
      <c r="A36" s="40" t="n"/>
      <c r="B36" s="12" t="n"/>
      <c r="C36" s="6" t="n"/>
      <c r="D36" s="6" t="n"/>
      <c r="E36" s="7" t="inlineStr">
        <is>
          <t>Кількість контрактників</t>
        </is>
      </c>
      <c r="F36" s="63">
        <f>IF(COUNTIF($C$10:$C29,"=K")=0,IF(COUNTIF($C$10:$C29,"=B")=0,"Очікую",0),COUNTIF($C$10:$C29,"=K"))</f>
        <v/>
      </c>
      <c r="G36" s="6" t="n"/>
      <c r="H36" s="55" t="inlineStr">
        <is>
          <t>Класний керівник</t>
        </is>
      </c>
      <c r="I36" s="55" t="n"/>
      <c r="J36" s="55" t="n"/>
      <c r="K36" s="55" t="n"/>
      <c r="L36" s="55" t="n"/>
      <c r="M36" s="6" t="n"/>
      <c r="N36" s="6" t="n"/>
      <c r="O36" s="6" t="n"/>
      <c r="P36" s="56">
        <f>'Загальна'!P53</f>
        <v/>
      </c>
      <c r="Q36" s="54" t="n"/>
      <c r="R36" s="54" t="n"/>
      <c r="S36" s="54" t="n"/>
      <c r="T36" s="54" t="n"/>
      <c r="U36" s="54" t="n"/>
      <c r="V36" s="20" t="n"/>
      <c r="W36" s="39" t="n"/>
    </row>
    <row r="37" ht="15" customFormat="1" customHeight="1" s="11">
      <c r="A37" s="40" t="n"/>
      <c r="B37" s="12" t="n"/>
      <c r="C37" s="6" t="n"/>
      <c r="D37" s="6" t="n"/>
      <c r="E37" s="7" t="inlineStr">
        <is>
          <t>Кількість соціального контингенту</t>
        </is>
      </c>
      <c r="F37" s="4" t="n"/>
      <c r="G37" s="6" t="n"/>
      <c r="H37" s="55" t="n"/>
      <c r="I37" s="55" t="n"/>
      <c r="J37" s="55" t="n"/>
      <c r="K37" s="55" t="n"/>
      <c r="L37" s="55" t="n"/>
      <c r="M37" s="6" t="n"/>
      <c r="N37" s="6" t="n"/>
      <c r="O37" s="6" t="n"/>
      <c r="P37" s="56" t="n"/>
      <c r="Q37" s="52" t="n"/>
      <c r="R37" s="52" t="n"/>
      <c r="S37" s="52" t="n"/>
      <c r="T37" s="52" t="n"/>
      <c r="U37" s="52" t="n"/>
      <c r="V37" s="20" t="n"/>
      <c r="W37" s="39" t="n"/>
    </row>
    <row r="38" ht="15" customFormat="1" customHeight="1" s="11">
      <c r="A38" s="40" t="n"/>
      <c r="B38" s="12" t="n"/>
      <c r="C38" s="6" t="n"/>
      <c r="D38" s="6" t="n"/>
      <c r="E38" s="7" t="inlineStr">
        <is>
          <t>Вийшли на стипендію</t>
        </is>
      </c>
      <c r="F38" s="63">
        <f>IF(F35="Очікую","Очікую",IF(F35-COUNTIF($U$10:$U29," - ")&lt;ROUNDDOWN(F35*0.4,0),F35-COUNTIF($U$10:$U29," - "),ROUNDDOWN(F35*0.4,0)))</f>
        <v/>
      </c>
      <c r="G38" s="6" t="n"/>
      <c r="H38" s="56" t="inlineStr">
        <is>
          <t>Завідувач відділення ПЗСО</t>
        </is>
      </c>
      <c r="I38" s="56" t="n"/>
      <c r="J38" s="56" t="n"/>
      <c r="K38" s="56" t="n"/>
      <c r="L38" s="56" t="n"/>
      <c r="M38" s="6" t="n"/>
      <c r="N38" s="6" t="n"/>
      <c r="O38" s="6" t="n"/>
      <c r="P38" s="56" t="inlineStr">
        <is>
          <t>Margarita BRITIKOVA</t>
        </is>
      </c>
      <c r="Q38" s="54" t="n"/>
      <c r="R38" s="54" t="n"/>
      <c r="S38" s="54" t="n"/>
      <c r="T38" s="54" t="n"/>
      <c r="U38" s="54" t="n"/>
      <c r="V38" s="20" t="n"/>
      <c r="W38" s="39" t="n"/>
    </row>
    <row r="39" ht="15" customFormat="1" customHeight="1" s="11">
      <c r="A39" s="40" t="n"/>
      <c r="B39" s="21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5" t="n"/>
      <c r="W39" s="39" t="n"/>
    </row>
    <row r="40" ht="15" customFormat="1" customHeight="1" s="11">
      <c r="A40" s="38" t="n"/>
      <c r="B40" s="38" t="n"/>
      <c r="C40" s="38" t="n"/>
      <c r="D40" s="38" t="n"/>
      <c r="E40" s="38" t="n"/>
      <c r="F40" s="38" t="n"/>
      <c r="G40" s="38" t="n"/>
      <c r="H40" s="38" t="n"/>
      <c r="I40" s="38" t="n"/>
      <c r="J40" s="38" t="n"/>
      <c r="K40" s="38" t="n"/>
      <c r="L40" s="38" t="n"/>
      <c r="M40" s="38" t="n"/>
      <c r="N40" s="38" t="n"/>
      <c r="O40" s="38" t="n"/>
      <c r="P40" s="38" t="n"/>
      <c r="Q40" s="38" t="n"/>
      <c r="R40" s="38" t="n"/>
      <c r="S40" s="38" t="n"/>
      <c r="T40" s="38" t="n"/>
      <c r="U40" s="38" t="n"/>
      <c r="V40" s="38" t="n"/>
      <c r="W40" s="39" t="n"/>
    </row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C8:C9"/>
    <mergeCell ref="E8:E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3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33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E2 ««Екологія»»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'Загальна'!C11</f>
        <v/>
      </c>
      <c r="D10" s="47" t="n">
        <v>1</v>
      </c>
      <c r="E10" s="48">
        <f>'Загальна'!E11</f>
        <v/>
      </c>
      <c r="F10" s="49">
        <f>'Загальна'!F11</f>
        <v/>
      </c>
      <c r="G10" s="49">
        <f>'Загальна'!G11</f>
        <v/>
      </c>
      <c r="H10" s="49">
        <f>'Загальна'!H11</f>
        <v/>
      </c>
      <c r="I10" s="49">
        <f>'Загальна'!I11</f>
        <v/>
      </c>
      <c r="J10" s="49">
        <f>'Загальна'!J11</f>
        <v/>
      </c>
      <c r="K10" s="49">
        <f>'Загальна'!K11</f>
        <v/>
      </c>
      <c r="L10" s="49">
        <f>'Загальна'!L11</f>
        <v/>
      </c>
      <c r="M10" s="49">
        <f>'Загальна'!M11</f>
        <v/>
      </c>
      <c r="N10" s="49">
        <f>'Загальна'!N11</f>
        <v/>
      </c>
      <c r="O10" s="49">
        <f>'Загальна'!O11</f>
        <v/>
      </c>
      <c r="P10" s="49">
        <f>'Загальна'!P11</f>
        <v/>
      </c>
      <c r="Q10" s="49">
        <f>'Загальна'!Q11</f>
        <v/>
      </c>
      <c r="R10" s="49">
        <f>'Загальна'!R11</f>
        <v/>
      </c>
      <c r="S10" s="49">
        <f>'Загальна'!S11</f>
        <v/>
      </c>
      <c r="T10" s="49">
        <f>'Загальна'!T11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'Загальна'!C14</f>
        <v/>
      </c>
      <c r="D11" s="47" t="n">
        <v>2</v>
      </c>
      <c r="E11" s="48">
        <f>'Загальна'!E14</f>
        <v/>
      </c>
      <c r="F11" s="49">
        <f>'Загальна'!F14</f>
        <v/>
      </c>
      <c r="G11" s="49">
        <f>'Загальна'!G14</f>
        <v/>
      </c>
      <c r="H11" s="49">
        <f>'Загальна'!H14</f>
        <v/>
      </c>
      <c r="I11" s="49">
        <f>'Загальна'!I14</f>
        <v/>
      </c>
      <c r="J11" s="49">
        <f>'Загальна'!J14</f>
        <v/>
      </c>
      <c r="K11" s="49">
        <f>'Загальна'!K14</f>
        <v/>
      </c>
      <c r="L11" s="49">
        <f>'Загальна'!L14</f>
        <v/>
      </c>
      <c r="M11" s="49">
        <f>'Загальна'!M14</f>
        <v/>
      </c>
      <c r="N11" s="49">
        <f>'Загальна'!N14</f>
        <v/>
      </c>
      <c r="O11" s="49">
        <f>'Загальна'!O14</f>
        <v/>
      </c>
      <c r="P11" s="49">
        <f>'Загальна'!P14</f>
        <v/>
      </c>
      <c r="Q11" s="49">
        <f>'Загальна'!Q14</f>
        <v/>
      </c>
      <c r="R11" s="49">
        <f>'Загальна'!R14</f>
        <v/>
      </c>
      <c r="S11" s="49">
        <f>'Загальна'!S14</f>
        <v/>
      </c>
      <c r="T11" s="49">
        <f>'Загальна'!T14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47">
        <f>'Загальна'!C18</f>
        <v/>
      </c>
      <c r="D12" s="47" t="n">
        <v>3</v>
      </c>
      <c r="E12" s="48">
        <f>'Загальна'!E18</f>
        <v/>
      </c>
      <c r="F12" s="49">
        <f>'Загальна'!F18</f>
        <v/>
      </c>
      <c r="G12" s="49">
        <f>'Загальна'!G18</f>
        <v/>
      </c>
      <c r="H12" s="49">
        <f>'Загальна'!H18</f>
        <v/>
      </c>
      <c r="I12" s="49">
        <f>'Загальна'!I18</f>
        <v/>
      </c>
      <c r="J12" s="49">
        <f>'Загальна'!J18</f>
        <v/>
      </c>
      <c r="K12" s="49">
        <f>'Загальна'!K18</f>
        <v/>
      </c>
      <c r="L12" s="49">
        <f>'Загальна'!L18</f>
        <v/>
      </c>
      <c r="M12" s="49">
        <f>'Загальна'!M18</f>
        <v/>
      </c>
      <c r="N12" s="49">
        <f>'Загальна'!N18</f>
        <v/>
      </c>
      <c r="O12" s="49">
        <f>'Загальна'!O18</f>
        <v/>
      </c>
      <c r="P12" s="49">
        <f>'Загальна'!P18</f>
        <v/>
      </c>
      <c r="Q12" s="49">
        <f>'Загальна'!Q18</f>
        <v/>
      </c>
      <c r="R12" s="49">
        <f>'Загальна'!R18</f>
        <v/>
      </c>
      <c r="S12" s="49">
        <f>'Загальна'!S18</f>
        <v/>
      </c>
      <c r="T12" s="49">
        <f>'Загальна'!T18</f>
        <v/>
      </c>
      <c r="U12" s="42">
        <f>IF(COUNTIF($F12:T12,"=*")&gt;0,IF($C12="K","-"," - "),IF(COUNTIF($F12:T12,"&lt;4")&gt;0,IF(C12="K","-"," - "),(IFERROR(AVERAGE($F12:T12),"Очікую"))))</f>
        <v/>
      </c>
      <c r="V12" s="22" t="n"/>
      <c r="W12" s="39" t="n"/>
    </row>
    <row r="13" ht="15" customFormat="1" customHeight="1" s="11">
      <c r="A13" s="40" t="n"/>
      <c r="B13" s="12" t="n"/>
      <c r="C13" s="47">
        <f>'Загальна'!C21</f>
        <v/>
      </c>
      <c r="D13" s="47" t="n">
        <v>4</v>
      </c>
      <c r="E13" s="48">
        <f>'Загальна'!E21</f>
        <v/>
      </c>
      <c r="F13" s="49">
        <f>'Загальна'!F21</f>
        <v/>
      </c>
      <c r="G13" s="49">
        <f>'Загальна'!G21</f>
        <v/>
      </c>
      <c r="H13" s="49">
        <f>'Загальна'!H21</f>
        <v/>
      </c>
      <c r="I13" s="49">
        <f>'Загальна'!I21</f>
        <v/>
      </c>
      <c r="J13" s="49">
        <f>'Загальна'!J21</f>
        <v/>
      </c>
      <c r="K13" s="49">
        <f>'Загальна'!K21</f>
        <v/>
      </c>
      <c r="L13" s="49">
        <f>'Загальна'!L21</f>
        <v/>
      </c>
      <c r="M13" s="49">
        <f>'Загальна'!M21</f>
        <v/>
      </c>
      <c r="N13" s="49">
        <f>'Загальна'!N21</f>
        <v/>
      </c>
      <c r="O13" s="49">
        <f>'Загальна'!O21</f>
        <v/>
      </c>
      <c r="P13" s="49">
        <f>'Загальна'!P21</f>
        <v/>
      </c>
      <c r="Q13" s="49">
        <f>'Загальна'!Q21</f>
        <v/>
      </c>
      <c r="R13" s="49">
        <f>'Загальна'!R21</f>
        <v/>
      </c>
      <c r="S13" s="49">
        <f>'Загальна'!S21</f>
        <v/>
      </c>
      <c r="T13" s="49">
        <f>'Загальна'!T21</f>
        <v/>
      </c>
      <c r="U13" s="42">
        <f>IF(COUNTIF($F13:T13,"=*")&gt;0,IF($C13="K","-"," - "),IF(COUNTIF($F13:T13,"&lt;4")&gt;0,IF(C13="K","-"," - "),(IFERROR(AVERAGE($F13:T13),"Очікую"))))</f>
        <v/>
      </c>
      <c r="V13" s="22" t="n"/>
      <c r="W13" s="39" t="n"/>
    </row>
    <row r="14" ht="15" customFormat="1" customHeight="1" s="11">
      <c r="A14" s="40" t="n"/>
      <c r="B14" s="12" t="n"/>
      <c r="C14" s="47">
        <f>'Загальна'!C24</f>
        <v/>
      </c>
      <c r="D14" s="47" t="n">
        <v>5</v>
      </c>
      <c r="E14" s="48">
        <f>'Загальна'!E24</f>
        <v/>
      </c>
      <c r="F14" s="49">
        <f>'Загальна'!F24</f>
        <v/>
      </c>
      <c r="G14" s="49">
        <f>'Загальна'!G24</f>
        <v/>
      </c>
      <c r="H14" s="49">
        <f>'Загальна'!H24</f>
        <v/>
      </c>
      <c r="I14" s="49">
        <f>'Загальна'!I24</f>
        <v/>
      </c>
      <c r="J14" s="49">
        <f>'Загальна'!J24</f>
        <v/>
      </c>
      <c r="K14" s="49">
        <f>'Загальна'!K24</f>
        <v/>
      </c>
      <c r="L14" s="49">
        <f>'Загальна'!L24</f>
        <v/>
      </c>
      <c r="M14" s="49">
        <f>'Загальна'!M24</f>
        <v/>
      </c>
      <c r="N14" s="49">
        <f>'Загальна'!N24</f>
        <v/>
      </c>
      <c r="O14" s="49">
        <f>'Загальна'!O24</f>
        <v/>
      </c>
      <c r="P14" s="49">
        <f>'Загальна'!P24</f>
        <v/>
      </c>
      <c r="Q14" s="49">
        <f>'Загальна'!Q24</f>
        <v/>
      </c>
      <c r="R14" s="49">
        <f>'Загальна'!R24</f>
        <v/>
      </c>
      <c r="S14" s="49">
        <f>'Загальна'!S24</f>
        <v/>
      </c>
      <c r="T14" s="49">
        <f>'Загальна'!T24</f>
        <v/>
      </c>
      <c r="U14" s="42">
        <f>IF(COUNTIF($F14:T14,"=*")&gt;0,IF($C14="K","-"," - "),IF(COUNTIF($F14:T14,"&lt;4")&gt;0,IF(C14="K","-"," - "),(IFERROR(AVERAGE($F14:T14),"Очікую"))))</f>
        <v/>
      </c>
      <c r="V14" s="22" t="n"/>
      <c r="W14" s="39" t="n"/>
    </row>
    <row r="15" ht="15" customFormat="1" customHeight="1" s="11">
      <c r="A15" s="40" t="n"/>
      <c r="B15" s="12" t="n"/>
      <c r="C15" s="47">
        <f>'Загальна'!C26</f>
        <v/>
      </c>
      <c r="D15" s="47" t="n">
        <v>6</v>
      </c>
      <c r="E15" s="48">
        <f>'Загальна'!E26</f>
        <v/>
      </c>
      <c r="F15" s="49">
        <f>'Загальна'!F26</f>
        <v/>
      </c>
      <c r="G15" s="49">
        <f>'Загальна'!G26</f>
        <v/>
      </c>
      <c r="H15" s="49">
        <f>'Загальна'!H26</f>
        <v/>
      </c>
      <c r="I15" s="49">
        <f>'Загальна'!I26</f>
        <v/>
      </c>
      <c r="J15" s="49">
        <f>'Загальна'!J26</f>
        <v/>
      </c>
      <c r="K15" s="49">
        <f>'Загальна'!K26</f>
        <v/>
      </c>
      <c r="L15" s="49">
        <f>'Загальна'!L26</f>
        <v/>
      </c>
      <c r="M15" s="49">
        <f>'Загальна'!M26</f>
        <v/>
      </c>
      <c r="N15" s="49">
        <f>'Загальна'!N26</f>
        <v/>
      </c>
      <c r="O15" s="49">
        <f>'Загальна'!O26</f>
        <v/>
      </c>
      <c r="P15" s="49">
        <f>'Загальна'!P26</f>
        <v/>
      </c>
      <c r="Q15" s="49">
        <f>'Загальна'!Q26</f>
        <v/>
      </c>
      <c r="R15" s="49">
        <f>'Загальна'!R26</f>
        <v/>
      </c>
      <c r="S15" s="49">
        <f>'Загальна'!S26</f>
        <v/>
      </c>
      <c r="T15" s="49">
        <f>'Загальна'!T26</f>
        <v/>
      </c>
      <c r="U15" s="42">
        <f>IF(COUNTIF($F15:T15,"=*")&gt;0,IF($C15="K","-"," - "),IF(COUNTIF($F15:T15,"&lt;4")&gt;0,IF(C15="K","-"," - "),(IFERROR(AVERAGE($F15:T15),"Очікую"))))</f>
        <v/>
      </c>
      <c r="V15" s="22" t="n"/>
      <c r="W15" s="39" t="n"/>
    </row>
    <row r="16" ht="15" customFormat="1" customHeight="1" s="11">
      <c r="A16" s="40" t="n"/>
      <c r="B16" s="12" t="n"/>
      <c r="C16" s="47">
        <f>'Загальна'!C27</f>
        <v/>
      </c>
      <c r="D16" s="47" t="n">
        <v>7</v>
      </c>
      <c r="E16" s="48">
        <f>'Загальна'!E27</f>
        <v/>
      </c>
      <c r="F16" s="49">
        <f>'Загальна'!F27</f>
        <v/>
      </c>
      <c r="G16" s="49">
        <f>'Загальна'!G27</f>
        <v/>
      </c>
      <c r="H16" s="49">
        <f>'Загальна'!H27</f>
        <v/>
      </c>
      <c r="I16" s="49">
        <f>'Загальна'!I27</f>
        <v/>
      </c>
      <c r="J16" s="49">
        <f>'Загальна'!J27</f>
        <v/>
      </c>
      <c r="K16" s="49">
        <f>'Загальна'!K27</f>
        <v/>
      </c>
      <c r="L16" s="49">
        <f>'Загальна'!L27</f>
        <v/>
      </c>
      <c r="M16" s="49">
        <f>'Загальна'!M27</f>
        <v/>
      </c>
      <c r="N16" s="49">
        <f>'Загальна'!N27</f>
        <v/>
      </c>
      <c r="O16" s="49">
        <f>'Загальна'!O27</f>
        <v/>
      </c>
      <c r="P16" s="49">
        <f>'Загальна'!P27</f>
        <v/>
      </c>
      <c r="Q16" s="49">
        <f>'Загальна'!Q27</f>
        <v/>
      </c>
      <c r="R16" s="49">
        <f>'Загальна'!R27</f>
        <v/>
      </c>
      <c r="S16" s="49">
        <f>'Загальна'!S27</f>
        <v/>
      </c>
      <c r="T16" s="49">
        <f>'Загальна'!T27</f>
        <v/>
      </c>
      <c r="U16" s="42">
        <f>IF(COUNTIF($F16:T16,"=*")&gt;0,IF($C16="K","-"," - "),IF(COUNTIF($F16:T16,"&lt;4")&gt;0,IF(C16="K","-"," - "),(IFERROR(AVERAGE($F16:T16),"Очікую"))))</f>
        <v/>
      </c>
      <c r="V16" s="22" t="n"/>
      <c r="W16" s="39" t="n"/>
    </row>
    <row r="17" ht="15" customFormat="1" customHeight="1" s="11">
      <c r="A17" s="40" t="n"/>
      <c r="B17" s="12" t="n"/>
      <c r="C17" s="47">
        <f>'Загальна'!C31</f>
        <v/>
      </c>
      <c r="D17" s="47" t="n">
        <v>8</v>
      </c>
      <c r="E17" s="48">
        <f>'Загальна'!E31</f>
        <v/>
      </c>
      <c r="F17" s="49">
        <f>'Загальна'!F31</f>
        <v/>
      </c>
      <c r="G17" s="49">
        <f>'Загальна'!G31</f>
        <v/>
      </c>
      <c r="H17" s="49">
        <f>'Загальна'!H31</f>
        <v/>
      </c>
      <c r="I17" s="49">
        <f>'Загальна'!I31</f>
        <v/>
      </c>
      <c r="J17" s="49">
        <f>'Загальна'!J31</f>
        <v/>
      </c>
      <c r="K17" s="49">
        <f>'Загальна'!K31</f>
        <v/>
      </c>
      <c r="L17" s="49">
        <f>'Загальна'!L31</f>
        <v/>
      </c>
      <c r="M17" s="49">
        <f>'Загальна'!M31</f>
        <v/>
      </c>
      <c r="N17" s="49">
        <f>'Загальна'!N31</f>
        <v/>
      </c>
      <c r="O17" s="49">
        <f>'Загальна'!O31</f>
        <v/>
      </c>
      <c r="P17" s="49">
        <f>'Загальна'!P31</f>
        <v/>
      </c>
      <c r="Q17" s="49">
        <f>'Загальна'!Q31</f>
        <v/>
      </c>
      <c r="R17" s="49">
        <f>'Загальна'!R31</f>
        <v/>
      </c>
      <c r="S17" s="49">
        <f>'Загальна'!S31</f>
        <v/>
      </c>
      <c r="T17" s="49">
        <f>'Загальна'!T31</f>
        <v/>
      </c>
      <c r="U17" s="42">
        <f>IF(COUNTIF($F17:T17,"=*")&gt;0,IF($C17="K","-"," - "),IF(COUNTIF($F17:T17,"&lt;4")&gt;0,IF(C17="K","-"," - "),(IFERROR(AVERAGE($F17:T17),"Очікую"))))</f>
        <v/>
      </c>
      <c r="V17" s="22" t="n"/>
      <c r="W17" s="39" t="n"/>
    </row>
    <row r="18" ht="15" customFormat="1" customHeight="1" s="11">
      <c r="A18" s="40" t="n"/>
      <c r="B18" s="12" t="n"/>
      <c r="C18" s="47">
        <f>'Загальна'!C34</f>
        <v/>
      </c>
      <c r="D18" s="47" t="n">
        <v>9</v>
      </c>
      <c r="E18" s="48">
        <f>'Загальна'!E34</f>
        <v/>
      </c>
      <c r="F18" s="49">
        <f>'Загальна'!F34</f>
        <v/>
      </c>
      <c r="G18" s="49">
        <f>'Загальна'!G34</f>
        <v/>
      </c>
      <c r="H18" s="49">
        <f>'Загальна'!H34</f>
        <v/>
      </c>
      <c r="I18" s="49">
        <f>'Загальна'!I34</f>
        <v/>
      </c>
      <c r="J18" s="49">
        <f>'Загальна'!J34</f>
        <v/>
      </c>
      <c r="K18" s="49">
        <f>'Загальна'!K34</f>
        <v/>
      </c>
      <c r="L18" s="49">
        <f>'Загальна'!L34</f>
        <v/>
      </c>
      <c r="M18" s="49">
        <f>'Загальна'!M34</f>
        <v/>
      </c>
      <c r="N18" s="49">
        <f>'Загальна'!N34</f>
        <v/>
      </c>
      <c r="O18" s="49">
        <f>'Загальна'!O34</f>
        <v/>
      </c>
      <c r="P18" s="49">
        <f>'Загальна'!P34</f>
        <v/>
      </c>
      <c r="Q18" s="49">
        <f>'Загальна'!Q34</f>
        <v/>
      </c>
      <c r="R18" s="49">
        <f>'Загальна'!R34</f>
        <v/>
      </c>
      <c r="S18" s="49">
        <f>'Загальна'!S34</f>
        <v/>
      </c>
      <c r="T18" s="49">
        <f>'Загальна'!T34</f>
        <v/>
      </c>
      <c r="U18" s="42">
        <f>IF(COUNTIF($F18:T18,"=*")&gt;0,IF($C18="K","-"," - "),IF(COUNTIF($F18:T18,"&lt;4")&gt;0,IF(C18="K","-"," - "),(IFERROR(AVERAGE($F18:T18),"Очікую"))))</f>
        <v/>
      </c>
      <c r="V18" s="22" t="n"/>
      <c r="W18" s="39" t="n"/>
    </row>
    <row r="19" ht="15" customFormat="1" customHeight="1" s="11">
      <c r="A19" s="40" t="n"/>
      <c r="B19" s="12" t="n"/>
      <c r="C19" s="47">
        <f>'Загальна'!C36</f>
        <v/>
      </c>
      <c r="D19" s="47" t="n">
        <v>10</v>
      </c>
      <c r="E19" s="48">
        <f>'Загальна'!E36</f>
        <v/>
      </c>
      <c r="F19" s="49">
        <f>'Загальна'!F36</f>
        <v/>
      </c>
      <c r="G19" s="49">
        <f>'Загальна'!G36</f>
        <v/>
      </c>
      <c r="H19" s="49">
        <f>'Загальна'!H36</f>
        <v/>
      </c>
      <c r="I19" s="49">
        <f>'Загальна'!I36</f>
        <v/>
      </c>
      <c r="J19" s="49">
        <f>'Загальна'!J36</f>
        <v/>
      </c>
      <c r="K19" s="49">
        <f>'Загальна'!K36</f>
        <v/>
      </c>
      <c r="L19" s="49">
        <f>'Загальна'!L36</f>
        <v/>
      </c>
      <c r="M19" s="49">
        <f>'Загальна'!M36</f>
        <v/>
      </c>
      <c r="N19" s="49">
        <f>'Загальна'!N36</f>
        <v/>
      </c>
      <c r="O19" s="49">
        <f>'Загальна'!O36</f>
        <v/>
      </c>
      <c r="P19" s="49">
        <f>'Загальна'!P36</f>
        <v/>
      </c>
      <c r="Q19" s="49">
        <f>'Загальна'!Q36</f>
        <v/>
      </c>
      <c r="R19" s="49">
        <f>'Загальна'!R36</f>
        <v/>
      </c>
      <c r="S19" s="49">
        <f>'Загальна'!S36</f>
        <v/>
      </c>
      <c r="T19" s="49">
        <f>'Загальна'!T36</f>
        <v/>
      </c>
      <c r="U19" s="42">
        <f>IF(COUNTIF($F19:T19,"=*")&gt;0,IF($C19="K","-"," - "),IF(COUNTIF($F19:T19,"&lt;4")&gt;0,IF(C19="K","-"," - "),(IFERROR(AVERAGE($F19:T19),"Очікую"))))</f>
        <v/>
      </c>
      <c r="V19" s="22" t="n"/>
      <c r="W19" s="39" t="n"/>
    </row>
    <row r="20" ht="15" customFormat="1" customHeight="1" s="11">
      <c r="A20" s="40" t="n"/>
      <c r="B20" s="12" t="n"/>
      <c r="C20" s="47">
        <f>'Загальна'!C37</f>
        <v/>
      </c>
      <c r="D20" s="47" t="n">
        <v>11</v>
      </c>
      <c r="E20" s="48">
        <f>'Загальна'!E37</f>
        <v/>
      </c>
      <c r="F20" s="49">
        <f>'Загальна'!F37</f>
        <v/>
      </c>
      <c r="G20" s="49">
        <f>'Загальна'!G37</f>
        <v/>
      </c>
      <c r="H20" s="49">
        <f>'Загальна'!H37</f>
        <v/>
      </c>
      <c r="I20" s="49">
        <f>'Загальна'!I37</f>
        <v/>
      </c>
      <c r="J20" s="49">
        <f>'Загальна'!J37</f>
        <v/>
      </c>
      <c r="K20" s="49">
        <f>'Загальна'!K37</f>
        <v/>
      </c>
      <c r="L20" s="49">
        <f>'Загальна'!L37</f>
        <v/>
      </c>
      <c r="M20" s="49">
        <f>'Загальна'!M37</f>
        <v/>
      </c>
      <c r="N20" s="49">
        <f>'Загальна'!N37</f>
        <v/>
      </c>
      <c r="O20" s="49">
        <f>'Загальна'!O37</f>
        <v/>
      </c>
      <c r="P20" s="49">
        <f>'Загальна'!P37</f>
        <v/>
      </c>
      <c r="Q20" s="49">
        <f>'Загальна'!Q37</f>
        <v/>
      </c>
      <c r="R20" s="49">
        <f>'Загальна'!R37</f>
        <v/>
      </c>
      <c r="S20" s="49">
        <f>'Загальна'!S37</f>
        <v/>
      </c>
      <c r="T20" s="49">
        <f>'Загальна'!T37</f>
        <v/>
      </c>
      <c r="U20" s="42">
        <f>IF(COUNTIF($F20:T20,"=*")&gt;0,IF($C20="K","-"," - "),IF(COUNTIF($F20:T20,"&lt;4")&gt;0,IF(C20="K","-"," - "),(IFERROR(AVERAGE($F20:T20),"Очікую"))))</f>
        <v/>
      </c>
      <c r="V20" s="22" t="n"/>
      <c r="W20" s="39" t="n"/>
    </row>
    <row r="21" ht="15" customFormat="1" customHeight="1" s="11">
      <c r="A21" s="40" t="n"/>
      <c r="B21" s="12" t="n"/>
      <c r="C21" s="47">
        <f>'Загальна'!C42</f>
        <v/>
      </c>
      <c r="D21" s="47" t="n">
        <v>12</v>
      </c>
      <c r="E21" s="48">
        <f>'Загальна'!E42</f>
        <v/>
      </c>
      <c r="F21" s="49">
        <f>'Загальна'!F42</f>
        <v/>
      </c>
      <c r="G21" s="49">
        <f>'Загальна'!G42</f>
        <v/>
      </c>
      <c r="H21" s="49">
        <f>'Загальна'!H42</f>
        <v/>
      </c>
      <c r="I21" s="49">
        <f>'Загальна'!I42</f>
        <v/>
      </c>
      <c r="J21" s="49">
        <f>'Загальна'!J42</f>
        <v/>
      </c>
      <c r="K21" s="49">
        <f>'Загальна'!K42</f>
        <v/>
      </c>
      <c r="L21" s="49">
        <f>'Загальна'!L42</f>
        <v/>
      </c>
      <c r="M21" s="49">
        <f>'Загальна'!M42</f>
        <v/>
      </c>
      <c r="N21" s="49">
        <f>'Загальна'!N42</f>
        <v/>
      </c>
      <c r="O21" s="49">
        <f>'Загальна'!O42</f>
        <v/>
      </c>
      <c r="P21" s="49">
        <f>'Загальна'!P42</f>
        <v/>
      </c>
      <c r="Q21" s="49">
        <f>'Загальна'!Q42</f>
        <v/>
      </c>
      <c r="R21" s="49">
        <f>'Загальна'!R42</f>
        <v/>
      </c>
      <c r="S21" s="49">
        <f>'Загальна'!S42</f>
        <v/>
      </c>
      <c r="T21" s="49">
        <f>'Загальна'!T42</f>
        <v/>
      </c>
      <c r="U21" s="42">
        <f>IF(COUNTIF($F21:T21,"=*")&gt;0,IF($C21="K","-"," - "),IF(COUNTIF($F21:T21,"&lt;4")&gt;0,IF(C21="K","-"," - "),(IFERROR(AVERAGE($F21:T21),"Очікую"))))</f>
        <v/>
      </c>
      <c r="V21" s="22" t="n"/>
      <c r="W21" s="39" t="n"/>
    </row>
    <row r="22" ht="15" customFormat="1" customHeight="1" s="11">
      <c r="A22" s="40" t="n"/>
      <c r="B22" s="12" t="n"/>
      <c r="C22" s="47">
        <f>'Загальна'!C46</f>
        <v/>
      </c>
      <c r="D22" s="47" t="n">
        <v>13</v>
      </c>
      <c r="E22" s="48">
        <f>'Загальна'!E46</f>
        <v/>
      </c>
      <c r="F22" s="49">
        <f>'Загальна'!F46</f>
        <v/>
      </c>
      <c r="G22" s="49">
        <f>'Загальна'!G46</f>
        <v/>
      </c>
      <c r="H22" s="49">
        <f>'Загальна'!H46</f>
        <v/>
      </c>
      <c r="I22" s="49">
        <f>'Загальна'!I46</f>
        <v/>
      </c>
      <c r="J22" s="49">
        <f>'Загальна'!J46</f>
        <v/>
      </c>
      <c r="K22" s="49">
        <f>'Загальна'!K46</f>
        <v/>
      </c>
      <c r="L22" s="49">
        <f>'Загальна'!L46</f>
        <v/>
      </c>
      <c r="M22" s="49">
        <f>'Загальна'!M46</f>
        <v/>
      </c>
      <c r="N22" s="49">
        <f>'Загальна'!N46</f>
        <v/>
      </c>
      <c r="O22" s="49">
        <f>'Загальна'!O46</f>
        <v/>
      </c>
      <c r="P22" s="49">
        <f>'Загальна'!P46</f>
        <v/>
      </c>
      <c r="Q22" s="49">
        <f>'Загальна'!Q46</f>
        <v/>
      </c>
      <c r="R22" s="49">
        <f>'Загальна'!R46</f>
        <v/>
      </c>
      <c r="S22" s="49">
        <f>'Загальна'!S46</f>
        <v/>
      </c>
      <c r="T22" s="49">
        <f>'Загальна'!T46</f>
        <v/>
      </c>
      <c r="U22" s="42">
        <f>IF(COUNTIF($F22:T22,"=*")&gt;0,IF($C22="K","-"," - "),IF(COUNTIF($F22:T22,"&lt;4")&gt;0,IF(C22="K","-"," - "),(IFERROR(AVERAGE($F22:T22),"Очікую"))))</f>
        <v/>
      </c>
      <c r="V22" s="22" t="n"/>
      <c r="W22" s="39" t="n"/>
    </row>
    <row r="23" ht="15" customFormat="1" customHeight="1" s="11">
      <c r="A23" s="40" t="n"/>
      <c r="B23" s="12" t="n"/>
      <c r="C23" s="6" t="n"/>
      <c r="D23" s="6" t="n"/>
      <c r="E23" s="7" t="inlineStr">
        <is>
          <t>Середній бал успішності з дисципліни</t>
        </is>
      </c>
      <c r="F23" s="8">
        <f>IF(SUM(F$10:F22)=0,IF(COUNTA(F$10:F22)=0,"Очікую",0),SUM(F$10:F22)/$D22)</f>
        <v/>
      </c>
      <c r="G23" s="8">
        <f>IF(SUM(G$10:G22)=0,IF(COUNTA(G$10:G22)=0,"Очікую",0),SUM(G$10:G22)/$D22)</f>
        <v/>
      </c>
      <c r="H23" s="8">
        <f>IF(SUM(H$10:H22)=0,IF(COUNTA(H$10:H22)=0,"Очікую",0),SUM(H$10:H22)/$D22)</f>
        <v/>
      </c>
      <c r="I23" s="8">
        <f>IF(SUM(I$10:I22)=0,IF(COUNTA(I$10:I22)=0,"Очікую",0),SUM(I$10:I22)/$D22)</f>
        <v/>
      </c>
      <c r="J23" s="8">
        <f>IF(SUM(J$10:J22)=0,IF(COUNTA(J$10:J22)=0,"Очікую",0),SUM(J$10:J22)/$D22)</f>
        <v/>
      </c>
      <c r="K23" s="8">
        <f>IF(SUM(K$10:K22)=0,IF(COUNTA(K$10:K22)=0,"Очікую",0),SUM(K$10:K22)/$D22)</f>
        <v/>
      </c>
      <c r="L23" s="8">
        <f>IF(SUM(L$10:L22)=0,IF(COUNTA(L$10:L22)=0,"Очікую",0),SUM(L$10:L22)/$D22)</f>
        <v/>
      </c>
      <c r="M23" s="8">
        <f>IF(SUM(M$10:M22)=0,IF(COUNTA(M$10:M22)=0,"Очікую",0),SUM(M$10:M22)/$D22)</f>
        <v/>
      </c>
      <c r="N23" s="8">
        <f>IF(SUM(N$10:N22)=0,IF(COUNTA(N$10:N22)=0,"Очікую",0),SUM(N$10:N22)/$D22)</f>
        <v/>
      </c>
      <c r="O23" s="8">
        <f>IF(SUM(O$10:O22)=0,IF(COUNTA(O$10:O22)=0,"Очікую",0),SUM(O$10:O22)/$D22)</f>
        <v/>
      </c>
      <c r="P23" s="8">
        <f>IF(SUM(P$10:P22)=0,IF(COUNTA(P$10:P22)=0,"Очікую",0),SUM(P$10:P22)/$D22)</f>
        <v/>
      </c>
      <c r="Q23" s="8">
        <f>IF(SUM(Q$10:Q22)=0,IF(COUNTA(Q$10:Q22)=0,"Очікую",0),SUM(Q$10:Q22)/$D22)</f>
        <v/>
      </c>
      <c r="R23" s="8">
        <f>IF(SUM(R$10:R22)=0,IF(COUNTA(R$10:R22)=0,"Очікую",0),SUM(R$10:R22)/$D22)</f>
        <v/>
      </c>
      <c r="S23" s="8">
        <f>IF(SUM(S$10:S22)=0,IF(COUNTA(S$10:S22)=0,"Очікую",0),SUM(S$10:S22)/$D22)</f>
        <v/>
      </c>
      <c r="T23" s="8">
        <f>IF(SUM(T$10:T22)=0,IF(COUNTA(T$10:T22)=0,"Очікую",0),SUM(T$10:T22)/$D22)</f>
        <v/>
      </c>
      <c r="U23" s="9">
        <f>IFERROR(AVERAGE($F23:T23),"Очікую")</f>
        <v/>
      </c>
      <c r="V23" s="20" t="n"/>
      <c r="W23" s="39" t="n"/>
    </row>
    <row r="24" ht="15" customFormat="1" customHeight="1" s="11">
      <c r="A24" s="40" t="n"/>
      <c r="B24" s="12" t="n"/>
      <c r="C24" s="6" t="n"/>
      <c r="D24" s="6" t="n"/>
      <c r="E24" s="7" t="inlineStr">
        <is>
          <t>Абсолютна успішність</t>
        </is>
      </c>
      <c r="F24" s="43">
        <f>IF(SUM(F$10:F22)=0,IF(COUNTA(F$10:F22)=0,"Очікую",0),IF(COUNTIF(F$10:F22,"&gt;=4")=0,0,COUNTIF(F$10:F22,"&gt;=4")/$D22*100))</f>
        <v/>
      </c>
      <c r="G24" s="43">
        <f>IF(SUM(G$10:G22)=0,IF(COUNTA(G$10:G22)=0,"Очікую",0),IF(COUNTIF(G$10:G22,"&gt;=4")=0,0,COUNTIF(G$10:G22,"&gt;=4")/$D22*100))</f>
        <v/>
      </c>
      <c r="H24" s="43">
        <f>IF(SUM(H$10:H22)=0,IF(COUNTA(H$10:H22)=0,"Очікую",0),IF(COUNTIF(H$10:H22,"&gt;=4")=0,0,COUNTIF(H$10:H22,"&gt;=4")/$D22*100))</f>
        <v/>
      </c>
      <c r="I24" s="43">
        <f>IF(SUM(I$10:I22)=0,IF(COUNTA(I$10:I22)=0,"Очікую",0),IF(COUNTIF(I$10:I22,"&gt;=4")=0,0,COUNTIF(I$10:I22,"&gt;=4")/$D22*100))</f>
        <v/>
      </c>
      <c r="J24" s="43">
        <f>IF(SUM(J$10:J22)=0,IF(COUNTA(J$10:J22)=0,"Очікую",0),IF(COUNTIF(J$10:J22,"&gt;=4")=0,0,COUNTIF(J$10:J22,"&gt;=4")/$D22*100))</f>
        <v/>
      </c>
      <c r="K24" s="43">
        <f>IF(SUM(K$10:K22)=0,IF(COUNTA(K$10:K22)=0,"Очікую",0),IF(COUNTIF(K$10:K22,"&gt;=4")=0,0,COUNTIF(K$10:K22,"&gt;=4")/$D22*100))</f>
        <v/>
      </c>
      <c r="L24" s="43">
        <f>IF(SUM(L$10:L22)=0,IF(COUNTA(L$10:L22)=0,"Очікую",0),IF(COUNTIF(L$10:L22,"&gt;=4")=0,0,COUNTIF(L$10:L22,"&gt;=4")/$D22*100))</f>
        <v/>
      </c>
      <c r="M24" s="43">
        <f>IF(SUM(M$10:M22)=0,IF(COUNTA(M$10:M22)=0,"Очікую",0),IF(COUNTIF(M$10:M22,"&gt;=4")=0,0,COUNTIF(M$10:M22,"&gt;=4")/$D22*100))</f>
        <v/>
      </c>
      <c r="N24" s="43">
        <f>IF(SUM(N$10:N22)=0,IF(COUNTA(N$10:N22)=0,"Очікую",0),IF(COUNTIF(N$10:N22,"&gt;=4")=0,0,COUNTIF(N$10:N22,"&gt;=4")/$D22*100))</f>
        <v/>
      </c>
      <c r="O24" s="43">
        <f>IF(SUM(O$10:O22)=0,IF(COUNTA(O$10:O22)=0,"Очікую",0),IF(COUNTIF(O$10:O22,"&gt;=4")=0,0,COUNTIF(O$10:O22,"&gt;=4")/$D22*100))</f>
        <v/>
      </c>
      <c r="P24" s="43">
        <f>IF(SUM(P$10:P22)=0,IF(COUNTA(P$10:P22)=0,"Очікую",0),IF(COUNTIF(P$10:P22,"&gt;=4")=0,0,COUNTIF(P$10:P22,"&gt;=4")/$D22*100))</f>
        <v/>
      </c>
      <c r="Q24" s="43">
        <f>IF(SUM(Q$10:Q22)=0,IF(COUNTA(Q$10:Q22)=0,"Очікую",0),IF(COUNTIF(Q$10:Q22,"&gt;=4")=0,0,COUNTIF(Q$10:Q22,"&gt;=4")/$D22*100))</f>
        <v/>
      </c>
      <c r="R24" s="43">
        <f>IF(SUM(R$10:R22)=0,IF(COUNTA(R$10:R22)=0,"Очікую",0),IF(COUNTIF(R$10:R22,"&gt;=4")=0,0,COUNTIF(R$10:R22,"&gt;=4")/$D22*100))</f>
        <v/>
      </c>
      <c r="S24" s="43">
        <f>IF(SUM(S$10:S22)=0,IF(COUNTA(S$10:S22)=0,"Очікую",0),IF(COUNTIF(S$10:S22,"&gt;=4")=0,0,COUNTIF(S$10:S22,"&gt;=4")/$D22*100))</f>
        <v/>
      </c>
      <c r="T24" s="43">
        <f>IF(SUM(T$10:T22)=0,IF(COUNTA(T$10:T22)=0,"Очікую",0),IF(COUNTIF(T$10:T22,"&gt;=4")=0,0,COUNTIF(T$10:T22,"&gt;=4")/$D22*100))</f>
        <v/>
      </c>
      <c r="U24" s="6" t="n"/>
      <c r="V24" s="20" t="n"/>
      <c r="W24" s="39" t="n"/>
    </row>
    <row r="25" ht="15" customFormat="1" customHeight="1" s="11">
      <c r="A25" s="40" t="n"/>
      <c r="B25" s="12" t="n"/>
      <c r="C25" s="6" t="n"/>
      <c r="D25" s="6" t="n"/>
      <c r="E25" s="7" t="inlineStr">
        <is>
          <t>Якісна успішність</t>
        </is>
      </c>
      <c r="F25" s="43">
        <f>IF(SUM(F$10:F22)=0,IF(COUNTA(F$10:F22)=0,"Очікую",0),IF(COUNTIF(F$10:F22,"&gt;=7")=0,0,COUNTIF(F$10:F22,"&gt;=7")/$D22*100))</f>
        <v/>
      </c>
      <c r="G25" s="43">
        <f>IF(SUM(G$10:G22)=0,IF(COUNTA(G$10:G22)=0,"Очікую",0),IF(COUNTIF(G$10:G22,"&gt;=7")=0,0,COUNTIF(G$10:G22,"&gt;=7")/$D22*100))</f>
        <v/>
      </c>
      <c r="H25" s="43">
        <f>IF(SUM(H$10:H22)=0,IF(COUNTA(H$10:H22)=0,"Очікую",0),IF(COUNTIF(H$10:H22,"&gt;=7")=0,0,COUNTIF(H$10:H22,"&gt;=7")/$D22*100))</f>
        <v/>
      </c>
      <c r="I25" s="43">
        <f>IF(SUM(I$10:I22)=0,IF(COUNTA(I$10:I22)=0,"Очікую",0),IF(COUNTIF(I$10:I22,"&gt;=7")=0,0,COUNTIF(I$10:I22,"&gt;=7")/$D22*100))</f>
        <v/>
      </c>
      <c r="J25" s="43">
        <f>IF(SUM(J$10:J22)=0,IF(COUNTA(J$10:J22)=0,"Очікую",0),IF(COUNTIF(J$10:J22,"&gt;=7")=0,0,COUNTIF(J$10:J22,"&gt;=7")/$D22*100))</f>
        <v/>
      </c>
      <c r="K25" s="43">
        <f>IF(SUM(K$10:K22)=0,IF(COUNTA(K$10:K22)=0,"Очікую",0),IF(COUNTIF(K$10:K22,"&gt;=7")=0,0,COUNTIF(K$10:K22,"&gt;=7")/$D22*100))</f>
        <v/>
      </c>
      <c r="L25" s="43">
        <f>IF(SUM(L$10:L22)=0,IF(COUNTA(L$10:L22)=0,"Очікую",0),IF(COUNTIF(L$10:L22,"&gt;=7")=0,0,COUNTIF(L$10:L22,"&gt;=7")/$D22*100))</f>
        <v/>
      </c>
      <c r="M25" s="43">
        <f>IF(SUM(M$10:M22)=0,IF(COUNTA(M$10:M22)=0,"Очікую",0),IF(COUNTIF(M$10:M22,"&gt;=7")=0,0,COUNTIF(M$10:M22,"&gt;=7")/$D22*100))</f>
        <v/>
      </c>
      <c r="N25" s="43">
        <f>IF(SUM(N$10:N22)=0,IF(COUNTA(N$10:N22)=0,"Очікую",0),IF(COUNTIF(N$10:N22,"&gt;=7")=0,0,COUNTIF(N$10:N22,"&gt;=7")/$D22*100))</f>
        <v/>
      </c>
      <c r="O25" s="43">
        <f>IF(SUM(O$10:O22)=0,IF(COUNTA(O$10:O22)=0,"Очікую",0),IF(COUNTIF(O$10:O22,"&gt;=7")=0,0,COUNTIF(O$10:O22,"&gt;=7")/$D22*100))</f>
        <v/>
      </c>
      <c r="P25" s="43">
        <f>IF(SUM(P$10:P22)=0,IF(COUNTA(P$10:P22)=0,"Очікую",0),IF(COUNTIF(P$10:P22,"&gt;=7")=0,0,COUNTIF(P$10:P22,"&gt;=7")/$D22*100))</f>
        <v/>
      </c>
      <c r="Q25" s="43">
        <f>IF(SUM(Q$10:Q22)=0,IF(COUNTA(Q$10:Q22)=0,"Очікую",0),IF(COUNTIF(Q$10:Q22,"&gt;=7")=0,0,COUNTIF(Q$10:Q22,"&gt;=7")/$D22*100))</f>
        <v/>
      </c>
      <c r="R25" s="43">
        <f>IF(SUM(R$10:R22)=0,IF(COUNTA(R$10:R22)=0,"Очікую",0),IF(COUNTIF(R$10:R22,"&gt;=7")=0,0,COUNTIF(R$10:R22,"&gt;=7")/$D22*100))</f>
        <v/>
      </c>
      <c r="S25" s="43">
        <f>IF(SUM(S$10:S22)=0,IF(COUNTA(S$10:S22)=0,"Очікую",0),IF(COUNTIF(S$10:S22,"&gt;=7")=0,0,COUNTIF(S$10:S22,"&gt;=7")/$D22*100))</f>
        <v/>
      </c>
      <c r="T25" s="43">
        <f>IF(SUM(T$10:T22)=0,IF(COUNTA(T$10:T22)=0,"Очікую",0),IF(COUNTIF(T$10:T22,"&gt;=7")=0,0,COUNTIF(T$10:T22,"&gt;=7")/$D22*100))</f>
        <v/>
      </c>
      <c r="U25" s="6" t="n"/>
      <c r="V25" s="20" t="n"/>
      <c r="W25" s="39" t="n"/>
    </row>
    <row r="26" ht="15" customFormat="1" customHeight="1" s="11">
      <c r="A26" s="40" t="n"/>
      <c r="B26" s="12" t="n"/>
      <c r="C26" s="6" t="n"/>
      <c r="D26" s="6" t="n"/>
      <c r="E26" s="7" t="inlineStr">
        <is>
          <t>Абсолютна успішність по групі</t>
        </is>
      </c>
      <c r="F26" s="8">
        <f>IFERROR(AVERAGE(F24:T24),"Очікую")</f>
        <v/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20" t="n"/>
      <c r="W26" s="39" t="n"/>
    </row>
    <row r="27" ht="15" customFormat="1" customHeight="1" s="11">
      <c r="A27" s="40" t="n"/>
      <c r="B27" s="12" t="n"/>
      <c r="C27" s="6" t="n"/>
      <c r="D27" s="6" t="n"/>
      <c r="E27" s="7" t="inlineStr">
        <is>
          <t>Якісна успішність по групі</t>
        </is>
      </c>
      <c r="F27" s="8">
        <f>IFERROR(AVERAGE($F25:T25),"Очікую")</f>
        <v/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20" t="n"/>
      <c r="W27" s="39" t="n"/>
    </row>
    <row r="28" ht="15" customFormat="1" customHeight="1" s="11">
      <c r="A28" s="40" t="n"/>
      <c r="B28" s="12" t="n"/>
      <c r="C28" s="6" t="n"/>
      <c r="D28" s="6" t="n"/>
      <c r="E28" s="7" t="inlineStr">
        <is>
          <t>Кількість бюджетників</t>
        </is>
      </c>
      <c r="F28" s="63">
        <f>IF(COUNTIF($C$10:$C22,"=B")=0,IF(COUNTIF($C$10:$C22,"=K")=0,"Очікую",0),COUNTIF($C$10:$C22,"=B"))</f>
        <v/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52" t="n"/>
      <c r="S28" s="52" t="n"/>
      <c r="T28" s="52" t="n"/>
      <c r="U28" s="52" t="n"/>
      <c r="V28" s="20" t="n"/>
      <c r="W28" s="39" t="n"/>
    </row>
    <row r="29" ht="15" customFormat="1" customHeight="1" s="11">
      <c r="A29" s="40" t="n"/>
      <c r="B29" s="12" t="n"/>
      <c r="C29" s="6" t="n"/>
      <c r="D29" s="6" t="n"/>
      <c r="E29" s="7" t="inlineStr">
        <is>
          <t>Кількість контрактників</t>
        </is>
      </c>
      <c r="F29" s="63">
        <f>IF(COUNTIF($C$10:$C22,"=K")=0,IF(COUNTIF($C$10:$C22,"=B")=0,"Очікую",0),COUNTIF($C$10:$C22,"=K"))</f>
        <v/>
      </c>
      <c r="G29" s="6" t="n"/>
      <c r="H29" s="55" t="inlineStr">
        <is>
          <t>Класний керівник</t>
        </is>
      </c>
      <c r="I29" s="55" t="n"/>
      <c r="J29" s="55" t="n"/>
      <c r="K29" s="55" t="n"/>
      <c r="L29" s="55" t="n"/>
      <c r="M29" s="6" t="n"/>
      <c r="N29" s="6" t="n"/>
      <c r="O29" s="6" t="n"/>
      <c r="P29" s="56">
        <f>'Загальна'!P53</f>
        <v/>
      </c>
      <c r="Q29" s="54" t="n"/>
      <c r="R29" s="54" t="n"/>
      <c r="S29" s="54" t="n"/>
      <c r="T29" s="54" t="n"/>
      <c r="U29" s="54" t="n"/>
      <c r="V29" s="20" t="n"/>
      <c r="W29" s="39" t="n"/>
    </row>
    <row r="30" ht="15" customFormat="1" customHeight="1" s="11">
      <c r="A30" s="40" t="n"/>
      <c r="B30" s="12" t="n"/>
      <c r="C30" s="6" t="n"/>
      <c r="D30" s="6" t="n"/>
      <c r="E30" s="7" t="inlineStr">
        <is>
          <t>Кількість соціального контингенту</t>
        </is>
      </c>
      <c r="F30" s="4" t="n"/>
      <c r="G30" s="6" t="n"/>
      <c r="H30" s="55" t="n"/>
      <c r="I30" s="55" t="n"/>
      <c r="J30" s="55" t="n"/>
      <c r="K30" s="55" t="n"/>
      <c r="L30" s="55" t="n"/>
      <c r="M30" s="6" t="n"/>
      <c r="N30" s="6" t="n"/>
      <c r="O30" s="6" t="n"/>
      <c r="P30" s="56" t="n"/>
      <c r="Q30" s="52" t="n"/>
      <c r="R30" s="52" t="n"/>
      <c r="S30" s="52" t="n"/>
      <c r="T30" s="52" t="n"/>
      <c r="U30" s="52" t="n"/>
      <c r="V30" s="20" t="n"/>
      <c r="W30" s="39" t="n"/>
    </row>
    <row r="31" ht="15" customFormat="1" customHeight="1" s="11">
      <c r="A31" s="40" t="n"/>
      <c r="B31" s="12" t="n"/>
      <c r="C31" s="6" t="n"/>
      <c r="D31" s="6" t="n"/>
      <c r="E31" s="7" t="inlineStr">
        <is>
          <t>Вийшли на стипендію</t>
        </is>
      </c>
      <c r="F31" s="63">
        <f>IF(F28="Очікую","Очікую",IF(F28-COUNTIF($U$10:$U22," - ")&lt;ROUNDDOWN(F28*0.4,0),F28-COUNTIF($U$10:$U22," - "),ROUNDDOWN(F28*0.4,0)))</f>
        <v/>
      </c>
      <c r="G31" s="6" t="n"/>
      <c r="H31" s="56" t="inlineStr">
        <is>
          <t>Завідувач відділення ПЗСО</t>
        </is>
      </c>
      <c r="I31" s="56" t="n"/>
      <c r="J31" s="56" t="n"/>
      <c r="K31" s="56" t="n"/>
      <c r="L31" s="56" t="n"/>
      <c r="M31" s="6" t="n"/>
      <c r="N31" s="6" t="n"/>
      <c r="O31" s="6" t="n"/>
      <c r="P31" s="56" t="inlineStr">
        <is>
          <t>Margarita BRITIKOVA</t>
        </is>
      </c>
      <c r="Q31" s="54" t="n"/>
      <c r="R31" s="54" t="n"/>
      <c r="S31" s="54" t="n"/>
      <c r="T31" s="54" t="n"/>
      <c r="U31" s="54" t="n"/>
      <c r="V31" s="20" t="n"/>
      <c r="W31" s="39" t="n"/>
    </row>
    <row r="32" ht="15" customFormat="1" customHeight="1" s="11">
      <c r="A32" s="40" t="n"/>
      <c r="B32" s="21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5" t="n"/>
      <c r="W32" s="39" t="n"/>
    </row>
    <row r="33" ht="15" customFormat="1" customHeight="1" s="11">
      <c r="A33" s="38" t="n"/>
      <c r="B33" s="38" t="n"/>
      <c r="C33" s="38" t="n"/>
      <c r="D33" s="38" t="n"/>
      <c r="E33" s="38" t="n"/>
      <c r="F33" s="38" t="n"/>
      <c r="G33" s="38" t="n"/>
      <c r="H33" s="38" t="n"/>
      <c r="I33" s="38" t="n"/>
      <c r="J33" s="38" t="n"/>
      <c r="K33" s="38" t="n"/>
      <c r="L33" s="38" t="n"/>
      <c r="M33" s="38" t="n"/>
      <c r="N33" s="38" t="n"/>
      <c r="O33" s="38" t="n"/>
      <c r="P33" s="38" t="n"/>
      <c r="Q33" s="38" t="n"/>
      <c r="R33" s="38" t="n"/>
      <c r="S33" s="38" t="n"/>
      <c r="T33" s="38" t="n"/>
      <c r="U33" s="38" t="n"/>
      <c r="V33" s="38" t="n"/>
      <c r="W33" s="39" t="n"/>
    </row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4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G13 ««Харчові технології»»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'Загальна'!C38</f>
        <v/>
      </c>
      <c r="D10" s="47" t="n">
        <v>1</v>
      </c>
      <c r="E10" s="48">
        <f>'Загальна'!E38</f>
        <v/>
      </c>
      <c r="F10" s="49">
        <f>'Загальна'!F38</f>
        <v/>
      </c>
      <c r="G10" s="49">
        <f>'Загальна'!G38</f>
        <v/>
      </c>
      <c r="H10" s="49">
        <f>'Загальна'!H38</f>
        <v/>
      </c>
      <c r="I10" s="49">
        <f>'Загальна'!I38</f>
        <v/>
      </c>
      <c r="J10" s="49">
        <f>'Загальна'!J38</f>
        <v/>
      </c>
      <c r="K10" s="49">
        <f>'Загальна'!K38</f>
        <v/>
      </c>
      <c r="L10" s="49">
        <f>'Загальна'!L38</f>
        <v/>
      </c>
      <c r="M10" s="49">
        <f>'Загальна'!M38</f>
        <v/>
      </c>
      <c r="N10" s="49">
        <f>'Загальна'!N38</f>
        <v/>
      </c>
      <c r="O10" s="49">
        <f>'Загальна'!O38</f>
        <v/>
      </c>
      <c r="P10" s="49">
        <f>'Загальна'!P38</f>
        <v/>
      </c>
      <c r="Q10" s="49">
        <f>'Загальна'!Q38</f>
        <v/>
      </c>
      <c r="R10" s="49">
        <f>'Загальна'!R38</f>
        <v/>
      </c>
      <c r="S10" s="49">
        <f>'Загальна'!S38</f>
        <v/>
      </c>
      <c r="T10" s="49">
        <f>'Загальна'!T38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8">
        <f>IF(SUM(T$10:T10)=0,IF(COUNTA(T$10:T10)=0,"Очікую",0),SUM(T$10:T10)/$D10)</f>
        <v/>
      </c>
      <c r="U11" s="9">
        <f>IFERROR(AVERAGE($F11:T11),"Очікую")</f>
        <v/>
      </c>
      <c r="V11" s="20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43">
        <f>IF(SUM(T$10:T10)=0,IF(COUNTA(T$10:T10)=0,"Очікую",0),IF(COUNTIF(T$10:T10,"&gt;=4")=0,0,COUNTIF(T$10:T10,"&gt;=4")/$D10*100))</f>
        <v/>
      </c>
      <c r="U12" s="6" t="n"/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43">
        <f>IF(SUM(T$10:T10)=0,IF(COUNTA(T$10:T10)=0,"Очікую",0),IF(COUNTIF(T$10:T10,"&gt;=7")=0,0,COUNTIF(T$10:T10,"&gt;=7")/$D10*100))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IFERROR(AVERAGE(F12:T12),"Очікую")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52" t="n"/>
      <c r="S16" s="52" t="n"/>
      <c r="T16" s="52" t="n"/>
      <c r="U16" s="52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55" t="n"/>
      <c r="M17" s="6" t="n"/>
      <c r="N17" s="6" t="n"/>
      <c r="O17" s="6" t="n"/>
      <c r="P17" s="56">
        <f>'Загальна'!P53</f>
        <v/>
      </c>
      <c r="Q17" s="54" t="n"/>
      <c r="R17" s="54" t="n"/>
      <c r="S17" s="54" t="n"/>
      <c r="T17" s="54" t="n"/>
      <c r="U17" s="54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55" t="n"/>
      <c r="M18" s="6" t="n"/>
      <c r="N18" s="6" t="n"/>
      <c r="O18" s="6" t="n"/>
      <c r="P18" s="56" t="n"/>
      <c r="Q18" s="52" t="n"/>
      <c r="R18" s="52" t="n"/>
      <c r="S18" s="52" t="n"/>
      <c r="T18" s="52" t="n"/>
      <c r="U18" s="52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IF(F16="Очікую","Очікую",IF(F16-COUNTIF($U$10:$U10," - ")&lt;ROUNDDOWN(F16*0.4,0),F16-COUNTIF($U$10:$U10,"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56" t="n"/>
      <c r="M19" s="6" t="n"/>
      <c r="N19" s="6" t="n"/>
      <c r="O19" s="6" t="n"/>
      <c r="P19" s="56" t="inlineStr">
        <is>
          <t>Margarita BRITIKOVA</t>
        </is>
      </c>
      <c r="Q19" s="54" t="n"/>
      <c r="R19" s="54" t="n"/>
      <c r="S19" s="54" t="n"/>
      <c r="T19" s="54" t="n"/>
      <c r="U19" s="54" t="n"/>
      <c r="V19" s="20" t="n"/>
      <c r="W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5" t="n"/>
      <c r="W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5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1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J2 ««Готельно-ресторанна справа та кейтеринг»»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'Загальна'!C17</f>
        <v/>
      </c>
      <c r="D10" s="47" t="n">
        <v>1</v>
      </c>
      <c r="E10" s="48">
        <f>'Загальна'!E17</f>
        <v/>
      </c>
      <c r="F10" s="49">
        <f>'Загальна'!F17</f>
        <v/>
      </c>
      <c r="G10" s="49">
        <f>'Загальна'!G17</f>
        <v/>
      </c>
      <c r="H10" s="49">
        <f>'Загальна'!H17</f>
        <v/>
      </c>
      <c r="I10" s="49">
        <f>'Загальна'!I17</f>
        <v/>
      </c>
      <c r="J10" s="49">
        <f>'Загальна'!J17</f>
        <v/>
      </c>
      <c r="K10" s="49">
        <f>'Загальна'!K17</f>
        <v/>
      </c>
      <c r="L10" s="49">
        <f>'Загальна'!L17</f>
        <v/>
      </c>
      <c r="M10" s="49">
        <f>'Загальна'!M17</f>
        <v/>
      </c>
      <c r="N10" s="49">
        <f>'Загальна'!N17</f>
        <v/>
      </c>
      <c r="O10" s="49">
        <f>'Загальна'!O17</f>
        <v/>
      </c>
      <c r="P10" s="49">
        <f>'Загальна'!P17</f>
        <v/>
      </c>
      <c r="Q10" s="49">
        <f>'Загальна'!Q17</f>
        <v/>
      </c>
      <c r="R10" s="49">
        <f>'Загальна'!R17</f>
        <v/>
      </c>
      <c r="S10" s="49">
        <f>'Загальна'!S17</f>
        <v/>
      </c>
      <c r="T10" s="49">
        <f>'Загальна'!T17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6" t="n"/>
      <c r="D11" s="6" t="n"/>
      <c r="E11" s="7" t="inlineStr">
        <is>
          <t>Середній бал успішності з дисципліни</t>
        </is>
      </c>
      <c r="F11" s="8">
        <f>IF(SUM(F$10:F10)=0,IF(COUNTA(F$10:F10)=0,"Очікую",0),SUM(F$10:F10)/$D10)</f>
        <v/>
      </c>
      <c r="G11" s="8">
        <f>IF(SUM(G$10:G10)=0,IF(COUNTA(G$10:G10)=0,"Очікую",0),SUM(G$10:G10)/$D10)</f>
        <v/>
      </c>
      <c r="H11" s="8">
        <f>IF(SUM(H$10:H10)=0,IF(COUNTA(H$10:H10)=0,"Очікую",0),SUM(H$10:H10)/$D10)</f>
        <v/>
      </c>
      <c r="I11" s="8">
        <f>IF(SUM(I$10:I10)=0,IF(COUNTA(I$10:I10)=0,"Очікую",0),SUM(I$10:I10)/$D10)</f>
        <v/>
      </c>
      <c r="J11" s="8">
        <f>IF(SUM(J$10:J10)=0,IF(COUNTA(J$10:J10)=0,"Очікую",0),SUM(J$10:J10)/$D10)</f>
        <v/>
      </c>
      <c r="K11" s="8">
        <f>IF(SUM(K$10:K10)=0,IF(COUNTA(K$10:K10)=0,"Очікую",0),SUM(K$10:K10)/$D10)</f>
        <v/>
      </c>
      <c r="L11" s="8">
        <f>IF(SUM(L$10:L10)=0,IF(COUNTA(L$10:L10)=0,"Очікую",0),SUM(L$10:L10)/$D10)</f>
        <v/>
      </c>
      <c r="M11" s="8">
        <f>IF(SUM(M$10:M10)=0,IF(COUNTA(M$10:M10)=0,"Очікую",0),SUM(M$10:M10)/$D10)</f>
        <v/>
      </c>
      <c r="N11" s="8">
        <f>IF(SUM(N$10:N10)=0,IF(COUNTA(N$10:N10)=0,"Очікую",0),SUM(N$10:N10)/$D10)</f>
        <v/>
      </c>
      <c r="O11" s="8">
        <f>IF(SUM(O$10:O10)=0,IF(COUNTA(O$10:O10)=0,"Очікую",0),SUM(O$10:O10)/$D10)</f>
        <v/>
      </c>
      <c r="P11" s="8">
        <f>IF(SUM(P$10:P10)=0,IF(COUNTA(P$10:P10)=0,"Очікую",0),SUM(P$10:P10)/$D10)</f>
        <v/>
      </c>
      <c r="Q11" s="8">
        <f>IF(SUM(Q$10:Q10)=0,IF(COUNTA(Q$10:Q10)=0,"Очікую",0),SUM(Q$10:Q10)/$D10)</f>
        <v/>
      </c>
      <c r="R11" s="8">
        <f>IF(SUM(R$10:R10)=0,IF(COUNTA(R$10:R10)=0,"Очікую",0),SUM(R$10:R10)/$D10)</f>
        <v/>
      </c>
      <c r="S11" s="8">
        <f>IF(SUM(S$10:S10)=0,IF(COUNTA(S$10:S10)=0,"Очікую",0),SUM(S$10:S10)/$D10)</f>
        <v/>
      </c>
      <c r="T11" s="8">
        <f>IF(SUM(T$10:T10)=0,IF(COUNTA(T$10:T10)=0,"Очікую",0),SUM(T$10:T10)/$D10)</f>
        <v/>
      </c>
      <c r="U11" s="9">
        <f>IFERROR(AVERAGE($F11:T11),"Очікую")</f>
        <v/>
      </c>
      <c r="V11" s="20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Абсолютна успішність</t>
        </is>
      </c>
      <c r="F12" s="43">
        <f>IF(SUM(F$10:F10)=0,IF(COUNTA(F$10:F10)=0,"Очікую",0),IF(COUNTIF(F$10:F10,"&gt;=4")=0,0,COUNTIF(F$10:F10,"&gt;=4")/$D10*100))</f>
        <v/>
      </c>
      <c r="G12" s="43">
        <f>IF(SUM(G$10:G10)=0,IF(COUNTA(G$10:G10)=0,"Очікую",0),IF(COUNTIF(G$10:G10,"&gt;=4")=0,0,COUNTIF(G$10:G10,"&gt;=4")/$D10*100))</f>
        <v/>
      </c>
      <c r="H12" s="43">
        <f>IF(SUM(H$10:H10)=0,IF(COUNTA(H$10:H10)=0,"Очікую",0),IF(COUNTIF(H$10:H10,"&gt;=4")=0,0,COUNTIF(H$10:H10,"&gt;=4")/$D10*100))</f>
        <v/>
      </c>
      <c r="I12" s="43">
        <f>IF(SUM(I$10:I10)=0,IF(COUNTA(I$10:I10)=0,"Очікую",0),IF(COUNTIF(I$10:I10,"&gt;=4")=0,0,COUNTIF(I$10:I10,"&gt;=4")/$D10*100))</f>
        <v/>
      </c>
      <c r="J12" s="43">
        <f>IF(SUM(J$10:J10)=0,IF(COUNTA(J$10:J10)=0,"Очікую",0),IF(COUNTIF(J$10:J10,"&gt;=4")=0,0,COUNTIF(J$10:J10,"&gt;=4")/$D10*100))</f>
        <v/>
      </c>
      <c r="K12" s="43">
        <f>IF(SUM(K$10:K10)=0,IF(COUNTA(K$10:K10)=0,"Очікую",0),IF(COUNTIF(K$10:K10,"&gt;=4")=0,0,COUNTIF(K$10:K10,"&gt;=4")/$D10*100))</f>
        <v/>
      </c>
      <c r="L12" s="43">
        <f>IF(SUM(L$10:L10)=0,IF(COUNTA(L$10:L10)=0,"Очікую",0),IF(COUNTIF(L$10:L10,"&gt;=4")=0,0,COUNTIF(L$10:L10,"&gt;=4")/$D10*100))</f>
        <v/>
      </c>
      <c r="M12" s="43">
        <f>IF(SUM(M$10:M10)=0,IF(COUNTA(M$10:M10)=0,"Очікую",0),IF(COUNTIF(M$10:M10,"&gt;=4")=0,0,COUNTIF(M$10:M10,"&gt;=4")/$D10*100))</f>
        <v/>
      </c>
      <c r="N12" s="43">
        <f>IF(SUM(N$10:N10)=0,IF(COUNTA(N$10:N10)=0,"Очікую",0),IF(COUNTIF(N$10:N10,"&gt;=4")=0,0,COUNTIF(N$10:N10,"&gt;=4")/$D10*100))</f>
        <v/>
      </c>
      <c r="O12" s="43">
        <f>IF(SUM(O$10:O10)=0,IF(COUNTA(O$10:O10)=0,"Очікую",0),IF(COUNTIF(O$10:O10,"&gt;=4")=0,0,COUNTIF(O$10:O10,"&gt;=4")/$D10*100))</f>
        <v/>
      </c>
      <c r="P12" s="43">
        <f>IF(SUM(P$10:P10)=0,IF(COUNTA(P$10:P10)=0,"Очікую",0),IF(COUNTIF(P$10:P10,"&gt;=4")=0,0,COUNTIF(P$10:P10,"&gt;=4")/$D10*100))</f>
        <v/>
      </c>
      <c r="Q12" s="43">
        <f>IF(SUM(Q$10:Q10)=0,IF(COUNTA(Q$10:Q10)=0,"Очікую",0),IF(COUNTIF(Q$10:Q10,"&gt;=4")=0,0,COUNTIF(Q$10:Q10,"&gt;=4")/$D10*100))</f>
        <v/>
      </c>
      <c r="R12" s="43">
        <f>IF(SUM(R$10:R10)=0,IF(COUNTA(R$10:R10)=0,"Очікую",0),IF(COUNTIF(R$10:R10,"&gt;=4")=0,0,COUNTIF(R$10:R10,"&gt;=4")/$D10*100))</f>
        <v/>
      </c>
      <c r="S12" s="43">
        <f>IF(SUM(S$10:S10)=0,IF(COUNTA(S$10:S10)=0,"Очікую",0),IF(COUNTIF(S$10:S10,"&gt;=4")=0,0,COUNTIF(S$10:S10,"&gt;=4")/$D10*100))</f>
        <v/>
      </c>
      <c r="T12" s="43">
        <f>IF(SUM(T$10:T10)=0,IF(COUNTA(T$10:T10)=0,"Очікую",0),IF(COUNTIF(T$10:T10,"&gt;=4")=0,0,COUNTIF(T$10:T10,"&gt;=4")/$D10*100))</f>
        <v/>
      </c>
      <c r="U12" s="6" t="n"/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Якісна успішність</t>
        </is>
      </c>
      <c r="F13" s="43">
        <f>IF(SUM(F$10:F10)=0,IF(COUNTA(F$10:F10)=0,"Очікую",0),IF(COUNTIF(F$10:F10,"&gt;=7")=0,0,COUNTIF(F$10:F10,"&gt;=7")/$D10*100))</f>
        <v/>
      </c>
      <c r="G13" s="43">
        <f>IF(SUM(G$10:G10)=0,IF(COUNTA(G$10:G10)=0,"Очікую",0),IF(COUNTIF(G$10:G10,"&gt;=7")=0,0,COUNTIF(G$10:G10,"&gt;=7")/$D10*100))</f>
        <v/>
      </c>
      <c r="H13" s="43">
        <f>IF(SUM(H$10:H10)=0,IF(COUNTA(H$10:H10)=0,"Очікую",0),IF(COUNTIF(H$10:H10,"&gt;=7")=0,0,COUNTIF(H$10:H10,"&gt;=7")/$D10*100))</f>
        <v/>
      </c>
      <c r="I13" s="43">
        <f>IF(SUM(I$10:I10)=0,IF(COUNTA(I$10:I10)=0,"Очікую",0),IF(COUNTIF(I$10:I10,"&gt;=7")=0,0,COUNTIF(I$10:I10,"&gt;=7")/$D10*100))</f>
        <v/>
      </c>
      <c r="J13" s="43">
        <f>IF(SUM(J$10:J10)=0,IF(COUNTA(J$10:J10)=0,"Очікую",0),IF(COUNTIF(J$10:J10,"&gt;=7")=0,0,COUNTIF(J$10:J10,"&gt;=7")/$D10*100))</f>
        <v/>
      </c>
      <c r="K13" s="43">
        <f>IF(SUM(K$10:K10)=0,IF(COUNTA(K$10:K10)=0,"Очікую",0),IF(COUNTIF(K$10:K10,"&gt;=7")=0,0,COUNTIF(K$10:K10,"&gt;=7")/$D10*100))</f>
        <v/>
      </c>
      <c r="L13" s="43">
        <f>IF(SUM(L$10:L10)=0,IF(COUNTA(L$10:L10)=0,"Очікую",0),IF(COUNTIF(L$10:L10,"&gt;=7")=0,0,COUNTIF(L$10:L10,"&gt;=7")/$D10*100))</f>
        <v/>
      </c>
      <c r="M13" s="43">
        <f>IF(SUM(M$10:M10)=0,IF(COUNTA(M$10:M10)=0,"Очікую",0),IF(COUNTIF(M$10:M10,"&gt;=7")=0,0,COUNTIF(M$10:M10,"&gt;=7")/$D10*100))</f>
        <v/>
      </c>
      <c r="N13" s="43">
        <f>IF(SUM(N$10:N10)=0,IF(COUNTA(N$10:N10)=0,"Очікую",0),IF(COUNTIF(N$10:N10,"&gt;=7")=0,0,COUNTIF(N$10:N10,"&gt;=7")/$D10*100))</f>
        <v/>
      </c>
      <c r="O13" s="43">
        <f>IF(SUM(O$10:O10)=0,IF(COUNTA(O$10:O10)=0,"Очікую",0),IF(COUNTIF(O$10:O10,"&gt;=7")=0,0,COUNTIF(O$10:O10,"&gt;=7")/$D10*100))</f>
        <v/>
      </c>
      <c r="P13" s="43">
        <f>IF(SUM(P$10:P10)=0,IF(COUNTA(P$10:P10)=0,"Очікую",0),IF(COUNTIF(P$10:P10,"&gt;=7")=0,0,COUNTIF(P$10:P10,"&gt;=7")/$D10*100))</f>
        <v/>
      </c>
      <c r="Q13" s="43">
        <f>IF(SUM(Q$10:Q10)=0,IF(COUNTA(Q$10:Q10)=0,"Очікую",0),IF(COUNTIF(Q$10:Q10,"&gt;=7")=0,0,COUNTIF(Q$10:Q10,"&gt;=7")/$D10*100))</f>
        <v/>
      </c>
      <c r="R13" s="43">
        <f>IF(SUM(R$10:R10)=0,IF(COUNTA(R$10:R10)=0,"Очікую",0),IF(COUNTIF(R$10:R10,"&gt;=7")=0,0,COUNTIF(R$10:R10,"&gt;=7")/$D10*100))</f>
        <v/>
      </c>
      <c r="S13" s="43">
        <f>IF(SUM(S$10:S10)=0,IF(COUNTA(S$10:S10)=0,"Очікую",0),IF(COUNTIF(S$10:S10,"&gt;=7")=0,0,COUNTIF(S$10:S10,"&gt;=7")/$D10*100))</f>
        <v/>
      </c>
      <c r="T13" s="43">
        <f>IF(SUM(T$10:T10)=0,IF(COUNTA(T$10:T10)=0,"Очікую",0),IF(COUNTIF(T$10:T10,"&gt;=7")=0,0,COUNTIF(T$10:T10,"&gt;=7")/$D10*100))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Абсолютна успішність по групі</t>
        </is>
      </c>
      <c r="F14" s="8">
        <f>IFERROR(AVERAGE(F12:T12),"Очікую")</f>
        <v/>
      </c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Якісна успішність по групі</t>
        </is>
      </c>
      <c r="F15" s="8">
        <f>IFERROR(AVERAGE($F13:T13),"Очікую")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Кількість бюджетників</t>
        </is>
      </c>
      <c r="F16" s="63">
        <f>IF(COUNTIF($C$10:$C10,"=B")=0,IF(COUNTIF($C$10:$C10,"=K")=0,"Очікую",0),COUNTIF($C$10:$C10,"=B"))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52" t="n"/>
      <c r="S16" s="52" t="n"/>
      <c r="T16" s="52" t="n"/>
      <c r="U16" s="52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контрактників</t>
        </is>
      </c>
      <c r="F17" s="63">
        <f>IF(COUNTIF($C$10:$C10,"=K")=0,IF(COUNTIF($C$10:$C10,"=B")=0,"Очікую",0),COUNTIF($C$10:$C10,"=K"))</f>
        <v/>
      </c>
      <c r="G17" s="6" t="n"/>
      <c r="H17" s="55" t="inlineStr">
        <is>
          <t>Класний керівник</t>
        </is>
      </c>
      <c r="I17" s="55" t="n"/>
      <c r="J17" s="55" t="n"/>
      <c r="K17" s="55" t="n"/>
      <c r="L17" s="55" t="n"/>
      <c r="M17" s="6" t="n"/>
      <c r="N17" s="6" t="n"/>
      <c r="O17" s="6" t="n"/>
      <c r="P17" s="56">
        <f>'Загальна'!P53</f>
        <v/>
      </c>
      <c r="Q17" s="54" t="n"/>
      <c r="R17" s="54" t="n"/>
      <c r="S17" s="54" t="n"/>
      <c r="T17" s="54" t="n"/>
      <c r="U17" s="54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соціального контингенту</t>
        </is>
      </c>
      <c r="F18" s="4" t="n"/>
      <c r="G18" s="6" t="n"/>
      <c r="H18" s="55" t="n"/>
      <c r="I18" s="55" t="n"/>
      <c r="J18" s="55" t="n"/>
      <c r="K18" s="55" t="n"/>
      <c r="L18" s="55" t="n"/>
      <c r="M18" s="6" t="n"/>
      <c r="N18" s="6" t="n"/>
      <c r="O18" s="6" t="n"/>
      <c r="P18" s="56" t="n"/>
      <c r="Q18" s="52" t="n"/>
      <c r="R18" s="52" t="n"/>
      <c r="S18" s="52" t="n"/>
      <c r="T18" s="52" t="n"/>
      <c r="U18" s="52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Вийшли на стипендію</t>
        </is>
      </c>
      <c r="F19" s="63">
        <f>IF(F16="Очікую","Очікую",IF(F16-COUNTIF($U$10:$U10," - ")&lt;ROUNDDOWN(F16*0.4,0),F16-COUNTIF($U$10:$U10," - "),ROUNDDOWN(F16*0.4,0)))</f>
        <v/>
      </c>
      <c r="G19" s="6" t="n"/>
      <c r="H19" s="56" t="inlineStr">
        <is>
          <t>Завідувач відділення ПЗСО</t>
        </is>
      </c>
      <c r="I19" s="56" t="n"/>
      <c r="J19" s="56" t="n"/>
      <c r="K19" s="56" t="n"/>
      <c r="L19" s="56" t="n"/>
      <c r="M19" s="6" t="n"/>
      <c r="N19" s="6" t="n"/>
      <c r="O19" s="6" t="n"/>
      <c r="P19" s="56" t="inlineStr">
        <is>
          <t>Margarita BRITIKOVA</t>
        </is>
      </c>
      <c r="Q19" s="54" t="n"/>
      <c r="R19" s="54" t="n"/>
      <c r="S19" s="54" t="n"/>
      <c r="T19" s="54" t="n"/>
      <c r="U19" s="54" t="n"/>
      <c r="V19" s="20" t="n"/>
      <c r="W19" s="39" t="n"/>
    </row>
    <row r="20" ht="15" customFormat="1" customHeight="1" s="11">
      <c r="A20" s="40" t="n"/>
      <c r="B20" s="21" t="n"/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5" t="n"/>
      <c r="W20" s="39" t="n"/>
    </row>
    <row r="21" ht="15" customFormat="1" customHeight="1" s="11">
      <c r="A21" s="38" t="n"/>
      <c r="B21" s="38" t="n"/>
      <c r="C21" s="38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9" t="n"/>
    </row>
    <row r="22" hidden="1" ht="15" customFormat="1" customHeight="1" s="11"/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xl/worksheets/sheet6.xml><?xml version="1.0" encoding="utf-8"?>
<worksheet xmlns="http://schemas.openxmlformats.org/spreadsheetml/2006/main">
  <sheetPr>
    <tabColor rgb="FF0070C0"/>
    <outlinePr summaryBelow="1" summaryRight="1"/>
    <pageSetUpPr fitToPage="1"/>
  </sheetPr>
  <dimension ref="A1:W22"/>
  <sheetViews>
    <sheetView zoomScaleNormal="100" workbookViewId="0">
      <selection activeCell="A1" sqref="A1"/>
    </sheetView>
  </sheetViews>
  <sheetFormatPr baseColWidth="8" defaultColWidth="0" defaultRowHeight="0" customHeight="1" zeroHeight="1"/>
  <cols>
    <col width="2.7109375" customWidth="1" style="1" min="1" max="2"/>
    <col width="4.140625" customWidth="1" style="1" min="3" max="3"/>
    <col width="6.5703125" customWidth="1" style="1" min="4" max="4"/>
    <col width="40.42578125" customWidth="1" style="1" min="5" max="5"/>
    <col width="6.7109375" customWidth="1" style="1" min="6" max="25"/>
    <col width="11.3" customWidth="1" min="21" max="21"/>
    <col width="2.7" customWidth="1" min="22" max="22"/>
    <col width="2.7" customWidth="1" min="23" max="23"/>
    <col hidden="1" width="13" customWidth="1" min="24" max="24"/>
    <col hidden="1" width="13" customWidth="1" min="25" max="25"/>
    <col hidden="1" width="11.28515625" customWidth="1" style="1" min="26" max="26"/>
    <col hidden="1" width="2.7109375" customWidth="1" style="1" min="27" max="28"/>
    <col hidden="1" width="13" customWidth="1" min="28" max="28"/>
    <col hidden="1" width="14.42578125" customWidth="1" style="1" min="29" max="34"/>
    <col hidden="1" width="14.85546875" customWidth="1" style="1" min="35" max="35"/>
    <col hidden="1" width="3.7109375" customWidth="1" style="1" min="36" max="49"/>
    <col hidden="1" width="5.7109375" customWidth="1" style="1" min="50" max="68"/>
    <col hidden="1" width="14.42578125" customWidth="1" style="1" min="69" max="16384"/>
  </cols>
  <sheetData>
    <row r="1" ht="12" customHeight="1" thickBot="1">
      <c r="A1" s="37" t="inlineStr">
        <is>
          <t>S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  <c r="V1" s="38" t="n"/>
      <c r="W1" s="38" t="n"/>
    </row>
    <row r="2" ht="12" customHeight="1">
      <c r="A2" s="40" t="n"/>
      <c r="B2" s="17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9" t="n"/>
      <c r="W2" s="39" t="n"/>
    </row>
    <row r="3" ht="54.95" customFormat="1" customHeight="1" s="2">
      <c r="A3" s="40" t="n"/>
      <c r="B3" s="12" t="n"/>
      <c r="C3" s="70" t="inlineStr">
        <is>
          <t>ВІДОКРЕМЛЕНИЙ СТРУКТУРНИЙ ПІДРОЗДІЛ «ФАХОВИЙ КОЛЕДЖ НАФТОГАЗОВИХ ТЕХНОЛОГІЙ,
ІНЖЕНЕРІЇ ТА ІНФРАСТРУКТУРИ СЕРВІСУ
ОДЕСЬКОГО НАЦІОНАЛЬНОГО ТЕХНОЛОГІЧНОГО УНІВЕРСИТЕТУ»</t>
        </is>
      </c>
      <c r="D3" s="86" t="n"/>
      <c r="E3" s="86" t="n"/>
      <c r="F3" s="86" t="n"/>
      <c r="G3" s="86" t="n"/>
      <c r="H3" s="86" t="n"/>
      <c r="I3" s="86" t="n"/>
      <c r="J3" s="86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20" t="n"/>
      <c r="W3" s="39" t="n"/>
    </row>
    <row r="4" ht="15" customFormat="1" customHeight="1" s="3">
      <c r="A4" s="40" t="n"/>
      <c r="B4" s="12" t="n"/>
      <c r="C4" s="71" t="inlineStr">
        <is>
          <t>ЗВЕДЕНА ВІДОМІСТЬ</t>
        </is>
      </c>
      <c r="D4" s="86" t="n"/>
      <c r="E4" s="86" t="n"/>
      <c r="F4" s="86" t="n"/>
      <c r="G4" s="86" t="n"/>
      <c r="H4" s="86" t="n"/>
      <c r="I4" s="86" t="n"/>
      <c r="J4" s="86" t="n"/>
      <c r="K4" s="86" t="n"/>
      <c r="L4" s="86" t="n"/>
      <c r="M4" s="86" t="n"/>
      <c r="N4" s="86" t="n"/>
      <c r="O4" s="86" t="n"/>
      <c r="P4" s="86" t="n"/>
      <c r="Q4" s="86" t="n"/>
      <c r="R4" s="86" t="n"/>
      <c r="S4" s="86" t="n"/>
      <c r="T4" s="86" t="n"/>
      <c r="U4" s="86" t="n"/>
      <c r="V4" s="20" t="n"/>
      <c r="W4" s="39" t="n"/>
    </row>
    <row r="5" ht="15" customFormat="1" customHeight="1" s="2">
      <c r="A5" s="40" t="n"/>
      <c r="B5" s="12" t="n"/>
      <c r="C5" s="73" t="inlineStr">
        <is>
          <t>Успішності студентів спеціальності J3 ««Туризм та рекреація»»</t>
        </is>
      </c>
      <c r="D5" s="92" t="n"/>
      <c r="E5" s="92" t="n"/>
      <c r="F5" s="92" t="n"/>
      <c r="G5" s="92" t="n"/>
      <c r="H5" s="92" t="n"/>
      <c r="I5" s="92" t="n"/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20" t="n"/>
      <c r="W5" s="39" t="n"/>
    </row>
    <row r="6" ht="15" customFormat="1" customHeight="1" s="2">
      <c r="A6" s="40" t="n"/>
      <c r="B6" s="12" t="n"/>
      <c r="C6" s="73" t="inlineStr">
        <is>
          <t>За II семестр 2025-2026 н.р.</t>
        </is>
      </c>
      <c r="D6" s="92" t="n"/>
      <c r="E6" s="92" t="n"/>
      <c r="F6" s="92" t="n"/>
      <c r="G6" s="92" t="n"/>
      <c r="H6" s="92" t="n"/>
      <c r="I6" s="92" t="n"/>
      <c r="J6" s="92" t="n"/>
      <c r="K6" s="92" t="n"/>
      <c r="L6" s="92" t="n"/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20" t="n"/>
      <c r="W6" s="39" t="n"/>
    </row>
    <row r="7" ht="15" customFormat="1" customHeight="1" s="2">
      <c r="A7" s="40" t="n"/>
      <c r="B7" s="12" t="n"/>
      <c r="C7" s="72" t="inlineStr">
        <is>
          <t>Група 25-1 курс I</t>
        </is>
      </c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3" t="n"/>
      <c r="Q7" s="93" t="n"/>
      <c r="R7" s="93" t="n"/>
      <c r="S7" s="93" t="n"/>
      <c r="T7" s="93" t="n"/>
      <c r="U7" s="93" t="n"/>
      <c r="V7" s="20" t="n"/>
      <c r="W7" s="39" t="n"/>
    </row>
    <row r="8" ht="15" customHeight="1">
      <c r="A8" s="40" t="n"/>
      <c r="B8" s="12" t="n"/>
      <c r="C8" s="62" t="inlineStr">
        <is>
          <t>Б/К</t>
        </is>
      </c>
      <c r="D8" s="64" t="inlineStr">
        <is>
          <t>№
п/п</t>
        </is>
      </c>
      <c r="E8" s="64" t="inlineStr">
        <is>
          <t>Прізвище, ім’я, по батькові</t>
        </is>
      </c>
      <c r="F8" s="63" t="inlineStr">
        <is>
          <t>Підсумкові оцінки дисциплін</t>
        </is>
      </c>
      <c r="G8" s="88" t="n"/>
      <c r="H8" s="88" t="n"/>
      <c r="I8" s="88" t="n"/>
      <c r="J8" s="88" t="n"/>
      <c r="K8" s="88" t="n"/>
      <c r="L8" s="88" t="n"/>
      <c r="M8" s="88" t="n"/>
      <c r="N8" s="88" t="n"/>
      <c r="O8" s="88" t="n"/>
      <c r="P8" s="88" t="n"/>
      <c r="Q8" s="88" t="n"/>
      <c r="R8" s="88" t="n"/>
      <c r="S8" s="88" t="n"/>
      <c r="T8" s="89" t="n"/>
      <c r="U8" s="90" t="inlineStr">
        <is>
          <t>Середній бал</t>
        </is>
      </c>
      <c r="V8" s="20" t="n"/>
      <c r="W8" s="39" t="n"/>
    </row>
    <row r="9" ht="125.1" customHeight="1">
      <c r="A9" s="40" t="n"/>
      <c r="B9" s="12" t="n"/>
      <c r="C9" s="91" t="n"/>
      <c r="D9" s="91" t="n"/>
      <c r="E9" s="91" t="n"/>
      <c r="F9" s="13">
        <f>'Загальна'!F9</f>
        <v/>
      </c>
      <c r="G9" s="13">
        <f>'Загальна'!G9</f>
        <v/>
      </c>
      <c r="H9" s="13">
        <f>'Загальна'!H9</f>
        <v/>
      </c>
      <c r="I9" s="13">
        <f>'Загальна'!I9</f>
        <v/>
      </c>
      <c r="J9" s="13">
        <f>'Загальна'!J9</f>
        <v/>
      </c>
      <c r="K9" s="13">
        <f>'Загальна'!K9</f>
        <v/>
      </c>
      <c r="L9" s="13">
        <f>'Загальна'!L9</f>
        <v/>
      </c>
      <c r="M9" s="13">
        <f>'Загальна'!M9</f>
        <v/>
      </c>
      <c r="N9" s="13">
        <f>'Загальна'!N9</f>
        <v/>
      </c>
      <c r="O9" s="13">
        <f>'Загальна'!O9</f>
        <v/>
      </c>
      <c r="P9" s="13">
        <f>'Загальна'!P9</f>
        <v/>
      </c>
      <c r="Q9" s="13">
        <f>'Загальна'!Q9</f>
        <v/>
      </c>
      <c r="R9" s="13">
        <f>'Загальна'!R9</f>
        <v/>
      </c>
      <c r="S9" s="13">
        <f>'Загальна'!S9</f>
        <v/>
      </c>
      <c r="T9" s="13">
        <f>'Загальна'!T9</f>
        <v/>
      </c>
      <c r="U9" s="91" t="n"/>
      <c r="V9" s="20" t="n"/>
      <c r="W9" s="39" t="n"/>
    </row>
    <row r="10" ht="15" customFormat="1" customHeight="1" s="11">
      <c r="A10" s="40" t="n"/>
      <c r="B10" s="12" t="n"/>
      <c r="C10" s="47">
        <f>'Загальна'!C16</f>
        <v/>
      </c>
      <c r="D10" s="47" t="n">
        <v>1</v>
      </c>
      <c r="E10" s="48">
        <f>'Загальна'!E16</f>
        <v/>
      </c>
      <c r="F10" s="49">
        <f>'Загальна'!F16</f>
        <v/>
      </c>
      <c r="G10" s="49">
        <f>'Загальна'!G16</f>
        <v/>
      </c>
      <c r="H10" s="49">
        <f>'Загальна'!H16</f>
        <v/>
      </c>
      <c r="I10" s="49">
        <f>'Загальна'!I16</f>
        <v/>
      </c>
      <c r="J10" s="49">
        <f>'Загальна'!J16</f>
        <v/>
      </c>
      <c r="K10" s="49">
        <f>'Загальна'!K16</f>
        <v/>
      </c>
      <c r="L10" s="49">
        <f>'Загальна'!L16</f>
        <v/>
      </c>
      <c r="M10" s="49">
        <f>'Загальна'!M16</f>
        <v/>
      </c>
      <c r="N10" s="49">
        <f>'Загальна'!N16</f>
        <v/>
      </c>
      <c r="O10" s="49">
        <f>'Загальна'!O16</f>
        <v/>
      </c>
      <c r="P10" s="49">
        <f>'Загальна'!P16</f>
        <v/>
      </c>
      <c r="Q10" s="49">
        <f>'Загальна'!Q16</f>
        <v/>
      </c>
      <c r="R10" s="49">
        <f>'Загальна'!R16</f>
        <v/>
      </c>
      <c r="S10" s="49">
        <f>'Загальна'!S16</f>
        <v/>
      </c>
      <c r="T10" s="49">
        <f>'Загальна'!T16</f>
        <v/>
      </c>
      <c r="U10" s="42">
        <f>IF(COUNTIF($F10:T10,"=*")&gt;0,IF($C10="K","-"," - "),IF(COUNTIF($F10:T10,"&lt;4")&gt;0,IF(C10="K","-"," - "),(IFERROR(AVERAGE($F10:T10),"Очікую"))))</f>
        <v/>
      </c>
      <c r="V10" s="22" t="n"/>
      <c r="W10" s="39" t="n"/>
    </row>
    <row r="11" ht="15" customFormat="1" customHeight="1" s="11">
      <c r="A11" s="40" t="n"/>
      <c r="B11" s="12" t="n"/>
      <c r="C11" s="47">
        <f>'Загальна'!C39</f>
        <v/>
      </c>
      <c r="D11" s="47" t="n">
        <v>2</v>
      </c>
      <c r="E11" s="48">
        <f>'Загальна'!E39</f>
        <v/>
      </c>
      <c r="F11" s="49">
        <f>'Загальна'!F39</f>
        <v/>
      </c>
      <c r="G11" s="49">
        <f>'Загальна'!G39</f>
        <v/>
      </c>
      <c r="H11" s="49">
        <f>'Загальна'!H39</f>
        <v/>
      </c>
      <c r="I11" s="49">
        <f>'Загальна'!I39</f>
        <v/>
      </c>
      <c r="J11" s="49">
        <f>'Загальна'!J39</f>
        <v/>
      </c>
      <c r="K11" s="49">
        <f>'Загальна'!K39</f>
        <v/>
      </c>
      <c r="L11" s="49">
        <f>'Загальна'!L39</f>
        <v/>
      </c>
      <c r="M11" s="49">
        <f>'Загальна'!M39</f>
        <v/>
      </c>
      <c r="N11" s="49">
        <f>'Загальна'!N39</f>
        <v/>
      </c>
      <c r="O11" s="49">
        <f>'Загальна'!O39</f>
        <v/>
      </c>
      <c r="P11" s="49">
        <f>'Загальна'!P39</f>
        <v/>
      </c>
      <c r="Q11" s="49">
        <f>'Загальна'!Q39</f>
        <v/>
      </c>
      <c r="R11" s="49">
        <f>'Загальна'!R39</f>
        <v/>
      </c>
      <c r="S11" s="49">
        <f>'Загальна'!S39</f>
        <v/>
      </c>
      <c r="T11" s="49">
        <f>'Загальна'!T39</f>
        <v/>
      </c>
      <c r="U11" s="42">
        <f>IF(COUNTIF($F11:T11,"=*")&gt;0,IF($C11="K","-"," - "),IF(COUNTIF($F11:T11,"&lt;4")&gt;0,IF(C11="K","-"," - "),(IFERROR(AVERAGE($F11:T11),"Очікую"))))</f>
        <v/>
      </c>
      <c r="V11" s="22" t="n"/>
      <c r="W11" s="39" t="n"/>
    </row>
    <row r="12" ht="15" customFormat="1" customHeight="1" s="11">
      <c r="A12" s="40" t="n"/>
      <c r="B12" s="12" t="n"/>
      <c r="C12" s="6" t="n"/>
      <c r="D12" s="6" t="n"/>
      <c r="E12" s="7" t="inlineStr">
        <is>
          <t>Середній бал успішності з дисципліни</t>
        </is>
      </c>
      <c r="F12" s="8">
        <f>IF(SUM(F$10:F11)=0,IF(COUNTA(F$10:F11)=0,"Очікую",0),SUM(F$10:F11)/$D11)</f>
        <v/>
      </c>
      <c r="G12" s="8">
        <f>IF(SUM(G$10:G11)=0,IF(COUNTA(G$10:G11)=0,"Очікую",0),SUM(G$10:G11)/$D11)</f>
        <v/>
      </c>
      <c r="H12" s="8">
        <f>IF(SUM(H$10:H11)=0,IF(COUNTA(H$10:H11)=0,"Очікую",0),SUM(H$10:H11)/$D11)</f>
        <v/>
      </c>
      <c r="I12" s="8">
        <f>IF(SUM(I$10:I11)=0,IF(COUNTA(I$10:I11)=0,"Очікую",0),SUM(I$10:I11)/$D11)</f>
        <v/>
      </c>
      <c r="J12" s="8">
        <f>IF(SUM(J$10:J11)=0,IF(COUNTA(J$10:J11)=0,"Очікую",0),SUM(J$10:J11)/$D11)</f>
        <v/>
      </c>
      <c r="K12" s="8">
        <f>IF(SUM(K$10:K11)=0,IF(COUNTA(K$10:K11)=0,"Очікую",0),SUM(K$10:K11)/$D11)</f>
        <v/>
      </c>
      <c r="L12" s="8">
        <f>IF(SUM(L$10:L11)=0,IF(COUNTA(L$10:L11)=0,"Очікую",0),SUM(L$10:L11)/$D11)</f>
        <v/>
      </c>
      <c r="M12" s="8">
        <f>IF(SUM(M$10:M11)=0,IF(COUNTA(M$10:M11)=0,"Очікую",0),SUM(M$10:M11)/$D11)</f>
        <v/>
      </c>
      <c r="N12" s="8">
        <f>IF(SUM(N$10:N11)=0,IF(COUNTA(N$10:N11)=0,"Очікую",0),SUM(N$10:N11)/$D11)</f>
        <v/>
      </c>
      <c r="O12" s="8">
        <f>IF(SUM(O$10:O11)=0,IF(COUNTA(O$10:O11)=0,"Очікую",0),SUM(O$10:O11)/$D11)</f>
        <v/>
      </c>
      <c r="P12" s="8">
        <f>IF(SUM(P$10:P11)=0,IF(COUNTA(P$10:P11)=0,"Очікую",0),SUM(P$10:P11)/$D11)</f>
        <v/>
      </c>
      <c r="Q12" s="8">
        <f>IF(SUM(Q$10:Q11)=0,IF(COUNTA(Q$10:Q11)=0,"Очікую",0),SUM(Q$10:Q11)/$D11)</f>
        <v/>
      </c>
      <c r="R12" s="8">
        <f>IF(SUM(R$10:R11)=0,IF(COUNTA(R$10:R11)=0,"Очікую",0),SUM(R$10:R11)/$D11)</f>
        <v/>
      </c>
      <c r="S12" s="8">
        <f>IF(SUM(S$10:S11)=0,IF(COUNTA(S$10:S11)=0,"Очікую",0),SUM(S$10:S11)/$D11)</f>
        <v/>
      </c>
      <c r="T12" s="8">
        <f>IF(SUM(T$10:T11)=0,IF(COUNTA(T$10:T11)=0,"Очікую",0),SUM(T$10:T11)/$D11)</f>
        <v/>
      </c>
      <c r="U12" s="9">
        <f>IFERROR(AVERAGE($F12:T12),"Очікую")</f>
        <v/>
      </c>
      <c r="V12" s="20" t="n"/>
      <c r="W12" s="39" t="n"/>
    </row>
    <row r="13" ht="15" customFormat="1" customHeight="1" s="11">
      <c r="A13" s="40" t="n"/>
      <c r="B13" s="12" t="n"/>
      <c r="C13" s="6" t="n"/>
      <c r="D13" s="6" t="n"/>
      <c r="E13" s="7" t="inlineStr">
        <is>
          <t>Абсолютна успішність</t>
        </is>
      </c>
      <c r="F13" s="43">
        <f>IF(SUM(F$10:F11)=0,IF(COUNTA(F$10:F11)=0,"Очікую",0),IF(COUNTIF(F$10:F11,"&gt;=4")=0,0,COUNTIF(F$10:F11,"&gt;=4")/$D11*100))</f>
        <v/>
      </c>
      <c r="G13" s="43">
        <f>IF(SUM(G$10:G11)=0,IF(COUNTA(G$10:G11)=0,"Очікую",0),IF(COUNTIF(G$10:G11,"&gt;=4")=0,0,COUNTIF(G$10:G11,"&gt;=4")/$D11*100))</f>
        <v/>
      </c>
      <c r="H13" s="43">
        <f>IF(SUM(H$10:H11)=0,IF(COUNTA(H$10:H11)=0,"Очікую",0),IF(COUNTIF(H$10:H11,"&gt;=4")=0,0,COUNTIF(H$10:H11,"&gt;=4")/$D11*100))</f>
        <v/>
      </c>
      <c r="I13" s="43">
        <f>IF(SUM(I$10:I11)=0,IF(COUNTA(I$10:I11)=0,"Очікую",0),IF(COUNTIF(I$10:I11,"&gt;=4")=0,0,COUNTIF(I$10:I11,"&gt;=4")/$D11*100))</f>
        <v/>
      </c>
      <c r="J13" s="43">
        <f>IF(SUM(J$10:J11)=0,IF(COUNTA(J$10:J11)=0,"Очікую",0),IF(COUNTIF(J$10:J11,"&gt;=4")=0,0,COUNTIF(J$10:J11,"&gt;=4")/$D11*100))</f>
        <v/>
      </c>
      <c r="K13" s="43">
        <f>IF(SUM(K$10:K11)=0,IF(COUNTA(K$10:K11)=0,"Очікую",0),IF(COUNTIF(K$10:K11,"&gt;=4")=0,0,COUNTIF(K$10:K11,"&gt;=4")/$D11*100))</f>
        <v/>
      </c>
      <c r="L13" s="43">
        <f>IF(SUM(L$10:L11)=0,IF(COUNTA(L$10:L11)=0,"Очікую",0),IF(COUNTIF(L$10:L11,"&gt;=4")=0,0,COUNTIF(L$10:L11,"&gt;=4")/$D11*100))</f>
        <v/>
      </c>
      <c r="M13" s="43">
        <f>IF(SUM(M$10:M11)=0,IF(COUNTA(M$10:M11)=0,"Очікую",0),IF(COUNTIF(M$10:M11,"&gt;=4")=0,0,COUNTIF(M$10:M11,"&gt;=4")/$D11*100))</f>
        <v/>
      </c>
      <c r="N13" s="43">
        <f>IF(SUM(N$10:N11)=0,IF(COUNTA(N$10:N11)=0,"Очікую",0),IF(COUNTIF(N$10:N11,"&gt;=4")=0,0,COUNTIF(N$10:N11,"&gt;=4")/$D11*100))</f>
        <v/>
      </c>
      <c r="O13" s="43">
        <f>IF(SUM(O$10:O11)=0,IF(COUNTA(O$10:O11)=0,"Очікую",0),IF(COUNTIF(O$10:O11,"&gt;=4")=0,0,COUNTIF(O$10:O11,"&gt;=4")/$D11*100))</f>
        <v/>
      </c>
      <c r="P13" s="43">
        <f>IF(SUM(P$10:P11)=0,IF(COUNTA(P$10:P11)=0,"Очікую",0),IF(COUNTIF(P$10:P11,"&gt;=4")=0,0,COUNTIF(P$10:P11,"&gt;=4")/$D11*100))</f>
        <v/>
      </c>
      <c r="Q13" s="43">
        <f>IF(SUM(Q$10:Q11)=0,IF(COUNTA(Q$10:Q11)=0,"Очікую",0),IF(COUNTIF(Q$10:Q11,"&gt;=4")=0,0,COUNTIF(Q$10:Q11,"&gt;=4")/$D11*100))</f>
        <v/>
      </c>
      <c r="R13" s="43">
        <f>IF(SUM(R$10:R11)=0,IF(COUNTA(R$10:R11)=0,"Очікую",0),IF(COUNTIF(R$10:R11,"&gt;=4")=0,0,COUNTIF(R$10:R11,"&gt;=4")/$D11*100))</f>
        <v/>
      </c>
      <c r="S13" s="43">
        <f>IF(SUM(S$10:S11)=0,IF(COUNTA(S$10:S11)=0,"Очікую",0),IF(COUNTIF(S$10:S11,"&gt;=4")=0,0,COUNTIF(S$10:S11,"&gt;=4")/$D11*100))</f>
        <v/>
      </c>
      <c r="T13" s="43">
        <f>IF(SUM(T$10:T11)=0,IF(COUNTA(T$10:T11)=0,"Очікую",0),IF(COUNTIF(T$10:T11,"&gt;=4")=0,0,COUNTIF(T$10:T11,"&gt;=4")/$D11*100))</f>
        <v/>
      </c>
      <c r="U13" s="6" t="n"/>
      <c r="V13" s="20" t="n"/>
      <c r="W13" s="39" t="n"/>
    </row>
    <row r="14" ht="15" customFormat="1" customHeight="1" s="11">
      <c r="A14" s="40" t="n"/>
      <c r="B14" s="12" t="n"/>
      <c r="C14" s="6" t="n"/>
      <c r="D14" s="6" t="n"/>
      <c r="E14" s="7" t="inlineStr">
        <is>
          <t>Якісна успішність</t>
        </is>
      </c>
      <c r="F14" s="43">
        <f>IF(SUM(F$10:F11)=0,IF(COUNTA(F$10:F11)=0,"Очікую",0),IF(COUNTIF(F$10:F11,"&gt;=7")=0,0,COUNTIF(F$10:F11,"&gt;=7")/$D11*100))</f>
        <v/>
      </c>
      <c r="G14" s="43">
        <f>IF(SUM(G$10:G11)=0,IF(COUNTA(G$10:G11)=0,"Очікую",0),IF(COUNTIF(G$10:G11,"&gt;=7")=0,0,COUNTIF(G$10:G11,"&gt;=7")/$D11*100))</f>
        <v/>
      </c>
      <c r="H14" s="43">
        <f>IF(SUM(H$10:H11)=0,IF(COUNTA(H$10:H11)=0,"Очікую",0),IF(COUNTIF(H$10:H11,"&gt;=7")=0,0,COUNTIF(H$10:H11,"&gt;=7")/$D11*100))</f>
        <v/>
      </c>
      <c r="I14" s="43">
        <f>IF(SUM(I$10:I11)=0,IF(COUNTA(I$10:I11)=0,"Очікую",0),IF(COUNTIF(I$10:I11,"&gt;=7")=0,0,COUNTIF(I$10:I11,"&gt;=7")/$D11*100))</f>
        <v/>
      </c>
      <c r="J14" s="43">
        <f>IF(SUM(J$10:J11)=0,IF(COUNTA(J$10:J11)=0,"Очікую",0),IF(COUNTIF(J$10:J11,"&gt;=7")=0,0,COUNTIF(J$10:J11,"&gt;=7")/$D11*100))</f>
        <v/>
      </c>
      <c r="K14" s="43">
        <f>IF(SUM(K$10:K11)=0,IF(COUNTA(K$10:K11)=0,"Очікую",0),IF(COUNTIF(K$10:K11,"&gt;=7")=0,0,COUNTIF(K$10:K11,"&gt;=7")/$D11*100))</f>
        <v/>
      </c>
      <c r="L14" s="43">
        <f>IF(SUM(L$10:L11)=0,IF(COUNTA(L$10:L11)=0,"Очікую",0),IF(COUNTIF(L$10:L11,"&gt;=7")=0,0,COUNTIF(L$10:L11,"&gt;=7")/$D11*100))</f>
        <v/>
      </c>
      <c r="M14" s="43">
        <f>IF(SUM(M$10:M11)=0,IF(COUNTA(M$10:M11)=0,"Очікую",0),IF(COUNTIF(M$10:M11,"&gt;=7")=0,0,COUNTIF(M$10:M11,"&gt;=7")/$D11*100))</f>
        <v/>
      </c>
      <c r="N14" s="43">
        <f>IF(SUM(N$10:N11)=0,IF(COUNTA(N$10:N11)=0,"Очікую",0),IF(COUNTIF(N$10:N11,"&gt;=7")=0,0,COUNTIF(N$10:N11,"&gt;=7")/$D11*100))</f>
        <v/>
      </c>
      <c r="O14" s="43">
        <f>IF(SUM(O$10:O11)=0,IF(COUNTA(O$10:O11)=0,"Очікую",0),IF(COUNTIF(O$10:O11,"&gt;=7")=0,0,COUNTIF(O$10:O11,"&gt;=7")/$D11*100))</f>
        <v/>
      </c>
      <c r="P14" s="43">
        <f>IF(SUM(P$10:P11)=0,IF(COUNTA(P$10:P11)=0,"Очікую",0),IF(COUNTIF(P$10:P11,"&gt;=7")=0,0,COUNTIF(P$10:P11,"&gt;=7")/$D11*100))</f>
        <v/>
      </c>
      <c r="Q14" s="43">
        <f>IF(SUM(Q$10:Q11)=0,IF(COUNTA(Q$10:Q11)=0,"Очікую",0),IF(COUNTIF(Q$10:Q11,"&gt;=7")=0,0,COUNTIF(Q$10:Q11,"&gt;=7")/$D11*100))</f>
        <v/>
      </c>
      <c r="R14" s="43">
        <f>IF(SUM(R$10:R11)=0,IF(COUNTA(R$10:R11)=0,"Очікую",0),IF(COUNTIF(R$10:R11,"&gt;=7")=0,0,COUNTIF(R$10:R11,"&gt;=7")/$D11*100))</f>
        <v/>
      </c>
      <c r="S14" s="43">
        <f>IF(SUM(S$10:S11)=0,IF(COUNTA(S$10:S11)=0,"Очікую",0),IF(COUNTIF(S$10:S11,"&gt;=7")=0,0,COUNTIF(S$10:S11,"&gt;=7")/$D11*100))</f>
        <v/>
      </c>
      <c r="T14" s="43">
        <f>IF(SUM(T$10:T11)=0,IF(COUNTA(T$10:T11)=0,"Очікую",0),IF(COUNTIF(T$10:T11,"&gt;=7")=0,0,COUNTIF(T$10:T11,"&gt;=7")/$D11*100))</f>
        <v/>
      </c>
      <c r="U14" s="6" t="n"/>
      <c r="V14" s="20" t="n"/>
      <c r="W14" s="39" t="n"/>
    </row>
    <row r="15" ht="15" customFormat="1" customHeight="1" s="11">
      <c r="A15" s="40" t="n"/>
      <c r="B15" s="12" t="n"/>
      <c r="C15" s="6" t="n"/>
      <c r="D15" s="6" t="n"/>
      <c r="E15" s="7" t="inlineStr">
        <is>
          <t>Абсолютна успішність по групі</t>
        </is>
      </c>
      <c r="F15" s="8">
        <f>IFERROR(AVERAGE(F13:T13),"Очікую")</f>
        <v/>
      </c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20" t="n"/>
      <c r="W15" s="39" t="n"/>
    </row>
    <row r="16" ht="15" customFormat="1" customHeight="1" s="11">
      <c r="A16" s="40" t="n"/>
      <c r="B16" s="12" t="n"/>
      <c r="C16" s="6" t="n"/>
      <c r="D16" s="6" t="n"/>
      <c r="E16" s="7" t="inlineStr">
        <is>
          <t>Якісна успішність по групі</t>
        </is>
      </c>
      <c r="F16" s="8">
        <f>IFERROR(AVERAGE($F14:T14),"Очікую")</f>
        <v/>
      </c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20" t="n"/>
      <c r="W16" s="39" t="n"/>
    </row>
    <row r="17" ht="15" customFormat="1" customHeight="1" s="11">
      <c r="A17" s="40" t="n"/>
      <c r="B17" s="12" t="n"/>
      <c r="C17" s="6" t="n"/>
      <c r="D17" s="6" t="n"/>
      <c r="E17" s="7" t="inlineStr">
        <is>
          <t>Кількість бюджетників</t>
        </is>
      </c>
      <c r="F17" s="63">
        <f>IF(COUNTIF($C$10:$C11,"=B")=0,IF(COUNTIF($C$10:$C11,"=K")=0,"Очікую",0),COUNTIF($C$10:$C11,"=B"))</f>
        <v/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52" t="n"/>
      <c r="S17" s="52" t="n"/>
      <c r="T17" s="52" t="n"/>
      <c r="U17" s="52" t="n"/>
      <c r="V17" s="20" t="n"/>
      <c r="W17" s="39" t="n"/>
    </row>
    <row r="18" ht="15" customFormat="1" customHeight="1" s="11">
      <c r="A18" s="40" t="n"/>
      <c r="B18" s="12" t="n"/>
      <c r="C18" s="6" t="n"/>
      <c r="D18" s="6" t="n"/>
      <c r="E18" s="7" t="inlineStr">
        <is>
          <t>Кількість контрактників</t>
        </is>
      </c>
      <c r="F18" s="63">
        <f>IF(COUNTIF($C$10:$C11,"=K")=0,IF(COUNTIF($C$10:$C11,"=B")=0,"Очікую",0),COUNTIF($C$10:$C11,"=K"))</f>
        <v/>
      </c>
      <c r="G18" s="6" t="n"/>
      <c r="H18" s="55" t="inlineStr">
        <is>
          <t>Класний керівник</t>
        </is>
      </c>
      <c r="I18" s="55" t="n"/>
      <c r="J18" s="55" t="n"/>
      <c r="K18" s="55" t="n"/>
      <c r="L18" s="55" t="n"/>
      <c r="M18" s="6" t="n"/>
      <c r="N18" s="6" t="n"/>
      <c r="O18" s="6" t="n"/>
      <c r="P18" s="56">
        <f>'Загальна'!P53</f>
        <v/>
      </c>
      <c r="Q18" s="54" t="n"/>
      <c r="R18" s="54" t="n"/>
      <c r="S18" s="54" t="n"/>
      <c r="T18" s="54" t="n"/>
      <c r="U18" s="54" t="n"/>
      <c r="V18" s="20" t="n"/>
      <c r="W18" s="39" t="n"/>
    </row>
    <row r="19" ht="15" customFormat="1" customHeight="1" s="11">
      <c r="A19" s="40" t="n"/>
      <c r="B19" s="12" t="n"/>
      <c r="C19" s="6" t="n"/>
      <c r="D19" s="6" t="n"/>
      <c r="E19" s="7" t="inlineStr">
        <is>
          <t>Кількість соціального контингенту</t>
        </is>
      </c>
      <c r="F19" s="4" t="n"/>
      <c r="G19" s="6" t="n"/>
      <c r="H19" s="55" t="n"/>
      <c r="I19" s="55" t="n"/>
      <c r="J19" s="55" t="n"/>
      <c r="K19" s="55" t="n"/>
      <c r="L19" s="55" t="n"/>
      <c r="M19" s="6" t="n"/>
      <c r="N19" s="6" t="n"/>
      <c r="O19" s="6" t="n"/>
      <c r="P19" s="56" t="n"/>
      <c r="Q19" s="52" t="n"/>
      <c r="R19" s="52" t="n"/>
      <c r="S19" s="52" t="n"/>
      <c r="T19" s="52" t="n"/>
      <c r="U19" s="52" t="n"/>
      <c r="V19" s="20" t="n"/>
      <c r="W19" s="39" t="n"/>
    </row>
    <row r="20" ht="15" customFormat="1" customHeight="1" s="11">
      <c r="A20" s="40" t="n"/>
      <c r="B20" s="12" t="n"/>
      <c r="C20" s="6" t="n"/>
      <c r="D20" s="6" t="n"/>
      <c r="E20" s="7" t="inlineStr">
        <is>
          <t>Вийшли на стипендію</t>
        </is>
      </c>
      <c r="F20" s="63">
        <f>IF(F17="Очікую","Очікую",IF(F17-COUNTIF($U$10:$U11," - ")&lt;ROUNDDOWN(F17*0.4,0),F17-COUNTIF($U$10:$U11," - "),ROUNDDOWN(F17*0.4,0)))</f>
        <v/>
      </c>
      <c r="G20" s="6" t="n"/>
      <c r="H20" s="56" t="inlineStr">
        <is>
          <t>Завідувач відділення ПЗСО</t>
        </is>
      </c>
      <c r="I20" s="56" t="n"/>
      <c r="J20" s="56" t="n"/>
      <c r="K20" s="56" t="n"/>
      <c r="L20" s="56" t="n"/>
      <c r="M20" s="6" t="n"/>
      <c r="N20" s="6" t="n"/>
      <c r="O20" s="6" t="n"/>
      <c r="P20" s="56" t="inlineStr">
        <is>
          <t>Margarita BRITIKOVA</t>
        </is>
      </c>
      <c r="Q20" s="54" t="n"/>
      <c r="R20" s="54" t="n"/>
      <c r="S20" s="54" t="n"/>
      <c r="T20" s="54" t="n"/>
      <c r="U20" s="54" t="n"/>
      <c r="V20" s="20" t="n"/>
      <c r="W20" s="39" t="n"/>
    </row>
    <row r="21" ht="15" customFormat="1" customHeight="1" s="11">
      <c r="A21" s="40" t="n"/>
      <c r="B21" s="21" t="n"/>
      <c r="C21" s="14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5" t="n"/>
      <c r="W21" s="39" t="n"/>
    </row>
    <row r="22" ht="15" customFormat="1" customHeight="1" s="11">
      <c r="A22" s="38" t="n"/>
      <c r="B22" s="38" t="n"/>
      <c r="C22" s="38" t="n"/>
      <c r="D22" s="38" t="n"/>
      <c r="E22" s="38" t="n"/>
      <c r="F22" s="38" t="n"/>
      <c r="G22" s="38" t="n"/>
      <c r="H22" s="38" t="n"/>
      <c r="I22" s="38" t="n"/>
      <c r="J22" s="38" t="n"/>
      <c r="K22" s="38" t="n"/>
      <c r="L22" s="38" t="n"/>
      <c r="M22" s="38" t="n"/>
      <c r="N22" s="38" t="n"/>
      <c r="O22" s="38" t="n"/>
      <c r="P22" s="38" t="n"/>
      <c r="Q22" s="38" t="n"/>
      <c r="R22" s="38" t="n"/>
      <c r="S22" s="38" t="n"/>
      <c r="T22" s="38" t="n"/>
      <c r="U22" s="38" t="n"/>
      <c r="V22" s="38" t="n"/>
      <c r="W22" s="39" t="n"/>
    </row>
    <row r="23" hidden="1" ht="15" customFormat="1" customHeight="1" s="11"/>
    <row r="24" hidden="1" ht="15" customFormat="1" customHeight="1" s="11"/>
    <row r="25" hidden="1" ht="15" customFormat="1" customHeight="1" s="11"/>
    <row r="26" hidden="1" ht="15" customFormat="1" customHeight="1" s="11"/>
    <row r="27" hidden="1" ht="15" customFormat="1" customHeight="1" s="11"/>
    <row r="28" hidden="1" ht="15" customFormat="1" customHeight="1" s="11"/>
    <row r="29" hidden="1" ht="15" customFormat="1" customHeight="1" s="11"/>
    <row r="30" hidden="1" ht="15" customFormat="1" customHeight="1" s="11"/>
    <row r="31" hidden="1" ht="15" customFormat="1" customHeight="1" s="11"/>
    <row r="32" hidden="1" ht="15" customFormat="1" customHeight="1" s="11"/>
    <row r="33" hidden="1" ht="15" customFormat="1" customHeight="1" s="11"/>
    <row r="34" hidden="1" ht="15" customFormat="1" customHeight="1" s="11"/>
    <row r="35" hidden="1" ht="15" customFormat="1" customHeight="1" s="11"/>
    <row r="36" hidden="1" ht="15" customFormat="1" customHeight="1" s="11"/>
    <row r="37" hidden="1" ht="15" customFormat="1" customHeight="1" s="11"/>
    <row r="38" hidden="1" ht="15" customFormat="1" customHeight="1" s="11"/>
    <row r="39" hidden="1" ht="15" customFormat="1" customHeight="1" s="11"/>
    <row r="40" hidden="1" ht="15" customFormat="1" customHeight="1" s="11"/>
    <row r="41" hidden="1" ht="15" customFormat="1" customHeight="1" s="11"/>
    <row r="42" hidden="1" ht="15" customFormat="1" customHeight="1" s="11"/>
    <row r="43" hidden="1" ht="15" customFormat="1" customHeight="1" s="11"/>
    <row r="44" hidden="1" ht="15" customFormat="1" customHeight="1" s="11"/>
    <row r="45" hidden="1" ht="15" customFormat="1" customHeight="1" s="11"/>
    <row r="46" hidden="1" ht="15" customFormat="1" customHeight="1" s="11"/>
    <row r="47" hidden="1" ht="15" customFormat="1" customHeight="1" s="11"/>
    <row r="48" hidden="1" ht="15" customFormat="1" customHeight="1" s="11"/>
    <row r="49" hidden="1" ht="15" customFormat="1" customHeight="1" s="11"/>
    <row r="50" hidden="1" ht="15" customFormat="1" customHeight="1" s="11"/>
    <row r="51" hidden="1" ht="15" customFormat="1" customHeight="1" s="11"/>
    <row r="52" hidden="1" ht="15" customFormat="1" customHeight="1" s="11"/>
    <row r="53" hidden="1" ht="15" customFormat="1" customHeight="1" s="11"/>
    <row r="54" hidden="1" ht="15" customFormat="1" customHeight="1" s="11"/>
    <row r="55" hidden="1" ht="15" customFormat="1" customHeight="1" s="11"/>
    <row r="56" hidden="1" ht="15" customFormat="1" customHeight="1" s="11"/>
    <row r="57" hidden="1" ht="15" customFormat="1" customHeight="1" s="11"/>
    <row r="58" hidden="1" ht="15" customFormat="1" customHeight="1" s="11"/>
    <row r="59" hidden="1" ht="15" customFormat="1" customHeight="1" s="11"/>
    <row r="60" hidden="1" ht="15" customFormat="1" customHeight="1" s="11"/>
    <row r="61" hidden="1" ht="15" customFormat="1" customHeight="1" s="11"/>
    <row r="62" hidden="1" ht="15" customFormat="1" customHeight="1" s="11"/>
    <row r="63" hidden="1" ht="15" customFormat="1" customHeight="1" s="11"/>
    <row r="64" hidden="1" ht="15" customFormat="1" customHeight="1" s="11"/>
    <row r="65" hidden="1" ht="15" customFormat="1" customHeight="1" s="11"/>
    <row r="66" hidden="1" ht="15" customFormat="1" customHeight="1" s="11"/>
    <row r="67" hidden="1" ht="15" customFormat="1" customHeight="1" s="11"/>
    <row r="68" hidden="1" ht="15" customFormat="1" customHeight="1" s="11"/>
    <row r="69" hidden="1" ht="15" customFormat="1" customHeight="1" s="11"/>
    <row r="70" hidden="1" ht="15" customFormat="1" customHeight="1" s="11"/>
    <row r="71" hidden="1" ht="15" customFormat="1" customHeight="1" s="11"/>
    <row r="72" hidden="1" ht="15" customFormat="1" customHeight="1" s="11"/>
    <row r="73" hidden="1" ht="15" customFormat="1" customHeight="1" s="11"/>
    <row r="74" hidden="1" ht="15" customFormat="1" customHeight="1" s="11"/>
    <row r="75" hidden="1" ht="15" customFormat="1" customHeight="1" s="11"/>
    <row r="76" hidden="1" ht="15" customFormat="1" customHeight="1" s="11"/>
    <row r="77" hidden="1" ht="15" customFormat="1" customHeight="1" s="11"/>
    <row r="78" hidden="1" ht="15" customFormat="1" customHeight="1" s="11"/>
    <row r="79" hidden="1" ht="15" customFormat="1" customHeight="1" s="11"/>
    <row r="80" hidden="1" ht="15" customFormat="1" customHeight="1" s="11"/>
    <row r="81" hidden="1" ht="15" customFormat="1" customHeight="1" s="11"/>
    <row r="82" hidden="1" ht="15" customFormat="1" customHeight="1" s="11"/>
    <row r="83" hidden="1" ht="15" customFormat="1" customHeight="1" s="11"/>
    <row r="84" hidden="1" ht="15" customFormat="1" customHeight="1" s="11"/>
    <row r="85" hidden="1" ht="15" customFormat="1" customHeight="1" s="11"/>
    <row r="86" hidden="1" ht="15" customFormat="1" customHeight="1" s="11"/>
    <row r="87" hidden="1" ht="15" customFormat="1" customHeight="1" s="11"/>
    <row r="88" hidden="1" ht="15" customFormat="1" customHeight="1" s="11"/>
    <row r="89" hidden="1" ht="15" customFormat="1" customHeight="1" s="11"/>
    <row r="90" hidden="1" ht="15" customFormat="1" customHeight="1" s="11"/>
    <row r="91" hidden="1" ht="15" customFormat="1" customHeight="1" s="11"/>
    <row r="92" hidden="1" ht="15" customFormat="1" customHeight="1" s="11"/>
    <row r="93" hidden="1" ht="15" customFormat="1" customHeight="1" s="11"/>
    <row r="94" hidden="1" ht="15" customFormat="1" customHeight="1" s="11"/>
    <row r="95" hidden="1" ht="15" customFormat="1" customHeight="1" s="11"/>
    <row r="96" hidden="1" ht="15" customFormat="1" customHeight="1" s="11"/>
    <row r="97" hidden="1" ht="15" customFormat="1" customHeight="1" s="11"/>
    <row r="98" hidden="1" ht="15" customFormat="1" customHeight="1" s="11"/>
    <row r="99" hidden="1" ht="15" customFormat="1" customHeight="1" s="11"/>
    <row r="100" hidden="1" ht="15" customFormat="1" customHeight="1" s="11"/>
    <row r="101" hidden="1" ht="15" customFormat="1" customHeight="1" s="11"/>
    <row r="102" hidden="1" ht="15" customFormat="1" customHeight="1" s="11"/>
    <row r="103" hidden="1" ht="15" customFormat="1" customHeight="1" s="11"/>
    <row r="104" hidden="1" ht="15" customFormat="1" customHeight="1" s="11"/>
    <row r="105" hidden="1" ht="15" customFormat="1" customHeight="1" s="11"/>
    <row r="106" hidden="1" ht="15" customFormat="1" customHeight="1" s="11"/>
    <row r="107" hidden="1" ht="15" customFormat="1" customHeight="1" s="11"/>
    <row r="108" hidden="1" ht="15" customFormat="1" customHeight="1" s="11"/>
    <row r="109" hidden="1" ht="15" customFormat="1" customHeight="1" s="11"/>
    <row r="110" hidden="1" ht="15" customHeight="1"/>
    <row r="111" hidden="1" ht="15" customHeight="1"/>
    <row r="112" hidden="1" ht="15" customHeight="1"/>
    <row r="113" hidden="1" ht="15" customHeight="1"/>
    <row r="114" hidden="1" ht="15" customHeight="1"/>
    <row r="115" hidden="1" ht="15" customHeight="1"/>
    <row r="116" hidden="1" ht="15" customHeight="1"/>
    <row r="117" hidden="1" ht="15" customHeight="1"/>
    <row r="118" hidden="1" ht="15" customHeight="1"/>
    <row r="119" hidden="1" ht="12" customHeight="1" thickBot="1"/>
    <row r="120" hidden="1" ht="12" customHeight="1"/>
  </sheetData>
  <mergeCells count="10">
    <mergeCell ref="E8:E9"/>
    <mergeCell ref="C8:C9"/>
    <mergeCell ref="C5:U5"/>
    <mergeCell ref="U8:U9"/>
    <mergeCell ref="D8:D9"/>
    <mergeCell ref="C3:U3"/>
    <mergeCell ref="C7:U7"/>
    <mergeCell ref="C4:U4"/>
    <mergeCell ref="F8:T8"/>
    <mergeCell ref="C6:U6"/>
  </mergeCells>
  <printOptions horizontalCentered="1"/>
  <pageMargins left="0.1968503937007874" right="0.1968503937007874" top="0.1968503937007874" bottom="0.1968503937007874" header="0" footer="0"/>
  <pageSetup orientation="landscape" paperSize="9" scale="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37063</dc:creator>
  <dcterms:created xmlns:dcterms="http://purl.org/dc/terms/" xmlns:xsi="http://www.w3.org/2001/XMLSchema-instance" xsi:type="dcterms:W3CDTF">2006-09-28T05:33:49Z</dcterms:created>
  <dcterms:modified xmlns:dcterms="http://purl.org/dc/terms/" xmlns:xsi="http://www.w3.org/2001/XMLSchema-instance" xsi:type="dcterms:W3CDTF">2026-06-18T11:39:52Z</dcterms:modified>
  <cp:lastModifiedBy>Maxim Surkov</cp:lastModifiedBy>
  <cp:lastPrinted>2026-01-07T15:30:50Z</cp:lastPrinted>
</cp:coreProperties>
</file>