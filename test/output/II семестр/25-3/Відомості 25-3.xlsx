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E2'!$C$3:$T$28</definedName>
    <definedName name="A1048577" localSheetId="2">#REF!</definedName>
    <definedName name="Ф80" localSheetId="2">#REF!</definedName>
    <definedName name="_xlnm.Print_Area" localSheetId="2">'Зведена G1'!$C$3:$T$26</definedName>
    <definedName name="A1048577" localSheetId="3">#REF!</definedName>
    <definedName name="Ф80" localSheetId="3">#REF!</definedName>
    <definedName name="_xlnm.Print_Area" localSheetId="3">'Зведена G7'!$C$3:$T$35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9">
        <f>'Загальна'!T15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9">
        <f>'Загальна'!T16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9">
        <f>'Загальна'!T20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9">
        <f>'Загальна'!T24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9">
        <f>'Загальна'!T29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9">
        <f>'Загальна'!T30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9">
        <f>'Загальна'!T39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8">
        <f>IF(SUM(T$10:T19)=0,IF(COUNTA(T$10:T19)=0,"Очікую",0),SUM(T$10:T19)/$D19)</f>
        <v/>
      </c>
      <c r="U20" s="9">
        <f>IFERROR(AVERAGE($F20:T20),"Очікую")</f>
        <v/>
      </c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43">
        <f>IF(SUM(T$10:T19)=0,IF(COUNTA(T$10:T19)=0,"Очікую",0),IF(COUNTIF(T$10:T19,"&gt;=4")=0,0,COUNTIF(T$10:T19,"&gt;=4")/$D19*100))</f>
        <v/>
      </c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43">
        <f>IF(SUM(T$10:T19)=0,IF(COUNTA(T$10:T19)=0,"Очікую",0),IF(COUNTIF(T$10:T19,"&gt;=7")=0,0,COUNTIF(T$10:T19,"&gt;=7")/$D19*100))</f>
        <v/>
      </c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IFERROR(AVERAGE(F21:T21),"Очікую")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IFERROR(AVERAGE($F22:T22),"Очікую")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55" t="n"/>
      <c r="M26" s="6" t="n"/>
      <c r="N26" s="6" t="n"/>
      <c r="O26" s="6" t="n"/>
      <c r="P26" s="56">
        <f>'Загальна'!P51</f>
        <v/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55" t="n"/>
      <c r="M27" s="6" t="n"/>
      <c r="N27" s="6" t="n"/>
      <c r="O27" s="6" t="n"/>
      <c r="P27" s="56" t="n"/>
      <c r="Q27" s="52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IF(F25="Очікую","Очікую",IF(F25-COUNTIF($U$10:$U19," - ")&lt;ROUNDDOWN(F25*0.4,0),F25-COUNTIF($U$10:$U19,"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56" t="n"/>
      <c r="M28" s="6" t="n"/>
      <c r="N28" s="6" t="n"/>
      <c r="O28" s="6" t="n"/>
      <c r="P28" s="56" t="inlineStr">
        <is>
          <t>Margarita BRITIKOVA</t>
        </is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5" t="n"/>
      <c r="W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9">
        <f>'Загальна'!T26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9">
        <f>'Загальна'!T32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9">
        <f>'Загальна'!T36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9">
        <f>'Загальна'!T42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8">
        <f>IF(SUM(T$10:T17)=0,IF(COUNTA(T$10:T17)=0,"Очікую",0),SUM(T$10:T17)/$D17)</f>
        <v/>
      </c>
      <c r="U18" s="9">
        <f>IFERROR(AVERAGE($F18:T18),"Очікую")</f>
        <v/>
      </c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43">
        <f>IF(SUM(T$10:T17)=0,IF(COUNTA(T$10:T17)=0,"Очікую",0),IF(COUNTIF(T$10:T17,"&gt;=4")=0,0,COUNTIF(T$10:T17,"&gt;=4")/$D17*100))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43">
        <f>IF(SUM(T$10:T17)=0,IF(COUNTA(T$10:T17)=0,"Очікую",0),IF(COUNTIF(T$10:T17,"&gt;=7")=0,0,COUNTIF(T$10:T17,"&gt;=7")/$D17*100))</f>
        <v/>
      </c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IFERROR(AVERAGE($F20:T20),"Очікую")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52" t="n"/>
      <c r="S23" s="52" t="n"/>
      <c r="T23" s="52" t="n"/>
      <c r="U23" s="52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55" t="n"/>
      <c r="M24" s="6" t="n"/>
      <c r="N24" s="6" t="n"/>
      <c r="O24" s="6" t="n"/>
      <c r="P24" s="56">
        <f>'Загальна'!P51</f>
        <v/>
      </c>
      <c r="Q24" s="54" t="n"/>
      <c r="R24" s="54" t="n"/>
      <c r="S24" s="54" t="n"/>
      <c r="T24" s="54" t="n"/>
      <c r="U24" s="54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55" t="n"/>
      <c r="M25" s="6" t="n"/>
      <c r="N25" s="6" t="n"/>
      <c r="O25" s="6" t="n"/>
      <c r="P25" s="56" t="n"/>
      <c r="Q25" s="52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IF(F23="Очікую","Очікую",IF(F23-COUNTIF($U$10:$U17," - ")&lt;ROUNDDOWN(F23*0.4,0),F23-COUNTIF($U$10:$U17,"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56" t="n"/>
      <c r="M26" s="6" t="n"/>
      <c r="N26" s="6" t="n"/>
      <c r="O26" s="6" t="n"/>
      <c r="P26" s="56" t="inlineStr">
        <is>
          <t>Margarita BRITIKOVA</t>
        </is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5" t="n"/>
      <c r="W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9">
        <f>'Загальна'!T17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9">
        <f>'Загальна'!T23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9">
        <f>'Загальна'!T27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9">
        <f>'Загальна'!T28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9">
        <f>'Загальна'!T37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9">
        <f>'Загальна'!T40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9">
        <f>'Загальна'!T41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9">
        <f>'Загальна'!T43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9">
        <f>'Загальна'!T44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'Загальна'!P51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2026-06-18T10:26:13Z</dcterms:modified>
  <cp:lastModifiedBy>Maxim Surkov</cp:lastModifiedBy>
  <cp:lastPrinted>2026-01-07T15:30:50Z</cp:lastPrinted>
</cp:coreProperties>
</file>