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'Загальна'!$C$3:$T$47</definedName>
    <definedName name="A1048577" localSheetId="1">#REF!</definedName>
    <definedName name="Ф80" localSheetId="1">#REF!</definedName>
    <definedName name="_xlnm.Print_Area" localSheetId="1">'Зведена G3'!$C$3:$T$35</definedName>
    <definedName name="A1048577" localSheetId="2">#REF!</definedName>
    <definedName name="Ф80" localSheetId="2">#REF!</definedName>
    <definedName name="_xlnm.Print_Area" localSheetId="2">'Зведена G5'!$C$3:$T$30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8">
        <f>IF(SUM(T$10:T38)=0,IF(COUNTA(T$10:T38)=0,"Очікую",0),SUM(T$10:T38)/$D38)</f>
        <v/>
      </c>
      <c r="U39" s="9">
        <f>IFERROR(AVERAGE($F39:T39),"Очікую")</f>
        <v/>
      </c>
      <c r="V39" s="20" t="n"/>
      <c r="W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43">
        <f>IF(SUM(T$10:T38)=0,IF(COUNTA(T$10:T38)=0,"Очікую",0),IF(COUNTIF(T$10:T38,"&gt;=4")=0,0,COUNTIF(T$10:T38,"&gt;=4")/$D38*100))</f>
        <v/>
      </c>
      <c r="U40" s="6" t="n"/>
      <c r="V40" s="20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43">
        <f>IF(SUM(T$10:T38)=0,IF(COUNTA(T$10:T38)=0,"Очікую",0),IF(COUNTIF(T$10:T38,"&gt;=7")=0,0,COUNTIF(T$10:T38,"&gt;=7")/$D38*100))</f>
        <v/>
      </c>
      <c r="U41" s="6" t="n"/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IFERROR(AVERAGE(F40:T40),"Очікую")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IFERROR(AVERAGE($F41:T41),"Очікую")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52" t="n"/>
      <c r="S44" s="52" t="n"/>
      <c r="T44" s="52" t="n"/>
      <c r="U44" s="52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6" t="n"/>
      <c r="P45" s="54" t="inlineStr"/>
      <c r="Q45" s="54" t="n"/>
      <c r="R45" s="54" t="n"/>
      <c r="S45" s="54" t="n"/>
      <c r="T45" s="54" t="n"/>
      <c r="U45" s="54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6" t="n"/>
      <c r="P46" s="52" t="n"/>
      <c r="Q46" s="52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IF(F44="Очікую","Очікую",IF(F44-COUNTIF($U$10:$U38," - ")&lt;ROUNDDOWN(F44*0.4,0),F44-COUNTIF($U$10:$U38," - "),ROUNDDOWN(F44*0.4,0)))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>
        <is>
          <t>Margarita BRITIKOVA</t>
        </is>
      </c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5" t="n"/>
      <c r="W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38" t="n"/>
      <c r="V49" s="59" t="n"/>
      <c r="W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««Електрична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9">
        <f>'Загальна'!T11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9">
        <f>'Загальна'!T12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9">
        <f>'Загальна'!T14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9">
        <f>'Загальна'!T16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9">
        <f>'Загальна'!T17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9">
        <f>'Загальна'!T19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9">
        <f>'Загальна'!T20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9">
        <f>'Загальна'!T21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9">
        <f>'Загальна'!T22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9">
        <f>'Загальна'!T24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9">
        <f>'Загальна'!T28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9">
        <f>'Загальна'!T27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9">
        <f>'Загальна'!T29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9">
        <f>'Загальна'!T32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9">
        <f>'Загальна'!T36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9">
        <f>'Загальна'!T37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8">
        <f>IF(SUM(T$10:T26)=0,IF(COUNTA(T$10:T26)=0,"Очікую",0),SUM(T$10:T26)/$D26)</f>
        <v/>
      </c>
      <c r="U27" s="9">
        <f>IFERROR(AVERAGE($F27:T27),"Очікую")</f>
        <v/>
      </c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43">
        <f>IF(SUM(T$10:T26)=0,IF(COUNTA(T$10:T26)=0,"Очікую",0),IF(COUNTIF(T$10:T26,"&gt;=4")=0,0,COUNTIF(T$10:T26,"&gt;=4")/$D26*100))</f>
        <v/>
      </c>
      <c r="U28" s="6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43">
        <f>IF(SUM(T$10:T26)=0,IF(COUNTA(T$10:T26)=0,"Очікую",0),IF(COUNTIF(T$10:T26,"&gt;=7")=0,0,COUNTIF(T$10:T26,"&gt;=7")/$D26*100))</f>
        <v/>
      </c>
      <c r="U29" s="6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IFERROR(AVERAGE(F28:T28),"Очікую")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IFERROR(AVERAGE($F29:T29),"Очікую")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52" t="n"/>
      <c r="S32" s="52" t="n"/>
      <c r="T32" s="52" t="n"/>
      <c r="U32" s="52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55" t="n"/>
      <c r="M33" s="6" t="n"/>
      <c r="N33" s="6" t="n"/>
      <c r="O33" s="6" t="n"/>
      <c r="P33" s="56">
        <f>'Загальна'!P45</f>
        <v/>
      </c>
      <c r="Q33" s="54" t="n"/>
      <c r="R33" s="54" t="n"/>
      <c r="S33" s="54" t="n"/>
      <c r="T33" s="54" t="n"/>
      <c r="U33" s="54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55" t="n"/>
      <c r="M34" s="6" t="n"/>
      <c r="N34" s="6" t="n"/>
      <c r="O34" s="6" t="n"/>
      <c r="P34" s="56" t="n"/>
      <c r="Q34" s="52" t="n"/>
      <c r="R34" s="52" t="n"/>
      <c r="S34" s="52" t="n"/>
      <c r="T34" s="52" t="n"/>
      <c r="U34" s="52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IF(F32="Очікую","Очікую",IF(F32-COUNTIF($U$10:$U26," - ")&lt;ROUNDDOWN(F32*0.4,0),F32-COUNTIF($U$10:$U26,"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56" t="n"/>
      <c r="M35" s="6" t="n"/>
      <c r="N35" s="6" t="n"/>
      <c r="O35" s="6" t="n"/>
      <c r="P35" s="56" t="inlineStr">
        <is>
          <t>Margarita BRITIKOVA</t>
        </is>
      </c>
      <c r="Q35" s="54" t="n"/>
      <c r="R35" s="54" t="n"/>
      <c r="S35" s="54" t="n"/>
      <c r="T35" s="54" t="n"/>
      <c r="U35" s="54" t="n"/>
      <c r="V35" s="20" t="n"/>
      <c r="W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5" t="n"/>
      <c r="W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8" t="n"/>
      <c r="W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««Електроніка, електронні комунікації, приладобудування та радіотехніка»»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9">
        <f>'Загальна'!T23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9">
        <f>'Загальна'!T25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9">
        <f>'Загальна'!T30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9">
        <f>'Загальна'!T33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9">
        <f>'Загальна'!T34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9">
        <f>'Загальна'!T35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9">
        <f>'Загальна'!T38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8">
        <f>IF(SUM(T$10:T21)=0,IF(COUNTA(T$10:T21)=0,"Очікую",0),SUM(T$10:T21)/$D21)</f>
        <v/>
      </c>
      <c r="U22" s="9">
        <f>IFERROR(AVERAGE($F22:T22),"Очікую")</f>
        <v/>
      </c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43">
        <f>IF(SUM(T$10:T21)=0,IF(COUNTA(T$10:T21)=0,"Очікую",0),IF(COUNTIF(T$10:T21,"&gt;=4")=0,0,COUNTIF(T$10:T21,"&gt;=4")/$D21*100))</f>
        <v/>
      </c>
      <c r="U23" s="6" t="n"/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43">
        <f>IF(SUM(T$10:T21)=0,IF(COUNTA(T$10:T21)=0,"Очікую",0),IF(COUNTIF(T$10:T21,"&gt;=7")=0,0,COUNTIF(T$10:T21,"&gt;=7")/$D21*100))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IFERROR(AVERAGE(F23:T23),"Очікую")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52" t="n"/>
      <c r="S27" s="52" t="n"/>
      <c r="T27" s="52" t="n"/>
      <c r="U27" s="52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55" t="n"/>
      <c r="M28" s="6" t="n"/>
      <c r="N28" s="6" t="n"/>
      <c r="O28" s="6" t="n"/>
      <c r="P28" s="56">
        <f>'Загальна'!P45</f>
        <v/>
      </c>
      <c r="Q28" s="54" t="n"/>
      <c r="R28" s="54" t="n"/>
      <c r="S28" s="54" t="n"/>
      <c r="T28" s="54" t="n"/>
      <c r="U28" s="54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55" t="n"/>
      <c r="M29" s="6" t="n"/>
      <c r="N29" s="6" t="n"/>
      <c r="O29" s="6" t="n"/>
      <c r="P29" s="56" t="n"/>
      <c r="Q29" s="52" t="n"/>
      <c r="R29" s="52" t="n"/>
      <c r="S29" s="52" t="n"/>
      <c r="T29" s="52" t="n"/>
      <c r="U29" s="52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IF(F27="Очікую","Очікую",IF(F27-COUNTIF($U$10:$U21," - ")&lt;ROUNDDOWN(F27*0.4,0),F27-COUNTIF($U$10:$U21," - "),ROUNDDOWN(F27*0.4,0)))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56" t="n"/>
      <c r="M30" s="6" t="n"/>
      <c r="N30" s="6" t="n"/>
      <c r="O30" s="6" t="n"/>
      <c r="P30" s="56" t="inlineStr">
        <is>
          <t>Margarita BRITIKOVA</t>
        </is>
      </c>
      <c r="Q30" s="54" t="n"/>
      <c r="R30" s="54" t="n"/>
      <c r="S30" s="54" t="n"/>
      <c r="T30" s="54" t="n"/>
      <c r="U30" s="54" t="n"/>
      <c r="V30" s="20" t="n"/>
      <c r="W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5" t="n"/>
      <c r="W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8" t="n"/>
      <c r="W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2026-06-18T10:26:28Z</dcterms:modified>
  <cp:lastModifiedBy>Maxim Surkov</cp:lastModifiedBy>
  <cp:lastPrinted>2026-01-07T15:30:50Z</cp:lastPrinted>
</cp:coreProperties>
</file>