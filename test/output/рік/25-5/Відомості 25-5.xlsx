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G13" sheetId="2" state="visible" r:id="rId2"/>
    <sheet xmlns:r="http://schemas.openxmlformats.org/officeDocument/2006/relationships" name="Зведена J2" sheetId="3" state="visible" r:id="rId3"/>
    <sheet xmlns:r="http://schemas.openxmlformats.org/officeDocument/2006/relationships" name="Зведена J3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'Загальна'!$C$3:$T$49</definedName>
    <definedName name="A1048577" localSheetId="1">#REF!</definedName>
    <definedName name="Ф80" localSheetId="1">#REF!</definedName>
    <definedName name="_xlnm.Print_Area" localSheetId="1">'Зведена G13'!$C$3:$T$31</definedName>
    <definedName name="A1048577" localSheetId="2">#REF!</definedName>
    <definedName name="Ф80" localSheetId="2">#REF!</definedName>
    <definedName name="_xlnm.Print_Area" localSheetId="2">'Зведена J2'!$C$3:$T$31</definedName>
    <definedName name="A1048577" localSheetId="3">#REF!</definedName>
    <definedName name="Ф80" localSheetId="3">#REF!</definedName>
    <definedName name="_xlnm.Print_Area" localSheetId="3">'Зведена J3'!$C$3:$T$23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1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Пономарьов К.М.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Багнич Агата Валеріївна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Балабан Єлизавета Олексіївна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Басов Костянтин Юрійович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Білик Катерина Андріївна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Бойко Станіслав Володимирович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К</t>
        </is>
      </c>
      <c r="D15" s="47" t="n">
        <v>6</v>
      </c>
      <c r="E15" s="48" t="inlineStr">
        <is>
          <t>Бондаренко Олександр Вікторович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Вілейко Вікторія Віленівна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Голуб Вероніка Русланівна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Б</t>
        </is>
      </c>
      <c r="D18" s="47" t="n">
        <v>9</v>
      </c>
      <c r="E18" s="48" t="inlineStr">
        <is>
          <t>Гроза Вікторія Сергіївна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К</t>
        </is>
      </c>
      <c r="D19" s="47" t="n">
        <v>10</v>
      </c>
      <c r="E19" s="48" t="inlineStr">
        <is>
          <t>Гуділіна Олександра Олександрівна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Денисенко Ярослав Денисович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Змашко Дар`я Сергіївна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Ілющенко Марія Володимирівна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Кловак Анастасія Ярославівна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Кобелецька Ніколь Олегівна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К</t>
        </is>
      </c>
      <c r="D25" s="47" t="n">
        <v>16</v>
      </c>
      <c r="E25" s="48" t="inlineStr">
        <is>
          <t>Коцел Єгор Костянтинович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Крижньова Галина Олександрівна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Крівцова Анжеліка Олегівна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Кусенко Данило Сергійович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Місяць Олександра Миколаївна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Міхней Анна Олександрівна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Палій Маргарита Олександрівна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К</t>
        </is>
      </c>
      <c r="D32" s="47" t="n">
        <v>23</v>
      </c>
      <c r="E32" s="48" t="inlineStr">
        <is>
          <t>Померанцев Ілля Артурович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Саркісова Олена Сергіївна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Сумець Вероніка Сергіївна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Тітаренко Маргарита Олександрівна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Торкатюк Ілля Сергійович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Чернель Олександра Олегівна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Чомов Максим Андрійович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Шатілов Тимур Максимович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Б</t>
        </is>
      </c>
      <c r="D40" s="47" t="n">
        <v>31</v>
      </c>
      <c r="E40" s="48" t="inlineStr">
        <is>
          <t>Яковенко Крістіна Іванівна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Середній бал успішності з дисципліни</t>
        </is>
      </c>
      <c r="F41" s="8">
        <f>IF(SUM(F$10:F40)=0,IF(COUNTA(F$10:F40)=0,"Очікую",0),SUM(F$10:F40)/$D40)</f>
        <v/>
      </c>
      <c r="G41" s="8">
        <f>IF(SUM(G$10:G40)=0,IF(COUNTA(G$10:G40)=0,"Очікую",0),SUM(G$10:G40)/$D40)</f>
        <v/>
      </c>
      <c r="H41" s="8">
        <f>IF(SUM(H$10:H40)=0,IF(COUNTA(H$10:H40)=0,"Очікую",0),SUM(H$10:H40)/$D40)</f>
        <v/>
      </c>
      <c r="I41" s="8">
        <f>IF(SUM(I$10:I40)=0,IF(COUNTA(I$10:I40)=0,"Очікую",0),SUM(I$10:I40)/$D40)</f>
        <v/>
      </c>
      <c r="J41" s="8">
        <f>IF(SUM(J$10:J40)=0,IF(COUNTA(J$10:J40)=0,"Очікую",0),SUM(J$10:J40)/$D40)</f>
        <v/>
      </c>
      <c r="K41" s="8">
        <f>IF(SUM(K$10:K40)=0,IF(COUNTA(K$10:K40)=0,"Очікую",0),SUM(K$10:K40)/$D40)</f>
        <v/>
      </c>
      <c r="L41" s="8">
        <f>IF(SUM(L$10:L40)=0,IF(COUNTA(L$10:L40)=0,"Очікую",0),SUM(L$10:L40)/$D40)</f>
        <v/>
      </c>
      <c r="M41" s="8">
        <f>IF(SUM(M$10:M40)=0,IF(COUNTA(M$10:M40)=0,"Очікую",0),SUM(M$10:M40)/$D40)</f>
        <v/>
      </c>
      <c r="N41" s="8">
        <f>IF(SUM(N$10:N40)=0,IF(COUNTA(N$10:N40)=0,"Очікую",0),SUM(N$10:N40)/$D40)</f>
        <v/>
      </c>
      <c r="O41" s="8">
        <f>IF(SUM(O$10:O40)=0,IF(COUNTA(O$10:O40)=0,"Очікую",0),SUM(O$10:O40)/$D40)</f>
        <v/>
      </c>
      <c r="P41" s="8">
        <f>IF(SUM(P$10:P40)=0,IF(COUNTA(P$10:P40)=0,"Очікую",0),SUM(P$10:P40)/$D40)</f>
        <v/>
      </c>
      <c r="Q41" s="8">
        <f>IF(SUM(Q$10:Q40)=0,IF(COUNTA(Q$10:Q40)=0,"Очікую",0),SUM(Q$10:Q40)/$D40)</f>
        <v/>
      </c>
      <c r="R41" s="8">
        <f>IF(SUM(R$10:R40)=0,IF(COUNTA(R$10:R40)=0,"Очікую",0),SUM(R$10:R40)/$D40)</f>
        <v/>
      </c>
      <c r="S41" s="8">
        <f>IF(SUM(S$10:S40)=0,IF(COUNTA(S$10:S40)=0,"Очікую",0),SUM(S$10:S40)/$D40)</f>
        <v/>
      </c>
      <c r="T41" s="8">
        <f>IF(SUM(T$10:T40)=0,IF(COUNTA(T$10:T40)=0,"Очікую",0),SUM(T$10:T40)/$D40)</f>
        <v/>
      </c>
      <c r="U41" s="9">
        <f>IFERROR(AVERAGE($F41:T41),"Очікую")</f>
        <v/>
      </c>
      <c r="V41" s="20" t="n"/>
      <c r="W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Абсолютна успішність</t>
        </is>
      </c>
      <c r="F42" s="43">
        <f>IF(SUM(F$10:F40)=0,IF(COUNTA(F$10:F40)=0,"Очікую",0),IF(COUNTIF(F$10:F40,"&gt;=4")=0,0,COUNTIF(F$10:F40,"&gt;=4")/$D40*100))</f>
        <v/>
      </c>
      <c r="G42" s="43">
        <f>IF(SUM(G$10:G40)=0,IF(COUNTA(G$10:G40)=0,"Очікую",0),IF(COUNTIF(G$10:G40,"&gt;=4")=0,0,COUNTIF(G$10:G40,"&gt;=4")/$D40*100))</f>
        <v/>
      </c>
      <c r="H42" s="43">
        <f>IF(SUM(H$10:H40)=0,IF(COUNTA(H$10:H40)=0,"Очікую",0),IF(COUNTIF(H$10:H40,"&gt;=4")=0,0,COUNTIF(H$10:H40,"&gt;=4")/$D40*100))</f>
        <v/>
      </c>
      <c r="I42" s="43">
        <f>IF(SUM(I$10:I40)=0,IF(COUNTA(I$10:I40)=0,"Очікую",0),IF(COUNTIF(I$10:I40,"&gt;=4")=0,0,COUNTIF(I$10:I40,"&gt;=4")/$D40*100))</f>
        <v/>
      </c>
      <c r="J42" s="43">
        <f>IF(SUM(J$10:J40)=0,IF(COUNTA(J$10:J40)=0,"Очікую",0),IF(COUNTIF(J$10:J40,"&gt;=4")=0,0,COUNTIF(J$10:J40,"&gt;=4")/$D40*100))</f>
        <v/>
      </c>
      <c r="K42" s="43">
        <f>IF(SUM(K$10:K40)=0,IF(COUNTA(K$10:K40)=0,"Очікую",0),IF(COUNTIF(K$10:K40,"&gt;=4")=0,0,COUNTIF(K$10:K40,"&gt;=4")/$D40*100))</f>
        <v/>
      </c>
      <c r="L42" s="43">
        <f>IF(SUM(L$10:L40)=0,IF(COUNTA(L$10:L40)=0,"Очікую",0),IF(COUNTIF(L$10:L40,"&gt;=4")=0,0,COUNTIF(L$10:L40,"&gt;=4")/$D40*100))</f>
        <v/>
      </c>
      <c r="M42" s="43">
        <f>IF(SUM(M$10:M40)=0,IF(COUNTA(M$10:M40)=0,"Очікую",0),IF(COUNTIF(M$10:M40,"&gt;=4")=0,0,COUNTIF(M$10:M40,"&gt;=4")/$D40*100))</f>
        <v/>
      </c>
      <c r="N42" s="43">
        <f>IF(SUM(N$10:N40)=0,IF(COUNTA(N$10:N40)=0,"Очікую",0),IF(COUNTIF(N$10:N40,"&gt;=4")=0,0,COUNTIF(N$10:N40,"&gt;=4")/$D40*100))</f>
        <v/>
      </c>
      <c r="O42" s="43">
        <f>IF(SUM(O$10:O40)=0,IF(COUNTA(O$10:O40)=0,"Очікую",0),IF(COUNTIF(O$10:O40,"&gt;=4")=0,0,COUNTIF(O$10:O40,"&gt;=4")/$D40*100))</f>
        <v/>
      </c>
      <c r="P42" s="43">
        <f>IF(SUM(P$10:P40)=0,IF(COUNTA(P$10:P40)=0,"Очікую",0),IF(COUNTIF(P$10:P40,"&gt;=4")=0,0,COUNTIF(P$10:P40,"&gt;=4")/$D40*100))</f>
        <v/>
      </c>
      <c r="Q42" s="43">
        <f>IF(SUM(Q$10:Q40)=0,IF(COUNTA(Q$10:Q40)=0,"Очікую",0),IF(COUNTIF(Q$10:Q40,"&gt;=4")=0,0,COUNTIF(Q$10:Q40,"&gt;=4")/$D40*100))</f>
        <v/>
      </c>
      <c r="R42" s="43">
        <f>IF(SUM(R$10:R40)=0,IF(COUNTA(R$10:R40)=0,"Очікую",0),IF(COUNTIF(R$10:R40,"&gt;=4")=0,0,COUNTIF(R$10:R40,"&gt;=4")/$D40*100))</f>
        <v/>
      </c>
      <c r="S42" s="43">
        <f>IF(SUM(S$10:S40)=0,IF(COUNTA(S$10:S40)=0,"Очікую",0),IF(COUNTIF(S$10:S40,"&gt;=4")=0,0,COUNTIF(S$10:S40,"&gt;=4")/$D40*100))</f>
        <v/>
      </c>
      <c r="T42" s="43">
        <f>IF(SUM(T$10:T40)=0,IF(COUNTA(T$10:T40)=0,"Очікую",0),IF(COUNTIF(T$10:T40,"&gt;=4")=0,0,COUNTIF(T$10:T40,"&gt;=4")/$D40*100))</f>
        <v/>
      </c>
      <c r="U42" s="6" t="n"/>
      <c r="V42" s="20" t="n"/>
      <c r="W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Якісна успішність</t>
        </is>
      </c>
      <c r="F43" s="43">
        <f>IF(SUM(F$10:F40)=0,IF(COUNTA(F$10:F40)=0,"Очікую",0),IF(COUNTIF(F$10:F40,"&gt;=7")=0,0,COUNTIF(F$10:F40,"&gt;=7")/$D40*100))</f>
        <v/>
      </c>
      <c r="G43" s="43">
        <f>IF(SUM(G$10:G40)=0,IF(COUNTA(G$10:G40)=0,"Очікую",0),IF(COUNTIF(G$10:G40,"&gt;=7")=0,0,COUNTIF(G$10:G40,"&gt;=7")/$D40*100))</f>
        <v/>
      </c>
      <c r="H43" s="43">
        <f>IF(SUM(H$10:H40)=0,IF(COUNTA(H$10:H40)=0,"Очікую",0),IF(COUNTIF(H$10:H40,"&gt;=7")=0,0,COUNTIF(H$10:H40,"&gt;=7")/$D40*100))</f>
        <v/>
      </c>
      <c r="I43" s="43">
        <f>IF(SUM(I$10:I40)=0,IF(COUNTA(I$10:I40)=0,"Очікую",0),IF(COUNTIF(I$10:I40,"&gt;=7")=0,0,COUNTIF(I$10:I40,"&gt;=7")/$D40*100))</f>
        <v/>
      </c>
      <c r="J43" s="43">
        <f>IF(SUM(J$10:J40)=0,IF(COUNTA(J$10:J40)=0,"Очікую",0),IF(COUNTIF(J$10:J40,"&gt;=7")=0,0,COUNTIF(J$10:J40,"&gt;=7")/$D40*100))</f>
        <v/>
      </c>
      <c r="K43" s="43">
        <f>IF(SUM(K$10:K40)=0,IF(COUNTA(K$10:K40)=0,"Очікую",0),IF(COUNTIF(K$10:K40,"&gt;=7")=0,0,COUNTIF(K$10:K40,"&gt;=7")/$D40*100))</f>
        <v/>
      </c>
      <c r="L43" s="43">
        <f>IF(SUM(L$10:L40)=0,IF(COUNTA(L$10:L40)=0,"Очікую",0),IF(COUNTIF(L$10:L40,"&gt;=7")=0,0,COUNTIF(L$10:L40,"&gt;=7")/$D40*100))</f>
        <v/>
      </c>
      <c r="M43" s="43">
        <f>IF(SUM(M$10:M40)=0,IF(COUNTA(M$10:M40)=0,"Очікую",0),IF(COUNTIF(M$10:M40,"&gt;=7")=0,0,COUNTIF(M$10:M40,"&gt;=7")/$D40*100))</f>
        <v/>
      </c>
      <c r="N43" s="43">
        <f>IF(SUM(N$10:N40)=0,IF(COUNTA(N$10:N40)=0,"Очікую",0),IF(COUNTIF(N$10:N40,"&gt;=7")=0,0,COUNTIF(N$10:N40,"&gt;=7")/$D40*100))</f>
        <v/>
      </c>
      <c r="O43" s="43">
        <f>IF(SUM(O$10:O40)=0,IF(COUNTA(O$10:O40)=0,"Очікую",0),IF(COUNTIF(O$10:O40,"&gt;=7")=0,0,COUNTIF(O$10:O40,"&gt;=7")/$D40*100))</f>
        <v/>
      </c>
      <c r="P43" s="43">
        <f>IF(SUM(P$10:P40)=0,IF(COUNTA(P$10:P40)=0,"Очікую",0),IF(COUNTIF(P$10:P40,"&gt;=7")=0,0,COUNTIF(P$10:P40,"&gt;=7")/$D40*100))</f>
        <v/>
      </c>
      <c r="Q43" s="43">
        <f>IF(SUM(Q$10:Q40)=0,IF(COUNTA(Q$10:Q40)=0,"Очікую",0),IF(COUNTIF(Q$10:Q40,"&gt;=7")=0,0,COUNTIF(Q$10:Q40,"&gt;=7")/$D40*100))</f>
        <v/>
      </c>
      <c r="R43" s="43">
        <f>IF(SUM(R$10:R40)=0,IF(COUNTA(R$10:R40)=0,"Очікую",0),IF(COUNTIF(R$10:R40,"&gt;=7")=0,0,COUNTIF(R$10:R40,"&gt;=7")/$D40*100))</f>
        <v/>
      </c>
      <c r="S43" s="43">
        <f>IF(SUM(S$10:S40)=0,IF(COUNTA(S$10:S40)=0,"Очікую",0),IF(COUNTIF(S$10:S40,"&gt;=7")=0,0,COUNTIF(S$10:S40,"&gt;=7")/$D40*100))</f>
        <v/>
      </c>
      <c r="T43" s="43">
        <f>IF(SUM(T$10:T40)=0,IF(COUNTA(T$10:T40)=0,"Очікую",0),IF(COUNTIF(T$10:T40,"&gt;=7")=0,0,COUNTIF(T$10:T40,"&gt;=7")/$D40*100))</f>
        <v/>
      </c>
      <c r="U43" s="6" t="n"/>
      <c r="V43" s="20" t="n"/>
      <c r="W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Абсолютна успішність по групі</t>
        </is>
      </c>
      <c r="F44" s="8">
        <f>IFERROR(AVERAGE(F42:T42),"Очікую")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20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Якісна успішність по групі</t>
        </is>
      </c>
      <c r="F45" s="8">
        <f>IFERROR(AVERAGE($F43:T43),"Очікую")</f>
        <v/>
      </c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бюджетників</t>
        </is>
      </c>
      <c r="F46" s="63">
        <f>IF(COUNTIF($C$10:$C40,"=B")=0,IF(COUNTIF($C$10:$C40,"=K")=0,"Очікую",0),COUNTIF($C$10:$C40,"=B"))</f>
        <v/>
      </c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52" t="n"/>
      <c r="S46" s="52" t="n"/>
      <c r="T46" s="52" t="n"/>
      <c r="U46" s="52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Кількість контрактників</t>
        </is>
      </c>
      <c r="F47" s="63">
        <f>IF(COUNTIF($C$10:$C40,"=K")=0,IF(COUNTIF($C$10:$C40,"=B")=0,"Очікую",0),COUNTIF($C$10:$C40,"=K"))</f>
        <v/>
      </c>
      <c r="G47" s="6" t="n"/>
      <c r="H47" s="58" t="inlineStr">
        <is>
          <t>Класний керівник</t>
        </is>
      </c>
      <c r="I47" s="6" t="n"/>
      <c r="J47" s="6" t="n"/>
      <c r="K47" s="6" t="n"/>
      <c r="L47" s="6" t="n"/>
      <c r="M47" s="6" t="n"/>
      <c r="N47" s="6" t="n"/>
      <c r="O47" s="6" t="n"/>
      <c r="P47" s="54" t="inlineStr"/>
      <c r="Q47" s="54" t="n"/>
      <c r="R47" s="54" t="n"/>
      <c r="S47" s="54" t="n"/>
      <c r="T47" s="54" t="n"/>
      <c r="U47" s="54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Кількість соціального контингенту</t>
        </is>
      </c>
      <c r="F48" s="4" t="n"/>
      <c r="G48" s="6" t="n"/>
      <c r="H48" s="53" t="n"/>
      <c r="I48" s="6" t="n"/>
      <c r="J48" s="6" t="n"/>
      <c r="K48" s="6" t="n"/>
      <c r="L48" s="6" t="n"/>
      <c r="M48" s="6" t="n"/>
      <c r="N48" s="6" t="n"/>
      <c r="O48" s="6" t="n"/>
      <c r="P48" s="52" t="n"/>
      <c r="Q48" s="52" t="n"/>
      <c r="R48" s="52" t="n"/>
      <c r="S48" s="52" t="n"/>
      <c r="T48" s="52" t="n"/>
      <c r="U48" s="52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Вийшли на стипендію</t>
        </is>
      </c>
      <c r="F49" s="63">
        <f>IF(F46="Очікую","Очікую",IF(F46-COUNTIF($U$10:$U40," - ")&lt;ROUNDDOWN(F46*0.4,0),F46-COUNTIF($U$10:$U40," - "),ROUNDDOWN(F46*0.4,0)))</f>
        <v/>
      </c>
      <c r="G49" s="6" t="n"/>
      <c r="H49" s="54" t="inlineStr">
        <is>
          <t>Завідувач відділення ПЗСО</t>
        </is>
      </c>
      <c r="I49" s="6" t="n"/>
      <c r="J49" s="6" t="n"/>
      <c r="K49" s="6" t="n"/>
      <c r="L49" s="6" t="n"/>
      <c r="M49" s="6" t="n"/>
      <c r="N49" s="6" t="n"/>
      <c r="O49" s="6" t="n"/>
      <c r="P49" s="54" t="inlineStr">
        <is>
          <t>Margarita BRITIKOVA</t>
        </is>
      </c>
      <c r="Q49" s="54" t="n"/>
      <c r="R49" s="54" t="n"/>
      <c r="S49" s="54" t="n"/>
      <c r="T49" s="54" t="n"/>
      <c r="U49" s="54" t="n"/>
      <c r="V49" s="20" t="n"/>
      <c r="W49" s="39" t="n"/>
    </row>
    <row r="50" ht="15" customFormat="1" customHeight="1" s="11">
      <c r="A50" s="40" t="n"/>
      <c r="B50" s="21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5" t="n"/>
      <c r="W50" s="39" t="n"/>
    </row>
    <row r="51" ht="15" customFormat="1" customHeight="1" s="1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8" t="n"/>
      <c r="S51" s="38" t="n"/>
      <c r="T51" s="38" t="n"/>
      <c r="U51" s="38" t="n"/>
      <c r="V51" s="59" t="n"/>
      <c r="W51" s="39" t="n"/>
    </row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G13 ««Харчові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'Загальна'!C15</f>
        <v/>
      </c>
      <c r="D11" s="47" t="n">
        <v>2</v>
      </c>
      <c r="E11" s="48">
        <f>'Загальна'!E15</f>
        <v/>
      </c>
      <c r="F11" s="49">
        <f>'Загальна'!F15</f>
        <v/>
      </c>
      <c r="G11" s="49">
        <f>'Загальна'!G15</f>
        <v/>
      </c>
      <c r="H11" s="49">
        <f>'Загальна'!H15</f>
        <v/>
      </c>
      <c r="I11" s="49">
        <f>'Загальна'!I15</f>
        <v/>
      </c>
      <c r="J11" s="49">
        <f>'Загальна'!J15</f>
        <v/>
      </c>
      <c r="K11" s="49">
        <f>'Загальна'!K15</f>
        <v/>
      </c>
      <c r="L11" s="49">
        <f>'Загальна'!L15</f>
        <v/>
      </c>
      <c r="M11" s="49">
        <f>'Загальна'!M15</f>
        <v/>
      </c>
      <c r="N11" s="49">
        <f>'Загальна'!N15</f>
        <v/>
      </c>
      <c r="O11" s="49">
        <f>'Загальна'!O15</f>
        <v/>
      </c>
      <c r="P11" s="49">
        <f>'Загальна'!P15</f>
        <v/>
      </c>
      <c r="Q11" s="49">
        <f>'Загальна'!Q15</f>
        <v/>
      </c>
      <c r="R11" s="49">
        <f>'Загальна'!R15</f>
        <v/>
      </c>
      <c r="S11" s="49">
        <f>'Загальна'!S15</f>
        <v/>
      </c>
      <c r="T11" s="49">
        <f>'Загальна'!T15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'Загальна'!C17</f>
        <v/>
      </c>
      <c r="D12" s="47" t="n">
        <v>3</v>
      </c>
      <c r="E12" s="48">
        <f>'Загальна'!E17</f>
        <v/>
      </c>
      <c r="F12" s="49">
        <f>'Загальна'!F17</f>
        <v/>
      </c>
      <c r="G12" s="49">
        <f>'Загальна'!G17</f>
        <v/>
      </c>
      <c r="H12" s="49">
        <f>'Загальна'!H17</f>
        <v/>
      </c>
      <c r="I12" s="49">
        <f>'Загальна'!I17</f>
        <v/>
      </c>
      <c r="J12" s="49">
        <f>'Загальна'!J17</f>
        <v/>
      </c>
      <c r="K12" s="49">
        <f>'Загальна'!K17</f>
        <v/>
      </c>
      <c r="L12" s="49">
        <f>'Загальна'!L17</f>
        <v/>
      </c>
      <c r="M12" s="49">
        <f>'Загальна'!M17</f>
        <v/>
      </c>
      <c r="N12" s="49">
        <f>'Загальна'!N17</f>
        <v/>
      </c>
      <c r="O12" s="49">
        <f>'Загальна'!O17</f>
        <v/>
      </c>
      <c r="P12" s="49">
        <f>'Загальна'!P17</f>
        <v/>
      </c>
      <c r="Q12" s="49">
        <f>'Загальна'!Q17</f>
        <v/>
      </c>
      <c r="R12" s="49">
        <f>'Загальна'!R17</f>
        <v/>
      </c>
      <c r="S12" s="49">
        <f>'Загальна'!S17</f>
        <v/>
      </c>
      <c r="T12" s="49">
        <f>'Загальна'!T17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'Загальна'!C18</f>
        <v/>
      </c>
      <c r="D13" s="47" t="n">
        <v>4</v>
      </c>
      <c r="E13" s="48">
        <f>'Загальна'!E18</f>
        <v/>
      </c>
      <c r="F13" s="49">
        <f>'Загальна'!F18</f>
        <v/>
      </c>
      <c r="G13" s="49">
        <f>'Загальна'!G18</f>
        <v/>
      </c>
      <c r="H13" s="49">
        <f>'Загальна'!H18</f>
        <v/>
      </c>
      <c r="I13" s="49">
        <f>'Загальна'!I18</f>
        <v/>
      </c>
      <c r="J13" s="49">
        <f>'Загальна'!J18</f>
        <v/>
      </c>
      <c r="K13" s="49">
        <f>'Загальна'!K18</f>
        <v/>
      </c>
      <c r="L13" s="49">
        <f>'Загальна'!L18</f>
        <v/>
      </c>
      <c r="M13" s="49">
        <f>'Загальна'!M18</f>
        <v/>
      </c>
      <c r="N13" s="49">
        <f>'Загальна'!N18</f>
        <v/>
      </c>
      <c r="O13" s="49">
        <f>'Загальна'!O18</f>
        <v/>
      </c>
      <c r="P13" s="49">
        <f>'Загальна'!P18</f>
        <v/>
      </c>
      <c r="Q13" s="49">
        <f>'Загальна'!Q18</f>
        <v/>
      </c>
      <c r="R13" s="49">
        <f>'Загальна'!R18</f>
        <v/>
      </c>
      <c r="S13" s="49">
        <f>'Загальна'!S18</f>
        <v/>
      </c>
      <c r="T13" s="49">
        <f>'Загальна'!T18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'Загальна'!C20</f>
        <v/>
      </c>
      <c r="D14" s="47" t="n">
        <v>5</v>
      </c>
      <c r="E14" s="48">
        <f>'Загальна'!E20</f>
        <v/>
      </c>
      <c r="F14" s="49">
        <f>'Загальна'!F20</f>
        <v/>
      </c>
      <c r="G14" s="49">
        <f>'Загальна'!G20</f>
        <v/>
      </c>
      <c r="H14" s="49">
        <f>'Загальна'!H20</f>
        <v/>
      </c>
      <c r="I14" s="49">
        <f>'Загальна'!I20</f>
        <v/>
      </c>
      <c r="J14" s="49">
        <f>'Загальна'!J20</f>
        <v/>
      </c>
      <c r="K14" s="49">
        <f>'Загальна'!K20</f>
        <v/>
      </c>
      <c r="L14" s="49">
        <f>'Загальна'!L20</f>
        <v/>
      </c>
      <c r="M14" s="49">
        <f>'Загальна'!M20</f>
        <v/>
      </c>
      <c r="N14" s="49">
        <f>'Загальна'!N20</f>
        <v/>
      </c>
      <c r="O14" s="49">
        <f>'Загальна'!O20</f>
        <v/>
      </c>
      <c r="P14" s="49">
        <f>'Загальна'!P20</f>
        <v/>
      </c>
      <c r="Q14" s="49">
        <f>'Загальна'!Q20</f>
        <v/>
      </c>
      <c r="R14" s="49">
        <f>'Загальна'!R20</f>
        <v/>
      </c>
      <c r="S14" s="49">
        <f>'Загальна'!S20</f>
        <v/>
      </c>
      <c r="T14" s="49">
        <f>'Загальна'!T20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'Загальна'!C23</f>
        <v/>
      </c>
      <c r="D15" s="47" t="n">
        <v>6</v>
      </c>
      <c r="E15" s="48">
        <f>'Загальна'!E23</f>
        <v/>
      </c>
      <c r="F15" s="49">
        <f>'Загальна'!F23</f>
        <v/>
      </c>
      <c r="G15" s="49">
        <f>'Загальна'!G23</f>
        <v/>
      </c>
      <c r="H15" s="49">
        <f>'Загальна'!H23</f>
        <v/>
      </c>
      <c r="I15" s="49">
        <f>'Загальна'!I23</f>
        <v/>
      </c>
      <c r="J15" s="49">
        <f>'Загальна'!J23</f>
        <v/>
      </c>
      <c r="K15" s="49">
        <f>'Загальна'!K23</f>
        <v/>
      </c>
      <c r="L15" s="49">
        <f>'Загальна'!L23</f>
        <v/>
      </c>
      <c r="M15" s="49">
        <f>'Загальна'!M23</f>
        <v/>
      </c>
      <c r="N15" s="49">
        <f>'Загальна'!N23</f>
        <v/>
      </c>
      <c r="O15" s="49">
        <f>'Загальна'!O23</f>
        <v/>
      </c>
      <c r="P15" s="49">
        <f>'Загальна'!P23</f>
        <v/>
      </c>
      <c r="Q15" s="49">
        <f>'Загальна'!Q23</f>
        <v/>
      </c>
      <c r="R15" s="49">
        <f>'Загальна'!R23</f>
        <v/>
      </c>
      <c r="S15" s="49">
        <f>'Загальна'!S23</f>
        <v/>
      </c>
      <c r="T15" s="49">
        <f>'Загальна'!T23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'Загальна'!C25</f>
        <v/>
      </c>
      <c r="D16" s="47" t="n">
        <v>7</v>
      </c>
      <c r="E16" s="48">
        <f>'Загальна'!E25</f>
        <v/>
      </c>
      <c r="F16" s="49">
        <f>'Загальна'!F25</f>
        <v/>
      </c>
      <c r="G16" s="49">
        <f>'Загальна'!G25</f>
        <v/>
      </c>
      <c r="H16" s="49">
        <f>'Загальна'!H25</f>
        <v/>
      </c>
      <c r="I16" s="49">
        <f>'Загальна'!I25</f>
        <v/>
      </c>
      <c r="J16" s="49">
        <f>'Загальна'!J25</f>
        <v/>
      </c>
      <c r="K16" s="49">
        <f>'Загальна'!K25</f>
        <v/>
      </c>
      <c r="L16" s="49">
        <f>'Загальна'!L25</f>
        <v/>
      </c>
      <c r="M16" s="49">
        <f>'Загальна'!M25</f>
        <v/>
      </c>
      <c r="N16" s="49">
        <f>'Загальна'!N25</f>
        <v/>
      </c>
      <c r="O16" s="49">
        <f>'Загальна'!O25</f>
        <v/>
      </c>
      <c r="P16" s="49">
        <f>'Загальна'!P25</f>
        <v/>
      </c>
      <c r="Q16" s="49">
        <f>'Загальна'!Q25</f>
        <v/>
      </c>
      <c r="R16" s="49">
        <f>'Загальна'!R25</f>
        <v/>
      </c>
      <c r="S16" s="49">
        <f>'Загальна'!S25</f>
        <v/>
      </c>
      <c r="T16" s="49">
        <f>'Загальна'!T25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'Загальна'!C26</f>
        <v/>
      </c>
      <c r="D17" s="47" t="n">
        <v>8</v>
      </c>
      <c r="E17" s="48">
        <f>'Загальна'!E26</f>
        <v/>
      </c>
      <c r="F17" s="49">
        <f>'Загальна'!F26</f>
        <v/>
      </c>
      <c r="G17" s="49">
        <f>'Загальна'!G26</f>
        <v/>
      </c>
      <c r="H17" s="49">
        <f>'Загальна'!H26</f>
        <v/>
      </c>
      <c r="I17" s="49">
        <f>'Загальна'!I26</f>
        <v/>
      </c>
      <c r="J17" s="49">
        <f>'Загальна'!J26</f>
        <v/>
      </c>
      <c r="K17" s="49">
        <f>'Загальна'!K26</f>
        <v/>
      </c>
      <c r="L17" s="49">
        <f>'Загальна'!L26</f>
        <v/>
      </c>
      <c r="M17" s="49">
        <f>'Загальна'!M26</f>
        <v/>
      </c>
      <c r="N17" s="49">
        <f>'Загальна'!N26</f>
        <v/>
      </c>
      <c r="O17" s="49">
        <f>'Загальна'!O26</f>
        <v/>
      </c>
      <c r="P17" s="49">
        <f>'Загальна'!P26</f>
        <v/>
      </c>
      <c r="Q17" s="49">
        <f>'Загальна'!Q26</f>
        <v/>
      </c>
      <c r="R17" s="49">
        <f>'Загальна'!R26</f>
        <v/>
      </c>
      <c r="S17" s="49">
        <f>'Загальна'!S26</f>
        <v/>
      </c>
      <c r="T17" s="49">
        <f>'Загальна'!T26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'Загальна'!C27</f>
        <v/>
      </c>
      <c r="D18" s="47" t="n">
        <v>9</v>
      </c>
      <c r="E18" s="48">
        <f>'Загальна'!E27</f>
        <v/>
      </c>
      <c r="F18" s="49">
        <f>'Загальна'!F27</f>
        <v/>
      </c>
      <c r="G18" s="49">
        <f>'Загальна'!G27</f>
        <v/>
      </c>
      <c r="H18" s="49">
        <f>'Загальна'!H27</f>
        <v/>
      </c>
      <c r="I18" s="49">
        <f>'Загальна'!I27</f>
        <v/>
      </c>
      <c r="J18" s="49">
        <f>'Загальна'!J27</f>
        <v/>
      </c>
      <c r="K18" s="49">
        <f>'Загальна'!K27</f>
        <v/>
      </c>
      <c r="L18" s="49">
        <f>'Загальна'!L27</f>
        <v/>
      </c>
      <c r="M18" s="49">
        <f>'Загальна'!M27</f>
        <v/>
      </c>
      <c r="N18" s="49">
        <f>'Загальна'!N27</f>
        <v/>
      </c>
      <c r="O18" s="49">
        <f>'Загальна'!O27</f>
        <v/>
      </c>
      <c r="P18" s="49">
        <f>'Загальна'!P27</f>
        <v/>
      </c>
      <c r="Q18" s="49">
        <f>'Загальна'!Q27</f>
        <v/>
      </c>
      <c r="R18" s="49">
        <f>'Загальна'!R27</f>
        <v/>
      </c>
      <c r="S18" s="49">
        <f>'Загальна'!S27</f>
        <v/>
      </c>
      <c r="T18" s="49">
        <f>'Загальна'!T27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'Загальна'!C28</f>
        <v/>
      </c>
      <c r="D19" s="47" t="n">
        <v>10</v>
      </c>
      <c r="E19" s="48">
        <f>'Загальна'!E28</f>
        <v/>
      </c>
      <c r="F19" s="49">
        <f>'Загальна'!F28</f>
        <v/>
      </c>
      <c r="G19" s="49">
        <f>'Загальна'!G28</f>
        <v/>
      </c>
      <c r="H19" s="49">
        <f>'Загальна'!H28</f>
        <v/>
      </c>
      <c r="I19" s="49">
        <f>'Загальна'!I28</f>
        <v/>
      </c>
      <c r="J19" s="49">
        <f>'Загальна'!J28</f>
        <v/>
      </c>
      <c r="K19" s="49">
        <f>'Загальна'!K28</f>
        <v/>
      </c>
      <c r="L19" s="49">
        <f>'Загальна'!L28</f>
        <v/>
      </c>
      <c r="M19" s="49">
        <f>'Загальна'!M28</f>
        <v/>
      </c>
      <c r="N19" s="49">
        <f>'Загальна'!N28</f>
        <v/>
      </c>
      <c r="O19" s="49">
        <f>'Загальна'!O28</f>
        <v/>
      </c>
      <c r="P19" s="49">
        <f>'Загальна'!P28</f>
        <v/>
      </c>
      <c r="Q19" s="49">
        <f>'Загальна'!Q28</f>
        <v/>
      </c>
      <c r="R19" s="49">
        <f>'Загальна'!R28</f>
        <v/>
      </c>
      <c r="S19" s="49">
        <f>'Загальна'!S28</f>
        <v/>
      </c>
      <c r="T19" s="49">
        <f>'Загальна'!T28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'Загальна'!C29</f>
        <v/>
      </c>
      <c r="D20" s="47" t="n">
        <v>11</v>
      </c>
      <c r="E20" s="48">
        <f>'Загальна'!E29</f>
        <v/>
      </c>
      <c r="F20" s="49">
        <f>'Загальна'!F29</f>
        <v/>
      </c>
      <c r="G20" s="49">
        <f>'Загальна'!G29</f>
        <v/>
      </c>
      <c r="H20" s="49">
        <f>'Загальна'!H29</f>
        <v/>
      </c>
      <c r="I20" s="49">
        <f>'Загальна'!I29</f>
        <v/>
      </c>
      <c r="J20" s="49">
        <f>'Загальна'!J29</f>
        <v/>
      </c>
      <c r="K20" s="49">
        <f>'Загальна'!K29</f>
        <v/>
      </c>
      <c r="L20" s="49">
        <f>'Загальна'!L29</f>
        <v/>
      </c>
      <c r="M20" s="49">
        <f>'Загальна'!M29</f>
        <v/>
      </c>
      <c r="N20" s="49">
        <f>'Загальна'!N29</f>
        <v/>
      </c>
      <c r="O20" s="49">
        <f>'Загальна'!O29</f>
        <v/>
      </c>
      <c r="P20" s="49">
        <f>'Загальна'!P29</f>
        <v/>
      </c>
      <c r="Q20" s="49">
        <f>'Загальна'!Q29</f>
        <v/>
      </c>
      <c r="R20" s="49">
        <f>'Загальна'!R29</f>
        <v/>
      </c>
      <c r="S20" s="49">
        <f>'Загальна'!S29</f>
        <v/>
      </c>
      <c r="T20" s="49">
        <f>'Загальна'!T29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'Загальна'!C30</f>
        <v/>
      </c>
      <c r="D21" s="47" t="n">
        <v>12</v>
      </c>
      <c r="E21" s="48">
        <f>'Загальна'!E30</f>
        <v/>
      </c>
      <c r="F21" s="49">
        <f>'Загальна'!F30</f>
        <v/>
      </c>
      <c r="G21" s="49">
        <f>'Загальна'!G30</f>
        <v/>
      </c>
      <c r="H21" s="49">
        <f>'Загальна'!H30</f>
        <v/>
      </c>
      <c r="I21" s="49">
        <f>'Загальна'!I30</f>
        <v/>
      </c>
      <c r="J21" s="49">
        <f>'Загальна'!J30</f>
        <v/>
      </c>
      <c r="K21" s="49">
        <f>'Загальна'!K30</f>
        <v/>
      </c>
      <c r="L21" s="49">
        <f>'Загальна'!L30</f>
        <v/>
      </c>
      <c r="M21" s="49">
        <f>'Загальна'!M30</f>
        <v/>
      </c>
      <c r="N21" s="49">
        <f>'Загальна'!N30</f>
        <v/>
      </c>
      <c r="O21" s="49">
        <f>'Загальна'!O30</f>
        <v/>
      </c>
      <c r="P21" s="49">
        <f>'Загальна'!P30</f>
        <v/>
      </c>
      <c r="Q21" s="49">
        <f>'Загальна'!Q30</f>
        <v/>
      </c>
      <c r="R21" s="49">
        <f>'Загальна'!R30</f>
        <v/>
      </c>
      <c r="S21" s="49">
        <f>'Загальна'!S30</f>
        <v/>
      </c>
      <c r="T21" s="49">
        <f>'Загальна'!T30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'Загальна'!C33</f>
        <v/>
      </c>
      <c r="D22" s="47" t="n">
        <v>13</v>
      </c>
      <c r="E22" s="48">
        <f>'Загальна'!E33</f>
        <v/>
      </c>
      <c r="F22" s="49">
        <f>'Загальна'!F33</f>
        <v/>
      </c>
      <c r="G22" s="49">
        <f>'Загальна'!G33</f>
        <v/>
      </c>
      <c r="H22" s="49">
        <f>'Загальна'!H33</f>
        <v/>
      </c>
      <c r="I22" s="49">
        <f>'Загальна'!I33</f>
        <v/>
      </c>
      <c r="J22" s="49">
        <f>'Загальна'!J33</f>
        <v/>
      </c>
      <c r="K22" s="49">
        <f>'Загальна'!K33</f>
        <v/>
      </c>
      <c r="L22" s="49">
        <f>'Загальна'!L33</f>
        <v/>
      </c>
      <c r="M22" s="49">
        <f>'Загальна'!M33</f>
        <v/>
      </c>
      <c r="N22" s="49">
        <f>'Загальна'!N33</f>
        <v/>
      </c>
      <c r="O22" s="49">
        <f>'Загальна'!O33</f>
        <v/>
      </c>
      <c r="P22" s="49">
        <f>'Загальна'!P33</f>
        <v/>
      </c>
      <c r="Q22" s="49">
        <f>'Загальна'!Q33</f>
        <v/>
      </c>
      <c r="R22" s="49">
        <f>'Загальна'!R33</f>
        <v/>
      </c>
      <c r="S22" s="49">
        <f>'Загальна'!S33</f>
        <v/>
      </c>
      <c r="T22" s="49">
        <f>'Загальна'!T33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8">
        <f>IF(SUM(T$10:T22)=0,IF(COUNTA(T$10:T22)=0,"Очікую",0),SUM(T$10:T22)/$D22)</f>
        <v/>
      </c>
      <c r="U23" s="9">
        <f>IFERROR(AVERAGE($F23:T23),"Очікую")</f>
        <v/>
      </c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43">
        <f>IF(SUM(T$10:T22)=0,IF(COUNTA(T$10:T22)=0,"Очікую",0),IF(COUNTIF(T$10:T22,"&gt;=4")=0,0,COUNTIF(T$10:T22,"&gt;=4")/$D22*100))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43">
        <f>IF(SUM(T$10:T22)=0,IF(COUNTA(T$10:T22)=0,"Очікую",0),IF(COUNTIF(T$10:T22,"&gt;=7")=0,0,COUNTIF(T$10:T22,"&gt;=7")/$D22*100))</f>
        <v/>
      </c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IFERROR(AVERAGE($F25:T25),"Очікую")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52" t="n"/>
      <c r="S28" s="52" t="n"/>
      <c r="T28" s="52" t="n"/>
      <c r="U28" s="52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55" t="n"/>
      <c r="M29" s="6" t="n"/>
      <c r="N29" s="6" t="n"/>
      <c r="O29" s="6" t="n"/>
      <c r="P29" s="56">
        <f>'Загальна'!P47</f>
        <v/>
      </c>
      <c r="Q29" s="54" t="n"/>
      <c r="R29" s="54" t="n"/>
      <c r="S29" s="54" t="n"/>
      <c r="T29" s="54" t="n"/>
      <c r="U29" s="54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55" t="n"/>
      <c r="M30" s="6" t="n"/>
      <c r="N30" s="6" t="n"/>
      <c r="O30" s="6" t="n"/>
      <c r="P30" s="56" t="n"/>
      <c r="Q30" s="52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IF(F28="Очікую","Очікую",IF(F28-COUNTIF($U$10:$U22," - ")&lt;ROUNDDOWN(F28*0.4,0),F28-COUNTIF($U$10:$U22,"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56" t="n"/>
      <c r="M31" s="6" t="n"/>
      <c r="N31" s="6" t="n"/>
      <c r="O31" s="6" t="n"/>
      <c r="P31" s="56" t="inlineStr">
        <is>
          <t>Margarita BRITIKOVA</t>
        </is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5" t="n"/>
      <c r="W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J2 ««Готельно-ресторанна справа та кейтеринг»»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'Загальна'!C24</f>
        <v/>
      </c>
      <c r="D10" s="47" t="n">
        <v>1</v>
      </c>
      <c r="E10" s="48">
        <f>'Загальна'!E24</f>
        <v/>
      </c>
      <c r="F10" s="49">
        <f>'Загальна'!F24</f>
        <v/>
      </c>
      <c r="G10" s="49">
        <f>'Загальна'!G24</f>
        <v/>
      </c>
      <c r="H10" s="49">
        <f>'Загальна'!H24</f>
        <v/>
      </c>
      <c r="I10" s="49">
        <f>'Загальна'!I24</f>
        <v/>
      </c>
      <c r="J10" s="49">
        <f>'Загальна'!J24</f>
        <v/>
      </c>
      <c r="K10" s="49">
        <f>'Загальна'!K24</f>
        <v/>
      </c>
      <c r="L10" s="49">
        <f>'Загальна'!L24</f>
        <v/>
      </c>
      <c r="M10" s="49">
        <f>'Загальна'!M24</f>
        <v/>
      </c>
      <c r="N10" s="49">
        <f>'Загальна'!N24</f>
        <v/>
      </c>
      <c r="O10" s="49">
        <f>'Загальна'!O24</f>
        <v/>
      </c>
      <c r="P10" s="49">
        <f>'Загальна'!P24</f>
        <v/>
      </c>
      <c r="Q10" s="49">
        <f>'Загальна'!Q24</f>
        <v/>
      </c>
      <c r="R10" s="49">
        <f>'Загальна'!R24</f>
        <v/>
      </c>
      <c r="S10" s="49">
        <f>'Загальна'!S24</f>
        <v/>
      </c>
      <c r="T10" s="49">
        <f>'Загальна'!T24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'Загальна'!C37</f>
        <v/>
      </c>
      <c r="D11" s="47" t="n">
        <v>2</v>
      </c>
      <c r="E11" s="48">
        <f>'Загальна'!E37</f>
        <v/>
      </c>
      <c r="F11" s="49">
        <f>'Загальна'!F37</f>
        <v/>
      </c>
      <c r="G11" s="49">
        <f>'Загальна'!G37</f>
        <v/>
      </c>
      <c r="H11" s="49">
        <f>'Загальна'!H37</f>
        <v/>
      </c>
      <c r="I11" s="49">
        <f>'Загальна'!I37</f>
        <v/>
      </c>
      <c r="J11" s="49">
        <f>'Загальна'!J37</f>
        <v/>
      </c>
      <c r="K11" s="49">
        <f>'Загальна'!K37</f>
        <v/>
      </c>
      <c r="L11" s="49">
        <f>'Загальна'!L37</f>
        <v/>
      </c>
      <c r="M11" s="49">
        <f>'Загальна'!M37</f>
        <v/>
      </c>
      <c r="N11" s="49">
        <f>'Загальна'!N37</f>
        <v/>
      </c>
      <c r="O11" s="49">
        <f>'Загальна'!O37</f>
        <v/>
      </c>
      <c r="P11" s="49">
        <f>'Загальна'!P37</f>
        <v/>
      </c>
      <c r="Q11" s="49">
        <f>'Загальна'!Q37</f>
        <v/>
      </c>
      <c r="R11" s="49">
        <f>'Загальна'!R37</f>
        <v/>
      </c>
      <c r="S11" s="49">
        <f>'Загальна'!S37</f>
        <v/>
      </c>
      <c r="T11" s="49">
        <f>'Загальна'!T37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'Загальна'!C40</f>
        <v/>
      </c>
      <c r="D12" s="47" t="n">
        <v>3</v>
      </c>
      <c r="E12" s="48">
        <f>'Загальна'!E40</f>
        <v/>
      </c>
      <c r="F12" s="49">
        <f>'Загальна'!F40</f>
        <v/>
      </c>
      <c r="G12" s="49">
        <f>'Загальна'!G40</f>
        <v/>
      </c>
      <c r="H12" s="49">
        <f>'Загальна'!H40</f>
        <v/>
      </c>
      <c r="I12" s="49">
        <f>'Загальна'!I40</f>
        <v/>
      </c>
      <c r="J12" s="49">
        <f>'Загальна'!J40</f>
        <v/>
      </c>
      <c r="K12" s="49">
        <f>'Загальна'!K40</f>
        <v/>
      </c>
      <c r="L12" s="49">
        <f>'Загальна'!L40</f>
        <v/>
      </c>
      <c r="M12" s="49">
        <f>'Загальна'!M40</f>
        <v/>
      </c>
      <c r="N12" s="49">
        <f>'Загальна'!N40</f>
        <v/>
      </c>
      <c r="O12" s="49">
        <f>'Загальна'!O40</f>
        <v/>
      </c>
      <c r="P12" s="49">
        <f>'Загальна'!P40</f>
        <v/>
      </c>
      <c r="Q12" s="49">
        <f>'Загальна'!Q40</f>
        <v/>
      </c>
      <c r="R12" s="49">
        <f>'Загальна'!R40</f>
        <v/>
      </c>
      <c r="S12" s="49">
        <f>'Загальна'!S40</f>
        <v/>
      </c>
      <c r="T12" s="49">
        <f>'Загальна'!T40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'Загальна'!C10</f>
        <v/>
      </c>
      <c r="D13" s="47" t="n">
        <v>4</v>
      </c>
      <c r="E13" s="48">
        <f>'Загальна'!E10</f>
        <v/>
      </c>
      <c r="F13" s="49">
        <f>'Загальна'!F10</f>
        <v/>
      </c>
      <c r="G13" s="49">
        <f>'Загальна'!G10</f>
        <v/>
      </c>
      <c r="H13" s="49">
        <f>'Загальна'!H10</f>
        <v/>
      </c>
      <c r="I13" s="49">
        <f>'Загальна'!I10</f>
        <v/>
      </c>
      <c r="J13" s="49">
        <f>'Загальна'!J10</f>
        <v/>
      </c>
      <c r="K13" s="49">
        <f>'Загальна'!K10</f>
        <v/>
      </c>
      <c r="L13" s="49">
        <f>'Загальна'!L10</f>
        <v/>
      </c>
      <c r="M13" s="49">
        <f>'Загальна'!M10</f>
        <v/>
      </c>
      <c r="N13" s="49">
        <f>'Загальна'!N10</f>
        <v/>
      </c>
      <c r="O13" s="49">
        <f>'Загальна'!O10</f>
        <v/>
      </c>
      <c r="P13" s="49">
        <f>'Загальна'!P10</f>
        <v/>
      </c>
      <c r="Q13" s="49">
        <f>'Загальна'!Q10</f>
        <v/>
      </c>
      <c r="R13" s="49">
        <f>'Загальна'!R10</f>
        <v/>
      </c>
      <c r="S13" s="49">
        <f>'Загальна'!S10</f>
        <v/>
      </c>
      <c r="T13" s="49">
        <f>'Загальна'!T10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'Загальна'!C11</f>
        <v/>
      </c>
      <c r="D14" s="47" t="n">
        <v>5</v>
      </c>
      <c r="E14" s="48">
        <f>'Загальна'!E11</f>
        <v/>
      </c>
      <c r="F14" s="49">
        <f>'Загальна'!F11</f>
        <v/>
      </c>
      <c r="G14" s="49">
        <f>'Загальна'!G11</f>
        <v/>
      </c>
      <c r="H14" s="49">
        <f>'Загальна'!H11</f>
        <v/>
      </c>
      <c r="I14" s="49">
        <f>'Загальна'!I11</f>
        <v/>
      </c>
      <c r="J14" s="49">
        <f>'Загальна'!J11</f>
        <v/>
      </c>
      <c r="K14" s="49">
        <f>'Загальна'!K11</f>
        <v/>
      </c>
      <c r="L14" s="49">
        <f>'Загальна'!L11</f>
        <v/>
      </c>
      <c r="M14" s="49">
        <f>'Загальна'!M11</f>
        <v/>
      </c>
      <c r="N14" s="49">
        <f>'Загальна'!N11</f>
        <v/>
      </c>
      <c r="O14" s="49">
        <f>'Загальна'!O11</f>
        <v/>
      </c>
      <c r="P14" s="49">
        <f>'Загальна'!P11</f>
        <v/>
      </c>
      <c r="Q14" s="49">
        <f>'Загальна'!Q11</f>
        <v/>
      </c>
      <c r="R14" s="49">
        <f>'Загальна'!R11</f>
        <v/>
      </c>
      <c r="S14" s="49">
        <f>'Загальна'!S11</f>
        <v/>
      </c>
      <c r="T14" s="49">
        <f>'Загальна'!T11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'Загальна'!C12</f>
        <v/>
      </c>
      <c r="D15" s="47" t="n">
        <v>6</v>
      </c>
      <c r="E15" s="48">
        <f>'Загальна'!E12</f>
        <v/>
      </c>
      <c r="F15" s="49">
        <f>'Загальна'!F12</f>
        <v/>
      </c>
      <c r="G15" s="49">
        <f>'Загальна'!G12</f>
        <v/>
      </c>
      <c r="H15" s="49">
        <f>'Загальна'!H12</f>
        <v/>
      </c>
      <c r="I15" s="49">
        <f>'Загальна'!I12</f>
        <v/>
      </c>
      <c r="J15" s="49">
        <f>'Загальна'!J12</f>
        <v/>
      </c>
      <c r="K15" s="49">
        <f>'Загальна'!K12</f>
        <v/>
      </c>
      <c r="L15" s="49">
        <f>'Загальна'!L12</f>
        <v/>
      </c>
      <c r="M15" s="49">
        <f>'Загальна'!M12</f>
        <v/>
      </c>
      <c r="N15" s="49">
        <f>'Загальна'!N12</f>
        <v/>
      </c>
      <c r="O15" s="49">
        <f>'Загальна'!O12</f>
        <v/>
      </c>
      <c r="P15" s="49">
        <f>'Загальна'!P12</f>
        <v/>
      </c>
      <c r="Q15" s="49">
        <f>'Загальна'!Q12</f>
        <v/>
      </c>
      <c r="R15" s="49">
        <f>'Загальна'!R12</f>
        <v/>
      </c>
      <c r="S15" s="49">
        <f>'Загальна'!S12</f>
        <v/>
      </c>
      <c r="T15" s="49">
        <f>'Загальна'!T12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'Загальна'!C14</f>
        <v/>
      </c>
      <c r="D16" s="47" t="n">
        <v>7</v>
      </c>
      <c r="E16" s="48">
        <f>'Загальна'!E14</f>
        <v/>
      </c>
      <c r="F16" s="49">
        <f>'Загальна'!F14</f>
        <v/>
      </c>
      <c r="G16" s="49">
        <f>'Загальна'!G14</f>
        <v/>
      </c>
      <c r="H16" s="49">
        <f>'Загальна'!H14</f>
        <v/>
      </c>
      <c r="I16" s="49">
        <f>'Загальна'!I14</f>
        <v/>
      </c>
      <c r="J16" s="49">
        <f>'Загальна'!J14</f>
        <v/>
      </c>
      <c r="K16" s="49">
        <f>'Загальна'!K14</f>
        <v/>
      </c>
      <c r="L16" s="49">
        <f>'Загальна'!L14</f>
        <v/>
      </c>
      <c r="M16" s="49">
        <f>'Загальна'!M14</f>
        <v/>
      </c>
      <c r="N16" s="49">
        <f>'Загальна'!N14</f>
        <v/>
      </c>
      <c r="O16" s="49">
        <f>'Загальна'!O14</f>
        <v/>
      </c>
      <c r="P16" s="49">
        <f>'Загальна'!P14</f>
        <v/>
      </c>
      <c r="Q16" s="49">
        <f>'Загальна'!Q14</f>
        <v/>
      </c>
      <c r="R16" s="49">
        <f>'Загальна'!R14</f>
        <v/>
      </c>
      <c r="S16" s="49">
        <f>'Загальна'!S14</f>
        <v/>
      </c>
      <c r="T16" s="49">
        <f>'Загальна'!T14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'Загальна'!C21</f>
        <v/>
      </c>
      <c r="D17" s="47" t="n">
        <v>8</v>
      </c>
      <c r="E17" s="48">
        <f>'Загальна'!E21</f>
        <v/>
      </c>
      <c r="F17" s="49">
        <f>'Загальна'!F21</f>
        <v/>
      </c>
      <c r="G17" s="49">
        <f>'Загальна'!G21</f>
        <v/>
      </c>
      <c r="H17" s="49">
        <f>'Загальна'!H21</f>
        <v/>
      </c>
      <c r="I17" s="49">
        <f>'Загальна'!I21</f>
        <v/>
      </c>
      <c r="J17" s="49">
        <f>'Загальна'!J21</f>
        <v/>
      </c>
      <c r="K17" s="49">
        <f>'Загальна'!K21</f>
        <v/>
      </c>
      <c r="L17" s="49">
        <f>'Загальна'!L21</f>
        <v/>
      </c>
      <c r="M17" s="49">
        <f>'Загальна'!M21</f>
        <v/>
      </c>
      <c r="N17" s="49">
        <f>'Загальна'!N21</f>
        <v/>
      </c>
      <c r="O17" s="49">
        <f>'Загальна'!O21</f>
        <v/>
      </c>
      <c r="P17" s="49">
        <f>'Загальна'!P21</f>
        <v/>
      </c>
      <c r="Q17" s="49">
        <f>'Загальна'!Q21</f>
        <v/>
      </c>
      <c r="R17" s="49">
        <f>'Загальна'!R21</f>
        <v/>
      </c>
      <c r="S17" s="49">
        <f>'Загальна'!S21</f>
        <v/>
      </c>
      <c r="T17" s="49">
        <f>'Загальна'!T21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'Загальна'!C22</f>
        <v/>
      </c>
      <c r="D18" s="47" t="n">
        <v>9</v>
      </c>
      <c r="E18" s="48">
        <f>'Загальна'!E22</f>
        <v/>
      </c>
      <c r="F18" s="49">
        <f>'Загальна'!F22</f>
        <v/>
      </c>
      <c r="G18" s="49">
        <f>'Загальна'!G22</f>
        <v/>
      </c>
      <c r="H18" s="49">
        <f>'Загальна'!H22</f>
        <v/>
      </c>
      <c r="I18" s="49">
        <f>'Загальна'!I22</f>
        <v/>
      </c>
      <c r="J18" s="49">
        <f>'Загальна'!J22</f>
        <v/>
      </c>
      <c r="K18" s="49">
        <f>'Загальна'!K22</f>
        <v/>
      </c>
      <c r="L18" s="49">
        <f>'Загальна'!L22</f>
        <v/>
      </c>
      <c r="M18" s="49">
        <f>'Загальна'!M22</f>
        <v/>
      </c>
      <c r="N18" s="49">
        <f>'Загальна'!N22</f>
        <v/>
      </c>
      <c r="O18" s="49">
        <f>'Загальна'!O22</f>
        <v/>
      </c>
      <c r="P18" s="49">
        <f>'Загальна'!P22</f>
        <v/>
      </c>
      <c r="Q18" s="49">
        <f>'Загальна'!Q22</f>
        <v/>
      </c>
      <c r="R18" s="49">
        <f>'Загальна'!R22</f>
        <v/>
      </c>
      <c r="S18" s="49">
        <f>'Загальна'!S22</f>
        <v/>
      </c>
      <c r="T18" s="49">
        <f>'Загальна'!T22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'Загальна'!C31</f>
        <v/>
      </c>
      <c r="D19" s="47" t="n">
        <v>10</v>
      </c>
      <c r="E19" s="48">
        <f>'Загальна'!E31</f>
        <v/>
      </c>
      <c r="F19" s="49">
        <f>'Загальна'!F31</f>
        <v/>
      </c>
      <c r="G19" s="49">
        <f>'Загальна'!G31</f>
        <v/>
      </c>
      <c r="H19" s="49">
        <f>'Загальна'!H31</f>
        <v/>
      </c>
      <c r="I19" s="49">
        <f>'Загальна'!I31</f>
        <v/>
      </c>
      <c r="J19" s="49">
        <f>'Загальна'!J31</f>
        <v/>
      </c>
      <c r="K19" s="49">
        <f>'Загальна'!K31</f>
        <v/>
      </c>
      <c r="L19" s="49">
        <f>'Загальна'!L31</f>
        <v/>
      </c>
      <c r="M19" s="49">
        <f>'Загальна'!M31</f>
        <v/>
      </c>
      <c r="N19" s="49">
        <f>'Загальна'!N31</f>
        <v/>
      </c>
      <c r="O19" s="49">
        <f>'Загальна'!O31</f>
        <v/>
      </c>
      <c r="P19" s="49">
        <f>'Загальна'!P31</f>
        <v/>
      </c>
      <c r="Q19" s="49">
        <f>'Загальна'!Q31</f>
        <v/>
      </c>
      <c r="R19" s="49">
        <f>'Загальна'!R31</f>
        <v/>
      </c>
      <c r="S19" s="49">
        <f>'Загальна'!S31</f>
        <v/>
      </c>
      <c r="T19" s="49">
        <f>'Загальна'!T31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'Загальна'!C32</f>
        <v/>
      </c>
      <c r="D20" s="47" t="n">
        <v>11</v>
      </c>
      <c r="E20" s="48">
        <f>'Загальна'!E32</f>
        <v/>
      </c>
      <c r="F20" s="49">
        <f>'Загальна'!F32</f>
        <v/>
      </c>
      <c r="G20" s="49">
        <f>'Загальна'!G32</f>
        <v/>
      </c>
      <c r="H20" s="49">
        <f>'Загальна'!H32</f>
        <v/>
      </c>
      <c r="I20" s="49">
        <f>'Загальна'!I32</f>
        <v/>
      </c>
      <c r="J20" s="49">
        <f>'Загальна'!J32</f>
        <v/>
      </c>
      <c r="K20" s="49">
        <f>'Загальна'!K32</f>
        <v/>
      </c>
      <c r="L20" s="49">
        <f>'Загальна'!L32</f>
        <v/>
      </c>
      <c r="M20" s="49">
        <f>'Загальна'!M32</f>
        <v/>
      </c>
      <c r="N20" s="49">
        <f>'Загальна'!N32</f>
        <v/>
      </c>
      <c r="O20" s="49">
        <f>'Загальна'!O32</f>
        <v/>
      </c>
      <c r="P20" s="49">
        <f>'Загальна'!P32</f>
        <v/>
      </c>
      <c r="Q20" s="49">
        <f>'Загальна'!Q32</f>
        <v/>
      </c>
      <c r="R20" s="49">
        <f>'Загальна'!R32</f>
        <v/>
      </c>
      <c r="S20" s="49">
        <f>'Загальна'!S32</f>
        <v/>
      </c>
      <c r="T20" s="49">
        <f>'Загальна'!T32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'Загальна'!C36</f>
        <v/>
      </c>
      <c r="D21" s="47" t="n">
        <v>12</v>
      </c>
      <c r="E21" s="48">
        <f>'Загальна'!E36</f>
        <v/>
      </c>
      <c r="F21" s="49">
        <f>'Загальна'!F36</f>
        <v/>
      </c>
      <c r="G21" s="49">
        <f>'Загальна'!G36</f>
        <v/>
      </c>
      <c r="H21" s="49">
        <f>'Загальна'!H36</f>
        <v/>
      </c>
      <c r="I21" s="49">
        <f>'Загальна'!I36</f>
        <v/>
      </c>
      <c r="J21" s="49">
        <f>'Загальна'!J36</f>
        <v/>
      </c>
      <c r="K21" s="49">
        <f>'Загальна'!K36</f>
        <v/>
      </c>
      <c r="L21" s="49">
        <f>'Загальна'!L36</f>
        <v/>
      </c>
      <c r="M21" s="49">
        <f>'Загальна'!M36</f>
        <v/>
      </c>
      <c r="N21" s="49">
        <f>'Загальна'!N36</f>
        <v/>
      </c>
      <c r="O21" s="49">
        <f>'Загальна'!O36</f>
        <v/>
      </c>
      <c r="P21" s="49">
        <f>'Загальна'!P36</f>
        <v/>
      </c>
      <c r="Q21" s="49">
        <f>'Загальна'!Q36</f>
        <v/>
      </c>
      <c r="R21" s="49">
        <f>'Загальна'!R36</f>
        <v/>
      </c>
      <c r="S21" s="49">
        <f>'Загальна'!S36</f>
        <v/>
      </c>
      <c r="T21" s="49">
        <f>'Загальна'!T36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'Загальна'!C38</f>
        <v/>
      </c>
      <c r="D22" s="47" t="n">
        <v>13</v>
      </c>
      <c r="E22" s="48">
        <f>'Загальна'!E38</f>
        <v/>
      </c>
      <c r="F22" s="49">
        <f>'Загальна'!F38</f>
        <v/>
      </c>
      <c r="G22" s="49">
        <f>'Загальна'!G38</f>
        <v/>
      </c>
      <c r="H22" s="49">
        <f>'Загальна'!H38</f>
        <v/>
      </c>
      <c r="I22" s="49">
        <f>'Загальна'!I38</f>
        <v/>
      </c>
      <c r="J22" s="49">
        <f>'Загальна'!J38</f>
        <v/>
      </c>
      <c r="K22" s="49">
        <f>'Загальна'!K38</f>
        <v/>
      </c>
      <c r="L22" s="49">
        <f>'Загальна'!L38</f>
        <v/>
      </c>
      <c r="M22" s="49">
        <f>'Загальна'!M38</f>
        <v/>
      </c>
      <c r="N22" s="49">
        <f>'Загальна'!N38</f>
        <v/>
      </c>
      <c r="O22" s="49">
        <f>'Загальна'!O38</f>
        <v/>
      </c>
      <c r="P22" s="49">
        <f>'Загальна'!P38</f>
        <v/>
      </c>
      <c r="Q22" s="49">
        <f>'Загальна'!Q38</f>
        <v/>
      </c>
      <c r="R22" s="49">
        <f>'Загальна'!R38</f>
        <v/>
      </c>
      <c r="S22" s="49">
        <f>'Загальна'!S38</f>
        <v/>
      </c>
      <c r="T22" s="49">
        <f>'Загальна'!T38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8">
        <f>IF(SUM(T$10:T22)=0,IF(COUNTA(T$10:T22)=0,"Очікую",0),SUM(T$10:T22)/$D22)</f>
        <v/>
      </c>
      <c r="U23" s="9">
        <f>IFERROR(AVERAGE($F23:T23),"Очікую")</f>
        <v/>
      </c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43">
        <f>IF(SUM(T$10:T22)=0,IF(COUNTA(T$10:T22)=0,"Очікую",0),IF(COUNTIF(T$10:T22,"&gt;=4")=0,0,COUNTIF(T$10:T22,"&gt;=4")/$D22*100))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43">
        <f>IF(SUM(T$10:T22)=0,IF(COUNTA(T$10:T22)=0,"Очікую",0),IF(COUNTIF(T$10:T22,"&gt;=7")=0,0,COUNTIF(T$10:T22,"&gt;=7")/$D22*100))</f>
        <v/>
      </c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IFERROR(AVERAGE($F25:T25),"Очікую")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52" t="n"/>
      <c r="S28" s="52" t="n"/>
      <c r="T28" s="52" t="n"/>
      <c r="U28" s="52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55" t="n"/>
      <c r="M29" s="6" t="n"/>
      <c r="N29" s="6" t="n"/>
      <c r="O29" s="6" t="n"/>
      <c r="P29" s="56">
        <f>'Загальна'!P47</f>
        <v/>
      </c>
      <c r="Q29" s="54" t="n"/>
      <c r="R29" s="54" t="n"/>
      <c r="S29" s="54" t="n"/>
      <c r="T29" s="54" t="n"/>
      <c r="U29" s="54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55" t="n"/>
      <c r="M30" s="6" t="n"/>
      <c r="N30" s="6" t="n"/>
      <c r="O30" s="6" t="n"/>
      <c r="P30" s="56" t="n"/>
      <c r="Q30" s="52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IF(F28="Очікую","Очікую",IF(F28-COUNTIF($U$10:$U22," - ")&lt;ROUNDDOWN(F28*0.4,0),F28-COUNTIF($U$10:$U22,"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56" t="n"/>
      <c r="M31" s="6" t="n"/>
      <c r="N31" s="6" t="n"/>
      <c r="O31" s="6" t="n"/>
      <c r="P31" s="56" t="inlineStr">
        <is>
          <t>Margarita BRITIKOVA</t>
        </is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5" t="n"/>
      <c r="W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5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J3 ««Туризм та рекреація»»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'Загальна'!C16</f>
        <v/>
      </c>
      <c r="D10" s="47" t="n">
        <v>1</v>
      </c>
      <c r="E10" s="48">
        <f>'Загальна'!E16</f>
        <v/>
      </c>
      <c r="F10" s="49">
        <f>'Загальна'!F16</f>
        <v/>
      </c>
      <c r="G10" s="49">
        <f>'Загальна'!G16</f>
        <v/>
      </c>
      <c r="H10" s="49">
        <f>'Загальна'!H16</f>
        <v/>
      </c>
      <c r="I10" s="49">
        <f>'Загальна'!I16</f>
        <v/>
      </c>
      <c r="J10" s="49">
        <f>'Загальна'!J16</f>
        <v/>
      </c>
      <c r="K10" s="49">
        <f>'Загальна'!K16</f>
        <v/>
      </c>
      <c r="L10" s="49">
        <f>'Загальна'!L16</f>
        <v/>
      </c>
      <c r="M10" s="49">
        <f>'Загальна'!M16</f>
        <v/>
      </c>
      <c r="N10" s="49">
        <f>'Загальна'!N16</f>
        <v/>
      </c>
      <c r="O10" s="49">
        <f>'Загальна'!O16</f>
        <v/>
      </c>
      <c r="P10" s="49">
        <f>'Загальна'!P16</f>
        <v/>
      </c>
      <c r="Q10" s="49">
        <f>'Загальна'!Q16</f>
        <v/>
      </c>
      <c r="R10" s="49">
        <f>'Загальна'!R16</f>
        <v/>
      </c>
      <c r="S10" s="49">
        <f>'Загальна'!S16</f>
        <v/>
      </c>
      <c r="T10" s="49">
        <f>'Загальна'!T16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'Загальна'!C19</f>
        <v/>
      </c>
      <c r="D11" s="47" t="n">
        <v>2</v>
      </c>
      <c r="E11" s="48">
        <f>'Загальна'!E19</f>
        <v/>
      </c>
      <c r="F11" s="49">
        <f>'Загальна'!F19</f>
        <v/>
      </c>
      <c r="G11" s="49">
        <f>'Загальна'!G19</f>
        <v/>
      </c>
      <c r="H11" s="49">
        <f>'Загальна'!H19</f>
        <v/>
      </c>
      <c r="I11" s="49">
        <f>'Загальна'!I19</f>
        <v/>
      </c>
      <c r="J11" s="49">
        <f>'Загальна'!J19</f>
        <v/>
      </c>
      <c r="K11" s="49">
        <f>'Загальна'!K19</f>
        <v/>
      </c>
      <c r="L11" s="49">
        <f>'Загальна'!L19</f>
        <v/>
      </c>
      <c r="M11" s="49">
        <f>'Загальна'!M19</f>
        <v/>
      </c>
      <c r="N11" s="49">
        <f>'Загальна'!N19</f>
        <v/>
      </c>
      <c r="O11" s="49">
        <f>'Загальна'!O19</f>
        <v/>
      </c>
      <c r="P11" s="49">
        <f>'Загальна'!P19</f>
        <v/>
      </c>
      <c r="Q11" s="49">
        <f>'Загальна'!Q19</f>
        <v/>
      </c>
      <c r="R11" s="49">
        <f>'Загальна'!R19</f>
        <v/>
      </c>
      <c r="S11" s="49">
        <f>'Загальна'!S19</f>
        <v/>
      </c>
      <c r="T11" s="49">
        <f>'Загальна'!T19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'Загальна'!C34</f>
        <v/>
      </c>
      <c r="D12" s="47" t="n">
        <v>3</v>
      </c>
      <c r="E12" s="48">
        <f>'Загальна'!E34</f>
        <v/>
      </c>
      <c r="F12" s="49">
        <f>'Загальна'!F34</f>
        <v/>
      </c>
      <c r="G12" s="49">
        <f>'Загальна'!G34</f>
        <v/>
      </c>
      <c r="H12" s="49">
        <f>'Загальна'!H34</f>
        <v/>
      </c>
      <c r="I12" s="49">
        <f>'Загальна'!I34</f>
        <v/>
      </c>
      <c r="J12" s="49">
        <f>'Загальна'!J34</f>
        <v/>
      </c>
      <c r="K12" s="49">
        <f>'Загальна'!K34</f>
        <v/>
      </c>
      <c r="L12" s="49">
        <f>'Загальна'!L34</f>
        <v/>
      </c>
      <c r="M12" s="49">
        <f>'Загальна'!M34</f>
        <v/>
      </c>
      <c r="N12" s="49">
        <f>'Загальна'!N34</f>
        <v/>
      </c>
      <c r="O12" s="49">
        <f>'Загальна'!O34</f>
        <v/>
      </c>
      <c r="P12" s="49">
        <f>'Загальна'!P34</f>
        <v/>
      </c>
      <c r="Q12" s="49">
        <f>'Загальна'!Q34</f>
        <v/>
      </c>
      <c r="R12" s="49">
        <f>'Загальна'!R34</f>
        <v/>
      </c>
      <c r="S12" s="49">
        <f>'Загальна'!S34</f>
        <v/>
      </c>
      <c r="T12" s="49">
        <f>'Загальна'!T34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'Загальна'!C35</f>
        <v/>
      </c>
      <c r="D13" s="47" t="n">
        <v>4</v>
      </c>
      <c r="E13" s="48">
        <f>'Загальна'!E35</f>
        <v/>
      </c>
      <c r="F13" s="49">
        <f>'Загальна'!F35</f>
        <v/>
      </c>
      <c r="G13" s="49">
        <f>'Загальна'!G35</f>
        <v/>
      </c>
      <c r="H13" s="49">
        <f>'Загальна'!H35</f>
        <v/>
      </c>
      <c r="I13" s="49">
        <f>'Загальна'!I35</f>
        <v/>
      </c>
      <c r="J13" s="49">
        <f>'Загальна'!J35</f>
        <v/>
      </c>
      <c r="K13" s="49">
        <f>'Загальна'!K35</f>
        <v/>
      </c>
      <c r="L13" s="49">
        <f>'Загальна'!L35</f>
        <v/>
      </c>
      <c r="M13" s="49">
        <f>'Загальна'!M35</f>
        <v/>
      </c>
      <c r="N13" s="49">
        <f>'Загальна'!N35</f>
        <v/>
      </c>
      <c r="O13" s="49">
        <f>'Загальна'!O35</f>
        <v/>
      </c>
      <c r="P13" s="49">
        <f>'Загальна'!P35</f>
        <v/>
      </c>
      <c r="Q13" s="49">
        <f>'Загальна'!Q35</f>
        <v/>
      </c>
      <c r="R13" s="49">
        <f>'Загальна'!R35</f>
        <v/>
      </c>
      <c r="S13" s="49">
        <f>'Загальна'!S35</f>
        <v/>
      </c>
      <c r="T13" s="49">
        <f>'Загальна'!T35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'Загальна'!C39</f>
        <v/>
      </c>
      <c r="D14" s="47" t="n">
        <v>5</v>
      </c>
      <c r="E14" s="48">
        <f>'Загальна'!E39</f>
        <v/>
      </c>
      <c r="F14" s="49">
        <f>'Загальна'!F39</f>
        <v/>
      </c>
      <c r="G14" s="49">
        <f>'Загальна'!G39</f>
        <v/>
      </c>
      <c r="H14" s="49">
        <f>'Загальна'!H39</f>
        <v/>
      </c>
      <c r="I14" s="49">
        <f>'Загальна'!I39</f>
        <v/>
      </c>
      <c r="J14" s="49">
        <f>'Загальна'!J39</f>
        <v/>
      </c>
      <c r="K14" s="49">
        <f>'Загальна'!K39</f>
        <v/>
      </c>
      <c r="L14" s="49">
        <f>'Загальна'!L39</f>
        <v/>
      </c>
      <c r="M14" s="49">
        <f>'Загальна'!M39</f>
        <v/>
      </c>
      <c r="N14" s="49">
        <f>'Загальна'!N39</f>
        <v/>
      </c>
      <c r="O14" s="49">
        <f>'Загальна'!O39</f>
        <v/>
      </c>
      <c r="P14" s="49">
        <f>'Загальна'!P39</f>
        <v/>
      </c>
      <c r="Q14" s="49">
        <f>'Загальна'!Q39</f>
        <v/>
      </c>
      <c r="R14" s="49">
        <f>'Загальна'!R39</f>
        <v/>
      </c>
      <c r="S14" s="49">
        <f>'Загальна'!S39</f>
        <v/>
      </c>
      <c r="T14" s="49">
        <f>'Загальна'!T39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Середній бал успішності з дисципліни</t>
        </is>
      </c>
      <c r="F15" s="8">
        <f>IF(SUM(F$10:F14)=0,IF(COUNTA(F$10:F14)=0,"Очікую",0),SUM(F$10:F14)/$D14)</f>
        <v/>
      </c>
      <c r="G15" s="8">
        <f>IF(SUM(G$10:G14)=0,IF(COUNTA(G$10:G14)=0,"Очікую",0),SUM(G$10:G14)/$D14)</f>
        <v/>
      </c>
      <c r="H15" s="8">
        <f>IF(SUM(H$10:H14)=0,IF(COUNTA(H$10:H14)=0,"Очікую",0),SUM(H$10:H14)/$D14)</f>
        <v/>
      </c>
      <c r="I15" s="8">
        <f>IF(SUM(I$10:I14)=0,IF(COUNTA(I$10:I14)=0,"Очікую",0),SUM(I$10:I14)/$D14)</f>
        <v/>
      </c>
      <c r="J15" s="8">
        <f>IF(SUM(J$10:J14)=0,IF(COUNTA(J$10:J14)=0,"Очікую",0),SUM(J$10:J14)/$D14)</f>
        <v/>
      </c>
      <c r="K15" s="8">
        <f>IF(SUM(K$10:K14)=0,IF(COUNTA(K$10:K14)=0,"Очікую",0),SUM(K$10:K14)/$D14)</f>
        <v/>
      </c>
      <c r="L15" s="8">
        <f>IF(SUM(L$10:L14)=0,IF(COUNTA(L$10:L14)=0,"Очікую",0),SUM(L$10:L14)/$D14)</f>
        <v/>
      </c>
      <c r="M15" s="8">
        <f>IF(SUM(M$10:M14)=0,IF(COUNTA(M$10:M14)=0,"Очікую",0),SUM(M$10:M14)/$D14)</f>
        <v/>
      </c>
      <c r="N15" s="8">
        <f>IF(SUM(N$10:N14)=0,IF(COUNTA(N$10:N14)=0,"Очікую",0),SUM(N$10:N14)/$D14)</f>
        <v/>
      </c>
      <c r="O15" s="8">
        <f>IF(SUM(O$10:O14)=0,IF(COUNTA(O$10:O14)=0,"Очікую",0),SUM(O$10:O14)/$D14)</f>
        <v/>
      </c>
      <c r="P15" s="8">
        <f>IF(SUM(P$10:P14)=0,IF(COUNTA(P$10:P14)=0,"Очікую",0),SUM(P$10:P14)/$D14)</f>
        <v/>
      </c>
      <c r="Q15" s="8">
        <f>IF(SUM(Q$10:Q14)=0,IF(COUNTA(Q$10:Q14)=0,"Очікую",0),SUM(Q$10:Q14)/$D14)</f>
        <v/>
      </c>
      <c r="R15" s="8">
        <f>IF(SUM(R$10:R14)=0,IF(COUNTA(R$10:R14)=0,"Очікую",0),SUM(R$10:R14)/$D14)</f>
        <v/>
      </c>
      <c r="S15" s="8">
        <f>IF(SUM(S$10:S14)=0,IF(COUNTA(S$10:S14)=0,"Очікую",0),SUM(S$10:S14)/$D14)</f>
        <v/>
      </c>
      <c r="T15" s="8">
        <f>IF(SUM(T$10:T14)=0,IF(COUNTA(T$10:T14)=0,"Очікую",0),SUM(T$10:T14)/$D14)</f>
        <v/>
      </c>
      <c r="U15" s="9">
        <f>IFERROR(AVERAGE($F15:T15),"Очікую")</f>
        <v/>
      </c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Абсолютна успішність</t>
        </is>
      </c>
      <c r="F16" s="43">
        <f>IF(SUM(F$10:F14)=0,IF(COUNTA(F$10:F14)=0,"Очікую",0),IF(COUNTIF(F$10:F14,"&gt;=4")=0,0,COUNTIF(F$10:F14,"&gt;=4")/$D14*100))</f>
        <v/>
      </c>
      <c r="G16" s="43">
        <f>IF(SUM(G$10:G14)=0,IF(COUNTA(G$10:G14)=0,"Очікую",0),IF(COUNTIF(G$10:G14,"&gt;=4")=0,0,COUNTIF(G$10:G14,"&gt;=4")/$D14*100))</f>
        <v/>
      </c>
      <c r="H16" s="43">
        <f>IF(SUM(H$10:H14)=0,IF(COUNTA(H$10:H14)=0,"Очікую",0),IF(COUNTIF(H$10:H14,"&gt;=4")=0,0,COUNTIF(H$10:H14,"&gt;=4")/$D14*100))</f>
        <v/>
      </c>
      <c r="I16" s="43">
        <f>IF(SUM(I$10:I14)=0,IF(COUNTA(I$10:I14)=0,"Очікую",0),IF(COUNTIF(I$10:I14,"&gt;=4")=0,0,COUNTIF(I$10:I14,"&gt;=4")/$D14*100))</f>
        <v/>
      </c>
      <c r="J16" s="43">
        <f>IF(SUM(J$10:J14)=0,IF(COUNTA(J$10:J14)=0,"Очікую",0),IF(COUNTIF(J$10:J14,"&gt;=4")=0,0,COUNTIF(J$10:J14,"&gt;=4")/$D14*100))</f>
        <v/>
      </c>
      <c r="K16" s="43">
        <f>IF(SUM(K$10:K14)=0,IF(COUNTA(K$10:K14)=0,"Очікую",0),IF(COUNTIF(K$10:K14,"&gt;=4")=0,0,COUNTIF(K$10:K14,"&gt;=4")/$D14*100))</f>
        <v/>
      </c>
      <c r="L16" s="43">
        <f>IF(SUM(L$10:L14)=0,IF(COUNTA(L$10:L14)=0,"Очікую",0),IF(COUNTIF(L$10:L14,"&gt;=4")=0,0,COUNTIF(L$10:L14,"&gt;=4")/$D14*100))</f>
        <v/>
      </c>
      <c r="M16" s="43">
        <f>IF(SUM(M$10:M14)=0,IF(COUNTA(M$10:M14)=0,"Очікую",0),IF(COUNTIF(M$10:M14,"&gt;=4")=0,0,COUNTIF(M$10:M14,"&gt;=4")/$D14*100))</f>
        <v/>
      </c>
      <c r="N16" s="43">
        <f>IF(SUM(N$10:N14)=0,IF(COUNTA(N$10:N14)=0,"Очікую",0),IF(COUNTIF(N$10:N14,"&gt;=4")=0,0,COUNTIF(N$10:N14,"&gt;=4")/$D14*100))</f>
        <v/>
      </c>
      <c r="O16" s="43">
        <f>IF(SUM(O$10:O14)=0,IF(COUNTA(O$10:O14)=0,"Очікую",0),IF(COUNTIF(O$10:O14,"&gt;=4")=0,0,COUNTIF(O$10:O14,"&gt;=4")/$D14*100))</f>
        <v/>
      </c>
      <c r="P16" s="43">
        <f>IF(SUM(P$10:P14)=0,IF(COUNTA(P$10:P14)=0,"Очікую",0),IF(COUNTIF(P$10:P14,"&gt;=4")=0,0,COUNTIF(P$10:P14,"&gt;=4")/$D14*100))</f>
        <v/>
      </c>
      <c r="Q16" s="43">
        <f>IF(SUM(Q$10:Q14)=0,IF(COUNTA(Q$10:Q14)=0,"Очікую",0),IF(COUNTIF(Q$10:Q14,"&gt;=4")=0,0,COUNTIF(Q$10:Q14,"&gt;=4")/$D14*100))</f>
        <v/>
      </c>
      <c r="R16" s="43">
        <f>IF(SUM(R$10:R14)=0,IF(COUNTA(R$10:R14)=0,"Очікую",0),IF(COUNTIF(R$10:R14,"&gt;=4")=0,0,COUNTIF(R$10:R14,"&gt;=4")/$D14*100))</f>
        <v/>
      </c>
      <c r="S16" s="43">
        <f>IF(SUM(S$10:S14)=0,IF(COUNTA(S$10:S14)=0,"Очікую",0),IF(COUNTIF(S$10:S14,"&gt;=4")=0,0,COUNTIF(S$10:S14,"&gt;=4")/$D14*100))</f>
        <v/>
      </c>
      <c r="T16" s="43">
        <f>IF(SUM(T$10:T14)=0,IF(COUNTA(T$10:T14)=0,"Очікую",0),IF(COUNTIF(T$10:T14,"&gt;=4")=0,0,COUNTIF(T$10:T14,"&gt;=4")/$D14*100))</f>
        <v/>
      </c>
      <c r="U16" s="6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Якісна успішність</t>
        </is>
      </c>
      <c r="F17" s="43">
        <f>IF(SUM(F$10:F14)=0,IF(COUNTA(F$10:F14)=0,"Очікую",0),IF(COUNTIF(F$10:F14,"&gt;=7")=0,0,COUNTIF(F$10:F14,"&gt;=7")/$D14*100))</f>
        <v/>
      </c>
      <c r="G17" s="43">
        <f>IF(SUM(G$10:G14)=0,IF(COUNTA(G$10:G14)=0,"Очікую",0),IF(COUNTIF(G$10:G14,"&gt;=7")=0,0,COUNTIF(G$10:G14,"&gt;=7")/$D14*100))</f>
        <v/>
      </c>
      <c r="H17" s="43">
        <f>IF(SUM(H$10:H14)=0,IF(COUNTA(H$10:H14)=0,"Очікую",0),IF(COUNTIF(H$10:H14,"&gt;=7")=0,0,COUNTIF(H$10:H14,"&gt;=7")/$D14*100))</f>
        <v/>
      </c>
      <c r="I17" s="43">
        <f>IF(SUM(I$10:I14)=0,IF(COUNTA(I$10:I14)=0,"Очікую",0),IF(COUNTIF(I$10:I14,"&gt;=7")=0,0,COUNTIF(I$10:I14,"&gt;=7")/$D14*100))</f>
        <v/>
      </c>
      <c r="J17" s="43">
        <f>IF(SUM(J$10:J14)=0,IF(COUNTA(J$10:J14)=0,"Очікую",0),IF(COUNTIF(J$10:J14,"&gt;=7")=0,0,COUNTIF(J$10:J14,"&gt;=7")/$D14*100))</f>
        <v/>
      </c>
      <c r="K17" s="43">
        <f>IF(SUM(K$10:K14)=0,IF(COUNTA(K$10:K14)=0,"Очікую",0),IF(COUNTIF(K$10:K14,"&gt;=7")=0,0,COUNTIF(K$10:K14,"&gt;=7")/$D14*100))</f>
        <v/>
      </c>
      <c r="L17" s="43">
        <f>IF(SUM(L$10:L14)=0,IF(COUNTA(L$10:L14)=0,"Очікую",0),IF(COUNTIF(L$10:L14,"&gt;=7")=0,0,COUNTIF(L$10:L14,"&gt;=7")/$D14*100))</f>
        <v/>
      </c>
      <c r="M17" s="43">
        <f>IF(SUM(M$10:M14)=0,IF(COUNTA(M$10:M14)=0,"Очікую",0),IF(COUNTIF(M$10:M14,"&gt;=7")=0,0,COUNTIF(M$10:M14,"&gt;=7")/$D14*100))</f>
        <v/>
      </c>
      <c r="N17" s="43">
        <f>IF(SUM(N$10:N14)=0,IF(COUNTA(N$10:N14)=0,"Очікую",0),IF(COUNTIF(N$10:N14,"&gt;=7")=0,0,COUNTIF(N$10:N14,"&gt;=7")/$D14*100))</f>
        <v/>
      </c>
      <c r="O17" s="43">
        <f>IF(SUM(O$10:O14)=0,IF(COUNTA(O$10:O14)=0,"Очікую",0),IF(COUNTIF(O$10:O14,"&gt;=7")=0,0,COUNTIF(O$10:O14,"&gt;=7")/$D14*100))</f>
        <v/>
      </c>
      <c r="P17" s="43">
        <f>IF(SUM(P$10:P14)=0,IF(COUNTA(P$10:P14)=0,"Очікую",0),IF(COUNTIF(P$10:P14,"&gt;=7")=0,0,COUNTIF(P$10:P14,"&gt;=7")/$D14*100))</f>
        <v/>
      </c>
      <c r="Q17" s="43">
        <f>IF(SUM(Q$10:Q14)=0,IF(COUNTA(Q$10:Q14)=0,"Очікую",0),IF(COUNTIF(Q$10:Q14,"&gt;=7")=0,0,COUNTIF(Q$10:Q14,"&gt;=7")/$D14*100))</f>
        <v/>
      </c>
      <c r="R17" s="43">
        <f>IF(SUM(R$10:R14)=0,IF(COUNTA(R$10:R14)=0,"Очікую",0),IF(COUNTIF(R$10:R14,"&gt;=7")=0,0,COUNTIF(R$10:R14,"&gt;=7")/$D14*100))</f>
        <v/>
      </c>
      <c r="S17" s="43">
        <f>IF(SUM(S$10:S14)=0,IF(COUNTA(S$10:S14)=0,"Очікую",0),IF(COUNTIF(S$10:S14,"&gt;=7")=0,0,COUNTIF(S$10:S14,"&gt;=7")/$D14*100))</f>
        <v/>
      </c>
      <c r="T17" s="43">
        <f>IF(SUM(T$10:T14)=0,IF(COUNTA(T$10:T14)=0,"Очікую",0),IF(COUNTIF(T$10:T14,"&gt;=7")=0,0,COUNTIF(T$10:T14,"&gt;=7")/$D14*100))</f>
        <v/>
      </c>
      <c r="U17" s="6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Абсолютна успішність по групі</t>
        </is>
      </c>
      <c r="F18" s="8">
        <f>IFERROR(AVERAGE(F16:T16),"Очікую")</f>
        <v/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Якісна успішність по групі</t>
        </is>
      </c>
      <c r="F19" s="8">
        <f>IFERROR(AVERAGE($F17:T17),"Очікую")</f>
        <v/>
      </c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Кількість бюджетників</t>
        </is>
      </c>
      <c r="F20" s="63">
        <f>IF(COUNTIF($C$10:$C14,"=B")=0,IF(COUNTIF($C$10:$C14,"=K")=0,"Очікую",0),COUNTIF($C$10:$C14,"=B"))</f>
        <v/>
      </c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52" t="n"/>
      <c r="S20" s="52" t="n"/>
      <c r="T20" s="52" t="n"/>
      <c r="U20" s="52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Кількість контрактників</t>
        </is>
      </c>
      <c r="F21" s="63">
        <f>IF(COUNTIF($C$10:$C14,"=K")=0,IF(COUNTIF($C$10:$C14,"=B")=0,"Очікую",0),COUNTIF($C$10:$C14,"=K"))</f>
        <v/>
      </c>
      <c r="G21" s="6" t="n"/>
      <c r="H21" s="55" t="inlineStr">
        <is>
          <t>Класний керівник</t>
        </is>
      </c>
      <c r="I21" s="55" t="n"/>
      <c r="J21" s="55" t="n"/>
      <c r="K21" s="55" t="n"/>
      <c r="L21" s="55" t="n"/>
      <c r="M21" s="6" t="n"/>
      <c r="N21" s="6" t="n"/>
      <c r="O21" s="6" t="n"/>
      <c r="P21" s="56">
        <f>'Загальна'!P47</f>
        <v/>
      </c>
      <c r="Q21" s="54" t="n"/>
      <c r="R21" s="54" t="n"/>
      <c r="S21" s="54" t="n"/>
      <c r="T21" s="54" t="n"/>
      <c r="U21" s="54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Кількість соціального контингенту</t>
        </is>
      </c>
      <c r="F22" s="4" t="n"/>
      <c r="G22" s="6" t="n"/>
      <c r="H22" s="55" t="n"/>
      <c r="I22" s="55" t="n"/>
      <c r="J22" s="55" t="n"/>
      <c r="K22" s="55" t="n"/>
      <c r="L22" s="55" t="n"/>
      <c r="M22" s="6" t="n"/>
      <c r="N22" s="6" t="n"/>
      <c r="O22" s="6" t="n"/>
      <c r="P22" s="56" t="n"/>
      <c r="Q22" s="52" t="n"/>
      <c r="R22" s="52" t="n"/>
      <c r="S22" s="52" t="n"/>
      <c r="T22" s="52" t="n"/>
      <c r="U22" s="52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Вийшли на стипендію</t>
        </is>
      </c>
      <c r="F23" s="63">
        <f>IF(F20="Очікую","Очікую",IF(F20-COUNTIF($U$10:$U14," - ")&lt;ROUNDDOWN(F20*0.4,0),F20-COUNTIF($U$10:$U14," - "),ROUNDDOWN(F20*0.4,0)))</f>
        <v/>
      </c>
      <c r="G23" s="6" t="n"/>
      <c r="H23" s="56" t="inlineStr">
        <is>
          <t>Завідувач відділення ПЗСО</t>
        </is>
      </c>
      <c r="I23" s="56" t="n"/>
      <c r="J23" s="56" t="n"/>
      <c r="K23" s="56" t="n"/>
      <c r="L23" s="56" t="n"/>
      <c r="M23" s="6" t="n"/>
      <c r="N23" s="6" t="n"/>
      <c r="O23" s="6" t="n"/>
      <c r="P23" s="56" t="inlineStr">
        <is>
          <t>Margarita BRITIKOVA</t>
        </is>
      </c>
      <c r="Q23" s="54" t="n"/>
      <c r="R23" s="54" t="n"/>
      <c r="S23" s="54" t="n"/>
      <c r="T23" s="54" t="n"/>
      <c r="U23" s="54" t="n"/>
      <c r="V23" s="20" t="n"/>
      <c r="W23" s="39" t="n"/>
    </row>
    <row r="24" ht="15" customFormat="1" customHeight="1" s="11">
      <c r="A24" s="40" t="n"/>
      <c r="B24" s="21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5" t="n"/>
      <c r="W24" s="39" t="n"/>
    </row>
    <row r="25" ht="15" customFormat="1" customHeight="1" s="11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9" t="n"/>
    </row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2026-06-18T10:26:30Z</dcterms:modified>
  <cp:lastModifiedBy>Maxim Surkov</cp:lastModifiedBy>
  <cp:lastPrinted>2026-01-07T15:30:50Z</cp:lastPrinted>
</cp:coreProperties>
</file>