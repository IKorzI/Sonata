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'Загальна'!$C$3:$T$49</definedName>
    <definedName name="A1048577" localSheetId="1">#REF!</definedName>
    <definedName name="Ф80" localSheetId="1">#REF!</definedName>
    <definedName name="_xlnm.Print_Area" localSheetId="1">'Зведена G13'!$C$3:$T$31</definedName>
    <definedName name="A1048577" localSheetId="2">#REF!</definedName>
    <definedName name="Ф80" localSheetId="2">#REF!</definedName>
    <definedName name="_xlnm.Print_Area" localSheetId="2">'Зведена J2'!$C$3:$T$31</definedName>
    <definedName name="A1048577" localSheetId="3">#REF!</definedName>
    <definedName name="Ф80" localSheetId="3">#REF!</definedName>
    <definedName name="_xlnm.Print_Area" localSheetId="3">'Зведена J3'!$C$3:$T$23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 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Земляна Т.М.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Галеніна І.С.</t>
        </is>
      </c>
      <c r="T9" s="13" t="inlineStr">
        <is>
          <t>Хімія
Пономарьов К.М.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8">
        <f>IF(SUM(T$10:T40)=0,IF(COUNTA(T$10:T40)=0,"Очікую",0),SUM(T$10:T40)/$D40)</f>
        <v/>
      </c>
      <c r="U41" s="9">
        <f>IFERROR(AVERAGE($F41:T41),"Очікую")</f>
        <v/>
      </c>
      <c r="V41" s="20" t="n"/>
      <c r="W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43">
        <f>IF(SUM(T$10:T40)=0,IF(COUNTA(T$10:T40)=0,"Очікую",0),IF(COUNTIF(T$10:T40,"&gt;=4")=0,0,COUNTIF(T$10:T40,"&gt;=4")/$D40*100))</f>
        <v/>
      </c>
      <c r="U42" s="6" t="n"/>
      <c r="V42" s="20" t="n"/>
      <c r="W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43">
        <f>IF(SUM(T$10:T40)=0,IF(COUNTA(T$10:T40)=0,"Очікую",0),IF(COUNTIF(T$10:T40,"&gt;=7")=0,0,COUNTIF(T$10:T40,"&gt;=7")/$D40*100))</f>
        <v/>
      </c>
      <c r="U43" s="6" t="n"/>
      <c r="V43" s="20" t="n"/>
      <c r="W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IFERROR(AVERAGE(F42:T42),"Очікую")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20" t="n"/>
      <c r="W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IFERROR(AVERAGE($F43:T43),"Очікую")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20" t="n"/>
      <c r="W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52" t="n"/>
      <c r="S46" s="52" t="n"/>
      <c r="T46" s="52" t="n"/>
      <c r="U46" s="52" t="n"/>
      <c r="V46" s="20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6" t="n"/>
      <c r="P47" s="54" t="inlineStr"/>
      <c r="Q47" s="54" t="n"/>
      <c r="R47" s="54" t="n"/>
      <c r="S47" s="54" t="n"/>
      <c r="T47" s="54" t="n"/>
      <c r="U47" s="54" t="n"/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6" t="n"/>
      <c r="P48" s="52" t="n"/>
      <c r="Q48" s="52" t="n"/>
      <c r="R48" s="52" t="n"/>
      <c r="S48" s="52" t="n"/>
      <c r="T48" s="52" t="n"/>
      <c r="U48" s="52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IF(F46="Очікую","Очікую",IF(F46-COUNTIF($U$10:$U40," - ")&lt;ROUNDDOWN(F46*0.4,0),F46-COUNTIF($U$10:$U40,"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6" t="n"/>
      <c r="P49" s="54" t="inlineStr">
        <is>
          <t>Margarita BRITIKOVA</t>
        </is>
      </c>
      <c r="Q49" s="54" t="n"/>
      <c r="R49" s="54" t="n"/>
      <c r="S49" s="54" t="n"/>
      <c r="T49" s="54" t="n"/>
      <c r="U49" s="54" t="n"/>
      <c r="V49" s="20" t="n"/>
      <c r="W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5" t="n"/>
      <c r="W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38" t="n"/>
      <c r="V51" s="59" t="n"/>
      <c r="W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9">
        <f>'Загальна'!T13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9">
        <f>'Загальна'!T15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9">
        <f>'Загальна'!T17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9">
        <f>'Загальна'!T18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9">
        <f>'Загальна'!T20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9">
        <f>'Загальна'!T23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9">
        <f>'Загальна'!T25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9">
        <f>'Загальна'!T26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9">
        <f>'Загальна'!T27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9">
        <f>'Загальна'!T33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9">
        <f>'Загальна'!T24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9">
        <f>'Загальна'!T37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9">
        <f>'Загальна'!T40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9">
        <f>'Загальна'!T10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9">
        <f>'Загальна'!T11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9">
        <f>'Загальна'!T12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9">
        <f>'Загальна'!T14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9">
        <f>'Загальна'!T21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9">
        <f>'Загальна'!T22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9">
        <f>'Загальна'!T31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9">
        <f>'Загальна'!T32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9">
        <f>'Загальна'!T36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9">
        <f>'Загальна'!T38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'Загальна'!P47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рік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9">
        <f>'Загальна'!T19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9">
        <f>'Загальна'!T34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9">
        <f>'Загальна'!T35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9">
        <f>'Загальна'!T39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8">
        <f>IF(SUM(T$10:T14)=0,IF(COUNTA(T$10:T14)=0,"Очікую",0),SUM(T$10:T14)/$D14)</f>
        <v/>
      </c>
      <c r="U15" s="9">
        <f>IFERROR(AVERAGE($F15:T15),"Очікую")</f>
        <v/>
      </c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43">
        <f>IF(SUM(T$10:T14)=0,IF(COUNTA(T$10:T14)=0,"Очікую",0),IF(COUNTIF(T$10:T14,"&gt;=4")=0,0,COUNTIF(T$10:T14,"&gt;=4")/$D14*100))</f>
        <v/>
      </c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43">
        <f>IF(SUM(T$10:T14)=0,IF(COUNTA(T$10:T14)=0,"Очікую",0),IF(COUNTIF(T$10:T14,"&gt;=7")=0,0,COUNTIF(T$10:T14,"&gt;=7")/$D14*100))</f>
        <v/>
      </c>
      <c r="U17" s="6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IFERROR(AVERAGE(F16:T16),"Очікую")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IFERROR(AVERAGE($F17:T17),"Очікую")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52" t="n"/>
      <c r="S20" s="52" t="n"/>
      <c r="T20" s="52" t="n"/>
      <c r="U20" s="52" t="n"/>
      <c r="V20" s="20" t="n"/>
      <c r="W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55" t="n"/>
      <c r="M21" s="6" t="n"/>
      <c r="N21" s="6" t="n"/>
      <c r="O21" s="6" t="n"/>
      <c r="P21" s="56">
        <f>'Загальна'!P47</f>
        <v/>
      </c>
      <c r="Q21" s="54" t="n"/>
      <c r="R21" s="54" t="n"/>
      <c r="S21" s="54" t="n"/>
      <c r="T21" s="54" t="n"/>
      <c r="U21" s="54" t="n"/>
      <c r="V21" s="20" t="n"/>
      <c r="W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55" t="n"/>
      <c r="M22" s="6" t="n"/>
      <c r="N22" s="6" t="n"/>
      <c r="O22" s="6" t="n"/>
      <c r="P22" s="56" t="n"/>
      <c r="Q22" s="52" t="n"/>
      <c r="R22" s="52" t="n"/>
      <c r="S22" s="52" t="n"/>
      <c r="T22" s="52" t="n"/>
      <c r="U22" s="52" t="n"/>
      <c r="V22" s="20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IF(F20="Очікую","Очікую",IF(F20-COUNTIF($U$10:$U14," - ")&lt;ROUNDDOWN(F20*0.4,0),F20-COUNTIF($U$10:$U14,"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56" t="n"/>
      <c r="M23" s="6" t="n"/>
      <c r="N23" s="6" t="n"/>
      <c r="O23" s="6" t="n"/>
      <c r="P23" s="56" t="inlineStr">
        <is>
          <t>Margarita BRITIKOVA</t>
        </is>
      </c>
      <c r="Q23" s="54" t="n"/>
      <c r="R23" s="54" t="n"/>
      <c r="S23" s="54" t="n"/>
      <c r="T23" s="54" t="n"/>
      <c r="U23" s="54" t="n"/>
      <c r="V23" s="20" t="n"/>
      <c r="W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5" t="n"/>
      <c r="W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8" t="n"/>
      <c r="W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2026-06-18T11:47:45Z</dcterms:modified>
  <cp:lastModifiedBy>Maxim Surkov</cp:lastModifiedBy>
  <cp:lastPrinted>2026-01-07T15:30:50Z</cp:lastPrinted>
</cp:coreProperties>
</file>