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D5" sheetId="2" state="visible" r:id="rId2"/>
    <sheet xmlns:r="http://schemas.openxmlformats.org/officeDocument/2006/relationships" name="Зведена E2" sheetId="3" state="visible" r:id="rId3"/>
    <sheet xmlns:r="http://schemas.openxmlformats.org/officeDocument/2006/relationships" name="Зведена G13" sheetId="4" state="visible" r:id="rId4"/>
    <sheet xmlns:r="http://schemas.openxmlformats.org/officeDocument/2006/relationships" name="Зведена J2" sheetId="5" state="visible" r:id="rId5"/>
    <sheet xmlns:r="http://schemas.openxmlformats.org/officeDocument/2006/relationships" name="Зведена J3" sheetId="6" state="visible" r:id="rId6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'Загальна'!$C$3:$T$55</definedName>
    <definedName name="A1048577" localSheetId="1">#REF!</definedName>
    <definedName name="Ф80" localSheetId="1">#REF!</definedName>
    <definedName name="_xlnm.Print_Area" localSheetId="1">'Зведена D5'!$C$3:$T$38</definedName>
    <definedName name="A1048577" localSheetId="2">#REF!</definedName>
    <definedName name="Ф80" localSheetId="2">#REF!</definedName>
    <definedName name="_xlnm.Print_Area" localSheetId="2">'Зведена E2'!$C$3:$T$31</definedName>
    <definedName name="A1048577" localSheetId="3">#REF!</definedName>
    <definedName name="Ф80" localSheetId="3">#REF!</definedName>
    <definedName name="_xlnm.Print_Area" localSheetId="3">'Зведена G13'!$C$3:$T$19</definedName>
    <definedName name="A1048577" localSheetId="4">#REF!</definedName>
    <definedName name="Ф80" localSheetId="4">#REF!</definedName>
    <definedName name="_xlnm.Print_Area" localSheetId="4">'Зведена J2'!$C$3:$T$19</definedName>
    <definedName name="A1048577" localSheetId="5">#REF!</definedName>
    <definedName name="Ф80" localSheetId="5">#REF!</definedName>
    <definedName name="_xlnm.Print_Area" localSheetId="5">'Зведена J3'!$C$3:$T$20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7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Бондаренко О.С.</t>
        </is>
      </c>
      <c r="P9" s="13" t="inlineStr">
        <is>
          <t>Українська література
Юрченко О.Б.</t>
        </is>
      </c>
      <c r="Q9" s="13" t="inlineStr">
        <is>
          <t>Українська мова
Юрченко О.Б.</t>
        </is>
      </c>
      <c r="R9" s="13" t="inlineStr">
        <is>
          <t>Фізика
Калюта Н.М.</t>
        </is>
      </c>
      <c r="S9" s="13" t="inlineStr">
        <is>
          <t>Фізична культура
Возіян О.Г.</t>
        </is>
      </c>
      <c r="T9" s="13" t="inlineStr">
        <is>
          <t>Хімія
Сахно Н.О.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Бернік Поліна Костянтинівна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Брітіков Сергій Сергійович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Бучацька Олександра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Важельський Серафим Олександрович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Вальчук Богдан Олександрович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Варивода Станіслава Михайлівна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Господарюк Юрій Михайлович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К</t>
        </is>
      </c>
      <c r="D17" s="47" t="n">
        <v>8</v>
      </c>
      <c r="E17" s="48" t="inlineStr">
        <is>
          <t>Дзюбка Мирослава Володимирівна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Єсипович Володимир Іванович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Жумайло Дар`я Юріївна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К</t>
        </is>
      </c>
      <c r="D20" s="47" t="n">
        <v>11</v>
      </c>
      <c r="E20" s="48" t="inlineStr">
        <is>
          <t>Залогін Володимир Євгенійович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К</t>
        </is>
      </c>
      <c r="D21" s="47" t="n">
        <v>12</v>
      </c>
      <c r="E21" s="48" t="inlineStr">
        <is>
          <t>Катеринюк Юрій Юрійович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Б</t>
        </is>
      </c>
      <c r="D22" s="47" t="n">
        <v>13</v>
      </c>
      <c r="E22" s="48" t="inlineStr">
        <is>
          <t>Кірон Ангеліна Петрівна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Кісельова Аріна Вадимівна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К</t>
        </is>
      </c>
      <c r="D24" s="47" t="n">
        <v>15</v>
      </c>
      <c r="E24" s="48" t="inlineStr">
        <is>
          <t>Криворучко Олександр Степанович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Леженко Серафим Русланович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К</t>
        </is>
      </c>
      <c r="D26" s="47" t="n">
        <v>17</v>
      </c>
      <c r="E26" s="48" t="inlineStr">
        <is>
          <t>Маркітан Станіслав Ігорович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Новицький Руслан Віталійович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Овсяннікова Анастасія Віталіївна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К</t>
        </is>
      </c>
      <c r="D29" s="47" t="n">
        <v>20</v>
      </c>
      <c r="E29" s="48" t="inlineStr">
        <is>
          <t>Полягошко Вероніка Миколаївна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Поляков Михайло Олександрович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К</t>
        </is>
      </c>
      <c r="D31" s="47" t="n">
        <v>22</v>
      </c>
      <c r="E31" s="48" t="inlineStr">
        <is>
          <t>Помазан Валерій Миколайович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Поплавських Єлизавета Іванівна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Примаченко Інга Антонівна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Примха Павло Павлович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Проценко Микита Сергійович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Ракович Дмитро Вікторович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К</t>
        </is>
      </c>
      <c r="D37" s="47" t="n">
        <v>28</v>
      </c>
      <c r="E37" s="48" t="inlineStr">
        <is>
          <t>Рибинський Іван Іванович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Рижиков Василь Володимирович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Русєв Дмитро Георгійович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Б</t>
        </is>
      </c>
      <c r="D40" s="47" t="n">
        <v>31</v>
      </c>
      <c r="E40" s="48" t="inlineStr">
        <is>
          <t>Русу Альона Ігорівна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47" t="inlineStr">
        <is>
          <t>К</t>
        </is>
      </c>
      <c r="D41" s="47" t="n">
        <v>32</v>
      </c>
      <c r="E41" s="48" t="inlineStr">
        <is>
          <t>Соценко Ольга Олександрівна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2">
        <f>IF(COUNTIF($F41:T41,"=*")&gt;0,IF($C41="K","-"," - "),IF(COUNTIF($F41:T41,"&lt;4")&gt;0,IF($C41="K","-"," - "),(IFERROR(AVERAGE($F41:T41),"Очікую"))))</f>
        <v/>
      </c>
      <c r="V41" s="22" t="n"/>
      <c r="W41" s="39" t="n"/>
    </row>
    <row r="42" ht="15" customFormat="1" customHeight="1" s="11">
      <c r="A42" s="40" t="n"/>
      <c r="B42" s="12" t="n"/>
      <c r="C42" s="47" t="inlineStr">
        <is>
          <t>К</t>
        </is>
      </c>
      <c r="D42" s="47" t="n">
        <v>33</v>
      </c>
      <c r="E42" s="48" t="inlineStr">
        <is>
          <t>Станчєв Віталій Васильович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2">
        <f>IF(COUNTIF($F42:T42,"=*")&gt;0,IF($C42="K","-"," - "),IF(COUNTIF($F42:T42,"&lt;4")&gt;0,IF($C42="K","-"," - "),(IFERROR(AVERAGE($F42:T42),"Очікую"))))</f>
        <v/>
      </c>
      <c r="V42" s="22" t="n"/>
      <c r="W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Тимошенко Владислав Романович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2">
        <f>IF(COUNTIF($F43:T43,"=*")&gt;0,IF($C43="K","-"," - "),IF(COUNTIF($F43:T43,"&lt;4")&gt;0,IF($C43="K","-"," - "),(IFERROR(AVERAGE($F43:T43),"Очікую"))))</f>
        <v/>
      </c>
      <c r="V43" s="22" t="n"/>
      <c r="W43" s="39" t="n"/>
    </row>
    <row r="44" ht="15" customFormat="1" customHeight="1" s="11">
      <c r="A44" s="40" t="n"/>
      <c r="B44" s="12" t="n"/>
      <c r="C44" s="47" t="inlineStr">
        <is>
          <t>Б</t>
        </is>
      </c>
      <c r="D44" s="47" t="n">
        <v>35</v>
      </c>
      <c r="E44" s="48" t="inlineStr">
        <is>
          <t>Черепаха Арсеній Андрійович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2">
        <f>IF(COUNTIF($F44:T44,"=*")&gt;0,IF($C44="K","-"," - "),IF(COUNTIF($F44:T44,"&lt;4")&gt;0,IF($C44="K","-"," - "),(IFERROR(AVERAGE($F44:T44),"Очікую"))))</f>
        <v/>
      </c>
      <c r="V44" s="22" t="n"/>
      <c r="W44" s="39" t="n"/>
    </row>
    <row r="45" ht="15" customFormat="1" customHeight="1" s="11">
      <c r="A45" s="40" t="n"/>
      <c r="B45" s="12" t="n"/>
      <c r="C45" s="47" t="inlineStr">
        <is>
          <t>Б</t>
        </is>
      </c>
      <c r="D45" s="47" t="n">
        <v>36</v>
      </c>
      <c r="E45" s="48" t="inlineStr">
        <is>
          <t>Шкут Іван Андрійович</t>
        </is>
      </c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49" t="n"/>
      <c r="T45" s="49" t="n"/>
      <c r="U45" s="42">
        <f>IF(COUNTIF($F45:T45,"=*")&gt;0,IF($C45="K","-"," - "),IF(COUNTIF($F45:T45,"&lt;4")&gt;0,IF($C45="K","-"," - "),(IFERROR(AVERAGE($F45:T45),"Очікую"))))</f>
        <v/>
      </c>
      <c r="V45" s="22" t="n"/>
      <c r="W45" s="39" t="n"/>
    </row>
    <row r="46" ht="15" customFormat="1" customHeight="1" s="11">
      <c r="A46" s="40" t="n"/>
      <c r="B46" s="12" t="n"/>
      <c r="C46" s="47" t="inlineStr">
        <is>
          <t>К</t>
        </is>
      </c>
      <c r="D46" s="47" t="n">
        <v>37</v>
      </c>
      <c r="E46" s="48" t="inlineStr">
        <is>
          <t>Шрамов`ят Михайло Ігорович</t>
        </is>
      </c>
      <c r="F46" s="49" t="n"/>
      <c r="G46" s="49" t="n"/>
      <c r="H46" s="49" t="n"/>
      <c r="I46" s="49" t="n"/>
      <c r="J46" s="49" t="n"/>
      <c r="K46" s="49" t="n"/>
      <c r="L46" s="49" t="n"/>
      <c r="M46" s="49" t="n"/>
      <c r="N46" s="49" t="n"/>
      <c r="O46" s="49" t="n"/>
      <c r="P46" s="49" t="n"/>
      <c r="Q46" s="49" t="n"/>
      <c r="R46" s="49" t="n"/>
      <c r="S46" s="49" t="n"/>
      <c r="T46" s="49" t="n"/>
      <c r="U46" s="42">
        <f>IF(COUNTIF($F46:T46,"=*")&gt;0,IF($C46="K","-"," - "),IF(COUNTIF($F46:T46,"&lt;4")&gt;0,IF($C46="K","-"," - "),(IFERROR(AVERAGE($F46:T46),"Очікую"))))</f>
        <v/>
      </c>
      <c r="V46" s="22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Середній бал успішності з дисципліни</t>
        </is>
      </c>
      <c r="F47" s="8">
        <f>IF(SUM(F$10:F46)=0,IF(COUNTA(F$10:F46)=0,"Очікую",0),SUM(F$10:F46)/$D46)</f>
        <v/>
      </c>
      <c r="G47" s="8">
        <f>IF(SUM(G$10:G46)=0,IF(COUNTA(G$10:G46)=0,"Очікую",0),SUM(G$10:G46)/$D46)</f>
        <v/>
      </c>
      <c r="H47" s="8">
        <f>IF(SUM(H$10:H46)=0,IF(COUNTA(H$10:H46)=0,"Очікую",0),SUM(H$10:H46)/$D46)</f>
        <v/>
      </c>
      <c r="I47" s="8">
        <f>IF(SUM(I$10:I46)=0,IF(COUNTA(I$10:I46)=0,"Очікую",0),SUM(I$10:I46)/$D46)</f>
        <v/>
      </c>
      <c r="J47" s="8">
        <f>IF(SUM(J$10:J46)=0,IF(COUNTA(J$10:J46)=0,"Очікую",0),SUM(J$10:J46)/$D46)</f>
        <v/>
      </c>
      <c r="K47" s="8">
        <f>IF(SUM(K$10:K46)=0,IF(COUNTA(K$10:K46)=0,"Очікую",0),SUM(K$10:K46)/$D46)</f>
        <v/>
      </c>
      <c r="L47" s="8">
        <f>IF(SUM(L$10:L46)=0,IF(COUNTA(L$10:L46)=0,"Очікую",0),SUM(L$10:L46)/$D46)</f>
        <v/>
      </c>
      <c r="M47" s="8">
        <f>IF(SUM(M$10:M46)=0,IF(COUNTA(M$10:M46)=0,"Очікую",0),SUM(M$10:M46)/$D46)</f>
        <v/>
      </c>
      <c r="N47" s="8">
        <f>IF(SUM(N$10:N46)=0,IF(COUNTA(N$10:N46)=0,"Очікую",0),SUM(N$10:N46)/$D46)</f>
        <v/>
      </c>
      <c r="O47" s="8">
        <f>IF(SUM(O$10:O46)=0,IF(COUNTA(O$10:O46)=0,"Очікую",0),SUM(O$10:O46)/$D46)</f>
        <v/>
      </c>
      <c r="P47" s="8">
        <f>IF(SUM(P$10:P46)=0,IF(COUNTA(P$10:P46)=0,"Очікую",0),SUM(P$10:P46)/$D46)</f>
        <v/>
      </c>
      <c r="Q47" s="8">
        <f>IF(SUM(Q$10:Q46)=0,IF(COUNTA(Q$10:Q46)=0,"Очікую",0),SUM(Q$10:Q46)/$D46)</f>
        <v/>
      </c>
      <c r="R47" s="8">
        <f>IF(SUM(R$10:R46)=0,IF(COUNTA(R$10:R46)=0,"Очікую",0),SUM(R$10:R46)/$D46)</f>
        <v/>
      </c>
      <c r="S47" s="8">
        <f>IF(SUM(S$10:S46)=0,IF(COUNTA(S$10:S46)=0,"Очікую",0),SUM(S$10:S46)/$D46)</f>
        <v/>
      </c>
      <c r="T47" s="8">
        <f>IF(SUM(T$10:T46)=0,IF(COUNTA(T$10:T46)=0,"Очікую",0),SUM(T$10:T46)/$D46)</f>
        <v/>
      </c>
      <c r="U47" s="9">
        <f>IFERROR(AVERAGE($F47:T47),"Очікую")</f>
        <v/>
      </c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</t>
        </is>
      </c>
      <c r="F48" s="43">
        <f>IF(SUM(F$10:F46)=0,IF(COUNTA(F$10:F46)=0,"Очікую",0),IF(COUNTIF(F$10:F46,"&gt;=4")=0,0,COUNTIF(F$10:F46,"&gt;=4")/$D46*100))</f>
        <v/>
      </c>
      <c r="G48" s="43">
        <f>IF(SUM(G$10:G46)=0,IF(COUNTA(G$10:G46)=0,"Очікую",0),IF(COUNTIF(G$10:G46,"&gt;=4")=0,0,COUNTIF(G$10:G46,"&gt;=4")/$D46*100))</f>
        <v/>
      </c>
      <c r="H48" s="43">
        <f>IF(SUM(H$10:H46)=0,IF(COUNTA(H$10:H46)=0,"Очікую",0),IF(COUNTIF(H$10:H46,"&gt;=4")=0,0,COUNTIF(H$10:H46,"&gt;=4")/$D46*100))</f>
        <v/>
      </c>
      <c r="I48" s="43">
        <f>IF(SUM(I$10:I46)=0,IF(COUNTA(I$10:I46)=0,"Очікую",0),IF(COUNTIF(I$10:I46,"&gt;=4")=0,0,COUNTIF(I$10:I46,"&gt;=4")/$D46*100))</f>
        <v/>
      </c>
      <c r="J48" s="43">
        <f>IF(SUM(J$10:J46)=0,IF(COUNTA(J$10:J46)=0,"Очікую",0),IF(COUNTIF(J$10:J46,"&gt;=4")=0,0,COUNTIF(J$10:J46,"&gt;=4")/$D46*100))</f>
        <v/>
      </c>
      <c r="K48" s="43">
        <f>IF(SUM(K$10:K46)=0,IF(COUNTA(K$10:K46)=0,"Очікую",0),IF(COUNTIF(K$10:K46,"&gt;=4")=0,0,COUNTIF(K$10:K46,"&gt;=4")/$D46*100))</f>
        <v/>
      </c>
      <c r="L48" s="43">
        <f>IF(SUM(L$10:L46)=0,IF(COUNTA(L$10:L46)=0,"Очікую",0),IF(COUNTIF(L$10:L46,"&gt;=4")=0,0,COUNTIF(L$10:L46,"&gt;=4")/$D46*100))</f>
        <v/>
      </c>
      <c r="M48" s="43">
        <f>IF(SUM(M$10:M46)=0,IF(COUNTA(M$10:M46)=0,"Очікую",0),IF(COUNTIF(M$10:M46,"&gt;=4")=0,0,COUNTIF(M$10:M46,"&gt;=4")/$D46*100))</f>
        <v/>
      </c>
      <c r="N48" s="43">
        <f>IF(SUM(N$10:N46)=0,IF(COUNTA(N$10:N46)=0,"Очікую",0),IF(COUNTIF(N$10:N46,"&gt;=4")=0,0,COUNTIF(N$10:N46,"&gt;=4")/$D46*100))</f>
        <v/>
      </c>
      <c r="O48" s="43">
        <f>IF(SUM(O$10:O46)=0,IF(COUNTA(O$10:O46)=0,"Очікую",0),IF(COUNTIF(O$10:O46,"&gt;=4")=0,0,COUNTIF(O$10:O46,"&gt;=4")/$D46*100))</f>
        <v/>
      </c>
      <c r="P48" s="43">
        <f>IF(SUM(P$10:P46)=0,IF(COUNTA(P$10:P46)=0,"Очікую",0),IF(COUNTIF(P$10:P46,"&gt;=4")=0,0,COUNTIF(P$10:P46,"&gt;=4")/$D46*100))</f>
        <v/>
      </c>
      <c r="Q48" s="43">
        <f>IF(SUM(Q$10:Q46)=0,IF(COUNTA(Q$10:Q46)=0,"Очікую",0),IF(COUNTIF(Q$10:Q46,"&gt;=4")=0,0,COUNTIF(Q$10:Q46,"&gt;=4")/$D46*100))</f>
        <v/>
      </c>
      <c r="R48" s="43">
        <f>IF(SUM(R$10:R46)=0,IF(COUNTA(R$10:R46)=0,"Очікую",0),IF(COUNTIF(R$10:R46,"&gt;=4")=0,0,COUNTIF(R$10:R46,"&gt;=4")/$D46*100))</f>
        <v/>
      </c>
      <c r="S48" s="43">
        <f>IF(SUM(S$10:S46)=0,IF(COUNTA(S$10:S46)=0,"Очікую",0),IF(COUNTIF(S$10:S46,"&gt;=4")=0,0,COUNTIF(S$10:S46,"&gt;=4")/$D46*100))</f>
        <v/>
      </c>
      <c r="T48" s="43">
        <f>IF(SUM(T$10:T46)=0,IF(COUNTA(T$10:T46)=0,"Очікую",0),IF(COUNTIF(T$10:T46,"&gt;=4")=0,0,COUNTIF(T$10:T46,"&gt;=4")/$D46*100))</f>
        <v/>
      </c>
      <c r="U48" s="6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</t>
        </is>
      </c>
      <c r="F49" s="43">
        <f>IF(SUM(F$10:F46)=0,IF(COUNTA(F$10:F46)=0,"Очікую",0),IF(COUNTIF(F$10:F46,"&gt;=7")=0,0,COUNTIF(F$10:F46,"&gt;=7")/$D46*100))</f>
        <v/>
      </c>
      <c r="G49" s="43">
        <f>IF(SUM(G$10:G46)=0,IF(COUNTA(G$10:G46)=0,"Очікую",0),IF(COUNTIF(G$10:G46,"&gt;=7")=0,0,COUNTIF(G$10:G46,"&gt;=7")/$D46*100))</f>
        <v/>
      </c>
      <c r="H49" s="43">
        <f>IF(SUM(H$10:H46)=0,IF(COUNTA(H$10:H46)=0,"Очікую",0),IF(COUNTIF(H$10:H46,"&gt;=7")=0,0,COUNTIF(H$10:H46,"&gt;=7")/$D46*100))</f>
        <v/>
      </c>
      <c r="I49" s="43">
        <f>IF(SUM(I$10:I46)=0,IF(COUNTA(I$10:I46)=0,"Очікую",0),IF(COUNTIF(I$10:I46,"&gt;=7")=0,0,COUNTIF(I$10:I46,"&gt;=7")/$D46*100))</f>
        <v/>
      </c>
      <c r="J49" s="43">
        <f>IF(SUM(J$10:J46)=0,IF(COUNTA(J$10:J46)=0,"Очікую",0),IF(COUNTIF(J$10:J46,"&gt;=7")=0,0,COUNTIF(J$10:J46,"&gt;=7")/$D46*100))</f>
        <v/>
      </c>
      <c r="K49" s="43">
        <f>IF(SUM(K$10:K46)=0,IF(COUNTA(K$10:K46)=0,"Очікую",0),IF(COUNTIF(K$10:K46,"&gt;=7")=0,0,COUNTIF(K$10:K46,"&gt;=7")/$D46*100))</f>
        <v/>
      </c>
      <c r="L49" s="43">
        <f>IF(SUM(L$10:L46)=0,IF(COUNTA(L$10:L46)=0,"Очікую",0),IF(COUNTIF(L$10:L46,"&gt;=7")=0,0,COUNTIF(L$10:L46,"&gt;=7")/$D46*100))</f>
        <v/>
      </c>
      <c r="M49" s="43">
        <f>IF(SUM(M$10:M46)=0,IF(COUNTA(M$10:M46)=0,"Очікую",0),IF(COUNTIF(M$10:M46,"&gt;=7")=0,0,COUNTIF(M$10:M46,"&gt;=7")/$D46*100))</f>
        <v/>
      </c>
      <c r="N49" s="43">
        <f>IF(SUM(N$10:N46)=0,IF(COUNTA(N$10:N46)=0,"Очікую",0),IF(COUNTIF(N$10:N46,"&gt;=7")=0,0,COUNTIF(N$10:N46,"&gt;=7")/$D46*100))</f>
        <v/>
      </c>
      <c r="O49" s="43">
        <f>IF(SUM(O$10:O46)=0,IF(COUNTA(O$10:O46)=0,"Очікую",0),IF(COUNTIF(O$10:O46,"&gt;=7")=0,0,COUNTIF(O$10:O46,"&gt;=7")/$D46*100))</f>
        <v/>
      </c>
      <c r="P49" s="43">
        <f>IF(SUM(P$10:P46)=0,IF(COUNTA(P$10:P46)=0,"Очікую",0),IF(COUNTIF(P$10:P46,"&gt;=7")=0,0,COUNTIF(P$10:P46,"&gt;=7")/$D46*100))</f>
        <v/>
      </c>
      <c r="Q49" s="43">
        <f>IF(SUM(Q$10:Q46)=0,IF(COUNTA(Q$10:Q46)=0,"Очікую",0),IF(COUNTIF(Q$10:Q46,"&gt;=7")=0,0,COUNTIF(Q$10:Q46,"&gt;=7")/$D46*100))</f>
        <v/>
      </c>
      <c r="R49" s="43">
        <f>IF(SUM(R$10:R46)=0,IF(COUNTA(R$10:R46)=0,"Очікую",0),IF(COUNTIF(R$10:R46,"&gt;=7")=0,0,COUNTIF(R$10:R46,"&gt;=7")/$D46*100))</f>
        <v/>
      </c>
      <c r="S49" s="43">
        <f>IF(SUM(S$10:S46)=0,IF(COUNTA(S$10:S46)=0,"Очікую",0),IF(COUNTIF(S$10:S46,"&gt;=7")=0,0,COUNTIF(S$10:S46,"&gt;=7")/$D46*100))</f>
        <v/>
      </c>
      <c r="T49" s="43">
        <f>IF(SUM(T$10:T46)=0,IF(COUNTA(T$10:T46)=0,"Очікую",0),IF(COUNTIF(T$10:T46,"&gt;=7")=0,0,COUNTIF(T$10:T46,"&gt;=7")/$D46*100))</f>
        <v/>
      </c>
      <c r="U49" s="6" t="n"/>
      <c r="V49" s="20" t="n"/>
      <c r="W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Абсолютна успішність по групі</t>
        </is>
      </c>
      <c r="F50" s="8">
        <f>IFERROR(AVERAGE(F48:T48),"Очікую")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20" t="n"/>
      <c r="W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Якісна успішність по групі</t>
        </is>
      </c>
      <c r="F51" s="8">
        <f>IFERROR(AVERAGE($F49:T49),"Очікую")</f>
        <v/>
      </c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20" t="n"/>
      <c r="W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бюджетників</t>
        </is>
      </c>
      <c r="F52" s="63">
        <f>IF(COUNTIF($C$10:$C46,"=B")=0,IF(COUNTIF($C$10:$C46,"=K")=0,"Очікую",0),COUNTIF($C$10:$C46,"=B"))</f>
        <v/>
      </c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52" t="n"/>
      <c r="S52" s="52" t="n"/>
      <c r="T52" s="52" t="n"/>
      <c r="U52" s="52" t="n"/>
      <c r="V52" s="20" t="n"/>
      <c r="W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Кількість контрактників</t>
        </is>
      </c>
      <c r="F53" s="63">
        <f>IF(COUNTIF($C$10:$C46,"=K")=0,IF(COUNTIF($C$10:$C46,"=B")=0,"Очікую",0),COUNTIF($C$10:$C46,"=K"))</f>
        <v/>
      </c>
      <c r="G53" s="6" t="n"/>
      <c r="H53" s="58" t="inlineStr">
        <is>
          <t>Класний керівник</t>
        </is>
      </c>
      <c r="I53" s="6" t="n"/>
      <c r="J53" s="6" t="n"/>
      <c r="K53" s="6" t="n"/>
      <c r="L53" s="6" t="n"/>
      <c r="M53" s="6" t="n"/>
      <c r="N53" s="6" t="n"/>
      <c r="O53" s="6" t="n"/>
      <c r="P53" s="54" t="inlineStr"/>
      <c r="Q53" s="54" t="n"/>
      <c r="R53" s="54" t="n"/>
      <c r="S53" s="54" t="n"/>
      <c r="T53" s="54" t="n"/>
      <c r="U53" s="54" t="n"/>
      <c r="V53" s="20" t="n"/>
      <c r="W53" s="39" t="n"/>
    </row>
    <row r="54" ht="15" customFormat="1" customHeight="1" s="11">
      <c r="A54" s="40" t="n"/>
      <c r="B54" s="12" t="n"/>
      <c r="C54" s="6" t="n"/>
      <c r="D54" s="6" t="n"/>
      <c r="E54" s="7" t="inlineStr">
        <is>
          <t>Кількість соціального контингенту</t>
        </is>
      </c>
      <c r="F54" s="4" t="n"/>
      <c r="G54" s="6" t="n"/>
      <c r="H54" s="53" t="n"/>
      <c r="I54" s="6" t="n"/>
      <c r="J54" s="6" t="n"/>
      <c r="K54" s="6" t="n"/>
      <c r="L54" s="6" t="n"/>
      <c r="M54" s="6" t="n"/>
      <c r="N54" s="6" t="n"/>
      <c r="O54" s="6" t="n"/>
      <c r="P54" s="52" t="n"/>
      <c r="Q54" s="52" t="n"/>
      <c r="R54" s="52" t="n"/>
      <c r="S54" s="52" t="n"/>
      <c r="T54" s="52" t="n"/>
      <c r="U54" s="52" t="n"/>
      <c r="V54" s="20" t="n"/>
      <c r="W54" s="39" t="n"/>
    </row>
    <row r="55" ht="15" customFormat="1" customHeight="1" s="11">
      <c r="A55" s="40" t="n"/>
      <c r="B55" s="12" t="n"/>
      <c r="C55" s="6" t="n"/>
      <c r="D55" s="6" t="n"/>
      <c r="E55" s="7" t="inlineStr">
        <is>
          <t>Вийшли на стипендію</t>
        </is>
      </c>
      <c r="F55" s="63">
        <f>IF(F52="Очікую","Очікую",IF(F52-COUNTIF($U$10:$U46," - ")&lt;ROUNDDOWN(F52*0.4,0),F52-COUNTIF($U$10:$U46," - "),ROUNDDOWN(F52*0.4,0)))</f>
        <v/>
      </c>
      <c r="G55" s="6" t="n"/>
      <c r="H55" s="54" t="inlineStr">
        <is>
          <t>Завідувач відділення ПЗСО</t>
        </is>
      </c>
      <c r="I55" s="6" t="n"/>
      <c r="J55" s="6" t="n"/>
      <c r="K55" s="6" t="n"/>
      <c r="L55" s="6" t="n"/>
      <c r="M55" s="6" t="n"/>
      <c r="N55" s="6" t="n"/>
      <c r="O55" s="6" t="n"/>
      <c r="P55" s="54" t="inlineStr">
        <is>
          <t>Margarita BRITIKOVA</t>
        </is>
      </c>
      <c r="Q55" s="54" t="n"/>
      <c r="R55" s="54" t="n"/>
      <c r="S55" s="54" t="n"/>
      <c r="T55" s="54" t="n"/>
      <c r="U55" s="54" t="n"/>
      <c r="V55" s="20" t="n"/>
      <c r="W55" s="39" t="n"/>
    </row>
    <row r="56" ht="15" customFormat="1" customHeight="1" s="11">
      <c r="A56" s="40" t="n"/>
      <c r="B56" s="21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5" t="n"/>
      <c r="W56" s="39" t="n"/>
    </row>
    <row r="57" ht="15" customFormat="1" customHeight="1" s="11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8" t="n"/>
      <c r="M57" s="38" t="n"/>
      <c r="N57" s="38" t="n"/>
      <c r="O57" s="38" t="n"/>
      <c r="P57" s="38" t="n"/>
      <c r="Q57" s="38" t="n"/>
      <c r="R57" s="38" t="n"/>
      <c r="S57" s="38" t="n"/>
      <c r="T57" s="38" t="n"/>
      <c r="U57" s="38" t="n"/>
      <c r="V57" s="59" t="n"/>
      <c r="W57" s="39" t="n"/>
    </row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40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D5 ««Маркетинг»»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'Загальна'!C12</f>
        <v/>
      </c>
      <c r="D11" s="47" t="n">
        <v>2</v>
      </c>
      <c r="E11" s="48">
        <f>'Загальна'!E12</f>
        <v/>
      </c>
      <c r="F11" s="49">
        <f>'Загальна'!F12</f>
        <v/>
      </c>
      <c r="G11" s="49">
        <f>'Загальна'!G12</f>
        <v/>
      </c>
      <c r="H11" s="49">
        <f>'Загальна'!H12</f>
        <v/>
      </c>
      <c r="I11" s="49">
        <f>'Загальна'!I12</f>
        <v/>
      </c>
      <c r="J11" s="49">
        <f>'Загальна'!J12</f>
        <v/>
      </c>
      <c r="K11" s="49">
        <f>'Загальна'!K12</f>
        <v/>
      </c>
      <c r="L11" s="49">
        <f>'Загальна'!L12</f>
        <v/>
      </c>
      <c r="M11" s="49">
        <f>'Загальна'!M12</f>
        <v/>
      </c>
      <c r="N11" s="49">
        <f>'Загальна'!N12</f>
        <v/>
      </c>
      <c r="O11" s="49">
        <f>'Загальна'!O12</f>
        <v/>
      </c>
      <c r="P11" s="49">
        <f>'Загальна'!P12</f>
        <v/>
      </c>
      <c r="Q11" s="49">
        <f>'Загальна'!Q12</f>
        <v/>
      </c>
      <c r="R11" s="49">
        <f>'Загальна'!R12</f>
        <v/>
      </c>
      <c r="S11" s="49">
        <f>'Загальна'!S12</f>
        <v/>
      </c>
      <c r="T11" s="49">
        <f>'Загальна'!T12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'Загальна'!C13</f>
        <v/>
      </c>
      <c r="D12" s="47" t="n">
        <v>3</v>
      </c>
      <c r="E12" s="48">
        <f>'Загальна'!E13</f>
        <v/>
      </c>
      <c r="F12" s="49">
        <f>'Загальна'!F13</f>
        <v/>
      </c>
      <c r="G12" s="49">
        <f>'Загальна'!G13</f>
        <v/>
      </c>
      <c r="H12" s="49">
        <f>'Загальна'!H13</f>
        <v/>
      </c>
      <c r="I12" s="49">
        <f>'Загальна'!I13</f>
        <v/>
      </c>
      <c r="J12" s="49">
        <f>'Загальна'!J13</f>
        <v/>
      </c>
      <c r="K12" s="49">
        <f>'Загальна'!K13</f>
        <v/>
      </c>
      <c r="L12" s="49">
        <f>'Загальна'!L13</f>
        <v/>
      </c>
      <c r="M12" s="49">
        <f>'Загальна'!M13</f>
        <v/>
      </c>
      <c r="N12" s="49">
        <f>'Загальна'!N13</f>
        <v/>
      </c>
      <c r="O12" s="49">
        <f>'Загальна'!O13</f>
        <v/>
      </c>
      <c r="P12" s="49">
        <f>'Загальна'!P13</f>
        <v/>
      </c>
      <c r="Q12" s="49">
        <f>'Загальна'!Q13</f>
        <v/>
      </c>
      <c r="R12" s="49">
        <f>'Загальна'!R13</f>
        <v/>
      </c>
      <c r="S12" s="49">
        <f>'Загальна'!S13</f>
        <v/>
      </c>
      <c r="T12" s="49">
        <f>'Загальна'!T13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'Загальна'!C15</f>
        <v/>
      </c>
      <c r="D13" s="47" t="n">
        <v>4</v>
      </c>
      <c r="E13" s="48">
        <f>'Загальна'!E15</f>
        <v/>
      </c>
      <c r="F13" s="49">
        <f>'Загальна'!F15</f>
        <v/>
      </c>
      <c r="G13" s="49">
        <f>'Загальна'!G15</f>
        <v/>
      </c>
      <c r="H13" s="49">
        <f>'Загальна'!H15</f>
        <v/>
      </c>
      <c r="I13" s="49">
        <f>'Загальна'!I15</f>
        <v/>
      </c>
      <c r="J13" s="49">
        <f>'Загальна'!J15</f>
        <v/>
      </c>
      <c r="K13" s="49">
        <f>'Загальна'!K15</f>
        <v/>
      </c>
      <c r="L13" s="49">
        <f>'Загальна'!L15</f>
        <v/>
      </c>
      <c r="M13" s="49">
        <f>'Загальна'!M15</f>
        <v/>
      </c>
      <c r="N13" s="49">
        <f>'Загальна'!N15</f>
        <v/>
      </c>
      <c r="O13" s="49">
        <f>'Загальна'!O15</f>
        <v/>
      </c>
      <c r="P13" s="49">
        <f>'Загальна'!P15</f>
        <v/>
      </c>
      <c r="Q13" s="49">
        <f>'Загальна'!Q15</f>
        <v/>
      </c>
      <c r="R13" s="49">
        <f>'Загальна'!R15</f>
        <v/>
      </c>
      <c r="S13" s="49">
        <f>'Загальна'!S15</f>
        <v/>
      </c>
      <c r="T13" s="49">
        <f>'Загальна'!T15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'Загальна'!C19</f>
        <v/>
      </c>
      <c r="D14" s="47" t="n">
        <v>5</v>
      </c>
      <c r="E14" s="48">
        <f>'Загальна'!E19</f>
        <v/>
      </c>
      <c r="F14" s="49">
        <f>'Загальна'!F19</f>
        <v/>
      </c>
      <c r="G14" s="49">
        <f>'Загальна'!G19</f>
        <v/>
      </c>
      <c r="H14" s="49">
        <f>'Загальна'!H19</f>
        <v/>
      </c>
      <c r="I14" s="49">
        <f>'Загальна'!I19</f>
        <v/>
      </c>
      <c r="J14" s="49">
        <f>'Загальна'!J19</f>
        <v/>
      </c>
      <c r="K14" s="49">
        <f>'Загальна'!K19</f>
        <v/>
      </c>
      <c r="L14" s="49">
        <f>'Загальна'!L19</f>
        <v/>
      </c>
      <c r="M14" s="49">
        <f>'Загальна'!M19</f>
        <v/>
      </c>
      <c r="N14" s="49">
        <f>'Загальна'!N19</f>
        <v/>
      </c>
      <c r="O14" s="49">
        <f>'Загальна'!O19</f>
        <v/>
      </c>
      <c r="P14" s="49">
        <f>'Загальна'!P19</f>
        <v/>
      </c>
      <c r="Q14" s="49">
        <f>'Загальна'!Q19</f>
        <v/>
      </c>
      <c r="R14" s="49">
        <f>'Загальна'!R19</f>
        <v/>
      </c>
      <c r="S14" s="49">
        <f>'Загальна'!S19</f>
        <v/>
      </c>
      <c r="T14" s="49">
        <f>'Загальна'!T19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'Загальна'!C20</f>
        <v/>
      </c>
      <c r="D15" s="47" t="n">
        <v>6</v>
      </c>
      <c r="E15" s="48">
        <f>'Загальна'!E20</f>
        <v/>
      </c>
      <c r="F15" s="49">
        <f>'Загальна'!F20</f>
        <v/>
      </c>
      <c r="G15" s="49">
        <f>'Загальна'!G20</f>
        <v/>
      </c>
      <c r="H15" s="49">
        <f>'Загальна'!H20</f>
        <v/>
      </c>
      <c r="I15" s="49">
        <f>'Загальна'!I20</f>
        <v/>
      </c>
      <c r="J15" s="49">
        <f>'Загальна'!J20</f>
        <v/>
      </c>
      <c r="K15" s="49">
        <f>'Загальна'!K20</f>
        <v/>
      </c>
      <c r="L15" s="49">
        <f>'Загальна'!L20</f>
        <v/>
      </c>
      <c r="M15" s="49">
        <f>'Загальна'!M20</f>
        <v/>
      </c>
      <c r="N15" s="49">
        <f>'Загальна'!N20</f>
        <v/>
      </c>
      <c r="O15" s="49">
        <f>'Загальна'!O20</f>
        <v/>
      </c>
      <c r="P15" s="49">
        <f>'Загальна'!P20</f>
        <v/>
      </c>
      <c r="Q15" s="49">
        <f>'Загальна'!Q20</f>
        <v/>
      </c>
      <c r="R15" s="49">
        <f>'Загальна'!R20</f>
        <v/>
      </c>
      <c r="S15" s="49">
        <f>'Загальна'!S20</f>
        <v/>
      </c>
      <c r="T15" s="49">
        <f>'Загальна'!T20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'Загальна'!C22</f>
        <v/>
      </c>
      <c r="D16" s="47" t="n">
        <v>7</v>
      </c>
      <c r="E16" s="48">
        <f>'Загальна'!E22</f>
        <v/>
      </c>
      <c r="F16" s="49">
        <f>'Загальна'!F22</f>
        <v/>
      </c>
      <c r="G16" s="49">
        <f>'Загальна'!G22</f>
        <v/>
      </c>
      <c r="H16" s="49">
        <f>'Загальна'!H22</f>
        <v/>
      </c>
      <c r="I16" s="49">
        <f>'Загальна'!I22</f>
        <v/>
      </c>
      <c r="J16" s="49">
        <f>'Загальна'!J22</f>
        <v/>
      </c>
      <c r="K16" s="49">
        <f>'Загальна'!K22</f>
        <v/>
      </c>
      <c r="L16" s="49">
        <f>'Загальна'!L22</f>
        <v/>
      </c>
      <c r="M16" s="49">
        <f>'Загальна'!M22</f>
        <v/>
      </c>
      <c r="N16" s="49">
        <f>'Загальна'!N22</f>
        <v/>
      </c>
      <c r="O16" s="49">
        <f>'Загальна'!O22</f>
        <v/>
      </c>
      <c r="P16" s="49">
        <f>'Загальна'!P22</f>
        <v/>
      </c>
      <c r="Q16" s="49">
        <f>'Загальна'!Q22</f>
        <v/>
      </c>
      <c r="R16" s="49">
        <f>'Загальна'!R22</f>
        <v/>
      </c>
      <c r="S16" s="49">
        <f>'Загальна'!S22</f>
        <v/>
      </c>
      <c r="T16" s="49">
        <f>'Загальна'!T22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'Загальна'!C23</f>
        <v/>
      </c>
      <c r="D17" s="47" t="n">
        <v>8</v>
      </c>
      <c r="E17" s="48">
        <f>'Загальна'!E23</f>
        <v/>
      </c>
      <c r="F17" s="49">
        <f>'Загальна'!F23</f>
        <v/>
      </c>
      <c r="G17" s="49">
        <f>'Загальна'!G23</f>
        <v/>
      </c>
      <c r="H17" s="49">
        <f>'Загальна'!H23</f>
        <v/>
      </c>
      <c r="I17" s="49">
        <f>'Загальна'!I23</f>
        <v/>
      </c>
      <c r="J17" s="49">
        <f>'Загальна'!J23</f>
        <v/>
      </c>
      <c r="K17" s="49">
        <f>'Загальна'!K23</f>
        <v/>
      </c>
      <c r="L17" s="49">
        <f>'Загальна'!L23</f>
        <v/>
      </c>
      <c r="M17" s="49">
        <f>'Загальна'!M23</f>
        <v/>
      </c>
      <c r="N17" s="49">
        <f>'Загальна'!N23</f>
        <v/>
      </c>
      <c r="O17" s="49">
        <f>'Загальна'!O23</f>
        <v/>
      </c>
      <c r="P17" s="49">
        <f>'Загальна'!P23</f>
        <v/>
      </c>
      <c r="Q17" s="49">
        <f>'Загальна'!Q23</f>
        <v/>
      </c>
      <c r="R17" s="49">
        <f>'Загальна'!R23</f>
        <v/>
      </c>
      <c r="S17" s="49">
        <f>'Загальна'!S23</f>
        <v/>
      </c>
      <c r="T17" s="49">
        <f>'Загальна'!T23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'Загальна'!C25</f>
        <v/>
      </c>
      <c r="D18" s="47" t="n">
        <v>9</v>
      </c>
      <c r="E18" s="48">
        <f>'Загальна'!E25</f>
        <v/>
      </c>
      <c r="F18" s="49">
        <f>'Загальна'!F25</f>
        <v/>
      </c>
      <c r="G18" s="49">
        <f>'Загальна'!G25</f>
        <v/>
      </c>
      <c r="H18" s="49">
        <f>'Загальна'!H25</f>
        <v/>
      </c>
      <c r="I18" s="49">
        <f>'Загальна'!I25</f>
        <v/>
      </c>
      <c r="J18" s="49">
        <f>'Загальна'!J25</f>
        <v/>
      </c>
      <c r="K18" s="49">
        <f>'Загальна'!K25</f>
        <v/>
      </c>
      <c r="L18" s="49">
        <f>'Загальна'!L25</f>
        <v/>
      </c>
      <c r="M18" s="49">
        <f>'Загальна'!M25</f>
        <v/>
      </c>
      <c r="N18" s="49">
        <f>'Загальна'!N25</f>
        <v/>
      </c>
      <c r="O18" s="49">
        <f>'Загальна'!O25</f>
        <v/>
      </c>
      <c r="P18" s="49">
        <f>'Загальна'!P25</f>
        <v/>
      </c>
      <c r="Q18" s="49">
        <f>'Загальна'!Q25</f>
        <v/>
      </c>
      <c r="R18" s="49">
        <f>'Загальна'!R25</f>
        <v/>
      </c>
      <c r="S18" s="49">
        <f>'Загальна'!S25</f>
        <v/>
      </c>
      <c r="T18" s="49">
        <f>'Загальна'!T25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'Загальна'!C28</f>
        <v/>
      </c>
      <c r="D19" s="47" t="n">
        <v>10</v>
      </c>
      <c r="E19" s="48">
        <f>'Загальна'!E28</f>
        <v/>
      </c>
      <c r="F19" s="49">
        <f>'Загальна'!F28</f>
        <v/>
      </c>
      <c r="G19" s="49">
        <f>'Загальна'!G28</f>
        <v/>
      </c>
      <c r="H19" s="49">
        <f>'Загальна'!H28</f>
        <v/>
      </c>
      <c r="I19" s="49">
        <f>'Загальна'!I28</f>
        <v/>
      </c>
      <c r="J19" s="49">
        <f>'Загальна'!J28</f>
        <v/>
      </c>
      <c r="K19" s="49">
        <f>'Загальна'!K28</f>
        <v/>
      </c>
      <c r="L19" s="49">
        <f>'Загальна'!L28</f>
        <v/>
      </c>
      <c r="M19" s="49">
        <f>'Загальна'!M28</f>
        <v/>
      </c>
      <c r="N19" s="49">
        <f>'Загальна'!N28</f>
        <v/>
      </c>
      <c r="O19" s="49">
        <f>'Загальна'!O28</f>
        <v/>
      </c>
      <c r="P19" s="49">
        <f>'Загальна'!P28</f>
        <v/>
      </c>
      <c r="Q19" s="49">
        <f>'Загальна'!Q28</f>
        <v/>
      </c>
      <c r="R19" s="49">
        <f>'Загальна'!R28</f>
        <v/>
      </c>
      <c r="S19" s="49">
        <f>'Загальна'!S28</f>
        <v/>
      </c>
      <c r="T19" s="49">
        <f>'Загальна'!T28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'Загальна'!C29</f>
        <v/>
      </c>
      <c r="D20" s="47" t="n">
        <v>11</v>
      </c>
      <c r="E20" s="48">
        <f>'Загальна'!E29</f>
        <v/>
      </c>
      <c r="F20" s="49">
        <f>'Загальна'!F29</f>
        <v/>
      </c>
      <c r="G20" s="49">
        <f>'Загальна'!G29</f>
        <v/>
      </c>
      <c r="H20" s="49">
        <f>'Загальна'!H29</f>
        <v/>
      </c>
      <c r="I20" s="49">
        <f>'Загальна'!I29</f>
        <v/>
      </c>
      <c r="J20" s="49">
        <f>'Загальна'!J29</f>
        <v/>
      </c>
      <c r="K20" s="49">
        <f>'Загальна'!K29</f>
        <v/>
      </c>
      <c r="L20" s="49">
        <f>'Загальна'!L29</f>
        <v/>
      </c>
      <c r="M20" s="49">
        <f>'Загальна'!M29</f>
        <v/>
      </c>
      <c r="N20" s="49">
        <f>'Загальна'!N29</f>
        <v/>
      </c>
      <c r="O20" s="49">
        <f>'Загальна'!O29</f>
        <v/>
      </c>
      <c r="P20" s="49">
        <f>'Загальна'!P29</f>
        <v/>
      </c>
      <c r="Q20" s="49">
        <f>'Загальна'!Q29</f>
        <v/>
      </c>
      <c r="R20" s="49">
        <f>'Загальна'!R29</f>
        <v/>
      </c>
      <c r="S20" s="49">
        <f>'Загальна'!S29</f>
        <v/>
      </c>
      <c r="T20" s="49">
        <f>'Загальна'!T29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'Загальна'!C30</f>
        <v/>
      </c>
      <c r="D21" s="47" t="n">
        <v>12</v>
      </c>
      <c r="E21" s="48">
        <f>'Загальна'!E30</f>
        <v/>
      </c>
      <c r="F21" s="49">
        <f>'Загальна'!F30</f>
        <v/>
      </c>
      <c r="G21" s="49">
        <f>'Загальна'!G30</f>
        <v/>
      </c>
      <c r="H21" s="49">
        <f>'Загальна'!H30</f>
        <v/>
      </c>
      <c r="I21" s="49">
        <f>'Загальна'!I30</f>
        <v/>
      </c>
      <c r="J21" s="49">
        <f>'Загальна'!J30</f>
        <v/>
      </c>
      <c r="K21" s="49">
        <f>'Загальна'!K30</f>
        <v/>
      </c>
      <c r="L21" s="49">
        <f>'Загальна'!L30</f>
        <v/>
      </c>
      <c r="M21" s="49">
        <f>'Загальна'!M30</f>
        <v/>
      </c>
      <c r="N21" s="49">
        <f>'Загальна'!N30</f>
        <v/>
      </c>
      <c r="O21" s="49">
        <f>'Загальна'!O30</f>
        <v/>
      </c>
      <c r="P21" s="49">
        <f>'Загальна'!P30</f>
        <v/>
      </c>
      <c r="Q21" s="49">
        <f>'Загальна'!Q30</f>
        <v/>
      </c>
      <c r="R21" s="49">
        <f>'Загальна'!R30</f>
        <v/>
      </c>
      <c r="S21" s="49">
        <f>'Загальна'!S30</f>
        <v/>
      </c>
      <c r="T21" s="49">
        <f>'Загальна'!T30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'Загальна'!C32</f>
        <v/>
      </c>
      <c r="D22" s="47" t="n">
        <v>13</v>
      </c>
      <c r="E22" s="48">
        <f>'Загальна'!E32</f>
        <v/>
      </c>
      <c r="F22" s="49">
        <f>'Загальна'!F32</f>
        <v/>
      </c>
      <c r="G22" s="49">
        <f>'Загальна'!G32</f>
        <v/>
      </c>
      <c r="H22" s="49">
        <f>'Загальна'!H32</f>
        <v/>
      </c>
      <c r="I22" s="49">
        <f>'Загальна'!I32</f>
        <v/>
      </c>
      <c r="J22" s="49">
        <f>'Загальна'!J32</f>
        <v/>
      </c>
      <c r="K22" s="49">
        <f>'Загальна'!K32</f>
        <v/>
      </c>
      <c r="L22" s="49">
        <f>'Загальна'!L32</f>
        <v/>
      </c>
      <c r="M22" s="49">
        <f>'Загальна'!M32</f>
        <v/>
      </c>
      <c r="N22" s="49">
        <f>'Загальна'!N32</f>
        <v/>
      </c>
      <c r="O22" s="49">
        <f>'Загальна'!O32</f>
        <v/>
      </c>
      <c r="P22" s="49">
        <f>'Загальна'!P32</f>
        <v/>
      </c>
      <c r="Q22" s="49">
        <f>'Загальна'!Q32</f>
        <v/>
      </c>
      <c r="R22" s="49">
        <f>'Загальна'!R32</f>
        <v/>
      </c>
      <c r="S22" s="49">
        <f>'Загальна'!S32</f>
        <v/>
      </c>
      <c r="T22" s="49">
        <f>'Загальна'!T32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'Загальна'!C33</f>
        <v/>
      </c>
      <c r="D23" s="47" t="n">
        <v>14</v>
      </c>
      <c r="E23" s="48">
        <f>'Загальна'!E33</f>
        <v/>
      </c>
      <c r="F23" s="49">
        <f>'Загальна'!F33</f>
        <v/>
      </c>
      <c r="G23" s="49">
        <f>'Загальна'!G33</f>
        <v/>
      </c>
      <c r="H23" s="49">
        <f>'Загальна'!H33</f>
        <v/>
      </c>
      <c r="I23" s="49">
        <f>'Загальна'!I33</f>
        <v/>
      </c>
      <c r="J23" s="49">
        <f>'Загальна'!J33</f>
        <v/>
      </c>
      <c r="K23" s="49">
        <f>'Загальна'!K33</f>
        <v/>
      </c>
      <c r="L23" s="49">
        <f>'Загальна'!L33</f>
        <v/>
      </c>
      <c r="M23" s="49">
        <f>'Загальна'!M33</f>
        <v/>
      </c>
      <c r="N23" s="49">
        <f>'Загальна'!N33</f>
        <v/>
      </c>
      <c r="O23" s="49">
        <f>'Загальна'!O33</f>
        <v/>
      </c>
      <c r="P23" s="49">
        <f>'Загальна'!P33</f>
        <v/>
      </c>
      <c r="Q23" s="49">
        <f>'Загальна'!Q33</f>
        <v/>
      </c>
      <c r="R23" s="49">
        <f>'Загальна'!R33</f>
        <v/>
      </c>
      <c r="S23" s="49">
        <f>'Загальна'!S33</f>
        <v/>
      </c>
      <c r="T23" s="49">
        <f>'Загальна'!T33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'Загальна'!C35</f>
        <v/>
      </c>
      <c r="D24" s="47" t="n">
        <v>15</v>
      </c>
      <c r="E24" s="48">
        <f>'Загальна'!E35</f>
        <v/>
      </c>
      <c r="F24" s="49">
        <f>'Загальна'!F35</f>
        <v/>
      </c>
      <c r="G24" s="49">
        <f>'Загальна'!G35</f>
        <v/>
      </c>
      <c r="H24" s="49">
        <f>'Загальна'!H35</f>
        <v/>
      </c>
      <c r="I24" s="49">
        <f>'Загальна'!I35</f>
        <v/>
      </c>
      <c r="J24" s="49">
        <f>'Загальна'!J35</f>
        <v/>
      </c>
      <c r="K24" s="49">
        <f>'Загальна'!K35</f>
        <v/>
      </c>
      <c r="L24" s="49">
        <f>'Загальна'!L35</f>
        <v/>
      </c>
      <c r="M24" s="49">
        <f>'Загальна'!M35</f>
        <v/>
      </c>
      <c r="N24" s="49">
        <f>'Загальна'!N35</f>
        <v/>
      </c>
      <c r="O24" s="49">
        <f>'Загальна'!O35</f>
        <v/>
      </c>
      <c r="P24" s="49">
        <f>'Загальна'!P35</f>
        <v/>
      </c>
      <c r="Q24" s="49">
        <f>'Загальна'!Q35</f>
        <v/>
      </c>
      <c r="R24" s="49">
        <f>'Загальна'!R35</f>
        <v/>
      </c>
      <c r="S24" s="49">
        <f>'Загальна'!S35</f>
        <v/>
      </c>
      <c r="T24" s="49">
        <f>'Загальна'!T35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'Загальна'!C40</f>
        <v/>
      </c>
      <c r="D25" s="47" t="n">
        <v>16</v>
      </c>
      <c r="E25" s="48">
        <f>'Загальна'!E40</f>
        <v/>
      </c>
      <c r="F25" s="49">
        <f>'Загальна'!F40</f>
        <v/>
      </c>
      <c r="G25" s="49">
        <f>'Загальна'!G40</f>
        <v/>
      </c>
      <c r="H25" s="49">
        <f>'Загальна'!H40</f>
        <v/>
      </c>
      <c r="I25" s="49">
        <f>'Загальна'!I40</f>
        <v/>
      </c>
      <c r="J25" s="49">
        <f>'Загальна'!J40</f>
        <v/>
      </c>
      <c r="K25" s="49">
        <f>'Загальна'!K40</f>
        <v/>
      </c>
      <c r="L25" s="49">
        <f>'Загальна'!L40</f>
        <v/>
      </c>
      <c r="M25" s="49">
        <f>'Загальна'!M40</f>
        <v/>
      </c>
      <c r="N25" s="49">
        <f>'Загальна'!N40</f>
        <v/>
      </c>
      <c r="O25" s="49">
        <f>'Загальна'!O40</f>
        <v/>
      </c>
      <c r="P25" s="49">
        <f>'Загальна'!P40</f>
        <v/>
      </c>
      <c r="Q25" s="49">
        <f>'Загальна'!Q40</f>
        <v/>
      </c>
      <c r="R25" s="49">
        <f>'Загальна'!R40</f>
        <v/>
      </c>
      <c r="S25" s="49">
        <f>'Загальна'!S40</f>
        <v/>
      </c>
      <c r="T25" s="49">
        <f>'Загальна'!T40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>
        <f>'Загальна'!C41</f>
        <v/>
      </c>
      <c r="D26" s="47" t="n">
        <v>17</v>
      </c>
      <c r="E26" s="48">
        <f>'Загальна'!E41</f>
        <v/>
      </c>
      <c r="F26" s="49">
        <f>'Загальна'!F41</f>
        <v/>
      </c>
      <c r="G26" s="49">
        <f>'Загальна'!G41</f>
        <v/>
      </c>
      <c r="H26" s="49">
        <f>'Загальна'!H41</f>
        <v/>
      </c>
      <c r="I26" s="49">
        <f>'Загальна'!I41</f>
        <v/>
      </c>
      <c r="J26" s="49">
        <f>'Загальна'!J41</f>
        <v/>
      </c>
      <c r="K26" s="49">
        <f>'Загальна'!K41</f>
        <v/>
      </c>
      <c r="L26" s="49">
        <f>'Загальна'!L41</f>
        <v/>
      </c>
      <c r="M26" s="49">
        <f>'Загальна'!M41</f>
        <v/>
      </c>
      <c r="N26" s="49">
        <f>'Загальна'!N41</f>
        <v/>
      </c>
      <c r="O26" s="49">
        <f>'Загальна'!O41</f>
        <v/>
      </c>
      <c r="P26" s="49">
        <f>'Загальна'!P41</f>
        <v/>
      </c>
      <c r="Q26" s="49">
        <f>'Загальна'!Q41</f>
        <v/>
      </c>
      <c r="R26" s="49">
        <f>'Загальна'!R41</f>
        <v/>
      </c>
      <c r="S26" s="49">
        <f>'Загальна'!S41</f>
        <v/>
      </c>
      <c r="T26" s="49">
        <f>'Загальна'!T41</f>
        <v/>
      </c>
      <c r="U26" s="42">
        <f>IF(COUNTIF($F26:T26,"=*")&gt;0,IF($C26="K","-"," - "),IF(COUNTIF($F26:T26,"&lt;4")&gt;0,IF(C26="K","-","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>
        <f>'Загальна'!C43</f>
        <v/>
      </c>
      <c r="D27" s="47" t="n">
        <v>18</v>
      </c>
      <c r="E27" s="48">
        <f>'Загальна'!E43</f>
        <v/>
      </c>
      <c r="F27" s="49">
        <f>'Загальна'!F43</f>
        <v/>
      </c>
      <c r="G27" s="49">
        <f>'Загальна'!G43</f>
        <v/>
      </c>
      <c r="H27" s="49">
        <f>'Загальна'!H43</f>
        <v/>
      </c>
      <c r="I27" s="49">
        <f>'Загальна'!I43</f>
        <v/>
      </c>
      <c r="J27" s="49">
        <f>'Загальна'!J43</f>
        <v/>
      </c>
      <c r="K27" s="49">
        <f>'Загальна'!K43</f>
        <v/>
      </c>
      <c r="L27" s="49">
        <f>'Загальна'!L43</f>
        <v/>
      </c>
      <c r="M27" s="49">
        <f>'Загальна'!M43</f>
        <v/>
      </c>
      <c r="N27" s="49">
        <f>'Загальна'!N43</f>
        <v/>
      </c>
      <c r="O27" s="49">
        <f>'Загальна'!O43</f>
        <v/>
      </c>
      <c r="P27" s="49">
        <f>'Загальна'!P43</f>
        <v/>
      </c>
      <c r="Q27" s="49">
        <f>'Загальна'!Q43</f>
        <v/>
      </c>
      <c r="R27" s="49">
        <f>'Загальна'!R43</f>
        <v/>
      </c>
      <c r="S27" s="49">
        <f>'Загальна'!S43</f>
        <v/>
      </c>
      <c r="T27" s="49">
        <f>'Загальна'!T43</f>
        <v/>
      </c>
      <c r="U27" s="42">
        <f>IF(COUNTIF($F27:T27,"=*")&gt;0,IF($C27="K","-"," - "),IF(COUNTIF($F27:T27,"&lt;4")&gt;0,IF(C27="K","-","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>
        <f>'Загальна'!C44</f>
        <v/>
      </c>
      <c r="D28" s="47" t="n">
        <v>19</v>
      </c>
      <c r="E28" s="48">
        <f>'Загальна'!E44</f>
        <v/>
      </c>
      <c r="F28" s="49">
        <f>'Загальна'!F44</f>
        <v/>
      </c>
      <c r="G28" s="49">
        <f>'Загальна'!G44</f>
        <v/>
      </c>
      <c r="H28" s="49">
        <f>'Загальна'!H44</f>
        <v/>
      </c>
      <c r="I28" s="49">
        <f>'Загальна'!I44</f>
        <v/>
      </c>
      <c r="J28" s="49">
        <f>'Загальна'!J44</f>
        <v/>
      </c>
      <c r="K28" s="49">
        <f>'Загальна'!K44</f>
        <v/>
      </c>
      <c r="L28" s="49">
        <f>'Загальна'!L44</f>
        <v/>
      </c>
      <c r="M28" s="49">
        <f>'Загальна'!M44</f>
        <v/>
      </c>
      <c r="N28" s="49">
        <f>'Загальна'!N44</f>
        <v/>
      </c>
      <c r="O28" s="49">
        <f>'Загальна'!O44</f>
        <v/>
      </c>
      <c r="P28" s="49">
        <f>'Загальна'!P44</f>
        <v/>
      </c>
      <c r="Q28" s="49">
        <f>'Загальна'!Q44</f>
        <v/>
      </c>
      <c r="R28" s="49">
        <f>'Загальна'!R44</f>
        <v/>
      </c>
      <c r="S28" s="49">
        <f>'Загальна'!S44</f>
        <v/>
      </c>
      <c r="T28" s="49">
        <f>'Загальна'!T44</f>
        <v/>
      </c>
      <c r="U28" s="42">
        <f>IF(COUNTIF($F28:T28,"=*")&gt;0,IF($C28="K","-"," - "),IF(COUNTIF($F28:T28,"&lt;4")&gt;0,IF(C28="K","-","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>
        <f>'Загальна'!C45</f>
        <v/>
      </c>
      <c r="D29" s="47" t="n">
        <v>20</v>
      </c>
      <c r="E29" s="48">
        <f>'Загальна'!E45</f>
        <v/>
      </c>
      <c r="F29" s="49">
        <f>'Загальна'!F45</f>
        <v/>
      </c>
      <c r="G29" s="49">
        <f>'Загальна'!G45</f>
        <v/>
      </c>
      <c r="H29" s="49">
        <f>'Загальна'!H45</f>
        <v/>
      </c>
      <c r="I29" s="49">
        <f>'Загальна'!I45</f>
        <v/>
      </c>
      <c r="J29" s="49">
        <f>'Загальна'!J45</f>
        <v/>
      </c>
      <c r="K29" s="49">
        <f>'Загальна'!K45</f>
        <v/>
      </c>
      <c r="L29" s="49">
        <f>'Загальна'!L45</f>
        <v/>
      </c>
      <c r="M29" s="49">
        <f>'Загальна'!M45</f>
        <v/>
      </c>
      <c r="N29" s="49">
        <f>'Загальна'!N45</f>
        <v/>
      </c>
      <c r="O29" s="49">
        <f>'Загальна'!O45</f>
        <v/>
      </c>
      <c r="P29" s="49">
        <f>'Загальна'!P45</f>
        <v/>
      </c>
      <c r="Q29" s="49">
        <f>'Загальна'!Q45</f>
        <v/>
      </c>
      <c r="R29" s="49">
        <f>'Загальна'!R45</f>
        <v/>
      </c>
      <c r="S29" s="49">
        <f>'Загальна'!S45</f>
        <v/>
      </c>
      <c r="T29" s="49">
        <f>'Загальна'!T45</f>
        <v/>
      </c>
      <c r="U29" s="42">
        <f>IF(COUNTIF($F29:T29,"=*")&gt;0,IF($C29="K","-"," - "),IF(COUNTIF($F29:T29,"&lt;4")&gt;0,IF(C29="K","-","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Середній бал успішності з дисципліни</t>
        </is>
      </c>
      <c r="F30" s="8">
        <f>IF(SUM(F$10:F29)=0,IF(COUNTA(F$10:F29)=0,"Очікую",0),SUM(F$10:F29)/$D29)</f>
        <v/>
      </c>
      <c r="G30" s="8">
        <f>IF(SUM(G$10:G29)=0,IF(COUNTA(G$10:G29)=0,"Очікую",0),SUM(G$10:G29)/$D29)</f>
        <v/>
      </c>
      <c r="H30" s="8">
        <f>IF(SUM(H$10:H29)=0,IF(COUNTA(H$10:H29)=0,"Очікую",0),SUM(H$10:H29)/$D29)</f>
        <v/>
      </c>
      <c r="I30" s="8">
        <f>IF(SUM(I$10:I29)=0,IF(COUNTA(I$10:I29)=0,"Очікую",0),SUM(I$10:I29)/$D29)</f>
        <v/>
      </c>
      <c r="J30" s="8">
        <f>IF(SUM(J$10:J29)=0,IF(COUNTA(J$10:J29)=0,"Очікую",0),SUM(J$10:J29)/$D29)</f>
        <v/>
      </c>
      <c r="K30" s="8">
        <f>IF(SUM(K$10:K29)=0,IF(COUNTA(K$10:K29)=0,"Очікую",0),SUM(K$10:K29)/$D29)</f>
        <v/>
      </c>
      <c r="L30" s="8">
        <f>IF(SUM(L$10:L29)=0,IF(COUNTA(L$10:L29)=0,"Очікую",0),SUM(L$10:L29)/$D29)</f>
        <v/>
      </c>
      <c r="M30" s="8">
        <f>IF(SUM(M$10:M29)=0,IF(COUNTA(M$10:M29)=0,"Очікую",0),SUM(M$10:M29)/$D29)</f>
        <v/>
      </c>
      <c r="N30" s="8">
        <f>IF(SUM(N$10:N29)=0,IF(COUNTA(N$10:N29)=0,"Очікую",0),SUM(N$10:N29)/$D29)</f>
        <v/>
      </c>
      <c r="O30" s="8">
        <f>IF(SUM(O$10:O29)=0,IF(COUNTA(O$10:O29)=0,"Очікую",0),SUM(O$10:O29)/$D29)</f>
        <v/>
      </c>
      <c r="P30" s="8">
        <f>IF(SUM(P$10:P29)=0,IF(COUNTA(P$10:P29)=0,"Очікую",0),SUM(P$10:P29)/$D29)</f>
        <v/>
      </c>
      <c r="Q30" s="8">
        <f>IF(SUM(Q$10:Q29)=0,IF(COUNTA(Q$10:Q29)=0,"Очікую",0),SUM(Q$10:Q29)/$D29)</f>
        <v/>
      </c>
      <c r="R30" s="8">
        <f>IF(SUM(R$10:R29)=0,IF(COUNTA(R$10:R29)=0,"Очікую",0),SUM(R$10:R29)/$D29)</f>
        <v/>
      </c>
      <c r="S30" s="8">
        <f>IF(SUM(S$10:S29)=0,IF(COUNTA(S$10:S29)=0,"Очікую",0),SUM(S$10:S29)/$D29)</f>
        <v/>
      </c>
      <c r="T30" s="8">
        <f>IF(SUM(T$10:T29)=0,IF(COUNTA(T$10:T29)=0,"Очікую",0),SUM(T$10:T29)/$D29)</f>
        <v/>
      </c>
      <c r="U30" s="9">
        <f>IFERROR(AVERAGE($F30:T30),"Очікую")</f>
        <v/>
      </c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Абсолютна успішність</t>
        </is>
      </c>
      <c r="F31" s="43">
        <f>IF(SUM(F$10:F29)=0,IF(COUNTA(F$10:F29)=0,"Очікую",0),IF(COUNTIF(F$10:F29,"&gt;=4")=0,0,COUNTIF(F$10:F29,"&gt;=4")/$D29*100))</f>
        <v/>
      </c>
      <c r="G31" s="43">
        <f>IF(SUM(G$10:G29)=0,IF(COUNTA(G$10:G29)=0,"Очікую",0),IF(COUNTIF(G$10:G29,"&gt;=4")=0,0,COUNTIF(G$10:G29,"&gt;=4")/$D29*100))</f>
        <v/>
      </c>
      <c r="H31" s="43">
        <f>IF(SUM(H$10:H29)=0,IF(COUNTA(H$10:H29)=0,"Очікую",0),IF(COUNTIF(H$10:H29,"&gt;=4")=0,0,COUNTIF(H$10:H29,"&gt;=4")/$D29*100))</f>
        <v/>
      </c>
      <c r="I31" s="43">
        <f>IF(SUM(I$10:I29)=0,IF(COUNTA(I$10:I29)=0,"Очікую",0),IF(COUNTIF(I$10:I29,"&gt;=4")=0,0,COUNTIF(I$10:I29,"&gt;=4")/$D29*100))</f>
        <v/>
      </c>
      <c r="J31" s="43">
        <f>IF(SUM(J$10:J29)=0,IF(COUNTA(J$10:J29)=0,"Очікую",0),IF(COUNTIF(J$10:J29,"&gt;=4")=0,0,COUNTIF(J$10:J29,"&gt;=4")/$D29*100))</f>
        <v/>
      </c>
      <c r="K31" s="43">
        <f>IF(SUM(K$10:K29)=0,IF(COUNTA(K$10:K29)=0,"Очікую",0),IF(COUNTIF(K$10:K29,"&gt;=4")=0,0,COUNTIF(K$10:K29,"&gt;=4")/$D29*100))</f>
        <v/>
      </c>
      <c r="L31" s="43">
        <f>IF(SUM(L$10:L29)=0,IF(COUNTA(L$10:L29)=0,"Очікую",0),IF(COUNTIF(L$10:L29,"&gt;=4")=0,0,COUNTIF(L$10:L29,"&gt;=4")/$D29*100))</f>
        <v/>
      </c>
      <c r="M31" s="43">
        <f>IF(SUM(M$10:M29)=0,IF(COUNTA(M$10:M29)=0,"Очікую",0),IF(COUNTIF(M$10:M29,"&gt;=4")=0,0,COUNTIF(M$10:M29,"&gt;=4")/$D29*100))</f>
        <v/>
      </c>
      <c r="N31" s="43">
        <f>IF(SUM(N$10:N29)=0,IF(COUNTA(N$10:N29)=0,"Очікую",0),IF(COUNTIF(N$10:N29,"&gt;=4")=0,0,COUNTIF(N$10:N29,"&gt;=4")/$D29*100))</f>
        <v/>
      </c>
      <c r="O31" s="43">
        <f>IF(SUM(O$10:O29)=0,IF(COUNTA(O$10:O29)=0,"Очікую",0),IF(COUNTIF(O$10:O29,"&gt;=4")=0,0,COUNTIF(O$10:O29,"&gt;=4")/$D29*100))</f>
        <v/>
      </c>
      <c r="P31" s="43">
        <f>IF(SUM(P$10:P29)=0,IF(COUNTA(P$10:P29)=0,"Очікую",0),IF(COUNTIF(P$10:P29,"&gt;=4")=0,0,COUNTIF(P$10:P29,"&gt;=4")/$D29*100))</f>
        <v/>
      </c>
      <c r="Q31" s="43">
        <f>IF(SUM(Q$10:Q29)=0,IF(COUNTA(Q$10:Q29)=0,"Очікую",0),IF(COUNTIF(Q$10:Q29,"&gt;=4")=0,0,COUNTIF(Q$10:Q29,"&gt;=4")/$D29*100))</f>
        <v/>
      </c>
      <c r="R31" s="43">
        <f>IF(SUM(R$10:R29)=0,IF(COUNTA(R$10:R29)=0,"Очікую",0),IF(COUNTIF(R$10:R29,"&gt;=4")=0,0,COUNTIF(R$10:R29,"&gt;=4")/$D29*100))</f>
        <v/>
      </c>
      <c r="S31" s="43">
        <f>IF(SUM(S$10:S29)=0,IF(COUNTA(S$10:S29)=0,"Очікую",0),IF(COUNTIF(S$10:S29,"&gt;=4")=0,0,COUNTIF(S$10:S29,"&gt;=4")/$D29*100))</f>
        <v/>
      </c>
      <c r="T31" s="43">
        <f>IF(SUM(T$10:T29)=0,IF(COUNTA(T$10:T29)=0,"Очікую",0),IF(COUNTIF(T$10:T29,"&gt;=4")=0,0,COUNTIF(T$10:T29,"&gt;=4")/$D29*100))</f>
        <v/>
      </c>
      <c r="U31" s="6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Якісна успішність</t>
        </is>
      </c>
      <c r="F32" s="43">
        <f>IF(SUM(F$10:F29)=0,IF(COUNTA(F$10:F29)=0,"Очікую",0),IF(COUNTIF(F$10:F29,"&gt;=7")=0,0,COUNTIF(F$10:F29,"&gt;=7")/$D29*100))</f>
        <v/>
      </c>
      <c r="G32" s="43">
        <f>IF(SUM(G$10:G29)=0,IF(COUNTA(G$10:G29)=0,"Очікую",0),IF(COUNTIF(G$10:G29,"&gt;=7")=0,0,COUNTIF(G$10:G29,"&gt;=7")/$D29*100))</f>
        <v/>
      </c>
      <c r="H32" s="43">
        <f>IF(SUM(H$10:H29)=0,IF(COUNTA(H$10:H29)=0,"Очікую",0),IF(COUNTIF(H$10:H29,"&gt;=7")=0,0,COUNTIF(H$10:H29,"&gt;=7")/$D29*100))</f>
        <v/>
      </c>
      <c r="I32" s="43">
        <f>IF(SUM(I$10:I29)=0,IF(COUNTA(I$10:I29)=0,"Очікую",0),IF(COUNTIF(I$10:I29,"&gt;=7")=0,0,COUNTIF(I$10:I29,"&gt;=7")/$D29*100))</f>
        <v/>
      </c>
      <c r="J32" s="43">
        <f>IF(SUM(J$10:J29)=0,IF(COUNTA(J$10:J29)=0,"Очікую",0),IF(COUNTIF(J$10:J29,"&gt;=7")=0,0,COUNTIF(J$10:J29,"&gt;=7")/$D29*100))</f>
        <v/>
      </c>
      <c r="K32" s="43">
        <f>IF(SUM(K$10:K29)=0,IF(COUNTA(K$10:K29)=0,"Очікую",0),IF(COUNTIF(K$10:K29,"&gt;=7")=0,0,COUNTIF(K$10:K29,"&gt;=7")/$D29*100))</f>
        <v/>
      </c>
      <c r="L32" s="43">
        <f>IF(SUM(L$10:L29)=0,IF(COUNTA(L$10:L29)=0,"Очікую",0),IF(COUNTIF(L$10:L29,"&gt;=7")=0,0,COUNTIF(L$10:L29,"&gt;=7")/$D29*100))</f>
        <v/>
      </c>
      <c r="M32" s="43">
        <f>IF(SUM(M$10:M29)=0,IF(COUNTA(M$10:M29)=0,"Очікую",0),IF(COUNTIF(M$10:M29,"&gt;=7")=0,0,COUNTIF(M$10:M29,"&gt;=7")/$D29*100))</f>
        <v/>
      </c>
      <c r="N32" s="43">
        <f>IF(SUM(N$10:N29)=0,IF(COUNTA(N$10:N29)=0,"Очікую",0),IF(COUNTIF(N$10:N29,"&gt;=7")=0,0,COUNTIF(N$10:N29,"&gt;=7")/$D29*100))</f>
        <v/>
      </c>
      <c r="O32" s="43">
        <f>IF(SUM(O$10:O29)=0,IF(COUNTA(O$10:O29)=0,"Очікую",0),IF(COUNTIF(O$10:O29,"&gt;=7")=0,0,COUNTIF(O$10:O29,"&gt;=7")/$D29*100))</f>
        <v/>
      </c>
      <c r="P32" s="43">
        <f>IF(SUM(P$10:P29)=0,IF(COUNTA(P$10:P29)=0,"Очікую",0),IF(COUNTIF(P$10:P29,"&gt;=7")=0,0,COUNTIF(P$10:P29,"&gt;=7")/$D29*100))</f>
        <v/>
      </c>
      <c r="Q32" s="43">
        <f>IF(SUM(Q$10:Q29)=0,IF(COUNTA(Q$10:Q29)=0,"Очікую",0),IF(COUNTIF(Q$10:Q29,"&gt;=7")=0,0,COUNTIF(Q$10:Q29,"&gt;=7")/$D29*100))</f>
        <v/>
      </c>
      <c r="R32" s="43">
        <f>IF(SUM(R$10:R29)=0,IF(COUNTA(R$10:R29)=0,"Очікую",0),IF(COUNTIF(R$10:R29,"&gt;=7")=0,0,COUNTIF(R$10:R29,"&gt;=7")/$D29*100))</f>
        <v/>
      </c>
      <c r="S32" s="43">
        <f>IF(SUM(S$10:S29)=0,IF(COUNTA(S$10:S29)=0,"Очікую",0),IF(COUNTIF(S$10:S29,"&gt;=7")=0,0,COUNTIF(S$10:S29,"&gt;=7")/$D29*100))</f>
        <v/>
      </c>
      <c r="T32" s="43">
        <f>IF(SUM(T$10:T29)=0,IF(COUNTA(T$10:T29)=0,"Очікую",0),IF(COUNTIF(T$10:T29,"&gt;=7")=0,0,COUNTIF(T$10:T29,"&gt;=7")/$D29*100))</f>
        <v/>
      </c>
      <c r="U32" s="6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Абсолютна успішність по групі</t>
        </is>
      </c>
      <c r="F33" s="8">
        <f>IFERROR(AVERAGE(F31:T31),"Очікую")</f>
        <v/>
      </c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Якісна успішність по групі</t>
        </is>
      </c>
      <c r="F34" s="8">
        <f>IFERROR(AVERAGE($F32:T32),"Очікую")</f>
        <v/>
      </c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20" t="n"/>
      <c r="W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Кількість бюджетників</t>
        </is>
      </c>
      <c r="F35" s="63">
        <f>IF(COUNTIF($C$10:$C29,"=B")=0,IF(COUNTIF($C$10:$C29,"=K")=0,"Очікую",0),COUNTIF($C$10:$C29,"=B"))</f>
        <v/>
      </c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52" t="n"/>
      <c r="S35" s="52" t="n"/>
      <c r="T35" s="52" t="n"/>
      <c r="U35" s="52" t="n"/>
      <c r="V35" s="20" t="n"/>
      <c r="W35" s="39" t="n"/>
    </row>
    <row r="36" ht="15" customFormat="1" customHeight="1" s="11">
      <c r="A36" s="40" t="n"/>
      <c r="B36" s="12" t="n"/>
      <c r="C36" s="6" t="n"/>
      <c r="D36" s="6" t="n"/>
      <c r="E36" s="7" t="inlineStr">
        <is>
          <t>Кількість контрактників</t>
        </is>
      </c>
      <c r="F36" s="63">
        <f>IF(COUNTIF($C$10:$C29,"=K")=0,IF(COUNTIF($C$10:$C29,"=B")=0,"Очікую",0),COUNTIF($C$10:$C29,"=K"))</f>
        <v/>
      </c>
      <c r="G36" s="6" t="n"/>
      <c r="H36" s="55" t="inlineStr">
        <is>
          <t>Класний керівник</t>
        </is>
      </c>
      <c r="I36" s="55" t="n"/>
      <c r="J36" s="55" t="n"/>
      <c r="K36" s="55" t="n"/>
      <c r="L36" s="55" t="n"/>
      <c r="M36" s="6" t="n"/>
      <c r="N36" s="6" t="n"/>
      <c r="O36" s="6" t="n"/>
      <c r="P36" s="56">
        <f>'Загальна'!P53</f>
        <v/>
      </c>
      <c r="Q36" s="54" t="n"/>
      <c r="R36" s="54" t="n"/>
      <c r="S36" s="54" t="n"/>
      <c r="T36" s="54" t="n"/>
      <c r="U36" s="54" t="n"/>
      <c r="V36" s="20" t="n"/>
      <c r="W36" s="39" t="n"/>
    </row>
    <row r="37" ht="15" customFormat="1" customHeight="1" s="11">
      <c r="A37" s="40" t="n"/>
      <c r="B37" s="12" t="n"/>
      <c r="C37" s="6" t="n"/>
      <c r="D37" s="6" t="n"/>
      <c r="E37" s="7" t="inlineStr">
        <is>
          <t>Кількість соціального контингенту</t>
        </is>
      </c>
      <c r="F37" s="4" t="n"/>
      <c r="G37" s="6" t="n"/>
      <c r="H37" s="55" t="n"/>
      <c r="I37" s="55" t="n"/>
      <c r="J37" s="55" t="n"/>
      <c r="K37" s="55" t="n"/>
      <c r="L37" s="55" t="n"/>
      <c r="M37" s="6" t="n"/>
      <c r="N37" s="6" t="n"/>
      <c r="O37" s="6" t="n"/>
      <c r="P37" s="56" t="n"/>
      <c r="Q37" s="52" t="n"/>
      <c r="R37" s="52" t="n"/>
      <c r="S37" s="52" t="n"/>
      <c r="T37" s="52" t="n"/>
      <c r="U37" s="52" t="n"/>
      <c r="V37" s="20" t="n"/>
      <c r="W37" s="39" t="n"/>
    </row>
    <row r="38" ht="15" customFormat="1" customHeight="1" s="11">
      <c r="A38" s="40" t="n"/>
      <c r="B38" s="12" t="n"/>
      <c r="C38" s="6" t="n"/>
      <c r="D38" s="6" t="n"/>
      <c r="E38" s="7" t="inlineStr">
        <is>
          <t>Вийшли на стипендію</t>
        </is>
      </c>
      <c r="F38" s="63">
        <f>IF(F35="Очікую","Очікую",IF(F35-COUNTIF($U$10:$U29," - ")&lt;ROUNDDOWN(F35*0.4,0),F35-COUNTIF($U$10:$U29," - "),ROUNDDOWN(F35*0.4,0)))</f>
        <v/>
      </c>
      <c r="G38" s="6" t="n"/>
      <c r="H38" s="56" t="inlineStr">
        <is>
          <t>Завідувач відділення ПЗСО</t>
        </is>
      </c>
      <c r="I38" s="56" t="n"/>
      <c r="J38" s="56" t="n"/>
      <c r="K38" s="56" t="n"/>
      <c r="L38" s="56" t="n"/>
      <c r="M38" s="6" t="n"/>
      <c r="N38" s="6" t="n"/>
      <c r="O38" s="6" t="n"/>
      <c r="P38" s="56" t="inlineStr">
        <is>
          <t>Margarita BRITIKOVA</t>
        </is>
      </c>
      <c r="Q38" s="54" t="n"/>
      <c r="R38" s="54" t="n"/>
      <c r="S38" s="54" t="n"/>
      <c r="T38" s="54" t="n"/>
      <c r="U38" s="54" t="n"/>
      <c r="V38" s="20" t="n"/>
      <c r="W38" s="39" t="n"/>
    </row>
    <row r="39" ht="15" customFormat="1" customHeight="1" s="11">
      <c r="A39" s="40" t="n"/>
      <c r="B39" s="21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5" t="n"/>
      <c r="W39" s="39" t="n"/>
    </row>
    <row r="40" ht="15" customFormat="1" customHeight="1" s="11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8" t="n"/>
      <c r="M40" s="38" t="n"/>
      <c r="N40" s="38" t="n"/>
      <c r="O40" s="38" t="n"/>
      <c r="P40" s="38" t="n"/>
      <c r="Q40" s="38" t="n"/>
      <c r="R40" s="38" t="n"/>
      <c r="S40" s="38" t="n"/>
      <c r="T40" s="38" t="n"/>
      <c r="U40" s="38" t="n"/>
      <c r="V40" s="38" t="n"/>
      <c r="W40" s="39" t="n"/>
    </row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E2 ««Екологія»»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'Загальна'!C11</f>
        <v/>
      </c>
      <c r="D10" s="47" t="n">
        <v>1</v>
      </c>
      <c r="E10" s="48">
        <f>'Загальна'!E11</f>
        <v/>
      </c>
      <c r="F10" s="49">
        <f>'Загальна'!F11</f>
        <v/>
      </c>
      <c r="G10" s="49">
        <f>'Загальна'!G11</f>
        <v/>
      </c>
      <c r="H10" s="49">
        <f>'Загальна'!H11</f>
        <v/>
      </c>
      <c r="I10" s="49">
        <f>'Загальна'!I11</f>
        <v/>
      </c>
      <c r="J10" s="49">
        <f>'Загальна'!J11</f>
        <v/>
      </c>
      <c r="K10" s="49">
        <f>'Загальна'!K11</f>
        <v/>
      </c>
      <c r="L10" s="49">
        <f>'Загальна'!L11</f>
        <v/>
      </c>
      <c r="M10" s="49">
        <f>'Загальна'!M11</f>
        <v/>
      </c>
      <c r="N10" s="49">
        <f>'Загальна'!N11</f>
        <v/>
      </c>
      <c r="O10" s="49">
        <f>'Загальна'!O11</f>
        <v/>
      </c>
      <c r="P10" s="49">
        <f>'Загальна'!P11</f>
        <v/>
      </c>
      <c r="Q10" s="49">
        <f>'Загальна'!Q11</f>
        <v/>
      </c>
      <c r="R10" s="49">
        <f>'Загальна'!R11</f>
        <v/>
      </c>
      <c r="S10" s="49">
        <f>'Загальна'!S11</f>
        <v/>
      </c>
      <c r="T10" s="49">
        <f>'Загальна'!T11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9">
        <f>'Загальна'!T14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9">
        <f>'Загальна'!T18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9">
        <f>'Загальна'!T21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'Загальна'!C24</f>
        <v/>
      </c>
      <c r="D14" s="47" t="n">
        <v>5</v>
      </c>
      <c r="E14" s="48">
        <f>'Загальна'!E24</f>
        <v/>
      </c>
      <c r="F14" s="49">
        <f>'Загальна'!F24</f>
        <v/>
      </c>
      <c r="G14" s="49">
        <f>'Загальна'!G24</f>
        <v/>
      </c>
      <c r="H14" s="49">
        <f>'Загальна'!H24</f>
        <v/>
      </c>
      <c r="I14" s="49">
        <f>'Загальна'!I24</f>
        <v/>
      </c>
      <c r="J14" s="49">
        <f>'Загальна'!J24</f>
        <v/>
      </c>
      <c r="K14" s="49">
        <f>'Загальна'!K24</f>
        <v/>
      </c>
      <c r="L14" s="49">
        <f>'Загальна'!L24</f>
        <v/>
      </c>
      <c r="M14" s="49">
        <f>'Загальна'!M24</f>
        <v/>
      </c>
      <c r="N14" s="49">
        <f>'Загальна'!N24</f>
        <v/>
      </c>
      <c r="O14" s="49">
        <f>'Загальна'!O24</f>
        <v/>
      </c>
      <c r="P14" s="49">
        <f>'Загальна'!P24</f>
        <v/>
      </c>
      <c r="Q14" s="49">
        <f>'Загальна'!Q24</f>
        <v/>
      </c>
      <c r="R14" s="49">
        <f>'Загальна'!R24</f>
        <v/>
      </c>
      <c r="S14" s="49">
        <f>'Загальна'!S24</f>
        <v/>
      </c>
      <c r="T14" s="49">
        <f>'Загальна'!T24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'Загальна'!C26</f>
        <v/>
      </c>
      <c r="D15" s="47" t="n">
        <v>6</v>
      </c>
      <c r="E15" s="48">
        <f>'Загальна'!E26</f>
        <v/>
      </c>
      <c r="F15" s="49">
        <f>'Загальна'!F26</f>
        <v/>
      </c>
      <c r="G15" s="49">
        <f>'Загальна'!G26</f>
        <v/>
      </c>
      <c r="H15" s="49">
        <f>'Загальна'!H26</f>
        <v/>
      </c>
      <c r="I15" s="49">
        <f>'Загальна'!I26</f>
        <v/>
      </c>
      <c r="J15" s="49">
        <f>'Загальна'!J26</f>
        <v/>
      </c>
      <c r="K15" s="49">
        <f>'Загальна'!K26</f>
        <v/>
      </c>
      <c r="L15" s="49">
        <f>'Загальна'!L26</f>
        <v/>
      </c>
      <c r="M15" s="49">
        <f>'Загальна'!M26</f>
        <v/>
      </c>
      <c r="N15" s="49">
        <f>'Загальна'!N26</f>
        <v/>
      </c>
      <c r="O15" s="49">
        <f>'Загальна'!O26</f>
        <v/>
      </c>
      <c r="P15" s="49">
        <f>'Загальна'!P26</f>
        <v/>
      </c>
      <c r="Q15" s="49">
        <f>'Загальна'!Q26</f>
        <v/>
      </c>
      <c r="R15" s="49">
        <f>'Загальна'!R26</f>
        <v/>
      </c>
      <c r="S15" s="49">
        <f>'Загальна'!S26</f>
        <v/>
      </c>
      <c r="T15" s="49">
        <f>'Загальна'!T26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'Загальна'!C27</f>
        <v/>
      </c>
      <c r="D16" s="47" t="n">
        <v>7</v>
      </c>
      <c r="E16" s="48">
        <f>'Загальна'!E27</f>
        <v/>
      </c>
      <c r="F16" s="49">
        <f>'Загальна'!F27</f>
        <v/>
      </c>
      <c r="G16" s="49">
        <f>'Загальна'!G27</f>
        <v/>
      </c>
      <c r="H16" s="49">
        <f>'Загальна'!H27</f>
        <v/>
      </c>
      <c r="I16" s="49">
        <f>'Загальна'!I27</f>
        <v/>
      </c>
      <c r="J16" s="49">
        <f>'Загальна'!J27</f>
        <v/>
      </c>
      <c r="K16" s="49">
        <f>'Загальна'!K27</f>
        <v/>
      </c>
      <c r="L16" s="49">
        <f>'Загальна'!L27</f>
        <v/>
      </c>
      <c r="M16" s="49">
        <f>'Загальна'!M27</f>
        <v/>
      </c>
      <c r="N16" s="49">
        <f>'Загальна'!N27</f>
        <v/>
      </c>
      <c r="O16" s="49">
        <f>'Загальна'!O27</f>
        <v/>
      </c>
      <c r="P16" s="49">
        <f>'Загальна'!P27</f>
        <v/>
      </c>
      <c r="Q16" s="49">
        <f>'Загальна'!Q27</f>
        <v/>
      </c>
      <c r="R16" s="49">
        <f>'Загальна'!R27</f>
        <v/>
      </c>
      <c r="S16" s="49">
        <f>'Загальна'!S27</f>
        <v/>
      </c>
      <c r="T16" s="49">
        <f>'Загальна'!T27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9">
        <f>'Загальна'!T31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'Загальна'!C34</f>
        <v/>
      </c>
      <c r="D18" s="47" t="n">
        <v>9</v>
      </c>
      <c r="E18" s="48">
        <f>'Загальна'!E34</f>
        <v/>
      </c>
      <c r="F18" s="49">
        <f>'Загальна'!F34</f>
        <v/>
      </c>
      <c r="G18" s="49">
        <f>'Загальна'!G34</f>
        <v/>
      </c>
      <c r="H18" s="49">
        <f>'Загальна'!H34</f>
        <v/>
      </c>
      <c r="I18" s="49">
        <f>'Загальна'!I34</f>
        <v/>
      </c>
      <c r="J18" s="49">
        <f>'Загальна'!J34</f>
        <v/>
      </c>
      <c r="K18" s="49">
        <f>'Загальна'!K34</f>
        <v/>
      </c>
      <c r="L18" s="49">
        <f>'Загальна'!L34</f>
        <v/>
      </c>
      <c r="M18" s="49">
        <f>'Загальна'!M34</f>
        <v/>
      </c>
      <c r="N18" s="49">
        <f>'Загальна'!N34</f>
        <v/>
      </c>
      <c r="O18" s="49">
        <f>'Загальна'!O34</f>
        <v/>
      </c>
      <c r="P18" s="49">
        <f>'Загальна'!P34</f>
        <v/>
      </c>
      <c r="Q18" s="49">
        <f>'Загальна'!Q34</f>
        <v/>
      </c>
      <c r="R18" s="49">
        <f>'Загальна'!R34</f>
        <v/>
      </c>
      <c r="S18" s="49">
        <f>'Загальна'!S34</f>
        <v/>
      </c>
      <c r="T18" s="49">
        <f>'Загальна'!T34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'Загальна'!C36</f>
        <v/>
      </c>
      <c r="D19" s="47" t="n">
        <v>10</v>
      </c>
      <c r="E19" s="48">
        <f>'Загальна'!E36</f>
        <v/>
      </c>
      <c r="F19" s="49">
        <f>'Загальна'!F36</f>
        <v/>
      </c>
      <c r="G19" s="49">
        <f>'Загальна'!G36</f>
        <v/>
      </c>
      <c r="H19" s="49">
        <f>'Загальна'!H36</f>
        <v/>
      </c>
      <c r="I19" s="49">
        <f>'Загальна'!I36</f>
        <v/>
      </c>
      <c r="J19" s="49">
        <f>'Загальна'!J36</f>
        <v/>
      </c>
      <c r="K19" s="49">
        <f>'Загальна'!K36</f>
        <v/>
      </c>
      <c r="L19" s="49">
        <f>'Загальна'!L36</f>
        <v/>
      </c>
      <c r="M19" s="49">
        <f>'Загальна'!M36</f>
        <v/>
      </c>
      <c r="N19" s="49">
        <f>'Загальна'!N36</f>
        <v/>
      </c>
      <c r="O19" s="49">
        <f>'Загальна'!O36</f>
        <v/>
      </c>
      <c r="P19" s="49">
        <f>'Загальна'!P36</f>
        <v/>
      </c>
      <c r="Q19" s="49">
        <f>'Загальна'!Q36</f>
        <v/>
      </c>
      <c r="R19" s="49">
        <f>'Загальна'!R36</f>
        <v/>
      </c>
      <c r="S19" s="49">
        <f>'Загальна'!S36</f>
        <v/>
      </c>
      <c r="T19" s="49">
        <f>'Загальна'!T36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'Загальна'!C37</f>
        <v/>
      </c>
      <c r="D20" s="47" t="n">
        <v>11</v>
      </c>
      <c r="E20" s="48">
        <f>'Загальна'!E37</f>
        <v/>
      </c>
      <c r="F20" s="49">
        <f>'Загальна'!F37</f>
        <v/>
      </c>
      <c r="G20" s="49">
        <f>'Загальна'!G37</f>
        <v/>
      </c>
      <c r="H20" s="49">
        <f>'Загальна'!H37</f>
        <v/>
      </c>
      <c r="I20" s="49">
        <f>'Загальна'!I37</f>
        <v/>
      </c>
      <c r="J20" s="49">
        <f>'Загальна'!J37</f>
        <v/>
      </c>
      <c r="K20" s="49">
        <f>'Загальна'!K37</f>
        <v/>
      </c>
      <c r="L20" s="49">
        <f>'Загальна'!L37</f>
        <v/>
      </c>
      <c r="M20" s="49">
        <f>'Загальна'!M37</f>
        <v/>
      </c>
      <c r="N20" s="49">
        <f>'Загальна'!N37</f>
        <v/>
      </c>
      <c r="O20" s="49">
        <f>'Загальна'!O37</f>
        <v/>
      </c>
      <c r="P20" s="49">
        <f>'Загальна'!P37</f>
        <v/>
      </c>
      <c r="Q20" s="49">
        <f>'Загальна'!Q37</f>
        <v/>
      </c>
      <c r="R20" s="49">
        <f>'Загальна'!R37</f>
        <v/>
      </c>
      <c r="S20" s="49">
        <f>'Загальна'!S37</f>
        <v/>
      </c>
      <c r="T20" s="49">
        <f>'Загальна'!T37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'Загальна'!C42</f>
        <v/>
      </c>
      <c r="D21" s="47" t="n">
        <v>12</v>
      </c>
      <c r="E21" s="48">
        <f>'Загальна'!E42</f>
        <v/>
      </c>
      <c r="F21" s="49">
        <f>'Загальна'!F42</f>
        <v/>
      </c>
      <c r="G21" s="49">
        <f>'Загальна'!G42</f>
        <v/>
      </c>
      <c r="H21" s="49">
        <f>'Загальна'!H42</f>
        <v/>
      </c>
      <c r="I21" s="49">
        <f>'Загальна'!I42</f>
        <v/>
      </c>
      <c r="J21" s="49">
        <f>'Загальна'!J42</f>
        <v/>
      </c>
      <c r="K21" s="49">
        <f>'Загальна'!K42</f>
        <v/>
      </c>
      <c r="L21" s="49">
        <f>'Загальна'!L42</f>
        <v/>
      </c>
      <c r="M21" s="49">
        <f>'Загальна'!M42</f>
        <v/>
      </c>
      <c r="N21" s="49">
        <f>'Загальна'!N42</f>
        <v/>
      </c>
      <c r="O21" s="49">
        <f>'Загальна'!O42</f>
        <v/>
      </c>
      <c r="P21" s="49">
        <f>'Загальна'!P42</f>
        <v/>
      </c>
      <c r="Q21" s="49">
        <f>'Загальна'!Q42</f>
        <v/>
      </c>
      <c r="R21" s="49">
        <f>'Загальна'!R42</f>
        <v/>
      </c>
      <c r="S21" s="49">
        <f>'Загальна'!S42</f>
        <v/>
      </c>
      <c r="T21" s="49">
        <f>'Загальна'!T42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'Загальна'!C46</f>
        <v/>
      </c>
      <c r="D22" s="47" t="n">
        <v>13</v>
      </c>
      <c r="E22" s="48">
        <f>'Загальна'!E46</f>
        <v/>
      </c>
      <c r="F22" s="49">
        <f>'Загальна'!F46</f>
        <v/>
      </c>
      <c r="G22" s="49">
        <f>'Загальна'!G46</f>
        <v/>
      </c>
      <c r="H22" s="49">
        <f>'Загальна'!H46</f>
        <v/>
      </c>
      <c r="I22" s="49">
        <f>'Загальна'!I46</f>
        <v/>
      </c>
      <c r="J22" s="49">
        <f>'Загальна'!J46</f>
        <v/>
      </c>
      <c r="K22" s="49">
        <f>'Загальна'!K46</f>
        <v/>
      </c>
      <c r="L22" s="49">
        <f>'Загальна'!L46</f>
        <v/>
      </c>
      <c r="M22" s="49">
        <f>'Загальна'!M46</f>
        <v/>
      </c>
      <c r="N22" s="49">
        <f>'Загальна'!N46</f>
        <v/>
      </c>
      <c r="O22" s="49">
        <f>'Загальна'!O46</f>
        <v/>
      </c>
      <c r="P22" s="49">
        <f>'Загальна'!P46</f>
        <v/>
      </c>
      <c r="Q22" s="49">
        <f>'Загальна'!Q46</f>
        <v/>
      </c>
      <c r="R22" s="49">
        <f>'Загальна'!R46</f>
        <v/>
      </c>
      <c r="S22" s="49">
        <f>'Загальна'!S46</f>
        <v/>
      </c>
      <c r="T22" s="49">
        <f>'Загальна'!T46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8">
        <f>IF(SUM(T$10:T22)=0,IF(COUNTA(T$10:T22)=0,"Очікую",0),SUM(T$10:T22)/$D22)</f>
        <v/>
      </c>
      <c r="U23" s="9">
        <f>IFERROR(AVERAGE($F23:T23),"Очікую")</f>
        <v/>
      </c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43">
        <f>IF(SUM(T$10:T22)=0,IF(COUNTA(T$10:T22)=0,"Очікую",0),IF(COUNTIF(T$10:T22,"&gt;=4")=0,0,COUNTIF(T$10:T22,"&gt;=4")/$D22*100))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43">
        <f>IF(SUM(T$10:T22)=0,IF(COUNTA(T$10:T22)=0,"Очікую",0),IF(COUNTIF(T$10:T22,"&gt;=7")=0,0,COUNTIF(T$10:T22,"&gt;=7")/$D22*100))</f>
        <v/>
      </c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IFERROR(AVERAGE($F25:T25),"Очікую")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52" t="n"/>
      <c r="S28" s="52" t="n"/>
      <c r="T28" s="52" t="n"/>
      <c r="U28" s="52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55" t="n"/>
      <c r="M29" s="6" t="n"/>
      <c r="N29" s="6" t="n"/>
      <c r="O29" s="6" t="n"/>
      <c r="P29" s="56">
        <f>'Загальна'!P53</f>
        <v/>
      </c>
      <c r="Q29" s="54" t="n"/>
      <c r="R29" s="54" t="n"/>
      <c r="S29" s="54" t="n"/>
      <c r="T29" s="54" t="n"/>
      <c r="U29" s="54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55" t="n"/>
      <c r="M30" s="6" t="n"/>
      <c r="N30" s="6" t="n"/>
      <c r="O30" s="6" t="n"/>
      <c r="P30" s="56" t="n"/>
      <c r="Q30" s="52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IF(F28="Очікую","Очікую",IF(F28-COUNTIF($U$10:$U22," - ")&lt;ROUNDDOWN(F28*0.4,0),F28-COUNTIF($U$10:$U22,"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56" t="n"/>
      <c r="M31" s="6" t="n"/>
      <c r="N31" s="6" t="n"/>
      <c r="O31" s="6" t="n"/>
      <c r="P31" s="56" t="inlineStr">
        <is>
          <t>Margarita BRITIKOVA</t>
        </is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5" t="n"/>
      <c r="W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1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G13 ««Харчові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'Загальна'!C38</f>
        <v/>
      </c>
      <c r="D10" s="47" t="n">
        <v>1</v>
      </c>
      <c r="E10" s="48">
        <f>'Загальна'!E38</f>
        <v/>
      </c>
      <c r="F10" s="49">
        <f>'Загальна'!F38</f>
        <v/>
      </c>
      <c r="G10" s="49">
        <f>'Загальна'!G38</f>
        <v/>
      </c>
      <c r="H10" s="49">
        <f>'Загальна'!H38</f>
        <v/>
      </c>
      <c r="I10" s="49">
        <f>'Загальна'!I38</f>
        <v/>
      </c>
      <c r="J10" s="49">
        <f>'Загальна'!J38</f>
        <v/>
      </c>
      <c r="K10" s="49">
        <f>'Загальна'!K38</f>
        <v/>
      </c>
      <c r="L10" s="49">
        <f>'Загальна'!L38</f>
        <v/>
      </c>
      <c r="M10" s="49">
        <f>'Загальна'!M38</f>
        <v/>
      </c>
      <c r="N10" s="49">
        <f>'Загальна'!N38</f>
        <v/>
      </c>
      <c r="O10" s="49">
        <f>'Загальна'!O38</f>
        <v/>
      </c>
      <c r="P10" s="49">
        <f>'Загальна'!P38</f>
        <v/>
      </c>
      <c r="Q10" s="49">
        <f>'Загальна'!Q38</f>
        <v/>
      </c>
      <c r="R10" s="49">
        <f>'Загальна'!R38</f>
        <v/>
      </c>
      <c r="S10" s="49">
        <f>'Загальна'!S38</f>
        <v/>
      </c>
      <c r="T10" s="49">
        <f>'Загальна'!T38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6" t="n"/>
      <c r="D11" s="6" t="n"/>
      <c r="E11" s="7" t="inlineStr">
        <is>
          <t>Середній бал успішності з дисципліни</t>
        </is>
      </c>
      <c r="F11" s="8">
        <f>IF(SUM(F$10:F10)=0,IF(COUNTA(F$10:F10)=0,"Очікую",0),SUM(F$10:F10)/$D10)</f>
        <v/>
      </c>
      <c r="G11" s="8">
        <f>IF(SUM(G$10:G10)=0,IF(COUNTA(G$10:G10)=0,"Очікую",0),SUM(G$10:G10)/$D10)</f>
        <v/>
      </c>
      <c r="H11" s="8">
        <f>IF(SUM(H$10:H10)=0,IF(COUNTA(H$10:H10)=0,"Очікую",0),SUM(H$10:H10)/$D10)</f>
        <v/>
      </c>
      <c r="I11" s="8">
        <f>IF(SUM(I$10:I10)=0,IF(COUNTA(I$10:I10)=0,"Очікую",0),SUM(I$10:I10)/$D10)</f>
        <v/>
      </c>
      <c r="J11" s="8">
        <f>IF(SUM(J$10:J10)=0,IF(COUNTA(J$10:J10)=0,"Очікую",0),SUM(J$10:J10)/$D10)</f>
        <v/>
      </c>
      <c r="K11" s="8">
        <f>IF(SUM(K$10:K10)=0,IF(COUNTA(K$10:K10)=0,"Очікую",0),SUM(K$10:K10)/$D10)</f>
        <v/>
      </c>
      <c r="L11" s="8">
        <f>IF(SUM(L$10:L10)=0,IF(COUNTA(L$10:L10)=0,"Очікую",0),SUM(L$10:L10)/$D10)</f>
        <v/>
      </c>
      <c r="M11" s="8">
        <f>IF(SUM(M$10:M10)=0,IF(COUNTA(M$10:M10)=0,"Очікую",0),SUM(M$10:M10)/$D10)</f>
        <v/>
      </c>
      <c r="N11" s="8">
        <f>IF(SUM(N$10:N10)=0,IF(COUNTA(N$10:N10)=0,"Очікую",0),SUM(N$10:N10)/$D10)</f>
        <v/>
      </c>
      <c r="O11" s="8">
        <f>IF(SUM(O$10:O10)=0,IF(COUNTA(O$10:O10)=0,"Очікую",0),SUM(O$10:O10)/$D10)</f>
        <v/>
      </c>
      <c r="P11" s="8">
        <f>IF(SUM(P$10:P10)=0,IF(COUNTA(P$10:P10)=0,"Очікую",0),SUM(P$10:P10)/$D10)</f>
        <v/>
      </c>
      <c r="Q11" s="8">
        <f>IF(SUM(Q$10:Q10)=0,IF(COUNTA(Q$10:Q10)=0,"Очікую",0),SUM(Q$10:Q10)/$D10)</f>
        <v/>
      </c>
      <c r="R11" s="8">
        <f>IF(SUM(R$10:R10)=0,IF(COUNTA(R$10:R10)=0,"Очікую",0),SUM(R$10:R10)/$D10)</f>
        <v/>
      </c>
      <c r="S11" s="8">
        <f>IF(SUM(S$10:S10)=0,IF(COUNTA(S$10:S10)=0,"Очікую",0),SUM(S$10:S10)/$D10)</f>
        <v/>
      </c>
      <c r="T11" s="8">
        <f>IF(SUM(T$10:T10)=0,IF(COUNTA(T$10:T10)=0,"Очікую",0),SUM(T$10:T10)/$D10)</f>
        <v/>
      </c>
      <c r="U11" s="9">
        <f>IFERROR(AVERAGE($F11:T11),"Очікую")</f>
        <v/>
      </c>
      <c r="V11" s="20" t="n"/>
      <c r="W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Абсолютна успішність</t>
        </is>
      </c>
      <c r="F12" s="43">
        <f>IF(SUM(F$10:F10)=0,IF(COUNTA(F$10:F10)=0,"Очікую",0),IF(COUNTIF(F$10:F10,"&gt;=4")=0,0,COUNTIF(F$10:F10,"&gt;=4")/$D10*100))</f>
        <v/>
      </c>
      <c r="G12" s="43">
        <f>IF(SUM(G$10:G10)=0,IF(COUNTA(G$10:G10)=0,"Очікую",0),IF(COUNTIF(G$10:G10,"&gt;=4")=0,0,COUNTIF(G$10:G10,"&gt;=4")/$D10*100))</f>
        <v/>
      </c>
      <c r="H12" s="43">
        <f>IF(SUM(H$10:H10)=0,IF(COUNTA(H$10:H10)=0,"Очікую",0),IF(COUNTIF(H$10:H10,"&gt;=4")=0,0,COUNTIF(H$10:H10,"&gt;=4")/$D10*100))</f>
        <v/>
      </c>
      <c r="I12" s="43">
        <f>IF(SUM(I$10:I10)=0,IF(COUNTA(I$10:I10)=0,"Очікую",0),IF(COUNTIF(I$10:I10,"&gt;=4")=0,0,COUNTIF(I$10:I10,"&gt;=4")/$D10*100))</f>
        <v/>
      </c>
      <c r="J12" s="43">
        <f>IF(SUM(J$10:J10)=0,IF(COUNTA(J$10:J10)=0,"Очікую",0),IF(COUNTIF(J$10:J10,"&gt;=4")=0,0,COUNTIF(J$10:J10,"&gt;=4")/$D10*100))</f>
        <v/>
      </c>
      <c r="K12" s="43">
        <f>IF(SUM(K$10:K10)=0,IF(COUNTA(K$10:K10)=0,"Очікую",0),IF(COUNTIF(K$10:K10,"&gt;=4")=0,0,COUNTIF(K$10:K10,"&gt;=4")/$D10*100))</f>
        <v/>
      </c>
      <c r="L12" s="43">
        <f>IF(SUM(L$10:L10)=0,IF(COUNTA(L$10:L10)=0,"Очікую",0),IF(COUNTIF(L$10:L10,"&gt;=4")=0,0,COUNTIF(L$10:L10,"&gt;=4")/$D10*100))</f>
        <v/>
      </c>
      <c r="M12" s="43">
        <f>IF(SUM(M$10:M10)=0,IF(COUNTA(M$10:M10)=0,"Очікую",0),IF(COUNTIF(M$10:M10,"&gt;=4")=0,0,COUNTIF(M$10:M10,"&gt;=4")/$D10*100))</f>
        <v/>
      </c>
      <c r="N12" s="43">
        <f>IF(SUM(N$10:N10)=0,IF(COUNTA(N$10:N10)=0,"Очікую",0),IF(COUNTIF(N$10:N10,"&gt;=4")=0,0,COUNTIF(N$10:N10,"&gt;=4")/$D10*100))</f>
        <v/>
      </c>
      <c r="O12" s="43">
        <f>IF(SUM(O$10:O10)=0,IF(COUNTA(O$10:O10)=0,"Очікую",0),IF(COUNTIF(O$10:O10,"&gt;=4")=0,0,COUNTIF(O$10:O10,"&gt;=4")/$D10*100))</f>
        <v/>
      </c>
      <c r="P12" s="43">
        <f>IF(SUM(P$10:P10)=0,IF(COUNTA(P$10:P10)=0,"Очікую",0),IF(COUNTIF(P$10:P10,"&gt;=4")=0,0,COUNTIF(P$10:P10,"&gt;=4")/$D10*100))</f>
        <v/>
      </c>
      <c r="Q12" s="43">
        <f>IF(SUM(Q$10:Q10)=0,IF(COUNTA(Q$10:Q10)=0,"Очікую",0),IF(COUNTIF(Q$10:Q10,"&gt;=4")=0,0,COUNTIF(Q$10:Q10,"&gt;=4")/$D10*100))</f>
        <v/>
      </c>
      <c r="R12" s="43">
        <f>IF(SUM(R$10:R10)=0,IF(COUNTA(R$10:R10)=0,"Очікую",0),IF(COUNTIF(R$10:R10,"&gt;=4")=0,0,COUNTIF(R$10:R10,"&gt;=4")/$D10*100))</f>
        <v/>
      </c>
      <c r="S12" s="43">
        <f>IF(SUM(S$10:S10)=0,IF(COUNTA(S$10:S10)=0,"Очікую",0),IF(COUNTIF(S$10:S10,"&gt;=4")=0,0,COUNTIF(S$10:S10,"&gt;=4")/$D10*100))</f>
        <v/>
      </c>
      <c r="T12" s="43">
        <f>IF(SUM(T$10:T10)=0,IF(COUNTA(T$10:T10)=0,"Очікую",0),IF(COUNTIF(T$10:T10,"&gt;=4")=0,0,COUNTIF(T$10:T10,"&gt;=4")/$D10*100))</f>
        <v/>
      </c>
      <c r="U12" s="6" t="n"/>
      <c r="V12" s="20" t="n"/>
      <c r="W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Якісна успішність</t>
        </is>
      </c>
      <c r="F13" s="43">
        <f>IF(SUM(F$10:F10)=0,IF(COUNTA(F$10:F10)=0,"Очікую",0),IF(COUNTIF(F$10:F10,"&gt;=7")=0,0,COUNTIF(F$10:F10,"&gt;=7")/$D10*100))</f>
        <v/>
      </c>
      <c r="G13" s="43">
        <f>IF(SUM(G$10:G10)=0,IF(COUNTA(G$10:G10)=0,"Очікую",0),IF(COUNTIF(G$10:G10,"&gt;=7")=0,0,COUNTIF(G$10:G10,"&gt;=7")/$D10*100))</f>
        <v/>
      </c>
      <c r="H13" s="43">
        <f>IF(SUM(H$10:H10)=0,IF(COUNTA(H$10:H10)=0,"Очікую",0),IF(COUNTIF(H$10:H10,"&gt;=7")=0,0,COUNTIF(H$10:H10,"&gt;=7")/$D10*100))</f>
        <v/>
      </c>
      <c r="I13" s="43">
        <f>IF(SUM(I$10:I10)=0,IF(COUNTA(I$10:I10)=0,"Очікую",0),IF(COUNTIF(I$10:I10,"&gt;=7")=0,0,COUNTIF(I$10:I10,"&gt;=7")/$D10*100))</f>
        <v/>
      </c>
      <c r="J13" s="43">
        <f>IF(SUM(J$10:J10)=0,IF(COUNTA(J$10:J10)=0,"Очікую",0),IF(COUNTIF(J$10:J10,"&gt;=7")=0,0,COUNTIF(J$10:J10,"&gt;=7")/$D10*100))</f>
        <v/>
      </c>
      <c r="K13" s="43">
        <f>IF(SUM(K$10:K10)=0,IF(COUNTA(K$10:K10)=0,"Очікую",0),IF(COUNTIF(K$10:K10,"&gt;=7")=0,0,COUNTIF(K$10:K10,"&gt;=7")/$D10*100))</f>
        <v/>
      </c>
      <c r="L13" s="43">
        <f>IF(SUM(L$10:L10)=0,IF(COUNTA(L$10:L10)=0,"Очікую",0),IF(COUNTIF(L$10:L10,"&gt;=7")=0,0,COUNTIF(L$10:L10,"&gt;=7")/$D10*100))</f>
        <v/>
      </c>
      <c r="M13" s="43">
        <f>IF(SUM(M$10:M10)=0,IF(COUNTA(M$10:M10)=0,"Очікую",0),IF(COUNTIF(M$10:M10,"&gt;=7")=0,0,COUNTIF(M$10:M10,"&gt;=7")/$D10*100))</f>
        <v/>
      </c>
      <c r="N13" s="43">
        <f>IF(SUM(N$10:N10)=0,IF(COUNTA(N$10:N10)=0,"Очікую",0),IF(COUNTIF(N$10:N10,"&gt;=7")=0,0,COUNTIF(N$10:N10,"&gt;=7")/$D10*100))</f>
        <v/>
      </c>
      <c r="O13" s="43">
        <f>IF(SUM(O$10:O10)=0,IF(COUNTA(O$10:O10)=0,"Очікую",0),IF(COUNTIF(O$10:O10,"&gt;=7")=0,0,COUNTIF(O$10:O10,"&gt;=7")/$D10*100))</f>
        <v/>
      </c>
      <c r="P13" s="43">
        <f>IF(SUM(P$10:P10)=0,IF(COUNTA(P$10:P10)=0,"Очікую",0),IF(COUNTIF(P$10:P10,"&gt;=7")=0,0,COUNTIF(P$10:P10,"&gt;=7")/$D10*100))</f>
        <v/>
      </c>
      <c r="Q13" s="43">
        <f>IF(SUM(Q$10:Q10)=0,IF(COUNTA(Q$10:Q10)=0,"Очікую",0),IF(COUNTIF(Q$10:Q10,"&gt;=7")=0,0,COUNTIF(Q$10:Q10,"&gt;=7")/$D10*100))</f>
        <v/>
      </c>
      <c r="R13" s="43">
        <f>IF(SUM(R$10:R10)=0,IF(COUNTA(R$10:R10)=0,"Очікую",0),IF(COUNTIF(R$10:R10,"&gt;=7")=0,0,COUNTIF(R$10:R10,"&gt;=7")/$D10*100))</f>
        <v/>
      </c>
      <c r="S13" s="43">
        <f>IF(SUM(S$10:S10)=0,IF(COUNTA(S$10:S10)=0,"Очікую",0),IF(COUNTIF(S$10:S10,"&gt;=7")=0,0,COUNTIF(S$10:S10,"&gt;=7")/$D10*100))</f>
        <v/>
      </c>
      <c r="T13" s="43">
        <f>IF(SUM(T$10:T10)=0,IF(COUNTA(T$10:T10)=0,"Очікую",0),IF(COUNTIF(T$10:T10,"&gt;=7")=0,0,COUNTIF(T$10:T10,"&gt;=7")/$D10*100))</f>
        <v/>
      </c>
      <c r="U13" s="6" t="n"/>
      <c r="V13" s="20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Абсолютна успішність по групі</t>
        </is>
      </c>
      <c r="F14" s="8">
        <f>IFERROR(AVERAGE(F12:T12),"Очікую")</f>
        <v/>
      </c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Якісна успішність по групі</t>
        </is>
      </c>
      <c r="F15" s="8">
        <f>IFERROR(AVERAGE($F13:T13),"Очікую")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Кількість бюджетників</t>
        </is>
      </c>
      <c r="F16" s="63">
        <f>IF(COUNTIF($C$10:$C10,"=B")=0,IF(COUNTIF($C$10:$C10,"=K")=0,"Очікую",0),COUNTIF($C$10:$C10,"=B"))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52" t="n"/>
      <c r="S16" s="52" t="n"/>
      <c r="T16" s="52" t="n"/>
      <c r="U16" s="52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контрактників</t>
        </is>
      </c>
      <c r="F17" s="63">
        <f>IF(COUNTIF($C$10:$C10,"=K")=0,IF(COUNTIF($C$10:$C10,"=B")=0,"Очікую",0),COUNTIF($C$10:$C10,"=K"))</f>
        <v/>
      </c>
      <c r="G17" s="6" t="n"/>
      <c r="H17" s="55" t="inlineStr">
        <is>
          <t>Класний керівник</t>
        </is>
      </c>
      <c r="I17" s="55" t="n"/>
      <c r="J17" s="55" t="n"/>
      <c r="K17" s="55" t="n"/>
      <c r="L17" s="55" t="n"/>
      <c r="M17" s="6" t="n"/>
      <c r="N17" s="6" t="n"/>
      <c r="O17" s="6" t="n"/>
      <c r="P17" s="56">
        <f>'Загальна'!P53</f>
        <v/>
      </c>
      <c r="Q17" s="54" t="n"/>
      <c r="R17" s="54" t="n"/>
      <c r="S17" s="54" t="n"/>
      <c r="T17" s="54" t="n"/>
      <c r="U17" s="54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соціального контингенту</t>
        </is>
      </c>
      <c r="F18" s="4" t="n"/>
      <c r="G18" s="6" t="n"/>
      <c r="H18" s="55" t="n"/>
      <c r="I18" s="55" t="n"/>
      <c r="J18" s="55" t="n"/>
      <c r="K18" s="55" t="n"/>
      <c r="L18" s="55" t="n"/>
      <c r="M18" s="6" t="n"/>
      <c r="N18" s="6" t="n"/>
      <c r="O18" s="6" t="n"/>
      <c r="P18" s="56" t="n"/>
      <c r="Q18" s="52" t="n"/>
      <c r="R18" s="52" t="n"/>
      <c r="S18" s="52" t="n"/>
      <c r="T18" s="52" t="n"/>
      <c r="U18" s="52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Вийшли на стипендію</t>
        </is>
      </c>
      <c r="F19" s="63">
        <f>IF(F16="Очікую","Очікую",IF(F16-COUNTIF($U$10:$U10," - ")&lt;ROUNDDOWN(F16*0.4,0),F16-COUNTIF($U$10:$U10," - "),ROUNDDOWN(F16*0.4,0)))</f>
        <v/>
      </c>
      <c r="G19" s="6" t="n"/>
      <c r="H19" s="56" t="inlineStr">
        <is>
          <t>Завідувач відділення ПЗСО</t>
        </is>
      </c>
      <c r="I19" s="56" t="n"/>
      <c r="J19" s="56" t="n"/>
      <c r="K19" s="56" t="n"/>
      <c r="L19" s="56" t="n"/>
      <c r="M19" s="6" t="n"/>
      <c r="N19" s="6" t="n"/>
      <c r="O19" s="6" t="n"/>
      <c r="P19" s="56" t="inlineStr">
        <is>
          <t>Margarita BRITIKOVA</t>
        </is>
      </c>
      <c r="Q19" s="54" t="n"/>
      <c r="R19" s="54" t="n"/>
      <c r="S19" s="54" t="n"/>
      <c r="T19" s="54" t="n"/>
      <c r="U19" s="54" t="n"/>
      <c r="V19" s="20" t="n"/>
      <c r="W19" s="39" t="n"/>
    </row>
    <row r="20" ht="15" customFormat="1" customHeight="1" s="11">
      <c r="A20" s="40" t="n"/>
      <c r="B20" s="21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5" t="n"/>
      <c r="W20" s="39" t="n"/>
    </row>
    <row r="21" ht="15" customFormat="1" customHeight="1" s="1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9" t="n"/>
    </row>
    <row r="22" hidden="1" ht="15" customFormat="1" customHeight="1" s="11"/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5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1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J2 ««Готельно-ресторанна справа та кейтеринг»»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'Загальна'!C17</f>
        <v/>
      </c>
      <c r="D10" s="47" t="n">
        <v>1</v>
      </c>
      <c r="E10" s="48">
        <f>'Загальна'!E17</f>
        <v/>
      </c>
      <c r="F10" s="49">
        <f>'Загальна'!F17</f>
        <v/>
      </c>
      <c r="G10" s="49">
        <f>'Загальна'!G17</f>
        <v/>
      </c>
      <c r="H10" s="49">
        <f>'Загальна'!H17</f>
        <v/>
      </c>
      <c r="I10" s="49">
        <f>'Загальна'!I17</f>
        <v/>
      </c>
      <c r="J10" s="49">
        <f>'Загальна'!J17</f>
        <v/>
      </c>
      <c r="K10" s="49">
        <f>'Загальна'!K17</f>
        <v/>
      </c>
      <c r="L10" s="49">
        <f>'Загальна'!L17</f>
        <v/>
      </c>
      <c r="M10" s="49">
        <f>'Загальна'!M17</f>
        <v/>
      </c>
      <c r="N10" s="49">
        <f>'Загальна'!N17</f>
        <v/>
      </c>
      <c r="O10" s="49">
        <f>'Загальна'!O17</f>
        <v/>
      </c>
      <c r="P10" s="49">
        <f>'Загальна'!P17</f>
        <v/>
      </c>
      <c r="Q10" s="49">
        <f>'Загальна'!Q17</f>
        <v/>
      </c>
      <c r="R10" s="49">
        <f>'Загальна'!R17</f>
        <v/>
      </c>
      <c r="S10" s="49">
        <f>'Загальна'!S17</f>
        <v/>
      </c>
      <c r="T10" s="49">
        <f>'Загальна'!T17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6" t="n"/>
      <c r="D11" s="6" t="n"/>
      <c r="E11" s="7" t="inlineStr">
        <is>
          <t>Середній бал успішності з дисципліни</t>
        </is>
      </c>
      <c r="F11" s="8">
        <f>IF(SUM(F$10:F10)=0,IF(COUNTA(F$10:F10)=0,"Очікую",0),SUM(F$10:F10)/$D10)</f>
        <v/>
      </c>
      <c r="G11" s="8">
        <f>IF(SUM(G$10:G10)=0,IF(COUNTA(G$10:G10)=0,"Очікую",0),SUM(G$10:G10)/$D10)</f>
        <v/>
      </c>
      <c r="H11" s="8">
        <f>IF(SUM(H$10:H10)=0,IF(COUNTA(H$10:H10)=0,"Очікую",0),SUM(H$10:H10)/$D10)</f>
        <v/>
      </c>
      <c r="I11" s="8">
        <f>IF(SUM(I$10:I10)=0,IF(COUNTA(I$10:I10)=0,"Очікую",0),SUM(I$10:I10)/$D10)</f>
        <v/>
      </c>
      <c r="J11" s="8">
        <f>IF(SUM(J$10:J10)=0,IF(COUNTA(J$10:J10)=0,"Очікую",0),SUM(J$10:J10)/$D10)</f>
        <v/>
      </c>
      <c r="K11" s="8">
        <f>IF(SUM(K$10:K10)=0,IF(COUNTA(K$10:K10)=0,"Очікую",0),SUM(K$10:K10)/$D10)</f>
        <v/>
      </c>
      <c r="L11" s="8">
        <f>IF(SUM(L$10:L10)=0,IF(COUNTA(L$10:L10)=0,"Очікую",0),SUM(L$10:L10)/$D10)</f>
        <v/>
      </c>
      <c r="M11" s="8">
        <f>IF(SUM(M$10:M10)=0,IF(COUNTA(M$10:M10)=0,"Очікую",0),SUM(M$10:M10)/$D10)</f>
        <v/>
      </c>
      <c r="N11" s="8">
        <f>IF(SUM(N$10:N10)=0,IF(COUNTA(N$10:N10)=0,"Очікую",0),SUM(N$10:N10)/$D10)</f>
        <v/>
      </c>
      <c r="O11" s="8">
        <f>IF(SUM(O$10:O10)=0,IF(COUNTA(O$10:O10)=0,"Очікую",0),SUM(O$10:O10)/$D10)</f>
        <v/>
      </c>
      <c r="P11" s="8">
        <f>IF(SUM(P$10:P10)=0,IF(COUNTA(P$10:P10)=0,"Очікую",0),SUM(P$10:P10)/$D10)</f>
        <v/>
      </c>
      <c r="Q11" s="8">
        <f>IF(SUM(Q$10:Q10)=0,IF(COUNTA(Q$10:Q10)=0,"Очікую",0),SUM(Q$10:Q10)/$D10)</f>
        <v/>
      </c>
      <c r="R11" s="8">
        <f>IF(SUM(R$10:R10)=0,IF(COUNTA(R$10:R10)=0,"Очікую",0),SUM(R$10:R10)/$D10)</f>
        <v/>
      </c>
      <c r="S11" s="8">
        <f>IF(SUM(S$10:S10)=0,IF(COUNTA(S$10:S10)=0,"Очікую",0),SUM(S$10:S10)/$D10)</f>
        <v/>
      </c>
      <c r="T11" s="8">
        <f>IF(SUM(T$10:T10)=0,IF(COUNTA(T$10:T10)=0,"Очікую",0),SUM(T$10:T10)/$D10)</f>
        <v/>
      </c>
      <c r="U11" s="9">
        <f>IFERROR(AVERAGE($F11:T11),"Очікую")</f>
        <v/>
      </c>
      <c r="V11" s="20" t="n"/>
      <c r="W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Абсолютна успішність</t>
        </is>
      </c>
      <c r="F12" s="43">
        <f>IF(SUM(F$10:F10)=0,IF(COUNTA(F$10:F10)=0,"Очікую",0),IF(COUNTIF(F$10:F10,"&gt;=4")=0,0,COUNTIF(F$10:F10,"&gt;=4")/$D10*100))</f>
        <v/>
      </c>
      <c r="G12" s="43">
        <f>IF(SUM(G$10:G10)=0,IF(COUNTA(G$10:G10)=0,"Очікую",0),IF(COUNTIF(G$10:G10,"&gt;=4")=0,0,COUNTIF(G$10:G10,"&gt;=4")/$D10*100))</f>
        <v/>
      </c>
      <c r="H12" s="43">
        <f>IF(SUM(H$10:H10)=0,IF(COUNTA(H$10:H10)=0,"Очікую",0),IF(COUNTIF(H$10:H10,"&gt;=4")=0,0,COUNTIF(H$10:H10,"&gt;=4")/$D10*100))</f>
        <v/>
      </c>
      <c r="I12" s="43">
        <f>IF(SUM(I$10:I10)=0,IF(COUNTA(I$10:I10)=0,"Очікую",0),IF(COUNTIF(I$10:I10,"&gt;=4")=0,0,COUNTIF(I$10:I10,"&gt;=4")/$D10*100))</f>
        <v/>
      </c>
      <c r="J12" s="43">
        <f>IF(SUM(J$10:J10)=0,IF(COUNTA(J$10:J10)=0,"Очікую",0),IF(COUNTIF(J$10:J10,"&gt;=4")=0,0,COUNTIF(J$10:J10,"&gt;=4")/$D10*100))</f>
        <v/>
      </c>
      <c r="K12" s="43">
        <f>IF(SUM(K$10:K10)=0,IF(COUNTA(K$10:K10)=0,"Очікую",0),IF(COUNTIF(K$10:K10,"&gt;=4")=0,0,COUNTIF(K$10:K10,"&gt;=4")/$D10*100))</f>
        <v/>
      </c>
      <c r="L12" s="43">
        <f>IF(SUM(L$10:L10)=0,IF(COUNTA(L$10:L10)=0,"Очікую",0),IF(COUNTIF(L$10:L10,"&gt;=4")=0,0,COUNTIF(L$10:L10,"&gt;=4")/$D10*100))</f>
        <v/>
      </c>
      <c r="M12" s="43">
        <f>IF(SUM(M$10:M10)=0,IF(COUNTA(M$10:M10)=0,"Очікую",0),IF(COUNTIF(M$10:M10,"&gt;=4")=0,0,COUNTIF(M$10:M10,"&gt;=4")/$D10*100))</f>
        <v/>
      </c>
      <c r="N12" s="43">
        <f>IF(SUM(N$10:N10)=0,IF(COUNTA(N$10:N10)=0,"Очікую",0),IF(COUNTIF(N$10:N10,"&gt;=4")=0,0,COUNTIF(N$10:N10,"&gt;=4")/$D10*100))</f>
        <v/>
      </c>
      <c r="O12" s="43">
        <f>IF(SUM(O$10:O10)=0,IF(COUNTA(O$10:O10)=0,"Очікую",0),IF(COUNTIF(O$10:O10,"&gt;=4")=0,0,COUNTIF(O$10:O10,"&gt;=4")/$D10*100))</f>
        <v/>
      </c>
      <c r="P12" s="43">
        <f>IF(SUM(P$10:P10)=0,IF(COUNTA(P$10:P10)=0,"Очікую",0),IF(COUNTIF(P$10:P10,"&gt;=4")=0,0,COUNTIF(P$10:P10,"&gt;=4")/$D10*100))</f>
        <v/>
      </c>
      <c r="Q12" s="43">
        <f>IF(SUM(Q$10:Q10)=0,IF(COUNTA(Q$10:Q10)=0,"Очікую",0),IF(COUNTIF(Q$10:Q10,"&gt;=4")=0,0,COUNTIF(Q$10:Q10,"&gt;=4")/$D10*100))</f>
        <v/>
      </c>
      <c r="R12" s="43">
        <f>IF(SUM(R$10:R10)=0,IF(COUNTA(R$10:R10)=0,"Очікую",0),IF(COUNTIF(R$10:R10,"&gt;=4")=0,0,COUNTIF(R$10:R10,"&gt;=4")/$D10*100))</f>
        <v/>
      </c>
      <c r="S12" s="43">
        <f>IF(SUM(S$10:S10)=0,IF(COUNTA(S$10:S10)=0,"Очікую",0),IF(COUNTIF(S$10:S10,"&gt;=4")=0,0,COUNTIF(S$10:S10,"&gt;=4")/$D10*100))</f>
        <v/>
      </c>
      <c r="T12" s="43">
        <f>IF(SUM(T$10:T10)=0,IF(COUNTA(T$10:T10)=0,"Очікую",0),IF(COUNTIF(T$10:T10,"&gt;=4")=0,0,COUNTIF(T$10:T10,"&gt;=4")/$D10*100))</f>
        <v/>
      </c>
      <c r="U12" s="6" t="n"/>
      <c r="V12" s="20" t="n"/>
      <c r="W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Якісна успішність</t>
        </is>
      </c>
      <c r="F13" s="43">
        <f>IF(SUM(F$10:F10)=0,IF(COUNTA(F$10:F10)=0,"Очікую",0),IF(COUNTIF(F$10:F10,"&gt;=7")=0,0,COUNTIF(F$10:F10,"&gt;=7")/$D10*100))</f>
        <v/>
      </c>
      <c r="G13" s="43">
        <f>IF(SUM(G$10:G10)=0,IF(COUNTA(G$10:G10)=0,"Очікую",0),IF(COUNTIF(G$10:G10,"&gt;=7")=0,0,COUNTIF(G$10:G10,"&gt;=7")/$D10*100))</f>
        <v/>
      </c>
      <c r="H13" s="43">
        <f>IF(SUM(H$10:H10)=0,IF(COUNTA(H$10:H10)=0,"Очікую",0),IF(COUNTIF(H$10:H10,"&gt;=7")=0,0,COUNTIF(H$10:H10,"&gt;=7")/$D10*100))</f>
        <v/>
      </c>
      <c r="I13" s="43">
        <f>IF(SUM(I$10:I10)=0,IF(COUNTA(I$10:I10)=0,"Очікую",0),IF(COUNTIF(I$10:I10,"&gt;=7")=0,0,COUNTIF(I$10:I10,"&gt;=7")/$D10*100))</f>
        <v/>
      </c>
      <c r="J13" s="43">
        <f>IF(SUM(J$10:J10)=0,IF(COUNTA(J$10:J10)=0,"Очікую",0),IF(COUNTIF(J$10:J10,"&gt;=7")=0,0,COUNTIF(J$10:J10,"&gt;=7")/$D10*100))</f>
        <v/>
      </c>
      <c r="K13" s="43">
        <f>IF(SUM(K$10:K10)=0,IF(COUNTA(K$10:K10)=0,"Очікую",0),IF(COUNTIF(K$10:K10,"&gt;=7")=0,0,COUNTIF(K$10:K10,"&gt;=7")/$D10*100))</f>
        <v/>
      </c>
      <c r="L13" s="43">
        <f>IF(SUM(L$10:L10)=0,IF(COUNTA(L$10:L10)=0,"Очікую",0),IF(COUNTIF(L$10:L10,"&gt;=7")=0,0,COUNTIF(L$10:L10,"&gt;=7")/$D10*100))</f>
        <v/>
      </c>
      <c r="M13" s="43">
        <f>IF(SUM(M$10:M10)=0,IF(COUNTA(M$10:M10)=0,"Очікую",0),IF(COUNTIF(M$10:M10,"&gt;=7")=0,0,COUNTIF(M$10:M10,"&gt;=7")/$D10*100))</f>
        <v/>
      </c>
      <c r="N13" s="43">
        <f>IF(SUM(N$10:N10)=0,IF(COUNTA(N$10:N10)=0,"Очікую",0),IF(COUNTIF(N$10:N10,"&gt;=7")=0,0,COUNTIF(N$10:N10,"&gt;=7")/$D10*100))</f>
        <v/>
      </c>
      <c r="O13" s="43">
        <f>IF(SUM(O$10:O10)=0,IF(COUNTA(O$10:O10)=0,"Очікую",0),IF(COUNTIF(O$10:O10,"&gt;=7")=0,0,COUNTIF(O$10:O10,"&gt;=7")/$D10*100))</f>
        <v/>
      </c>
      <c r="P13" s="43">
        <f>IF(SUM(P$10:P10)=0,IF(COUNTA(P$10:P10)=0,"Очікую",0),IF(COUNTIF(P$10:P10,"&gt;=7")=0,0,COUNTIF(P$10:P10,"&gt;=7")/$D10*100))</f>
        <v/>
      </c>
      <c r="Q13" s="43">
        <f>IF(SUM(Q$10:Q10)=0,IF(COUNTA(Q$10:Q10)=0,"Очікую",0),IF(COUNTIF(Q$10:Q10,"&gt;=7")=0,0,COUNTIF(Q$10:Q10,"&gt;=7")/$D10*100))</f>
        <v/>
      </c>
      <c r="R13" s="43">
        <f>IF(SUM(R$10:R10)=0,IF(COUNTA(R$10:R10)=0,"Очікую",0),IF(COUNTIF(R$10:R10,"&gt;=7")=0,0,COUNTIF(R$10:R10,"&gt;=7")/$D10*100))</f>
        <v/>
      </c>
      <c r="S13" s="43">
        <f>IF(SUM(S$10:S10)=0,IF(COUNTA(S$10:S10)=0,"Очікую",0),IF(COUNTIF(S$10:S10,"&gt;=7")=0,0,COUNTIF(S$10:S10,"&gt;=7")/$D10*100))</f>
        <v/>
      </c>
      <c r="T13" s="43">
        <f>IF(SUM(T$10:T10)=0,IF(COUNTA(T$10:T10)=0,"Очікую",0),IF(COUNTIF(T$10:T10,"&gt;=7")=0,0,COUNTIF(T$10:T10,"&gt;=7")/$D10*100))</f>
        <v/>
      </c>
      <c r="U13" s="6" t="n"/>
      <c r="V13" s="20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Абсолютна успішність по групі</t>
        </is>
      </c>
      <c r="F14" s="8">
        <f>IFERROR(AVERAGE(F12:T12),"Очікую")</f>
        <v/>
      </c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Якісна успішність по групі</t>
        </is>
      </c>
      <c r="F15" s="8">
        <f>IFERROR(AVERAGE($F13:T13),"Очікую")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Кількість бюджетників</t>
        </is>
      </c>
      <c r="F16" s="63">
        <f>IF(COUNTIF($C$10:$C10,"=B")=0,IF(COUNTIF($C$10:$C10,"=K")=0,"Очікую",0),COUNTIF($C$10:$C10,"=B"))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52" t="n"/>
      <c r="S16" s="52" t="n"/>
      <c r="T16" s="52" t="n"/>
      <c r="U16" s="52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контрактників</t>
        </is>
      </c>
      <c r="F17" s="63">
        <f>IF(COUNTIF($C$10:$C10,"=K")=0,IF(COUNTIF($C$10:$C10,"=B")=0,"Очікую",0),COUNTIF($C$10:$C10,"=K"))</f>
        <v/>
      </c>
      <c r="G17" s="6" t="n"/>
      <c r="H17" s="55" t="inlineStr">
        <is>
          <t>Класний керівник</t>
        </is>
      </c>
      <c r="I17" s="55" t="n"/>
      <c r="J17" s="55" t="n"/>
      <c r="K17" s="55" t="n"/>
      <c r="L17" s="55" t="n"/>
      <c r="M17" s="6" t="n"/>
      <c r="N17" s="6" t="n"/>
      <c r="O17" s="6" t="n"/>
      <c r="P17" s="56">
        <f>'Загальна'!P53</f>
        <v/>
      </c>
      <c r="Q17" s="54" t="n"/>
      <c r="R17" s="54" t="n"/>
      <c r="S17" s="54" t="n"/>
      <c r="T17" s="54" t="n"/>
      <c r="U17" s="54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соціального контингенту</t>
        </is>
      </c>
      <c r="F18" s="4" t="n"/>
      <c r="G18" s="6" t="n"/>
      <c r="H18" s="55" t="n"/>
      <c r="I18" s="55" t="n"/>
      <c r="J18" s="55" t="n"/>
      <c r="K18" s="55" t="n"/>
      <c r="L18" s="55" t="n"/>
      <c r="M18" s="6" t="n"/>
      <c r="N18" s="6" t="n"/>
      <c r="O18" s="6" t="n"/>
      <c r="P18" s="56" t="n"/>
      <c r="Q18" s="52" t="n"/>
      <c r="R18" s="52" t="n"/>
      <c r="S18" s="52" t="n"/>
      <c r="T18" s="52" t="n"/>
      <c r="U18" s="52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Вийшли на стипендію</t>
        </is>
      </c>
      <c r="F19" s="63">
        <f>IF(F16="Очікую","Очікую",IF(F16-COUNTIF($U$10:$U10," - ")&lt;ROUNDDOWN(F16*0.4,0),F16-COUNTIF($U$10:$U10," - "),ROUNDDOWN(F16*0.4,0)))</f>
        <v/>
      </c>
      <c r="G19" s="6" t="n"/>
      <c r="H19" s="56" t="inlineStr">
        <is>
          <t>Завідувач відділення ПЗСО</t>
        </is>
      </c>
      <c r="I19" s="56" t="n"/>
      <c r="J19" s="56" t="n"/>
      <c r="K19" s="56" t="n"/>
      <c r="L19" s="56" t="n"/>
      <c r="M19" s="6" t="n"/>
      <c r="N19" s="6" t="n"/>
      <c r="O19" s="6" t="n"/>
      <c r="P19" s="56" t="inlineStr">
        <is>
          <t>Margarita BRITIKOVA</t>
        </is>
      </c>
      <c r="Q19" s="54" t="n"/>
      <c r="R19" s="54" t="n"/>
      <c r="S19" s="54" t="n"/>
      <c r="T19" s="54" t="n"/>
      <c r="U19" s="54" t="n"/>
      <c r="V19" s="20" t="n"/>
      <c r="W19" s="39" t="n"/>
    </row>
    <row r="20" ht="15" customFormat="1" customHeight="1" s="11">
      <c r="A20" s="40" t="n"/>
      <c r="B20" s="21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5" t="n"/>
      <c r="W20" s="39" t="n"/>
    </row>
    <row r="21" ht="15" customFormat="1" customHeight="1" s="1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9" t="n"/>
    </row>
    <row r="22" hidden="1" ht="15" customFormat="1" customHeight="1" s="11"/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6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2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J3 ««Туризм та рекреація»»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'Загальна'!C16</f>
        <v/>
      </c>
      <c r="D10" s="47" t="n">
        <v>1</v>
      </c>
      <c r="E10" s="48">
        <f>'Загальна'!E16</f>
        <v/>
      </c>
      <c r="F10" s="49">
        <f>'Загальна'!F16</f>
        <v/>
      </c>
      <c r="G10" s="49">
        <f>'Загальна'!G16</f>
        <v/>
      </c>
      <c r="H10" s="49">
        <f>'Загальна'!H16</f>
        <v/>
      </c>
      <c r="I10" s="49">
        <f>'Загальна'!I16</f>
        <v/>
      </c>
      <c r="J10" s="49">
        <f>'Загальна'!J16</f>
        <v/>
      </c>
      <c r="K10" s="49">
        <f>'Загальна'!K16</f>
        <v/>
      </c>
      <c r="L10" s="49">
        <f>'Загальна'!L16</f>
        <v/>
      </c>
      <c r="M10" s="49">
        <f>'Загальна'!M16</f>
        <v/>
      </c>
      <c r="N10" s="49">
        <f>'Загальна'!N16</f>
        <v/>
      </c>
      <c r="O10" s="49">
        <f>'Загальна'!O16</f>
        <v/>
      </c>
      <c r="P10" s="49">
        <f>'Загальна'!P16</f>
        <v/>
      </c>
      <c r="Q10" s="49">
        <f>'Загальна'!Q16</f>
        <v/>
      </c>
      <c r="R10" s="49">
        <f>'Загальна'!R16</f>
        <v/>
      </c>
      <c r="S10" s="49">
        <f>'Загальна'!S16</f>
        <v/>
      </c>
      <c r="T10" s="49">
        <f>'Загальна'!T16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'Загальна'!C39</f>
        <v/>
      </c>
      <c r="D11" s="47" t="n">
        <v>2</v>
      </c>
      <c r="E11" s="48">
        <f>'Загальна'!E39</f>
        <v/>
      </c>
      <c r="F11" s="49">
        <f>'Загальна'!F39</f>
        <v/>
      </c>
      <c r="G11" s="49">
        <f>'Загальна'!G39</f>
        <v/>
      </c>
      <c r="H11" s="49">
        <f>'Загальна'!H39</f>
        <v/>
      </c>
      <c r="I11" s="49">
        <f>'Загальна'!I39</f>
        <v/>
      </c>
      <c r="J11" s="49">
        <f>'Загальна'!J39</f>
        <v/>
      </c>
      <c r="K11" s="49">
        <f>'Загальна'!K39</f>
        <v/>
      </c>
      <c r="L11" s="49">
        <f>'Загальна'!L39</f>
        <v/>
      </c>
      <c r="M11" s="49">
        <f>'Загальна'!M39</f>
        <v/>
      </c>
      <c r="N11" s="49">
        <f>'Загальна'!N39</f>
        <v/>
      </c>
      <c r="O11" s="49">
        <f>'Загальна'!O39</f>
        <v/>
      </c>
      <c r="P11" s="49">
        <f>'Загальна'!P39</f>
        <v/>
      </c>
      <c r="Q11" s="49">
        <f>'Загальна'!Q39</f>
        <v/>
      </c>
      <c r="R11" s="49">
        <f>'Загальна'!R39</f>
        <v/>
      </c>
      <c r="S11" s="49">
        <f>'Загальна'!S39</f>
        <v/>
      </c>
      <c r="T11" s="49">
        <f>'Загальна'!T39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Середній бал успішності з дисципліни</t>
        </is>
      </c>
      <c r="F12" s="8">
        <f>IF(SUM(F$10:F11)=0,IF(COUNTA(F$10:F11)=0,"Очікую",0),SUM(F$10:F11)/$D11)</f>
        <v/>
      </c>
      <c r="G12" s="8">
        <f>IF(SUM(G$10:G11)=0,IF(COUNTA(G$10:G11)=0,"Очікую",0),SUM(G$10:G11)/$D11)</f>
        <v/>
      </c>
      <c r="H12" s="8">
        <f>IF(SUM(H$10:H11)=0,IF(COUNTA(H$10:H11)=0,"Очікую",0),SUM(H$10:H11)/$D11)</f>
        <v/>
      </c>
      <c r="I12" s="8">
        <f>IF(SUM(I$10:I11)=0,IF(COUNTA(I$10:I11)=0,"Очікую",0),SUM(I$10:I11)/$D11)</f>
        <v/>
      </c>
      <c r="J12" s="8">
        <f>IF(SUM(J$10:J11)=0,IF(COUNTA(J$10:J11)=0,"Очікую",0),SUM(J$10:J11)/$D11)</f>
        <v/>
      </c>
      <c r="K12" s="8">
        <f>IF(SUM(K$10:K11)=0,IF(COUNTA(K$10:K11)=0,"Очікую",0),SUM(K$10:K11)/$D11)</f>
        <v/>
      </c>
      <c r="L12" s="8">
        <f>IF(SUM(L$10:L11)=0,IF(COUNTA(L$10:L11)=0,"Очікую",0),SUM(L$10:L11)/$D11)</f>
        <v/>
      </c>
      <c r="M12" s="8">
        <f>IF(SUM(M$10:M11)=0,IF(COUNTA(M$10:M11)=0,"Очікую",0),SUM(M$10:M11)/$D11)</f>
        <v/>
      </c>
      <c r="N12" s="8">
        <f>IF(SUM(N$10:N11)=0,IF(COUNTA(N$10:N11)=0,"Очікую",0),SUM(N$10:N11)/$D11)</f>
        <v/>
      </c>
      <c r="O12" s="8">
        <f>IF(SUM(O$10:O11)=0,IF(COUNTA(O$10:O11)=0,"Очікую",0),SUM(O$10:O11)/$D11)</f>
        <v/>
      </c>
      <c r="P12" s="8">
        <f>IF(SUM(P$10:P11)=0,IF(COUNTA(P$10:P11)=0,"Очікую",0),SUM(P$10:P11)/$D11)</f>
        <v/>
      </c>
      <c r="Q12" s="8">
        <f>IF(SUM(Q$10:Q11)=0,IF(COUNTA(Q$10:Q11)=0,"Очікую",0),SUM(Q$10:Q11)/$D11)</f>
        <v/>
      </c>
      <c r="R12" s="8">
        <f>IF(SUM(R$10:R11)=0,IF(COUNTA(R$10:R11)=0,"Очікую",0),SUM(R$10:R11)/$D11)</f>
        <v/>
      </c>
      <c r="S12" s="8">
        <f>IF(SUM(S$10:S11)=0,IF(COUNTA(S$10:S11)=0,"Очікую",0),SUM(S$10:S11)/$D11)</f>
        <v/>
      </c>
      <c r="T12" s="8">
        <f>IF(SUM(T$10:T11)=0,IF(COUNTA(T$10:T11)=0,"Очікую",0),SUM(T$10:T11)/$D11)</f>
        <v/>
      </c>
      <c r="U12" s="9">
        <f>IFERROR(AVERAGE($F12:T12),"Очікую")</f>
        <v/>
      </c>
      <c r="V12" s="20" t="n"/>
      <c r="W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Абсолютна успішність</t>
        </is>
      </c>
      <c r="F13" s="43">
        <f>IF(SUM(F$10:F11)=0,IF(COUNTA(F$10:F11)=0,"Очікую",0),IF(COUNTIF(F$10:F11,"&gt;=4")=0,0,COUNTIF(F$10:F11,"&gt;=4")/$D11*100))</f>
        <v/>
      </c>
      <c r="G13" s="43">
        <f>IF(SUM(G$10:G11)=0,IF(COUNTA(G$10:G11)=0,"Очікую",0),IF(COUNTIF(G$10:G11,"&gt;=4")=0,0,COUNTIF(G$10:G11,"&gt;=4")/$D11*100))</f>
        <v/>
      </c>
      <c r="H13" s="43">
        <f>IF(SUM(H$10:H11)=0,IF(COUNTA(H$10:H11)=0,"Очікую",0),IF(COUNTIF(H$10:H11,"&gt;=4")=0,0,COUNTIF(H$10:H11,"&gt;=4")/$D11*100))</f>
        <v/>
      </c>
      <c r="I13" s="43">
        <f>IF(SUM(I$10:I11)=0,IF(COUNTA(I$10:I11)=0,"Очікую",0),IF(COUNTIF(I$10:I11,"&gt;=4")=0,0,COUNTIF(I$10:I11,"&gt;=4")/$D11*100))</f>
        <v/>
      </c>
      <c r="J13" s="43">
        <f>IF(SUM(J$10:J11)=0,IF(COUNTA(J$10:J11)=0,"Очікую",0),IF(COUNTIF(J$10:J11,"&gt;=4")=0,0,COUNTIF(J$10:J11,"&gt;=4")/$D11*100))</f>
        <v/>
      </c>
      <c r="K13" s="43">
        <f>IF(SUM(K$10:K11)=0,IF(COUNTA(K$10:K11)=0,"Очікую",0),IF(COUNTIF(K$10:K11,"&gt;=4")=0,0,COUNTIF(K$10:K11,"&gt;=4")/$D11*100))</f>
        <v/>
      </c>
      <c r="L13" s="43">
        <f>IF(SUM(L$10:L11)=0,IF(COUNTA(L$10:L11)=0,"Очікую",0),IF(COUNTIF(L$10:L11,"&gt;=4")=0,0,COUNTIF(L$10:L11,"&gt;=4")/$D11*100))</f>
        <v/>
      </c>
      <c r="M13" s="43">
        <f>IF(SUM(M$10:M11)=0,IF(COUNTA(M$10:M11)=0,"Очікую",0),IF(COUNTIF(M$10:M11,"&gt;=4")=0,0,COUNTIF(M$10:M11,"&gt;=4")/$D11*100))</f>
        <v/>
      </c>
      <c r="N13" s="43">
        <f>IF(SUM(N$10:N11)=0,IF(COUNTA(N$10:N11)=0,"Очікую",0),IF(COUNTIF(N$10:N11,"&gt;=4")=0,0,COUNTIF(N$10:N11,"&gt;=4")/$D11*100))</f>
        <v/>
      </c>
      <c r="O13" s="43">
        <f>IF(SUM(O$10:O11)=0,IF(COUNTA(O$10:O11)=0,"Очікую",0),IF(COUNTIF(O$10:O11,"&gt;=4")=0,0,COUNTIF(O$10:O11,"&gt;=4")/$D11*100))</f>
        <v/>
      </c>
      <c r="P13" s="43">
        <f>IF(SUM(P$10:P11)=0,IF(COUNTA(P$10:P11)=0,"Очікую",0),IF(COUNTIF(P$10:P11,"&gt;=4")=0,0,COUNTIF(P$10:P11,"&gt;=4")/$D11*100))</f>
        <v/>
      </c>
      <c r="Q13" s="43">
        <f>IF(SUM(Q$10:Q11)=0,IF(COUNTA(Q$10:Q11)=0,"Очікую",0),IF(COUNTIF(Q$10:Q11,"&gt;=4")=0,0,COUNTIF(Q$10:Q11,"&gt;=4")/$D11*100))</f>
        <v/>
      </c>
      <c r="R13" s="43">
        <f>IF(SUM(R$10:R11)=0,IF(COUNTA(R$10:R11)=0,"Очікую",0),IF(COUNTIF(R$10:R11,"&gt;=4")=0,0,COUNTIF(R$10:R11,"&gt;=4")/$D11*100))</f>
        <v/>
      </c>
      <c r="S13" s="43">
        <f>IF(SUM(S$10:S11)=0,IF(COUNTA(S$10:S11)=0,"Очікую",0),IF(COUNTIF(S$10:S11,"&gt;=4")=0,0,COUNTIF(S$10:S11,"&gt;=4")/$D11*100))</f>
        <v/>
      </c>
      <c r="T13" s="43">
        <f>IF(SUM(T$10:T11)=0,IF(COUNTA(T$10:T11)=0,"Очікую",0),IF(COUNTIF(T$10:T11,"&gt;=4")=0,0,COUNTIF(T$10:T11,"&gt;=4")/$D11*100))</f>
        <v/>
      </c>
      <c r="U13" s="6" t="n"/>
      <c r="V13" s="20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Якісна успішність</t>
        </is>
      </c>
      <c r="F14" s="43">
        <f>IF(SUM(F$10:F11)=0,IF(COUNTA(F$10:F11)=0,"Очікую",0),IF(COUNTIF(F$10:F11,"&gt;=7")=0,0,COUNTIF(F$10:F11,"&gt;=7")/$D11*100))</f>
        <v/>
      </c>
      <c r="G14" s="43">
        <f>IF(SUM(G$10:G11)=0,IF(COUNTA(G$10:G11)=0,"Очікую",0),IF(COUNTIF(G$10:G11,"&gt;=7")=0,0,COUNTIF(G$10:G11,"&gt;=7")/$D11*100))</f>
        <v/>
      </c>
      <c r="H14" s="43">
        <f>IF(SUM(H$10:H11)=0,IF(COUNTA(H$10:H11)=0,"Очікую",0),IF(COUNTIF(H$10:H11,"&gt;=7")=0,0,COUNTIF(H$10:H11,"&gt;=7")/$D11*100))</f>
        <v/>
      </c>
      <c r="I14" s="43">
        <f>IF(SUM(I$10:I11)=0,IF(COUNTA(I$10:I11)=0,"Очікую",0),IF(COUNTIF(I$10:I11,"&gt;=7")=0,0,COUNTIF(I$10:I11,"&gt;=7")/$D11*100))</f>
        <v/>
      </c>
      <c r="J14" s="43">
        <f>IF(SUM(J$10:J11)=0,IF(COUNTA(J$10:J11)=0,"Очікую",0),IF(COUNTIF(J$10:J11,"&gt;=7")=0,0,COUNTIF(J$10:J11,"&gt;=7")/$D11*100))</f>
        <v/>
      </c>
      <c r="K14" s="43">
        <f>IF(SUM(K$10:K11)=0,IF(COUNTA(K$10:K11)=0,"Очікую",0),IF(COUNTIF(K$10:K11,"&gt;=7")=0,0,COUNTIF(K$10:K11,"&gt;=7")/$D11*100))</f>
        <v/>
      </c>
      <c r="L14" s="43">
        <f>IF(SUM(L$10:L11)=0,IF(COUNTA(L$10:L11)=0,"Очікую",0),IF(COUNTIF(L$10:L11,"&gt;=7")=0,0,COUNTIF(L$10:L11,"&gt;=7")/$D11*100))</f>
        <v/>
      </c>
      <c r="M14" s="43">
        <f>IF(SUM(M$10:M11)=0,IF(COUNTA(M$10:M11)=0,"Очікую",0),IF(COUNTIF(M$10:M11,"&gt;=7")=0,0,COUNTIF(M$10:M11,"&gt;=7")/$D11*100))</f>
        <v/>
      </c>
      <c r="N14" s="43">
        <f>IF(SUM(N$10:N11)=0,IF(COUNTA(N$10:N11)=0,"Очікую",0),IF(COUNTIF(N$10:N11,"&gt;=7")=0,0,COUNTIF(N$10:N11,"&gt;=7")/$D11*100))</f>
        <v/>
      </c>
      <c r="O14" s="43">
        <f>IF(SUM(O$10:O11)=0,IF(COUNTA(O$10:O11)=0,"Очікую",0),IF(COUNTIF(O$10:O11,"&gt;=7")=0,0,COUNTIF(O$10:O11,"&gt;=7")/$D11*100))</f>
        <v/>
      </c>
      <c r="P14" s="43">
        <f>IF(SUM(P$10:P11)=0,IF(COUNTA(P$10:P11)=0,"Очікую",0),IF(COUNTIF(P$10:P11,"&gt;=7")=0,0,COUNTIF(P$10:P11,"&gt;=7")/$D11*100))</f>
        <v/>
      </c>
      <c r="Q14" s="43">
        <f>IF(SUM(Q$10:Q11)=0,IF(COUNTA(Q$10:Q11)=0,"Очікую",0),IF(COUNTIF(Q$10:Q11,"&gt;=7")=0,0,COUNTIF(Q$10:Q11,"&gt;=7")/$D11*100))</f>
        <v/>
      </c>
      <c r="R14" s="43">
        <f>IF(SUM(R$10:R11)=0,IF(COUNTA(R$10:R11)=0,"Очікую",0),IF(COUNTIF(R$10:R11,"&gt;=7")=0,0,COUNTIF(R$10:R11,"&gt;=7")/$D11*100))</f>
        <v/>
      </c>
      <c r="S14" s="43">
        <f>IF(SUM(S$10:S11)=0,IF(COUNTA(S$10:S11)=0,"Очікую",0),IF(COUNTIF(S$10:S11,"&gt;=7")=0,0,COUNTIF(S$10:S11,"&gt;=7")/$D11*100))</f>
        <v/>
      </c>
      <c r="T14" s="43">
        <f>IF(SUM(T$10:T11)=0,IF(COUNTA(T$10:T11)=0,"Очікую",0),IF(COUNTIF(T$10:T11,"&gt;=7")=0,0,COUNTIF(T$10:T11,"&gt;=7")/$D11*100))</f>
        <v/>
      </c>
      <c r="U14" s="6" t="n"/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Абсолютна успішність по групі</t>
        </is>
      </c>
      <c r="F15" s="8">
        <f>IFERROR(AVERAGE(F13:T13),"Очікую")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Якісна успішність по групі</t>
        </is>
      </c>
      <c r="F16" s="8">
        <f>IFERROR(AVERAGE($F14:T14),"Очікую")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бюджетників</t>
        </is>
      </c>
      <c r="F17" s="63">
        <f>IF(COUNTIF($C$10:$C11,"=B")=0,IF(COUNTIF($C$10:$C11,"=K")=0,"Очікую",0),COUNTIF($C$10:$C11,"=B"))</f>
        <v/>
      </c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52" t="n"/>
      <c r="S17" s="52" t="n"/>
      <c r="T17" s="52" t="n"/>
      <c r="U17" s="52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контрактників</t>
        </is>
      </c>
      <c r="F18" s="63">
        <f>IF(COUNTIF($C$10:$C11,"=K")=0,IF(COUNTIF($C$10:$C11,"=B")=0,"Очікую",0),COUNTIF($C$10:$C11,"=K"))</f>
        <v/>
      </c>
      <c r="G18" s="6" t="n"/>
      <c r="H18" s="55" t="inlineStr">
        <is>
          <t>Класний керівник</t>
        </is>
      </c>
      <c r="I18" s="55" t="n"/>
      <c r="J18" s="55" t="n"/>
      <c r="K18" s="55" t="n"/>
      <c r="L18" s="55" t="n"/>
      <c r="M18" s="6" t="n"/>
      <c r="N18" s="6" t="n"/>
      <c r="O18" s="6" t="n"/>
      <c r="P18" s="56">
        <f>'Загальна'!P53</f>
        <v/>
      </c>
      <c r="Q18" s="54" t="n"/>
      <c r="R18" s="54" t="n"/>
      <c r="S18" s="54" t="n"/>
      <c r="T18" s="54" t="n"/>
      <c r="U18" s="54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Кількість соціального контингенту</t>
        </is>
      </c>
      <c r="F19" s="4" t="n"/>
      <c r="G19" s="6" t="n"/>
      <c r="H19" s="55" t="n"/>
      <c r="I19" s="55" t="n"/>
      <c r="J19" s="55" t="n"/>
      <c r="K19" s="55" t="n"/>
      <c r="L19" s="55" t="n"/>
      <c r="M19" s="6" t="n"/>
      <c r="N19" s="6" t="n"/>
      <c r="O19" s="6" t="n"/>
      <c r="P19" s="56" t="n"/>
      <c r="Q19" s="52" t="n"/>
      <c r="R19" s="52" t="n"/>
      <c r="S19" s="52" t="n"/>
      <c r="T19" s="52" t="n"/>
      <c r="U19" s="52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Вийшли на стипендію</t>
        </is>
      </c>
      <c r="F20" s="63">
        <f>IF(F17="Очікую","Очікую",IF(F17-COUNTIF($U$10:$U11," - ")&lt;ROUNDDOWN(F17*0.4,0),F17-COUNTIF($U$10:$U11," - "),ROUNDDOWN(F17*0.4,0)))</f>
        <v/>
      </c>
      <c r="G20" s="6" t="n"/>
      <c r="H20" s="56" t="inlineStr">
        <is>
          <t>Завідувач відділення ПЗСО</t>
        </is>
      </c>
      <c r="I20" s="56" t="n"/>
      <c r="J20" s="56" t="n"/>
      <c r="K20" s="56" t="n"/>
      <c r="L20" s="56" t="n"/>
      <c r="M20" s="6" t="n"/>
      <c r="N20" s="6" t="n"/>
      <c r="O20" s="6" t="n"/>
      <c r="P20" s="56" t="inlineStr">
        <is>
          <t>Margarita BRITIKOVA</t>
        </is>
      </c>
      <c r="Q20" s="54" t="n"/>
      <c r="R20" s="54" t="n"/>
      <c r="S20" s="54" t="n"/>
      <c r="T20" s="54" t="n"/>
      <c r="U20" s="54" t="n"/>
      <c r="V20" s="20" t="n"/>
      <c r="W20" s="39" t="n"/>
    </row>
    <row r="21" ht="15" customFormat="1" customHeight="1" s="11">
      <c r="A21" s="40" t="n"/>
      <c r="B21" s="21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5" t="n"/>
      <c r="W21" s="39" t="n"/>
    </row>
    <row r="22" ht="15" customFormat="1" customHeight="1" s="11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9" t="n"/>
    </row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2026-06-18T11:01:36Z</dcterms:modified>
  <cp:lastModifiedBy>Maxim Surkov</cp:lastModifiedBy>
  <cp:lastPrinted>2026-01-07T15:30:50Z</cp:lastPrinted>
</cp:coreProperties>
</file>