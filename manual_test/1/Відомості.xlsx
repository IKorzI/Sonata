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Мои документы\JavaScript\Sonata\test\1\"/>
    </mc:Choice>
  </mc:AlternateContent>
  <bookViews>
    <workbookView xWindow="-120" yWindow="-120" windowWidth="38640" windowHeight="21120" tabRatio="876" activeTab="1"/>
  </bookViews>
  <sheets>
    <sheet name="Зведена D5" sheetId="1" r:id="rId1"/>
    <sheet name="Зведена D7" sheetId="2" r:id="rId2"/>
    <sheet name="Зведена G1" sheetId="3" r:id="rId3"/>
    <sheet name="Рейтингова D5" sheetId="4" r:id="rId4"/>
    <sheet name="Рейтингова D7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'Зведена D5'!$C$3:$T$36</definedName>
    <definedName name="_xlnm.Print_Area" localSheetId="1">'Зведена D7'!$C$3:$T$48</definedName>
    <definedName name="_xlnm.Print_Area" localSheetId="2">'Зведена G1'!$C$3:$T$25</definedName>
    <definedName name="_xlnm.Print_Area" localSheetId="3">'Рейтингова D5'!$C$3:$U$16</definedName>
    <definedName name="_xlnm.Print_Area" localSheetId="4">'Рейтингова D7'!$C$3:$U$25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52511" calcMode="autoNoTable"/>
</workbook>
</file>

<file path=xl/calcChain.xml><?xml version="1.0" encoding="utf-8"?>
<calcChain xmlns="http://schemas.openxmlformats.org/spreadsheetml/2006/main">
  <c r="F24" i="5" l="1"/>
  <c r="P23" i="5"/>
  <c r="S21" i="5"/>
  <c r="R21" i="5"/>
  <c r="Q21" i="5"/>
  <c r="P21" i="5"/>
  <c r="O21" i="5"/>
  <c r="N21" i="5"/>
  <c r="M21" i="5"/>
  <c r="L21" i="5"/>
  <c r="K21" i="5"/>
  <c r="J21" i="5"/>
  <c r="I21" i="5"/>
  <c r="H21" i="5"/>
  <c r="T21" i="5" s="1"/>
  <c r="U21" i="5" s="1"/>
  <c r="G21" i="5"/>
  <c r="F21" i="5"/>
  <c r="E21" i="5"/>
  <c r="C21" i="5"/>
  <c r="S20" i="5"/>
  <c r="R20" i="5"/>
  <c r="Q20" i="5"/>
  <c r="P20" i="5"/>
  <c r="O20" i="5"/>
  <c r="N20" i="5"/>
  <c r="M20" i="5"/>
  <c r="L20" i="5"/>
  <c r="K20" i="5"/>
  <c r="J20" i="5"/>
  <c r="I20" i="5"/>
  <c r="H20" i="5"/>
  <c r="T20" i="5" s="1"/>
  <c r="U20" i="5" s="1"/>
  <c r="G20" i="5"/>
  <c r="F20" i="5"/>
  <c r="E20" i="5"/>
  <c r="C20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T19" i="5" s="1"/>
  <c r="U19" i="5" s="1"/>
  <c r="E19" i="5"/>
  <c r="C19" i="5"/>
  <c r="S18" i="5"/>
  <c r="R18" i="5"/>
  <c r="Q18" i="5"/>
  <c r="P18" i="5"/>
  <c r="O18" i="5"/>
  <c r="N18" i="5"/>
  <c r="M18" i="5"/>
  <c r="L18" i="5"/>
  <c r="K18" i="5"/>
  <c r="J18" i="5"/>
  <c r="I18" i="5"/>
  <c r="H18" i="5"/>
  <c r="T18" i="5" s="1"/>
  <c r="U18" i="5" s="1"/>
  <c r="G18" i="5"/>
  <c r="F18" i="5"/>
  <c r="E18" i="5"/>
  <c r="C18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T17" i="5" s="1"/>
  <c r="U17" i="5" s="1"/>
  <c r="E17" i="5"/>
  <c r="C17" i="5"/>
  <c r="S16" i="5"/>
  <c r="R16" i="5"/>
  <c r="Q16" i="5"/>
  <c r="P16" i="5"/>
  <c r="O16" i="5"/>
  <c r="N16" i="5"/>
  <c r="M16" i="5"/>
  <c r="L16" i="5"/>
  <c r="K16" i="5"/>
  <c r="J16" i="5"/>
  <c r="I16" i="5"/>
  <c r="H16" i="5"/>
  <c r="T16" i="5" s="1"/>
  <c r="U16" i="5" s="1"/>
  <c r="G16" i="5"/>
  <c r="F16" i="5"/>
  <c r="E16" i="5"/>
  <c r="C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T15" i="5" s="1"/>
  <c r="U15" i="5" s="1"/>
  <c r="E15" i="5"/>
  <c r="C15" i="5"/>
  <c r="S14" i="5"/>
  <c r="R14" i="5"/>
  <c r="Q14" i="5"/>
  <c r="P14" i="5"/>
  <c r="O14" i="5"/>
  <c r="N14" i="5"/>
  <c r="M14" i="5"/>
  <c r="L14" i="5"/>
  <c r="K14" i="5"/>
  <c r="J14" i="5"/>
  <c r="I14" i="5"/>
  <c r="H14" i="5"/>
  <c r="T14" i="5" s="1"/>
  <c r="U14" i="5" s="1"/>
  <c r="G14" i="5"/>
  <c r="F14" i="5"/>
  <c r="E14" i="5"/>
  <c r="C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T13" i="5" s="1"/>
  <c r="U13" i="5" s="1"/>
  <c r="E13" i="5"/>
  <c r="C13" i="5"/>
  <c r="S12" i="5"/>
  <c r="R12" i="5"/>
  <c r="Q12" i="5"/>
  <c r="P12" i="5"/>
  <c r="O12" i="5"/>
  <c r="N12" i="5"/>
  <c r="M12" i="5"/>
  <c r="L12" i="5"/>
  <c r="K12" i="5"/>
  <c r="J12" i="5"/>
  <c r="I12" i="5"/>
  <c r="H12" i="5"/>
  <c r="T12" i="5" s="1"/>
  <c r="U12" i="5" s="1"/>
  <c r="G12" i="5"/>
  <c r="F12" i="5"/>
  <c r="E12" i="5"/>
  <c r="C12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T11" i="5" s="1"/>
  <c r="U11" i="5" s="1"/>
  <c r="E11" i="5"/>
  <c r="C11" i="5"/>
  <c r="S10" i="5"/>
  <c r="R10" i="5"/>
  <c r="Q10" i="5"/>
  <c r="P10" i="5"/>
  <c r="O10" i="5"/>
  <c r="N10" i="5"/>
  <c r="M10" i="5"/>
  <c r="L10" i="5"/>
  <c r="K10" i="5"/>
  <c r="J10" i="5"/>
  <c r="I10" i="5"/>
  <c r="H10" i="5"/>
  <c r="T10" i="5" s="1"/>
  <c r="U10" i="5" s="1"/>
  <c r="G10" i="5"/>
  <c r="F10" i="5"/>
  <c r="E10" i="5"/>
  <c r="C10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C7" i="5"/>
  <c r="C6" i="5"/>
  <c r="C5" i="5"/>
  <c r="F15" i="4"/>
  <c r="P14" i="4"/>
  <c r="S12" i="4"/>
  <c r="R12" i="4"/>
  <c r="Q12" i="4"/>
  <c r="P12" i="4"/>
  <c r="O12" i="4"/>
  <c r="N12" i="4"/>
  <c r="M12" i="4"/>
  <c r="L12" i="4"/>
  <c r="K12" i="4"/>
  <c r="J12" i="4"/>
  <c r="I12" i="4"/>
  <c r="H12" i="4"/>
  <c r="T12" i="4" s="1"/>
  <c r="U12" i="4" s="1"/>
  <c r="G12" i="4"/>
  <c r="F12" i="4"/>
  <c r="E12" i="4"/>
  <c r="C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T11" i="4" s="1"/>
  <c r="U11" i="4" s="1"/>
  <c r="E11" i="4"/>
  <c r="C11" i="4"/>
  <c r="S10" i="4"/>
  <c r="R10" i="4"/>
  <c r="Q10" i="4"/>
  <c r="P10" i="4"/>
  <c r="O10" i="4"/>
  <c r="N10" i="4"/>
  <c r="M10" i="4"/>
  <c r="L10" i="4"/>
  <c r="K10" i="4"/>
  <c r="J10" i="4"/>
  <c r="I10" i="4"/>
  <c r="H10" i="4"/>
  <c r="T10" i="4" s="1"/>
  <c r="U10" i="4" s="1"/>
  <c r="G10" i="4"/>
  <c r="F10" i="4"/>
  <c r="E10" i="4"/>
  <c r="C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C7" i="4"/>
  <c r="C6" i="4"/>
  <c r="C5" i="4"/>
  <c r="F23" i="3"/>
  <c r="F22" i="3"/>
  <c r="F25" i="3" s="1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F21" i="3" s="1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F20" i="3" s="1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T17" i="3" s="1"/>
  <c r="F17" i="3"/>
  <c r="T16" i="3"/>
  <c r="T15" i="3"/>
  <c r="T14" i="3"/>
  <c r="T13" i="3"/>
  <c r="T12" i="3"/>
  <c r="T11" i="3"/>
  <c r="T10" i="3"/>
  <c r="F46" i="2"/>
  <c r="F23" i="5" s="1"/>
  <c r="F45" i="2"/>
  <c r="F22" i="5" s="1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F44" i="2" s="1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F43" i="2" s="1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T40" i="2" s="1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F34" i="1"/>
  <c r="F14" i="4" s="1"/>
  <c r="F33" i="1"/>
  <c r="F13" i="4" s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2" i="1" s="1"/>
  <c r="F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F31" i="1" s="1"/>
  <c r="S28" i="1"/>
  <c r="R28" i="1"/>
  <c r="Q28" i="1"/>
  <c r="P28" i="1"/>
  <c r="O28" i="1"/>
  <c r="N28" i="1"/>
  <c r="M28" i="1"/>
  <c r="L28" i="1"/>
  <c r="K28" i="1"/>
  <c r="J28" i="1"/>
  <c r="I28" i="1"/>
  <c r="H28" i="1"/>
  <c r="T28" i="1" s="1"/>
  <c r="G28" i="1"/>
  <c r="F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F36" i="1" s="1"/>
  <c r="F16" i="4" s="1"/>
  <c r="F48" i="2" l="1"/>
  <c r="F25" i="5" s="1"/>
</calcChain>
</file>

<file path=xl/sharedStrings.xml><?xml version="1.0" encoding="utf-8"?>
<sst xmlns="http://schemas.openxmlformats.org/spreadsheetml/2006/main" count="293" uniqueCount="100">
  <si>
    <t>S</t>
  </si>
  <si>
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</si>
  <si>
    <t>ЗВЕДЕНА ВІДОМІСТЬ</t>
  </si>
  <si>
    <t>Успішності студентів спеціальності D5 «Маркетинг»</t>
  </si>
  <si>
    <t>За І семестр 2025-2026 н.р.</t>
  </si>
  <si>
    <t>Група 26-1 курс І</t>
  </si>
  <si>
    <t>Б/К</t>
  </si>
  <si>
    <t>№
п/п</t>
  </si>
  <si>
    <t>Прізвище, ім’я, по батькові</t>
  </si>
  <si>
    <t>Підсумкові оцінки дисциплін</t>
  </si>
  <si>
    <t>Середній бал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</si>
  <si>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</si>
  <si>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</si>
  <si>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</si>
  <si>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Сербулова Ю.А.</t>
  </si>
  <si>
    <t>Захист України
Лазар В.І.</t>
  </si>
  <si>
    <t>Іноземна мова
Сербулова Ю.А.</t>
  </si>
  <si>
    <t>Інформатика
Бєльдюгіна С.С.</t>
  </si>
  <si>
    <t>Історія України
Левчук Т.Г.</t>
  </si>
  <si>
    <t>Математика
Бондаренко О.С.</t>
  </si>
  <si>
    <t>Українська література
Антропова Л.І.</t>
  </si>
  <si>
    <t>Українська мова
Антропова Л.І.</t>
  </si>
  <si>
    <t>Фізика
Калюта Н.М.</t>
  </si>
  <si>
    <t>Фізична культура
Возіян О.Г.</t>
  </si>
  <si>
    <t>Хімія
Сахно Н.О.</t>
  </si>
  <si>
    <t>Б</t>
  </si>
  <si>
    <t>Бондаренко Андрій Миколайович</t>
  </si>
  <si>
    <t>н/а</t>
  </si>
  <si>
    <t>Гриценко Світлана Анатоліївна</t>
  </si>
  <si>
    <t>К</t>
  </si>
  <si>
    <t>Карєва Анастасія Сергіївна</t>
  </si>
  <si>
    <t>Ковальчук Наталія Петрівна</t>
  </si>
  <si>
    <t>Кравченко Денис Юрійович</t>
  </si>
  <si>
    <t>Лєрманова Олена Євгенівна</t>
  </si>
  <si>
    <t>Лисенко Олена Володимирівна</t>
  </si>
  <si>
    <t>Мельниченко Софія Ігорівна</t>
  </si>
  <si>
    <t>Мороз Віктор Васильович</t>
  </si>
  <si>
    <t>Поліщук Артем Валерійович</t>
  </si>
  <si>
    <t>Присяжнюк Аміна Михайлівна</t>
  </si>
  <si>
    <t>Савельєв Олександр Вячеславович</t>
  </si>
  <si>
    <t>Савченко Марія Олегівна</t>
  </si>
  <si>
    <t>Самойлова Яна Вячеславівна</t>
  </si>
  <si>
    <t>Стегарь Евеліна Сергіївна</t>
  </si>
  <si>
    <t>Ткаченко Ірина Сергіївна</t>
  </si>
  <si>
    <t>Цвєтков Андрій Геннадійович</t>
  </si>
  <si>
    <t>Шевченко Олександр Іванович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</si>
  <si>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</si>
  <si>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</si>
  <si>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</si>
  <si>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</si>
  <si>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</si>
  <si>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</si>
  <si>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</si>
  <si>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</si>
  <si>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Ірина ДОПІРА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</si>
  <si>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</si>
  <si>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</si>
  <si>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</si>
  <si>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</si>
  <si>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D7 «Торгівля»</t>
  </si>
  <si>
    <t>Безуглий Юрій Віталійович</t>
  </si>
  <si>
    <t>Білан Інна Євгенівна</t>
  </si>
  <si>
    <t>Білик Анастасія Павлівна</t>
  </si>
  <si>
    <t>Волошин Кирило Миколайович</t>
  </si>
  <si>
    <t>Гаврилюк Маргарита Тимофіївна</t>
  </si>
  <si>
    <t>Гончар Марія Сергіївна</t>
  </si>
  <si>
    <t>Дяченко Катерина Дмитрівна</t>
  </si>
  <si>
    <t>Зінченко Богдан Романович</t>
  </si>
  <si>
    <t>Клименко Алла Михайлівна</t>
  </si>
  <si>
    <t>Козак Дмитро Вікторович</t>
  </si>
  <si>
    <t>Козаченко Роман Анатолійович</t>
  </si>
  <si>
    <t>Корнієнко Владислава Іванівна</t>
  </si>
  <si>
    <t>Куліш Дарина Олегівна</t>
  </si>
  <si>
    <t>Левченко Вікторія Василівна</t>
  </si>
  <si>
    <t>Мельничук Людмила Петрівна</t>
  </si>
  <si>
    <t>Нікітенко Владислав Юрійович</t>
  </si>
  <si>
    <t>Орленко Арсен Романович</t>
  </si>
  <si>
    <t>Остапчук Максим Олександрович</t>
  </si>
  <si>
    <t>Паламарчук Оксана Валентинівна</t>
  </si>
  <si>
    <t>Панченко Тетяна Ігорівна</t>
  </si>
  <si>
    <t>Петренко Назар Борисович</t>
  </si>
  <si>
    <t>Романенко Юлія Андріївна</t>
  </si>
  <si>
    <t>Семенюк Марина Григорівна</t>
  </si>
  <si>
    <t>Сидоренко Ілля Артемович</t>
  </si>
  <si>
    <t>Тимченко Олексій Вікторович</t>
  </si>
  <si>
    <t>Харченко Ганна Олексіївна</t>
  </si>
  <si>
    <t>Черненко Вадим Павлович</t>
  </si>
  <si>
    <t>Чорний Степан Ігорович</t>
  </si>
  <si>
    <t>Шаповал Аліна Сергіївна</t>
  </si>
  <si>
    <t>Яремчук Євген Степанович</t>
  </si>
  <si>
    <t>Успішності студентів спеціальності G1 «Хімічні технології та інженерія»</t>
  </si>
  <si>
    <t>Бондарчук Ніна Григорівна</t>
  </si>
  <si>
    <t>Дубовик Віра Михайлівна</t>
  </si>
  <si>
    <t>Кушніренко Артем Олександрович</t>
  </si>
  <si>
    <t>Назаренко Єгор Віталійович</t>
  </si>
  <si>
    <t>Рябоконь Софія Юріївна</t>
  </si>
  <si>
    <t>Соловей Микита Ігорович</t>
  </si>
  <si>
    <t>Тарасенко Леонід Степанович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</si>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</sst>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BFBFB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75">
    <xf numFmtId="0" fontId="0" fillId="0" borderId="0" xfId="0" applyBorder="1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left" vertical="center" wrapText="1"/>
      <protection hidden="1"/>
    </xf>
    <xf numFmtId="164" fontId="3" fillId="2" borderId="2" xfId="5" applyNumberFormat="1" applyFont="1" applyFill="1" applyBorder="1" applyAlignment="1" applyProtection="1">
      <alignment horizontal="center" vertical="center"/>
      <protection hidden="1"/>
    </xf>
    <xf numFmtId="2" fontId="3" fillId="2" borderId="2" xfId="5" applyNumberFormat="1" applyFont="1" applyFill="1" applyBorder="1" applyAlignment="1" applyProtection="1">
      <alignment horizontal="center" vertical="center"/>
      <protection hidden="1"/>
    </xf>
    <xf numFmtId="0" fontId="5" fillId="5" borderId="1" xfId="5" applyFont="1" applyFill="1" applyAlignment="1" applyProtection="1">
      <alignment horizontal="left" vertical="center"/>
      <protection hidden="1"/>
    </xf>
    <xf numFmtId="0" fontId="3" fillId="4" borderId="1" xfId="5" applyFont="1" applyFill="1" applyAlignment="1" applyProtection="1">
      <alignment horizontal="center" vertical="center"/>
      <protection locked="0" hidden="1"/>
    </xf>
    <xf numFmtId="0" fontId="5" fillId="5" borderId="5" xfId="5" applyFont="1" applyFill="1" applyBorder="1" applyAlignment="1" applyProtection="1">
      <alignment vertical="center"/>
      <protection locked="0" hidden="1"/>
    </xf>
    <xf numFmtId="0" fontId="3" fillId="0" borderId="2" xfId="5" applyFont="1" applyBorder="1" applyAlignment="1" applyProtection="1">
      <alignment horizontal="center" textRotation="90" wrapText="1"/>
      <protection locked="0"/>
    </xf>
    <xf numFmtId="0" fontId="3" fillId="5" borderId="3" xfId="5" applyFont="1" applyFill="1" applyBorder="1" applyAlignment="1" applyProtection="1">
      <alignment vertical="center"/>
      <protection hidden="1"/>
    </xf>
    <xf numFmtId="0" fontId="3" fillId="5" borderId="10" xfId="5" applyFont="1" applyFill="1" applyBorder="1" applyAlignment="1" applyProtection="1">
      <alignment vertical="center"/>
      <protection hidden="1"/>
    </xf>
    <xf numFmtId="0" fontId="3" fillId="4" borderId="1" xfId="5" applyFont="1" applyFill="1" applyAlignment="1" applyProtection="1">
      <alignment vertical="center"/>
      <protection hidden="1"/>
    </xf>
    <xf numFmtId="0" fontId="3" fillId="5" borderId="8" xfId="5" applyFont="1" applyFill="1" applyBorder="1" applyAlignment="1" applyProtection="1">
      <alignment vertical="center"/>
      <protection hidden="1"/>
    </xf>
    <xf numFmtId="0" fontId="3" fillId="5" borderId="6" xfId="5" applyFont="1" applyFill="1" applyBorder="1" applyAlignment="1" applyProtection="1">
      <alignment vertical="center"/>
      <protection hidden="1"/>
    </xf>
    <xf numFmtId="0" fontId="3" fillId="5" borderId="9" xfId="5" applyFont="1" applyFill="1" applyBorder="1" applyAlignment="1" applyProtection="1">
      <alignment vertical="center"/>
      <protection hidden="1"/>
    </xf>
    <xf numFmtId="0" fontId="3" fillId="5" borderId="4" xfId="5" applyFont="1" applyFill="1" applyBorder="1" applyAlignment="1" applyProtection="1">
      <alignment vertical="center"/>
      <protection hidden="1"/>
    </xf>
    <xf numFmtId="0" fontId="5" fillId="5" borderId="11" xfId="5" applyFont="1" applyFill="1" applyBorder="1" applyAlignment="1" applyProtection="1">
      <alignment vertical="center"/>
      <protection locked="0" hidden="1"/>
    </xf>
    <xf numFmtId="0" fontId="3" fillId="5" borderId="4" xfId="5" applyFont="1" applyFill="1" applyBorder="1" applyAlignment="1" applyProtection="1">
      <alignment vertical="center"/>
      <protection locked="0" hidden="1"/>
    </xf>
    <xf numFmtId="0" fontId="3" fillId="6" borderId="1" xfId="5" applyFont="1" applyFill="1" applyAlignment="1" applyProtection="1">
      <alignment horizontal="center" vertical="center"/>
      <protection hidden="1"/>
    </xf>
    <xf numFmtId="0" fontId="3" fillId="6" borderId="2" xfId="5" applyFont="1" applyFill="1" applyBorder="1" applyAlignment="1" applyProtection="1">
      <alignment horizontal="left" vertical="center" wrapText="1"/>
      <protection hidden="1"/>
    </xf>
    <xf numFmtId="0" fontId="5" fillId="6" borderId="1" xfId="5" applyFont="1" applyFill="1" applyAlignment="1" applyProtection="1">
      <alignment horizontal="left" vertical="center"/>
      <protection hidden="1"/>
    </xf>
    <xf numFmtId="0" fontId="5" fillId="6" borderId="1" xfId="5" applyFont="1" applyFill="1" applyAlignment="1" applyProtection="1">
      <alignment horizontal="left" vertical="center"/>
      <protection locked="0"/>
    </xf>
    <xf numFmtId="0" fontId="3" fillId="6" borderId="8" xfId="5" applyFont="1" applyFill="1" applyBorder="1" applyAlignment="1" applyProtection="1">
      <alignment vertical="center"/>
      <protection hidden="1"/>
    </xf>
    <xf numFmtId="0" fontId="3" fillId="6" borderId="6" xfId="5" applyFont="1" applyFill="1" applyBorder="1" applyAlignment="1" applyProtection="1">
      <alignment vertical="center"/>
      <protection hidden="1"/>
    </xf>
    <xf numFmtId="0" fontId="3" fillId="6" borderId="9" xfId="5" applyFont="1" applyFill="1" applyBorder="1" applyAlignment="1" applyProtection="1">
      <alignment vertical="center"/>
      <protection hidden="1"/>
    </xf>
    <xf numFmtId="0" fontId="5" fillId="6" borderId="5" xfId="5" applyFont="1" applyFill="1" applyBorder="1" applyAlignment="1" applyProtection="1">
      <alignment vertical="center"/>
      <protection locked="0" hidden="1"/>
    </xf>
    <xf numFmtId="0" fontId="3" fillId="6" borderId="4" xfId="5" applyFont="1" applyFill="1" applyBorder="1" applyAlignment="1" applyProtection="1">
      <alignment vertical="center"/>
      <protection hidden="1"/>
    </xf>
    <xf numFmtId="0" fontId="3" fillId="6" borderId="4" xfId="5" applyFont="1" applyFill="1" applyBorder="1" applyAlignment="1" applyProtection="1">
      <alignment vertical="center"/>
      <protection locked="0" hidden="1"/>
    </xf>
    <xf numFmtId="0" fontId="5" fillId="6" borderId="11" xfId="5" applyFont="1" applyFill="1" applyBorder="1" applyAlignment="1" applyProtection="1">
      <alignment vertical="center"/>
      <protection locked="0" hidden="1"/>
    </xf>
    <xf numFmtId="0" fontId="3" fillId="6" borderId="3" xfId="5" applyFont="1" applyFill="1" applyBorder="1" applyAlignment="1" applyProtection="1">
      <alignment vertical="center"/>
      <protection hidden="1"/>
    </xf>
    <xf numFmtId="0" fontId="3" fillId="6" borderId="10" xfId="5" applyFont="1" applyFill="1" applyBorder="1" applyAlignment="1" applyProtection="1">
      <alignment vertical="center"/>
      <protection hidden="1"/>
    </xf>
    <xf numFmtId="0" fontId="8" fillId="7" borderId="1" xfId="5" applyFont="1" applyFill="1" applyAlignment="1" applyProtection="1">
      <alignment horizontal="center" vertical="center"/>
      <protection hidden="1"/>
    </xf>
    <xf numFmtId="0" fontId="3" fillId="7" borderId="1" xfId="5" applyFont="1" applyFill="1" applyAlignment="1" applyProtection="1">
      <alignment vertical="center"/>
      <protection hidden="1"/>
    </xf>
    <xf numFmtId="0" fontId="3" fillId="7" borderId="1" xfId="5" applyFont="1" applyFill="1" applyAlignment="1" applyProtection="1">
      <alignment vertical="center"/>
      <protection locked="0" hidden="1"/>
    </xf>
    <xf numFmtId="0" fontId="3" fillId="7" borderId="4" xfId="5" applyFont="1" applyFill="1" applyBorder="1" applyAlignment="1" applyProtection="1">
      <alignment vertical="center"/>
      <protection locked="0" hidden="1"/>
    </xf>
    <xf numFmtId="0" fontId="3" fillId="7" borderId="1" xfId="5" applyFont="1" applyFill="1" applyAlignment="1">
      <alignment horizontal="center" vertical="center"/>
    </xf>
    <xf numFmtId="2" fontId="9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 applyProtection="1">
      <alignment horizontal="center" textRotation="90" wrapText="1"/>
      <protection locked="0"/>
    </xf>
    <xf numFmtId="2" fontId="3" fillId="5" borderId="2" xfId="5" applyNumberFormat="1" applyFont="1" applyFill="1" applyBorder="1" applyAlignment="1">
      <alignment horizontal="center" vertical="center"/>
    </xf>
    <xf numFmtId="0" fontId="5" fillId="5" borderId="1" xfId="5" applyFont="1" applyFill="1" applyAlignment="1" applyProtection="1">
      <alignment vertical="top"/>
      <protection locked="0"/>
    </xf>
    <xf numFmtId="0" fontId="5" fillId="5" borderId="1" xfId="5" applyFont="1" applyFill="1" applyProtection="1">
      <protection locked="0"/>
    </xf>
    <xf numFmtId="0" fontId="5" fillId="5" borderId="1" xfId="5" applyFont="1" applyFill="1" applyAlignment="1" applyProtection="1">
      <alignment vertical="center"/>
      <protection hidden="1"/>
    </xf>
    <xf numFmtId="0" fontId="5" fillId="5" borderId="1" xfId="5" applyFont="1" applyFill="1" applyAlignment="1" applyProtection="1">
      <alignment vertical="center"/>
      <protection locked="0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8" borderId="2" xfId="5" applyFont="1" applyFill="1" applyBorder="1" applyAlignment="1">
      <alignment horizontal="center" vertical="center" wrapText="1"/>
    </xf>
    <xf numFmtId="0" fontId="3" fillId="8" borderId="2" xfId="5" applyFont="1" applyFill="1" applyBorder="1" applyAlignment="1">
      <alignment horizontal="left" vertical="center" wrapText="1"/>
    </xf>
    <xf numFmtId="0" fontId="3" fillId="8" borderId="2" xfId="5" applyFont="1" applyFill="1" applyBorder="1" applyAlignment="1">
      <alignment horizontal="center" vertical="center"/>
    </xf>
    <xf numFmtId="2" fontId="9" fillId="8" borderId="2" xfId="5" applyNumberFormat="1" applyFont="1" applyFill="1" applyBorder="1" applyAlignment="1">
      <alignment horizontal="center" vertical="center"/>
    </xf>
    <xf numFmtId="2" fontId="3" fillId="8" borderId="2" xfId="5" applyNumberFormat="1" applyFont="1" applyFill="1" applyBorder="1" applyAlignment="1">
      <alignment horizontal="center" vertical="center"/>
    </xf>
    <xf numFmtId="0" fontId="5" fillId="5" borderId="1" xfId="5" applyFont="1" applyFill="1" applyAlignment="1" applyProtection="1">
      <alignment horizontal="center" wrapText="1"/>
      <protection hidden="1"/>
    </xf>
    <xf numFmtId="0" fontId="0" fillId="0" borderId="0" xfId="0" applyBorder="1" applyProtection="1">
      <protection hidden="1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0" fillId="0" borderId="13" xfId="0" applyBorder="1" applyProtection="1">
      <protection hidden="1"/>
    </xf>
    <xf numFmtId="0" fontId="5" fillId="5" borderId="1" xfId="5" applyFont="1" applyFill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0" fontId="5" fillId="5" borderId="7" xfId="5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3" fillId="5" borderId="2" xfId="5" quotePrefix="1" applyFont="1" applyFill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3" fillId="5" borderId="2" xfId="5" applyFont="1" applyFill="1" applyBorder="1" applyAlignment="1" applyProtection="1">
      <alignment horizontal="center" vertical="center" wrapText="1"/>
      <protection hidden="1"/>
    </xf>
    <xf numFmtId="0" fontId="4" fillId="5" borderId="2" xfId="5" applyFont="1" applyFill="1" applyBorder="1" applyAlignment="1" applyProtection="1">
      <alignment horizontal="center" vertical="center" textRotation="90" wrapText="1"/>
      <protection hidden="1"/>
    </xf>
    <xf numFmtId="0" fontId="6" fillId="5" borderId="1" xfId="5" applyFont="1" applyFill="1" applyAlignment="1" applyProtection="1">
      <alignment horizontal="center" vertical="center"/>
      <protection hidden="1"/>
    </xf>
    <xf numFmtId="0" fontId="6" fillId="6" borderId="1" xfId="5" applyFont="1" applyFill="1" applyAlignment="1" applyProtection="1">
      <alignment horizontal="center" vertical="center"/>
      <protection hidden="1"/>
    </xf>
    <xf numFmtId="0" fontId="5" fillId="6" borderId="1" xfId="5" applyFont="1" applyFill="1" applyAlignment="1" applyProtection="1">
      <alignment horizontal="center" vertical="center"/>
      <protection locked="0"/>
    </xf>
    <xf numFmtId="0" fontId="5" fillId="6" borderId="7" xfId="5" applyFont="1" applyFill="1" applyBorder="1" applyAlignment="1" applyProtection="1">
      <alignment horizontal="center" vertical="center"/>
      <protection locked="0"/>
    </xf>
    <xf numFmtId="0" fontId="5" fillId="6" borderId="1" xfId="5" applyFont="1" applyFill="1" applyAlignment="1" applyProtection="1">
      <alignment horizontal="center" wrapText="1"/>
      <protection hidden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1" defaultTableStyle="TableStyleMedium9" defaultPivotStyle="PivotStyleLight16">
    <tableStyle name="Стиль сводной таблицы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70C0"/>
    <pageSetUpPr fitToPage="1"/>
  </sheetPr>
  <dimension ref="A1:BP120"/>
  <sheetViews>
    <sheetView zoomScaleNormal="100" workbookViewId="0">
      <selection activeCell="C3" sqref="C3:T36"/>
    </sheetView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customWidth="1"/>
    <col min="21" max="22" width="2.7109375" customWidth="1"/>
    <col min="23" max="25" width="13" hidden="1" customWidth="1"/>
    <col min="26" max="26" width="11.28515625" style="1" hidden="1" customWidth="1"/>
    <col min="27" max="27" width="2.7109375" style="1" hidden="1" customWidth="1"/>
    <col min="28" max="28" width="13" hidden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69" width="14.42578125" style="1" hidden="1" customWidth="1"/>
    <col min="70" max="16384" width="14.42578125" style="1" hidden="1"/>
  </cols>
  <sheetData>
    <row r="1" spans="1:22" ht="12" customHeight="1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2" customHeight="1" x14ac:dyDescent="0.25">
      <c r="A2" s="38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  <c r="V2" s="37"/>
    </row>
    <row r="3" spans="1:22" s="2" customFormat="1" ht="54.95" customHeight="1" x14ac:dyDescent="0.3">
      <c r="A3" s="38"/>
      <c r="B3" s="11"/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19"/>
      <c r="V3" s="37"/>
    </row>
    <row r="4" spans="1:22" s="3" customFormat="1" ht="15" customHeight="1" x14ac:dyDescent="0.25">
      <c r="A4" s="38"/>
      <c r="B4" s="11"/>
      <c r="C4" s="70" t="s">
        <v>2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19"/>
      <c r="V4" s="37"/>
    </row>
    <row r="5" spans="1:22" s="2" customFormat="1" ht="15" customHeight="1" x14ac:dyDescent="0.25">
      <c r="A5" s="38"/>
      <c r="B5" s="11"/>
      <c r="C5" s="62" t="s">
        <v>3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19"/>
      <c r="V5" s="37"/>
    </row>
    <row r="6" spans="1:22" s="2" customFormat="1" ht="15" customHeight="1" x14ac:dyDescent="0.25">
      <c r="A6" s="38"/>
      <c r="B6" s="11"/>
      <c r="C6" s="62" t="s">
        <v>4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19"/>
      <c r="V6" s="37"/>
    </row>
    <row r="7" spans="1:22" s="2" customFormat="1" ht="15" customHeight="1" x14ac:dyDescent="0.25">
      <c r="A7" s="38"/>
      <c r="B7" s="11"/>
      <c r="C7" s="64" t="s">
        <v>5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19"/>
      <c r="V7" s="37"/>
    </row>
    <row r="8" spans="1:22" ht="15" customHeight="1" x14ac:dyDescent="0.25">
      <c r="A8" s="38"/>
      <c r="B8" s="11"/>
      <c r="C8" s="66" t="s">
        <v>6</v>
      </c>
      <c r="D8" s="68" t="s">
        <v>7</v>
      </c>
      <c r="E8" s="68" t="s">
        <v>8</v>
      </c>
      <c r="F8" s="59" t="s">
        <v>9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1"/>
      <c r="T8" s="69" t="s">
        <v>10</v>
      </c>
      <c r="U8" s="19"/>
      <c r="V8" s="37"/>
    </row>
    <row r="9" spans="1:22" ht="125.1" customHeight="1" x14ac:dyDescent="0.25">
      <c r="A9" s="38"/>
      <c r="B9" s="11"/>
      <c r="C9" s="67"/>
      <c r="D9" s="67"/>
      <c r="E9" s="67"/>
      <c r="F9" s="12" t="s">
        <v>11</v>
      </c>
      <c r="G9" s="12" t="s">
        <v>12</v>
      </c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67"/>
      <c r="U9" s="19"/>
      <c r="V9" s="37"/>
    </row>
    <row r="10" spans="1:22" s="10" customFormat="1" ht="15" customHeight="1" x14ac:dyDescent="0.25">
      <c r="A10" s="38"/>
      <c r="B10" s="11"/>
      <c r="C10" s="42" t="s">
        <v>25</v>
      </c>
      <c r="D10" s="42">
        <v>1</v>
      </c>
      <c r="E10" s="43" t="s">
        <v>26</v>
      </c>
      <c r="F10" s="44">
        <v>4</v>
      </c>
      <c r="G10" s="44">
        <v>5</v>
      </c>
      <c r="H10" s="44">
        <v>9</v>
      </c>
      <c r="I10" s="44">
        <v>4</v>
      </c>
      <c r="J10" s="44">
        <v>5</v>
      </c>
      <c r="K10" s="44">
        <v>7</v>
      </c>
      <c r="L10" s="44">
        <v>8</v>
      </c>
      <c r="M10" s="44" t="s">
        <v>27</v>
      </c>
      <c r="N10" s="44">
        <v>10</v>
      </c>
      <c r="O10" s="44">
        <v>8</v>
      </c>
      <c r="P10" s="44">
        <v>7</v>
      </c>
      <c r="Q10" s="44">
        <v>8</v>
      </c>
      <c r="R10" s="44">
        <v>9</v>
      </c>
      <c r="S10" s="44">
        <v>5</v>
      </c>
      <c r="T10" s="40" t="str">
        <f>IF(COUNTIF($F10:S10,"=*")&gt;0,IF($C10="К","-"," - "),IF(COUNTIF($F10:S10,"&lt;4")&gt;0,IF(C10="К","-"," - "),(IFERROR(AVERAGE($F10:S10),"Очікую"))))</f>
        <v xml:space="preserve"> - </v>
      </c>
      <c r="U10" s="21"/>
      <c r="V10" s="37"/>
    </row>
    <row r="11" spans="1:22" s="10" customFormat="1" ht="15" customHeight="1" x14ac:dyDescent="0.25">
      <c r="A11" s="38"/>
      <c r="B11" s="11"/>
      <c r="C11" s="42" t="s">
        <v>25</v>
      </c>
      <c r="D11" s="42">
        <v>2</v>
      </c>
      <c r="E11" s="43" t="s">
        <v>28</v>
      </c>
      <c r="F11" s="44">
        <v>8</v>
      </c>
      <c r="G11" s="44">
        <v>5</v>
      </c>
      <c r="H11" s="44">
        <v>7</v>
      </c>
      <c r="I11" s="44">
        <v>9</v>
      </c>
      <c r="J11" s="44">
        <v>6</v>
      </c>
      <c r="K11" s="44">
        <v>9</v>
      </c>
      <c r="L11" s="44">
        <v>11</v>
      </c>
      <c r="M11" s="44" t="s">
        <v>27</v>
      </c>
      <c r="N11" s="44">
        <v>8</v>
      </c>
      <c r="O11" s="44">
        <v>7</v>
      </c>
      <c r="P11" s="44">
        <v>7</v>
      </c>
      <c r="Q11" s="44">
        <v>11</v>
      </c>
      <c r="R11" s="44">
        <v>4</v>
      </c>
      <c r="S11" s="44">
        <v>5</v>
      </c>
      <c r="T11" s="40" t="str">
        <f>IF(COUNTIF($F11:S11,"=*")&gt;0,IF($C11="К","-"," - "),IF(COUNTIF($F11:S11,"&lt;4")&gt;0,IF(C11="К","-"," - "),(IFERROR(AVERAGE($F11:S11),"Очікую"))))</f>
        <v xml:space="preserve"> - </v>
      </c>
      <c r="U11" s="21"/>
      <c r="V11" s="37"/>
    </row>
    <row r="12" spans="1:22" s="10" customFormat="1" ht="15" customHeight="1" x14ac:dyDescent="0.25">
      <c r="A12" s="38"/>
      <c r="B12" s="11"/>
      <c r="C12" s="42" t="s">
        <v>29</v>
      </c>
      <c r="D12" s="42">
        <v>3</v>
      </c>
      <c r="E12" s="43" t="s">
        <v>30</v>
      </c>
      <c r="F12" s="44">
        <v>11</v>
      </c>
      <c r="G12" s="44">
        <v>5</v>
      </c>
      <c r="H12" s="44">
        <v>4</v>
      </c>
      <c r="I12" s="44" t="s">
        <v>27</v>
      </c>
      <c r="J12" s="44">
        <v>4</v>
      </c>
      <c r="K12" s="44">
        <v>10</v>
      </c>
      <c r="L12" s="44">
        <v>11</v>
      </c>
      <c r="M12" s="44">
        <v>6</v>
      </c>
      <c r="N12" s="44">
        <v>8</v>
      </c>
      <c r="O12" s="44">
        <v>9</v>
      </c>
      <c r="P12" s="44">
        <v>10</v>
      </c>
      <c r="Q12" s="44">
        <v>10</v>
      </c>
      <c r="R12" s="44" t="s">
        <v>27</v>
      </c>
      <c r="S12" s="44">
        <v>9</v>
      </c>
      <c r="T12" s="40" t="str">
        <f>IF(COUNTIF($F12:S12,"=*")&gt;0,IF($C12="К","-"," - "),IF(COUNTIF($F12:S12,"&lt;4")&gt;0,IF(C12="К","-"," - "),(IFERROR(AVERAGE($F12:S12),"Очікую"))))</f>
        <v>-</v>
      </c>
      <c r="U12" s="21"/>
      <c r="V12" s="37"/>
    </row>
    <row r="13" spans="1:22" s="10" customFormat="1" ht="15" customHeight="1" x14ac:dyDescent="0.25">
      <c r="A13" s="38"/>
      <c r="B13" s="11"/>
      <c r="C13" s="42" t="s">
        <v>29</v>
      </c>
      <c r="D13" s="42">
        <v>4</v>
      </c>
      <c r="E13" s="43" t="s">
        <v>31</v>
      </c>
      <c r="F13" s="44">
        <v>5</v>
      </c>
      <c r="G13" s="44">
        <v>6</v>
      </c>
      <c r="H13" s="44">
        <v>6</v>
      </c>
      <c r="I13" s="44">
        <v>10</v>
      </c>
      <c r="J13" s="44">
        <v>7</v>
      </c>
      <c r="K13" s="44">
        <v>9</v>
      </c>
      <c r="L13" s="44">
        <v>5</v>
      </c>
      <c r="M13" s="44">
        <v>8</v>
      </c>
      <c r="N13" s="44">
        <v>10</v>
      </c>
      <c r="O13" s="44">
        <v>5</v>
      </c>
      <c r="P13" s="44">
        <v>8</v>
      </c>
      <c r="Q13" s="44">
        <v>6</v>
      </c>
      <c r="R13" s="44">
        <v>11</v>
      </c>
      <c r="S13" s="44">
        <v>11</v>
      </c>
      <c r="T13" s="40">
        <f>IF(COUNTIF($F13:S13,"=*")&gt;0,IF($C13="К","-"," - "),IF(COUNTIF($F13:S13,"&lt;4")&gt;0,IF(C13="К","-"," - "),(IFERROR(AVERAGE($F13:S13),"Очікую"))))</f>
        <v>7.6428571428571432</v>
      </c>
      <c r="U13" s="21"/>
      <c r="V13" s="37"/>
    </row>
    <row r="14" spans="1:22" s="10" customFormat="1" ht="15" customHeight="1" x14ac:dyDescent="0.25">
      <c r="A14" s="38"/>
      <c r="B14" s="11"/>
      <c r="C14" s="42" t="s">
        <v>25</v>
      </c>
      <c r="D14" s="42">
        <v>5</v>
      </c>
      <c r="E14" s="43" t="s">
        <v>32</v>
      </c>
      <c r="F14" s="44">
        <v>6</v>
      </c>
      <c r="G14" s="44">
        <v>7</v>
      </c>
      <c r="H14" s="44">
        <v>4</v>
      </c>
      <c r="I14" s="44">
        <v>6</v>
      </c>
      <c r="J14" s="44">
        <v>7</v>
      </c>
      <c r="K14" s="44" t="s">
        <v>27</v>
      </c>
      <c r="L14" s="44">
        <v>6</v>
      </c>
      <c r="M14" s="44">
        <v>11</v>
      </c>
      <c r="N14" s="44">
        <v>10</v>
      </c>
      <c r="O14" s="44" t="s">
        <v>27</v>
      </c>
      <c r="P14" s="44">
        <v>5</v>
      </c>
      <c r="Q14" s="44">
        <v>10</v>
      </c>
      <c r="R14" s="44">
        <v>10</v>
      </c>
      <c r="S14" s="44">
        <v>5</v>
      </c>
      <c r="T14" s="40" t="str">
        <f>IF(COUNTIF($F14:S14,"=*")&gt;0,IF($C14="К","-"," - "),IF(COUNTIF($F14:S14,"&lt;4")&gt;0,IF(C14="К","-"," - "),(IFERROR(AVERAGE($F14:S14),"Очікую"))))</f>
        <v xml:space="preserve"> - </v>
      </c>
      <c r="U14" s="21"/>
      <c r="V14" s="37"/>
    </row>
    <row r="15" spans="1:22" s="10" customFormat="1" ht="15" customHeight="1" x14ac:dyDescent="0.25">
      <c r="A15" s="38"/>
      <c r="B15" s="11"/>
      <c r="C15" s="42" t="s">
        <v>29</v>
      </c>
      <c r="D15" s="42">
        <v>6</v>
      </c>
      <c r="E15" s="43" t="s">
        <v>33</v>
      </c>
      <c r="F15" s="44">
        <v>8</v>
      </c>
      <c r="G15" s="44">
        <v>4</v>
      </c>
      <c r="H15" s="44">
        <v>5</v>
      </c>
      <c r="I15" s="44">
        <v>11</v>
      </c>
      <c r="J15" s="44">
        <v>6</v>
      </c>
      <c r="K15" s="44">
        <v>8</v>
      </c>
      <c r="L15" s="44">
        <v>8</v>
      </c>
      <c r="M15" s="44">
        <v>10</v>
      </c>
      <c r="N15" s="44">
        <v>7</v>
      </c>
      <c r="O15" s="44" t="s">
        <v>27</v>
      </c>
      <c r="P15" s="44">
        <v>5</v>
      </c>
      <c r="Q15" s="44" t="s">
        <v>27</v>
      </c>
      <c r="R15" s="44">
        <v>11</v>
      </c>
      <c r="S15" s="44" t="s">
        <v>27</v>
      </c>
      <c r="T15" s="40" t="str">
        <f>IF(COUNTIF($F15:S15,"=*")&gt;0,IF($C15="К","-"," - "),IF(COUNTIF($F15:S15,"&lt;4")&gt;0,IF(C15="К","-"," - "),(IFERROR(AVERAGE($F15:S15),"Очікую"))))</f>
        <v>-</v>
      </c>
      <c r="U15" s="21"/>
      <c r="V15" s="37"/>
    </row>
    <row r="16" spans="1:22" s="10" customFormat="1" ht="15" customHeight="1" x14ac:dyDescent="0.25">
      <c r="A16" s="38"/>
      <c r="B16" s="11"/>
      <c r="C16" s="42" t="s">
        <v>25</v>
      </c>
      <c r="D16" s="42">
        <v>7</v>
      </c>
      <c r="E16" s="43" t="s">
        <v>34</v>
      </c>
      <c r="F16" s="44">
        <v>8</v>
      </c>
      <c r="G16" s="44">
        <v>8</v>
      </c>
      <c r="H16" s="44" t="s">
        <v>27</v>
      </c>
      <c r="I16" s="44">
        <v>10</v>
      </c>
      <c r="J16" s="44">
        <v>8</v>
      </c>
      <c r="K16" s="44">
        <v>8</v>
      </c>
      <c r="L16" s="44">
        <v>4</v>
      </c>
      <c r="M16" s="44">
        <v>8</v>
      </c>
      <c r="N16" s="44">
        <v>8</v>
      </c>
      <c r="O16" s="44" t="s">
        <v>27</v>
      </c>
      <c r="P16" s="44" t="s">
        <v>27</v>
      </c>
      <c r="Q16" s="44">
        <v>5</v>
      </c>
      <c r="R16" s="44">
        <v>10</v>
      </c>
      <c r="S16" s="44">
        <v>10</v>
      </c>
      <c r="T16" s="40" t="str">
        <f>IF(COUNTIF($F16:S16,"=*")&gt;0,IF($C16="К","-"," - "),IF(COUNTIF($F16:S16,"&lt;4")&gt;0,IF(C16="К","-"," - "),(IFERROR(AVERAGE($F16:S16),"Очікую"))))</f>
        <v xml:space="preserve"> - </v>
      </c>
      <c r="U16" s="21"/>
      <c r="V16" s="37"/>
    </row>
    <row r="17" spans="1:22" s="10" customFormat="1" ht="15" customHeight="1" x14ac:dyDescent="0.25">
      <c r="A17" s="38"/>
      <c r="B17" s="11"/>
      <c r="C17" s="42" t="s">
        <v>29</v>
      </c>
      <c r="D17" s="42">
        <v>8</v>
      </c>
      <c r="E17" s="43" t="s">
        <v>35</v>
      </c>
      <c r="F17" s="44">
        <v>8</v>
      </c>
      <c r="G17" s="44">
        <v>7</v>
      </c>
      <c r="H17" s="44">
        <v>8</v>
      </c>
      <c r="I17" s="44">
        <v>11</v>
      </c>
      <c r="J17" s="44">
        <v>9</v>
      </c>
      <c r="K17" s="44">
        <v>10</v>
      </c>
      <c r="L17" s="44">
        <v>10</v>
      </c>
      <c r="M17" s="44">
        <v>9</v>
      </c>
      <c r="N17" s="44">
        <v>6</v>
      </c>
      <c r="O17" s="44">
        <v>5</v>
      </c>
      <c r="P17" s="44">
        <v>7</v>
      </c>
      <c r="Q17" s="44">
        <v>8</v>
      </c>
      <c r="R17" s="44">
        <v>10</v>
      </c>
      <c r="S17" s="44">
        <v>4</v>
      </c>
      <c r="T17" s="40">
        <f>IF(COUNTIF($F17:S17,"=*")&gt;0,IF($C17="К","-"," - "),IF(COUNTIF($F17:S17,"&lt;4")&gt;0,IF(C17="К","-"," - "),(IFERROR(AVERAGE($F17:S17),"Очікую"))))</f>
        <v>8</v>
      </c>
      <c r="U17" s="21"/>
      <c r="V17" s="37"/>
    </row>
    <row r="18" spans="1:22" s="10" customFormat="1" ht="15" customHeight="1" x14ac:dyDescent="0.25">
      <c r="A18" s="38"/>
      <c r="B18" s="11"/>
      <c r="C18" s="42" t="s">
        <v>29</v>
      </c>
      <c r="D18" s="42">
        <v>9</v>
      </c>
      <c r="E18" s="43" t="s">
        <v>36</v>
      </c>
      <c r="F18" s="44">
        <v>9</v>
      </c>
      <c r="G18" s="44">
        <v>4</v>
      </c>
      <c r="H18" s="44" t="s">
        <v>27</v>
      </c>
      <c r="I18" s="44">
        <v>9</v>
      </c>
      <c r="J18" s="44">
        <v>6</v>
      </c>
      <c r="K18" s="44" t="s">
        <v>27</v>
      </c>
      <c r="L18" s="44">
        <v>11</v>
      </c>
      <c r="M18" s="44">
        <v>11</v>
      </c>
      <c r="N18" s="44">
        <v>10</v>
      </c>
      <c r="O18" s="44">
        <v>8</v>
      </c>
      <c r="P18" s="44">
        <v>11</v>
      </c>
      <c r="Q18" s="44">
        <v>9</v>
      </c>
      <c r="R18" s="44">
        <v>7</v>
      </c>
      <c r="S18" s="44">
        <v>11</v>
      </c>
      <c r="T18" s="40" t="str">
        <f>IF(COUNTIF($F18:S18,"=*")&gt;0,IF($C18="К","-"," - "),IF(COUNTIF($F18:S18,"&lt;4")&gt;0,IF(C18="К","-"," - "),(IFERROR(AVERAGE($F18:S18),"Очікую"))))</f>
        <v>-</v>
      </c>
      <c r="U18" s="21"/>
      <c r="V18" s="37"/>
    </row>
    <row r="19" spans="1:22" s="10" customFormat="1" ht="15" customHeight="1" x14ac:dyDescent="0.25">
      <c r="A19" s="38"/>
      <c r="B19" s="11"/>
      <c r="C19" s="42" t="s">
        <v>25</v>
      </c>
      <c r="D19" s="42">
        <v>10</v>
      </c>
      <c r="E19" s="43" t="s">
        <v>37</v>
      </c>
      <c r="F19" s="44">
        <v>4</v>
      </c>
      <c r="G19" s="44">
        <v>7</v>
      </c>
      <c r="H19" s="44">
        <v>9</v>
      </c>
      <c r="I19" s="44">
        <v>9</v>
      </c>
      <c r="J19" s="44">
        <v>6</v>
      </c>
      <c r="K19" s="44">
        <v>8</v>
      </c>
      <c r="L19" s="44">
        <v>8</v>
      </c>
      <c r="M19" s="44">
        <v>10</v>
      </c>
      <c r="N19" s="44">
        <v>4</v>
      </c>
      <c r="O19" s="44">
        <v>11</v>
      </c>
      <c r="P19" s="44">
        <v>7</v>
      </c>
      <c r="Q19" s="44">
        <v>8</v>
      </c>
      <c r="R19" s="44">
        <v>10</v>
      </c>
      <c r="S19" s="44">
        <v>8</v>
      </c>
      <c r="T19" s="40">
        <f>IF(COUNTIF($F19:S19,"=*")&gt;0,IF($C19="К","-"," - "),IF(COUNTIF($F19:S19,"&lt;4")&gt;0,IF(C19="К","-"," - "),(IFERROR(AVERAGE($F19:S19),"Очікую"))))</f>
        <v>7.7857142857142856</v>
      </c>
      <c r="U19" s="21"/>
      <c r="V19" s="37"/>
    </row>
    <row r="20" spans="1:22" s="10" customFormat="1" ht="15" customHeight="1" x14ac:dyDescent="0.25">
      <c r="A20" s="38"/>
      <c r="B20" s="11"/>
      <c r="C20" s="42" t="s">
        <v>25</v>
      </c>
      <c r="D20" s="42">
        <v>11</v>
      </c>
      <c r="E20" s="43" t="s">
        <v>38</v>
      </c>
      <c r="F20" s="44">
        <v>11</v>
      </c>
      <c r="G20" s="44">
        <v>4</v>
      </c>
      <c r="H20" s="44">
        <v>10</v>
      </c>
      <c r="I20" s="44">
        <v>5</v>
      </c>
      <c r="J20" s="44">
        <v>8</v>
      </c>
      <c r="K20" s="44">
        <v>11</v>
      </c>
      <c r="L20" s="44">
        <v>9</v>
      </c>
      <c r="M20" s="44">
        <v>5</v>
      </c>
      <c r="N20" s="44">
        <v>8</v>
      </c>
      <c r="O20" s="44">
        <v>4</v>
      </c>
      <c r="P20" s="44">
        <v>7</v>
      </c>
      <c r="Q20" s="44">
        <v>11</v>
      </c>
      <c r="R20" s="44">
        <v>8</v>
      </c>
      <c r="S20" s="44">
        <v>5</v>
      </c>
      <c r="T20" s="40">
        <f>IF(COUNTIF($F20:S20,"=*")&gt;0,IF($C20="К","-"," - "),IF(COUNTIF($F20:S20,"&lt;4")&gt;0,IF(C20="К","-"," - "),(IFERROR(AVERAGE($F20:S20),"Очікую"))))</f>
        <v>7.5714285714285712</v>
      </c>
      <c r="U20" s="21"/>
      <c r="V20" s="37"/>
    </row>
    <row r="21" spans="1:22" s="10" customFormat="1" ht="15" customHeight="1" x14ac:dyDescent="0.25">
      <c r="A21" s="38"/>
      <c r="B21" s="11"/>
      <c r="C21" s="42" t="s">
        <v>29</v>
      </c>
      <c r="D21" s="42">
        <v>12</v>
      </c>
      <c r="E21" s="43" t="s">
        <v>39</v>
      </c>
      <c r="F21" s="44">
        <v>8</v>
      </c>
      <c r="G21" s="44">
        <v>11</v>
      </c>
      <c r="H21" s="44">
        <v>5</v>
      </c>
      <c r="I21" s="44">
        <v>8</v>
      </c>
      <c r="J21" s="44">
        <v>5</v>
      </c>
      <c r="K21" s="44">
        <v>5</v>
      </c>
      <c r="L21" s="44">
        <v>8</v>
      </c>
      <c r="M21" s="44">
        <v>6</v>
      </c>
      <c r="N21" s="44">
        <v>11</v>
      </c>
      <c r="O21" s="44">
        <v>9</v>
      </c>
      <c r="P21" s="44">
        <v>8</v>
      </c>
      <c r="Q21" s="44">
        <v>8</v>
      </c>
      <c r="R21" s="44">
        <v>8</v>
      </c>
      <c r="S21" s="44">
        <v>8</v>
      </c>
      <c r="T21" s="40">
        <f>IF(COUNTIF($F21:S21,"=*")&gt;0,IF($C21="К","-"," - "),IF(COUNTIF($F21:S21,"&lt;4")&gt;0,IF(C21="К","-"," - "),(IFERROR(AVERAGE($F21:S21),"Очікую"))))</f>
        <v>7.7142857142857144</v>
      </c>
      <c r="U21" s="21"/>
      <c r="V21" s="37"/>
    </row>
    <row r="22" spans="1:22" s="10" customFormat="1" ht="15" customHeight="1" x14ac:dyDescent="0.25">
      <c r="A22" s="38"/>
      <c r="B22" s="11"/>
      <c r="C22" s="42" t="s">
        <v>29</v>
      </c>
      <c r="D22" s="42">
        <v>13</v>
      </c>
      <c r="E22" s="43" t="s">
        <v>40</v>
      </c>
      <c r="F22" s="44">
        <v>6</v>
      </c>
      <c r="G22" s="44" t="s">
        <v>27</v>
      </c>
      <c r="H22" s="44">
        <v>9</v>
      </c>
      <c r="I22" s="44">
        <v>9</v>
      </c>
      <c r="J22" s="44" t="s">
        <v>27</v>
      </c>
      <c r="K22" s="44">
        <v>8</v>
      </c>
      <c r="L22" s="44">
        <v>11</v>
      </c>
      <c r="M22" s="44">
        <v>5</v>
      </c>
      <c r="N22" s="44">
        <v>6</v>
      </c>
      <c r="O22" s="44">
        <v>4</v>
      </c>
      <c r="P22" s="44">
        <v>11</v>
      </c>
      <c r="Q22" s="44">
        <v>9</v>
      </c>
      <c r="R22" s="44">
        <v>6</v>
      </c>
      <c r="S22" s="44">
        <v>8</v>
      </c>
      <c r="T22" s="40" t="str">
        <f>IF(COUNTIF($F22:S22,"=*")&gt;0,IF($C22="К","-"," - "),IF(COUNTIF($F22:S22,"&lt;4")&gt;0,IF(C22="К","-"," - "),(IFERROR(AVERAGE($F22:S22),"Очікую"))))</f>
        <v>-</v>
      </c>
      <c r="U22" s="21"/>
      <c r="V22" s="37"/>
    </row>
    <row r="23" spans="1:22" s="10" customFormat="1" ht="15" customHeight="1" x14ac:dyDescent="0.25">
      <c r="A23" s="38"/>
      <c r="B23" s="11"/>
      <c r="C23" s="42" t="s">
        <v>25</v>
      </c>
      <c r="D23" s="42">
        <v>14</v>
      </c>
      <c r="E23" s="43" t="s">
        <v>41</v>
      </c>
      <c r="F23" s="44">
        <v>8</v>
      </c>
      <c r="G23" s="44">
        <v>4</v>
      </c>
      <c r="H23" s="44">
        <v>9</v>
      </c>
      <c r="I23" s="44">
        <v>7</v>
      </c>
      <c r="J23" s="44">
        <v>5</v>
      </c>
      <c r="K23" s="44">
        <v>8</v>
      </c>
      <c r="L23" s="44">
        <v>5</v>
      </c>
      <c r="M23" s="44">
        <v>9</v>
      </c>
      <c r="N23" s="44">
        <v>4</v>
      </c>
      <c r="O23" s="44">
        <v>8</v>
      </c>
      <c r="P23" s="44">
        <v>8</v>
      </c>
      <c r="Q23" s="44">
        <v>6</v>
      </c>
      <c r="R23" s="44">
        <v>9</v>
      </c>
      <c r="S23" s="44">
        <v>9</v>
      </c>
      <c r="T23" s="40">
        <f>IF(COUNTIF($F23:S23,"=*")&gt;0,IF($C23="К","-"," - "),IF(COUNTIF($F23:S23,"&lt;4")&gt;0,IF(C23="К","-"," - "),(IFERROR(AVERAGE($F23:S23),"Очікую"))))</f>
        <v>7.0714285714285712</v>
      </c>
      <c r="U23" s="21"/>
      <c r="V23" s="37"/>
    </row>
    <row r="24" spans="1:22" s="10" customFormat="1" ht="15" customHeight="1" x14ac:dyDescent="0.25">
      <c r="A24" s="38"/>
      <c r="B24" s="11"/>
      <c r="C24" s="42" t="s">
        <v>25</v>
      </c>
      <c r="D24" s="42">
        <v>15</v>
      </c>
      <c r="E24" s="43" t="s">
        <v>42</v>
      </c>
      <c r="F24" s="44">
        <v>5</v>
      </c>
      <c r="G24" s="44">
        <v>6</v>
      </c>
      <c r="H24" s="44">
        <v>6</v>
      </c>
      <c r="I24" s="44" t="s">
        <v>27</v>
      </c>
      <c r="J24" s="44">
        <v>10</v>
      </c>
      <c r="K24" s="44">
        <v>9</v>
      </c>
      <c r="L24" s="44">
        <v>11</v>
      </c>
      <c r="M24" s="44">
        <v>11</v>
      </c>
      <c r="N24" s="44">
        <v>11</v>
      </c>
      <c r="O24" s="44">
        <v>10</v>
      </c>
      <c r="P24" s="44">
        <v>11</v>
      </c>
      <c r="Q24" s="44">
        <v>10</v>
      </c>
      <c r="R24" s="44">
        <v>11</v>
      </c>
      <c r="S24" s="44">
        <v>8</v>
      </c>
      <c r="T24" s="40" t="str">
        <f>IF(COUNTIF($F24:S24,"=*")&gt;0,IF($C24="К","-"," - "),IF(COUNTIF($F24:S24,"&lt;4")&gt;0,IF(C24="К","-"," - "),(IFERROR(AVERAGE($F24:S24),"Очікую"))))</f>
        <v xml:space="preserve"> - </v>
      </c>
      <c r="U24" s="21"/>
      <c r="V24" s="37"/>
    </row>
    <row r="25" spans="1:22" s="10" customFormat="1" ht="15" customHeight="1" x14ac:dyDescent="0.25">
      <c r="A25" s="38"/>
      <c r="B25" s="11"/>
      <c r="C25" s="42" t="s">
        <v>29</v>
      </c>
      <c r="D25" s="42">
        <v>16</v>
      </c>
      <c r="E25" s="43" t="s">
        <v>43</v>
      </c>
      <c r="F25" s="44">
        <v>10</v>
      </c>
      <c r="G25" s="44">
        <v>10</v>
      </c>
      <c r="H25" s="44">
        <v>8</v>
      </c>
      <c r="I25" s="44">
        <v>9</v>
      </c>
      <c r="J25" s="44">
        <v>9</v>
      </c>
      <c r="K25" s="44">
        <v>9</v>
      </c>
      <c r="L25" s="44">
        <v>4</v>
      </c>
      <c r="M25" s="44">
        <v>9</v>
      </c>
      <c r="N25" s="44">
        <v>8</v>
      </c>
      <c r="O25" s="44">
        <v>10</v>
      </c>
      <c r="P25" s="44">
        <v>8</v>
      </c>
      <c r="Q25" s="44">
        <v>11</v>
      </c>
      <c r="R25" s="44">
        <v>8</v>
      </c>
      <c r="S25" s="44">
        <v>8</v>
      </c>
      <c r="T25" s="40">
        <f>IF(COUNTIF($F25:S25,"=*")&gt;0,IF($C25="К","-"," - "),IF(COUNTIF($F25:S25,"&lt;4")&gt;0,IF(C25="К","-"," - "),(IFERROR(AVERAGE($F25:S25),"Очікую"))))</f>
        <v>8.6428571428571423</v>
      </c>
      <c r="U25" s="21"/>
      <c r="V25" s="37"/>
    </row>
    <row r="26" spans="1:22" s="10" customFormat="1" ht="15" customHeight="1" x14ac:dyDescent="0.25">
      <c r="A26" s="38"/>
      <c r="B26" s="11"/>
      <c r="C26" s="42" t="s">
        <v>25</v>
      </c>
      <c r="D26" s="42">
        <v>17</v>
      </c>
      <c r="E26" s="43" t="s">
        <v>44</v>
      </c>
      <c r="F26" s="44">
        <v>7</v>
      </c>
      <c r="G26" s="44" t="s">
        <v>27</v>
      </c>
      <c r="H26" s="44">
        <v>4</v>
      </c>
      <c r="I26" s="44">
        <v>7</v>
      </c>
      <c r="J26" s="44">
        <v>8</v>
      </c>
      <c r="K26" s="44">
        <v>5</v>
      </c>
      <c r="L26" s="44">
        <v>10</v>
      </c>
      <c r="M26" s="44">
        <v>4</v>
      </c>
      <c r="N26" s="44">
        <v>8</v>
      </c>
      <c r="O26" s="44">
        <v>8</v>
      </c>
      <c r="P26" s="44">
        <v>6</v>
      </c>
      <c r="Q26" s="44">
        <v>4</v>
      </c>
      <c r="R26" s="44">
        <v>7</v>
      </c>
      <c r="S26" s="44">
        <v>10</v>
      </c>
      <c r="T26" s="40" t="str">
        <f>IF(COUNTIF($F26:S26,"=*")&gt;0,IF($C26="К","-"," - "),IF(COUNTIF($F26:S26,"&lt;4")&gt;0,IF(C26="К","-"," - "),(IFERROR(AVERAGE($F26:S26),"Очікую"))))</f>
        <v xml:space="preserve"> - </v>
      </c>
      <c r="U26" s="21"/>
      <c r="V26" s="37"/>
    </row>
    <row r="27" spans="1:22" s="10" customFormat="1" ht="15" customHeight="1" x14ac:dyDescent="0.25">
      <c r="A27" s="38"/>
      <c r="B27" s="11"/>
      <c r="C27" s="42" t="s">
        <v>25</v>
      </c>
      <c r="D27" s="42">
        <v>18</v>
      </c>
      <c r="E27" s="43" t="s">
        <v>45</v>
      </c>
      <c r="F27" s="44">
        <v>9</v>
      </c>
      <c r="G27" s="44">
        <v>7</v>
      </c>
      <c r="H27" s="44">
        <v>11</v>
      </c>
      <c r="I27" s="44" t="s">
        <v>27</v>
      </c>
      <c r="J27" s="44">
        <v>10</v>
      </c>
      <c r="K27" s="44">
        <v>8</v>
      </c>
      <c r="L27" s="44">
        <v>8</v>
      </c>
      <c r="M27" s="44">
        <v>5</v>
      </c>
      <c r="N27" s="44">
        <v>7</v>
      </c>
      <c r="O27" s="44">
        <v>7</v>
      </c>
      <c r="P27" s="44">
        <v>4</v>
      </c>
      <c r="Q27" s="44">
        <v>8</v>
      </c>
      <c r="R27" s="44">
        <v>4</v>
      </c>
      <c r="S27" s="44">
        <v>8</v>
      </c>
      <c r="T27" s="40" t="str">
        <f>IF(COUNTIF($F27:S27,"=*")&gt;0,IF($C27="К","-"," - "),IF(COUNTIF($F27:S27,"&lt;4")&gt;0,IF(C27="К","-"," - "),(IFERROR(AVERAGE($F27:S27),"Очікую"))))</f>
        <v xml:space="preserve"> - </v>
      </c>
      <c r="U27" s="21"/>
      <c r="V27" s="37"/>
    </row>
    <row r="28" spans="1:22" s="10" customFormat="1" ht="15" customHeight="1" x14ac:dyDescent="0.25">
      <c r="A28" s="38"/>
      <c r="B28" s="11"/>
      <c r="C28" s="5"/>
      <c r="D28" s="5"/>
      <c r="E28" s="6" t="s">
        <v>46</v>
      </c>
      <c r="F28" s="7">
        <f>IF(SUM(F$10:F27)=0,IF(COUNTA(F$10:F27)=0,"Очікую",0),SUM(F$10:F27)/$D27)</f>
        <v>7.5</v>
      </c>
      <c r="G28" s="7">
        <f>IF(SUM(G$10:G27)=0,IF(COUNTA(G$10:G27)=0,"Очікую",0),SUM(G$10:G27)/$D27)</f>
        <v>5.5555555555555554</v>
      </c>
      <c r="H28" s="7">
        <f>IF(SUM(H$10:H27)=0,IF(COUNTA(H$10:H27)=0,"Очікую",0),SUM(H$10:H27)/$D27)</f>
        <v>6.333333333333333</v>
      </c>
      <c r="I28" s="7">
        <f>IF(SUM(I$10:I27)=0,IF(COUNTA(I$10:I27)=0,"Очікую",0),SUM(I$10:I27)/$D27)</f>
        <v>6.8888888888888893</v>
      </c>
      <c r="J28" s="7">
        <f>IF(SUM(J$10:J27)=0,IF(COUNTA(J$10:J27)=0,"Очікую",0),SUM(J$10:J27)/$D27)</f>
        <v>6.6111111111111107</v>
      </c>
      <c r="K28" s="7">
        <f>IF(SUM(K$10:K27)=0,IF(COUNTA(K$10:K27)=0,"Очікую",0),SUM(K$10:K27)/$D27)</f>
        <v>7.333333333333333</v>
      </c>
      <c r="L28" s="7">
        <f>IF(SUM(L$10:L27)=0,IF(COUNTA(L$10:L27)=0,"Очікую",0),SUM(L$10:L27)/$D27)</f>
        <v>8.2222222222222214</v>
      </c>
      <c r="M28" s="7">
        <f>IF(SUM(M$10:M27)=0,IF(COUNTA(M$10:M27)=0,"Очікую",0),SUM(M$10:M27)/$D27)</f>
        <v>7.0555555555555554</v>
      </c>
      <c r="N28" s="7">
        <f>IF(SUM(N$10:N27)=0,IF(COUNTA(N$10:N27)=0,"Очікую",0),SUM(N$10:N27)/$D27)</f>
        <v>8</v>
      </c>
      <c r="O28" s="7">
        <f>IF(SUM(O$10:O27)=0,IF(COUNTA(O$10:O27)=0,"Очікую",0),SUM(O$10:O27)/$D27)</f>
        <v>6.2777777777777777</v>
      </c>
      <c r="P28" s="7">
        <f>IF(SUM(P$10:P27)=0,IF(COUNTA(P$10:P27)=0,"Очікую",0),SUM(P$10:P27)/$D27)</f>
        <v>7.2222222222222223</v>
      </c>
      <c r="Q28" s="7">
        <f>IF(SUM(Q$10:Q27)=0,IF(COUNTA(Q$10:Q27)=0,"Очікую",0),SUM(Q$10:Q27)/$D27)</f>
        <v>7.8888888888888893</v>
      </c>
      <c r="R28" s="7">
        <f>IF(SUM(R$10:R27)=0,IF(COUNTA(R$10:R27)=0,"Очікую",0),SUM(R$10:R27)/$D27)</f>
        <v>7.9444444444444446</v>
      </c>
      <c r="S28" s="7">
        <f>IF(SUM(S$10:S27)=0,IF(COUNTA(S$10:S27)=0,"Очікую",0),SUM(S$10:S27)/$D27)</f>
        <v>7.333333333333333</v>
      </c>
      <c r="T28" s="8">
        <f>IFERROR(AVERAGE($F28:S28),"Очікую")</f>
        <v>7.1547619047619042</v>
      </c>
      <c r="U28" s="19"/>
      <c r="V28" s="37"/>
    </row>
    <row r="29" spans="1:22" s="10" customFormat="1" ht="15" customHeight="1" x14ac:dyDescent="0.25">
      <c r="A29" s="38"/>
      <c r="B29" s="11"/>
      <c r="C29" s="5"/>
      <c r="D29" s="5"/>
      <c r="E29" s="6" t="s">
        <v>47</v>
      </c>
      <c r="F29" s="41">
        <f>IF(SUM(F$10:F27)=0,IF(COUNTA(F$10:F27)=0,"Очікую",0),IF(COUNTIF(F$10:F27,"&gt;=4")=0,0,COUNTIF(F$10:F27,"&gt;=4")/$D27*100))</f>
        <v>100</v>
      </c>
      <c r="G29" s="41">
        <f>IF(SUM(G$10:G27)=0,IF(COUNTA(G$10:G27)=0,"Очікую",0),IF(COUNTIF(G$10:G27,"&gt;=4")=0,0,COUNTIF(G$10:G27,"&gt;=4")/$D27*100))</f>
        <v>88.888888888888886</v>
      </c>
      <c r="H29" s="41">
        <f>IF(SUM(H$10:H27)=0,IF(COUNTA(H$10:H27)=0,"Очікую",0),IF(COUNTIF(H$10:H27,"&gt;=4")=0,0,COUNTIF(H$10:H27,"&gt;=4")/$D27*100))</f>
        <v>88.888888888888886</v>
      </c>
      <c r="I29" s="41">
        <f>IF(SUM(I$10:I27)=0,IF(COUNTA(I$10:I27)=0,"Очікую",0),IF(COUNTIF(I$10:I27,"&gt;=4")=0,0,COUNTIF(I$10:I27,"&gt;=4")/$D27*100))</f>
        <v>83.333333333333343</v>
      </c>
      <c r="J29" s="41">
        <f>IF(SUM(J$10:J27)=0,IF(COUNTA(J$10:J27)=0,"Очікую",0),IF(COUNTIF(J$10:J27,"&gt;=4")=0,0,COUNTIF(J$10:J27,"&gt;=4")/$D27*100))</f>
        <v>94.444444444444443</v>
      </c>
      <c r="K29" s="41">
        <f>IF(SUM(K$10:K27)=0,IF(COUNTA(K$10:K27)=0,"Очікую",0),IF(COUNTIF(K$10:K27,"&gt;=4")=0,0,COUNTIF(K$10:K27,"&gt;=4")/$D27*100))</f>
        <v>88.888888888888886</v>
      </c>
      <c r="L29" s="41">
        <f>IF(SUM(L$10:L27)=0,IF(COUNTA(L$10:L27)=0,"Очікую",0),IF(COUNTIF(L$10:L27,"&gt;=4")=0,0,COUNTIF(L$10:L27,"&gt;=4")/$D27*100))</f>
        <v>100</v>
      </c>
      <c r="M29" s="41">
        <f>IF(SUM(M$10:M27)=0,IF(COUNTA(M$10:M27)=0,"Очікую",0),IF(COUNTIF(M$10:M27,"&gt;=4")=0,0,COUNTIF(M$10:M27,"&gt;=4")/$D27*100))</f>
        <v>88.888888888888886</v>
      </c>
      <c r="N29" s="41">
        <f>IF(SUM(N$10:N27)=0,IF(COUNTA(N$10:N27)=0,"Очікую",0),IF(COUNTIF(N$10:N27,"&gt;=4")=0,0,COUNTIF(N$10:N27,"&gt;=4")/$D27*100))</f>
        <v>100</v>
      </c>
      <c r="O29" s="41">
        <f>IF(SUM(O$10:O27)=0,IF(COUNTA(O$10:O27)=0,"Очікую",0),IF(COUNTIF(O$10:O27,"&gt;=4")=0,0,COUNTIF(O$10:O27,"&gt;=4")/$D27*100))</f>
        <v>83.333333333333343</v>
      </c>
      <c r="P29" s="41">
        <f>IF(SUM(P$10:P27)=0,IF(COUNTA(P$10:P27)=0,"Очікую",0),IF(COUNTIF(P$10:P27,"&gt;=4")=0,0,COUNTIF(P$10:P27,"&gt;=4")/$D27*100))</f>
        <v>94.444444444444443</v>
      </c>
      <c r="Q29" s="41">
        <f>IF(SUM(Q$10:Q27)=0,IF(COUNTA(Q$10:Q27)=0,"Очікую",0),IF(COUNTIF(Q$10:Q27,"&gt;=4")=0,0,COUNTIF(Q$10:Q27,"&gt;=4")/$D27*100))</f>
        <v>94.444444444444443</v>
      </c>
      <c r="R29" s="41">
        <f>IF(SUM(R$10:R27)=0,IF(COUNTA(R$10:R27)=0,"Очікую",0),IF(COUNTIF(R$10:R27,"&gt;=4")=0,0,COUNTIF(R$10:R27,"&gt;=4")/$D27*100))</f>
        <v>94.444444444444443</v>
      </c>
      <c r="S29" s="41">
        <f>IF(SUM(S$10:S27)=0,IF(COUNTA(S$10:S27)=0,"Очікую",0),IF(COUNTIF(S$10:S27,"&gt;=4")=0,0,COUNTIF(S$10:S27,"&gt;=4")/$D27*100))</f>
        <v>94.444444444444443</v>
      </c>
      <c r="T29" s="5"/>
      <c r="U29" s="19"/>
      <c r="V29" s="37"/>
    </row>
    <row r="30" spans="1:22" s="10" customFormat="1" ht="15" customHeight="1" x14ac:dyDescent="0.25">
      <c r="A30" s="38"/>
      <c r="B30" s="11"/>
      <c r="C30" s="5"/>
      <c r="D30" s="5"/>
      <c r="E30" s="6" t="s">
        <v>48</v>
      </c>
      <c r="F30" s="41">
        <f>IF(SUM(F$10:F27)=0,IF(COUNTA(F$10:F27)=0,"Очікую",0),IF(COUNTIF(F$10:F27,"&gt;=7")=0,0,COUNTIF(F$10:F27,"&gt;=7")/$D27*100))</f>
        <v>66.666666666666657</v>
      </c>
      <c r="G30" s="41">
        <f>IF(SUM(G$10:G27)=0,IF(COUNTA(G$10:G27)=0,"Очікую",0),IF(COUNTIF(G$10:G27,"&gt;=7")=0,0,COUNTIF(G$10:G27,"&gt;=7")/$D27*100))</f>
        <v>38.888888888888893</v>
      </c>
      <c r="H30" s="41">
        <f>IF(SUM(H$10:H27)=0,IF(COUNTA(H$10:H27)=0,"Очікую",0),IF(COUNTIF(H$10:H27,"&gt;=7")=0,0,COUNTIF(H$10:H27,"&gt;=7")/$D27*100))</f>
        <v>50</v>
      </c>
      <c r="I30" s="41">
        <f>IF(SUM(I$10:I27)=0,IF(COUNTA(I$10:I27)=0,"Очікую",0),IF(COUNTIF(I$10:I27,"&gt;=7")=0,0,COUNTIF(I$10:I27,"&gt;=7")/$D27*100))</f>
        <v>66.666666666666657</v>
      </c>
      <c r="J30" s="41">
        <f>IF(SUM(J$10:J27)=0,IF(COUNTA(J$10:J27)=0,"Очікую",0),IF(COUNTIF(J$10:J27,"&gt;=7")=0,0,COUNTIF(J$10:J27,"&gt;=7")/$D27*100))</f>
        <v>50</v>
      </c>
      <c r="K30" s="41">
        <f>IF(SUM(K$10:K27)=0,IF(COUNTA(K$10:K27)=0,"Очікую",0),IF(COUNTIF(K$10:K27,"&gt;=7")=0,0,COUNTIF(K$10:K27,"&gt;=7")/$D27*100))</f>
        <v>77.777777777777786</v>
      </c>
      <c r="L30" s="41">
        <f>IF(SUM(L$10:L27)=0,IF(COUNTA(L$10:L27)=0,"Очікую",0),IF(COUNTIF(L$10:L27,"&gt;=7")=0,0,COUNTIF(L$10:L27,"&gt;=7")/$D27*100))</f>
        <v>72.222222222222214</v>
      </c>
      <c r="M30" s="41">
        <f>IF(SUM(M$10:M27)=0,IF(COUNTA(M$10:M27)=0,"Очікую",0),IF(COUNTIF(M$10:M27,"&gt;=7")=0,0,COUNTIF(M$10:M27,"&gt;=7")/$D27*100))</f>
        <v>55.555555555555557</v>
      </c>
      <c r="N30" s="41">
        <f>IF(SUM(N$10:N27)=0,IF(COUNTA(N$10:N27)=0,"Очікую",0),IF(COUNTIF(N$10:N27,"&gt;=7")=0,0,COUNTIF(N$10:N27,"&gt;=7")/$D27*100))</f>
        <v>77.777777777777786</v>
      </c>
      <c r="O30" s="41">
        <f>IF(SUM(O$10:O27)=0,IF(COUNTA(O$10:O27)=0,"Очікую",0),IF(COUNTIF(O$10:O27,"&gt;=7")=0,0,COUNTIF(O$10:O27,"&gt;=7")/$D27*100))</f>
        <v>61.111111111111114</v>
      </c>
      <c r="P30" s="41">
        <f>IF(SUM(P$10:P27)=0,IF(COUNTA(P$10:P27)=0,"Очікую",0),IF(COUNTIF(P$10:P27,"&gt;=7")=0,0,COUNTIF(P$10:P27,"&gt;=7")/$D27*100))</f>
        <v>72.222222222222214</v>
      </c>
      <c r="Q30" s="41">
        <f>IF(SUM(Q$10:Q27)=0,IF(COUNTA(Q$10:Q27)=0,"Очікую",0),IF(COUNTIF(Q$10:Q27,"&gt;=7")=0,0,COUNTIF(Q$10:Q27,"&gt;=7")/$D27*100))</f>
        <v>72.222222222222214</v>
      </c>
      <c r="R30" s="41">
        <f>IF(SUM(R$10:R27)=0,IF(COUNTA(R$10:R27)=0,"Очікую",0),IF(COUNTIF(R$10:R27,"&gt;=7")=0,0,COUNTIF(R$10:R27,"&gt;=7")/$D27*100))</f>
        <v>77.777777777777786</v>
      </c>
      <c r="S30" s="41">
        <f>IF(SUM(S$10:S27)=0,IF(COUNTA(S$10:S27)=0,"Очікую",0),IF(COUNTIF(S$10:S27,"&gt;=7")=0,0,COUNTIF(S$10:S27,"&gt;=7")/$D27*100))</f>
        <v>66.666666666666657</v>
      </c>
      <c r="T30" s="5"/>
      <c r="U30" s="19"/>
      <c r="V30" s="37"/>
    </row>
    <row r="31" spans="1:22" s="10" customFormat="1" ht="15" customHeight="1" x14ac:dyDescent="0.25">
      <c r="A31" s="38"/>
      <c r="B31" s="11"/>
      <c r="C31" s="5"/>
      <c r="D31" s="5"/>
      <c r="E31" s="6" t="s">
        <v>49</v>
      </c>
      <c r="F31" s="7">
        <f>IFERROR(AVERAGE(F29:S29),"Очікую")</f>
        <v>92.460317460317455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19"/>
      <c r="V31" s="37"/>
    </row>
    <row r="32" spans="1:22" s="10" customFormat="1" ht="15" customHeight="1" x14ac:dyDescent="0.25">
      <c r="A32" s="38"/>
      <c r="B32" s="11"/>
      <c r="C32" s="5"/>
      <c r="D32" s="5"/>
      <c r="E32" s="6" t="s">
        <v>50</v>
      </c>
      <c r="F32" s="7">
        <f>IFERROR(AVERAGE($F30:S30),"Очікую")</f>
        <v>64.682539682539669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19"/>
      <c r="V32" s="37"/>
    </row>
    <row r="33" spans="1:22" s="10" customFormat="1" ht="15" customHeight="1" x14ac:dyDescent="0.25">
      <c r="A33" s="38"/>
      <c r="B33" s="11"/>
      <c r="C33" s="5"/>
      <c r="D33" s="5"/>
      <c r="E33" s="6" t="s">
        <v>51</v>
      </c>
      <c r="F33" s="51">
        <f>IF(COUNTIF($C$10:$C27,"=Б")=0,IF(COUNTIF($C$10:$C27,"=К")=0,"Очікую",0),COUNTIF($C$10:$C27,"=Б"))</f>
        <v>10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47"/>
      <c r="R33" s="47"/>
      <c r="S33" s="47"/>
      <c r="T33" s="47"/>
      <c r="U33" s="19"/>
      <c r="V33" s="37"/>
    </row>
    <row r="34" spans="1:22" s="10" customFormat="1" ht="15" customHeight="1" x14ac:dyDescent="0.3">
      <c r="A34" s="38"/>
      <c r="B34" s="11"/>
      <c r="C34" s="5"/>
      <c r="D34" s="5"/>
      <c r="E34" s="6" t="s">
        <v>52</v>
      </c>
      <c r="F34" s="51">
        <f>IF(COUNTIF($C$10:$C27,"=К")=0,IF(COUNTIF($C$10:$C27,"=Б")=0,"Очікую",0),COUNTIF($C$10:$C27,"=К"))</f>
        <v>8</v>
      </c>
      <c r="G34" s="5"/>
      <c r="H34" s="49" t="s">
        <v>53</v>
      </c>
      <c r="I34" s="49"/>
      <c r="J34" s="49"/>
      <c r="K34" s="49"/>
      <c r="L34" s="5"/>
      <c r="M34" s="5"/>
      <c r="N34" s="5"/>
      <c r="O34" s="50"/>
      <c r="P34" s="48" t="s">
        <v>54</v>
      </c>
      <c r="Q34" s="48"/>
      <c r="R34" s="48"/>
      <c r="S34" s="48"/>
      <c r="T34" s="48"/>
      <c r="U34" s="19"/>
      <c r="V34" s="37"/>
    </row>
    <row r="35" spans="1:22" s="10" customFormat="1" ht="15" customHeight="1" x14ac:dyDescent="0.25">
      <c r="A35" s="38"/>
      <c r="B35" s="11"/>
      <c r="C35" s="5"/>
      <c r="D35" s="5"/>
      <c r="E35" s="6" t="s">
        <v>55</v>
      </c>
      <c r="F35" s="4">
        <v>0</v>
      </c>
      <c r="G35" s="5"/>
      <c r="H35" s="49"/>
      <c r="I35" s="49"/>
      <c r="J35" s="49"/>
      <c r="K35" s="49"/>
      <c r="L35" s="5"/>
      <c r="M35" s="5"/>
      <c r="N35" s="5"/>
      <c r="O35" s="50"/>
      <c r="P35" s="47"/>
      <c r="Q35" s="47"/>
      <c r="R35" s="47"/>
      <c r="S35" s="47"/>
      <c r="T35" s="47"/>
      <c r="U35" s="19"/>
      <c r="V35" s="37"/>
    </row>
    <row r="36" spans="1:22" s="10" customFormat="1" ht="15" customHeight="1" x14ac:dyDescent="0.3">
      <c r="A36" s="38"/>
      <c r="B36" s="11"/>
      <c r="C36" s="5"/>
      <c r="D36" s="5"/>
      <c r="E36" s="6" t="s">
        <v>56</v>
      </c>
      <c r="F36" s="51">
        <f>IF(F33="Очікую","Очікую",IF(F33-COUNTIF($T$10:$T27," - ")&lt;ROUNDDOWN(F33*0.4,0),F33-COUNTIF($T$10:$T27," - "),ROUNDDOWN(F33*0.4,0)))</f>
        <v>3</v>
      </c>
      <c r="G36" s="5"/>
      <c r="H36" s="50" t="s">
        <v>57</v>
      </c>
      <c r="I36" s="50"/>
      <c r="J36" s="50"/>
      <c r="K36" s="50"/>
      <c r="L36" s="5"/>
      <c r="M36" s="5"/>
      <c r="N36" s="5"/>
      <c r="O36" s="50"/>
      <c r="P36" s="48" t="s">
        <v>58</v>
      </c>
      <c r="Q36" s="48"/>
      <c r="R36" s="48"/>
      <c r="S36" s="48"/>
      <c r="T36" s="48"/>
      <c r="U36" s="19"/>
      <c r="V36" s="37"/>
    </row>
    <row r="37" spans="1:22" s="10" customFormat="1" ht="15" customHeight="1" x14ac:dyDescent="0.25">
      <c r="A37" s="38"/>
      <c r="B37" s="20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4"/>
      <c r="V37" s="37"/>
    </row>
    <row r="38" spans="1:22" s="10" customFormat="1" ht="1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7"/>
    </row>
    <row r="39" spans="1:22" s="10" customFormat="1" ht="15" hidden="1" customHeight="1" x14ac:dyDescent="0.25"/>
    <row r="40" spans="1:22" s="10" customFormat="1" ht="15" hidden="1" customHeight="1" x14ac:dyDescent="0.25"/>
    <row r="41" spans="1:22" s="10" customFormat="1" ht="15" hidden="1" customHeight="1" x14ac:dyDescent="0.25"/>
    <row r="42" spans="1:22" s="10" customFormat="1" ht="15" hidden="1" customHeight="1" x14ac:dyDescent="0.25"/>
    <row r="43" spans="1:22" s="10" customFormat="1" ht="15" hidden="1" customHeight="1" x14ac:dyDescent="0.25"/>
    <row r="44" spans="1:22" s="10" customFormat="1" ht="15" hidden="1" customHeight="1" x14ac:dyDescent="0.25"/>
    <row r="45" spans="1:22" s="10" customFormat="1" ht="15" hidden="1" customHeight="1" x14ac:dyDescent="0.25"/>
    <row r="46" spans="1:22" s="10" customFormat="1" ht="15" hidden="1" customHeight="1" x14ac:dyDescent="0.25"/>
    <row r="47" spans="1:22" s="10" customFormat="1" ht="15" hidden="1" customHeight="1" x14ac:dyDescent="0.25"/>
    <row r="48" spans="1:22" s="10" customFormat="1" ht="15" hidden="1" customHeight="1" x14ac:dyDescent="0.25"/>
    <row r="49" s="10" customFormat="1" ht="15" hidden="1" customHeight="1" x14ac:dyDescent="0.25"/>
    <row r="50" s="10" customFormat="1" ht="15" hidden="1" customHeight="1" x14ac:dyDescent="0.25"/>
    <row r="51" s="10" customFormat="1" ht="15" hidden="1" customHeight="1" x14ac:dyDescent="0.25"/>
    <row r="52" s="10" customFormat="1" ht="15" hidden="1" customHeight="1" x14ac:dyDescent="0.25"/>
    <row r="53" s="10" customFormat="1" ht="15" hidden="1" customHeight="1" x14ac:dyDescent="0.25"/>
    <row r="54" s="10" customFormat="1" ht="15" hidden="1" customHeight="1" x14ac:dyDescent="0.25"/>
    <row r="55" s="10" customFormat="1" ht="15" hidden="1" customHeight="1" x14ac:dyDescent="0.25"/>
    <row r="56" s="10" customFormat="1" ht="15" hidden="1" customHeight="1" x14ac:dyDescent="0.25"/>
    <row r="57" s="10" customFormat="1" ht="15" hidden="1" customHeight="1" x14ac:dyDescent="0.25"/>
    <row r="58" s="10" customFormat="1" ht="15" hidden="1" customHeight="1" x14ac:dyDescent="0.25"/>
    <row r="59" s="10" customFormat="1" ht="15" hidden="1" customHeight="1" x14ac:dyDescent="0.25"/>
    <row r="60" s="10" customFormat="1" ht="15" hidden="1" customHeight="1" x14ac:dyDescent="0.25"/>
    <row r="61" s="10" customFormat="1" ht="15" hidden="1" customHeight="1" x14ac:dyDescent="0.25"/>
    <row r="62" s="10" customFormat="1" ht="15" hidden="1" customHeight="1" x14ac:dyDescent="0.25"/>
    <row r="63" s="10" customFormat="1" ht="15" hidden="1" customHeight="1" x14ac:dyDescent="0.25"/>
    <row r="64" s="10" customFormat="1" ht="15" hidden="1" customHeight="1" x14ac:dyDescent="0.25"/>
    <row r="65" s="10" customFormat="1" ht="15" hidden="1" customHeight="1" x14ac:dyDescent="0.25"/>
    <row r="66" s="10" customFormat="1" ht="15" hidden="1" customHeight="1" x14ac:dyDescent="0.25"/>
    <row r="67" s="10" customFormat="1" ht="15" hidden="1" customHeight="1" x14ac:dyDescent="0.25"/>
    <row r="68" s="10" customFormat="1" ht="15" hidden="1" customHeight="1" x14ac:dyDescent="0.25"/>
    <row r="69" s="10" customFormat="1" ht="15" hidden="1" customHeight="1" x14ac:dyDescent="0.25"/>
    <row r="70" s="10" customFormat="1" ht="15" hidden="1" customHeight="1" x14ac:dyDescent="0.25"/>
    <row r="71" s="10" customFormat="1" ht="15" hidden="1" customHeight="1" x14ac:dyDescent="0.25"/>
    <row r="72" s="10" customFormat="1" ht="15" hidden="1" customHeight="1" x14ac:dyDescent="0.25"/>
    <row r="73" s="10" customFormat="1" ht="15" hidden="1" customHeight="1" x14ac:dyDescent="0.25"/>
    <row r="74" s="10" customFormat="1" ht="15" hidden="1" customHeight="1" x14ac:dyDescent="0.25"/>
    <row r="75" s="10" customFormat="1" ht="15" hidden="1" customHeight="1" x14ac:dyDescent="0.25"/>
    <row r="76" s="10" customFormat="1" ht="15" hidden="1" customHeight="1" x14ac:dyDescent="0.25"/>
    <row r="77" s="10" customFormat="1" ht="15" hidden="1" customHeight="1" x14ac:dyDescent="0.25"/>
    <row r="78" s="10" customFormat="1" ht="15" hidden="1" customHeight="1" x14ac:dyDescent="0.25"/>
    <row r="79" s="10" customFormat="1" ht="15" hidden="1" customHeight="1" x14ac:dyDescent="0.25"/>
    <row r="80" s="10" customFormat="1" ht="15" hidden="1" customHeight="1" x14ac:dyDescent="0.25"/>
    <row r="81" s="10" customFormat="1" ht="15" hidden="1" customHeight="1" x14ac:dyDescent="0.25"/>
    <row r="82" s="10" customFormat="1" ht="15" hidden="1" customHeight="1" x14ac:dyDescent="0.25"/>
    <row r="83" s="10" customFormat="1" ht="15" hidden="1" customHeight="1" x14ac:dyDescent="0.25"/>
    <row r="84" s="10" customFormat="1" ht="15" hidden="1" customHeight="1" x14ac:dyDescent="0.25"/>
    <row r="85" s="10" customFormat="1" ht="15" hidden="1" customHeight="1" x14ac:dyDescent="0.25"/>
    <row r="86" s="10" customFormat="1" ht="15" hidden="1" customHeight="1" x14ac:dyDescent="0.25"/>
    <row r="87" s="10" customFormat="1" ht="15" hidden="1" customHeight="1" x14ac:dyDescent="0.25"/>
    <row r="88" s="10" customFormat="1" ht="15" hidden="1" customHeight="1" x14ac:dyDescent="0.25"/>
    <row r="89" s="10" customFormat="1" ht="15" hidden="1" customHeight="1" x14ac:dyDescent="0.25"/>
    <row r="90" s="10" customFormat="1" ht="15" hidden="1" customHeight="1" x14ac:dyDescent="0.25"/>
    <row r="91" s="10" customFormat="1" ht="15" hidden="1" customHeight="1" x14ac:dyDescent="0.25"/>
    <row r="92" s="10" customFormat="1" ht="15" hidden="1" customHeight="1" x14ac:dyDescent="0.25"/>
    <row r="93" s="10" customFormat="1" ht="15" hidden="1" customHeight="1" x14ac:dyDescent="0.25"/>
    <row r="94" s="10" customFormat="1" ht="15" hidden="1" customHeight="1" x14ac:dyDescent="0.25"/>
    <row r="95" s="10" customFormat="1" ht="15" hidden="1" customHeight="1" x14ac:dyDescent="0.25"/>
    <row r="96" s="10" customFormat="1" ht="15" hidden="1" customHeight="1" x14ac:dyDescent="0.25"/>
    <row r="97" s="10" customFormat="1" ht="15" hidden="1" customHeight="1" x14ac:dyDescent="0.25"/>
    <row r="98" s="10" customFormat="1" ht="15" hidden="1" customHeight="1" x14ac:dyDescent="0.25"/>
    <row r="99" s="10" customFormat="1" ht="15" hidden="1" customHeight="1" x14ac:dyDescent="0.25"/>
    <row r="100" s="10" customFormat="1" ht="15" hidden="1" customHeight="1" x14ac:dyDescent="0.25"/>
    <row r="101" s="10" customFormat="1" ht="15" hidden="1" customHeight="1" x14ac:dyDescent="0.25"/>
    <row r="102" s="10" customFormat="1" ht="15" hidden="1" customHeight="1" x14ac:dyDescent="0.25"/>
    <row r="103" s="10" customFormat="1" ht="15" hidden="1" customHeight="1" x14ac:dyDescent="0.25"/>
    <row r="104" s="10" customFormat="1" ht="15" hidden="1" customHeight="1" x14ac:dyDescent="0.25"/>
    <row r="105" s="10" customFormat="1" ht="15" hidden="1" customHeight="1" x14ac:dyDescent="0.25"/>
    <row r="106" s="10" customFormat="1" ht="15" hidden="1" customHeight="1" x14ac:dyDescent="0.25"/>
    <row r="107" s="10" customFormat="1" ht="15" hidden="1" customHeight="1" x14ac:dyDescent="0.25"/>
    <row r="108" s="10" customFormat="1" ht="15" hidden="1" customHeight="1" x14ac:dyDescent="0.25"/>
    <row r="109" s="10" customFormat="1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2" hidden="1" customHeight="1" thickBot="1" x14ac:dyDescent="0.3"/>
    <row r="120" ht="12" hidden="1" customHeight="1" x14ac:dyDescent="0.25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1" right="0.19685039370078741" top="0.19685039370078741" bottom="0.19685039370078741" header="0" footer="0"/>
  <pageSetup paperSize="9" scale="3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P120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customWidth="1"/>
    <col min="21" max="22" width="2.7109375" customWidth="1"/>
    <col min="23" max="25" width="13" hidden="1" customWidth="1"/>
    <col min="26" max="26" width="11.28515625" style="1" hidden="1" customWidth="1"/>
    <col min="27" max="27" width="2.7109375" style="1" hidden="1" customWidth="1"/>
    <col min="28" max="28" width="13" hidden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69" width="14.42578125" style="1" hidden="1" customWidth="1"/>
    <col min="70" max="16384" width="14.42578125" style="1" hidden="1"/>
  </cols>
  <sheetData>
    <row r="1" spans="1:22" ht="12" customHeight="1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2" customHeight="1" x14ac:dyDescent="0.25">
      <c r="A2" s="38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  <c r="V2" s="37"/>
    </row>
    <row r="3" spans="1:22" s="2" customFormat="1" ht="54.95" customHeight="1" x14ac:dyDescent="0.3">
      <c r="A3" s="38"/>
      <c r="B3" s="11"/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19"/>
      <c r="V3" s="37"/>
    </row>
    <row r="4" spans="1:22" s="3" customFormat="1" ht="15" customHeight="1" x14ac:dyDescent="0.25">
      <c r="A4" s="38"/>
      <c r="B4" s="11"/>
      <c r="C4" s="70" t="s">
        <v>2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19"/>
      <c r="V4" s="37"/>
    </row>
    <row r="5" spans="1:22" s="2" customFormat="1" ht="15" customHeight="1" x14ac:dyDescent="0.25">
      <c r="A5" s="38"/>
      <c r="B5" s="11"/>
      <c r="C5" s="62" t="s">
        <v>59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19"/>
      <c r="V5" s="37"/>
    </row>
    <row r="6" spans="1:22" s="2" customFormat="1" ht="15" customHeight="1" x14ac:dyDescent="0.25">
      <c r="A6" s="38"/>
      <c r="B6" s="11"/>
      <c r="C6" s="62" t="s">
        <v>4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19"/>
      <c r="V6" s="37"/>
    </row>
    <row r="7" spans="1:22" s="2" customFormat="1" ht="15" customHeight="1" x14ac:dyDescent="0.25">
      <c r="A7" s="38"/>
      <c r="B7" s="11"/>
      <c r="C7" s="64" t="s">
        <v>5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19"/>
      <c r="V7" s="37"/>
    </row>
    <row r="8" spans="1:22" ht="15" customHeight="1" x14ac:dyDescent="0.25">
      <c r="A8" s="38"/>
      <c r="B8" s="11"/>
      <c r="C8" s="66" t="s">
        <v>6</v>
      </c>
      <c r="D8" s="68" t="s">
        <v>7</v>
      </c>
      <c r="E8" s="68" t="s">
        <v>8</v>
      </c>
      <c r="F8" s="59" t="s">
        <v>9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1"/>
      <c r="T8" s="69" t="s">
        <v>10</v>
      </c>
      <c r="U8" s="19"/>
      <c r="V8" s="37"/>
    </row>
    <row r="9" spans="1:22" ht="125.1" customHeight="1" x14ac:dyDescent="0.25">
      <c r="A9" s="38"/>
      <c r="B9" s="11"/>
      <c r="C9" s="67"/>
      <c r="D9" s="67"/>
      <c r="E9" s="67"/>
      <c r="F9" s="12" t="s">
        <v>11</v>
      </c>
      <c r="G9" s="12" t="s">
        <v>12</v>
      </c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67"/>
      <c r="U9" s="19"/>
      <c r="V9" s="37"/>
    </row>
    <row r="10" spans="1:22" s="10" customFormat="1" ht="15" customHeight="1" x14ac:dyDescent="0.25">
      <c r="A10" s="38"/>
      <c r="B10" s="11"/>
      <c r="C10" s="42" t="s">
        <v>25</v>
      </c>
      <c r="D10" s="42">
        <v>1</v>
      </c>
      <c r="E10" s="43" t="s">
        <v>60</v>
      </c>
      <c r="F10" s="44">
        <v>10</v>
      </c>
      <c r="G10" s="44">
        <v>11</v>
      </c>
      <c r="H10" s="44">
        <v>6</v>
      </c>
      <c r="I10" s="44">
        <v>9</v>
      </c>
      <c r="J10" s="44">
        <v>4</v>
      </c>
      <c r="K10" s="44">
        <v>8</v>
      </c>
      <c r="L10" s="44">
        <v>5</v>
      </c>
      <c r="M10" s="44">
        <v>6</v>
      </c>
      <c r="N10" s="44">
        <v>6</v>
      </c>
      <c r="O10" s="44">
        <v>5</v>
      </c>
      <c r="P10" s="44">
        <v>9</v>
      </c>
      <c r="Q10" s="44">
        <v>8</v>
      </c>
      <c r="R10" s="44">
        <v>7</v>
      </c>
      <c r="S10" s="44">
        <v>5</v>
      </c>
      <c r="T10" s="40">
        <f>IF(COUNTIF($F10:S10,"=*")&gt;0,IF($C10="К","-"," - "),IF(COUNTIF($F10:S10,"&lt;4")&gt;0,IF(C10="К","-"," - "),(IFERROR(AVERAGE($F10:S10),"Очікую"))))</f>
        <v>7.0714285714285712</v>
      </c>
      <c r="U10" s="21"/>
      <c r="V10" s="37"/>
    </row>
    <row r="11" spans="1:22" s="10" customFormat="1" ht="15" customHeight="1" x14ac:dyDescent="0.25">
      <c r="A11" s="38"/>
      <c r="B11" s="11"/>
      <c r="C11" s="42" t="s">
        <v>25</v>
      </c>
      <c r="D11" s="42">
        <v>2</v>
      </c>
      <c r="E11" s="43" t="s">
        <v>61</v>
      </c>
      <c r="F11" s="44">
        <v>11</v>
      </c>
      <c r="G11" s="44">
        <v>8</v>
      </c>
      <c r="H11" s="44">
        <v>6</v>
      </c>
      <c r="I11" s="44">
        <v>6</v>
      </c>
      <c r="J11" s="44">
        <v>5</v>
      </c>
      <c r="K11" s="44">
        <v>6</v>
      </c>
      <c r="L11" s="44">
        <v>8</v>
      </c>
      <c r="M11" s="44">
        <v>10</v>
      </c>
      <c r="N11" s="44">
        <v>7</v>
      </c>
      <c r="O11" s="44">
        <v>5</v>
      </c>
      <c r="P11" s="44">
        <v>4</v>
      </c>
      <c r="Q11" s="44">
        <v>8</v>
      </c>
      <c r="R11" s="44">
        <v>4</v>
      </c>
      <c r="S11" s="44">
        <v>7</v>
      </c>
      <c r="T11" s="40">
        <f>IF(COUNTIF($F11:S11,"=*")&gt;0,IF($C11="К","-"," - "),IF(COUNTIF($F11:S11,"&lt;4")&gt;0,IF(C11="К","-"," - "),(IFERROR(AVERAGE($F11:S11),"Очікую"))))</f>
        <v>6.7857142857142856</v>
      </c>
      <c r="U11" s="21"/>
      <c r="V11" s="37"/>
    </row>
    <row r="12" spans="1:22" s="10" customFormat="1" ht="15" customHeight="1" x14ac:dyDescent="0.25">
      <c r="A12" s="38"/>
      <c r="B12" s="11"/>
      <c r="C12" s="42" t="s">
        <v>29</v>
      </c>
      <c r="D12" s="42">
        <v>3</v>
      </c>
      <c r="E12" s="43" t="s">
        <v>62</v>
      </c>
      <c r="F12" s="44">
        <v>6</v>
      </c>
      <c r="G12" s="44">
        <v>5</v>
      </c>
      <c r="H12" s="44">
        <v>8</v>
      </c>
      <c r="I12" s="44" t="s">
        <v>27</v>
      </c>
      <c r="J12" s="44" t="s">
        <v>27</v>
      </c>
      <c r="K12" s="44">
        <v>6</v>
      </c>
      <c r="L12" s="44">
        <v>7</v>
      </c>
      <c r="M12" s="44">
        <v>7</v>
      </c>
      <c r="N12" s="44">
        <v>10</v>
      </c>
      <c r="O12" s="44">
        <v>5</v>
      </c>
      <c r="P12" s="44">
        <v>9</v>
      </c>
      <c r="Q12" s="44">
        <v>6</v>
      </c>
      <c r="R12" s="44">
        <v>8</v>
      </c>
      <c r="S12" s="44">
        <v>7</v>
      </c>
      <c r="T12" s="40" t="str">
        <f>IF(COUNTIF($F12:S12,"=*")&gt;0,IF($C12="К","-"," - "),IF(COUNTIF($F12:S12,"&lt;4")&gt;0,IF(C12="К","-"," - "),(IFERROR(AVERAGE($F12:S12),"Очікую"))))</f>
        <v>-</v>
      </c>
      <c r="U12" s="21"/>
      <c r="V12" s="37"/>
    </row>
    <row r="13" spans="1:22" s="10" customFormat="1" ht="15" customHeight="1" x14ac:dyDescent="0.25">
      <c r="A13" s="38"/>
      <c r="B13" s="11"/>
      <c r="C13" s="42" t="s">
        <v>29</v>
      </c>
      <c r="D13" s="42">
        <v>4</v>
      </c>
      <c r="E13" s="43" t="s">
        <v>63</v>
      </c>
      <c r="F13" s="44">
        <v>9</v>
      </c>
      <c r="G13" s="44">
        <v>8</v>
      </c>
      <c r="H13" s="44">
        <v>8</v>
      </c>
      <c r="I13" s="44">
        <v>4</v>
      </c>
      <c r="J13" s="44">
        <v>4</v>
      </c>
      <c r="K13" s="44">
        <v>7</v>
      </c>
      <c r="L13" s="44">
        <v>9</v>
      </c>
      <c r="M13" s="44">
        <v>7</v>
      </c>
      <c r="N13" s="44">
        <v>4</v>
      </c>
      <c r="O13" s="44">
        <v>8</v>
      </c>
      <c r="P13" s="44">
        <v>8</v>
      </c>
      <c r="Q13" s="44">
        <v>5</v>
      </c>
      <c r="R13" s="44">
        <v>10</v>
      </c>
      <c r="S13" s="44">
        <v>8</v>
      </c>
      <c r="T13" s="40">
        <f>IF(COUNTIF($F13:S13,"=*")&gt;0,IF($C13="К","-"," - "),IF(COUNTIF($F13:S13,"&lt;4")&gt;0,IF(C13="К","-"," - "),(IFERROR(AVERAGE($F13:S13),"Очікую"))))</f>
        <v>7.0714285714285712</v>
      </c>
      <c r="U13" s="21"/>
      <c r="V13" s="37"/>
    </row>
    <row r="14" spans="1:22" s="10" customFormat="1" ht="15" customHeight="1" x14ac:dyDescent="0.25">
      <c r="A14" s="38"/>
      <c r="B14" s="11"/>
      <c r="C14" s="42" t="s">
        <v>25</v>
      </c>
      <c r="D14" s="42">
        <v>5</v>
      </c>
      <c r="E14" s="43" t="s">
        <v>64</v>
      </c>
      <c r="F14" s="44">
        <v>4</v>
      </c>
      <c r="G14" s="44">
        <v>8</v>
      </c>
      <c r="H14" s="44">
        <v>8</v>
      </c>
      <c r="I14" s="44">
        <v>10</v>
      </c>
      <c r="J14" s="44">
        <v>6</v>
      </c>
      <c r="K14" s="44">
        <v>8</v>
      </c>
      <c r="L14" s="44">
        <v>10</v>
      </c>
      <c r="M14" s="44">
        <v>8</v>
      </c>
      <c r="N14" s="44">
        <v>8</v>
      </c>
      <c r="O14" s="44">
        <v>8</v>
      </c>
      <c r="P14" s="44">
        <v>4</v>
      </c>
      <c r="Q14" s="44">
        <v>8</v>
      </c>
      <c r="R14" s="44">
        <v>10</v>
      </c>
      <c r="S14" s="44">
        <v>8</v>
      </c>
      <c r="T14" s="40">
        <f>IF(COUNTIF($F14:S14,"=*")&gt;0,IF($C14="К","-"," - "),IF(COUNTIF($F14:S14,"&lt;4")&gt;0,IF(C14="К","-"," - "),(IFERROR(AVERAGE($F14:S14),"Очікую"))))</f>
        <v>7.7142857142857144</v>
      </c>
      <c r="U14" s="21"/>
      <c r="V14" s="37"/>
    </row>
    <row r="15" spans="1:22" s="10" customFormat="1" ht="15" customHeight="1" x14ac:dyDescent="0.25">
      <c r="A15" s="38"/>
      <c r="B15" s="11"/>
      <c r="C15" s="42" t="s">
        <v>25</v>
      </c>
      <c r="D15" s="42">
        <v>6</v>
      </c>
      <c r="E15" s="43" t="s">
        <v>65</v>
      </c>
      <c r="F15" s="44" t="s">
        <v>27</v>
      </c>
      <c r="G15" s="44">
        <v>8</v>
      </c>
      <c r="H15" s="44">
        <v>4</v>
      </c>
      <c r="I15" s="44">
        <v>6</v>
      </c>
      <c r="J15" s="44">
        <v>4</v>
      </c>
      <c r="K15" s="44">
        <v>7</v>
      </c>
      <c r="L15" s="44">
        <v>9</v>
      </c>
      <c r="M15" s="44">
        <v>11</v>
      </c>
      <c r="N15" s="44">
        <v>7</v>
      </c>
      <c r="O15" s="44">
        <v>4</v>
      </c>
      <c r="P15" s="44">
        <v>5</v>
      </c>
      <c r="Q15" s="44">
        <v>6</v>
      </c>
      <c r="R15" s="44">
        <v>8</v>
      </c>
      <c r="S15" s="44">
        <v>8</v>
      </c>
      <c r="T15" s="40" t="str">
        <f>IF(COUNTIF($F15:S15,"=*")&gt;0,IF($C15="К","-"," - "),IF(COUNTIF($F15:S15,"&lt;4")&gt;0,IF(C15="К","-"," - "),(IFERROR(AVERAGE($F15:S15),"Очікую"))))</f>
        <v xml:space="preserve"> - </v>
      </c>
      <c r="U15" s="21"/>
      <c r="V15" s="37"/>
    </row>
    <row r="16" spans="1:22" s="10" customFormat="1" ht="15" customHeight="1" x14ac:dyDescent="0.25">
      <c r="A16" s="38"/>
      <c r="B16" s="11"/>
      <c r="C16" s="42" t="s">
        <v>25</v>
      </c>
      <c r="D16" s="42">
        <v>7</v>
      </c>
      <c r="E16" s="43" t="s">
        <v>66</v>
      </c>
      <c r="F16" s="44">
        <v>8</v>
      </c>
      <c r="G16" s="44">
        <v>6</v>
      </c>
      <c r="H16" s="44">
        <v>5</v>
      </c>
      <c r="I16" s="44">
        <v>11</v>
      </c>
      <c r="J16" s="44">
        <v>7</v>
      </c>
      <c r="K16" s="44">
        <v>7</v>
      </c>
      <c r="L16" s="44">
        <v>6</v>
      </c>
      <c r="M16" s="44">
        <v>10</v>
      </c>
      <c r="N16" s="44">
        <v>7</v>
      </c>
      <c r="O16" s="44">
        <v>6</v>
      </c>
      <c r="P16" s="44">
        <v>6</v>
      </c>
      <c r="Q16" s="44">
        <v>4</v>
      </c>
      <c r="R16" s="44">
        <v>6</v>
      </c>
      <c r="S16" s="44">
        <v>6</v>
      </c>
      <c r="T16" s="40">
        <f>IF(COUNTIF($F16:S16,"=*")&gt;0,IF($C16="К","-"," - "),IF(COUNTIF($F16:S16,"&lt;4")&gt;0,IF(C16="К","-"," - "),(IFERROR(AVERAGE($F16:S16),"Очікую"))))</f>
        <v>6.7857142857142856</v>
      </c>
      <c r="U16" s="21"/>
      <c r="V16" s="37"/>
    </row>
    <row r="17" spans="1:22" s="10" customFormat="1" ht="15" customHeight="1" x14ac:dyDescent="0.25">
      <c r="A17" s="38"/>
      <c r="B17" s="11"/>
      <c r="C17" s="42" t="s">
        <v>25</v>
      </c>
      <c r="D17" s="42">
        <v>8</v>
      </c>
      <c r="E17" s="43" t="s">
        <v>67</v>
      </c>
      <c r="F17" s="44">
        <v>9</v>
      </c>
      <c r="G17" s="44">
        <v>9</v>
      </c>
      <c r="H17" s="44">
        <v>8</v>
      </c>
      <c r="I17" s="44">
        <v>6</v>
      </c>
      <c r="J17" s="44">
        <v>10</v>
      </c>
      <c r="K17" s="44">
        <v>11</v>
      </c>
      <c r="L17" s="44">
        <v>6</v>
      </c>
      <c r="M17" s="44">
        <v>11</v>
      </c>
      <c r="N17" s="44">
        <v>7</v>
      </c>
      <c r="O17" s="44">
        <v>7</v>
      </c>
      <c r="P17" s="44">
        <v>10</v>
      </c>
      <c r="Q17" s="44">
        <v>6</v>
      </c>
      <c r="R17" s="44">
        <v>7</v>
      </c>
      <c r="S17" s="44">
        <v>8</v>
      </c>
      <c r="T17" s="40">
        <f>IF(COUNTIF($F17:S17,"=*")&gt;0,IF($C17="К","-"," - "),IF(COUNTIF($F17:S17,"&lt;4")&gt;0,IF(C17="К","-"," - "),(IFERROR(AVERAGE($F17:S17),"Очікую"))))</f>
        <v>8.2142857142857135</v>
      </c>
      <c r="U17" s="21"/>
      <c r="V17" s="37"/>
    </row>
    <row r="18" spans="1:22" s="10" customFormat="1" ht="15" customHeight="1" x14ac:dyDescent="0.25">
      <c r="A18" s="38"/>
      <c r="B18" s="11"/>
      <c r="C18" s="42" t="s">
        <v>25</v>
      </c>
      <c r="D18" s="42">
        <v>9</v>
      </c>
      <c r="E18" s="43" t="s">
        <v>68</v>
      </c>
      <c r="F18" s="44">
        <v>4</v>
      </c>
      <c r="G18" s="44">
        <v>4</v>
      </c>
      <c r="H18" s="44">
        <v>11</v>
      </c>
      <c r="I18" s="44">
        <v>8</v>
      </c>
      <c r="J18" s="44">
        <v>5</v>
      </c>
      <c r="K18" s="44">
        <v>10</v>
      </c>
      <c r="L18" s="44">
        <v>8</v>
      </c>
      <c r="M18" s="44">
        <v>5</v>
      </c>
      <c r="N18" s="44">
        <v>9</v>
      </c>
      <c r="O18" s="44">
        <v>6</v>
      </c>
      <c r="P18" s="44">
        <v>4</v>
      </c>
      <c r="Q18" s="44">
        <v>10</v>
      </c>
      <c r="R18" s="44">
        <v>8</v>
      </c>
      <c r="S18" s="44">
        <v>8</v>
      </c>
      <c r="T18" s="40">
        <f>IF(COUNTIF($F18:S18,"=*")&gt;0,IF($C18="К","-"," - "),IF(COUNTIF($F18:S18,"&lt;4")&gt;0,IF(C18="К","-"," - "),(IFERROR(AVERAGE($F18:S18),"Очікую"))))</f>
        <v>7.1428571428571432</v>
      </c>
      <c r="U18" s="21"/>
      <c r="V18" s="37"/>
    </row>
    <row r="19" spans="1:22" s="10" customFormat="1" ht="15" customHeight="1" x14ac:dyDescent="0.25">
      <c r="A19" s="38"/>
      <c r="B19" s="11"/>
      <c r="C19" s="42" t="s">
        <v>29</v>
      </c>
      <c r="D19" s="42">
        <v>10</v>
      </c>
      <c r="E19" s="43" t="s">
        <v>69</v>
      </c>
      <c r="F19" s="44">
        <v>9</v>
      </c>
      <c r="G19" s="44">
        <v>10</v>
      </c>
      <c r="H19" s="44">
        <v>8</v>
      </c>
      <c r="I19" s="44">
        <v>8</v>
      </c>
      <c r="J19" s="44">
        <v>4</v>
      </c>
      <c r="K19" s="44">
        <v>6</v>
      </c>
      <c r="L19" s="44">
        <v>8</v>
      </c>
      <c r="M19" s="44">
        <v>6</v>
      </c>
      <c r="N19" s="44">
        <v>6</v>
      </c>
      <c r="O19" s="44">
        <v>10</v>
      </c>
      <c r="P19" s="44">
        <v>6</v>
      </c>
      <c r="Q19" s="44">
        <v>6</v>
      </c>
      <c r="R19" s="44">
        <v>11</v>
      </c>
      <c r="S19" s="44">
        <v>7</v>
      </c>
      <c r="T19" s="40">
        <f>IF(COUNTIF($F19:S19,"=*")&gt;0,IF($C19="К","-"," - "),IF(COUNTIF($F19:S19,"&lt;4")&gt;0,IF(C19="К","-"," - "),(IFERROR(AVERAGE($F19:S19),"Очікую"))))</f>
        <v>7.5</v>
      </c>
      <c r="U19" s="21"/>
      <c r="V19" s="37"/>
    </row>
    <row r="20" spans="1:22" s="10" customFormat="1" ht="15" customHeight="1" x14ac:dyDescent="0.25">
      <c r="A20" s="38"/>
      <c r="B20" s="11"/>
      <c r="C20" s="42" t="s">
        <v>25</v>
      </c>
      <c r="D20" s="42">
        <v>11</v>
      </c>
      <c r="E20" s="43" t="s">
        <v>70</v>
      </c>
      <c r="F20" s="44">
        <v>9</v>
      </c>
      <c r="G20" s="44">
        <v>9</v>
      </c>
      <c r="H20" s="44">
        <v>6</v>
      </c>
      <c r="I20" s="44">
        <v>5</v>
      </c>
      <c r="J20" s="44">
        <v>10</v>
      </c>
      <c r="K20" s="44">
        <v>6</v>
      </c>
      <c r="L20" s="44">
        <v>7</v>
      </c>
      <c r="M20" s="44">
        <v>7</v>
      </c>
      <c r="N20" s="44">
        <v>6</v>
      </c>
      <c r="O20" s="44">
        <v>7</v>
      </c>
      <c r="P20" s="44">
        <v>8</v>
      </c>
      <c r="Q20" s="44">
        <v>10</v>
      </c>
      <c r="R20" s="44">
        <v>6</v>
      </c>
      <c r="S20" s="44">
        <v>7</v>
      </c>
      <c r="T20" s="40">
        <f>IF(COUNTIF($F20:S20,"=*")&gt;0,IF($C20="К","-"," - "),IF(COUNTIF($F20:S20,"&lt;4")&gt;0,IF(C20="К","-"," - "),(IFERROR(AVERAGE($F20:S20),"Очікую"))))</f>
        <v>7.3571428571428568</v>
      </c>
      <c r="U20" s="21"/>
      <c r="V20" s="37"/>
    </row>
    <row r="21" spans="1:22" s="10" customFormat="1" ht="15" customHeight="1" x14ac:dyDescent="0.25">
      <c r="A21" s="38"/>
      <c r="B21" s="11"/>
      <c r="C21" s="42" t="s">
        <v>25</v>
      </c>
      <c r="D21" s="42">
        <v>12</v>
      </c>
      <c r="E21" s="43" t="s">
        <v>71</v>
      </c>
      <c r="F21" s="44">
        <v>10</v>
      </c>
      <c r="G21" s="44">
        <v>6</v>
      </c>
      <c r="H21" s="44">
        <v>5</v>
      </c>
      <c r="I21" s="44" t="s">
        <v>27</v>
      </c>
      <c r="J21" s="44">
        <v>5</v>
      </c>
      <c r="K21" s="44">
        <v>8</v>
      </c>
      <c r="L21" s="44">
        <v>6</v>
      </c>
      <c r="M21" s="44">
        <v>7</v>
      </c>
      <c r="N21" s="44">
        <v>8</v>
      </c>
      <c r="O21" s="44">
        <v>10</v>
      </c>
      <c r="P21" s="44">
        <v>5</v>
      </c>
      <c r="Q21" s="44">
        <v>9</v>
      </c>
      <c r="R21" s="44">
        <v>8</v>
      </c>
      <c r="S21" s="44">
        <v>5</v>
      </c>
      <c r="T21" s="40" t="str">
        <f>IF(COUNTIF($F21:S21,"=*")&gt;0,IF($C21="К","-"," - "),IF(COUNTIF($F21:S21,"&lt;4")&gt;0,IF(C21="К","-"," - "),(IFERROR(AVERAGE($F21:S21),"Очікую"))))</f>
        <v xml:space="preserve"> - </v>
      </c>
      <c r="U21" s="21"/>
      <c r="V21" s="37"/>
    </row>
    <row r="22" spans="1:22" s="10" customFormat="1" ht="15" customHeight="1" x14ac:dyDescent="0.25">
      <c r="A22" s="38"/>
      <c r="B22" s="11"/>
      <c r="C22" s="42" t="s">
        <v>25</v>
      </c>
      <c r="D22" s="42">
        <v>13</v>
      </c>
      <c r="E22" s="43" t="s">
        <v>72</v>
      </c>
      <c r="F22" s="44">
        <v>7</v>
      </c>
      <c r="G22" s="44">
        <v>8</v>
      </c>
      <c r="H22" s="44">
        <v>11</v>
      </c>
      <c r="I22" s="44">
        <v>4</v>
      </c>
      <c r="J22" s="44">
        <v>9</v>
      </c>
      <c r="K22" s="44">
        <v>5</v>
      </c>
      <c r="L22" s="44">
        <v>8</v>
      </c>
      <c r="M22" s="44">
        <v>6</v>
      </c>
      <c r="N22" s="44">
        <v>8</v>
      </c>
      <c r="O22" s="44">
        <v>8</v>
      </c>
      <c r="P22" s="44">
        <v>11</v>
      </c>
      <c r="Q22" s="44">
        <v>7</v>
      </c>
      <c r="R22" s="44">
        <v>11</v>
      </c>
      <c r="S22" s="44">
        <v>8</v>
      </c>
      <c r="T22" s="40">
        <f>IF(COUNTIF($F22:S22,"=*")&gt;0,IF($C22="К","-"," - "),IF(COUNTIF($F22:S22,"&lt;4")&gt;0,IF(C22="К","-"," - "),(IFERROR(AVERAGE($F22:S22),"Очікую"))))</f>
        <v>7.9285714285714288</v>
      </c>
      <c r="U22" s="21"/>
      <c r="V22" s="37"/>
    </row>
    <row r="23" spans="1:22" s="10" customFormat="1" ht="15" customHeight="1" x14ac:dyDescent="0.25">
      <c r="A23" s="38"/>
      <c r="B23" s="11"/>
      <c r="C23" s="42" t="s">
        <v>29</v>
      </c>
      <c r="D23" s="42">
        <v>14</v>
      </c>
      <c r="E23" s="43" t="s">
        <v>73</v>
      </c>
      <c r="F23" s="44">
        <v>8</v>
      </c>
      <c r="G23" s="44">
        <v>8</v>
      </c>
      <c r="H23" s="44">
        <v>9</v>
      </c>
      <c r="I23" s="44">
        <v>6</v>
      </c>
      <c r="J23" s="44">
        <v>10</v>
      </c>
      <c r="K23" s="44">
        <v>10</v>
      </c>
      <c r="L23" s="44">
        <v>9</v>
      </c>
      <c r="M23" s="44" t="s">
        <v>27</v>
      </c>
      <c r="N23" s="44">
        <v>11</v>
      </c>
      <c r="O23" s="44">
        <v>11</v>
      </c>
      <c r="P23" s="44">
        <v>7</v>
      </c>
      <c r="Q23" s="44">
        <v>4</v>
      </c>
      <c r="R23" s="44">
        <v>10</v>
      </c>
      <c r="S23" s="44">
        <v>6</v>
      </c>
      <c r="T23" s="40" t="str">
        <f>IF(COUNTIF($F23:S23,"=*")&gt;0,IF($C23="К","-"," - "),IF(COUNTIF($F23:S23,"&lt;4")&gt;0,IF(C23="К","-"," - "),(IFERROR(AVERAGE($F23:S23),"Очікую"))))</f>
        <v>-</v>
      </c>
      <c r="U23" s="21"/>
      <c r="V23" s="37"/>
    </row>
    <row r="24" spans="1:22" s="10" customFormat="1" ht="15" customHeight="1" x14ac:dyDescent="0.25">
      <c r="A24" s="38"/>
      <c r="B24" s="11"/>
      <c r="C24" s="42" t="s">
        <v>25</v>
      </c>
      <c r="D24" s="42">
        <v>15</v>
      </c>
      <c r="E24" s="43" t="s">
        <v>74</v>
      </c>
      <c r="F24" s="44">
        <v>8</v>
      </c>
      <c r="G24" s="44">
        <v>7</v>
      </c>
      <c r="H24" s="44">
        <v>8</v>
      </c>
      <c r="I24" s="44">
        <v>8</v>
      </c>
      <c r="J24" s="44">
        <v>6</v>
      </c>
      <c r="K24" s="44">
        <v>7</v>
      </c>
      <c r="L24" s="44">
        <v>6</v>
      </c>
      <c r="M24" s="44">
        <v>7</v>
      </c>
      <c r="N24" s="44">
        <v>6</v>
      </c>
      <c r="O24" s="44">
        <v>9</v>
      </c>
      <c r="P24" s="44">
        <v>5</v>
      </c>
      <c r="Q24" s="44">
        <v>4</v>
      </c>
      <c r="R24" s="44">
        <v>5</v>
      </c>
      <c r="S24" s="44">
        <v>5</v>
      </c>
      <c r="T24" s="40">
        <f>IF(COUNTIF($F24:S24,"=*")&gt;0,IF($C24="К","-"," - "),IF(COUNTIF($F24:S24,"&lt;4")&gt;0,IF(C24="К","-"," - "),(IFERROR(AVERAGE($F24:S24),"Очікую"))))</f>
        <v>6.5</v>
      </c>
      <c r="U24" s="21"/>
      <c r="V24" s="37"/>
    </row>
    <row r="25" spans="1:22" s="10" customFormat="1" ht="15" customHeight="1" x14ac:dyDescent="0.25">
      <c r="A25" s="38"/>
      <c r="B25" s="11"/>
      <c r="C25" s="42" t="s">
        <v>29</v>
      </c>
      <c r="D25" s="42">
        <v>16</v>
      </c>
      <c r="E25" s="43" t="s">
        <v>75</v>
      </c>
      <c r="F25" s="44">
        <v>8</v>
      </c>
      <c r="G25" s="44">
        <v>9</v>
      </c>
      <c r="H25" s="44">
        <v>9</v>
      </c>
      <c r="I25" s="44">
        <v>8</v>
      </c>
      <c r="J25" s="44">
        <v>8</v>
      </c>
      <c r="K25" s="44">
        <v>9</v>
      </c>
      <c r="L25" s="44">
        <v>10</v>
      </c>
      <c r="M25" s="44">
        <v>5</v>
      </c>
      <c r="N25" s="44">
        <v>10</v>
      </c>
      <c r="O25" s="44">
        <v>8</v>
      </c>
      <c r="P25" s="44">
        <v>5</v>
      </c>
      <c r="Q25" s="44">
        <v>5</v>
      </c>
      <c r="R25" s="44">
        <v>5</v>
      </c>
      <c r="S25" s="44">
        <v>6</v>
      </c>
      <c r="T25" s="40">
        <f>IF(COUNTIF($F25:S25,"=*")&gt;0,IF($C25="К","-"," - "),IF(COUNTIF($F25:S25,"&lt;4")&gt;0,IF(C25="К","-"," - "),(IFERROR(AVERAGE($F25:S25),"Очікую"))))</f>
        <v>7.5</v>
      </c>
      <c r="U25" s="21"/>
      <c r="V25" s="37"/>
    </row>
    <row r="26" spans="1:22" s="10" customFormat="1" ht="15" customHeight="1" x14ac:dyDescent="0.25">
      <c r="A26" s="38"/>
      <c r="B26" s="11"/>
      <c r="C26" s="42" t="s">
        <v>29</v>
      </c>
      <c r="D26" s="42">
        <v>17</v>
      </c>
      <c r="E26" s="43" t="s">
        <v>76</v>
      </c>
      <c r="F26" s="44">
        <v>9</v>
      </c>
      <c r="G26" s="44">
        <v>7</v>
      </c>
      <c r="H26" s="44">
        <v>9</v>
      </c>
      <c r="I26" s="44">
        <v>8</v>
      </c>
      <c r="J26" s="44">
        <v>11</v>
      </c>
      <c r="K26" s="44">
        <v>8</v>
      </c>
      <c r="L26" s="44">
        <v>9</v>
      </c>
      <c r="M26" s="44">
        <v>6</v>
      </c>
      <c r="N26" s="44">
        <v>9</v>
      </c>
      <c r="O26" s="44">
        <v>6</v>
      </c>
      <c r="P26" s="44">
        <v>10</v>
      </c>
      <c r="Q26" s="44">
        <v>5</v>
      </c>
      <c r="R26" s="44">
        <v>11</v>
      </c>
      <c r="S26" s="44">
        <v>9</v>
      </c>
      <c r="T26" s="40">
        <f>IF(COUNTIF($F26:S26,"=*")&gt;0,IF($C26="К","-"," - "),IF(COUNTIF($F26:S26,"&lt;4")&gt;0,IF(C26="К","-"," - "),(IFERROR(AVERAGE($F26:S26),"Очікую"))))</f>
        <v>8.3571428571428577</v>
      </c>
      <c r="U26" s="21"/>
      <c r="V26" s="37"/>
    </row>
    <row r="27" spans="1:22" s="10" customFormat="1" ht="15" customHeight="1" x14ac:dyDescent="0.25">
      <c r="A27" s="38"/>
      <c r="B27" s="11"/>
      <c r="C27" s="42" t="s">
        <v>25</v>
      </c>
      <c r="D27" s="42">
        <v>18</v>
      </c>
      <c r="E27" s="43" t="s">
        <v>77</v>
      </c>
      <c r="F27" s="44">
        <v>8</v>
      </c>
      <c r="G27" s="44">
        <v>6</v>
      </c>
      <c r="H27" s="44">
        <v>9</v>
      </c>
      <c r="I27" s="44">
        <v>11</v>
      </c>
      <c r="J27" s="44">
        <v>4</v>
      </c>
      <c r="K27" s="44">
        <v>4</v>
      </c>
      <c r="L27" s="44">
        <v>8</v>
      </c>
      <c r="M27" s="44">
        <v>11</v>
      </c>
      <c r="N27" s="44">
        <v>9</v>
      </c>
      <c r="O27" s="44">
        <v>10</v>
      </c>
      <c r="P27" s="44">
        <v>7</v>
      </c>
      <c r="Q27" s="44">
        <v>9</v>
      </c>
      <c r="R27" s="44">
        <v>10</v>
      </c>
      <c r="S27" s="44">
        <v>9</v>
      </c>
      <c r="T27" s="40">
        <f>IF(COUNTIF($F27:S27,"=*")&gt;0,IF($C27="К","-"," - "),IF(COUNTIF($F27:S27,"&lt;4")&gt;0,IF(C27="К","-"," - "),(IFERROR(AVERAGE($F27:S27),"Очікую"))))</f>
        <v>8.2142857142857135</v>
      </c>
      <c r="U27" s="21"/>
      <c r="V27" s="37"/>
    </row>
    <row r="28" spans="1:22" s="10" customFormat="1" ht="15" customHeight="1" x14ac:dyDescent="0.25">
      <c r="A28" s="38"/>
      <c r="B28" s="11"/>
      <c r="C28" s="42" t="s">
        <v>29</v>
      </c>
      <c r="D28" s="42">
        <v>19</v>
      </c>
      <c r="E28" s="43" t="s">
        <v>78</v>
      </c>
      <c r="F28" s="44">
        <v>6</v>
      </c>
      <c r="G28" s="44">
        <v>9</v>
      </c>
      <c r="H28" s="44">
        <v>6</v>
      </c>
      <c r="I28" s="44">
        <v>8</v>
      </c>
      <c r="J28" s="44">
        <v>8</v>
      </c>
      <c r="K28" s="44">
        <v>5</v>
      </c>
      <c r="L28" s="44">
        <v>7</v>
      </c>
      <c r="M28" s="44">
        <v>8</v>
      </c>
      <c r="N28" s="44">
        <v>7</v>
      </c>
      <c r="O28" s="44">
        <v>9</v>
      </c>
      <c r="P28" s="44">
        <v>11</v>
      </c>
      <c r="Q28" s="44">
        <v>10</v>
      </c>
      <c r="R28" s="44">
        <v>7</v>
      </c>
      <c r="S28" s="44" t="s">
        <v>27</v>
      </c>
      <c r="T28" s="40" t="str">
        <f>IF(COUNTIF($F28:S28,"=*")&gt;0,IF($C28="К","-"," - "),IF(COUNTIF($F28:S28,"&lt;4")&gt;0,IF(C28="К","-"," - "),(IFERROR(AVERAGE($F28:S28),"Очікую"))))</f>
        <v>-</v>
      </c>
      <c r="U28" s="21"/>
      <c r="V28" s="37"/>
    </row>
    <row r="29" spans="1:22" s="10" customFormat="1" ht="15" customHeight="1" x14ac:dyDescent="0.25">
      <c r="A29" s="38"/>
      <c r="B29" s="11"/>
      <c r="C29" s="42" t="s">
        <v>29</v>
      </c>
      <c r="D29" s="42">
        <v>20</v>
      </c>
      <c r="E29" s="43" t="s">
        <v>79</v>
      </c>
      <c r="F29" s="44">
        <v>7</v>
      </c>
      <c r="G29" s="44">
        <v>10</v>
      </c>
      <c r="H29" s="44">
        <v>10</v>
      </c>
      <c r="I29" s="44">
        <v>4</v>
      </c>
      <c r="J29" s="44">
        <v>8</v>
      </c>
      <c r="K29" s="44">
        <v>7</v>
      </c>
      <c r="L29" s="44">
        <v>8</v>
      </c>
      <c r="M29" s="44">
        <v>5</v>
      </c>
      <c r="N29" s="44">
        <v>10</v>
      </c>
      <c r="O29" s="44">
        <v>10</v>
      </c>
      <c r="P29" s="44">
        <v>9</v>
      </c>
      <c r="Q29" s="44">
        <v>6</v>
      </c>
      <c r="R29" s="44">
        <v>11</v>
      </c>
      <c r="S29" s="44">
        <v>6</v>
      </c>
      <c r="T29" s="40">
        <f>IF(COUNTIF($F29:S29,"=*")&gt;0,IF($C29="К","-"," - "),IF(COUNTIF($F29:S29,"&lt;4")&gt;0,IF(C29="К","-"," - "),(IFERROR(AVERAGE($F29:S29),"Очікую"))))</f>
        <v>7.9285714285714288</v>
      </c>
      <c r="U29" s="21"/>
      <c r="V29" s="37"/>
    </row>
    <row r="30" spans="1:22" s="10" customFormat="1" ht="15" customHeight="1" x14ac:dyDescent="0.25">
      <c r="A30" s="38"/>
      <c r="B30" s="11"/>
      <c r="C30" s="42" t="s">
        <v>29</v>
      </c>
      <c r="D30" s="42">
        <v>21</v>
      </c>
      <c r="E30" s="43" t="s">
        <v>80</v>
      </c>
      <c r="F30" s="44">
        <v>8</v>
      </c>
      <c r="G30" s="44">
        <v>5</v>
      </c>
      <c r="H30" s="44">
        <v>7</v>
      </c>
      <c r="I30" s="44">
        <v>10</v>
      </c>
      <c r="J30" s="44">
        <v>7</v>
      </c>
      <c r="K30" s="44">
        <v>8</v>
      </c>
      <c r="L30" s="44">
        <v>6</v>
      </c>
      <c r="M30" s="44">
        <v>5</v>
      </c>
      <c r="N30" s="44">
        <v>8</v>
      </c>
      <c r="O30" s="44">
        <v>5</v>
      </c>
      <c r="P30" s="44">
        <v>10</v>
      </c>
      <c r="Q30" s="44">
        <v>11</v>
      </c>
      <c r="R30" s="44">
        <v>10</v>
      </c>
      <c r="S30" s="44">
        <v>10</v>
      </c>
      <c r="T30" s="40">
        <f>IF(COUNTIF($F30:S30,"=*")&gt;0,IF($C30="К","-"," - "),IF(COUNTIF($F30:S30,"&lt;4")&gt;0,IF(C30="К","-"," - "),(IFERROR(AVERAGE($F30:S30),"Очікую"))))</f>
        <v>7.8571428571428568</v>
      </c>
      <c r="U30" s="21"/>
      <c r="V30" s="37"/>
    </row>
    <row r="31" spans="1:22" s="10" customFormat="1" ht="15" customHeight="1" x14ac:dyDescent="0.25">
      <c r="A31" s="38"/>
      <c r="B31" s="11"/>
      <c r="C31" s="42" t="s">
        <v>29</v>
      </c>
      <c r="D31" s="42">
        <v>22</v>
      </c>
      <c r="E31" s="43" t="s">
        <v>81</v>
      </c>
      <c r="F31" s="44">
        <v>4</v>
      </c>
      <c r="G31" s="44">
        <v>4</v>
      </c>
      <c r="H31" s="44" t="s">
        <v>27</v>
      </c>
      <c r="I31" s="44">
        <v>4</v>
      </c>
      <c r="J31" s="44">
        <v>8</v>
      </c>
      <c r="K31" s="44" t="s">
        <v>27</v>
      </c>
      <c r="L31" s="44">
        <v>6</v>
      </c>
      <c r="M31" s="44">
        <v>7</v>
      </c>
      <c r="N31" s="44">
        <v>10</v>
      </c>
      <c r="O31" s="44">
        <v>8</v>
      </c>
      <c r="P31" s="44" t="s">
        <v>27</v>
      </c>
      <c r="Q31" s="44">
        <v>7</v>
      </c>
      <c r="R31" s="44">
        <v>10</v>
      </c>
      <c r="S31" s="44">
        <v>11</v>
      </c>
      <c r="T31" s="40" t="str">
        <f>IF(COUNTIF($F31:S31,"=*")&gt;0,IF($C31="К","-"," - "),IF(COUNTIF($F31:S31,"&lt;4")&gt;0,IF(C31="К","-"," - "),(IFERROR(AVERAGE($F31:S31),"Очікую"))))</f>
        <v>-</v>
      </c>
      <c r="U31" s="21"/>
      <c r="V31" s="37"/>
    </row>
    <row r="32" spans="1:22" s="10" customFormat="1" ht="15" customHeight="1" x14ac:dyDescent="0.25">
      <c r="A32" s="38"/>
      <c r="B32" s="11"/>
      <c r="C32" s="42" t="s">
        <v>25</v>
      </c>
      <c r="D32" s="42">
        <v>23</v>
      </c>
      <c r="E32" s="43" t="s">
        <v>82</v>
      </c>
      <c r="F32" s="44">
        <v>5</v>
      </c>
      <c r="G32" s="44">
        <v>9</v>
      </c>
      <c r="H32" s="44">
        <v>10</v>
      </c>
      <c r="I32" s="44">
        <v>9</v>
      </c>
      <c r="J32" s="44">
        <v>5</v>
      </c>
      <c r="K32" s="44">
        <v>4</v>
      </c>
      <c r="L32" s="44">
        <v>6</v>
      </c>
      <c r="M32" s="44">
        <v>9</v>
      </c>
      <c r="N32" s="44">
        <v>8</v>
      </c>
      <c r="O32" s="44">
        <v>8</v>
      </c>
      <c r="P32" s="44">
        <v>7</v>
      </c>
      <c r="Q32" s="44">
        <v>7</v>
      </c>
      <c r="R32" s="44">
        <v>9</v>
      </c>
      <c r="S32" s="44">
        <v>9</v>
      </c>
      <c r="T32" s="40">
        <f>IF(COUNTIF($F32:S32,"=*")&gt;0,IF($C32="К","-"," - "),IF(COUNTIF($F32:S32,"&lt;4")&gt;0,IF(C32="К","-"," - "),(IFERROR(AVERAGE($F32:S32),"Очікую"))))</f>
        <v>7.5</v>
      </c>
      <c r="U32" s="21"/>
      <c r="V32" s="37"/>
    </row>
    <row r="33" spans="1:22" s="10" customFormat="1" ht="15" customHeight="1" x14ac:dyDescent="0.25">
      <c r="A33" s="38"/>
      <c r="B33" s="11"/>
      <c r="C33" s="42" t="s">
        <v>25</v>
      </c>
      <c r="D33" s="42">
        <v>24</v>
      </c>
      <c r="E33" s="43" t="s">
        <v>83</v>
      </c>
      <c r="F33" s="44">
        <v>8</v>
      </c>
      <c r="G33" s="44">
        <v>9</v>
      </c>
      <c r="H33" s="44">
        <v>9</v>
      </c>
      <c r="I33" s="44">
        <v>8</v>
      </c>
      <c r="J33" s="44">
        <v>10</v>
      </c>
      <c r="K33" s="44">
        <v>5</v>
      </c>
      <c r="L33" s="44">
        <v>10</v>
      </c>
      <c r="M33" s="44">
        <v>8</v>
      </c>
      <c r="N33" s="44">
        <v>10</v>
      </c>
      <c r="O33" s="44">
        <v>10</v>
      </c>
      <c r="P33" s="44">
        <v>8</v>
      </c>
      <c r="Q33" s="44">
        <v>8</v>
      </c>
      <c r="R33" s="44">
        <v>10</v>
      </c>
      <c r="S33" s="44">
        <v>10</v>
      </c>
      <c r="T33" s="40">
        <f>IF(COUNTIF($F33:S33,"=*")&gt;0,IF($C33="К","-"," - "),IF(COUNTIF($F33:S33,"&lt;4")&gt;0,IF(C33="К","-"," - "),(IFERROR(AVERAGE($F33:S33),"Очікую"))))</f>
        <v>8.7857142857142865</v>
      </c>
      <c r="U33" s="21"/>
      <c r="V33" s="37"/>
    </row>
    <row r="34" spans="1:22" s="10" customFormat="1" ht="15" customHeight="1" x14ac:dyDescent="0.25">
      <c r="A34" s="38"/>
      <c r="B34" s="11"/>
      <c r="C34" s="42" t="s">
        <v>29</v>
      </c>
      <c r="D34" s="42">
        <v>25</v>
      </c>
      <c r="E34" s="43" t="s">
        <v>84</v>
      </c>
      <c r="F34" s="44" t="s">
        <v>27</v>
      </c>
      <c r="G34" s="44">
        <v>9</v>
      </c>
      <c r="H34" s="44">
        <v>11</v>
      </c>
      <c r="I34" s="44" t="s">
        <v>27</v>
      </c>
      <c r="J34" s="44">
        <v>11</v>
      </c>
      <c r="K34" s="44">
        <v>6</v>
      </c>
      <c r="L34" s="44">
        <v>10</v>
      </c>
      <c r="M34" s="44">
        <v>5</v>
      </c>
      <c r="N34" s="44">
        <v>8</v>
      </c>
      <c r="O34" s="44">
        <v>8</v>
      </c>
      <c r="P34" s="44">
        <v>9</v>
      </c>
      <c r="Q34" s="44">
        <v>5</v>
      </c>
      <c r="R34" s="44" t="s">
        <v>27</v>
      </c>
      <c r="S34" s="44">
        <v>9</v>
      </c>
      <c r="T34" s="40" t="str">
        <f>IF(COUNTIF($F34:S34,"=*")&gt;0,IF($C34="К","-"," - "),IF(COUNTIF($F34:S34,"&lt;4")&gt;0,IF(C34="К","-"," - "),(IFERROR(AVERAGE($F34:S34),"Очікую"))))</f>
        <v>-</v>
      </c>
      <c r="U34" s="21"/>
      <c r="V34" s="37"/>
    </row>
    <row r="35" spans="1:22" s="10" customFormat="1" ht="15" customHeight="1" x14ac:dyDescent="0.25">
      <c r="A35" s="38"/>
      <c r="B35" s="11"/>
      <c r="C35" s="42" t="s">
        <v>29</v>
      </c>
      <c r="D35" s="42">
        <v>26</v>
      </c>
      <c r="E35" s="43" t="s">
        <v>85</v>
      </c>
      <c r="F35" s="44">
        <v>8</v>
      </c>
      <c r="G35" s="44">
        <v>4</v>
      </c>
      <c r="H35" s="44">
        <v>4</v>
      </c>
      <c r="I35" s="44">
        <v>9</v>
      </c>
      <c r="J35" s="44">
        <v>6</v>
      </c>
      <c r="K35" s="44">
        <v>10</v>
      </c>
      <c r="L35" s="44" t="s">
        <v>27</v>
      </c>
      <c r="M35" s="44">
        <v>5</v>
      </c>
      <c r="N35" s="44">
        <v>6</v>
      </c>
      <c r="O35" s="44">
        <v>10</v>
      </c>
      <c r="P35" s="44">
        <v>10</v>
      </c>
      <c r="Q35" s="44" t="s">
        <v>27</v>
      </c>
      <c r="R35" s="44">
        <v>11</v>
      </c>
      <c r="S35" s="44">
        <v>8</v>
      </c>
      <c r="T35" s="40" t="str">
        <f>IF(COUNTIF($F35:S35,"=*")&gt;0,IF($C35="К","-"," - "),IF(COUNTIF($F35:S35,"&lt;4")&gt;0,IF(C35="К","-"," - "),(IFERROR(AVERAGE($F35:S35),"Очікую"))))</f>
        <v>-</v>
      </c>
      <c r="U35" s="21"/>
      <c r="V35" s="37"/>
    </row>
    <row r="36" spans="1:22" s="10" customFormat="1" ht="15" customHeight="1" x14ac:dyDescent="0.25">
      <c r="A36" s="38"/>
      <c r="B36" s="11"/>
      <c r="C36" s="42" t="s">
        <v>29</v>
      </c>
      <c r="D36" s="42">
        <v>27</v>
      </c>
      <c r="E36" s="43" t="s">
        <v>86</v>
      </c>
      <c r="F36" s="44">
        <v>8</v>
      </c>
      <c r="G36" s="44">
        <v>7</v>
      </c>
      <c r="H36" s="44">
        <v>8</v>
      </c>
      <c r="I36" s="44">
        <v>8</v>
      </c>
      <c r="J36" s="44">
        <v>6</v>
      </c>
      <c r="K36" s="44">
        <v>4</v>
      </c>
      <c r="L36" s="44">
        <v>5</v>
      </c>
      <c r="M36" s="44">
        <v>5</v>
      </c>
      <c r="N36" s="44">
        <v>8</v>
      </c>
      <c r="O36" s="44">
        <v>6</v>
      </c>
      <c r="P36" s="44">
        <v>6</v>
      </c>
      <c r="Q36" s="44">
        <v>5</v>
      </c>
      <c r="R36" s="44">
        <v>7</v>
      </c>
      <c r="S36" s="44">
        <v>10</v>
      </c>
      <c r="T36" s="40">
        <f>IF(COUNTIF($F36:S36,"=*")&gt;0,IF($C36="К","-"," - "),IF(COUNTIF($F36:S36,"&lt;4")&gt;0,IF(C36="К","-"," - "),(IFERROR(AVERAGE($F36:S36),"Очікую"))))</f>
        <v>6.6428571428571432</v>
      </c>
      <c r="U36" s="21"/>
      <c r="V36" s="37"/>
    </row>
    <row r="37" spans="1:22" s="10" customFormat="1" ht="15" customHeight="1" x14ac:dyDescent="0.25">
      <c r="A37" s="38"/>
      <c r="B37" s="11"/>
      <c r="C37" s="42" t="s">
        <v>29</v>
      </c>
      <c r="D37" s="42">
        <v>28</v>
      </c>
      <c r="E37" s="43" t="s">
        <v>87</v>
      </c>
      <c r="F37" s="44">
        <v>9</v>
      </c>
      <c r="G37" s="44">
        <v>6</v>
      </c>
      <c r="H37" s="44">
        <v>11</v>
      </c>
      <c r="I37" s="44">
        <v>8</v>
      </c>
      <c r="J37" s="44">
        <v>11</v>
      </c>
      <c r="K37" s="44">
        <v>8</v>
      </c>
      <c r="L37" s="44">
        <v>5</v>
      </c>
      <c r="M37" s="44">
        <v>5</v>
      </c>
      <c r="N37" s="44">
        <v>10</v>
      </c>
      <c r="O37" s="44">
        <v>8</v>
      </c>
      <c r="P37" s="44">
        <v>10</v>
      </c>
      <c r="Q37" s="44">
        <v>7</v>
      </c>
      <c r="R37" s="44">
        <v>7</v>
      </c>
      <c r="S37" s="44">
        <v>10</v>
      </c>
      <c r="T37" s="40">
        <f>IF(COUNTIF($F37:S37,"=*")&gt;0,IF($C37="К","-"," - "),IF(COUNTIF($F37:S37,"&lt;4")&gt;0,IF(C37="К","-"," - "),(IFERROR(AVERAGE($F37:S37),"Очікую"))))</f>
        <v>8.2142857142857135</v>
      </c>
      <c r="U37" s="21"/>
      <c r="V37" s="37"/>
    </row>
    <row r="38" spans="1:22" s="10" customFormat="1" ht="15" customHeight="1" x14ac:dyDescent="0.25">
      <c r="A38" s="38"/>
      <c r="B38" s="11"/>
      <c r="C38" s="42" t="s">
        <v>29</v>
      </c>
      <c r="D38" s="42">
        <v>29</v>
      </c>
      <c r="E38" s="43" t="s">
        <v>88</v>
      </c>
      <c r="F38" s="44">
        <v>11</v>
      </c>
      <c r="G38" s="44">
        <v>6</v>
      </c>
      <c r="H38" s="44">
        <v>8</v>
      </c>
      <c r="I38" s="44">
        <v>11</v>
      </c>
      <c r="J38" s="44">
        <v>6</v>
      </c>
      <c r="K38" s="44">
        <v>9</v>
      </c>
      <c r="L38" s="44">
        <v>8</v>
      </c>
      <c r="M38" s="44">
        <v>6</v>
      </c>
      <c r="N38" s="44">
        <v>9</v>
      </c>
      <c r="O38" s="44">
        <v>8</v>
      </c>
      <c r="P38" s="44">
        <v>10</v>
      </c>
      <c r="Q38" s="44">
        <v>8</v>
      </c>
      <c r="R38" s="44">
        <v>8</v>
      </c>
      <c r="S38" s="44">
        <v>11</v>
      </c>
      <c r="T38" s="40">
        <f>IF(COUNTIF($F38:S38,"=*")&gt;0,IF($C38="К","-"," - "),IF(COUNTIF($F38:S38,"&lt;4")&gt;0,IF(C38="К","-"," - "),(IFERROR(AVERAGE($F38:S38),"Очікую"))))</f>
        <v>8.5</v>
      </c>
      <c r="U38" s="21"/>
      <c r="V38" s="37"/>
    </row>
    <row r="39" spans="1:22" s="10" customFormat="1" ht="15" customHeight="1" x14ac:dyDescent="0.25">
      <c r="A39" s="38"/>
      <c r="B39" s="11"/>
      <c r="C39" s="42" t="s">
        <v>29</v>
      </c>
      <c r="D39" s="42">
        <v>30</v>
      </c>
      <c r="E39" s="43" t="s">
        <v>89</v>
      </c>
      <c r="F39" s="44" t="s">
        <v>27</v>
      </c>
      <c r="G39" s="44">
        <v>5</v>
      </c>
      <c r="H39" s="44">
        <v>4</v>
      </c>
      <c r="I39" s="44">
        <v>8</v>
      </c>
      <c r="J39" s="44">
        <v>7</v>
      </c>
      <c r="K39" s="44">
        <v>8</v>
      </c>
      <c r="L39" s="44">
        <v>7</v>
      </c>
      <c r="M39" s="44">
        <v>10</v>
      </c>
      <c r="N39" s="44">
        <v>7</v>
      </c>
      <c r="O39" s="44">
        <v>11</v>
      </c>
      <c r="P39" s="44">
        <v>11</v>
      </c>
      <c r="Q39" s="44">
        <v>6</v>
      </c>
      <c r="R39" s="44">
        <v>11</v>
      </c>
      <c r="S39" s="44">
        <v>8</v>
      </c>
      <c r="T39" s="40" t="str">
        <f>IF(COUNTIF($F39:S39,"=*")&gt;0,IF($C39="К","-"," - "),IF(COUNTIF($F39:S39,"&lt;4")&gt;0,IF(C39="К","-"," - "),(IFERROR(AVERAGE($F39:S39),"Очікую"))))</f>
        <v>-</v>
      </c>
      <c r="U39" s="21"/>
      <c r="V39" s="37"/>
    </row>
    <row r="40" spans="1:22" s="10" customFormat="1" ht="15" customHeight="1" x14ac:dyDescent="0.25">
      <c r="A40" s="38"/>
      <c r="B40" s="11"/>
      <c r="C40" s="5"/>
      <c r="D40" s="5"/>
      <c r="E40" s="6" t="s">
        <v>46</v>
      </c>
      <c r="F40" s="7">
        <f>IF(SUM(F$10:F39)=0,IF(COUNTA(F$10:F39)=0,"Очікую",0),SUM(F$10:F39)/$D39)</f>
        <v>7.0333333333333332</v>
      </c>
      <c r="G40" s="7">
        <f>IF(SUM(G$10:G39)=0,IF(COUNTA(G$10:G39)=0,"Очікую",0),SUM(G$10:G39)/$D39)</f>
        <v>7.333333333333333</v>
      </c>
      <c r="H40" s="7">
        <f>IF(SUM(H$10:H39)=0,IF(COUNTA(H$10:H39)=0,"Очікую",0),SUM(H$10:H39)/$D39)</f>
        <v>7.5333333333333332</v>
      </c>
      <c r="I40" s="7">
        <f>IF(SUM(I$10:I39)=0,IF(COUNTA(I$10:I39)=0,"Очікую",0),SUM(I$10:I39)/$D39)</f>
        <v>6.833333333333333</v>
      </c>
      <c r="J40" s="7">
        <f>IF(SUM(J$10:J39)=0,IF(COUNTA(J$10:J39)=0,"Очікую",0),SUM(J$10:J39)/$D39)</f>
        <v>6.833333333333333</v>
      </c>
      <c r="K40" s="7">
        <f>IF(SUM(K$10:K39)=0,IF(COUNTA(K$10:K39)=0,"Очікую",0),SUM(K$10:K39)/$D39)</f>
        <v>6.9</v>
      </c>
      <c r="L40" s="7">
        <f>IF(SUM(L$10:L39)=0,IF(COUNTA(L$10:L39)=0,"Очікую",0),SUM(L$10:L39)/$D39)</f>
        <v>7.2333333333333334</v>
      </c>
      <c r="M40" s="7">
        <f>IF(SUM(M$10:M39)=0,IF(COUNTA(M$10:M39)=0,"Очікую",0),SUM(M$10:M39)/$D39)</f>
        <v>6.9333333333333336</v>
      </c>
      <c r="N40" s="7">
        <f>IF(SUM(N$10:N39)=0,IF(COUNTA(N$10:N39)=0,"Очікую",0),SUM(N$10:N39)/$D39)</f>
        <v>7.9666666666666668</v>
      </c>
      <c r="O40" s="7">
        <f>IF(SUM(O$10:O39)=0,IF(COUNTA(O$10:O39)=0,"Очікую",0),SUM(O$10:O39)/$D39)</f>
        <v>7.8</v>
      </c>
      <c r="P40" s="7">
        <f>IF(SUM(P$10:P39)=0,IF(COUNTA(P$10:P39)=0,"Очікую",0),SUM(P$10:P39)/$D39)</f>
        <v>7.4666666666666668</v>
      </c>
      <c r="Q40" s="7">
        <f>IF(SUM(Q$10:Q39)=0,IF(COUNTA(Q$10:Q39)=0,"Очікую",0),SUM(Q$10:Q39)/$D39)</f>
        <v>6.666666666666667</v>
      </c>
      <c r="R40" s="7">
        <f>IF(SUM(R$10:R39)=0,IF(COUNTA(R$10:R39)=0,"Очікую",0),SUM(R$10:R39)/$D39)</f>
        <v>8.1999999999999993</v>
      </c>
      <c r="S40" s="7">
        <f>IF(SUM(S$10:S39)=0,IF(COUNTA(S$10:S39)=0,"Очікую",0),SUM(S$10:S39)/$D39)</f>
        <v>7.6333333333333337</v>
      </c>
      <c r="T40" s="8">
        <f>IFERROR(AVERAGE($F40:S40),"Очікую")</f>
        <v>7.3119047619047626</v>
      </c>
      <c r="U40" s="19"/>
      <c r="V40" s="37"/>
    </row>
    <row r="41" spans="1:22" s="10" customFormat="1" ht="15" customHeight="1" x14ac:dyDescent="0.25">
      <c r="A41" s="38"/>
      <c r="B41" s="11"/>
      <c r="C41" s="5"/>
      <c r="D41" s="5"/>
      <c r="E41" s="6" t="s">
        <v>47</v>
      </c>
      <c r="F41" s="41">
        <f>IF(SUM(F$10:F39)=0,IF(COUNTA(F$10:F39)=0,"Очікую",0),IF(COUNTIF(F$10:F39,"&gt;=4")=0,0,COUNTIF(F$10:F39,"&gt;=4")/$D39*100))</f>
        <v>90</v>
      </c>
      <c r="G41" s="41">
        <f>IF(SUM(G$10:G39)=0,IF(COUNTA(G$10:G39)=0,"Очікую",0),IF(COUNTIF(G$10:G39,"&gt;=4")=0,0,COUNTIF(G$10:G39,"&gt;=4")/$D39*100))</f>
        <v>100</v>
      </c>
      <c r="H41" s="41">
        <f>IF(SUM(H$10:H39)=0,IF(COUNTA(H$10:H39)=0,"Очікую",0),IF(COUNTIF(H$10:H39,"&gt;=4")=0,0,COUNTIF(H$10:H39,"&gt;=4")/$D39*100))</f>
        <v>96.666666666666671</v>
      </c>
      <c r="I41" s="41">
        <f>IF(SUM(I$10:I39)=0,IF(COUNTA(I$10:I39)=0,"Очікую",0),IF(COUNTIF(I$10:I39,"&gt;=4")=0,0,COUNTIF(I$10:I39,"&gt;=4")/$D39*100))</f>
        <v>90</v>
      </c>
      <c r="J41" s="41">
        <f>IF(SUM(J$10:J39)=0,IF(COUNTA(J$10:J39)=0,"Очікую",0),IF(COUNTIF(J$10:J39,"&gt;=4")=0,0,COUNTIF(J$10:J39,"&gt;=4")/$D39*100))</f>
        <v>96.666666666666671</v>
      </c>
      <c r="K41" s="41">
        <f>IF(SUM(K$10:K39)=0,IF(COUNTA(K$10:K39)=0,"Очікую",0),IF(COUNTIF(K$10:K39,"&gt;=4")=0,0,COUNTIF(K$10:K39,"&gt;=4")/$D39*100))</f>
        <v>96.666666666666671</v>
      </c>
      <c r="L41" s="41">
        <f>IF(SUM(L$10:L39)=0,IF(COUNTA(L$10:L39)=0,"Очікую",0),IF(COUNTIF(L$10:L39,"&gt;=4")=0,0,COUNTIF(L$10:L39,"&gt;=4")/$D39*100))</f>
        <v>96.666666666666671</v>
      </c>
      <c r="M41" s="41">
        <f>IF(SUM(M$10:M39)=0,IF(COUNTA(M$10:M39)=0,"Очікую",0),IF(COUNTIF(M$10:M39,"&gt;=4")=0,0,COUNTIF(M$10:M39,"&gt;=4")/$D39*100))</f>
        <v>96.666666666666671</v>
      </c>
      <c r="N41" s="41">
        <f>IF(SUM(N$10:N39)=0,IF(COUNTA(N$10:N39)=0,"Очікую",0),IF(COUNTIF(N$10:N39,"&gt;=4")=0,0,COUNTIF(N$10:N39,"&gt;=4")/$D39*100))</f>
        <v>100</v>
      </c>
      <c r="O41" s="41">
        <f>IF(SUM(O$10:O39)=0,IF(COUNTA(O$10:O39)=0,"Очікую",0),IF(COUNTIF(O$10:O39,"&gt;=4")=0,0,COUNTIF(O$10:O39,"&gt;=4")/$D39*100))</f>
        <v>100</v>
      </c>
      <c r="P41" s="41">
        <f>IF(SUM(P$10:P39)=0,IF(COUNTA(P$10:P39)=0,"Очікую",0),IF(COUNTIF(P$10:P39,"&gt;=4")=0,0,COUNTIF(P$10:P39,"&gt;=4")/$D39*100))</f>
        <v>96.666666666666671</v>
      </c>
      <c r="Q41" s="41">
        <f>IF(SUM(Q$10:Q39)=0,IF(COUNTA(Q$10:Q39)=0,"Очікую",0),IF(COUNTIF(Q$10:Q39,"&gt;=4")=0,0,COUNTIF(Q$10:Q39,"&gt;=4")/$D39*100))</f>
        <v>96.666666666666671</v>
      </c>
      <c r="R41" s="41">
        <f>IF(SUM(R$10:R39)=0,IF(COUNTA(R$10:R39)=0,"Очікую",0),IF(COUNTIF(R$10:R39,"&gt;=4")=0,0,COUNTIF(R$10:R39,"&gt;=4")/$D39*100))</f>
        <v>96.666666666666671</v>
      </c>
      <c r="S41" s="41">
        <f>IF(SUM(S$10:S39)=0,IF(COUNTA(S$10:S39)=0,"Очікую",0),IF(COUNTIF(S$10:S39,"&gt;=4")=0,0,COUNTIF(S$10:S39,"&gt;=4")/$D39*100))</f>
        <v>96.666666666666671</v>
      </c>
      <c r="T41" s="5"/>
      <c r="U41" s="19"/>
      <c r="V41" s="37"/>
    </row>
    <row r="42" spans="1:22" s="10" customFormat="1" ht="15" customHeight="1" x14ac:dyDescent="0.25">
      <c r="A42" s="38"/>
      <c r="B42" s="11"/>
      <c r="C42" s="5"/>
      <c r="D42" s="5"/>
      <c r="E42" s="6" t="s">
        <v>48</v>
      </c>
      <c r="F42" s="41">
        <f>IF(SUM(F$10:F39)=0,IF(COUNTA(F$10:F39)=0,"Очікую",0),IF(COUNTIF(F$10:F39,"&gt;=7")=0,0,COUNTIF(F$10:F39,"&gt;=7")/$D39*100))</f>
        <v>70</v>
      </c>
      <c r="G42" s="41">
        <f>IF(SUM(G$10:G39)=0,IF(COUNTA(G$10:G39)=0,"Очікую",0),IF(COUNTIF(G$10:G39,"&gt;=7")=0,0,COUNTIF(G$10:G39,"&gt;=7")/$D39*100))</f>
        <v>63.333333333333329</v>
      </c>
      <c r="H42" s="41">
        <f>IF(SUM(H$10:H39)=0,IF(COUNTA(H$10:H39)=0,"Очікую",0),IF(COUNTIF(H$10:H39,"&gt;=7")=0,0,COUNTIF(H$10:H39,"&gt;=7")/$D39*100))</f>
        <v>66.666666666666657</v>
      </c>
      <c r="I42" s="41">
        <f>IF(SUM(I$10:I39)=0,IF(COUNTA(I$10:I39)=0,"Очікую",0),IF(COUNTIF(I$10:I39,"&gt;=7")=0,0,COUNTIF(I$10:I39,"&gt;=7")/$D39*100))</f>
        <v>60</v>
      </c>
      <c r="J42" s="41">
        <f>IF(SUM(J$10:J39)=0,IF(COUNTA(J$10:J39)=0,"Очікую",0),IF(COUNTIF(J$10:J39,"&gt;=7")=0,0,COUNTIF(J$10:J39,"&gt;=7")/$D39*100))</f>
        <v>50</v>
      </c>
      <c r="K42" s="41">
        <f>IF(SUM(K$10:K39)=0,IF(COUNTA(K$10:K39)=0,"Очікую",0),IF(COUNTIF(K$10:K39,"&gt;=7")=0,0,COUNTIF(K$10:K39,"&gt;=7")/$D39*100))</f>
        <v>60</v>
      </c>
      <c r="L42" s="41">
        <f>IF(SUM(L$10:L39)=0,IF(COUNTA(L$10:L39)=0,"Очікую",0),IF(COUNTIF(L$10:L39,"&gt;=7")=0,0,COUNTIF(L$10:L39,"&gt;=7")/$D39*100))</f>
        <v>63.333333333333329</v>
      </c>
      <c r="M42" s="41">
        <f>IF(SUM(M$10:M39)=0,IF(COUNTA(M$10:M39)=0,"Очікую",0),IF(COUNTIF(M$10:M39,"&gt;=7")=0,0,COUNTIF(M$10:M39,"&gt;=7")/$D39*100))</f>
        <v>53.333333333333336</v>
      </c>
      <c r="N42" s="41">
        <f>IF(SUM(N$10:N39)=0,IF(COUNTA(N$10:N39)=0,"Очікую",0),IF(COUNTIF(N$10:N39,"&gt;=7")=0,0,COUNTIF(N$10:N39,"&gt;=7")/$D39*100))</f>
        <v>80</v>
      </c>
      <c r="O42" s="41">
        <f>IF(SUM(O$10:O39)=0,IF(COUNTA(O$10:O39)=0,"Очікую",0),IF(COUNTIF(O$10:O39,"&gt;=7")=0,0,COUNTIF(O$10:O39,"&gt;=7")/$D39*100))</f>
        <v>70</v>
      </c>
      <c r="P42" s="41">
        <f>IF(SUM(P$10:P39)=0,IF(COUNTA(P$10:P39)=0,"Очікую",0),IF(COUNTIF(P$10:P39,"&gt;=7")=0,0,COUNTIF(P$10:P39,"&gt;=7")/$D39*100))</f>
        <v>63.333333333333329</v>
      </c>
      <c r="Q42" s="41">
        <f>IF(SUM(Q$10:Q39)=0,IF(COUNTA(Q$10:Q39)=0,"Очікую",0),IF(COUNTIF(Q$10:Q39,"&gt;=7")=0,0,COUNTIF(Q$10:Q39,"&gt;=7")/$D39*100))</f>
        <v>50</v>
      </c>
      <c r="R42" s="41">
        <f>IF(SUM(R$10:R39)=0,IF(COUNTA(R$10:R39)=0,"Очікую",0),IF(COUNTIF(R$10:R39,"&gt;=7")=0,0,COUNTIF(R$10:R39,"&gt;=7")/$D39*100))</f>
        <v>80</v>
      </c>
      <c r="S42" s="41">
        <f>IF(SUM(S$10:S39)=0,IF(COUNTA(S$10:S39)=0,"Очікую",0),IF(COUNTIF(S$10:S39,"&gt;=7")=0,0,COUNTIF(S$10:S39,"&gt;=7")/$D39*100))</f>
        <v>73.333333333333329</v>
      </c>
      <c r="T42" s="5"/>
      <c r="U42" s="19"/>
      <c r="V42" s="37"/>
    </row>
    <row r="43" spans="1:22" s="10" customFormat="1" ht="15" customHeight="1" x14ac:dyDescent="0.25">
      <c r="A43" s="38"/>
      <c r="B43" s="11"/>
      <c r="C43" s="5"/>
      <c r="D43" s="5"/>
      <c r="E43" s="6" t="s">
        <v>49</v>
      </c>
      <c r="F43" s="7">
        <f>IFERROR(AVERAGE(F41:S41),"Очікую")</f>
        <v>96.428571428571445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19"/>
      <c r="V43" s="37"/>
    </row>
    <row r="44" spans="1:22" s="10" customFormat="1" ht="15" customHeight="1" x14ac:dyDescent="0.25">
      <c r="A44" s="38"/>
      <c r="B44" s="11"/>
      <c r="C44" s="5"/>
      <c r="D44" s="5"/>
      <c r="E44" s="6" t="s">
        <v>50</v>
      </c>
      <c r="F44" s="7">
        <f>IFERROR(AVERAGE($F42:S42),"Очікую")</f>
        <v>64.523809523809533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19"/>
      <c r="V44" s="37"/>
    </row>
    <row r="45" spans="1:22" s="10" customFormat="1" ht="15" customHeight="1" x14ac:dyDescent="0.25">
      <c r="A45" s="38"/>
      <c r="B45" s="11"/>
      <c r="C45" s="5"/>
      <c r="D45" s="5"/>
      <c r="E45" s="6" t="s">
        <v>51</v>
      </c>
      <c r="F45" s="51">
        <f>IF(COUNTIF($C$10:$C39,"=Б")=0,IF(COUNTIF($C$10:$C39,"=К")=0,"Очікую",0),COUNTIF($C$10:$C39,"=Б"))</f>
        <v>14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47"/>
      <c r="R45" s="47"/>
      <c r="S45" s="47"/>
      <c r="T45" s="47"/>
      <c r="U45" s="19"/>
      <c r="V45" s="37"/>
    </row>
    <row r="46" spans="1:22" s="10" customFormat="1" ht="15" customHeight="1" x14ac:dyDescent="0.3">
      <c r="A46" s="38"/>
      <c r="B46" s="11"/>
      <c r="C46" s="5"/>
      <c r="D46" s="5"/>
      <c r="E46" s="6" t="s">
        <v>52</v>
      </c>
      <c r="F46" s="51">
        <f>IF(COUNTIF($C$10:$C39,"=К")=0,IF(COUNTIF($C$10:$C39,"=Б")=0,"Очікую",0),COUNTIF($C$10:$C39,"=К"))</f>
        <v>16</v>
      </c>
      <c r="G46" s="5"/>
      <c r="H46" s="49" t="s">
        <v>53</v>
      </c>
      <c r="I46" s="49"/>
      <c r="J46" s="49"/>
      <c r="K46" s="49"/>
      <c r="L46" s="5"/>
      <c r="M46" s="5"/>
      <c r="N46" s="5"/>
      <c r="O46" s="50"/>
      <c r="P46" s="48" t="s">
        <v>54</v>
      </c>
      <c r="Q46" s="48"/>
      <c r="R46" s="48"/>
      <c r="S46" s="48"/>
      <c r="T46" s="48"/>
      <c r="U46" s="19"/>
      <c r="V46" s="37"/>
    </row>
    <row r="47" spans="1:22" s="10" customFormat="1" ht="15" customHeight="1" x14ac:dyDescent="0.25">
      <c r="A47" s="38"/>
      <c r="B47" s="11"/>
      <c r="C47" s="5"/>
      <c r="D47" s="5"/>
      <c r="E47" s="6" t="s">
        <v>55</v>
      </c>
      <c r="F47" s="4">
        <v>2</v>
      </c>
      <c r="G47" s="5"/>
      <c r="H47" s="49"/>
      <c r="I47" s="49"/>
      <c r="J47" s="49"/>
      <c r="K47" s="49"/>
      <c r="L47" s="5"/>
      <c r="M47" s="5"/>
      <c r="N47" s="5"/>
      <c r="O47" s="50"/>
      <c r="P47" s="47"/>
      <c r="Q47" s="47"/>
      <c r="R47" s="47"/>
      <c r="S47" s="47"/>
      <c r="T47" s="47"/>
      <c r="U47" s="19"/>
      <c r="V47" s="37"/>
    </row>
    <row r="48" spans="1:22" s="10" customFormat="1" ht="15" customHeight="1" x14ac:dyDescent="0.3">
      <c r="A48" s="38"/>
      <c r="B48" s="11"/>
      <c r="C48" s="5"/>
      <c r="D48" s="5"/>
      <c r="E48" s="6" t="s">
        <v>56</v>
      </c>
      <c r="F48" s="51">
        <f>IF(F45="Очікую","Очікую",IF(F45-COUNTIF($T$10:$T39," - ")&lt;ROUNDDOWN(F45*0.4,0),F45-COUNTIF($T$10:$T39," - "),ROUNDDOWN(F45*0.4,0)))</f>
        <v>5</v>
      </c>
      <c r="G48" s="5"/>
      <c r="H48" s="50" t="s">
        <v>57</v>
      </c>
      <c r="I48" s="50"/>
      <c r="J48" s="50"/>
      <c r="K48" s="50"/>
      <c r="L48" s="5"/>
      <c r="M48" s="5"/>
      <c r="N48" s="5"/>
      <c r="O48" s="50"/>
      <c r="P48" s="48" t="s">
        <v>58</v>
      </c>
      <c r="Q48" s="48"/>
      <c r="R48" s="48"/>
      <c r="S48" s="48"/>
      <c r="T48" s="48"/>
      <c r="U48" s="19"/>
      <c r="V48" s="37"/>
    </row>
    <row r="49" spans="1:22" s="10" customFormat="1" ht="15" customHeight="1" x14ac:dyDescent="0.25">
      <c r="A49" s="38"/>
      <c r="B49" s="20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4"/>
      <c r="V49" s="37"/>
    </row>
    <row r="50" spans="1:22" s="10" customFormat="1" ht="1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7"/>
    </row>
    <row r="51" spans="1:22" s="10" customFormat="1" ht="15" hidden="1" customHeight="1" x14ac:dyDescent="0.25"/>
    <row r="52" spans="1:22" s="10" customFormat="1" ht="15" hidden="1" customHeight="1" x14ac:dyDescent="0.25"/>
    <row r="53" spans="1:22" s="10" customFormat="1" ht="15" hidden="1" customHeight="1" x14ac:dyDescent="0.25"/>
    <row r="54" spans="1:22" s="10" customFormat="1" ht="15" hidden="1" customHeight="1" x14ac:dyDescent="0.25"/>
    <row r="55" spans="1:22" s="10" customFormat="1" ht="15" hidden="1" customHeight="1" x14ac:dyDescent="0.25"/>
    <row r="56" spans="1:22" s="10" customFormat="1" ht="15" hidden="1" customHeight="1" x14ac:dyDescent="0.25"/>
    <row r="57" spans="1:22" s="10" customFormat="1" ht="15" hidden="1" customHeight="1" x14ac:dyDescent="0.25"/>
    <row r="58" spans="1:22" s="10" customFormat="1" ht="15" hidden="1" customHeight="1" x14ac:dyDescent="0.25"/>
    <row r="59" spans="1:22" s="10" customFormat="1" ht="15" hidden="1" customHeight="1" x14ac:dyDescent="0.25"/>
    <row r="60" spans="1:22" s="10" customFormat="1" ht="15" hidden="1" customHeight="1" x14ac:dyDescent="0.25"/>
    <row r="61" spans="1:22" s="10" customFormat="1" ht="15" hidden="1" customHeight="1" x14ac:dyDescent="0.25"/>
    <row r="62" spans="1:22" s="10" customFormat="1" ht="15" hidden="1" customHeight="1" x14ac:dyDescent="0.25"/>
    <row r="63" spans="1:22" s="10" customFormat="1" ht="15" hidden="1" customHeight="1" x14ac:dyDescent="0.25"/>
    <row r="64" spans="1:22" s="10" customFormat="1" ht="15" hidden="1" customHeight="1" x14ac:dyDescent="0.25"/>
    <row r="65" s="10" customFormat="1" ht="15" hidden="1" customHeight="1" x14ac:dyDescent="0.25"/>
    <row r="66" s="10" customFormat="1" ht="15" hidden="1" customHeight="1" x14ac:dyDescent="0.25"/>
    <row r="67" s="10" customFormat="1" ht="15" hidden="1" customHeight="1" x14ac:dyDescent="0.25"/>
    <row r="68" s="10" customFormat="1" ht="15" hidden="1" customHeight="1" x14ac:dyDescent="0.25"/>
    <row r="69" s="10" customFormat="1" ht="15" hidden="1" customHeight="1" x14ac:dyDescent="0.25"/>
    <row r="70" s="10" customFormat="1" ht="15" hidden="1" customHeight="1" x14ac:dyDescent="0.25"/>
    <row r="71" s="10" customFormat="1" ht="15" hidden="1" customHeight="1" x14ac:dyDescent="0.25"/>
    <row r="72" s="10" customFormat="1" ht="15" hidden="1" customHeight="1" x14ac:dyDescent="0.25"/>
    <row r="73" s="10" customFormat="1" ht="15" hidden="1" customHeight="1" x14ac:dyDescent="0.25"/>
    <row r="74" s="10" customFormat="1" ht="15" hidden="1" customHeight="1" x14ac:dyDescent="0.25"/>
    <row r="75" s="10" customFormat="1" ht="15" hidden="1" customHeight="1" x14ac:dyDescent="0.25"/>
    <row r="76" s="10" customFormat="1" ht="15" hidden="1" customHeight="1" x14ac:dyDescent="0.25"/>
    <row r="77" s="10" customFormat="1" ht="15" hidden="1" customHeight="1" x14ac:dyDescent="0.25"/>
    <row r="78" s="10" customFormat="1" ht="15" hidden="1" customHeight="1" x14ac:dyDescent="0.25"/>
    <row r="79" s="10" customFormat="1" ht="15" hidden="1" customHeight="1" x14ac:dyDescent="0.25"/>
    <row r="80" s="10" customFormat="1" ht="15" hidden="1" customHeight="1" x14ac:dyDescent="0.25"/>
    <row r="81" s="10" customFormat="1" ht="15" hidden="1" customHeight="1" x14ac:dyDescent="0.25"/>
    <row r="82" s="10" customFormat="1" ht="15" hidden="1" customHeight="1" x14ac:dyDescent="0.25"/>
    <row r="83" s="10" customFormat="1" ht="15" hidden="1" customHeight="1" x14ac:dyDescent="0.25"/>
    <row r="84" s="10" customFormat="1" ht="15" hidden="1" customHeight="1" x14ac:dyDescent="0.25"/>
    <row r="85" s="10" customFormat="1" ht="15" hidden="1" customHeight="1" x14ac:dyDescent="0.25"/>
    <row r="86" s="10" customFormat="1" ht="15" hidden="1" customHeight="1" x14ac:dyDescent="0.25"/>
    <row r="87" s="10" customFormat="1" ht="15" hidden="1" customHeight="1" x14ac:dyDescent="0.25"/>
    <row r="88" s="10" customFormat="1" ht="15" hidden="1" customHeight="1" x14ac:dyDescent="0.25"/>
    <row r="89" s="10" customFormat="1" ht="15" hidden="1" customHeight="1" x14ac:dyDescent="0.25"/>
    <row r="90" s="10" customFormat="1" ht="15" hidden="1" customHeight="1" x14ac:dyDescent="0.25"/>
    <row r="91" s="10" customFormat="1" ht="15" hidden="1" customHeight="1" x14ac:dyDescent="0.25"/>
    <row r="92" s="10" customFormat="1" ht="15" hidden="1" customHeight="1" x14ac:dyDescent="0.25"/>
    <row r="93" s="10" customFormat="1" ht="15" hidden="1" customHeight="1" x14ac:dyDescent="0.25"/>
    <row r="94" s="10" customFormat="1" ht="15" hidden="1" customHeight="1" x14ac:dyDescent="0.25"/>
    <row r="95" s="10" customFormat="1" ht="15" hidden="1" customHeight="1" x14ac:dyDescent="0.25"/>
    <row r="96" s="10" customFormat="1" ht="15" hidden="1" customHeight="1" x14ac:dyDescent="0.25"/>
    <row r="97" s="10" customFormat="1" ht="15" hidden="1" customHeight="1" x14ac:dyDescent="0.25"/>
    <row r="98" s="10" customFormat="1" ht="15" hidden="1" customHeight="1" x14ac:dyDescent="0.25"/>
    <row r="99" s="10" customFormat="1" ht="15" hidden="1" customHeight="1" x14ac:dyDescent="0.25"/>
    <row r="100" s="10" customFormat="1" ht="15" hidden="1" customHeight="1" x14ac:dyDescent="0.25"/>
    <row r="101" s="10" customFormat="1" ht="15" hidden="1" customHeight="1" x14ac:dyDescent="0.25"/>
    <row r="102" s="10" customFormat="1" ht="15" hidden="1" customHeight="1" x14ac:dyDescent="0.25"/>
    <row r="103" s="10" customFormat="1" ht="15" hidden="1" customHeight="1" x14ac:dyDescent="0.25"/>
    <row r="104" s="10" customFormat="1" ht="15" hidden="1" customHeight="1" x14ac:dyDescent="0.25"/>
    <row r="105" s="10" customFormat="1" ht="15" hidden="1" customHeight="1" x14ac:dyDescent="0.25"/>
    <row r="106" s="10" customFormat="1" ht="15" hidden="1" customHeight="1" x14ac:dyDescent="0.25"/>
    <row r="107" s="10" customFormat="1" ht="15" hidden="1" customHeight="1" x14ac:dyDescent="0.25"/>
    <row r="108" s="10" customFormat="1" ht="15" hidden="1" customHeight="1" x14ac:dyDescent="0.25"/>
    <row r="109" s="10" customFormat="1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2" hidden="1" customHeight="1" thickBot="1" x14ac:dyDescent="0.3"/>
    <row r="120" ht="12" hidden="1" customHeight="1" x14ac:dyDescent="0.25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1" right="0.19685039370078741" top="0.19685039370078741" bottom="0.19685039370078741" header="0" footer="0"/>
  <pageSetup paperSize="9" scale="3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P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customWidth="1"/>
    <col min="21" max="22" width="2.7109375" customWidth="1"/>
    <col min="23" max="25" width="13" hidden="1" customWidth="1"/>
    <col min="26" max="26" width="11.28515625" style="1" hidden="1" customWidth="1"/>
    <col min="27" max="27" width="2.7109375" style="1" hidden="1" customWidth="1"/>
    <col min="28" max="28" width="13" hidden="1" customWidth="1"/>
    <col min="29" max="34" width="14.42578125" style="1" hidden="1" customWidth="1"/>
    <col min="35" max="35" width="14.85546875" style="1" hidden="1" customWidth="1"/>
    <col min="36" max="49" width="3.7109375" style="1" hidden="1" customWidth="1"/>
    <col min="50" max="68" width="5.7109375" style="1" hidden="1" customWidth="1"/>
    <col min="69" max="69" width="14.42578125" style="1" hidden="1" customWidth="1"/>
    <col min="70" max="16384" width="14.42578125" style="1" hidden="1"/>
  </cols>
  <sheetData>
    <row r="1" spans="1:22" ht="12" customHeight="1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2" customHeight="1" x14ac:dyDescent="0.25">
      <c r="A2" s="38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/>
      <c r="V2" s="37"/>
    </row>
    <row r="3" spans="1:22" s="2" customFormat="1" ht="54.95" customHeight="1" x14ac:dyDescent="0.3">
      <c r="A3" s="38"/>
      <c r="B3" s="11"/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19"/>
      <c r="V3" s="37"/>
    </row>
    <row r="4" spans="1:22" s="3" customFormat="1" ht="15" customHeight="1" x14ac:dyDescent="0.25">
      <c r="A4" s="38"/>
      <c r="B4" s="11"/>
      <c r="C4" s="70" t="s">
        <v>2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19"/>
      <c r="V4" s="37"/>
    </row>
    <row r="5" spans="1:22" s="2" customFormat="1" ht="15" customHeight="1" x14ac:dyDescent="0.25">
      <c r="A5" s="38"/>
      <c r="B5" s="11"/>
      <c r="C5" s="62" t="s">
        <v>90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19"/>
      <c r="V5" s="37"/>
    </row>
    <row r="6" spans="1:22" s="2" customFormat="1" ht="15" customHeight="1" x14ac:dyDescent="0.25">
      <c r="A6" s="38"/>
      <c r="B6" s="11"/>
      <c r="C6" s="62" t="s">
        <v>4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19"/>
      <c r="V6" s="37"/>
    </row>
    <row r="7" spans="1:22" s="2" customFormat="1" ht="15" customHeight="1" x14ac:dyDescent="0.25">
      <c r="A7" s="38"/>
      <c r="B7" s="11"/>
      <c r="C7" s="64" t="s">
        <v>5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19"/>
      <c r="V7" s="37"/>
    </row>
    <row r="8" spans="1:22" ht="15" customHeight="1" x14ac:dyDescent="0.25">
      <c r="A8" s="38"/>
      <c r="B8" s="11"/>
      <c r="C8" s="66" t="s">
        <v>6</v>
      </c>
      <c r="D8" s="68" t="s">
        <v>7</v>
      </c>
      <c r="E8" s="68" t="s">
        <v>8</v>
      </c>
      <c r="F8" s="59" t="s">
        <v>9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1"/>
      <c r="T8" s="69" t="s">
        <v>10</v>
      </c>
      <c r="U8" s="19"/>
      <c r="V8" s="37"/>
    </row>
    <row r="9" spans="1:22" ht="125.1" customHeight="1" x14ac:dyDescent="0.25">
      <c r="A9" s="38"/>
      <c r="B9" s="11"/>
      <c r="C9" s="67"/>
      <c r="D9" s="67"/>
      <c r="E9" s="67"/>
      <c r="F9" s="12" t="s">
        <v>11</v>
      </c>
      <c r="G9" s="12" t="s">
        <v>12</v>
      </c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67"/>
      <c r="U9" s="19"/>
      <c r="V9" s="37"/>
    </row>
    <row r="10" spans="1:22" s="10" customFormat="1" ht="15" customHeight="1" x14ac:dyDescent="0.25">
      <c r="A10" s="38"/>
      <c r="B10" s="11"/>
      <c r="C10" s="42" t="s">
        <v>29</v>
      </c>
      <c r="D10" s="42">
        <v>1</v>
      </c>
      <c r="E10" s="43" t="s">
        <v>91</v>
      </c>
      <c r="F10" s="44">
        <v>8</v>
      </c>
      <c r="G10" s="44">
        <v>7</v>
      </c>
      <c r="H10" s="44">
        <v>8</v>
      </c>
      <c r="I10" s="44">
        <v>8</v>
      </c>
      <c r="J10" s="44">
        <v>6</v>
      </c>
      <c r="K10" s="44">
        <v>4</v>
      </c>
      <c r="L10" s="44">
        <v>5</v>
      </c>
      <c r="M10" s="44">
        <v>5</v>
      </c>
      <c r="N10" s="44">
        <v>8</v>
      </c>
      <c r="O10" s="44">
        <v>6</v>
      </c>
      <c r="P10" s="44">
        <v>6</v>
      </c>
      <c r="Q10" s="44">
        <v>5</v>
      </c>
      <c r="R10" s="44">
        <v>7</v>
      </c>
      <c r="S10" s="44">
        <v>10</v>
      </c>
      <c r="T10" s="40">
        <f>IF(COUNTIF($F10:S10,"=*")&gt;0,IF($C10="К","-"," - "),IF(COUNTIF($F10:S10,"&lt;4")&gt;0,IF(C10="К","-"," - "),(IFERROR(AVERAGE($F10:S10),"Очікую"))))</f>
        <v>6.6428571428571432</v>
      </c>
      <c r="U10" s="21"/>
      <c r="V10" s="37"/>
    </row>
    <row r="11" spans="1:22" s="10" customFormat="1" ht="15" customHeight="1" x14ac:dyDescent="0.25">
      <c r="A11" s="38"/>
      <c r="B11" s="11"/>
      <c r="C11" s="42" t="s">
        <v>29</v>
      </c>
      <c r="D11" s="42">
        <v>2</v>
      </c>
      <c r="E11" s="43" t="s">
        <v>92</v>
      </c>
      <c r="F11" s="44">
        <v>8</v>
      </c>
      <c r="G11" s="44">
        <v>6</v>
      </c>
      <c r="H11" s="44">
        <v>9</v>
      </c>
      <c r="I11" s="44">
        <v>11</v>
      </c>
      <c r="J11" s="44">
        <v>4</v>
      </c>
      <c r="K11" s="44">
        <v>4</v>
      </c>
      <c r="L11" s="44">
        <v>8</v>
      </c>
      <c r="M11" s="44">
        <v>11</v>
      </c>
      <c r="N11" s="44">
        <v>9</v>
      </c>
      <c r="O11" s="44">
        <v>10</v>
      </c>
      <c r="P11" s="44">
        <v>7</v>
      </c>
      <c r="Q11" s="44">
        <v>9</v>
      </c>
      <c r="R11" s="44">
        <v>10</v>
      </c>
      <c r="S11" s="44">
        <v>9</v>
      </c>
      <c r="T11" s="40">
        <f>IF(COUNTIF($F11:S11,"=*")&gt;0,IF($C11="К","-"," - "),IF(COUNTIF($F11:S11,"&lt;4")&gt;0,IF(C11="К","-"," - "),(IFERROR(AVERAGE($F11:S11),"Очікую"))))</f>
        <v>8.2142857142857135</v>
      </c>
      <c r="U11" s="21"/>
      <c r="V11" s="37"/>
    </row>
    <row r="12" spans="1:22" s="10" customFormat="1" ht="15" customHeight="1" x14ac:dyDescent="0.25">
      <c r="A12" s="38"/>
      <c r="B12" s="11"/>
      <c r="C12" s="42" t="s">
        <v>29</v>
      </c>
      <c r="D12" s="42">
        <v>3</v>
      </c>
      <c r="E12" s="43" t="s">
        <v>93</v>
      </c>
      <c r="F12" s="44">
        <v>8</v>
      </c>
      <c r="G12" s="44">
        <v>6</v>
      </c>
      <c r="H12" s="44">
        <v>5</v>
      </c>
      <c r="I12" s="44">
        <v>11</v>
      </c>
      <c r="J12" s="44">
        <v>7</v>
      </c>
      <c r="K12" s="44">
        <v>7</v>
      </c>
      <c r="L12" s="44">
        <v>6</v>
      </c>
      <c r="M12" s="44">
        <v>10</v>
      </c>
      <c r="N12" s="44">
        <v>7</v>
      </c>
      <c r="O12" s="44">
        <v>6</v>
      </c>
      <c r="P12" s="44">
        <v>6</v>
      </c>
      <c r="Q12" s="44">
        <v>4</v>
      </c>
      <c r="R12" s="44">
        <v>6</v>
      </c>
      <c r="S12" s="44">
        <v>6</v>
      </c>
      <c r="T12" s="40">
        <f>IF(COUNTIF($F12:S12,"=*")&gt;0,IF($C12="К","-"," - "),IF(COUNTIF($F12:S12,"&lt;4")&gt;0,IF(C12="К","-"," - "),(IFERROR(AVERAGE($F12:S12),"Очікую"))))</f>
        <v>6.7857142857142856</v>
      </c>
      <c r="U12" s="21"/>
      <c r="V12" s="37"/>
    </row>
    <row r="13" spans="1:22" s="10" customFormat="1" ht="15" customHeight="1" x14ac:dyDescent="0.25">
      <c r="A13" s="38"/>
      <c r="B13" s="11"/>
      <c r="C13" s="42" t="s">
        <v>29</v>
      </c>
      <c r="D13" s="42">
        <v>4</v>
      </c>
      <c r="E13" s="43" t="s">
        <v>94</v>
      </c>
      <c r="F13" s="44">
        <v>7</v>
      </c>
      <c r="G13" s="44">
        <v>10</v>
      </c>
      <c r="H13" s="44">
        <v>10</v>
      </c>
      <c r="I13" s="44">
        <v>4</v>
      </c>
      <c r="J13" s="44">
        <v>8</v>
      </c>
      <c r="K13" s="44">
        <v>7</v>
      </c>
      <c r="L13" s="44">
        <v>8</v>
      </c>
      <c r="M13" s="44">
        <v>5</v>
      </c>
      <c r="N13" s="44">
        <v>10</v>
      </c>
      <c r="O13" s="44">
        <v>10</v>
      </c>
      <c r="P13" s="44">
        <v>9</v>
      </c>
      <c r="Q13" s="44">
        <v>6</v>
      </c>
      <c r="R13" s="44">
        <v>11</v>
      </c>
      <c r="S13" s="44">
        <v>6</v>
      </c>
      <c r="T13" s="40">
        <f>IF(COUNTIF($F13:S13,"=*")&gt;0,IF($C13="К","-"," - "),IF(COUNTIF($F13:S13,"&lt;4")&gt;0,IF(C13="К","-"," - "),(IFERROR(AVERAGE($F13:S13),"Очікую"))))</f>
        <v>7.9285714285714288</v>
      </c>
      <c r="U13" s="21"/>
      <c r="V13" s="37"/>
    </row>
    <row r="14" spans="1:22" s="10" customFormat="1" ht="15" customHeight="1" x14ac:dyDescent="0.25">
      <c r="A14" s="38"/>
      <c r="B14" s="11"/>
      <c r="C14" s="42" t="s">
        <v>29</v>
      </c>
      <c r="D14" s="42">
        <v>5</v>
      </c>
      <c r="E14" s="43" t="s">
        <v>95</v>
      </c>
      <c r="F14" s="44">
        <v>9</v>
      </c>
      <c r="G14" s="44">
        <v>9</v>
      </c>
      <c r="H14" s="44">
        <v>8</v>
      </c>
      <c r="I14" s="44">
        <v>6</v>
      </c>
      <c r="J14" s="44">
        <v>10</v>
      </c>
      <c r="K14" s="44">
        <v>11</v>
      </c>
      <c r="L14" s="44">
        <v>6</v>
      </c>
      <c r="M14" s="44">
        <v>11</v>
      </c>
      <c r="N14" s="44">
        <v>7</v>
      </c>
      <c r="O14" s="44">
        <v>7</v>
      </c>
      <c r="P14" s="44">
        <v>10</v>
      </c>
      <c r="Q14" s="44">
        <v>6</v>
      </c>
      <c r="R14" s="44">
        <v>7</v>
      </c>
      <c r="S14" s="44">
        <v>8</v>
      </c>
      <c r="T14" s="40">
        <f>IF(COUNTIF($F14:S14,"=*")&gt;0,IF($C14="К","-"," - "),IF(COUNTIF($F14:S14,"&lt;4")&gt;0,IF(C14="К","-"," - "),(IFERROR(AVERAGE($F14:S14),"Очікую"))))</f>
        <v>8.2142857142857135</v>
      </c>
      <c r="U14" s="21"/>
      <c r="V14" s="37"/>
    </row>
    <row r="15" spans="1:22" s="10" customFormat="1" ht="15" customHeight="1" x14ac:dyDescent="0.25">
      <c r="A15" s="38"/>
      <c r="B15" s="11"/>
      <c r="C15" s="42" t="s">
        <v>29</v>
      </c>
      <c r="D15" s="42">
        <v>6</v>
      </c>
      <c r="E15" s="43" t="s">
        <v>96</v>
      </c>
      <c r="F15" s="44">
        <v>4</v>
      </c>
      <c r="G15" s="44">
        <v>4</v>
      </c>
      <c r="H15" s="44">
        <v>11</v>
      </c>
      <c r="I15" s="44">
        <v>8</v>
      </c>
      <c r="J15" s="44">
        <v>5</v>
      </c>
      <c r="K15" s="44">
        <v>10</v>
      </c>
      <c r="L15" s="44">
        <v>8</v>
      </c>
      <c r="M15" s="44">
        <v>5</v>
      </c>
      <c r="N15" s="44">
        <v>9</v>
      </c>
      <c r="O15" s="44">
        <v>6</v>
      </c>
      <c r="P15" s="44">
        <v>4</v>
      </c>
      <c r="Q15" s="44">
        <v>10</v>
      </c>
      <c r="R15" s="44">
        <v>8</v>
      </c>
      <c r="S15" s="44">
        <v>8</v>
      </c>
      <c r="T15" s="40">
        <f>IF(COUNTIF($F15:S15,"=*")&gt;0,IF($C15="К","-"," - "),IF(COUNTIF($F15:S15,"&lt;4")&gt;0,IF(C15="К","-"," - "),(IFERROR(AVERAGE($F15:S15),"Очікую"))))</f>
        <v>7.1428571428571432</v>
      </c>
      <c r="U15" s="21"/>
      <c r="V15" s="37"/>
    </row>
    <row r="16" spans="1:22" s="10" customFormat="1" ht="15" customHeight="1" x14ac:dyDescent="0.25">
      <c r="A16" s="38"/>
      <c r="B16" s="11"/>
      <c r="C16" s="42" t="s">
        <v>29</v>
      </c>
      <c r="D16" s="42">
        <v>7</v>
      </c>
      <c r="E16" s="43" t="s">
        <v>97</v>
      </c>
      <c r="F16" s="44">
        <v>4</v>
      </c>
      <c r="G16" s="44">
        <v>4</v>
      </c>
      <c r="H16" s="44" t="s">
        <v>27</v>
      </c>
      <c r="I16" s="44">
        <v>4</v>
      </c>
      <c r="J16" s="44">
        <v>8</v>
      </c>
      <c r="K16" s="44" t="s">
        <v>27</v>
      </c>
      <c r="L16" s="44">
        <v>6</v>
      </c>
      <c r="M16" s="44">
        <v>7</v>
      </c>
      <c r="N16" s="44">
        <v>10</v>
      </c>
      <c r="O16" s="44">
        <v>8</v>
      </c>
      <c r="P16" s="44" t="s">
        <v>27</v>
      </c>
      <c r="Q16" s="44">
        <v>7</v>
      </c>
      <c r="R16" s="44">
        <v>10</v>
      </c>
      <c r="S16" s="44">
        <v>11</v>
      </c>
      <c r="T16" s="40" t="str">
        <f>IF(COUNTIF($F16:S16,"=*")&gt;0,IF($C16="К","-"," - "),IF(COUNTIF($F16:S16,"&lt;4")&gt;0,IF(C16="К","-"," - "),(IFERROR(AVERAGE($F16:S16),"Очікую"))))</f>
        <v>-</v>
      </c>
      <c r="U16" s="21"/>
      <c r="V16" s="37"/>
    </row>
    <row r="17" spans="1:22" s="10" customFormat="1" ht="15" customHeight="1" x14ac:dyDescent="0.25">
      <c r="A17" s="38"/>
      <c r="B17" s="11"/>
      <c r="C17" s="5"/>
      <c r="D17" s="5"/>
      <c r="E17" s="6" t="s">
        <v>46</v>
      </c>
      <c r="F17" s="7">
        <f>IF(SUM(F$10:F16)=0,IF(COUNTA(F$10:F16)=0,"Очікую",0),SUM(F$10:F16)/$D16)</f>
        <v>6.8571428571428568</v>
      </c>
      <c r="G17" s="7">
        <f>IF(SUM(G$10:G16)=0,IF(COUNTA(G$10:G16)=0,"Очікую",0),SUM(G$10:G16)/$D16)</f>
        <v>6.5714285714285712</v>
      </c>
      <c r="H17" s="7">
        <f>IF(SUM(H$10:H16)=0,IF(COUNTA(H$10:H16)=0,"Очікую",0),SUM(H$10:H16)/$D16)</f>
        <v>7.2857142857142856</v>
      </c>
      <c r="I17" s="7">
        <f>IF(SUM(I$10:I16)=0,IF(COUNTA(I$10:I16)=0,"Очікую",0),SUM(I$10:I16)/$D16)</f>
        <v>7.4285714285714288</v>
      </c>
      <c r="J17" s="7">
        <f>IF(SUM(J$10:J16)=0,IF(COUNTA(J$10:J16)=0,"Очікую",0),SUM(J$10:J16)/$D16)</f>
        <v>6.8571428571428568</v>
      </c>
      <c r="K17" s="7">
        <f>IF(SUM(K$10:K16)=0,IF(COUNTA(K$10:K16)=0,"Очікую",0),SUM(K$10:K16)/$D16)</f>
        <v>6.1428571428571432</v>
      </c>
      <c r="L17" s="7">
        <f>IF(SUM(L$10:L16)=0,IF(COUNTA(L$10:L16)=0,"Очікую",0),SUM(L$10:L16)/$D16)</f>
        <v>6.7142857142857144</v>
      </c>
      <c r="M17" s="7">
        <f>IF(SUM(M$10:M16)=0,IF(COUNTA(M$10:M16)=0,"Очікую",0),SUM(M$10:M16)/$D16)</f>
        <v>7.7142857142857144</v>
      </c>
      <c r="N17" s="7">
        <f>IF(SUM(N$10:N16)=0,IF(COUNTA(N$10:N16)=0,"Очікую",0),SUM(N$10:N16)/$D16)</f>
        <v>8.5714285714285712</v>
      </c>
      <c r="O17" s="7">
        <f>IF(SUM(O$10:O16)=0,IF(COUNTA(O$10:O16)=0,"Очікую",0),SUM(O$10:O16)/$D16)</f>
        <v>7.5714285714285712</v>
      </c>
      <c r="P17" s="7">
        <f>IF(SUM(P$10:P16)=0,IF(COUNTA(P$10:P16)=0,"Очікую",0),SUM(P$10:P16)/$D16)</f>
        <v>6</v>
      </c>
      <c r="Q17" s="7">
        <f>IF(SUM(Q$10:Q16)=0,IF(COUNTA(Q$10:Q16)=0,"Очікую",0),SUM(Q$10:Q16)/$D16)</f>
        <v>6.7142857142857144</v>
      </c>
      <c r="R17" s="7">
        <f>IF(SUM(R$10:R16)=0,IF(COUNTA(R$10:R16)=0,"Очікую",0),SUM(R$10:R16)/$D16)</f>
        <v>8.4285714285714288</v>
      </c>
      <c r="S17" s="7">
        <f>IF(SUM(S$10:S16)=0,IF(COUNTA(S$10:S16)=0,"Очікую",0),SUM(S$10:S16)/$D16)</f>
        <v>8.2857142857142865</v>
      </c>
      <c r="T17" s="8">
        <f>IFERROR(AVERAGE($F17:S17),"Очікую")</f>
        <v>7.2244897959183669</v>
      </c>
      <c r="U17" s="19"/>
      <c r="V17" s="37"/>
    </row>
    <row r="18" spans="1:22" s="10" customFormat="1" ht="15" customHeight="1" x14ac:dyDescent="0.25">
      <c r="A18" s="38"/>
      <c r="B18" s="11"/>
      <c r="C18" s="5"/>
      <c r="D18" s="5"/>
      <c r="E18" s="6" t="s">
        <v>47</v>
      </c>
      <c r="F18" s="41">
        <f>IF(SUM(F$10:F16)=0,IF(COUNTA(F$10:F16)=0,"Очікую",0),IF(COUNTIF(F$10:F16,"&gt;=4")=0,0,COUNTIF(F$10:F16,"&gt;=4")/$D16*100))</f>
        <v>100</v>
      </c>
      <c r="G18" s="41">
        <f>IF(SUM(G$10:G16)=0,IF(COUNTA(G$10:G16)=0,"Очікую",0),IF(COUNTIF(G$10:G16,"&gt;=4")=0,0,COUNTIF(G$10:G16,"&gt;=4")/$D16*100))</f>
        <v>100</v>
      </c>
      <c r="H18" s="41">
        <f>IF(SUM(H$10:H16)=0,IF(COUNTA(H$10:H16)=0,"Очікую",0),IF(COUNTIF(H$10:H16,"&gt;=4")=0,0,COUNTIF(H$10:H16,"&gt;=4")/$D16*100))</f>
        <v>85.714285714285708</v>
      </c>
      <c r="I18" s="41">
        <f>IF(SUM(I$10:I16)=0,IF(COUNTA(I$10:I16)=0,"Очікую",0),IF(COUNTIF(I$10:I16,"&gt;=4")=0,0,COUNTIF(I$10:I16,"&gt;=4")/$D16*100))</f>
        <v>100</v>
      </c>
      <c r="J18" s="41">
        <f>IF(SUM(J$10:J16)=0,IF(COUNTA(J$10:J16)=0,"Очікую",0),IF(COUNTIF(J$10:J16,"&gt;=4")=0,0,COUNTIF(J$10:J16,"&gt;=4")/$D16*100))</f>
        <v>100</v>
      </c>
      <c r="K18" s="41">
        <f>IF(SUM(K$10:K16)=0,IF(COUNTA(K$10:K16)=0,"Очікую",0),IF(COUNTIF(K$10:K16,"&gt;=4")=0,0,COUNTIF(K$10:K16,"&gt;=4")/$D16*100))</f>
        <v>85.714285714285708</v>
      </c>
      <c r="L18" s="41">
        <f>IF(SUM(L$10:L16)=0,IF(COUNTA(L$10:L16)=0,"Очікую",0),IF(COUNTIF(L$10:L16,"&gt;=4")=0,0,COUNTIF(L$10:L16,"&gt;=4")/$D16*100))</f>
        <v>100</v>
      </c>
      <c r="M18" s="41">
        <f>IF(SUM(M$10:M16)=0,IF(COUNTA(M$10:M16)=0,"Очікую",0),IF(COUNTIF(M$10:M16,"&gt;=4")=0,0,COUNTIF(M$10:M16,"&gt;=4")/$D16*100))</f>
        <v>100</v>
      </c>
      <c r="N18" s="41">
        <f>IF(SUM(N$10:N16)=0,IF(COUNTA(N$10:N16)=0,"Очікую",0),IF(COUNTIF(N$10:N16,"&gt;=4")=0,0,COUNTIF(N$10:N16,"&gt;=4")/$D16*100))</f>
        <v>100</v>
      </c>
      <c r="O18" s="41">
        <f>IF(SUM(O$10:O16)=0,IF(COUNTA(O$10:O16)=0,"Очікую",0),IF(COUNTIF(O$10:O16,"&gt;=4")=0,0,COUNTIF(O$10:O16,"&gt;=4")/$D16*100))</f>
        <v>100</v>
      </c>
      <c r="P18" s="41">
        <f>IF(SUM(P$10:P16)=0,IF(COUNTA(P$10:P16)=0,"Очікую",0),IF(COUNTIF(P$10:P16,"&gt;=4")=0,0,COUNTIF(P$10:P16,"&gt;=4")/$D16*100))</f>
        <v>85.714285714285708</v>
      </c>
      <c r="Q18" s="41">
        <f>IF(SUM(Q$10:Q16)=0,IF(COUNTA(Q$10:Q16)=0,"Очікую",0),IF(COUNTIF(Q$10:Q16,"&gt;=4")=0,0,COUNTIF(Q$10:Q16,"&gt;=4")/$D16*100))</f>
        <v>100</v>
      </c>
      <c r="R18" s="41">
        <f>IF(SUM(R$10:R16)=0,IF(COUNTA(R$10:R16)=0,"Очікую",0),IF(COUNTIF(R$10:R16,"&gt;=4")=0,0,COUNTIF(R$10:R16,"&gt;=4")/$D16*100))</f>
        <v>100</v>
      </c>
      <c r="S18" s="41">
        <f>IF(SUM(S$10:S16)=0,IF(COUNTA(S$10:S16)=0,"Очікую",0),IF(COUNTIF(S$10:S16,"&gt;=4")=0,0,COUNTIF(S$10:S16,"&gt;=4")/$D16*100))</f>
        <v>100</v>
      </c>
      <c r="T18" s="5"/>
      <c r="U18" s="19"/>
      <c r="V18" s="37"/>
    </row>
    <row r="19" spans="1:22" s="10" customFormat="1" ht="15" customHeight="1" x14ac:dyDescent="0.25">
      <c r="A19" s="38"/>
      <c r="B19" s="11"/>
      <c r="C19" s="5"/>
      <c r="D19" s="5"/>
      <c r="E19" s="6" t="s">
        <v>48</v>
      </c>
      <c r="F19" s="41">
        <f>IF(SUM(F$10:F16)=0,IF(COUNTA(F$10:F16)=0,"Очікую",0),IF(COUNTIF(F$10:F16,"&gt;=7")=0,0,COUNTIF(F$10:F16,"&gt;=7")/$D16*100))</f>
        <v>71.428571428571431</v>
      </c>
      <c r="G19" s="41">
        <f>IF(SUM(G$10:G16)=0,IF(COUNTA(G$10:G16)=0,"Очікую",0),IF(COUNTIF(G$10:G16,"&gt;=7")=0,0,COUNTIF(G$10:G16,"&gt;=7")/$D16*100))</f>
        <v>42.857142857142854</v>
      </c>
      <c r="H19" s="41">
        <f>IF(SUM(H$10:H16)=0,IF(COUNTA(H$10:H16)=0,"Очікую",0),IF(COUNTIF(H$10:H16,"&gt;=7")=0,0,COUNTIF(H$10:H16,"&gt;=7")/$D16*100))</f>
        <v>71.428571428571431</v>
      </c>
      <c r="I19" s="41">
        <f>IF(SUM(I$10:I16)=0,IF(COUNTA(I$10:I16)=0,"Очікую",0),IF(COUNTIF(I$10:I16,"&gt;=7")=0,0,COUNTIF(I$10:I16,"&gt;=7")/$D16*100))</f>
        <v>57.142857142857139</v>
      </c>
      <c r="J19" s="41">
        <f>IF(SUM(J$10:J16)=0,IF(COUNTA(J$10:J16)=0,"Очікую",0),IF(COUNTIF(J$10:J16,"&gt;=7")=0,0,COUNTIF(J$10:J16,"&gt;=7")/$D16*100))</f>
        <v>57.142857142857139</v>
      </c>
      <c r="K19" s="41">
        <f>IF(SUM(K$10:K16)=0,IF(COUNTA(K$10:K16)=0,"Очікую",0),IF(COUNTIF(K$10:K16,"&gt;=7")=0,0,COUNTIF(K$10:K16,"&gt;=7")/$D16*100))</f>
        <v>57.142857142857139</v>
      </c>
      <c r="L19" s="41">
        <f>IF(SUM(L$10:L16)=0,IF(COUNTA(L$10:L16)=0,"Очікую",0),IF(COUNTIF(L$10:L16,"&gt;=7")=0,0,COUNTIF(L$10:L16,"&gt;=7")/$D16*100))</f>
        <v>42.857142857142854</v>
      </c>
      <c r="M19" s="41">
        <f>IF(SUM(M$10:M16)=0,IF(COUNTA(M$10:M16)=0,"Очікую",0),IF(COUNTIF(M$10:M16,"&gt;=7")=0,0,COUNTIF(M$10:M16,"&gt;=7")/$D16*100))</f>
        <v>57.142857142857139</v>
      </c>
      <c r="N19" s="41">
        <f>IF(SUM(N$10:N16)=0,IF(COUNTA(N$10:N16)=0,"Очікую",0),IF(COUNTIF(N$10:N16,"&gt;=7")=0,0,COUNTIF(N$10:N16,"&gt;=7")/$D16*100))</f>
        <v>100</v>
      </c>
      <c r="O19" s="41">
        <f>IF(SUM(O$10:O16)=0,IF(COUNTA(O$10:O16)=0,"Очікую",0),IF(COUNTIF(O$10:O16,"&gt;=7")=0,0,COUNTIF(O$10:O16,"&gt;=7")/$D16*100))</f>
        <v>57.142857142857139</v>
      </c>
      <c r="P19" s="41">
        <f>IF(SUM(P$10:P16)=0,IF(COUNTA(P$10:P16)=0,"Очікую",0),IF(COUNTIF(P$10:P16,"&gt;=7")=0,0,COUNTIF(P$10:P16,"&gt;=7")/$D16*100))</f>
        <v>42.857142857142854</v>
      </c>
      <c r="Q19" s="41">
        <f>IF(SUM(Q$10:Q16)=0,IF(COUNTA(Q$10:Q16)=0,"Очікую",0),IF(COUNTIF(Q$10:Q16,"&gt;=7")=0,0,COUNTIF(Q$10:Q16,"&gt;=7")/$D16*100))</f>
        <v>42.857142857142854</v>
      </c>
      <c r="R19" s="41">
        <f>IF(SUM(R$10:R16)=0,IF(COUNTA(R$10:R16)=0,"Очікую",0),IF(COUNTIF(R$10:R16,"&gt;=7")=0,0,COUNTIF(R$10:R16,"&gt;=7")/$D16*100))</f>
        <v>85.714285714285708</v>
      </c>
      <c r="S19" s="41">
        <f>IF(SUM(S$10:S16)=0,IF(COUNTA(S$10:S16)=0,"Очікую",0),IF(COUNTIF(S$10:S16,"&gt;=7")=0,0,COUNTIF(S$10:S16,"&gt;=7")/$D16*100))</f>
        <v>71.428571428571431</v>
      </c>
      <c r="T19" s="5"/>
      <c r="U19" s="19"/>
      <c r="V19" s="37"/>
    </row>
    <row r="20" spans="1:22" s="10" customFormat="1" ht="15" customHeight="1" x14ac:dyDescent="0.25">
      <c r="A20" s="38"/>
      <c r="B20" s="11"/>
      <c r="C20" s="5"/>
      <c r="D20" s="5"/>
      <c r="E20" s="6" t="s">
        <v>49</v>
      </c>
      <c r="F20" s="7">
        <f>IFERROR(AVERAGE(F18:S18),"Очікую")</f>
        <v>96.938775510204081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9"/>
      <c r="V20" s="37"/>
    </row>
    <row r="21" spans="1:22" s="10" customFormat="1" ht="15" customHeight="1" x14ac:dyDescent="0.25">
      <c r="A21" s="38"/>
      <c r="B21" s="11"/>
      <c r="C21" s="5"/>
      <c r="D21" s="5"/>
      <c r="E21" s="6" t="s">
        <v>50</v>
      </c>
      <c r="F21" s="7">
        <f>IFERROR(AVERAGE($F19:S19),"Очікую")</f>
        <v>61.224489795918366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9"/>
      <c r="V21" s="37"/>
    </row>
    <row r="22" spans="1:22" s="10" customFormat="1" ht="15" customHeight="1" x14ac:dyDescent="0.25">
      <c r="A22" s="38"/>
      <c r="B22" s="11"/>
      <c r="C22" s="5"/>
      <c r="D22" s="5"/>
      <c r="E22" s="6" t="s">
        <v>51</v>
      </c>
      <c r="F22" s="51">
        <f>IF(COUNTIF($C$10:$C16,"=Б")=0,IF(COUNTIF($C$10:$C16,"=К")=0,"Очікую",0),COUNTIF($C$10:$C16,"=Б"))</f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47"/>
      <c r="R22" s="47"/>
      <c r="S22" s="47"/>
      <c r="T22" s="47"/>
      <c r="U22" s="19"/>
      <c r="V22" s="37"/>
    </row>
    <row r="23" spans="1:22" s="10" customFormat="1" ht="15" customHeight="1" x14ac:dyDescent="0.3">
      <c r="A23" s="38"/>
      <c r="B23" s="11"/>
      <c r="C23" s="5"/>
      <c r="D23" s="5"/>
      <c r="E23" s="6" t="s">
        <v>52</v>
      </c>
      <c r="F23" s="51">
        <f>IF(COUNTIF($C$10:$C16,"=К")=0,IF(COUNTIF($C$10:$C16,"=Б")=0,"Очікую",0),COUNTIF($C$10:$C16,"=К"))</f>
        <v>7</v>
      </c>
      <c r="G23" s="5"/>
      <c r="H23" s="49" t="s">
        <v>53</v>
      </c>
      <c r="I23" s="49"/>
      <c r="J23" s="49"/>
      <c r="K23" s="49"/>
      <c r="L23" s="5"/>
      <c r="M23" s="5"/>
      <c r="N23" s="5"/>
      <c r="O23" s="50"/>
      <c r="P23" s="48" t="s">
        <v>54</v>
      </c>
      <c r="Q23" s="48"/>
      <c r="R23" s="48"/>
      <c r="S23" s="48"/>
      <c r="T23" s="48"/>
      <c r="U23" s="19"/>
      <c r="V23" s="37"/>
    </row>
    <row r="24" spans="1:22" s="10" customFormat="1" ht="15" customHeight="1" x14ac:dyDescent="0.25">
      <c r="A24" s="38"/>
      <c r="B24" s="11"/>
      <c r="C24" s="5"/>
      <c r="D24" s="5"/>
      <c r="E24" s="6" t="s">
        <v>55</v>
      </c>
      <c r="F24" s="4">
        <v>0</v>
      </c>
      <c r="G24" s="5"/>
      <c r="H24" s="49"/>
      <c r="I24" s="49"/>
      <c r="J24" s="49"/>
      <c r="K24" s="49"/>
      <c r="L24" s="5"/>
      <c r="M24" s="5"/>
      <c r="N24" s="5"/>
      <c r="O24" s="50"/>
      <c r="P24" s="47"/>
      <c r="Q24" s="47"/>
      <c r="R24" s="47"/>
      <c r="S24" s="47"/>
      <c r="T24" s="47"/>
      <c r="U24" s="19"/>
      <c r="V24" s="37"/>
    </row>
    <row r="25" spans="1:22" s="10" customFormat="1" ht="15" customHeight="1" x14ac:dyDescent="0.3">
      <c r="A25" s="38"/>
      <c r="B25" s="11"/>
      <c r="C25" s="5"/>
      <c r="D25" s="5"/>
      <c r="E25" s="6" t="s">
        <v>56</v>
      </c>
      <c r="F25" s="51">
        <f>IF(F22="Очікую","Очікую",IF(F22-COUNTIF($T$10:$T16," - ")&lt;ROUNDDOWN(F22*0.4,0),F22-COUNTIF($T$10:$T16," - "),ROUNDDOWN(F22*0.4,0)))</f>
        <v>0</v>
      </c>
      <c r="G25" s="5"/>
      <c r="H25" s="50" t="s">
        <v>57</v>
      </c>
      <c r="I25" s="50"/>
      <c r="J25" s="50"/>
      <c r="K25" s="50"/>
      <c r="L25" s="5"/>
      <c r="M25" s="5"/>
      <c r="N25" s="5"/>
      <c r="O25" s="50"/>
      <c r="P25" s="48" t="s">
        <v>58</v>
      </c>
      <c r="Q25" s="48"/>
      <c r="R25" s="48"/>
      <c r="S25" s="48"/>
      <c r="T25" s="48"/>
      <c r="U25" s="19"/>
      <c r="V25" s="37"/>
    </row>
    <row r="26" spans="1:22" s="10" customFormat="1" ht="15" customHeight="1" x14ac:dyDescent="0.25">
      <c r="A26" s="38"/>
      <c r="B26" s="20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4"/>
      <c r="V26" s="37"/>
    </row>
    <row r="27" spans="1:22" s="10" customFormat="1" ht="1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7"/>
    </row>
    <row r="28" spans="1:22" s="10" customFormat="1" ht="15" hidden="1" customHeight="1" x14ac:dyDescent="0.25"/>
    <row r="29" spans="1:22" s="10" customFormat="1" ht="15" hidden="1" customHeight="1" x14ac:dyDescent="0.25"/>
    <row r="30" spans="1:22" s="10" customFormat="1" ht="15" hidden="1" customHeight="1" x14ac:dyDescent="0.25"/>
    <row r="31" spans="1:22" s="10" customFormat="1" ht="15" hidden="1" customHeight="1" x14ac:dyDescent="0.25"/>
    <row r="32" spans="1:22" s="10" customFormat="1" ht="15" hidden="1" customHeight="1" x14ac:dyDescent="0.25"/>
    <row r="33" s="10" customFormat="1" ht="15" hidden="1" customHeight="1" x14ac:dyDescent="0.25"/>
    <row r="34" s="10" customFormat="1" ht="15" hidden="1" customHeight="1" x14ac:dyDescent="0.25"/>
    <row r="35" s="10" customFormat="1" ht="15" hidden="1" customHeight="1" x14ac:dyDescent="0.25"/>
    <row r="36" s="10" customFormat="1" ht="15" hidden="1" customHeight="1" x14ac:dyDescent="0.25"/>
    <row r="37" s="10" customFormat="1" ht="15" hidden="1" customHeight="1" x14ac:dyDescent="0.25"/>
    <row r="38" s="10" customFormat="1" ht="15" hidden="1" customHeight="1" x14ac:dyDescent="0.25"/>
    <row r="39" s="10" customFormat="1" ht="15" hidden="1" customHeight="1" x14ac:dyDescent="0.25"/>
    <row r="40" s="10" customFormat="1" ht="15" hidden="1" customHeight="1" x14ac:dyDescent="0.25"/>
    <row r="41" s="10" customFormat="1" ht="15" hidden="1" customHeight="1" x14ac:dyDescent="0.25"/>
    <row r="42" s="10" customFormat="1" ht="15" hidden="1" customHeight="1" x14ac:dyDescent="0.25"/>
    <row r="43" s="10" customFormat="1" ht="15" hidden="1" customHeight="1" x14ac:dyDescent="0.25"/>
    <row r="44" s="10" customFormat="1" ht="15" hidden="1" customHeight="1" x14ac:dyDescent="0.25"/>
    <row r="45" s="10" customFormat="1" ht="15" hidden="1" customHeight="1" x14ac:dyDescent="0.25"/>
    <row r="46" s="10" customFormat="1" ht="15" hidden="1" customHeight="1" x14ac:dyDescent="0.25"/>
    <row r="47" s="10" customFormat="1" ht="15" hidden="1" customHeight="1" x14ac:dyDescent="0.25"/>
    <row r="48" s="10" customFormat="1" ht="15" hidden="1" customHeight="1" x14ac:dyDescent="0.25"/>
    <row r="49" s="10" customFormat="1" ht="15" hidden="1" customHeight="1" x14ac:dyDescent="0.25"/>
    <row r="50" s="10" customFormat="1" ht="15" hidden="1" customHeight="1" x14ac:dyDescent="0.25"/>
    <row r="51" s="10" customFormat="1" ht="15" hidden="1" customHeight="1" x14ac:dyDescent="0.25"/>
    <row r="52" s="10" customFormat="1" ht="15" hidden="1" customHeight="1" x14ac:dyDescent="0.25"/>
    <row r="53" s="10" customFormat="1" ht="15" hidden="1" customHeight="1" x14ac:dyDescent="0.25"/>
    <row r="54" s="10" customFormat="1" ht="15" hidden="1" customHeight="1" x14ac:dyDescent="0.25"/>
    <row r="55" s="10" customFormat="1" ht="15" hidden="1" customHeight="1" x14ac:dyDescent="0.25"/>
    <row r="56" s="10" customFormat="1" ht="15" hidden="1" customHeight="1" x14ac:dyDescent="0.25"/>
    <row r="57" s="10" customFormat="1" ht="15" hidden="1" customHeight="1" x14ac:dyDescent="0.25"/>
    <row r="58" s="10" customFormat="1" ht="15" hidden="1" customHeight="1" x14ac:dyDescent="0.25"/>
    <row r="59" s="10" customFormat="1" ht="15" hidden="1" customHeight="1" x14ac:dyDescent="0.25"/>
    <row r="60" s="10" customFormat="1" ht="15" hidden="1" customHeight="1" x14ac:dyDescent="0.25"/>
    <row r="61" s="10" customFormat="1" ht="15" hidden="1" customHeight="1" x14ac:dyDescent="0.25"/>
    <row r="62" s="10" customFormat="1" ht="15" hidden="1" customHeight="1" x14ac:dyDescent="0.25"/>
    <row r="63" s="10" customFormat="1" ht="15" hidden="1" customHeight="1" x14ac:dyDescent="0.25"/>
    <row r="64" s="10" customFormat="1" ht="15" hidden="1" customHeight="1" x14ac:dyDescent="0.25"/>
    <row r="65" s="10" customFormat="1" ht="15" hidden="1" customHeight="1" x14ac:dyDescent="0.25"/>
    <row r="66" s="10" customFormat="1" ht="15" hidden="1" customHeight="1" x14ac:dyDescent="0.25"/>
    <row r="67" s="10" customFormat="1" ht="15" hidden="1" customHeight="1" x14ac:dyDescent="0.25"/>
    <row r="68" s="10" customFormat="1" ht="15" hidden="1" customHeight="1" x14ac:dyDescent="0.25"/>
    <row r="69" s="10" customFormat="1" ht="15" hidden="1" customHeight="1" x14ac:dyDescent="0.25"/>
    <row r="70" s="10" customFormat="1" ht="15" hidden="1" customHeight="1" x14ac:dyDescent="0.25"/>
    <row r="71" s="10" customFormat="1" ht="15" hidden="1" customHeight="1" x14ac:dyDescent="0.25"/>
    <row r="72" s="10" customFormat="1" ht="15" hidden="1" customHeight="1" x14ac:dyDescent="0.25"/>
    <row r="73" s="10" customFormat="1" ht="15" hidden="1" customHeight="1" x14ac:dyDescent="0.25"/>
    <row r="74" s="10" customFormat="1" ht="15" hidden="1" customHeight="1" x14ac:dyDescent="0.25"/>
    <row r="75" s="10" customFormat="1" ht="15" hidden="1" customHeight="1" x14ac:dyDescent="0.25"/>
    <row r="76" s="10" customFormat="1" ht="15" hidden="1" customHeight="1" x14ac:dyDescent="0.25"/>
    <row r="77" s="10" customFormat="1" ht="15" hidden="1" customHeight="1" x14ac:dyDescent="0.25"/>
    <row r="78" s="10" customFormat="1" ht="15" hidden="1" customHeight="1" x14ac:dyDescent="0.25"/>
    <row r="79" s="10" customFormat="1" ht="15" hidden="1" customHeight="1" x14ac:dyDescent="0.25"/>
    <row r="80" s="10" customFormat="1" ht="15" hidden="1" customHeight="1" x14ac:dyDescent="0.25"/>
    <row r="81" s="10" customFormat="1" ht="15" hidden="1" customHeight="1" x14ac:dyDescent="0.25"/>
    <row r="82" s="10" customFormat="1" ht="15" hidden="1" customHeight="1" x14ac:dyDescent="0.25"/>
    <row r="83" s="10" customFormat="1" ht="15" hidden="1" customHeight="1" x14ac:dyDescent="0.25"/>
    <row r="84" s="10" customFormat="1" ht="15" hidden="1" customHeight="1" x14ac:dyDescent="0.25"/>
    <row r="85" s="10" customFormat="1" ht="15" hidden="1" customHeight="1" x14ac:dyDescent="0.25"/>
    <row r="86" s="10" customFormat="1" ht="15" hidden="1" customHeight="1" x14ac:dyDescent="0.25"/>
    <row r="87" s="10" customFormat="1" ht="15" hidden="1" customHeight="1" x14ac:dyDescent="0.25"/>
    <row r="88" s="10" customFormat="1" ht="15" hidden="1" customHeight="1" x14ac:dyDescent="0.25"/>
    <row r="89" s="10" customFormat="1" ht="15" hidden="1" customHeight="1" x14ac:dyDescent="0.25"/>
    <row r="90" s="10" customFormat="1" ht="15" hidden="1" customHeight="1" x14ac:dyDescent="0.25"/>
    <row r="91" s="10" customFormat="1" ht="15" hidden="1" customHeight="1" x14ac:dyDescent="0.25"/>
    <row r="92" s="10" customFormat="1" ht="15" hidden="1" customHeight="1" x14ac:dyDescent="0.25"/>
    <row r="93" s="10" customFormat="1" ht="15" hidden="1" customHeight="1" x14ac:dyDescent="0.25"/>
    <row r="94" s="10" customFormat="1" ht="15" hidden="1" customHeight="1" x14ac:dyDescent="0.25"/>
    <row r="95" s="10" customFormat="1" ht="15" hidden="1" customHeight="1" x14ac:dyDescent="0.25"/>
    <row r="96" s="10" customFormat="1" ht="15" hidden="1" customHeight="1" x14ac:dyDescent="0.25"/>
    <row r="97" s="10" customFormat="1" ht="15" hidden="1" customHeight="1" x14ac:dyDescent="0.25"/>
    <row r="98" s="10" customFormat="1" ht="15" hidden="1" customHeight="1" x14ac:dyDescent="0.25"/>
    <row r="99" s="10" customFormat="1" ht="15" hidden="1" customHeight="1" x14ac:dyDescent="0.25"/>
    <row r="100" s="10" customFormat="1" ht="15" hidden="1" customHeight="1" x14ac:dyDescent="0.25"/>
    <row r="101" s="10" customFormat="1" ht="15" hidden="1" customHeight="1" x14ac:dyDescent="0.25"/>
    <row r="102" s="10" customFormat="1" ht="15" hidden="1" customHeight="1" x14ac:dyDescent="0.25"/>
    <row r="103" s="10" customFormat="1" ht="15" hidden="1" customHeight="1" x14ac:dyDescent="0.25"/>
    <row r="104" s="10" customFormat="1" ht="15" hidden="1" customHeight="1" x14ac:dyDescent="0.25"/>
    <row r="105" s="10" customFormat="1" ht="15" hidden="1" customHeight="1" x14ac:dyDescent="0.25"/>
    <row r="106" s="10" customFormat="1" ht="15" hidden="1" customHeight="1" x14ac:dyDescent="0.25"/>
    <row r="107" s="10" customFormat="1" ht="15" hidden="1" customHeight="1" x14ac:dyDescent="0.25"/>
    <row r="108" s="10" customFormat="1" ht="15" hidden="1" customHeight="1" x14ac:dyDescent="0.25"/>
    <row r="109" s="10" customFormat="1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2" hidden="1" customHeight="1" thickBot="1" x14ac:dyDescent="0.3"/>
    <row r="120" ht="12" hidden="1" customHeight="1" x14ac:dyDescent="0.25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1" right="0.19685039370078741" top="0.19685039370078741" bottom="0.19685039370078741" header="0" footer="0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6B0A"/>
    <pageSetUpPr fitToPage="1"/>
  </sheetPr>
  <dimension ref="A1:BQ115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customWidth="1"/>
    <col min="22" max="23" width="2.7109375" customWidth="1"/>
    <col min="24" max="25" width="13" hidden="1" customWidth="1"/>
    <col min="26" max="26" width="11.28515625" style="1" hidden="1" customWidth="1"/>
    <col min="27" max="27" width="13" hidden="1" customWidth="1"/>
    <col min="28" max="28" width="2.7109375" style="1" hidden="1" customWidth="1"/>
    <col min="29" max="29" width="13" hidden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9" width="5.7109375" style="1" hidden="1" customWidth="1"/>
    <col min="70" max="70" width="14.42578125" style="1" hidden="1" customWidth="1"/>
    <col min="71" max="16384" width="14.42578125" style="1" hidden="1"/>
  </cols>
  <sheetData>
    <row r="1" spans="1:23" ht="12" customHeight="1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12" customHeight="1" x14ac:dyDescent="0.25">
      <c r="A2" s="38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  <c r="W2" s="37"/>
    </row>
    <row r="3" spans="1:23" s="2" customFormat="1" ht="54.95" customHeight="1" x14ac:dyDescent="0.3">
      <c r="A3" s="38"/>
      <c r="B3" s="11"/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19"/>
      <c r="W3" s="37"/>
    </row>
    <row r="4" spans="1:23" s="3" customFormat="1" ht="15" customHeight="1" x14ac:dyDescent="0.25">
      <c r="A4" s="38"/>
      <c r="B4" s="11"/>
      <c r="C4" s="71" t="s">
        <v>98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19"/>
      <c r="W4" s="37"/>
    </row>
    <row r="5" spans="1:23" s="2" customFormat="1" ht="15" customHeight="1" x14ac:dyDescent="0.25">
      <c r="A5" s="38"/>
      <c r="B5" s="11"/>
      <c r="C5" s="62" t="str">
        <f>'Зведена D5'!C5</f>
        <v>Успішності студентів спеціальності D5 «Маркетинг»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19"/>
      <c r="W5" s="37"/>
    </row>
    <row r="6" spans="1:23" s="2" customFormat="1" ht="15" customHeight="1" x14ac:dyDescent="0.25">
      <c r="A6" s="38"/>
      <c r="B6" s="11"/>
      <c r="C6" s="62" t="str">
        <f>'Зведена D5'!C6</f>
        <v>За І семестр 2025-2026 н.р.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19"/>
      <c r="W6" s="37"/>
    </row>
    <row r="7" spans="1:23" s="2" customFormat="1" ht="15" customHeight="1" x14ac:dyDescent="0.25">
      <c r="A7" s="38"/>
      <c r="B7" s="11"/>
      <c r="C7" s="64" t="str">
        <f>'Зведена D5'!C7</f>
        <v>Група 26-1 курс І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19"/>
      <c r="W7" s="37"/>
    </row>
    <row r="8" spans="1:23" ht="15" customHeight="1" x14ac:dyDescent="0.25">
      <c r="A8" s="38"/>
      <c r="B8" s="11"/>
      <c r="C8" s="66" t="s">
        <v>6</v>
      </c>
      <c r="D8" s="68" t="s">
        <v>7</v>
      </c>
      <c r="E8" s="68" t="s">
        <v>8</v>
      </c>
      <c r="F8" s="59" t="s">
        <v>9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1"/>
      <c r="T8" s="69" t="s">
        <v>10</v>
      </c>
      <c r="U8" s="69" t="s">
        <v>99</v>
      </c>
      <c r="V8" s="19"/>
      <c r="W8" s="37"/>
    </row>
    <row r="9" spans="1:23" ht="125.1" customHeight="1" x14ac:dyDescent="0.25">
      <c r="A9" s="38"/>
      <c r="B9" s="11"/>
      <c r="C9" s="67"/>
      <c r="D9" s="67"/>
      <c r="E9" s="67"/>
      <c r="F9" s="12" t="str">
        <f>'Зведена D5'!F9</f>
        <v>Біологія
Богданенко О.В.</v>
      </c>
      <c r="G9" s="12" t="str">
        <f>'Зведена D5'!G9</f>
        <v>Всесвітня історія
Мельничук С.А.</v>
      </c>
      <c r="H9" s="12" t="str">
        <f>'Зведена D5'!H9</f>
        <v>Географія
Наговська Т.С.</v>
      </c>
      <c r="I9" s="12" t="str">
        <f>'Зведена D5'!I9</f>
        <v>Зарубіжна література
Сербулова Ю.А.</v>
      </c>
      <c r="J9" s="12" t="str">
        <f>'Зведена D5'!J9</f>
        <v>Захист України
Лазар В.І.</v>
      </c>
      <c r="K9" s="12" t="str">
        <f>'Зведена D5'!K9</f>
        <v>Іноземна мова
Сербулова Ю.А.</v>
      </c>
      <c r="L9" s="12" t="str">
        <f>'Зведена D5'!L9</f>
        <v>Інформатика
Бєльдюгіна С.С.</v>
      </c>
      <c r="M9" s="12" t="str">
        <f>'Зведена D5'!M9</f>
        <v>Історія України
Левчук Т.Г.</v>
      </c>
      <c r="N9" s="12" t="str">
        <f>'Зведена D5'!N9</f>
        <v>Математика
Бондаренко О.С.</v>
      </c>
      <c r="O9" s="12" t="str">
        <f>'Зведена D5'!O9</f>
        <v>Українська література
Антропова Л.І.</v>
      </c>
      <c r="P9" s="12" t="str">
        <f>'Зведена D5'!P9</f>
        <v>Українська мова
Антропова Л.І.</v>
      </c>
      <c r="Q9" s="12" t="str">
        <f>'Зведена D5'!Q9</f>
        <v>Фізика
Калюта Н.М.</v>
      </c>
      <c r="R9" s="12" t="str">
        <f>'Зведена D5'!R9</f>
        <v>Фізична культура
Возіян О.Г.</v>
      </c>
      <c r="S9" s="12" t="str">
        <f>'Зведена D5'!S9</f>
        <v>Хімія
Сахно Н.О.</v>
      </c>
      <c r="T9" s="67"/>
      <c r="U9" s="67"/>
      <c r="V9" s="19"/>
      <c r="W9" s="37"/>
    </row>
    <row r="10" spans="1:23" s="10" customFormat="1" ht="15" customHeight="1" x14ac:dyDescent="0.25">
      <c r="A10" s="38"/>
      <c r="B10" s="11"/>
      <c r="C10" s="52" t="str">
        <f>'Зведена D5'!C19</f>
        <v>Б</v>
      </c>
      <c r="D10" s="52">
        <v>1</v>
      </c>
      <c r="E10" s="53" t="str">
        <f>'Зведена D5'!E19</f>
        <v>Поліщук Артем Валерійович</v>
      </c>
      <c r="F10" s="54">
        <f>'Зведена D5'!F19</f>
        <v>4</v>
      </c>
      <c r="G10" s="54">
        <f>'Зведена D5'!G19</f>
        <v>7</v>
      </c>
      <c r="H10" s="54">
        <f>'Зведена D5'!H19</f>
        <v>9</v>
      </c>
      <c r="I10" s="54">
        <f>'Зведена D5'!I19</f>
        <v>9</v>
      </c>
      <c r="J10" s="54">
        <f>'Зведена D5'!J19</f>
        <v>6</v>
      </c>
      <c r="K10" s="54">
        <f>'Зведена D5'!K19</f>
        <v>8</v>
      </c>
      <c r="L10" s="54">
        <f>'Зведена D5'!L19</f>
        <v>8</v>
      </c>
      <c r="M10" s="54">
        <f>'Зведена D5'!M19</f>
        <v>10</v>
      </c>
      <c r="N10" s="54">
        <f>'Зведена D5'!N19</f>
        <v>4</v>
      </c>
      <c r="O10" s="54">
        <f>'Зведена D5'!O19</f>
        <v>11</v>
      </c>
      <c r="P10" s="54">
        <f>'Зведена D5'!P19</f>
        <v>7</v>
      </c>
      <c r="Q10" s="54">
        <f>'Зведена D5'!Q19</f>
        <v>8</v>
      </c>
      <c r="R10" s="54">
        <f>'Зведена D5'!R19</f>
        <v>10</v>
      </c>
      <c r="S10" s="54">
        <f>'Зведена D5'!S19</f>
        <v>8</v>
      </c>
      <c r="T10" s="55">
        <f>IF(COUNTIF($F10:S10,"=*")&gt;0,IF($C10="К","-"," - "),IF(COUNTIF($F10:S10,"&lt;4")&gt;0,IF(C10="К","-"," - "),(IFERROR(AVERAGE($F10:S10),"Очікую"))))</f>
        <v>7.7857142857142856</v>
      </c>
      <c r="U10" s="55">
        <f>IFERROR(T10/12*90,"Очікую")</f>
        <v>58.392857142857146</v>
      </c>
      <c r="V10" s="21"/>
      <c r="W10" s="37"/>
    </row>
    <row r="11" spans="1:23" s="10" customFormat="1" ht="15" customHeight="1" x14ac:dyDescent="0.25">
      <c r="A11" s="38"/>
      <c r="B11" s="11"/>
      <c r="C11" s="52" t="str">
        <f>'Зведена D5'!C20</f>
        <v>Б</v>
      </c>
      <c r="D11" s="52">
        <v>2</v>
      </c>
      <c r="E11" s="53" t="str">
        <f>'Зведена D5'!E20</f>
        <v>Присяжнюк Аміна Михайлівна</v>
      </c>
      <c r="F11" s="54">
        <f>'Зведена D5'!F20</f>
        <v>11</v>
      </c>
      <c r="G11" s="54">
        <f>'Зведена D5'!G20</f>
        <v>4</v>
      </c>
      <c r="H11" s="54">
        <f>'Зведена D5'!H20</f>
        <v>10</v>
      </c>
      <c r="I11" s="54">
        <f>'Зведена D5'!I20</f>
        <v>5</v>
      </c>
      <c r="J11" s="54">
        <f>'Зведена D5'!J20</f>
        <v>8</v>
      </c>
      <c r="K11" s="54">
        <f>'Зведена D5'!K20</f>
        <v>11</v>
      </c>
      <c r="L11" s="54">
        <f>'Зведена D5'!L20</f>
        <v>9</v>
      </c>
      <c r="M11" s="54">
        <f>'Зведена D5'!M20</f>
        <v>5</v>
      </c>
      <c r="N11" s="54">
        <f>'Зведена D5'!N20</f>
        <v>8</v>
      </c>
      <c r="O11" s="54">
        <f>'Зведена D5'!O20</f>
        <v>4</v>
      </c>
      <c r="P11" s="54">
        <f>'Зведена D5'!P20</f>
        <v>7</v>
      </c>
      <c r="Q11" s="54">
        <f>'Зведена D5'!Q20</f>
        <v>11</v>
      </c>
      <c r="R11" s="54">
        <f>'Зведена D5'!R20</f>
        <v>8</v>
      </c>
      <c r="S11" s="54">
        <f>'Зведена D5'!S20</f>
        <v>5</v>
      </c>
      <c r="T11" s="55">
        <f>IF(COUNTIF($F11:S11,"=*")&gt;0,IF($C11="К","-"," - "),IF(COUNTIF($F11:S11,"&lt;4")&gt;0,IF(C11="К","-"," - "),(IFERROR(AVERAGE($F11:S11),"Очікую"))))</f>
        <v>7.5714285714285712</v>
      </c>
      <c r="U11" s="55">
        <f>IFERROR(T11/12*90,"Очікую")</f>
        <v>56.785714285714285</v>
      </c>
      <c r="V11" s="21"/>
      <c r="W11" s="37"/>
    </row>
    <row r="12" spans="1:23" s="10" customFormat="1" ht="15" customHeight="1" x14ac:dyDescent="0.25">
      <c r="A12" s="38"/>
      <c r="B12" s="11"/>
      <c r="C12" s="52" t="str">
        <f>'Зведена D5'!C23</f>
        <v>Б</v>
      </c>
      <c r="D12" s="52">
        <v>3</v>
      </c>
      <c r="E12" s="53" t="str">
        <f>'Зведена D5'!E23</f>
        <v>Самойлова Яна Вячеславівна</v>
      </c>
      <c r="F12" s="54">
        <f>'Зведена D5'!F23</f>
        <v>8</v>
      </c>
      <c r="G12" s="54">
        <f>'Зведена D5'!G23</f>
        <v>4</v>
      </c>
      <c r="H12" s="54">
        <f>'Зведена D5'!H23</f>
        <v>9</v>
      </c>
      <c r="I12" s="54">
        <f>'Зведена D5'!I23</f>
        <v>7</v>
      </c>
      <c r="J12" s="54">
        <f>'Зведена D5'!J23</f>
        <v>5</v>
      </c>
      <c r="K12" s="54">
        <f>'Зведена D5'!K23</f>
        <v>8</v>
      </c>
      <c r="L12" s="54">
        <f>'Зведена D5'!L23</f>
        <v>5</v>
      </c>
      <c r="M12" s="54">
        <f>'Зведена D5'!M23</f>
        <v>9</v>
      </c>
      <c r="N12" s="54">
        <f>'Зведена D5'!N23</f>
        <v>4</v>
      </c>
      <c r="O12" s="54">
        <f>'Зведена D5'!O23</f>
        <v>8</v>
      </c>
      <c r="P12" s="54">
        <f>'Зведена D5'!P23</f>
        <v>8</v>
      </c>
      <c r="Q12" s="54">
        <f>'Зведена D5'!Q23</f>
        <v>6</v>
      </c>
      <c r="R12" s="54">
        <f>'Зведена D5'!R23</f>
        <v>9</v>
      </c>
      <c r="S12" s="54">
        <f>'Зведена D5'!S23</f>
        <v>9</v>
      </c>
      <c r="T12" s="55">
        <f>IF(COUNTIF($F12:S12,"=*")&gt;0,IF($C12="К","-"," - "),IF(COUNTIF($F12:S12,"&lt;4")&gt;0,IF(C12="К","-"," - "),(IFERROR(AVERAGE($F12:S12),"Очікую"))))</f>
        <v>7.0714285714285712</v>
      </c>
      <c r="U12" s="55">
        <f>IFERROR(T12/12*90,"Очікую")</f>
        <v>53.035714285714285</v>
      </c>
      <c r="V12" s="21"/>
      <c r="W12" s="37"/>
    </row>
    <row r="13" spans="1:23" s="10" customFormat="1" ht="15" customHeight="1" x14ac:dyDescent="0.25">
      <c r="A13" s="38"/>
      <c r="B13" s="11"/>
      <c r="C13" s="5"/>
      <c r="D13" s="5"/>
      <c r="E13" s="6" t="s">
        <v>51</v>
      </c>
      <c r="F13" s="51">
        <f>'Зведена D5'!F33</f>
        <v>10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47"/>
      <c r="R13" s="47"/>
      <c r="S13" s="47"/>
      <c r="T13" s="47"/>
      <c r="U13" s="47"/>
      <c r="V13" s="19"/>
      <c r="W13" s="37"/>
    </row>
    <row r="14" spans="1:23" s="10" customFormat="1" ht="15" customHeight="1" x14ac:dyDescent="0.3">
      <c r="A14" s="38"/>
      <c r="B14" s="11"/>
      <c r="C14" s="5"/>
      <c r="D14" s="5"/>
      <c r="E14" s="6" t="s">
        <v>52</v>
      </c>
      <c r="F14" s="51">
        <f>'Зведена D5'!F34</f>
        <v>8</v>
      </c>
      <c r="G14" s="5"/>
      <c r="H14" s="49" t="s">
        <v>53</v>
      </c>
      <c r="I14" s="49"/>
      <c r="J14" s="49"/>
      <c r="K14" s="49"/>
      <c r="L14" s="5"/>
      <c r="M14" s="5"/>
      <c r="N14" s="5"/>
      <c r="O14" s="50"/>
      <c r="P14" s="48" t="str">
        <f>'Зведена D5'!P34</f>
        <v>Ірина ДОПІРА</v>
      </c>
      <c r="Q14" s="48"/>
      <c r="R14" s="48"/>
      <c r="S14" s="48"/>
      <c r="T14" s="48"/>
      <c r="U14" s="48"/>
      <c r="V14" s="19"/>
      <c r="W14" s="37"/>
    </row>
    <row r="15" spans="1:23" s="10" customFormat="1" ht="15" customHeight="1" x14ac:dyDescent="0.25">
      <c r="A15" s="38"/>
      <c r="B15" s="11"/>
      <c r="C15" s="5"/>
      <c r="D15" s="5"/>
      <c r="E15" s="6" t="s">
        <v>55</v>
      </c>
      <c r="F15" s="51">
        <f>'Зведена D5'!F35</f>
        <v>0</v>
      </c>
      <c r="G15" s="5"/>
      <c r="H15" s="49"/>
      <c r="I15" s="49"/>
      <c r="J15" s="49"/>
      <c r="K15" s="49"/>
      <c r="L15" s="5"/>
      <c r="M15" s="5"/>
      <c r="N15" s="5"/>
      <c r="O15" s="50"/>
      <c r="P15" s="47"/>
      <c r="Q15" s="47"/>
      <c r="R15" s="47"/>
      <c r="S15" s="47"/>
      <c r="T15" s="47"/>
      <c r="U15" s="47"/>
      <c r="V15" s="19"/>
      <c r="W15" s="37"/>
    </row>
    <row r="16" spans="1:23" s="10" customFormat="1" ht="15" customHeight="1" x14ac:dyDescent="0.3">
      <c r="A16" s="38"/>
      <c r="B16" s="11"/>
      <c r="C16" s="5"/>
      <c r="D16" s="5"/>
      <c r="E16" s="6" t="s">
        <v>56</v>
      </c>
      <c r="F16" s="51">
        <f>'Зведена D5'!F36</f>
        <v>3</v>
      </c>
      <c r="G16" s="5"/>
      <c r="H16" s="50" t="s">
        <v>57</v>
      </c>
      <c r="I16" s="50"/>
      <c r="J16" s="50"/>
      <c r="K16" s="50"/>
      <c r="L16" s="5"/>
      <c r="M16" s="5"/>
      <c r="N16" s="5"/>
      <c r="O16" s="50"/>
      <c r="P16" s="48" t="s">
        <v>58</v>
      </c>
      <c r="Q16" s="48"/>
      <c r="R16" s="48"/>
      <c r="S16" s="48"/>
      <c r="T16" s="48"/>
      <c r="U16" s="48"/>
      <c r="V16" s="19"/>
      <c r="W16" s="37"/>
    </row>
    <row r="17" spans="1:23" s="10" customFormat="1" ht="15" customHeight="1" x14ac:dyDescent="0.25">
      <c r="A17" s="38"/>
      <c r="B17" s="20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37"/>
    </row>
    <row r="18" spans="1:23" s="10" customFormat="1" ht="15" customHeigh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7"/>
    </row>
    <row r="19" spans="1:23" s="10" customFormat="1" ht="15" hidden="1" customHeight="1" x14ac:dyDescent="0.25"/>
    <row r="20" spans="1:23" s="10" customFormat="1" ht="15" hidden="1" customHeight="1" x14ac:dyDescent="0.25"/>
    <row r="21" spans="1:23" s="10" customFormat="1" ht="15" hidden="1" customHeight="1" x14ac:dyDescent="0.25"/>
    <row r="22" spans="1:23" s="10" customFormat="1" ht="15" hidden="1" customHeight="1" x14ac:dyDescent="0.25"/>
    <row r="23" spans="1:23" s="10" customFormat="1" ht="15" hidden="1" customHeight="1" x14ac:dyDescent="0.25"/>
    <row r="24" spans="1:23" s="10" customFormat="1" ht="15" hidden="1" customHeight="1" x14ac:dyDescent="0.25"/>
    <row r="25" spans="1:23" s="10" customFormat="1" ht="15" hidden="1" customHeight="1" x14ac:dyDescent="0.25"/>
    <row r="26" spans="1:23" s="10" customFormat="1" ht="15" hidden="1" customHeight="1" x14ac:dyDescent="0.25"/>
    <row r="27" spans="1:23" s="10" customFormat="1" ht="15" hidden="1" customHeight="1" x14ac:dyDescent="0.25"/>
    <row r="28" spans="1:23" s="10" customFormat="1" ht="15" hidden="1" customHeight="1" x14ac:dyDescent="0.25"/>
    <row r="29" spans="1:23" s="10" customFormat="1" ht="15" hidden="1" customHeight="1" x14ac:dyDescent="0.25"/>
    <row r="30" spans="1:23" s="10" customFormat="1" ht="15" hidden="1" customHeight="1" x14ac:dyDescent="0.25"/>
    <row r="31" spans="1:23" s="10" customFormat="1" ht="15" hidden="1" customHeight="1" x14ac:dyDescent="0.25"/>
    <row r="32" spans="1:23" s="10" customFormat="1" ht="15" hidden="1" customHeight="1" x14ac:dyDescent="0.25"/>
    <row r="33" s="10" customFormat="1" ht="15" hidden="1" customHeight="1" x14ac:dyDescent="0.25"/>
    <row r="34" s="10" customFormat="1" ht="15" hidden="1" customHeight="1" x14ac:dyDescent="0.25"/>
    <row r="35" s="10" customFormat="1" ht="15" hidden="1" customHeight="1" x14ac:dyDescent="0.25"/>
    <row r="36" s="10" customFormat="1" ht="15" hidden="1" customHeight="1" x14ac:dyDescent="0.25"/>
    <row r="37" s="10" customFormat="1" ht="15" hidden="1" customHeight="1" x14ac:dyDescent="0.25"/>
    <row r="38" s="10" customFormat="1" ht="15" hidden="1" customHeight="1" x14ac:dyDescent="0.25"/>
    <row r="39" s="10" customFormat="1" ht="15" hidden="1" customHeight="1" x14ac:dyDescent="0.25"/>
    <row r="40" s="10" customFormat="1" ht="15" hidden="1" customHeight="1" x14ac:dyDescent="0.25"/>
    <row r="41" s="10" customFormat="1" ht="15" hidden="1" customHeight="1" x14ac:dyDescent="0.25"/>
    <row r="42" s="10" customFormat="1" ht="15" hidden="1" customHeight="1" x14ac:dyDescent="0.25"/>
    <row r="43" s="10" customFormat="1" ht="15" hidden="1" customHeight="1" x14ac:dyDescent="0.25"/>
    <row r="44" s="10" customFormat="1" ht="15" hidden="1" customHeight="1" x14ac:dyDescent="0.25"/>
    <row r="45" s="10" customFormat="1" ht="15" hidden="1" customHeight="1" x14ac:dyDescent="0.25"/>
    <row r="46" s="10" customFormat="1" ht="15" hidden="1" customHeight="1" x14ac:dyDescent="0.25"/>
    <row r="47" s="10" customFormat="1" ht="15" hidden="1" customHeight="1" x14ac:dyDescent="0.25"/>
    <row r="48" s="10" customFormat="1" ht="15" hidden="1" customHeight="1" x14ac:dyDescent="0.25"/>
    <row r="49" s="10" customFormat="1" ht="15" hidden="1" customHeight="1" x14ac:dyDescent="0.25"/>
    <row r="50" s="10" customFormat="1" ht="15" hidden="1" customHeight="1" x14ac:dyDescent="0.25"/>
    <row r="51" s="10" customFormat="1" ht="15" hidden="1" customHeight="1" x14ac:dyDescent="0.25"/>
    <row r="52" s="10" customFormat="1" ht="15" hidden="1" customHeight="1" x14ac:dyDescent="0.25"/>
    <row r="53" s="10" customFormat="1" ht="15" hidden="1" customHeight="1" x14ac:dyDescent="0.25"/>
    <row r="54" s="10" customFormat="1" ht="15" hidden="1" customHeight="1" x14ac:dyDescent="0.25"/>
    <row r="55" s="10" customFormat="1" ht="15" hidden="1" customHeight="1" x14ac:dyDescent="0.25"/>
    <row r="56" s="10" customFormat="1" ht="15" hidden="1" customHeight="1" x14ac:dyDescent="0.25"/>
    <row r="57" s="10" customFormat="1" ht="15" hidden="1" customHeight="1" x14ac:dyDescent="0.25"/>
    <row r="58" s="10" customFormat="1" ht="15" hidden="1" customHeight="1" x14ac:dyDescent="0.25"/>
    <row r="59" s="10" customFormat="1" ht="15" hidden="1" customHeight="1" x14ac:dyDescent="0.25"/>
    <row r="60" s="10" customFormat="1" ht="15" hidden="1" customHeight="1" x14ac:dyDescent="0.25"/>
    <row r="61" s="10" customFormat="1" ht="15" hidden="1" customHeight="1" x14ac:dyDescent="0.25"/>
    <row r="62" s="10" customFormat="1" ht="15" hidden="1" customHeight="1" x14ac:dyDescent="0.25"/>
    <row r="63" s="10" customFormat="1" ht="15" hidden="1" customHeight="1" x14ac:dyDescent="0.25"/>
    <row r="64" s="10" customFormat="1" ht="15" hidden="1" customHeight="1" x14ac:dyDescent="0.25"/>
    <row r="65" s="10" customFormat="1" ht="15" hidden="1" customHeight="1" x14ac:dyDescent="0.25"/>
    <row r="66" s="10" customFormat="1" ht="15" hidden="1" customHeight="1" x14ac:dyDescent="0.25"/>
    <row r="67" s="10" customFormat="1" ht="15" hidden="1" customHeight="1" x14ac:dyDescent="0.25"/>
    <row r="68" s="10" customFormat="1" ht="15" hidden="1" customHeight="1" x14ac:dyDescent="0.25"/>
    <row r="69" s="10" customFormat="1" ht="15" hidden="1" customHeight="1" x14ac:dyDescent="0.25"/>
    <row r="70" s="10" customFormat="1" ht="15" hidden="1" customHeight="1" x14ac:dyDescent="0.25"/>
    <row r="71" s="10" customFormat="1" ht="15" hidden="1" customHeight="1" x14ac:dyDescent="0.25"/>
    <row r="72" s="10" customFormat="1" ht="15" hidden="1" customHeight="1" x14ac:dyDescent="0.25"/>
    <row r="73" s="10" customFormat="1" ht="15" hidden="1" customHeight="1" x14ac:dyDescent="0.25"/>
    <row r="74" s="10" customFormat="1" ht="15" hidden="1" customHeight="1" x14ac:dyDescent="0.25"/>
    <row r="75" s="10" customFormat="1" ht="15" hidden="1" customHeight="1" x14ac:dyDescent="0.25"/>
    <row r="76" s="10" customFormat="1" ht="15" hidden="1" customHeight="1" x14ac:dyDescent="0.25"/>
    <row r="77" s="10" customFormat="1" ht="15" hidden="1" customHeight="1" x14ac:dyDescent="0.25"/>
    <row r="78" s="10" customFormat="1" ht="15" hidden="1" customHeight="1" x14ac:dyDescent="0.25"/>
    <row r="79" s="10" customFormat="1" ht="15" hidden="1" customHeight="1" x14ac:dyDescent="0.25"/>
    <row r="80" s="10" customFormat="1" ht="15" hidden="1" customHeight="1" x14ac:dyDescent="0.25"/>
    <row r="81" s="10" customFormat="1" ht="15" hidden="1" customHeight="1" x14ac:dyDescent="0.25"/>
    <row r="82" s="10" customFormat="1" ht="15" hidden="1" customHeight="1" x14ac:dyDescent="0.25"/>
    <row r="83" s="10" customFormat="1" ht="15" hidden="1" customHeight="1" x14ac:dyDescent="0.25"/>
    <row r="84" s="10" customFormat="1" ht="15" hidden="1" customHeight="1" x14ac:dyDescent="0.25"/>
    <row r="85" s="10" customFormat="1" ht="15" hidden="1" customHeight="1" x14ac:dyDescent="0.25"/>
    <row r="86" s="10" customFormat="1" ht="15" hidden="1" customHeight="1" x14ac:dyDescent="0.25"/>
    <row r="87" s="10" customFormat="1" ht="15" hidden="1" customHeight="1" x14ac:dyDescent="0.25"/>
    <row r="88" s="10" customFormat="1" ht="15" hidden="1" customHeight="1" x14ac:dyDescent="0.25"/>
    <row r="89" s="10" customFormat="1" ht="15" hidden="1" customHeight="1" x14ac:dyDescent="0.25"/>
    <row r="90" s="10" customFormat="1" ht="15" hidden="1" customHeight="1" x14ac:dyDescent="0.25"/>
    <row r="91" s="10" customFormat="1" ht="15" hidden="1" customHeight="1" x14ac:dyDescent="0.25"/>
    <row r="92" s="10" customFormat="1" ht="15" hidden="1" customHeight="1" x14ac:dyDescent="0.25"/>
    <row r="93" s="10" customFormat="1" ht="15" hidden="1" customHeight="1" x14ac:dyDescent="0.25"/>
    <row r="94" s="10" customFormat="1" ht="15" hidden="1" customHeight="1" x14ac:dyDescent="0.25"/>
    <row r="95" s="10" customFormat="1" ht="15" hidden="1" customHeight="1" x14ac:dyDescent="0.25"/>
    <row r="96" s="10" customFormat="1" ht="15" hidden="1" customHeight="1" x14ac:dyDescent="0.25"/>
    <row r="97" s="10" customFormat="1" ht="15" hidden="1" customHeight="1" x14ac:dyDescent="0.25"/>
    <row r="98" s="10" customFormat="1" ht="15" hidden="1" customHeight="1" x14ac:dyDescent="0.25"/>
    <row r="99" s="10" customFormat="1" ht="15" hidden="1" customHeight="1" x14ac:dyDescent="0.25"/>
    <row r="100" s="10" customFormat="1" ht="15" hidden="1" customHeight="1" x14ac:dyDescent="0.25"/>
    <row r="101" s="10" customFormat="1" ht="15" hidden="1" customHeight="1" x14ac:dyDescent="0.25"/>
    <row r="102" s="10" customFormat="1" ht="15" hidden="1" customHeight="1" x14ac:dyDescent="0.25"/>
    <row r="103" s="10" customFormat="1" ht="15" hidden="1" customHeight="1" x14ac:dyDescent="0.25"/>
    <row r="104" s="10" customFormat="1" ht="15" hidden="1" customHeight="1" x14ac:dyDescent="0.25"/>
    <row r="105" s="10" customFormat="1" ht="15" hidden="1" customHeight="1" x14ac:dyDescent="0.25"/>
    <row r="106" s="10" customFormat="1" ht="15" hidden="1" customHeight="1" x14ac:dyDescent="0.25"/>
    <row r="107" s="10" customFormat="1" ht="15" hidden="1" customHeight="1" x14ac:dyDescent="0.25"/>
    <row r="108" s="10" customFormat="1" ht="15" hidden="1" customHeight="1" x14ac:dyDescent="0.25"/>
    <row r="109" s="10" customFormat="1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2" hidden="1" customHeight="1" thickBot="1" x14ac:dyDescent="0.3"/>
    <row r="115" ht="12" hidden="1" customHeight="1" x14ac:dyDescent="0.25"/>
  </sheetData>
  <mergeCells count="11">
    <mergeCell ref="C4:U4"/>
    <mergeCell ref="C3:U3"/>
    <mergeCell ref="T8:T9"/>
    <mergeCell ref="C6:U6"/>
    <mergeCell ref="F8:S8"/>
    <mergeCell ref="E8:E9"/>
    <mergeCell ref="C8:C9"/>
    <mergeCell ref="C5:U5"/>
    <mergeCell ref="U8:U9"/>
    <mergeCell ref="D8:D9"/>
    <mergeCell ref="C7:U7"/>
  </mergeCells>
  <printOptions horizontalCentered="1"/>
  <pageMargins left="0.19685039370078741" right="0.19685039370078741" top="0.19685039370078741" bottom="0.19685039370078741" header="0" footer="0"/>
  <pageSetup paperSize="9" scale="3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6B0A"/>
    <pageSetUpPr fitToPage="1"/>
  </sheetPr>
  <dimension ref="A1:BO120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customWidth="1"/>
    <col min="22" max="23" width="2.7109375" customWidth="1"/>
    <col min="24" max="25" width="13" hidden="1" customWidth="1"/>
    <col min="26" max="26" width="11.28515625" style="1" hidden="1" customWidth="1"/>
    <col min="27" max="27" width="13" hidden="1" customWidth="1"/>
    <col min="28" max="28" width="2.7109375" style="1" hidden="1" customWidth="1"/>
    <col min="29" max="29" width="13" hidden="1" customWidth="1"/>
    <col min="30" max="35" width="14.42578125" style="1" hidden="1" customWidth="1"/>
    <col min="36" max="36" width="14.85546875" style="1" hidden="1" customWidth="1"/>
    <col min="37" max="50" width="3.7109375" style="1" hidden="1" customWidth="1"/>
    <col min="51" max="67" width="5.7109375" style="1" hidden="1" customWidth="1"/>
    <col min="68" max="68" width="14.42578125" style="1" hidden="1" customWidth="1"/>
    <col min="69" max="16384" width="14.42578125" style="1" hidden="1"/>
  </cols>
  <sheetData>
    <row r="1" spans="1:23" ht="12" customHeight="1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12" customHeight="1" x14ac:dyDescent="0.25">
      <c r="A2" s="38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8"/>
      <c r="W2" s="37"/>
    </row>
    <row r="3" spans="1:23" s="2" customFormat="1" ht="54.95" customHeight="1" x14ac:dyDescent="0.3">
      <c r="A3" s="38"/>
      <c r="B3" s="29"/>
      <c r="C3" s="74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30"/>
      <c r="W3" s="37"/>
    </row>
    <row r="4" spans="1:23" s="3" customFormat="1" ht="15" customHeight="1" x14ac:dyDescent="0.25">
      <c r="A4" s="38"/>
      <c r="B4" s="29"/>
      <c r="C4" s="71" t="s">
        <v>98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30"/>
      <c r="W4" s="37"/>
    </row>
    <row r="5" spans="1:23" s="2" customFormat="1" ht="15" customHeight="1" x14ac:dyDescent="0.25">
      <c r="A5" s="38"/>
      <c r="B5" s="29"/>
      <c r="C5" s="72" t="str">
        <f>'Зведена D7'!C5</f>
        <v>Успішності студентів спеціальності D7 «Торгівля»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30"/>
      <c r="W5" s="37"/>
    </row>
    <row r="6" spans="1:23" s="2" customFormat="1" ht="15" customHeight="1" x14ac:dyDescent="0.25">
      <c r="A6" s="38"/>
      <c r="B6" s="29"/>
      <c r="C6" s="72" t="str">
        <f>'Зведена D7'!C6</f>
        <v>За І семестр 2025-2026 н.р.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30"/>
      <c r="W6" s="37"/>
    </row>
    <row r="7" spans="1:23" s="2" customFormat="1" ht="15" customHeight="1" x14ac:dyDescent="0.25">
      <c r="A7" s="38"/>
      <c r="B7" s="29"/>
      <c r="C7" s="73" t="str">
        <f>'Зведена D7'!C7</f>
        <v>Група 26-1 курс І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30"/>
      <c r="W7" s="37"/>
    </row>
    <row r="8" spans="1:23" ht="15" customHeight="1" x14ac:dyDescent="0.25">
      <c r="A8" s="38"/>
      <c r="B8" s="29"/>
      <c r="C8" s="66" t="s">
        <v>6</v>
      </c>
      <c r="D8" s="68" t="s">
        <v>7</v>
      </c>
      <c r="E8" s="68" t="s">
        <v>8</v>
      </c>
      <c r="F8" s="59" t="s">
        <v>9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1"/>
      <c r="T8" s="69" t="s">
        <v>10</v>
      </c>
      <c r="U8" s="69" t="s">
        <v>99</v>
      </c>
      <c r="V8" s="30"/>
      <c r="W8" s="37"/>
    </row>
    <row r="9" spans="1:23" ht="125.1" customHeight="1" x14ac:dyDescent="0.25">
      <c r="A9" s="38"/>
      <c r="B9" s="29"/>
      <c r="C9" s="67"/>
      <c r="D9" s="67"/>
      <c r="E9" s="67"/>
      <c r="F9" s="45" t="str">
        <f>'Зведена D7'!F9</f>
        <v>Біологія
Богданенко О.В.</v>
      </c>
      <c r="G9" s="45" t="str">
        <f>'Зведена D7'!G9</f>
        <v>Всесвітня історія
Мельничук С.А.</v>
      </c>
      <c r="H9" s="45" t="str">
        <f>'Зведена D7'!H9</f>
        <v>Географія
Наговська Т.С.</v>
      </c>
      <c r="I9" s="45" t="str">
        <f>'Зведена D7'!I9</f>
        <v>Зарубіжна література
Сербулова Ю.А.</v>
      </c>
      <c r="J9" s="45" t="str">
        <f>'Зведена D7'!J9</f>
        <v>Захист України
Лазар В.І.</v>
      </c>
      <c r="K9" s="45" t="str">
        <f>'Зведена D7'!K9</f>
        <v>Іноземна мова
Сербулова Ю.А.</v>
      </c>
      <c r="L9" s="45" t="str">
        <f>'Зведена D7'!L9</f>
        <v>Інформатика
Бєльдюгіна С.С.</v>
      </c>
      <c r="M9" s="45" t="str">
        <f>'Зведена D7'!M9</f>
        <v>Історія України
Левчук Т.Г.</v>
      </c>
      <c r="N9" s="45" t="str">
        <f>'Зведена D7'!N9</f>
        <v>Математика
Бондаренко О.С.</v>
      </c>
      <c r="O9" s="45" t="str">
        <f>'Зведена D7'!O9</f>
        <v>Українська література
Антропова Л.І.</v>
      </c>
      <c r="P9" s="45" t="str">
        <f>'Зведена D7'!P9</f>
        <v>Українська мова
Антропова Л.І.</v>
      </c>
      <c r="Q9" s="45" t="str">
        <f>'Зведена D7'!Q9</f>
        <v>Фізика
Калюта Н.М.</v>
      </c>
      <c r="R9" s="45" t="str">
        <f>'Зведена D7'!R9</f>
        <v>Фізична культура
Возіян О.Г.</v>
      </c>
      <c r="S9" s="45" t="str">
        <f>'Зведена D7'!S9</f>
        <v>Хімія
Сахно Н.О.</v>
      </c>
      <c r="T9" s="67"/>
      <c r="U9" s="67"/>
      <c r="V9" s="30"/>
      <c r="W9" s="37"/>
    </row>
    <row r="10" spans="1:23" s="10" customFormat="1" ht="15" customHeight="1" x14ac:dyDescent="0.25">
      <c r="A10" s="38"/>
      <c r="B10" s="29"/>
      <c r="C10" s="52" t="str">
        <f>'Зведена D7'!C33</f>
        <v>Б</v>
      </c>
      <c r="D10" s="52">
        <v>1</v>
      </c>
      <c r="E10" s="53" t="str">
        <f>'Зведена D7'!E33</f>
        <v>Сидоренко Ілля Артемович</v>
      </c>
      <c r="F10" s="52">
        <f>'Зведена D7'!F33</f>
        <v>8</v>
      </c>
      <c r="G10" s="52">
        <f>'Зведена D7'!G33</f>
        <v>9</v>
      </c>
      <c r="H10" s="52">
        <f>'Зведена D7'!H33</f>
        <v>9</v>
      </c>
      <c r="I10" s="52">
        <f>'Зведена D7'!I33</f>
        <v>8</v>
      </c>
      <c r="J10" s="52">
        <f>'Зведена D7'!J33</f>
        <v>10</v>
      </c>
      <c r="K10" s="52">
        <f>'Зведена D7'!K33</f>
        <v>5</v>
      </c>
      <c r="L10" s="52">
        <f>'Зведена D7'!L33</f>
        <v>10</v>
      </c>
      <c r="M10" s="52">
        <f>'Зведена D7'!M33</f>
        <v>8</v>
      </c>
      <c r="N10" s="52">
        <f>'Зведена D7'!N33</f>
        <v>10</v>
      </c>
      <c r="O10" s="52">
        <f>'Зведена D7'!O33</f>
        <v>10</v>
      </c>
      <c r="P10" s="52">
        <f>'Зведена D7'!P33</f>
        <v>8</v>
      </c>
      <c r="Q10" s="52">
        <f>'Зведена D7'!Q33</f>
        <v>8</v>
      </c>
      <c r="R10" s="52">
        <f>'Зведена D7'!R33</f>
        <v>10</v>
      </c>
      <c r="S10" s="52">
        <f>'Зведена D7'!S33</f>
        <v>10</v>
      </c>
      <c r="T10" s="56">
        <f>IF(COUNTIF($F10:S10,"=*")&gt;0,IF($C10="К","-"," - "),IF(COUNTIF($F10:S10,"&lt;4")&gt;0,IF(C10="К","-"," - "),(IFERROR(AVERAGE($F10:S10),"Очікую"))))</f>
        <v>8.7857142857142865</v>
      </c>
      <c r="U10" s="56">
        <f t="shared" ref="U10:U21" si="0">IFERROR(T10/12*90,"Очікую")</f>
        <v>65.892857142857153</v>
      </c>
      <c r="V10" s="31"/>
      <c r="W10" s="37"/>
    </row>
    <row r="11" spans="1:23" s="10" customFormat="1" ht="15" customHeight="1" x14ac:dyDescent="0.25">
      <c r="A11" s="38"/>
      <c r="B11" s="29"/>
      <c r="C11" s="52" t="str">
        <f>'Зведена D7'!C17</f>
        <v>Б</v>
      </c>
      <c r="D11" s="52">
        <v>2</v>
      </c>
      <c r="E11" s="53" t="str">
        <f>'Зведена D7'!E17</f>
        <v>Зінченко Богдан Романович</v>
      </c>
      <c r="F11" s="52">
        <f>'Зведена D7'!F17</f>
        <v>9</v>
      </c>
      <c r="G11" s="52">
        <f>'Зведена D7'!G17</f>
        <v>9</v>
      </c>
      <c r="H11" s="52">
        <f>'Зведена D7'!H17</f>
        <v>8</v>
      </c>
      <c r="I11" s="52">
        <f>'Зведена D7'!I17</f>
        <v>6</v>
      </c>
      <c r="J11" s="52">
        <f>'Зведена D7'!J17</f>
        <v>10</v>
      </c>
      <c r="K11" s="52">
        <f>'Зведена D7'!K17</f>
        <v>11</v>
      </c>
      <c r="L11" s="52">
        <f>'Зведена D7'!L17</f>
        <v>6</v>
      </c>
      <c r="M11" s="52">
        <f>'Зведена D7'!M17</f>
        <v>11</v>
      </c>
      <c r="N11" s="52">
        <f>'Зведена D7'!N17</f>
        <v>7</v>
      </c>
      <c r="O11" s="52">
        <f>'Зведена D7'!O17</f>
        <v>7</v>
      </c>
      <c r="P11" s="52">
        <f>'Зведена D7'!P17</f>
        <v>10</v>
      </c>
      <c r="Q11" s="52">
        <f>'Зведена D7'!Q17</f>
        <v>6</v>
      </c>
      <c r="R11" s="52">
        <f>'Зведена D7'!R17</f>
        <v>7</v>
      </c>
      <c r="S11" s="52">
        <f>'Зведена D7'!S17</f>
        <v>8</v>
      </c>
      <c r="T11" s="56">
        <f>IF(COUNTIF($F11:S11,"=*")&gt;0,IF($C11="К","-"," - "),IF(COUNTIF($F11:S11,"&lt;4")&gt;0,IF(C11="К","-"," - "),(IFERROR(AVERAGE($F11:S11),"Очікую"))))</f>
        <v>8.2142857142857135</v>
      </c>
      <c r="U11" s="56">
        <f t="shared" si="0"/>
        <v>61.607142857142847</v>
      </c>
      <c r="V11" s="31"/>
      <c r="W11" s="37"/>
    </row>
    <row r="12" spans="1:23" s="10" customFormat="1" ht="15" customHeight="1" x14ac:dyDescent="0.25">
      <c r="A12" s="38"/>
      <c r="B12" s="29"/>
      <c r="C12" s="52" t="str">
        <f>'Зведена D7'!C27</f>
        <v>Б</v>
      </c>
      <c r="D12" s="52">
        <v>3</v>
      </c>
      <c r="E12" s="53" t="str">
        <f>'Зведена D7'!E27</f>
        <v>Остапчук Максим Олександрович</v>
      </c>
      <c r="F12" s="52">
        <f>'Зведена D7'!F27</f>
        <v>8</v>
      </c>
      <c r="G12" s="52">
        <f>'Зведена D7'!G27</f>
        <v>6</v>
      </c>
      <c r="H12" s="52">
        <f>'Зведена D7'!H27</f>
        <v>9</v>
      </c>
      <c r="I12" s="52">
        <f>'Зведена D7'!I27</f>
        <v>11</v>
      </c>
      <c r="J12" s="52">
        <f>'Зведена D7'!J27</f>
        <v>4</v>
      </c>
      <c r="K12" s="52">
        <f>'Зведена D7'!K27</f>
        <v>4</v>
      </c>
      <c r="L12" s="52">
        <f>'Зведена D7'!L27</f>
        <v>8</v>
      </c>
      <c r="M12" s="52">
        <f>'Зведена D7'!M27</f>
        <v>11</v>
      </c>
      <c r="N12" s="52">
        <f>'Зведена D7'!N27</f>
        <v>9</v>
      </c>
      <c r="O12" s="52">
        <f>'Зведена D7'!O27</f>
        <v>10</v>
      </c>
      <c r="P12" s="52">
        <f>'Зведена D7'!P27</f>
        <v>7</v>
      </c>
      <c r="Q12" s="52">
        <f>'Зведена D7'!Q27</f>
        <v>9</v>
      </c>
      <c r="R12" s="52">
        <f>'Зведена D7'!R27</f>
        <v>10</v>
      </c>
      <c r="S12" s="52">
        <f>'Зведена D7'!S27</f>
        <v>9</v>
      </c>
      <c r="T12" s="56">
        <f>IF(COUNTIF($F12:S12,"=*")&gt;0,IF($C12="К","-"," - "),IF(COUNTIF($F12:S12,"&lt;4")&gt;0,IF(C12="К","-"," - "),(IFERROR(AVERAGE($F12:S12),"Очікую"))))</f>
        <v>8.2142857142857135</v>
      </c>
      <c r="U12" s="56">
        <f t="shared" si="0"/>
        <v>61.607142857142847</v>
      </c>
      <c r="V12" s="31"/>
      <c r="W12" s="37"/>
    </row>
    <row r="13" spans="1:23" s="10" customFormat="1" ht="15" customHeight="1" x14ac:dyDescent="0.25">
      <c r="A13" s="38"/>
      <c r="B13" s="29"/>
      <c r="C13" s="52" t="str">
        <f>'Зведена D7'!C22</f>
        <v>Б</v>
      </c>
      <c r="D13" s="52">
        <v>4</v>
      </c>
      <c r="E13" s="53" t="str">
        <f>'Зведена D7'!E22</f>
        <v>Куліш Дарина Олегівна</v>
      </c>
      <c r="F13" s="52">
        <f>'Зведена D7'!F22</f>
        <v>7</v>
      </c>
      <c r="G13" s="52">
        <f>'Зведена D7'!G22</f>
        <v>8</v>
      </c>
      <c r="H13" s="52">
        <f>'Зведена D7'!H22</f>
        <v>11</v>
      </c>
      <c r="I13" s="52">
        <f>'Зведена D7'!I22</f>
        <v>4</v>
      </c>
      <c r="J13" s="52">
        <f>'Зведена D7'!J22</f>
        <v>9</v>
      </c>
      <c r="K13" s="52">
        <f>'Зведена D7'!K22</f>
        <v>5</v>
      </c>
      <c r="L13" s="52">
        <f>'Зведена D7'!L22</f>
        <v>8</v>
      </c>
      <c r="M13" s="52">
        <f>'Зведена D7'!M22</f>
        <v>6</v>
      </c>
      <c r="N13" s="52">
        <f>'Зведена D7'!N22</f>
        <v>8</v>
      </c>
      <c r="O13" s="52">
        <f>'Зведена D7'!O22</f>
        <v>8</v>
      </c>
      <c r="P13" s="52">
        <f>'Зведена D7'!P22</f>
        <v>11</v>
      </c>
      <c r="Q13" s="52">
        <f>'Зведена D7'!Q22</f>
        <v>7</v>
      </c>
      <c r="R13" s="52">
        <f>'Зведена D7'!R22</f>
        <v>11</v>
      </c>
      <c r="S13" s="52">
        <f>'Зведена D7'!S22</f>
        <v>8</v>
      </c>
      <c r="T13" s="56">
        <f>IF(COUNTIF($F13:S13,"=*")&gt;0,IF($C13="К","-"," - "),IF(COUNTIF($F13:S13,"&lt;4")&gt;0,IF(C13="К","-"," - "),(IFERROR(AVERAGE($F13:S13),"Очікую"))))</f>
        <v>7.9285714285714288</v>
      </c>
      <c r="U13" s="56">
        <f t="shared" si="0"/>
        <v>59.464285714285715</v>
      </c>
      <c r="V13" s="31"/>
      <c r="W13" s="37"/>
    </row>
    <row r="14" spans="1:23" s="10" customFormat="1" ht="15" customHeight="1" x14ac:dyDescent="0.25">
      <c r="A14" s="38"/>
      <c r="B14" s="29"/>
      <c r="C14" s="52" t="str">
        <f>'Зведена D7'!C14</f>
        <v>Б</v>
      </c>
      <c r="D14" s="52">
        <v>5</v>
      </c>
      <c r="E14" s="53" t="str">
        <f>'Зведена D7'!E14</f>
        <v>Гаврилюк Маргарита Тимофіївна</v>
      </c>
      <c r="F14" s="52">
        <f>'Зведена D7'!F14</f>
        <v>4</v>
      </c>
      <c r="G14" s="52">
        <f>'Зведена D7'!G14</f>
        <v>8</v>
      </c>
      <c r="H14" s="52">
        <f>'Зведена D7'!H14</f>
        <v>8</v>
      </c>
      <c r="I14" s="52">
        <f>'Зведена D7'!I14</f>
        <v>10</v>
      </c>
      <c r="J14" s="52">
        <f>'Зведена D7'!J14</f>
        <v>6</v>
      </c>
      <c r="K14" s="52">
        <f>'Зведена D7'!K14</f>
        <v>8</v>
      </c>
      <c r="L14" s="52">
        <f>'Зведена D7'!L14</f>
        <v>10</v>
      </c>
      <c r="M14" s="52">
        <f>'Зведена D7'!M14</f>
        <v>8</v>
      </c>
      <c r="N14" s="52">
        <f>'Зведена D7'!N14</f>
        <v>8</v>
      </c>
      <c r="O14" s="52">
        <f>'Зведена D7'!O14</f>
        <v>8</v>
      </c>
      <c r="P14" s="52">
        <f>'Зведена D7'!P14</f>
        <v>4</v>
      </c>
      <c r="Q14" s="52">
        <f>'Зведена D7'!Q14</f>
        <v>8</v>
      </c>
      <c r="R14" s="52">
        <f>'Зведена D7'!R14</f>
        <v>10</v>
      </c>
      <c r="S14" s="52">
        <f>'Зведена D7'!S14</f>
        <v>8</v>
      </c>
      <c r="T14" s="56">
        <f>IF(COUNTIF($F14:S14,"=*")&gt;0,IF($C14="К","-"," - "),IF(COUNTIF($F14:S14,"&lt;4")&gt;0,IF(C14="К","-"," - "),(IFERROR(AVERAGE($F14:S14),"Очікую"))))</f>
        <v>7.7142857142857144</v>
      </c>
      <c r="U14" s="56">
        <f t="shared" si="0"/>
        <v>57.857142857142861</v>
      </c>
      <c r="V14" s="31"/>
      <c r="W14" s="37"/>
    </row>
    <row r="15" spans="1:23" s="10" customFormat="1" ht="15" customHeight="1" x14ac:dyDescent="0.25">
      <c r="A15" s="38"/>
      <c r="B15" s="29"/>
      <c r="C15" s="42" t="str">
        <f>'Зведена D7'!C32</f>
        <v>Б</v>
      </c>
      <c r="D15" s="42">
        <v>6</v>
      </c>
      <c r="E15" s="43" t="str">
        <f>'Зведена D7'!E32</f>
        <v>Семенюк Марина Григорівна</v>
      </c>
      <c r="F15" s="42">
        <f>'Зведена D7'!F32</f>
        <v>5</v>
      </c>
      <c r="G15" s="42">
        <f>'Зведена D7'!G32</f>
        <v>9</v>
      </c>
      <c r="H15" s="42">
        <f>'Зведена D7'!H32</f>
        <v>10</v>
      </c>
      <c r="I15" s="42">
        <f>'Зведена D7'!I32</f>
        <v>9</v>
      </c>
      <c r="J15" s="42">
        <f>'Зведена D7'!J32</f>
        <v>5</v>
      </c>
      <c r="K15" s="42">
        <f>'Зведена D7'!K32</f>
        <v>4</v>
      </c>
      <c r="L15" s="42">
        <f>'Зведена D7'!L32</f>
        <v>6</v>
      </c>
      <c r="M15" s="42">
        <f>'Зведена D7'!M32</f>
        <v>9</v>
      </c>
      <c r="N15" s="42">
        <f>'Зведена D7'!N32</f>
        <v>8</v>
      </c>
      <c r="O15" s="42">
        <f>'Зведена D7'!O32</f>
        <v>8</v>
      </c>
      <c r="P15" s="42">
        <f>'Зведена D7'!P32</f>
        <v>7</v>
      </c>
      <c r="Q15" s="42">
        <f>'Зведена D7'!Q32</f>
        <v>7</v>
      </c>
      <c r="R15" s="42">
        <f>'Зведена D7'!R32</f>
        <v>9</v>
      </c>
      <c r="S15" s="42">
        <f>'Зведена D7'!S32</f>
        <v>9</v>
      </c>
      <c r="T15" s="46">
        <f>IF(COUNTIF($F15:S15,"=*")&gt;0,IF($C15="К","-"," - "),IF(COUNTIF($F15:S15,"&lt;4")&gt;0,IF(C15="К","-"," - "),(IFERROR(AVERAGE($F15:S15),"Очікую"))))</f>
        <v>7.5</v>
      </c>
      <c r="U15" s="46">
        <f t="shared" si="0"/>
        <v>56.25</v>
      </c>
      <c r="V15" s="31"/>
      <c r="W15" s="37"/>
    </row>
    <row r="16" spans="1:23" s="10" customFormat="1" ht="15" customHeight="1" x14ac:dyDescent="0.25">
      <c r="A16" s="38"/>
      <c r="B16" s="29"/>
      <c r="C16" s="42" t="str">
        <f>'Зведена D7'!C20</f>
        <v>Б</v>
      </c>
      <c r="D16" s="42">
        <v>7</v>
      </c>
      <c r="E16" s="43" t="str">
        <f>'Зведена D7'!E20</f>
        <v>Козаченко Роман Анатолійович</v>
      </c>
      <c r="F16" s="42">
        <f>'Зведена D7'!F20</f>
        <v>9</v>
      </c>
      <c r="G16" s="42">
        <f>'Зведена D7'!G20</f>
        <v>9</v>
      </c>
      <c r="H16" s="42">
        <f>'Зведена D7'!H20</f>
        <v>6</v>
      </c>
      <c r="I16" s="42">
        <f>'Зведена D7'!I20</f>
        <v>5</v>
      </c>
      <c r="J16" s="42">
        <f>'Зведена D7'!J20</f>
        <v>10</v>
      </c>
      <c r="K16" s="42">
        <f>'Зведена D7'!K20</f>
        <v>6</v>
      </c>
      <c r="L16" s="42">
        <f>'Зведена D7'!L20</f>
        <v>7</v>
      </c>
      <c r="M16" s="42">
        <f>'Зведена D7'!M20</f>
        <v>7</v>
      </c>
      <c r="N16" s="42">
        <f>'Зведена D7'!N20</f>
        <v>6</v>
      </c>
      <c r="O16" s="42">
        <f>'Зведена D7'!O20</f>
        <v>7</v>
      </c>
      <c r="P16" s="42">
        <f>'Зведена D7'!P20</f>
        <v>8</v>
      </c>
      <c r="Q16" s="42">
        <f>'Зведена D7'!Q20</f>
        <v>10</v>
      </c>
      <c r="R16" s="42">
        <f>'Зведена D7'!R20</f>
        <v>6</v>
      </c>
      <c r="S16" s="42">
        <f>'Зведена D7'!S20</f>
        <v>7</v>
      </c>
      <c r="T16" s="46">
        <f>IF(COUNTIF($F16:S16,"=*")&gt;0,IF($C16="К","-"," - "),IF(COUNTIF($F16:S16,"&lt;4")&gt;0,IF(C16="К","-"," - "),(IFERROR(AVERAGE($F16:S16),"Очікую"))))</f>
        <v>7.3571428571428568</v>
      </c>
      <c r="U16" s="46">
        <f t="shared" si="0"/>
        <v>55.178571428571423</v>
      </c>
      <c r="V16" s="31"/>
      <c r="W16" s="37"/>
    </row>
    <row r="17" spans="1:23" s="10" customFormat="1" ht="15" customHeight="1" x14ac:dyDescent="0.25">
      <c r="A17" s="38"/>
      <c r="B17" s="29"/>
      <c r="C17" s="42" t="str">
        <f>'Зведена D7'!C18</f>
        <v>Б</v>
      </c>
      <c r="D17" s="42">
        <v>8</v>
      </c>
      <c r="E17" s="43" t="str">
        <f>'Зведена D7'!E18</f>
        <v>Клименко Алла Михайлівна</v>
      </c>
      <c r="F17" s="42">
        <f>'Зведена D7'!F18</f>
        <v>4</v>
      </c>
      <c r="G17" s="42">
        <f>'Зведена D7'!G18</f>
        <v>4</v>
      </c>
      <c r="H17" s="42">
        <f>'Зведена D7'!H18</f>
        <v>11</v>
      </c>
      <c r="I17" s="42">
        <f>'Зведена D7'!I18</f>
        <v>8</v>
      </c>
      <c r="J17" s="42">
        <f>'Зведена D7'!J18</f>
        <v>5</v>
      </c>
      <c r="K17" s="42">
        <f>'Зведена D7'!K18</f>
        <v>10</v>
      </c>
      <c r="L17" s="42">
        <f>'Зведена D7'!L18</f>
        <v>8</v>
      </c>
      <c r="M17" s="42">
        <f>'Зведена D7'!M18</f>
        <v>5</v>
      </c>
      <c r="N17" s="42">
        <f>'Зведена D7'!N18</f>
        <v>9</v>
      </c>
      <c r="O17" s="42">
        <f>'Зведена D7'!O18</f>
        <v>6</v>
      </c>
      <c r="P17" s="42">
        <f>'Зведена D7'!P18</f>
        <v>4</v>
      </c>
      <c r="Q17" s="42">
        <f>'Зведена D7'!Q18</f>
        <v>10</v>
      </c>
      <c r="R17" s="42">
        <f>'Зведена D7'!R18</f>
        <v>8</v>
      </c>
      <c r="S17" s="42">
        <f>'Зведена D7'!S18</f>
        <v>8</v>
      </c>
      <c r="T17" s="46">
        <f>IF(COUNTIF($F17:S17,"=*")&gt;0,IF($C17="К","-"," - "),IF(COUNTIF($F17:S17,"&lt;4")&gt;0,IF(C17="К","-"," - "),(IFERROR(AVERAGE($F17:S17),"Очікую"))))</f>
        <v>7.1428571428571432</v>
      </c>
      <c r="U17" s="46">
        <f t="shared" si="0"/>
        <v>53.571428571428569</v>
      </c>
      <c r="V17" s="31"/>
      <c r="W17" s="37"/>
    </row>
    <row r="18" spans="1:23" s="10" customFormat="1" ht="15" customHeight="1" x14ac:dyDescent="0.25">
      <c r="A18" s="38"/>
      <c r="B18" s="29"/>
      <c r="C18" s="42" t="str">
        <f>'Зведена D7'!C10</f>
        <v>Б</v>
      </c>
      <c r="D18" s="42">
        <v>9</v>
      </c>
      <c r="E18" s="43" t="str">
        <f>'Зведена D7'!E10</f>
        <v>Безуглий Юрій Віталійович</v>
      </c>
      <c r="F18" s="42">
        <f>'Зведена D7'!F10</f>
        <v>10</v>
      </c>
      <c r="G18" s="42">
        <f>'Зведена D7'!G10</f>
        <v>11</v>
      </c>
      <c r="H18" s="42">
        <f>'Зведена D7'!H10</f>
        <v>6</v>
      </c>
      <c r="I18" s="42">
        <f>'Зведена D7'!I10</f>
        <v>9</v>
      </c>
      <c r="J18" s="42">
        <f>'Зведена D7'!J10</f>
        <v>4</v>
      </c>
      <c r="K18" s="42">
        <f>'Зведена D7'!K10</f>
        <v>8</v>
      </c>
      <c r="L18" s="42">
        <f>'Зведена D7'!L10</f>
        <v>5</v>
      </c>
      <c r="M18" s="42">
        <f>'Зведена D7'!M10</f>
        <v>6</v>
      </c>
      <c r="N18" s="42">
        <f>'Зведена D7'!N10</f>
        <v>6</v>
      </c>
      <c r="O18" s="42">
        <f>'Зведена D7'!O10</f>
        <v>5</v>
      </c>
      <c r="P18" s="42">
        <f>'Зведена D7'!P10</f>
        <v>9</v>
      </c>
      <c r="Q18" s="42">
        <f>'Зведена D7'!Q10</f>
        <v>8</v>
      </c>
      <c r="R18" s="42">
        <f>'Зведена D7'!R10</f>
        <v>7</v>
      </c>
      <c r="S18" s="42">
        <f>'Зведена D7'!S10</f>
        <v>5</v>
      </c>
      <c r="T18" s="46">
        <f>IF(COUNTIF($F18:S18,"=*")&gt;0,IF($C18="К","-"," - "),IF(COUNTIF($F18:S18,"&lt;4")&gt;0,IF(C18="К","-"," - "),(IFERROR(AVERAGE($F18:S18),"Очікую"))))</f>
        <v>7.0714285714285712</v>
      </c>
      <c r="U18" s="46">
        <f t="shared" si="0"/>
        <v>53.035714285714285</v>
      </c>
      <c r="V18" s="31"/>
      <c r="W18" s="37"/>
    </row>
    <row r="19" spans="1:23" s="10" customFormat="1" ht="15" customHeight="1" x14ac:dyDescent="0.25">
      <c r="A19" s="38"/>
      <c r="B19" s="29"/>
      <c r="C19" s="42" t="str">
        <f>'Зведена D7'!C11</f>
        <v>Б</v>
      </c>
      <c r="D19" s="42">
        <v>10</v>
      </c>
      <c r="E19" s="43" t="str">
        <f>'Зведена D7'!E11</f>
        <v>Білан Інна Євгенівна</v>
      </c>
      <c r="F19" s="42">
        <f>'Зведена D7'!F11</f>
        <v>11</v>
      </c>
      <c r="G19" s="42">
        <f>'Зведена D7'!G11</f>
        <v>8</v>
      </c>
      <c r="H19" s="42">
        <f>'Зведена D7'!H11</f>
        <v>6</v>
      </c>
      <c r="I19" s="42">
        <f>'Зведена D7'!I11</f>
        <v>6</v>
      </c>
      <c r="J19" s="42">
        <f>'Зведена D7'!J11</f>
        <v>5</v>
      </c>
      <c r="K19" s="42">
        <f>'Зведена D7'!K11</f>
        <v>6</v>
      </c>
      <c r="L19" s="42">
        <f>'Зведена D7'!L11</f>
        <v>8</v>
      </c>
      <c r="M19" s="42">
        <f>'Зведена D7'!M11</f>
        <v>10</v>
      </c>
      <c r="N19" s="42">
        <f>'Зведена D7'!N11</f>
        <v>7</v>
      </c>
      <c r="O19" s="42">
        <f>'Зведена D7'!O11</f>
        <v>5</v>
      </c>
      <c r="P19" s="42">
        <f>'Зведена D7'!P11</f>
        <v>4</v>
      </c>
      <c r="Q19" s="42">
        <f>'Зведена D7'!Q11</f>
        <v>8</v>
      </c>
      <c r="R19" s="42">
        <f>'Зведена D7'!R11</f>
        <v>4</v>
      </c>
      <c r="S19" s="42">
        <f>'Зведена D7'!S11</f>
        <v>7</v>
      </c>
      <c r="T19" s="46">
        <f>IF(COUNTIF($F19:S19,"=*")&gt;0,IF($C19="К","-"," - "),IF(COUNTIF($F19:S19,"&lt;4")&gt;0,IF(C19="К","-"," - "),(IFERROR(AVERAGE($F19:S19),"Очікую"))))</f>
        <v>6.7857142857142856</v>
      </c>
      <c r="U19" s="46">
        <f t="shared" si="0"/>
        <v>50.892857142857139</v>
      </c>
      <c r="V19" s="31"/>
      <c r="W19" s="37"/>
    </row>
    <row r="20" spans="1:23" s="10" customFormat="1" ht="15" customHeight="1" x14ac:dyDescent="0.25">
      <c r="A20" s="38"/>
      <c r="B20" s="29"/>
      <c r="C20" s="42" t="str">
        <f>'Зведена D7'!C16</f>
        <v>Б</v>
      </c>
      <c r="D20" s="42">
        <v>11</v>
      </c>
      <c r="E20" s="43" t="str">
        <f>'Зведена D7'!E16</f>
        <v>Дяченко Катерина Дмитрівна</v>
      </c>
      <c r="F20" s="42">
        <f>'Зведена D7'!F16</f>
        <v>8</v>
      </c>
      <c r="G20" s="42">
        <f>'Зведена D7'!G16</f>
        <v>6</v>
      </c>
      <c r="H20" s="42">
        <f>'Зведена D7'!H16</f>
        <v>5</v>
      </c>
      <c r="I20" s="42">
        <f>'Зведена D7'!I16</f>
        <v>11</v>
      </c>
      <c r="J20" s="42">
        <f>'Зведена D7'!J16</f>
        <v>7</v>
      </c>
      <c r="K20" s="42">
        <f>'Зведена D7'!K16</f>
        <v>7</v>
      </c>
      <c r="L20" s="42">
        <f>'Зведена D7'!L16</f>
        <v>6</v>
      </c>
      <c r="M20" s="42">
        <f>'Зведена D7'!M16</f>
        <v>10</v>
      </c>
      <c r="N20" s="42">
        <f>'Зведена D7'!N16</f>
        <v>7</v>
      </c>
      <c r="O20" s="42">
        <f>'Зведена D7'!O16</f>
        <v>6</v>
      </c>
      <c r="P20" s="42">
        <f>'Зведена D7'!P16</f>
        <v>6</v>
      </c>
      <c r="Q20" s="42">
        <f>'Зведена D7'!Q16</f>
        <v>4</v>
      </c>
      <c r="R20" s="42">
        <f>'Зведена D7'!R16</f>
        <v>6</v>
      </c>
      <c r="S20" s="42">
        <f>'Зведена D7'!S16</f>
        <v>6</v>
      </c>
      <c r="T20" s="46">
        <f>IF(COUNTIF($F20:S20,"=*")&gt;0,IF($C20="К","-"," - "),IF(COUNTIF($F20:S20,"&lt;4")&gt;0,IF(C20="К","-"," - "),(IFERROR(AVERAGE($F20:S20),"Очікую"))))</f>
        <v>6.7857142857142856</v>
      </c>
      <c r="U20" s="46">
        <f t="shared" si="0"/>
        <v>50.892857142857139</v>
      </c>
      <c r="V20" s="31"/>
      <c r="W20" s="37"/>
    </row>
    <row r="21" spans="1:23" s="10" customFormat="1" ht="15" customHeight="1" x14ac:dyDescent="0.25">
      <c r="A21" s="38"/>
      <c r="B21" s="29"/>
      <c r="C21" s="42" t="str">
        <f>'Зведена D7'!C24</f>
        <v>Б</v>
      </c>
      <c r="D21" s="42">
        <v>12</v>
      </c>
      <c r="E21" s="43" t="str">
        <f>'Зведена D7'!E24</f>
        <v>Мельничук Людмила Петрівна</v>
      </c>
      <c r="F21" s="42">
        <f>'Зведена D7'!F24</f>
        <v>8</v>
      </c>
      <c r="G21" s="42">
        <f>'Зведена D7'!G24</f>
        <v>7</v>
      </c>
      <c r="H21" s="42">
        <f>'Зведена D7'!H24</f>
        <v>8</v>
      </c>
      <c r="I21" s="42">
        <f>'Зведена D7'!I24</f>
        <v>8</v>
      </c>
      <c r="J21" s="42">
        <f>'Зведена D7'!J24</f>
        <v>6</v>
      </c>
      <c r="K21" s="42">
        <f>'Зведена D7'!K24</f>
        <v>7</v>
      </c>
      <c r="L21" s="42">
        <f>'Зведена D7'!L24</f>
        <v>6</v>
      </c>
      <c r="M21" s="42">
        <f>'Зведена D7'!M24</f>
        <v>7</v>
      </c>
      <c r="N21" s="42">
        <f>'Зведена D7'!N24</f>
        <v>6</v>
      </c>
      <c r="O21" s="42">
        <f>'Зведена D7'!O24</f>
        <v>9</v>
      </c>
      <c r="P21" s="42">
        <f>'Зведена D7'!P24</f>
        <v>5</v>
      </c>
      <c r="Q21" s="42">
        <f>'Зведена D7'!Q24</f>
        <v>4</v>
      </c>
      <c r="R21" s="42">
        <f>'Зведена D7'!R24</f>
        <v>5</v>
      </c>
      <c r="S21" s="42">
        <f>'Зведена D7'!S24</f>
        <v>5</v>
      </c>
      <c r="T21" s="46">
        <f>IF(COUNTIF($F21:S21,"=*")&gt;0,IF($C21="К","-"," - "),IF(COUNTIF($F21:S21,"&lt;4")&gt;0,IF(C21="К","-"," - "),(IFERROR(AVERAGE($F21:S21),"Очікую"))))</f>
        <v>6.5</v>
      </c>
      <c r="U21" s="46">
        <f t="shared" si="0"/>
        <v>48.75</v>
      </c>
      <c r="V21" s="31"/>
      <c r="W21" s="37"/>
    </row>
    <row r="22" spans="1:23" s="10" customFormat="1" ht="15" customHeight="1" x14ac:dyDescent="0.25">
      <c r="A22" s="38"/>
      <c r="B22" s="29"/>
      <c r="C22" s="22"/>
      <c r="D22" s="22"/>
      <c r="E22" s="23" t="s">
        <v>51</v>
      </c>
      <c r="F22" s="51">
        <f>'Зведена D7'!F45</f>
        <v>14</v>
      </c>
      <c r="G22" s="5"/>
      <c r="H22" s="5"/>
      <c r="I22" s="22"/>
      <c r="J22" s="22"/>
      <c r="K22" s="22"/>
      <c r="L22" s="22"/>
      <c r="M22" s="22"/>
      <c r="N22" s="22"/>
      <c r="O22" s="25"/>
      <c r="P22" s="24"/>
      <c r="Q22" s="22"/>
      <c r="R22" s="22"/>
      <c r="S22" s="22"/>
      <c r="T22" s="22"/>
      <c r="U22" s="22"/>
      <c r="V22" s="30"/>
      <c r="W22" s="37"/>
    </row>
    <row r="23" spans="1:23" s="10" customFormat="1" ht="15" customHeight="1" x14ac:dyDescent="0.25">
      <c r="A23" s="38"/>
      <c r="B23" s="29"/>
      <c r="C23" s="22"/>
      <c r="D23" s="22"/>
      <c r="E23" s="23" t="s">
        <v>52</v>
      </c>
      <c r="F23" s="51">
        <f>'Зведена D7'!F46</f>
        <v>16</v>
      </c>
      <c r="G23" s="5"/>
      <c r="H23" s="49" t="s">
        <v>53</v>
      </c>
      <c r="I23" s="49"/>
      <c r="J23" s="49"/>
      <c r="K23" s="49"/>
      <c r="L23" s="5"/>
      <c r="M23" s="5"/>
      <c r="N23" s="5"/>
      <c r="O23" s="50"/>
      <c r="P23" s="50" t="str">
        <f>'Зведена D7'!P46</f>
        <v>Ірина ДОПІРА</v>
      </c>
      <c r="Q23" s="50"/>
      <c r="R23" s="50"/>
      <c r="S23" s="50"/>
      <c r="T23" s="50"/>
      <c r="U23" s="22"/>
      <c r="V23" s="30"/>
      <c r="W23" s="37"/>
    </row>
    <row r="24" spans="1:23" s="10" customFormat="1" ht="15" customHeight="1" x14ac:dyDescent="0.25">
      <c r="A24" s="38"/>
      <c r="B24" s="29"/>
      <c r="C24" s="22"/>
      <c r="D24" s="22"/>
      <c r="E24" s="23" t="s">
        <v>55</v>
      </c>
      <c r="F24" s="51">
        <f>'Зведена D7'!F47</f>
        <v>2</v>
      </c>
      <c r="G24" s="5"/>
      <c r="H24" s="9"/>
      <c r="I24" s="5"/>
      <c r="J24" s="5"/>
      <c r="K24" s="5"/>
      <c r="L24" s="5"/>
      <c r="M24" s="5"/>
      <c r="N24" s="5"/>
      <c r="O24" s="9"/>
      <c r="P24" s="9"/>
      <c r="Q24" s="5"/>
      <c r="R24" s="5"/>
      <c r="S24" s="5"/>
      <c r="T24" s="5"/>
      <c r="U24" s="22"/>
      <c r="V24" s="30"/>
      <c r="W24" s="37"/>
    </row>
    <row r="25" spans="1:23" s="10" customFormat="1" ht="15" customHeight="1" x14ac:dyDescent="0.25">
      <c r="A25" s="38"/>
      <c r="B25" s="29"/>
      <c r="C25" s="22"/>
      <c r="D25" s="22"/>
      <c r="E25" s="23" t="s">
        <v>56</v>
      </c>
      <c r="F25" s="51">
        <f>'Зведена D7'!F48</f>
        <v>5</v>
      </c>
      <c r="G25" s="5"/>
      <c r="H25" s="50" t="s">
        <v>57</v>
      </c>
      <c r="I25" s="50"/>
      <c r="J25" s="50"/>
      <c r="K25" s="50"/>
      <c r="L25" s="5"/>
      <c r="M25" s="5"/>
      <c r="N25" s="5"/>
      <c r="O25" s="50"/>
      <c r="P25" s="50" t="s">
        <v>58</v>
      </c>
      <c r="Q25" s="50"/>
      <c r="R25" s="50"/>
      <c r="S25" s="50"/>
      <c r="T25" s="50"/>
      <c r="U25" s="22"/>
      <c r="V25" s="30"/>
      <c r="W25" s="37"/>
    </row>
    <row r="26" spans="1:23" s="10" customFormat="1" ht="15" customHeight="1" x14ac:dyDescent="0.25">
      <c r="A26" s="38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4"/>
      <c r="W26" s="37"/>
    </row>
    <row r="27" spans="1:23" s="10" customFormat="1" ht="15" customHeight="1" x14ac:dyDescent="0.25">
      <c r="A27" s="3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37"/>
    </row>
    <row r="28" spans="1:23" s="10" customFormat="1" ht="15" hidden="1" customHeight="1" x14ac:dyDescent="0.25">
      <c r="A28" s="39"/>
      <c r="W28" s="39"/>
    </row>
    <row r="29" spans="1:23" s="10" customFormat="1" ht="15" hidden="1" customHeight="1" x14ac:dyDescent="0.25">
      <c r="A29" s="39"/>
      <c r="W29" s="39"/>
    </row>
    <row r="30" spans="1:23" s="10" customFormat="1" ht="15" hidden="1" customHeight="1" x14ac:dyDescent="0.25">
      <c r="A30" s="39"/>
      <c r="W30" s="39"/>
    </row>
    <row r="31" spans="1:23" s="10" customFormat="1" ht="15" hidden="1" customHeight="1" x14ac:dyDescent="0.25">
      <c r="A31" s="39"/>
      <c r="W31" s="39"/>
    </row>
    <row r="32" spans="1:23" s="10" customFormat="1" ht="15" hidden="1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="10" customFormat="1" ht="15" hidden="1" customHeight="1" x14ac:dyDescent="0.25"/>
    <row r="34" s="10" customFormat="1" ht="15" hidden="1" customHeight="1" x14ac:dyDescent="0.25"/>
    <row r="35" s="10" customFormat="1" ht="15" hidden="1" customHeight="1" x14ac:dyDescent="0.25"/>
    <row r="36" s="10" customFormat="1" ht="15" hidden="1" customHeight="1" x14ac:dyDescent="0.25"/>
    <row r="37" s="10" customFormat="1" ht="15" hidden="1" customHeight="1" x14ac:dyDescent="0.25"/>
    <row r="38" s="10" customFormat="1" ht="15" hidden="1" customHeight="1" x14ac:dyDescent="0.25"/>
    <row r="39" s="10" customFormat="1" ht="15" hidden="1" customHeight="1" x14ac:dyDescent="0.25"/>
    <row r="40" s="10" customFormat="1" ht="15" hidden="1" customHeight="1" x14ac:dyDescent="0.25"/>
    <row r="41" s="10" customFormat="1" ht="15" hidden="1" customHeight="1" x14ac:dyDescent="0.25"/>
    <row r="42" s="10" customFormat="1" ht="15" hidden="1" customHeight="1" x14ac:dyDescent="0.25"/>
    <row r="43" s="10" customFormat="1" ht="15" hidden="1" customHeight="1" x14ac:dyDescent="0.25"/>
    <row r="44" s="10" customFormat="1" ht="15" hidden="1" customHeight="1" x14ac:dyDescent="0.25"/>
    <row r="45" s="10" customFormat="1" ht="15" hidden="1" customHeight="1" x14ac:dyDescent="0.25"/>
    <row r="46" s="10" customFormat="1" ht="15" hidden="1" customHeight="1" x14ac:dyDescent="0.25"/>
    <row r="47" s="10" customFormat="1" ht="15" hidden="1" customHeight="1" x14ac:dyDescent="0.25"/>
    <row r="48" s="10" customFormat="1" ht="15" hidden="1" customHeight="1" x14ac:dyDescent="0.25"/>
    <row r="49" s="10" customFormat="1" ht="15" hidden="1" customHeight="1" x14ac:dyDescent="0.25"/>
    <row r="50" s="10" customFormat="1" ht="15" hidden="1" customHeight="1" x14ac:dyDescent="0.25"/>
    <row r="51" s="10" customFormat="1" ht="15" hidden="1" customHeight="1" x14ac:dyDescent="0.25"/>
    <row r="52" s="10" customFormat="1" ht="15" hidden="1" customHeight="1" x14ac:dyDescent="0.25"/>
    <row r="53" s="10" customFormat="1" ht="15" hidden="1" customHeight="1" x14ac:dyDescent="0.25"/>
    <row r="54" s="10" customFormat="1" ht="15" hidden="1" customHeight="1" x14ac:dyDescent="0.25"/>
    <row r="55" s="10" customFormat="1" ht="15" hidden="1" customHeight="1" x14ac:dyDescent="0.25"/>
    <row r="56" s="10" customFormat="1" ht="15" hidden="1" customHeight="1" x14ac:dyDescent="0.25"/>
    <row r="57" s="10" customFormat="1" ht="15" hidden="1" customHeight="1" x14ac:dyDescent="0.25"/>
    <row r="58" s="10" customFormat="1" ht="15" hidden="1" customHeight="1" x14ac:dyDescent="0.25"/>
    <row r="59" s="10" customFormat="1" ht="15" hidden="1" customHeight="1" x14ac:dyDescent="0.25"/>
    <row r="60" s="10" customFormat="1" ht="15" hidden="1" customHeight="1" x14ac:dyDescent="0.25"/>
    <row r="61" s="10" customFormat="1" ht="15" hidden="1" customHeight="1" x14ac:dyDescent="0.25"/>
    <row r="62" s="10" customFormat="1" ht="15" hidden="1" customHeight="1" x14ac:dyDescent="0.25"/>
    <row r="63" s="10" customFormat="1" ht="15" hidden="1" customHeight="1" x14ac:dyDescent="0.25"/>
    <row r="64" s="10" customFormat="1" ht="15" hidden="1" customHeight="1" x14ac:dyDescent="0.25"/>
    <row r="65" s="10" customFormat="1" ht="15" hidden="1" customHeight="1" x14ac:dyDescent="0.25"/>
    <row r="66" s="10" customFormat="1" ht="15" hidden="1" customHeight="1" x14ac:dyDescent="0.25"/>
    <row r="67" s="10" customFormat="1" ht="15" hidden="1" customHeight="1" x14ac:dyDescent="0.25"/>
    <row r="68" s="10" customFormat="1" ht="15" hidden="1" customHeight="1" x14ac:dyDescent="0.25"/>
    <row r="69" s="10" customFormat="1" ht="15" hidden="1" customHeight="1" x14ac:dyDescent="0.25"/>
    <row r="70" s="10" customFormat="1" ht="15" hidden="1" customHeight="1" x14ac:dyDescent="0.25"/>
    <row r="71" s="10" customFormat="1" ht="15" hidden="1" customHeight="1" x14ac:dyDescent="0.25"/>
    <row r="72" s="10" customFormat="1" ht="15" hidden="1" customHeight="1" x14ac:dyDescent="0.25"/>
    <row r="73" s="10" customFormat="1" ht="15" hidden="1" customHeight="1" x14ac:dyDescent="0.25"/>
    <row r="74" s="10" customFormat="1" ht="15" hidden="1" customHeight="1" x14ac:dyDescent="0.25"/>
    <row r="75" s="10" customFormat="1" ht="15" hidden="1" customHeight="1" x14ac:dyDescent="0.25"/>
    <row r="76" s="10" customFormat="1" ht="15" hidden="1" customHeight="1" x14ac:dyDescent="0.25"/>
    <row r="77" s="10" customFormat="1" ht="15" hidden="1" customHeight="1" x14ac:dyDescent="0.25"/>
    <row r="78" s="10" customFormat="1" ht="15" hidden="1" customHeight="1" x14ac:dyDescent="0.25"/>
    <row r="79" s="10" customFormat="1" ht="15" hidden="1" customHeight="1" x14ac:dyDescent="0.25"/>
    <row r="80" s="10" customFormat="1" ht="15" hidden="1" customHeight="1" x14ac:dyDescent="0.25"/>
    <row r="81" s="10" customFormat="1" ht="15" hidden="1" customHeight="1" x14ac:dyDescent="0.25"/>
    <row r="82" s="10" customFormat="1" ht="15" hidden="1" customHeight="1" x14ac:dyDescent="0.25"/>
    <row r="83" s="10" customFormat="1" ht="15" hidden="1" customHeight="1" x14ac:dyDescent="0.25"/>
    <row r="84" s="10" customFormat="1" ht="15" hidden="1" customHeight="1" x14ac:dyDescent="0.25"/>
    <row r="85" s="10" customFormat="1" ht="15" hidden="1" customHeight="1" x14ac:dyDescent="0.25"/>
    <row r="86" s="10" customFormat="1" ht="15" hidden="1" customHeight="1" x14ac:dyDescent="0.25"/>
    <row r="87" s="10" customFormat="1" ht="15" hidden="1" customHeight="1" x14ac:dyDescent="0.25"/>
    <row r="88" s="10" customFormat="1" ht="15" hidden="1" customHeight="1" x14ac:dyDescent="0.25"/>
    <row r="89" s="10" customFormat="1" ht="15" hidden="1" customHeight="1" x14ac:dyDescent="0.25"/>
    <row r="90" s="10" customFormat="1" ht="15" hidden="1" customHeight="1" x14ac:dyDescent="0.25"/>
    <row r="91" s="10" customFormat="1" ht="15" hidden="1" customHeight="1" x14ac:dyDescent="0.25"/>
    <row r="92" s="10" customFormat="1" ht="15" hidden="1" customHeight="1" x14ac:dyDescent="0.25"/>
    <row r="93" s="10" customFormat="1" ht="15" hidden="1" customHeight="1" x14ac:dyDescent="0.25"/>
    <row r="94" s="10" customFormat="1" ht="15" hidden="1" customHeight="1" x14ac:dyDescent="0.25"/>
    <row r="95" s="10" customFormat="1" ht="15" hidden="1" customHeight="1" x14ac:dyDescent="0.25"/>
    <row r="96" s="10" customFormat="1" ht="15" hidden="1" customHeight="1" x14ac:dyDescent="0.25"/>
    <row r="97" s="10" customFormat="1" ht="15" hidden="1" customHeight="1" x14ac:dyDescent="0.25"/>
    <row r="98" s="10" customFormat="1" ht="15" hidden="1" customHeight="1" x14ac:dyDescent="0.25"/>
    <row r="99" s="10" customFormat="1" ht="15" hidden="1" customHeight="1" x14ac:dyDescent="0.25"/>
    <row r="100" s="10" customFormat="1" ht="15" hidden="1" customHeight="1" x14ac:dyDescent="0.25"/>
    <row r="101" s="10" customFormat="1" ht="15" hidden="1" customHeight="1" x14ac:dyDescent="0.25"/>
    <row r="102" s="10" customFormat="1" ht="15" hidden="1" customHeight="1" x14ac:dyDescent="0.25"/>
    <row r="103" s="10" customFormat="1" ht="15" hidden="1" customHeight="1" x14ac:dyDescent="0.25"/>
    <row r="104" s="10" customFormat="1" ht="15" hidden="1" customHeight="1" x14ac:dyDescent="0.25"/>
    <row r="105" s="10" customFormat="1" ht="15" hidden="1" customHeight="1" x14ac:dyDescent="0.25"/>
    <row r="106" s="10" customFormat="1" ht="15" hidden="1" customHeight="1" x14ac:dyDescent="0.25"/>
    <row r="107" s="10" customFormat="1" ht="15" hidden="1" customHeight="1" x14ac:dyDescent="0.25"/>
    <row r="108" s="10" customFormat="1" ht="15" hidden="1" customHeight="1" x14ac:dyDescent="0.25"/>
    <row r="109" s="10" customFormat="1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2" hidden="1" customHeight="1" thickBot="1" x14ac:dyDescent="0.3"/>
    <row r="115" ht="12" hidden="1" customHeight="1" x14ac:dyDescent="0.25"/>
    <row r="116" ht="0" hidden="1" customHeight="1" x14ac:dyDescent="0.25"/>
    <row r="117" ht="0" hidden="1" customHeight="1" x14ac:dyDescent="0.25"/>
    <row r="118" ht="0" hidden="1" customHeight="1" x14ac:dyDescent="0.25"/>
    <row r="119" ht="0" hidden="1" customHeight="1" x14ac:dyDescent="0.25"/>
    <row r="120" ht="0" hidden="1" customHeight="1" x14ac:dyDescent="0.25"/>
  </sheetData>
  <mergeCells count="11">
    <mergeCell ref="C4:U4"/>
    <mergeCell ref="C3:U3"/>
    <mergeCell ref="T8:T9"/>
    <mergeCell ref="C6:U6"/>
    <mergeCell ref="F8:S8"/>
    <mergeCell ref="E8:E9"/>
    <mergeCell ref="C8:C9"/>
    <mergeCell ref="C5:U5"/>
    <mergeCell ref="U8:U9"/>
    <mergeCell ref="D8:D9"/>
    <mergeCell ref="C7:U7"/>
  </mergeCells>
  <printOptions horizontalCentered="1"/>
  <pageMargins left="0.19685039370078741" right="0.19685039370078741" top="0.19685039370078741" bottom="0.19685039370078741" header="0" footer="0"/>
  <pageSetup paperSize="9" scale="3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D5</vt:lpstr>
      <vt:lpstr>Зведена D7</vt:lpstr>
      <vt:lpstr>Зведена G1</vt:lpstr>
      <vt:lpstr>Рейтингова D5</vt:lpstr>
      <vt:lpstr>Рейтингова D7</vt:lpstr>
      <vt:lpstr>'Зведена D5'!Область_печати</vt:lpstr>
      <vt:lpstr>'Зведена D7'!Область_печати</vt:lpstr>
      <vt:lpstr>'Зведена G1'!Область_печати</vt:lpstr>
      <vt:lpstr>'Рейтингова D5'!Область_печати</vt:lpstr>
      <vt:lpstr>'Рейтингова D7'!Область_печати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Maxim</cp:lastModifiedBy>
  <cp:lastPrinted>2026-01-07T15:30:50Z</cp:lastPrinted>
  <dcterms:created xsi:type="dcterms:W3CDTF">2006-09-28T05:33:49Z</dcterms:created>
  <dcterms:modified xsi:type="dcterms:W3CDTF">2026-06-15T07:19:40Z</dcterms:modified>
</cp:coreProperties>
</file>