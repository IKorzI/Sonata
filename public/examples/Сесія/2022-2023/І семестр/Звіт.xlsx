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995" tabRatio="597"/>
  </bookViews>
  <sheets>
    <sheet name="Таблиця" sheetId="5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I13" i="5"/>
  <c r="J13" i="5"/>
  <c r="D13" i="5"/>
  <c r="E13" i="5"/>
  <c r="F13" i="5"/>
  <c r="G13" i="5"/>
  <c r="H13" i="5"/>
  <c r="C13" i="5"/>
</calcChain>
</file>

<file path=xl/sharedStrings.xml><?xml version="1.0" encoding="utf-8"?>
<sst xmlns="http://schemas.openxmlformats.org/spreadsheetml/2006/main" count="23" uniqueCount="23">
  <si>
    <t>№</t>
  </si>
  <si>
    <t>Група</t>
  </si>
  <si>
    <t>Кількість студентів в групі</t>
  </si>
  <si>
    <t>Кількість бюджетників</t>
  </si>
  <si>
    <t xml:space="preserve">Кількість контрактників </t>
  </si>
  <si>
    <t>Вийшли на стипендію (чол.)</t>
  </si>
  <si>
    <t>Соціальна стипендія (чол.)</t>
  </si>
  <si>
    <t>Кількість боржників (чол.)</t>
  </si>
  <si>
    <t>Абсолютна успішність, %</t>
  </si>
  <si>
    <t>Якісна успішність, %</t>
  </si>
  <si>
    <t>Середній бал успішності по группі</t>
  </si>
  <si>
    <t>Курс I</t>
  </si>
  <si>
    <t>Усього на відділенні</t>
  </si>
  <si>
    <t>Завідувач відділення ПЗСО</t>
  </si>
  <si>
    <t>Маргарита БРІТІКОВА</t>
  </si>
  <si>
    <t>22-1</t>
  </si>
  <si>
    <t>22-2</t>
  </si>
  <si>
    <t>22-3</t>
  </si>
  <si>
    <t>22-4</t>
  </si>
  <si>
    <t>22-5</t>
  </si>
  <si>
    <t>22-6</t>
  </si>
  <si>
    <t>6 груп відділення*</t>
  </si>
  <si>
    <t>Підсумки зимової сесії відділення ПЗСО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</si>
</sst>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3"/>
      <name val="Times New Roman"/>
      <family val="1"/>
      <charset val="204"/>
    </font>
    <font>
      <sz val="14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FF"/>
  </sheetPr>
  <dimension ref="A1:L16"/>
  <sheetViews>
    <sheetView tabSelected="1" zoomScale="70" zoomScaleNormal="70" workbookViewId="0">
      <selection sqref="A1:K1"/>
    </sheetView>
  </sheetViews>
  <sheetFormatPr defaultRowHeight="15" x14ac:dyDescent="0.25"/>
  <cols>
    <col min="1" max="1" width="9.140625" style="15"/>
    <col min="2" max="2" width="16.42578125" style="15" customWidth="1"/>
    <col min="3" max="3" width="13.7109375" style="15" customWidth="1"/>
    <col min="4" max="4" width="17.7109375" style="15" customWidth="1"/>
    <col min="5" max="5" width="18.42578125" style="15" customWidth="1"/>
    <col min="6" max="6" width="15.7109375" style="15" customWidth="1"/>
    <col min="7" max="7" width="15.5703125" style="15" customWidth="1"/>
    <col min="8" max="8" width="14.140625" style="15" customWidth="1"/>
    <col min="9" max="9" width="14.85546875" style="15" customWidth="1"/>
    <col min="10" max="10" width="14.140625" style="15" customWidth="1"/>
    <col min="11" max="11" width="17.140625" style="15" customWidth="1"/>
    <col min="12" max="16384" width="9.140625" style="15"/>
  </cols>
  <sheetData>
    <row r="1" spans="1:12" ht="18.75" x14ac:dyDescent="0.25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2"/>
    </row>
    <row r="3" spans="1:12" ht="56.25" x14ac:dyDescent="0.25">
      <c r="A3" s="1" t="s">
        <v>0</v>
      </c>
      <c r="B3" s="1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3" t="s">
        <v>10</v>
      </c>
    </row>
    <row r="4" spans="1:12" ht="18.75" x14ac:dyDescent="0.25">
      <c r="A4" s="23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2" ht="18.75" x14ac:dyDescent="0.25">
      <c r="A5" s="4">
        <v>1</v>
      </c>
      <c r="B5" s="7" t="s">
        <v>15</v>
      </c>
      <c r="C5" s="4">
        <v>31</v>
      </c>
      <c r="D5" s="4">
        <v>19</v>
      </c>
      <c r="E5" s="4">
        <v>12</v>
      </c>
      <c r="F5" s="4">
        <v>7</v>
      </c>
      <c r="G5" s="17">
        <v>3</v>
      </c>
      <c r="H5" s="4">
        <v>4</v>
      </c>
      <c r="I5" s="9">
        <v>98.8</v>
      </c>
      <c r="J5" s="9">
        <v>77</v>
      </c>
      <c r="K5" s="9">
        <v>8.02</v>
      </c>
    </row>
    <row r="6" spans="1:12" ht="18.75" x14ac:dyDescent="0.25">
      <c r="A6" s="4">
        <v>2</v>
      </c>
      <c r="B6" s="6" t="s">
        <v>16</v>
      </c>
      <c r="C6" s="5">
        <v>31</v>
      </c>
      <c r="D6" s="5">
        <v>20</v>
      </c>
      <c r="E6" s="5">
        <v>11</v>
      </c>
      <c r="F6" s="4">
        <v>8</v>
      </c>
      <c r="G6" s="17">
        <v>1</v>
      </c>
      <c r="H6" s="4">
        <v>5</v>
      </c>
      <c r="I6" s="9">
        <v>96.1</v>
      </c>
      <c r="J6" s="9">
        <v>67.099999999999994</v>
      </c>
      <c r="K6" s="9">
        <v>7.41</v>
      </c>
    </row>
    <row r="7" spans="1:12" ht="18.75" x14ac:dyDescent="0.25">
      <c r="A7" s="10">
        <v>3</v>
      </c>
      <c r="B7" s="7" t="s">
        <v>17</v>
      </c>
      <c r="C7" s="16">
        <v>31</v>
      </c>
      <c r="D7" s="16">
        <v>28</v>
      </c>
      <c r="E7" s="16">
        <v>3</v>
      </c>
      <c r="F7" s="4">
        <v>11</v>
      </c>
      <c r="G7" s="4">
        <v>1</v>
      </c>
      <c r="H7" s="4">
        <v>4</v>
      </c>
      <c r="I7" s="9">
        <v>98.6</v>
      </c>
      <c r="J7" s="9">
        <v>60.1</v>
      </c>
      <c r="K7" s="9">
        <v>7</v>
      </c>
    </row>
    <row r="8" spans="1:12" ht="18.75" x14ac:dyDescent="0.25">
      <c r="A8" s="10">
        <v>4</v>
      </c>
      <c r="B8" s="6" t="s">
        <v>18</v>
      </c>
      <c r="C8" s="16">
        <v>26</v>
      </c>
      <c r="D8" s="16">
        <v>18</v>
      </c>
      <c r="E8" s="16">
        <v>8</v>
      </c>
      <c r="F8" s="4">
        <v>7</v>
      </c>
      <c r="G8" s="4">
        <v>1</v>
      </c>
      <c r="H8" s="4">
        <v>6</v>
      </c>
      <c r="I8" s="9">
        <v>96.2</v>
      </c>
      <c r="J8" s="9">
        <v>58.8</v>
      </c>
      <c r="K8" s="9">
        <v>6.73</v>
      </c>
    </row>
    <row r="9" spans="1:12" ht="18.75" x14ac:dyDescent="0.25">
      <c r="A9" s="10">
        <v>5</v>
      </c>
      <c r="B9" s="7" t="s">
        <v>19</v>
      </c>
      <c r="C9" s="16">
        <v>34</v>
      </c>
      <c r="D9" s="16">
        <v>20</v>
      </c>
      <c r="E9" s="16">
        <v>14</v>
      </c>
      <c r="F9" s="4">
        <v>8</v>
      </c>
      <c r="G9" s="4">
        <v>5</v>
      </c>
      <c r="H9" s="4">
        <v>3</v>
      </c>
      <c r="I9" s="9">
        <v>98.1</v>
      </c>
      <c r="J9" s="9">
        <v>65.3</v>
      </c>
      <c r="K9" s="9">
        <v>7.23</v>
      </c>
    </row>
    <row r="10" spans="1:12" ht="18.75" x14ac:dyDescent="0.25">
      <c r="A10" s="10">
        <v>6</v>
      </c>
      <c r="B10" s="6" t="s">
        <v>20</v>
      </c>
      <c r="C10" s="16">
        <v>34</v>
      </c>
      <c r="D10" s="16">
        <v>0</v>
      </c>
      <c r="E10" s="16">
        <v>34</v>
      </c>
      <c r="F10" s="4">
        <v>0</v>
      </c>
      <c r="G10" s="17">
        <v>0</v>
      </c>
      <c r="H10" s="4">
        <v>11</v>
      </c>
      <c r="I10" s="18">
        <v>95.8</v>
      </c>
      <c r="J10" s="18">
        <v>49.2</v>
      </c>
      <c r="K10" s="18">
        <v>6.46</v>
      </c>
    </row>
    <row r="11" spans="1:12" ht="9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2"/>
    </row>
    <row r="12" spans="1:12" ht="18.75" x14ac:dyDescent="0.25">
      <c r="A12" s="24" t="s">
        <v>12</v>
      </c>
      <c r="B12" s="24"/>
      <c r="C12" s="25"/>
      <c r="D12" s="24"/>
      <c r="E12" s="25"/>
      <c r="F12" s="24"/>
      <c r="G12" s="24"/>
      <c r="H12" s="24"/>
      <c r="I12" s="24"/>
      <c r="J12" s="24"/>
      <c r="K12" s="24"/>
    </row>
    <row r="13" spans="1:12" ht="18.75" x14ac:dyDescent="0.25">
      <c r="A13" s="26" t="s">
        <v>21</v>
      </c>
      <c r="B13" s="26"/>
      <c r="C13" s="11">
        <f t="shared" ref="C13:H13" si="0">SUM(C5:C11)</f>
        <v>187</v>
      </c>
      <c r="D13" s="11">
        <f t="shared" si="0"/>
        <v>105</v>
      </c>
      <c r="E13" s="11">
        <f t="shared" si="0"/>
        <v>82</v>
      </c>
      <c r="F13" s="11">
        <f t="shared" si="0"/>
        <v>41</v>
      </c>
      <c r="G13" s="11">
        <f t="shared" si="0"/>
        <v>11</v>
      </c>
      <c r="H13" s="11">
        <f t="shared" si="0"/>
        <v>33</v>
      </c>
      <c r="I13" s="8">
        <f>AVERAGE(I5:I11)</f>
        <v>97.266666666666652</v>
      </c>
      <c r="J13" s="8">
        <f>AVERAGE(J5:J11)</f>
        <v>62.916666666666664</v>
      </c>
      <c r="K13" s="8">
        <f>AVERAGE(K5:K11)</f>
        <v>7.1416666666666666</v>
      </c>
    </row>
    <row r="16" spans="1:12" ht="18.75" x14ac:dyDescent="0.25">
      <c r="B16" s="14" t="s">
        <v>13</v>
      </c>
      <c r="C16" s="12"/>
      <c r="D16" s="12"/>
      <c r="E16" s="12"/>
      <c r="J16" s="13" t="s">
        <v>14</v>
      </c>
      <c r="K16" s="12"/>
    </row>
  </sheetData>
  <mergeCells count="5">
    <mergeCell ref="A1:K1"/>
    <mergeCell ref="A11:K11"/>
    <mergeCell ref="A4:K4"/>
    <mergeCell ref="A12:K12"/>
    <mergeCell ref="A13:B13"/>
  </mergeCells>
  <pageMargins left="0.7" right="0.7" top="0.75" bottom="0.75" header="0.3" footer="0.3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Таблиця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SURKOV</cp:lastModifiedBy>
  <cp:revision/>
  <cp:lastPrinted>2022-12-27T11:48:26Z</cp:lastPrinted>
  <dcterms:created xsi:type="dcterms:W3CDTF">2019-12-07T06:55:32Z</dcterms:created>
  <dcterms:modified xsi:type="dcterms:W3CDTF">2023-01-04T11:55:00Z</dcterms:modified>
  <cp:category/>
  <cp:contentStatus/>
</cp:coreProperties>
</file>