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/>
  </bookViews>
  <sheets>
    <sheet name="Зведена відомість 075" sheetId="17" r:id="rId1"/>
    <sheet name="Зведена відомість 161" sheetId="23" r:id="rId2"/>
    <sheet name="Зведена відомість 241" sheetId="37" r:id="rId3"/>
    <sheet name="Рейтингова відомість 075" sheetId="35" r:id="rId4"/>
    <sheet name="Рейтингова відомість 161" sheetId="36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R10" i="37" l="1"/>
  <c r="N13" i="37"/>
  <c r="M13" i="37"/>
  <c r="K13" i="37"/>
  <c r="H13" i="37"/>
  <c r="F13" i="37"/>
  <c r="D13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R9" i="37"/>
  <c r="D14" i="37" l="1"/>
  <c r="D15" i="37"/>
  <c r="R11" i="37"/>
  <c r="D20" i="23"/>
  <c r="S10" i="36"/>
  <c r="S11" i="36"/>
  <c r="D13" i="36"/>
  <c r="D14" i="36"/>
  <c r="D12" i="36"/>
  <c r="R10" i="36"/>
  <c r="R9" i="36"/>
  <c r="S9" i="36" s="1"/>
  <c r="R11" i="36"/>
  <c r="D43" i="17"/>
  <c r="S11" i="35"/>
  <c r="S14" i="35"/>
  <c r="S15" i="35"/>
  <c r="S19" i="35"/>
  <c r="S21" i="35"/>
  <c r="D26" i="35"/>
  <c r="D27" i="35"/>
  <c r="D25" i="35"/>
  <c r="R15" i="35"/>
  <c r="R22" i="35"/>
  <c r="S22" i="35" s="1"/>
  <c r="R20" i="35"/>
  <c r="S20" i="35" s="1"/>
  <c r="R14" i="35"/>
  <c r="R19" i="35"/>
  <c r="R23" i="35"/>
  <c r="S23" i="35" s="1"/>
  <c r="R18" i="35"/>
  <c r="S18" i="35" s="1"/>
  <c r="R11" i="35"/>
  <c r="R13" i="35"/>
  <c r="S13" i="35" s="1"/>
  <c r="R10" i="35"/>
  <c r="S10" i="35" s="1"/>
  <c r="R9" i="35"/>
  <c r="S9" i="35" s="1"/>
  <c r="R16" i="35"/>
  <c r="S16" i="35" s="1"/>
  <c r="R17" i="35"/>
  <c r="S17" i="35" s="1"/>
  <c r="R12" i="35"/>
  <c r="S12" i="35" s="1"/>
  <c r="R24" i="35"/>
  <c r="S24" i="35" s="1"/>
  <c r="R21" i="35"/>
  <c r="Q14" i="23" l="1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O35" i="17" l="1"/>
  <c r="M35" i="17"/>
  <c r="D17" i="23" l="1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R11" i="23"/>
  <c r="R10" i="23"/>
  <c r="R9" i="23"/>
  <c r="D41" i="17"/>
  <c r="D40" i="17"/>
  <c r="E35" i="17"/>
  <c r="D35" i="17"/>
  <c r="Q35" i="17"/>
  <c r="P35" i="17"/>
  <c r="N35" i="17"/>
  <c r="L35" i="17"/>
  <c r="K35" i="17"/>
  <c r="J35" i="17"/>
  <c r="I35" i="17"/>
  <c r="H35" i="17"/>
  <c r="G35" i="17"/>
  <c r="F35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9" i="17"/>
  <c r="D38" i="17" l="1"/>
  <c r="D15" i="23"/>
  <c r="R12" i="23"/>
  <c r="D16" i="23"/>
  <c r="D39" i="17"/>
  <c r="R35" i="17"/>
</calcChain>
</file>

<file path=xl/sharedStrings.xml><?xml version="1.0" encoding="utf-8"?>
<sst xmlns="http://schemas.openxmlformats.org/spreadsheetml/2006/main" count="286" uniqueCount="76">
  <si>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</si>
  <si>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</si>
  <si>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 xml:space="preserve">ЗВЕДЕНА  ВІДОМІСТЬ  </t>
  </si>
  <si>
    <t>Успішності студентів спеціальності 075 «Маркетинг»</t>
  </si>
  <si>
    <t>За I семестр 2022-2023 н.р.</t>
  </si>
  <si>
    <t>Група 22-1 курс І</t>
  </si>
  <si>
    <t>Б/К</t>
  </si>
  <si>
    <t>№
п/п</t>
  </si>
  <si>
    <t>Прізвище, ім’я, по батькові</t>
  </si>
  <si>
    <t>Підсумкові оцінки дисциплін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</si>
  <si>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</si>
  <si>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</si>
  <si>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</si>
  <si>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Пруднікова Я.П.</t>
  </si>
  <si>
    <t>ЗУ
Стельмах Н.Ю.</t>
  </si>
  <si>
    <t>Іноземна мова
Кучер О.П.</t>
  </si>
  <si>
    <t>Інформатика
Вівдіч М.І.</t>
  </si>
  <si>
    <t>Історія України
Левчук Т.Г.</t>
  </si>
  <si>
    <t>Математика
Ромчук В.В.</t>
  </si>
  <si>
    <t>Українська література
Нестеренко А.О.</t>
  </si>
  <si>
    <t>Українська мова
Нестеренко А.О.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</si>
  <si>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</si>
  <si>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</si>
  <si>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</si>
  <si>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</si>
  <si>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</si>
  <si>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Бушовецька Дарія Віталіївна </t>
  </si>
  <si>
    <t>Б</t>
  </si>
  <si>
    <t>Горошинська Анна Олегівна </t>
  </si>
  <si>
    <t>Гуменюк Аміна Міххтіївна  </t>
  </si>
  <si>
    <t>Гуркіна Анна Ігорівна </t>
  </si>
  <si>
    <t>Діденко Софья Андріївна </t>
  </si>
  <si>
    <t>Дмуховська Аліса Андріївна </t>
  </si>
  <si>
    <t>Дурбалов Андрій Геннадійович </t>
  </si>
  <si>
    <t>Єремеєва Дар’я Сергіївна </t>
  </si>
  <si>
    <t>Калугіна Анастасія Дмитрівна </t>
  </si>
  <si>
    <t>Карпенко Уляна Вікторівна  </t>
  </si>
  <si>
    <t>Кононенко Анастасія Ігорівна </t>
  </si>
  <si>
    <t>Лещенко Марія Григорівна </t>
  </si>
  <si>
    <t>н/а</t>
  </si>
  <si>
    <t>Лукашевич Вікторія Леонідівна </t>
  </si>
  <si>
    <t>Марківська Людмила Олександрівна </t>
  </si>
  <si>
    <t>Огородник Поліна Олегівна </t>
  </si>
  <si>
    <t>Олівська Ірина Володимирівна </t>
  </si>
  <si>
    <t>Пулєва Таїсія Михайлівна </t>
  </si>
  <si>
    <t>Семкова Олеся Олександрівна </t>
  </si>
  <si>
    <t>Тимусяк Юлія Ігорівна </t>
  </si>
  <si>
    <t>Тищенко Дар'я Олександрівна </t>
  </si>
  <si>
    <t>Фурсова Тетяна Валеріївна </t>
  </si>
  <si>
    <t>Холодняк Софія Романівна </t>
  </si>
  <si>
    <t>Царан Максим Андрійович </t>
  </si>
  <si>
    <t>Цибульська Ольга Євгенівна </t>
  </si>
  <si>
    <t>Цибульська Поліна Ігорівна </t>
  </si>
  <si>
    <t>Чабан Каріна Ігорівна 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</si>
  <si>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</si>
  <si>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</si>
  <si>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</si>
  <si>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</si>
  <si>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</si>
  <si>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</si>
  <si>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</si>
  <si>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</si>
  <si>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Віра МЄШКОВА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</si>
  <si>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</si>
  <si>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</si>
  <si>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</si>
  <si>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</si>
  <si>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161 «Хімічні технології»</t>
  </si>
  <si>
    <t>Автушко Гліб Валерійович     </t>
  </si>
  <si>
    <t>Добровольский Олександр Олександрович </t>
  </si>
  <si>
    <t>Сухом’ясов Олексій Валерійович </t>
  </si>
  <si>
    <t>РЕЙТИНГОВА ВІДОМІСТЬ</t>
  </si>
  <si>
    <t>Рейтинговий бал</t>
  </si>
  <si>
    <t>Успішності студентів спеціальності 241 «Готельно-ресторанна справа»</t>
  </si>
  <si>
    <t xml:space="preserve">Андрєєва Анна Сергіївна </t>
  </si>
  <si>
    <t xml:space="preserve">Журавльова Дар’я Олександрівна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</si>
</sst>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42">
    <xf numFmtId="0" fontId="0" fillId="0" borderId="0" xfId="0"/>
    <xf numFmtId="0" fontId="3" fillId="0" borderId="1" xfId="5" applyFont="1" applyAlignment="1">
      <alignment horizontal="center" vertical="center"/>
    </xf>
    <xf numFmtId="0" fontId="3" fillId="0" borderId="2" xfId="5" applyFont="1" applyBorder="1" applyAlignment="1">
      <alignment horizontal="left" vertical="center" wrapText="1"/>
    </xf>
    <xf numFmtId="0" fontId="5" fillId="0" borderId="1" xfId="5" applyFont="1" applyAlignment="1">
      <alignment horizontal="left" vertical="center"/>
    </xf>
    <xf numFmtId="0" fontId="6" fillId="0" borderId="1" xfId="5" applyFont="1" applyAlignment="1">
      <alignment horizontal="center" vertical="center"/>
    </xf>
    <xf numFmtId="0" fontId="5" fillId="0" borderId="1" xfId="5" applyFont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textRotation="90" wrapText="1"/>
    </xf>
    <xf numFmtId="0" fontId="4" fillId="0" borderId="2" xfId="5" applyFont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>
      <alignment horizontal="center" vertical="center"/>
    </xf>
    <xf numFmtId="0" fontId="3" fillId="0" borderId="2" xfId="5" applyFont="1" applyBorder="1" applyAlignment="1">
      <alignment horizontal="center" vertical="center" wrapText="1"/>
    </xf>
    <xf numFmtId="2" fontId="3" fillId="4" borderId="2" xfId="5" applyNumberFormat="1" applyFont="1" applyFill="1" applyBorder="1" applyAlignment="1">
      <alignment horizontal="center" vertical="center"/>
    </xf>
    <xf numFmtId="0" fontId="3" fillId="4" borderId="2" xfId="5" applyFont="1" applyFill="1" applyBorder="1" applyAlignment="1">
      <alignment horizontal="center" vertical="center" wrapText="1"/>
    </xf>
    <xf numFmtId="0" fontId="3" fillId="4" borderId="2" xfId="5" applyFont="1" applyFill="1" applyBorder="1" applyAlignment="1">
      <alignment horizontal="left" vertical="center" wrapText="1"/>
    </xf>
    <xf numFmtId="0" fontId="3" fillId="4" borderId="2" xfId="5" applyFont="1" applyFill="1" applyBorder="1" applyAlignment="1">
      <alignment horizontal="center" vertical="center"/>
    </xf>
    <xf numFmtId="0" fontId="3" fillId="0" borderId="1" xfId="5" applyFont="1" applyFill="1" applyAlignment="1">
      <alignment horizontal="center" vertical="center"/>
    </xf>
    <xf numFmtId="0" fontId="3" fillId="0" borderId="2" xfId="5" applyFont="1" applyFill="1" applyBorder="1" applyAlignment="1">
      <alignment horizontal="center" textRotation="90" wrapText="1"/>
    </xf>
    <xf numFmtId="0" fontId="4" fillId="0" borderId="2" xfId="5" applyFont="1" applyFill="1" applyBorder="1" applyAlignment="1">
      <alignment horizontal="center" vertical="center" textRotation="90" wrapText="1"/>
    </xf>
    <xf numFmtId="0" fontId="3" fillId="0" borderId="2" xfId="5" applyFont="1" applyFill="1" applyBorder="1" applyAlignment="1">
      <alignment horizontal="left" vertical="center" wrapText="1"/>
    </xf>
    <xf numFmtId="2" fontId="3" fillId="0" borderId="2" xfId="5" applyNumberFormat="1" applyFont="1" applyFill="1" applyBorder="1" applyAlignment="1">
      <alignment horizontal="center" vertical="center"/>
    </xf>
    <xf numFmtId="0" fontId="5" fillId="0" borderId="1" xfId="5" applyFont="1" applyFill="1" applyAlignment="1">
      <alignment horizontal="left" vertical="center"/>
    </xf>
    <xf numFmtId="0" fontId="3" fillId="0" borderId="2" xfId="5" applyFont="1" applyFill="1" applyBorder="1" applyAlignment="1">
      <alignment horizontal="center" vertical="center"/>
    </xf>
    <xf numFmtId="0" fontId="5" fillId="0" borderId="1" xfId="5" applyFont="1" applyFill="1" applyAlignment="1">
      <alignment horizontal="center" vertical="center"/>
    </xf>
    <xf numFmtId="0" fontId="6" fillId="0" borderId="1" xfId="5" applyFont="1" applyFill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  <xf numFmtId="0" fontId="3" fillId="0" borderId="2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 wrapText="1"/>
    </xf>
    <xf numFmtId="0" fontId="5" fillId="0" borderId="1" xfId="5" applyFont="1" applyAlignment="1">
      <alignment horizontal="center" vertical="center"/>
    </xf>
    <xf numFmtId="0" fontId="6" fillId="0" borderId="1" xfId="5" applyFont="1" applyAlignment="1">
      <alignment horizontal="center" vertical="center"/>
    </xf>
    <xf numFmtId="0" fontId="3" fillId="0" borderId="2" xfId="5" quotePrefix="1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 wrapText="1"/>
    </xf>
    <xf numFmtId="0" fontId="5" fillId="0" borderId="1" xfId="5" applyFont="1" applyAlignment="1">
      <alignment horizontal="center" vertical="center"/>
    </xf>
    <xf numFmtId="0" fontId="6" fillId="0" borderId="1" xfId="5" applyFont="1" applyAlignment="1">
      <alignment horizontal="center" vertical="center"/>
    </xf>
    <xf numFmtId="0" fontId="3" fillId="0" borderId="2" xfId="5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5" fillId="0" borderId="1" xfId="5" applyFont="1" applyFill="1" applyAlignment="1">
      <alignment horizontal="center" vertical="center"/>
    </xf>
    <xf numFmtId="0" fontId="6" fillId="0" borderId="1" xfId="5" applyFont="1" applyFill="1" applyAlignment="1">
      <alignment horizontal="center" vertical="center"/>
    </xf>
    <xf numFmtId="0" fontId="3" fillId="0" borderId="2" xfId="5" quotePrefix="1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R43"/>
  <sheetViews>
    <sheetView tabSelected="1"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5" customFormat="1" ht="1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5" customFormat="1" ht="1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s="4" customFormat="1" ht="15" customHeight="1" x14ac:dyDescent="0.25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s="5" customFormat="1" ht="15" customHeight="1" x14ac:dyDescent="0.25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s="5" customFormat="1" ht="15" customHeight="1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s="5" customFormat="1" ht="15" customHeight="1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7" spans="1:18" ht="15" customHeight="1" x14ac:dyDescent="0.25">
      <c r="A7" s="31" t="s">
        <v>6</v>
      </c>
      <c r="B7" s="33" t="s">
        <v>7</v>
      </c>
      <c r="C7" s="33" t="s">
        <v>8</v>
      </c>
      <c r="D7" s="32" t="s">
        <v>9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1:18" ht="125.1" customHeight="1" x14ac:dyDescent="0.25">
      <c r="A8" s="32"/>
      <c r="B8" s="32"/>
      <c r="C8" s="32"/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7" t="s">
        <v>21</v>
      </c>
      <c r="P8" s="7" t="s">
        <v>22</v>
      </c>
      <c r="Q8" s="7" t="s">
        <v>23</v>
      </c>
      <c r="R8" s="8" t="s">
        <v>24</v>
      </c>
    </row>
    <row r="9" spans="1:18" ht="15" customHeight="1" x14ac:dyDescent="0.25">
      <c r="A9" s="12" t="s">
        <v>25</v>
      </c>
      <c r="B9" s="12">
        <v>1</v>
      </c>
      <c r="C9" s="2" t="s">
        <v>26</v>
      </c>
      <c r="D9" s="6">
        <v>7</v>
      </c>
      <c r="E9" s="6">
        <v>10</v>
      </c>
      <c r="F9" s="6">
        <v>9</v>
      </c>
      <c r="G9" s="6">
        <v>10</v>
      </c>
      <c r="H9" s="6">
        <v>9</v>
      </c>
      <c r="I9" s="6">
        <v>8</v>
      </c>
      <c r="J9" s="6">
        <v>10</v>
      </c>
      <c r="K9" s="6">
        <v>8</v>
      </c>
      <c r="L9" s="6">
        <v>10</v>
      </c>
      <c r="M9" s="6">
        <v>10</v>
      </c>
      <c r="N9" s="6">
        <v>6</v>
      </c>
      <c r="O9" s="6">
        <v>7</v>
      </c>
      <c r="P9" s="6">
        <v>7</v>
      </c>
      <c r="Q9" s="6">
        <v>5</v>
      </c>
      <c r="R9" s="9">
        <f t="shared" ref="R9:R34" si="0">IF(COUNTIF(D9:Q9,"=*")&gt;0,"-",(IFERROR(AVERAGE(D9:Q9),"")))</f>
        <v>8.2857142857142865</v>
      </c>
    </row>
    <row r="10" spans="1:18" ht="15" customHeight="1" x14ac:dyDescent="0.25">
      <c r="A10" s="12" t="s">
        <v>27</v>
      </c>
      <c r="B10" s="12">
        <v>2</v>
      </c>
      <c r="C10" s="2" t="s">
        <v>28</v>
      </c>
      <c r="D10" s="6">
        <v>7</v>
      </c>
      <c r="E10" s="6">
        <v>10</v>
      </c>
      <c r="F10" s="6">
        <v>10</v>
      </c>
      <c r="G10" s="6">
        <v>8</v>
      </c>
      <c r="H10" s="6">
        <v>9</v>
      </c>
      <c r="I10" s="6">
        <v>8</v>
      </c>
      <c r="J10" s="6">
        <v>10</v>
      </c>
      <c r="K10" s="6">
        <v>8</v>
      </c>
      <c r="L10" s="6">
        <v>8</v>
      </c>
      <c r="M10" s="6">
        <v>8</v>
      </c>
      <c r="N10" s="6">
        <v>8</v>
      </c>
      <c r="O10" s="6">
        <v>9</v>
      </c>
      <c r="P10" s="6">
        <v>7</v>
      </c>
      <c r="Q10" s="6">
        <v>7</v>
      </c>
      <c r="R10" s="9">
        <f t="shared" si="0"/>
        <v>8.3571428571428577</v>
      </c>
    </row>
    <row r="11" spans="1:18" ht="15" customHeight="1" x14ac:dyDescent="0.25">
      <c r="A11" s="12" t="s">
        <v>27</v>
      </c>
      <c r="B11" s="12">
        <v>3</v>
      </c>
      <c r="C11" s="2" t="s">
        <v>29</v>
      </c>
      <c r="D11" s="6">
        <v>7</v>
      </c>
      <c r="E11" s="6">
        <v>9</v>
      </c>
      <c r="F11" s="6">
        <v>7</v>
      </c>
      <c r="G11" s="6">
        <v>4</v>
      </c>
      <c r="H11" s="6">
        <v>7</v>
      </c>
      <c r="I11" s="6">
        <v>6</v>
      </c>
      <c r="J11" s="6">
        <v>5</v>
      </c>
      <c r="K11" s="6">
        <v>8</v>
      </c>
      <c r="L11" s="6">
        <v>6</v>
      </c>
      <c r="M11" s="6">
        <v>7</v>
      </c>
      <c r="N11" s="6">
        <v>10</v>
      </c>
      <c r="O11" s="6">
        <v>6</v>
      </c>
      <c r="P11" s="6">
        <v>10</v>
      </c>
      <c r="Q11" s="6">
        <v>6</v>
      </c>
      <c r="R11" s="9">
        <f t="shared" si="0"/>
        <v>7</v>
      </c>
    </row>
    <row r="12" spans="1:18" ht="15" customHeight="1" x14ac:dyDescent="0.25">
      <c r="A12" s="12" t="s">
        <v>27</v>
      </c>
      <c r="B12" s="12">
        <v>4</v>
      </c>
      <c r="C12" s="2" t="s">
        <v>30</v>
      </c>
      <c r="D12" s="6">
        <v>10</v>
      </c>
      <c r="E12" s="6">
        <v>10</v>
      </c>
      <c r="F12" s="6">
        <v>10</v>
      </c>
      <c r="G12" s="6">
        <v>9</v>
      </c>
      <c r="H12" s="6">
        <v>10</v>
      </c>
      <c r="I12" s="6">
        <v>10</v>
      </c>
      <c r="J12" s="6">
        <v>10</v>
      </c>
      <c r="K12" s="6">
        <v>9</v>
      </c>
      <c r="L12" s="6">
        <v>10</v>
      </c>
      <c r="M12" s="6">
        <v>10</v>
      </c>
      <c r="N12" s="6">
        <v>10</v>
      </c>
      <c r="O12" s="6">
        <v>10</v>
      </c>
      <c r="P12" s="6">
        <v>10</v>
      </c>
      <c r="Q12" s="6">
        <v>10</v>
      </c>
      <c r="R12" s="9">
        <f t="shared" si="0"/>
        <v>9.8571428571428577</v>
      </c>
    </row>
    <row r="13" spans="1:18" ht="15" customHeight="1" x14ac:dyDescent="0.25">
      <c r="A13" s="12" t="s">
        <v>27</v>
      </c>
      <c r="B13" s="12">
        <v>5</v>
      </c>
      <c r="C13" s="2" t="s">
        <v>31</v>
      </c>
      <c r="D13" s="6">
        <v>9</v>
      </c>
      <c r="E13" s="6">
        <v>9</v>
      </c>
      <c r="F13" s="6">
        <v>10</v>
      </c>
      <c r="G13" s="6">
        <v>10</v>
      </c>
      <c r="H13" s="6">
        <v>10</v>
      </c>
      <c r="I13" s="6">
        <v>10</v>
      </c>
      <c r="J13" s="6">
        <v>8</v>
      </c>
      <c r="K13" s="6">
        <v>9</v>
      </c>
      <c r="L13" s="6">
        <v>9</v>
      </c>
      <c r="M13" s="6">
        <v>10</v>
      </c>
      <c r="N13" s="6">
        <v>9</v>
      </c>
      <c r="O13" s="6">
        <v>6</v>
      </c>
      <c r="P13" s="6">
        <v>10</v>
      </c>
      <c r="Q13" s="6">
        <v>8</v>
      </c>
      <c r="R13" s="9">
        <f t="shared" si="0"/>
        <v>9.0714285714285712</v>
      </c>
    </row>
    <row r="14" spans="1:18" ht="15" customHeight="1" x14ac:dyDescent="0.25">
      <c r="A14" s="12" t="s">
        <v>27</v>
      </c>
      <c r="B14" s="12">
        <v>6</v>
      </c>
      <c r="C14" s="2" t="s">
        <v>32</v>
      </c>
      <c r="D14" s="6">
        <v>9</v>
      </c>
      <c r="E14" s="6">
        <v>10</v>
      </c>
      <c r="F14" s="6">
        <v>10</v>
      </c>
      <c r="G14" s="6">
        <v>9</v>
      </c>
      <c r="H14" s="6">
        <v>10</v>
      </c>
      <c r="I14" s="6">
        <v>10</v>
      </c>
      <c r="J14" s="6">
        <v>10</v>
      </c>
      <c r="K14" s="6">
        <v>9</v>
      </c>
      <c r="L14" s="6">
        <v>8</v>
      </c>
      <c r="M14" s="6">
        <v>10</v>
      </c>
      <c r="N14" s="6">
        <v>10</v>
      </c>
      <c r="O14" s="6">
        <v>8</v>
      </c>
      <c r="P14" s="6">
        <v>10</v>
      </c>
      <c r="Q14" s="6">
        <v>7</v>
      </c>
      <c r="R14" s="9">
        <f t="shared" si="0"/>
        <v>9.2857142857142865</v>
      </c>
    </row>
    <row r="15" spans="1:18" ht="15" customHeight="1" x14ac:dyDescent="0.25">
      <c r="A15" s="12" t="s">
        <v>27</v>
      </c>
      <c r="B15" s="12">
        <v>7</v>
      </c>
      <c r="C15" s="2" t="s">
        <v>33</v>
      </c>
      <c r="D15" s="6">
        <v>10</v>
      </c>
      <c r="E15" s="6">
        <v>10</v>
      </c>
      <c r="F15" s="6">
        <v>10</v>
      </c>
      <c r="G15" s="6">
        <v>10</v>
      </c>
      <c r="H15" s="6">
        <v>10</v>
      </c>
      <c r="I15" s="6">
        <v>11</v>
      </c>
      <c r="J15" s="6">
        <v>11</v>
      </c>
      <c r="K15" s="6">
        <v>10</v>
      </c>
      <c r="L15" s="6">
        <v>10</v>
      </c>
      <c r="M15" s="6">
        <v>10</v>
      </c>
      <c r="N15" s="6">
        <v>10</v>
      </c>
      <c r="O15" s="6">
        <v>10</v>
      </c>
      <c r="P15" s="6">
        <v>10</v>
      </c>
      <c r="Q15" s="6">
        <v>10</v>
      </c>
      <c r="R15" s="9">
        <f t="shared" si="0"/>
        <v>10.142857142857142</v>
      </c>
    </row>
    <row r="16" spans="1:18" ht="15" customHeight="1" x14ac:dyDescent="0.25">
      <c r="A16" s="12" t="s">
        <v>27</v>
      </c>
      <c r="B16" s="12">
        <v>8</v>
      </c>
      <c r="C16" s="2" t="s">
        <v>34</v>
      </c>
      <c r="D16" s="6">
        <v>10</v>
      </c>
      <c r="E16" s="6">
        <v>10</v>
      </c>
      <c r="F16" s="6">
        <v>10</v>
      </c>
      <c r="G16" s="6">
        <v>10</v>
      </c>
      <c r="H16" s="6">
        <v>9</v>
      </c>
      <c r="I16" s="6">
        <v>11</v>
      </c>
      <c r="J16" s="6">
        <v>10</v>
      </c>
      <c r="K16" s="6">
        <v>9</v>
      </c>
      <c r="L16" s="6">
        <v>10</v>
      </c>
      <c r="M16" s="6">
        <v>10</v>
      </c>
      <c r="N16" s="6">
        <v>10</v>
      </c>
      <c r="O16" s="6">
        <v>10</v>
      </c>
      <c r="P16" s="6">
        <v>10</v>
      </c>
      <c r="Q16" s="6">
        <v>10</v>
      </c>
      <c r="R16" s="9">
        <f t="shared" si="0"/>
        <v>9.9285714285714288</v>
      </c>
    </row>
    <row r="17" spans="1:18" ht="15" customHeight="1" x14ac:dyDescent="0.25">
      <c r="A17" s="12" t="s">
        <v>27</v>
      </c>
      <c r="B17" s="12">
        <v>9</v>
      </c>
      <c r="C17" s="2" t="s">
        <v>35</v>
      </c>
      <c r="D17" s="6">
        <v>9</v>
      </c>
      <c r="E17" s="6">
        <v>10</v>
      </c>
      <c r="F17" s="6">
        <v>10</v>
      </c>
      <c r="G17" s="6">
        <v>10</v>
      </c>
      <c r="H17" s="6">
        <v>10</v>
      </c>
      <c r="I17" s="6">
        <v>10</v>
      </c>
      <c r="J17" s="6">
        <v>10</v>
      </c>
      <c r="K17" s="6">
        <v>9</v>
      </c>
      <c r="L17" s="6">
        <v>10</v>
      </c>
      <c r="M17" s="6">
        <v>10</v>
      </c>
      <c r="N17" s="6">
        <v>9</v>
      </c>
      <c r="O17" s="6">
        <v>10</v>
      </c>
      <c r="P17" s="6">
        <v>10</v>
      </c>
      <c r="Q17" s="6">
        <v>8</v>
      </c>
      <c r="R17" s="9">
        <f t="shared" si="0"/>
        <v>9.6428571428571423</v>
      </c>
    </row>
    <row r="18" spans="1:18" ht="15" customHeight="1" x14ac:dyDescent="0.25">
      <c r="A18" s="12" t="s">
        <v>25</v>
      </c>
      <c r="B18" s="12">
        <v>10</v>
      </c>
      <c r="C18" s="2" t="s">
        <v>36</v>
      </c>
      <c r="D18" s="6">
        <v>10</v>
      </c>
      <c r="E18" s="6">
        <v>10</v>
      </c>
      <c r="F18" s="6">
        <v>10</v>
      </c>
      <c r="G18" s="6">
        <v>9</v>
      </c>
      <c r="H18" s="6">
        <v>9</v>
      </c>
      <c r="I18" s="6">
        <v>8</v>
      </c>
      <c r="J18" s="6">
        <v>9</v>
      </c>
      <c r="K18" s="6">
        <v>8</v>
      </c>
      <c r="L18" s="6">
        <v>9</v>
      </c>
      <c r="M18" s="6">
        <v>10</v>
      </c>
      <c r="N18" s="6">
        <v>10</v>
      </c>
      <c r="O18" s="6">
        <v>9</v>
      </c>
      <c r="P18" s="6">
        <v>10</v>
      </c>
      <c r="Q18" s="6">
        <v>8</v>
      </c>
      <c r="R18" s="9">
        <f t="shared" si="0"/>
        <v>9.2142857142857135</v>
      </c>
    </row>
    <row r="19" spans="1:18" ht="15" customHeight="1" x14ac:dyDescent="0.25">
      <c r="A19" s="12" t="s">
        <v>25</v>
      </c>
      <c r="B19" s="12">
        <v>11</v>
      </c>
      <c r="C19" s="2" t="s">
        <v>37</v>
      </c>
      <c r="D19" s="6">
        <v>9</v>
      </c>
      <c r="E19" s="6">
        <v>9</v>
      </c>
      <c r="F19" s="6">
        <v>9</v>
      </c>
      <c r="G19" s="6">
        <v>9</v>
      </c>
      <c r="H19" s="6">
        <v>9</v>
      </c>
      <c r="I19" s="6">
        <v>7</v>
      </c>
      <c r="J19" s="6">
        <v>6</v>
      </c>
      <c r="K19" s="6">
        <v>6</v>
      </c>
      <c r="L19" s="6">
        <v>5</v>
      </c>
      <c r="M19" s="6">
        <v>10</v>
      </c>
      <c r="N19" s="6">
        <v>7</v>
      </c>
      <c r="O19" s="6">
        <v>6</v>
      </c>
      <c r="P19" s="6">
        <v>8</v>
      </c>
      <c r="Q19" s="6">
        <v>9</v>
      </c>
      <c r="R19" s="9">
        <f t="shared" si="0"/>
        <v>7.7857142857142856</v>
      </c>
    </row>
    <row r="20" spans="1:18" ht="15" customHeight="1" x14ac:dyDescent="0.25">
      <c r="A20" s="12" t="s">
        <v>25</v>
      </c>
      <c r="B20" s="12">
        <v>12</v>
      </c>
      <c r="C20" s="2" t="s">
        <v>38</v>
      </c>
      <c r="D20" s="6">
        <v>9</v>
      </c>
      <c r="E20" s="6">
        <v>8</v>
      </c>
      <c r="F20" s="6">
        <v>8</v>
      </c>
      <c r="G20" s="6">
        <v>4</v>
      </c>
      <c r="H20" s="6">
        <v>6</v>
      </c>
      <c r="I20" s="6">
        <v>6</v>
      </c>
      <c r="J20" s="6">
        <v>4</v>
      </c>
      <c r="K20" s="6">
        <v>7</v>
      </c>
      <c r="L20" s="6">
        <v>4</v>
      </c>
      <c r="M20" s="6">
        <v>7</v>
      </c>
      <c r="N20" s="6">
        <v>6</v>
      </c>
      <c r="O20" s="6" t="s">
        <v>39</v>
      </c>
      <c r="P20" s="6">
        <v>4</v>
      </c>
      <c r="Q20" s="6">
        <v>5</v>
      </c>
      <c r="R20" s="9" t="str">
        <f t="shared" si="0"/>
        <v>-</v>
      </c>
    </row>
    <row r="21" spans="1:18" ht="15" customHeight="1" x14ac:dyDescent="0.25">
      <c r="A21" s="12" t="s">
        <v>25</v>
      </c>
      <c r="B21" s="12">
        <v>13</v>
      </c>
      <c r="C21" s="2" t="s">
        <v>40</v>
      </c>
      <c r="D21" s="6">
        <v>8</v>
      </c>
      <c r="E21" s="6">
        <v>8</v>
      </c>
      <c r="F21" s="6">
        <v>8</v>
      </c>
      <c r="G21" s="6">
        <v>9</v>
      </c>
      <c r="H21" s="6">
        <v>9</v>
      </c>
      <c r="I21" s="6">
        <v>8</v>
      </c>
      <c r="J21" s="6">
        <v>10</v>
      </c>
      <c r="K21" s="6">
        <v>8</v>
      </c>
      <c r="L21" s="6">
        <v>8</v>
      </c>
      <c r="M21" s="6">
        <v>9</v>
      </c>
      <c r="N21" s="6">
        <v>9</v>
      </c>
      <c r="O21" s="6">
        <v>9</v>
      </c>
      <c r="P21" s="6">
        <v>8</v>
      </c>
      <c r="Q21" s="6">
        <v>5</v>
      </c>
      <c r="R21" s="9">
        <f t="shared" si="0"/>
        <v>8.2857142857142865</v>
      </c>
    </row>
    <row r="22" spans="1:18" ht="15" customHeight="1" x14ac:dyDescent="0.25">
      <c r="A22" s="12" t="s">
        <v>27</v>
      </c>
      <c r="B22" s="12">
        <v>14</v>
      </c>
      <c r="C22" s="2" t="s">
        <v>41</v>
      </c>
      <c r="D22" s="6">
        <v>10</v>
      </c>
      <c r="E22" s="6">
        <v>9</v>
      </c>
      <c r="F22" s="6">
        <v>10</v>
      </c>
      <c r="G22" s="6">
        <v>10</v>
      </c>
      <c r="H22" s="6">
        <v>10</v>
      </c>
      <c r="I22" s="6">
        <v>11</v>
      </c>
      <c r="J22" s="6">
        <v>10</v>
      </c>
      <c r="K22" s="6">
        <v>8</v>
      </c>
      <c r="L22" s="6">
        <v>10</v>
      </c>
      <c r="M22" s="6">
        <v>10</v>
      </c>
      <c r="N22" s="6">
        <v>11</v>
      </c>
      <c r="O22" s="6">
        <v>10</v>
      </c>
      <c r="P22" s="6">
        <v>10</v>
      </c>
      <c r="Q22" s="6">
        <v>10</v>
      </c>
      <c r="R22" s="9">
        <f t="shared" si="0"/>
        <v>9.9285714285714288</v>
      </c>
    </row>
    <row r="23" spans="1:18" ht="15" customHeight="1" x14ac:dyDescent="0.25">
      <c r="A23" s="12" t="s">
        <v>27</v>
      </c>
      <c r="B23" s="12">
        <v>15</v>
      </c>
      <c r="C23" s="2" t="s">
        <v>42</v>
      </c>
      <c r="D23" s="6">
        <v>8</v>
      </c>
      <c r="E23" s="6">
        <v>10</v>
      </c>
      <c r="F23" s="6">
        <v>10</v>
      </c>
      <c r="G23" s="6">
        <v>8</v>
      </c>
      <c r="H23" s="6">
        <v>10</v>
      </c>
      <c r="I23" s="6">
        <v>10</v>
      </c>
      <c r="J23" s="6">
        <v>8</v>
      </c>
      <c r="K23" s="6">
        <v>8</v>
      </c>
      <c r="L23" s="6">
        <v>8</v>
      </c>
      <c r="M23" s="6">
        <v>9</v>
      </c>
      <c r="N23" s="6">
        <v>9</v>
      </c>
      <c r="O23" s="6">
        <v>9</v>
      </c>
      <c r="P23" s="6">
        <v>10</v>
      </c>
      <c r="Q23" s="6">
        <v>7</v>
      </c>
      <c r="R23" s="9">
        <f t="shared" si="0"/>
        <v>8.8571428571428577</v>
      </c>
    </row>
    <row r="24" spans="1:18" ht="15" customHeight="1" x14ac:dyDescent="0.25">
      <c r="A24" s="12" t="s">
        <v>25</v>
      </c>
      <c r="B24" s="12">
        <v>16</v>
      </c>
      <c r="C24" s="2" t="s">
        <v>43</v>
      </c>
      <c r="D24" s="6">
        <v>7</v>
      </c>
      <c r="E24" s="6">
        <v>8</v>
      </c>
      <c r="F24" s="6">
        <v>7</v>
      </c>
      <c r="G24" s="6">
        <v>6</v>
      </c>
      <c r="H24" s="6">
        <v>8</v>
      </c>
      <c r="I24" s="6">
        <v>8</v>
      </c>
      <c r="J24" s="6">
        <v>8</v>
      </c>
      <c r="K24" s="6">
        <v>8</v>
      </c>
      <c r="L24" s="6">
        <v>7</v>
      </c>
      <c r="M24" s="6">
        <v>8</v>
      </c>
      <c r="N24" s="6">
        <v>10</v>
      </c>
      <c r="O24" s="6">
        <v>7</v>
      </c>
      <c r="P24" s="6">
        <v>8</v>
      </c>
      <c r="Q24" s="6">
        <v>6</v>
      </c>
      <c r="R24" s="9">
        <f t="shared" si="0"/>
        <v>7.5714285714285712</v>
      </c>
    </row>
    <row r="25" spans="1:18" ht="15" customHeight="1" x14ac:dyDescent="0.25">
      <c r="A25" s="12" t="s">
        <v>27</v>
      </c>
      <c r="B25" s="12">
        <v>17</v>
      </c>
      <c r="C25" s="2" t="s">
        <v>44</v>
      </c>
      <c r="D25" s="6">
        <v>5</v>
      </c>
      <c r="E25" s="6">
        <v>8</v>
      </c>
      <c r="F25" s="6">
        <v>9</v>
      </c>
      <c r="G25" s="6">
        <v>6</v>
      </c>
      <c r="H25" s="6">
        <v>9</v>
      </c>
      <c r="I25" s="6">
        <v>6</v>
      </c>
      <c r="J25" s="6">
        <v>7</v>
      </c>
      <c r="K25" s="6">
        <v>8</v>
      </c>
      <c r="L25" s="6">
        <v>6</v>
      </c>
      <c r="M25" s="6">
        <v>9</v>
      </c>
      <c r="N25" s="6">
        <v>9</v>
      </c>
      <c r="O25" s="6">
        <v>6</v>
      </c>
      <c r="P25" s="6">
        <v>6</v>
      </c>
      <c r="Q25" s="6">
        <v>6</v>
      </c>
      <c r="R25" s="9">
        <f t="shared" si="0"/>
        <v>7.1428571428571432</v>
      </c>
    </row>
    <row r="26" spans="1:18" ht="15" customHeight="1" x14ac:dyDescent="0.25">
      <c r="A26" s="12" t="s">
        <v>25</v>
      </c>
      <c r="B26" s="12">
        <v>18</v>
      </c>
      <c r="C26" s="2" t="s">
        <v>45</v>
      </c>
      <c r="D26" s="6">
        <v>8</v>
      </c>
      <c r="E26" s="6">
        <v>9</v>
      </c>
      <c r="F26" s="6">
        <v>10</v>
      </c>
      <c r="G26" s="6">
        <v>9</v>
      </c>
      <c r="H26" s="6">
        <v>10</v>
      </c>
      <c r="I26" s="6">
        <v>10</v>
      </c>
      <c r="J26" s="6">
        <v>10</v>
      </c>
      <c r="K26" s="6">
        <v>8</v>
      </c>
      <c r="L26" s="6">
        <v>7</v>
      </c>
      <c r="M26" s="6">
        <v>10</v>
      </c>
      <c r="N26" s="6">
        <v>10</v>
      </c>
      <c r="O26" s="6">
        <v>9</v>
      </c>
      <c r="P26" s="6">
        <v>6</v>
      </c>
      <c r="Q26" s="6">
        <v>8</v>
      </c>
      <c r="R26" s="9">
        <f t="shared" si="0"/>
        <v>8.8571428571428577</v>
      </c>
    </row>
    <row r="27" spans="1:18" ht="15" customHeight="1" x14ac:dyDescent="0.25">
      <c r="A27" s="12" t="s">
        <v>27</v>
      </c>
      <c r="B27" s="12">
        <v>19</v>
      </c>
      <c r="C27" s="2" t="s">
        <v>46</v>
      </c>
      <c r="D27" s="6">
        <v>8</v>
      </c>
      <c r="E27" s="6">
        <v>10</v>
      </c>
      <c r="F27" s="6">
        <v>10</v>
      </c>
      <c r="G27" s="6">
        <v>9</v>
      </c>
      <c r="H27" s="6">
        <v>9</v>
      </c>
      <c r="I27" s="6">
        <v>11</v>
      </c>
      <c r="J27" s="6">
        <v>8</v>
      </c>
      <c r="K27" s="6">
        <v>7</v>
      </c>
      <c r="L27" s="6">
        <v>8</v>
      </c>
      <c r="M27" s="6">
        <v>9</v>
      </c>
      <c r="N27" s="6">
        <v>10</v>
      </c>
      <c r="O27" s="6">
        <v>9</v>
      </c>
      <c r="P27" s="6">
        <v>8</v>
      </c>
      <c r="Q27" s="6">
        <v>8</v>
      </c>
      <c r="R27" s="9">
        <f t="shared" si="0"/>
        <v>8.8571428571428577</v>
      </c>
    </row>
    <row r="28" spans="1:18" ht="15" customHeight="1" x14ac:dyDescent="0.25">
      <c r="A28" s="12" t="s">
        <v>25</v>
      </c>
      <c r="B28" s="12">
        <v>20</v>
      </c>
      <c r="C28" s="2" t="s">
        <v>47</v>
      </c>
      <c r="D28" s="6">
        <v>8</v>
      </c>
      <c r="E28" s="6">
        <v>10</v>
      </c>
      <c r="F28" s="6">
        <v>8</v>
      </c>
      <c r="G28" s="6">
        <v>10</v>
      </c>
      <c r="H28" s="6">
        <v>10</v>
      </c>
      <c r="I28" s="6">
        <v>8</v>
      </c>
      <c r="J28" s="6">
        <v>9</v>
      </c>
      <c r="K28" s="6">
        <v>8</v>
      </c>
      <c r="L28" s="6">
        <v>8</v>
      </c>
      <c r="M28" s="6">
        <v>8</v>
      </c>
      <c r="N28" s="6">
        <v>10</v>
      </c>
      <c r="O28" s="6">
        <v>8</v>
      </c>
      <c r="P28" s="6">
        <v>8</v>
      </c>
      <c r="Q28" s="6">
        <v>9</v>
      </c>
      <c r="R28" s="9">
        <f t="shared" si="0"/>
        <v>8.7142857142857135</v>
      </c>
    </row>
    <row r="29" spans="1:18" ht="15" customHeight="1" x14ac:dyDescent="0.25">
      <c r="A29" s="12" t="s">
        <v>27</v>
      </c>
      <c r="B29" s="12">
        <v>21</v>
      </c>
      <c r="C29" s="2" t="s">
        <v>48</v>
      </c>
      <c r="D29" s="6">
        <v>9</v>
      </c>
      <c r="E29" s="6">
        <v>10</v>
      </c>
      <c r="F29" s="6">
        <v>10</v>
      </c>
      <c r="G29" s="6">
        <v>10</v>
      </c>
      <c r="H29" s="6">
        <v>8</v>
      </c>
      <c r="I29" s="6">
        <v>10</v>
      </c>
      <c r="J29" s="6">
        <v>10</v>
      </c>
      <c r="K29" s="6">
        <v>8</v>
      </c>
      <c r="L29" s="6">
        <v>10</v>
      </c>
      <c r="M29" s="6">
        <v>10</v>
      </c>
      <c r="N29" s="6">
        <v>10</v>
      </c>
      <c r="O29" s="6">
        <v>10</v>
      </c>
      <c r="P29" s="6">
        <v>9</v>
      </c>
      <c r="Q29" s="6">
        <v>9</v>
      </c>
      <c r="R29" s="9">
        <f t="shared" si="0"/>
        <v>9.5</v>
      </c>
    </row>
    <row r="30" spans="1:18" ht="15" customHeight="1" x14ac:dyDescent="0.25">
      <c r="A30" s="12" t="s">
        <v>25</v>
      </c>
      <c r="B30" s="12">
        <v>22</v>
      </c>
      <c r="C30" s="2" t="s">
        <v>49</v>
      </c>
      <c r="D30" s="6">
        <v>7</v>
      </c>
      <c r="E30" s="6">
        <v>7</v>
      </c>
      <c r="F30" s="6">
        <v>5</v>
      </c>
      <c r="G30" s="6" t="s">
        <v>39</v>
      </c>
      <c r="H30" s="6">
        <v>6</v>
      </c>
      <c r="I30" s="6">
        <v>6</v>
      </c>
      <c r="J30" s="6">
        <v>4</v>
      </c>
      <c r="K30" s="6">
        <v>6</v>
      </c>
      <c r="L30" s="6">
        <v>6</v>
      </c>
      <c r="M30" s="6">
        <v>4</v>
      </c>
      <c r="N30" s="6">
        <v>6</v>
      </c>
      <c r="O30" s="6" t="s">
        <v>39</v>
      </c>
      <c r="P30" s="6">
        <v>6</v>
      </c>
      <c r="Q30" s="6">
        <v>7</v>
      </c>
      <c r="R30" s="9" t="str">
        <f t="shared" si="0"/>
        <v>-</v>
      </c>
    </row>
    <row r="31" spans="1:18" ht="15" customHeight="1" x14ac:dyDescent="0.25">
      <c r="A31" s="12" t="s">
        <v>25</v>
      </c>
      <c r="B31" s="12">
        <v>23</v>
      </c>
      <c r="C31" s="2" t="s">
        <v>50</v>
      </c>
      <c r="D31" s="6">
        <v>4</v>
      </c>
      <c r="E31" s="6">
        <v>6</v>
      </c>
      <c r="F31" s="6">
        <v>7</v>
      </c>
      <c r="G31" s="6">
        <v>4</v>
      </c>
      <c r="H31" s="6">
        <v>4</v>
      </c>
      <c r="I31" s="6">
        <v>6</v>
      </c>
      <c r="J31" s="6">
        <v>6</v>
      </c>
      <c r="K31" s="6">
        <v>6</v>
      </c>
      <c r="L31" s="6">
        <v>6</v>
      </c>
      <c r="M31" s="6">
        <v>4</v>
      </c>
      <c r="N31" s="6">
        <v>4</v>
      </c>
      <c r="O31" s="6" t="s">
        <v>39</v>
      </c>
      <c r="P31" s="6">
        <v>10</v>
      </c>
      <c r="Q31" s="6">
        <v>7</v>
      </c>
      <c r="R31" s="9" t="str">
        <f t="shared" si="0"/>
        <v>-</v>
      </c>
    </row>
    <row r="32" spans="1:18" ht="15" customHeight="1" x14ac:dyDescent="0.25">
      <c r="A32" s="12" t="s">
        <v>27</v>
      </c>
      <c r="B32" s="12">
        <v>24</v>
      </c>
      <c r="C32" s="2" t="s">
        <v>51</v>
      </c>
      <c r="D32" s="6">
        <v>9</v>
      </c>
      <c r="E32" s="6">
        <v>9</v>
      </c>
      <c r="F32" s="6">
        <v>9</v>
      </c>
      <c r="G32" s="6">
        <v>8</v>
      </c>
      <c r="H32" s="6">
        <v>10</v>
      </c>
      <c r="I32" s="6">
        <v>7</v>
      </c>
      <c r="J32" s="6">
        <v>8</v>
      </c>
      <c r="K32" s="6">
        <v>9</v>
      </c>
      <c r="L32" s="6">
        <v>8</v>
      </c>
      <c r="M32" s="6">
        <v>9</v>
      </c>
      <c r="N32" s="6">
        <v>10</v>
      </c>
      <c r="O32" s="6">
        <v>8</v>
      </c>
      <c r="P32" s="6">
        <v>8</v>
      </c>
      <c r="Q32" s="6">
        <v>7</v>
      </c>
      <c r="R32" s="9">
        <f t="shared" si="0"/>
        <v>8.5</v>
      </c>
    </row>
    <row r="33" spans="1:18" ht="15" customHeight="1" x14ac:dyDescent="0.25">
      <c r="A33" s="12" t="s">
        <v>27</v>
      </c>
      <c r="B33" s="12">
        <v>25</v>
      </c>
      <c r="C33" s="2" t="s">
        <v>52</v>
      </c>
      <c r="D33" s="6">
        <v>8</v>
      </c>
      <c r="E33" s="6">
        <v>9</v>
      </c>
      <c r="F33" s="6">
        <v>9</v>
      </c>
      <c r="G33" s="6">
        <v>9</v>
      </c>
      <c r="H33" s="6">
        <v>9</v>
      </c>
      <c r="I33" s="6">
        <v>7</v>
      </c>
      <c r="J33" s="6">
        <v>7</v>
      </c>
      <c r="K33" s="6">
        <v>7</v>
      </c>
      <c r="L33" s="6">
        <v>5</v>
      </c>
      <c r="M33" s="6">
        <v>9</v>
      </c>
      <c r="N33" s="6">
        <v>10</v>
      </c>
      <c r="O33" s="6">
        <v>7</v>
      </c>
      <c r="P33" s="6">
        <v>9</v>
      </c>
      <c r="Q33" s="6">
        <v>6</v>
      </c>
      <c r="R33" s="9">
        <f t="shared" si="0"/>
        <v>7.9285714285714288</v>
      </c>
    </row>
    <row r="34" spans="1:18" ht="15" customHeight="1" x14ac:dyDescent="0.25">
      <c r="A34" s="12" t="s">
        <v>27</v>
      </c>
      <c r="B34" s="12">
        <v>26</v>
      </c>
      <c r="C34" s="2" t="s">
        <v>53</v>
      </c>
      <c r="D34" s="6">
        <v>9</v>
      </c>
      <c r="E34" s="6">
        <v>10</v>
      </c>
      <c r="F34" s="6">
        <v>10</v>
      </c>
      <c r="G34" s="6">
        <v>10</v>
      </c>
      <c r="H34" s="6">
        <v>10</v>
      </c>
      <c r="I34" s="6">
        <v>9</v>
      </c>
      <c r="J34" s="6">
        <v>10</v>
      </c>
      <c r="K34" s="6">
        <v>9</v>
      </c>
      <c r="L34" s="6">
        <v>8</v>
      </c>
      <c r="M34" s="6">
        <v>10</v>
      </c>
      <c r="N34" s="6">
        <v>9</v>
      </c>
      <c r="O34" s="6">
        <v>10</v>
      </c>
      <c r="P34" s="6">
        <v>10</v>
      </c>
      <c r="Q34" s="6">
        <v>7</v>
      </c>
      <c r="R34" s="9">
        <f t="shared" si="0"/>
        <v>9.3571428571428577</v>
      </c>
    </row>
    <row r="35" spans="1:18" ht="15" customHeight="1" x14ac:dyDescent="0.25">
      <c r="C35" s="2" t="s">
        <v>54</v>
      </c>
      <c r="D35" s="10">
        <f>IF(SUM(D9:D34)/B34=0,"",SUM(D9:D34)/B34)</f>
        <v>8.2307692307692299</v>
      </c>
      <c r="E35" s="10">
        <f>IF(SUM(E9:E34)/B34=0,"",SUM(E9:E34)/B34)</f>
        <v>9.1538461538461533</v>
      </c>
      <c r="F35" s="10">
        <f>IF(SUM(F9:F34)/B34=0,"",SUM(F9:F34)/B34)</f>
        <v>9.0384615384615383</v>
      </c>
      <c r="G35" s="10">
        <f>IF(SUM(G9:G34)/B34=0,"",SUM(G9:G34)/B34)</f>
        <v>8.0769230769230766</v>
      </c>
      <c r="H35" s="10">
        <f>IF(SUM(H9:H34)/B34=0,"",SUM(H9:H34)/B34)</f>
        <v>8.8461538461538467</v>
      </c>
      <c r="I35" s="10">
        <f>IF(SUM(I9:I34)/B34=0,"",SUM(I9:I34)/B34)</f>
        <v>8.5384615384615383</v>
      </c>
      <c r="J35" s="10">
        <f>IF(SUM(J9:J34)/B34=0,"",SUM(J9:J34)/B34)</f>
        <v>8.384615384615385</v>
      </c>
      <c r="K35" s="10">
        <f>IF(SUM(K9:K34)/B34=0,"",SUM(K9:K34)/B34)</f>
        <v>8</v>
      </c>
      <c r="L35" s="10">
        <f>IF(SUM(L9:L34)/B34=0,"",SUM(L9:L34)/B34)</f>
        <v>7.8461538461538458</v>
      </c>
      <c r="M35" s="10">
        <f>IF(SUM(M9:M34)/B34=0,"",SUM(M9:M34)/B34)</f>
        <v>8.8461538461538467</v>
      </c>
      <c r="N35" s="10">
        <f>IF(SUM(N9:N34)/B34=0,"",SUM(N9:N34)/B34)</f>
        <v>8.9230769230769234</v>
      </c>
      <c r="O35" s="10">
        <f>IF(SUM(O9:O34)/B34=0,"",SUM(O9:O34)/B34)</f>
        <v>7.4230769230769234</v>
      </c>
      <c r="P35" s="10">
        <f>IF(SUM(P9:P34)/B34=0,"",SUM(P9:P34)/B34)</f>
        <v>8.5384615384615383</v>
      </c>
      <c r="Q35" s="10">
        <f>IF(SUM(Q9:Q34)/B34=0,"",SUM(Q9:Q34)/B34)</f>
        <v>7.5</v>
      </c>
      <c r="R35" s="9">
        <f>IFERROR(AVERAGE(D35:Q35),"")</f>
        <v>8.3818681318681296</v>
      </c>
    </row>
    <row r="36" spans="1:18" ht="15" customHeight="1" x14ac:dyDescent="0.25">
      <c r="C36" s="2" t="s">
        <v>55</v>
      </c>
      <c r="D36" s="11">
        <f>IF(COUNTIF(D9:D34,"&gt;=4")/B34*100=0,"",COUNTIF(D9:D34,"&gt;=4")/B34*100)</f>
        <v>100</v>
      </c>
      <c r="E36" s="11">
        <f>IF(COUNTIF(E9:E34,"&gt;=4")/B34*100=0,"",COUNTIF(E9:E34,"&gt;=4")/B34*100)</f>
        <v>100</v>
      </c>
      <c r="F36" s="11">
        <f>IF(COUNTIF(F9:F34,"&gt;=4")/B34*100=0,"",COUNTIF(F9:F34,"&gt;=4")/B34*100)</f>
        <v>100</v>
      </c>
      <c r="G36" s="11">
        <f>IF(COUNTIF(G9:G34,"&gt;=4")/B34*100=0,"",COUNTIF(G9:G34,"&gt;=4")/B34*100)</f>
        <v>96.15384615384616</v>
      </c>
      <c r="H36" s="11">
        <f>IF(COUNTIF(H9:H34,"&gt;=4")/B34*100=0,"",COUNTIF(H9:H34,"&gt;=4")/B34*100)</f>
        <v>100</v>
      </c>
      <c r="I36" s="11">
        <f>IF(COUNTIF(I9:I34,"&gt;=4")/B34*100=0,"",COUNTIF(I9:I34,"&gt;=4")/B34*100)</f>
        <v>100</v>
      </c>
      <c r="J36" s="11">
        <f>IF(COUNTIF(J9:J34,"&gt;=4")/B34*100=0,"",COUNTIF(J9:J34,"&gt;=4")/B34*100)</f>
        <v>100</v>
      </c>
      <c r="K36" s="11">
        <f>IF(COUNTIF(K9:K34,"&gt;=4")/B34*100=0,"",COUNTIF(K9:K34,"&gt;=4")/B34*100)</f>
        <v>100</v>
      </c>
      <c r="L36" s="11">
        <f>IF(COUNTIF(L9:L34,"&gt;=4")/B34*100=0,"",COUNTIF(L9:L34,"&gt;=4")/B34*100)</f>
        <v>100</v>
      </c>
      <c r="M36" s="11">
        <f>IF(COUNTIF(M9:M34,"&gt;=4")/B34*100=0,"",COUNTIF(M9:M34,"&gt;=4")/B34*100)</f>
        <v>100</v>
      </c>
      <c r="N36" s="11">
        <f>IF(COUNTIF(N9:N34,"&gt;=4")/B34*100=0,"",COUNTIF(N9:N34,"&gt;=4")/B34*100)</f>
        <v>100</v>
      </c>
      <c r="O36" s="11">
        <f>IF(COUNTIF(O9:O34,"&gt;=4")/B34*100=0,"",COUNTIF(O9:O34,"&gt;=4")/B34*100)</f>
        <v>88.461538461538453</v>
      </c>
      <c r="P36" s="11">
        <f>IF(COUNTIF(P9:P34,"&gt;=4")/B34*100=0,"",COUNTIF(P9:P34,"&gt;=4")/B34*100)</f>
        <v>100</v>
      </c>
      <c r="Q36" s="11">
        <f>IF(COUNTIF(Q9:Q34,"&gt;=4")/B34*100=0,"",COUNTIF(Q9:Q34,"&gt;=4")/B34*100)</f>
        <v>100</v>
      </c>
    </row>
    <row r="37" spans="1:18" ht="15" customHeight="1" x14ac:dyDescent="0.25">
      <c r="C37" s="2" t="s">
        <v>56</v>
      </c>
      <c r="D37" s="11">
        <f>IF(COUNTIF(D9:D34,"&gt;=7")/B34*100=0,"",COUNTIF(D9:D34,"&gt;=7")/B34*100)</f>
        <v>92.307692307692307</v>
      </c>
      <c r="E37" s="11">
        <f>IF(COUNTIF(E9:E34,"&gt;=7")/B34*100=0,"",COUNTIF(E9:E34,"&gt;=7")/B34*100)</f>
        <v>96.15384615384616</v>
      </c>
      <c r="F37" s="11">
        <f>IF(COUNTIF(F9:F34,"&gt;=7")/B34*100=0,"",COUNTIF(F9:F34,"&gt;=7")/B34*100)</f>
        <v>96.15384615384616</v>
      </c>
      <c r="G37" s="11">
        <f>IF(COUNTIF(G9:G34,"&gt;=7")/B34*100=0,"",COUNTIF(G9:G34,"&gt;=7")/B34*100)</f>
        <v>76.923076923076934</v>
      </c>
      <c r="H37" s="11">
        <f>IF(COUNTIF(H9:H34,"&gt;=7")/B34*100=0,"",COUNTIF(H9:H34,"&gt;=7")/B34*100)</f>
        <v>88.461538461538453</v>
      </c>
      <c r="I37" s="11">
        <f>IF(COUNTIF(I9:I34,"&gt;=7")/B34*100=0,"",COUNTIF(I9:I34,"&gt;=7")/B34*100)</f>
        <v>80.769230769230774</v>
      </c>
      <c r="J37" s="11">
        <f>IF(COUNTIF(J9:J34,"&gt;=7")/B34*100=0,"",COUNTIF(J9:J34,"&gt;=7")/B34*100)</f>
        <v>80.769230769230774</v>
      </c>
      <c r="K37" s="11">
        <f>IF(COUNTIF(K9:K34,"&gt;=7")/B34*100=0,"",COUNTIF(K9:K34,"&gt;=7")/B34*100)</f>
        <v>88.461538461538453</v>
      </c>
      <c r="L37" s="11">
        <f>IF(COUNTIF(L9:L34,"&gt;=7")/B34*100=0,"",COUNTIF(L9:L34,"&gt;=7")/B34*100)</f>
        <v>73.076923076923066</v>
      </c>
      <c r="M37" s="11">
        <f>IF(COUNTIF(M9:M34,"&gt;=7")/B34*100=0,"",COUNTIF(M9:M34,"&gt;=7")/B34*100)</f>
        <v>92.307692307692307</v>
      </c>
      <c r="N37" s="11">
        <f>IF(COUNTIF(N9:N34,"&gt;=7")/B34*100=0,"",COUNTIF(N9:N34,"&gt;=7")/B34*100)</f>
        <v>84.615384615384613</v>
      </c>
      <c r="O37" s="11">
        <f>IF(COUNTIF(O9:O34,"&gt;=7")/B34*100=0,"",COUNTIF(O9:O34,"&gt;=7")/B34*100)</f>
        <v>73.076923076923066</v>
      </c>
      <c r="P37" s="11">
        <f>IF(COUNTIF(P9:P34,"&gt;=7")/B34*100=0,"",COUNTIF(P9:P34,"&gt;=7")/B34*100)</f>
        <v>84.615384615384613</v>
      </c>
      <c r="Q37" s="11">
        <f>IF(COUNTIF(Q9:Q34,"&gt;=7")/B34*100=0,"",COUNTIF(Q9:Q34,"&gt;=7")/B34*100)</f>
        <v>73.076923076923066</v>
      </c>
    </row>
    <row r="38" spans="1:18" ht="15" customHeight="1" x14ac:dyDescent="0.25">
      <c r="C38" s="2" t="s">
        <v>57</v>
      </c>
      <c r="D38" s="10">
        <f>IFERROR(AVERAGE(D36:Q36),"")</f>
        <v>98.901098901098905</v>
      </c>
    </row>
    <row r="39" spans="1:18" ht="15" customHeight="1" x14ac:dyDescent="0.25">
      <c r="C39" s="2" t="s">
        <v>58</v>
      </c>
      <c r="D39" s="10">
        <f>IFERROR(AVERAGE(D37:Q37),"")</f>
        <v>84.340659340659343</v>
      </c>
    </row>
    <row r="40" spans="1:18" ht="15" customHeight="1" x14ac:dyDescent="0.25">
      <c r="C40" s="2" t="s">
        <v>59</v>
      </c>
      <c r="D40" s="6">
        <f>IF(COUNTIF(A9:A34,"=Б")=0,"",COUNTIF(A9:A34,"=Б"))</f>
        <v>16</v>
      </c>
    </row>
    <row r="41" spans="1:18" ht="15" customHeight="1" x14ac:dyDescent="0.25">
      <c r="C41" s="2" t="s">
        <v>60</v>
      </c>
      <c r="D41" s="6">
        <f>IF(COUNTIF(A9:A34,"=К")=0,"",COUNTIF(A9:A34,"=К"))</f>
        <v>10</v>
      </c>
      <c r="F41" s="3" t="s">
        <v>61</v>
      </c>
      <c r="M41" s="3" t="s">
        <v>62</v>
      </c>
    </row>
    <row r="42" spans="1:18" ht="15" customHeight="1" x14ac:dyDescent="0.25">
      <c r="C42" s="2" t="s">
        <v>63</v>
      </c>
      <c r="D42" s="6">
        <v>2</v>
      </c>
    </row>
    <row r="43" spans="1:18" ht="15" customHeight="1" x14ac:dyDescent="0.25">
      <c r="C43" s="2" t="s">
        <v>64</v>
      </c>
      <c r="D43" s="6">
        <f>'Рейтингова відомість 075'!D28</f>
        <v>6</v>
      </c>
      <c r="F43" s="3" t="s">
        <v>65</v>
      </c>
      <c r="M43" s="3" t="s">
        <v>66</v>
      </c>
    </row>
  </sheetData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R20"/>
  <sheetViews>
    <sheetView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5" customFormat="1" ht="1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5" customFormat="1" ht="1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s="4" customFormat="1" ht="15" customHeight="1" x14ac:dyDescent="0.25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s="5" customFormat="1" ht="15" customHeight="1" x14ac:dyDescent="0.25">
      <c r="A4" s="34" t="s">
        <v>67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s="5" customFormat="1" ht="15" customHeight="1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s="5" customFormat="1" ht="15" customHeight="1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7" spans="1:18" ht="15" customHeight="1" x14ac:dyDescent="0.25">
      <c r="A7" s="31" t="s">
        <v>6</v>
      </c>
      <c r="B7" s="33" t="s">
        <v>7</v>
      </c>
      <c r="C7" s="33" t="s">
        <v>8</v>
      </c>
      <c r="D7" s="32" t="s">
        <v>9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1:18" ht="125.1" customHeight="1" x14ac:dyDescent="0.25">
      <c r="A8" s="32"/>
      <c r="B8" s="32"/>
      <c r="C8" s="32"/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7" t="s">
        <v>21</v>
      </c>
      <c r="P8" s="7" t="s">
        <v>22</v>
      </c>
      <c r="Q8" s="7" t="s">
        <v>23</v>
      </c>
      <c r="R8" s="8" t="s">
        <v>24</v>
      </c>
    </row>
    <row r="9" spans="1:18" ht="15" customHeight="1" x14ac:dyDescent="0.25">
      <c r="A9" s="12" t="s">
        <v>27</v>
      </c>
      <c r="B9" s="12">
        <v>1</v>
      </c>
      <c r="C9" s="2" t="s">
        <v>68</v>
      </c>
      <c r="D9" s="6">
        <v>4</v>
      </c>
      <c r="E9" s="6">
        <v>4</v>
      </c>
      <c r="F9" s="6">
        <v>5</v>
      </c>
      <c r="G9" s="6">
        <v>4</v>
      </c>
      <c r="H9" s="6">
        <v>4</v>
      </c>
      <c r="I9" s="6">
        <v>4</v>
      </c>
      <c r="J9" s="6">
        <v>5</v>
      </c>
      <c r="K9" s="6">
        <v>4</v>
      </c>
      <c r="L9" s="6">
        <v>4</v>
      </c>
      <c r="M9" s="6">
        <v>4</v>
      </c>
      <c r="N9" s="6">
        <v>4</v>
      </c>
      <c r="O9" s="6">
        <v>4</v>
      </c>
      <c r="P9" s="6">
        <v>4</v>
      </c>
      <c r="Q9" s="6">
        <v>5</v>
      </c>
      <c r="R9" s="9">
        <f>IF(COUNTIF(D9:Q9,"=*")&gt;0,"-",(IFERROR(AVERAGE(D9:Q9),"")))</f>
        <v>4.2142857142857144</v>
      </c>
    </row>
    <row r="10" spans="1:18" ht="15" customHeight="1" x14ac:dyDescent="0.25">
      <c r="A10" s="12" t="s">
        <v>27</v>
      </c>
      <c r="B10" s="12">
        <v>2</v>
      </c>
      <c r="C10" s="2" t="s">
        <v>69</v>
      </c>
      <c r="D10" s="6">
        <v>8</v>
      </c>
      <c r="E10" s="6">
        <v>10</v>
      </c>
      <c r="F10" s="6">
        <v>10</v>
      </c>
      <c r="G10" s="6">
        <v>8</v>
      </c>
      <c r="H10" s="6">
        <v>9</v>
      </c>
      <c r="I10" s="6">
        <v>9</v>
      </c>
      <c r="J10" s="6">
        <v>10</v>
      </c>
      <c r="K10" s="6">
        <v>8</v>
      </c>
      <c r="L10" s="6">
        <v>7</v>
      </c>
      <c r="M10" s="6">
        <v>10</v>
      </c>
      <c r="N10" s="6">
        <v>10</v>
      </c>
      <c r="O10" s="6">
        <v>8</v>
      </c>
      <c r="P10" s="6">
        <v>10</v>
      </c>
      <c r="Q10" s="6">
        <v>10</v>
      </c>
      <c r="R10" s="9">
        <f>IF(COUNTIF(D10:Q10,"=*")&gt;0,"-",(IFERROR(AVERAGE(D10:Q10),"")))</f>
        <v>9.0714285714285712</v>
      </c>
    </row>
    <row r="11" spans="1:18" ht="15" customHeight="1" x14ac:dyDescent="0.25">
      <c r="A11" s="12" t="s">
        <v>27</v>
      </c>
      <c r="B11" s="12">
        <v>3</v>
      </c>
      <c r="C11" s="2" t="s">
        <v>70</v>
      </c>
      <c r="D11" s="6">
        <v>6</v>
      </c>
      <c r="E11" s="6">
        <v>6</v>
      </c>
      <c r="F11" s="6">
        <v>6</v>
      </c>
      <c r="G11" s="6">
        <v>5</v>
      </c>
      <c r="H11" s="6">
        <v>9</v>
      </c>
      <c r="I11" s="6">
        <v>6</v>
      </c>
      <c r="J11" s="6">
        <v>7</v>
      </c>
      <c r="K11" s="6">
        <v>7</v>
      </c>
      <c r="L11" s="6">
        <v>6</v>
      </c>
      <c r="M11" s="6">
        <v>8</v>
      </c>
      <c r="N11" s="6">
        <v>7</v>
      </c>
      <c r="O11" s="6">
        <v>5</v>
      </c>
      <c r="P11" s="6">
        <v>10</v>
      </c>
      <c r="Q11" s="6">
        <v>7</v>
      </c>
      <c r="R11" s="9">
        <f>IF(COUNTIF(D11:Q11,"=*")&gt;0,"-",(IFERROR(AVERAGE(D11:Q11),"")))</f>
        <v>6.7857142857142856</v>
      </c>
    </row>
    <row r="12" spans="1:18" ht="15" customHeight="1" x14ac:dyDescent="0.25">
      <c r="C12" s="2" t="s">
        <v>54</v>
      </c>
      <c r="D12" s="10">
        <f>IF(SUM(D9:D11)/B11=0,"",SUM(D9:D11)/B11)</f>
        <v>6</v>
      </c>
      <c r="E12" s="10">
        <f>IF(SUM(E9:E11)/B11=0,"",SUM(E9:E11)/B11)</f>
        <v>6.666666666666667</v>
      </c>
      <c r="F12" s="10">
        <f>IF(SUM(F9:F11)/B11=0,"",SUM(F9:F11)/B11)</f>
        <v>7</v>
      </c>
      <c r="G12" s="10">
        <f>IF(SUM(G9:G11)/B11=0,"",SUM(G9:G11)/B11)</f>
        <v>5.666666666666667</v>
      </c>
      <c r="H12" s="10">
        <f>IF(SUM(H9:H11)/B11=0,"",SUM(H9:H11)/B11)</f>
        <v>7.333333333333333</v>
      </c>
      <c r="I12" s="10">
        <f>IF(SUM(I9:I11)/B11=0,"",SUM(I9:I11)/B11)</f>
        <v>6.333333333333333</v>
      </c>
      <c r="J12" s="10">
        <f>IF(SUM(J9:J11)/B11=0,"",SUM(J9:J11)/B11)</f>
        <v>7.333333333333333</v>
      </c>
      <c r="K12" s="10">
        <f>IF(SUM(K9:K11)/B11=0,"",SUM(K9:K11)/B11)</f>
        <v>6.333333333333333</v>
      </c>
      <c r="L12" s="10">
        <f>IF(SUM(L9:L11)/B11=0,"",SUM(L9:L11)/B11)</f>
        <v>5.666666666666667</v>
      </c>
      <c r="M12" s="10">
        <f>IF(SUM(M9:M11)/B11=0,"",SUM(M9:M11)/B11)</f>
        <v>7.333333333333333</v>
      </c>
      <c r="N12" s="10">
        <f>IF(SUM(N9:N11)/B11=0,"",SUM(N9:N11)/B11)</f>
        <v>7</v>
      </c>
      <c r="O12" s="10">
        <f>IF(SUM(O9:O11)/B11=0,"",SUM(O9:O11)/B11)</f>
        <v>5.666666666666667</v>
      </c>
      <c r="P12" s="10">
        <f>IF(SUM(P9:P11)/B11=0,"",SUM(P9:P11)/B11)</f>
        <v>8</v>
      </c>
      <c r="Q12" s="10">
        <f>IF(SUM(Q9:Q11)/B11=0,"",SUM(Q9:Q11)/B11)</f>
        <v>7.333333333333333</v>
      </c>
      <c r="R12" s="9">
        <f>IFERROR(AVERAGE(D12:Q12),"")</f>
        <v>6.6904761904761907</v>
      </c>
    </row>
    <row r="13" spans="1:18" ht="15" customHeight="1" x14ac:dyDescent="0.25">
      <c r="C13" s="2" t="s">
        <v>55</v>
      </c>
      <c r="D13" s="11">
        <f>IF(COUNTIF(D9:D11,"&gt;=4")/B11*100=0,"",COUNTIF(D9:D11,"&gt;=4")/B11*100)</f>
        <v>100</v>
      </c>
      <c r="E13" s="11">
        <f>IF(COUNTIF(E9:E11,"&gt;=4")/B11*100=0,"",COUNTIF(E9:E11,"&gt;=4")/B11*100)</f>
        <v>100</v>
      </c>
      <c r="F13" s="11">
        <f>IF(COUNTIF(F9:F11,"&gt;=4")/B11*100=0,"",COUNTIF(F9:F11,"&gt;=4")/B11*100)</f>
        <v>100</v>
      </c>
      <c r="G13" s="11">
        <f>IF(COUNTIF(G9:G11,"&gt;=4")/B11*100=0,"",COUNTIF(G9:G11,"&gt;=4")/B11*100)</f>
        <v>100</v>
      </c>
      <c r="H13" s="11">
        <f>IF(COUNTIF(H9:H11,"&gt;=4")/B11*100=0,"",COUNTIF(H9:H11,"&gt;=4")/B11*100)</f>
        <v>100</v>
      </c>
      <c r="I13" s="11">
        <f>IF(COUNTIF(I9:I11,"&gt;=4")/B11*100=0,"",COUNTIF(I9:I11,"&gt;=4")/B11*100)</f>
        <v>100</v>
      </c>
      <c r="J13" s="11">
        <f>IF(COUNTIF(J9:J11,"&gt;=4")/B11*100=0,"",COUNTIF(J9:J11,"&gt;=4")/B11*100)</f>
        <v>100</v>
      </c>
      <c r="K13" s="11">
        <f>IF(COUNTIF(K9:K11,"&gt;=4")/B11*100=0,"",COUNTIF(K9:K11,"&gt;=4")/B11*100)</f>
        <v>100</v>
      </c>
      <c r="L13" s="11">
        <f>IF(COUNTIF(L9:L11,"&gt;=4")/B11*100=0,"",COUNTIF(L9:L11,"&gt;=4")/B11*100)</f>
        <v>100</v>
      </c>
      <c r="M13" s="11">
        <f>IF(COUNTIF(M9:M11,"&gt;=4")/B11*100=0,"",COUNTIF(M9:M11,"&gt;=4")/B11*100)</f>
        <v>100</v>
      </c>
      <c r="N13" s="11">
        <f>IF(COUNTIF(N9:N11,"&gt;=4")/B11*100=0,"",COUNTIF(N9:N11,"&gt;=4")/B11*100)</f>
        <v>100</v>
      </c>
      <c r="O13" s="11">
        <f>IF(COUNTIF(O9:O11,"&gt;=4")/B11*100=0,"",COUNTIF(O9:O11,"&gt;=4")/B11*100)</f>
        <v>100</v>
      </c>
      <c r="P13" s="11">
        <f>IF(COUNTIF(P9:P11,"&gt;=4")/B11*100=0,"",COUNTIF(P9:P11,"&gt;=4")/B11*100)</f>
        <v>100</v>
      </c>
      <c r="Q13" s="11">
        <f>IF(COUNTIF(Q9:Q11,"&gt;=4")/B11*100=0,"",COUNTIF(Q9:Q11,"&gt;=4")/B11*100)</f>
        <v>100</v>
      </c>
    </row>
    <row r="14" spans="1:18" ht="15" customHeight="1" x14ac:dyDescent="0.25">
      <c r="C14" s="2" t="s">
        <v>56</v>
      </c>
      <c r="D14" s="11">
        <f>IF(COUNTIF(D9:D11,"&gt;=7")/B11*100=0,"",COUNTIF(D9:D11,"&gt;=7")/B11*100)</f>
        <v>33.333333333333329</v>
      </c>
      <c r="E14" s="11">
        <f>IF(COUNTIF(E9:E11,"&gt;=7")/B11*100=0,"",COUNTIF(E9:E11,"&gt;=7")/B11*100)</f>
        <v>33.333333333333329</v>
      </c>
      <c r="F14" s="11">
        <f>IF(COUNTIF(F9:F11,"&gt;=7")/B11*100=0,"",COUNTIF(F9:F11,"&gt;=7")/B11*100)</f>
        <v>33.333333333333329</v>
      </c>
      <c r="G14" s="11">
        <f>IF(COUNTIF(G9:G11,"&gt;=7")/B11*100=0,"",COUNTIF(G9:G11,"&gt;=7")/B11*100)</f>
        <v>33.333333333333329</v>
      </c>
      <c r="H14" s="11">
        <f>IF(COUNTIF(H9:H11,"&gt;=7")/B11*100=0,"",COUNTIF(H9:H11,"&gt;=7")/B11*100)</f>
        <v>66.666666666666657</v>
      </c>
      <c r="I14" s="11">
        <f>IF(COUNTIF(I9:I11,"&gt;=7")/B11*100=0,"",COUNTIF(I9:I11,"&gt;=7")/B11*100)</f>
        <v>33.333333333333329</v>
      </c>
      <c r="J14" s="11">
        <f>IF(COUNTIF(J9:J11,"&gt;=7")/B11*100=0,"",COUNTIF(J9:J11,"&gt;=7")/B11*100)</f>
        <v>66.666666666666657</v>
      </c>
      <c r="K14" s="11">
        <f>IF(COUNTIF(K9:K11,"&gt;=7")/B11*100=0,"",COUNTIF(K9:K11,"&gt;=7")/B11*100)</f>
        <v>66.666666666666657</v>
      </c>
      <c r="L14" s="11">
        <f>IF(COUNTIF(L9:L11,"&gt;=7")/B11*100=0,"",COUNTIF(L9:L11,"&gt;=7")/B11*100)</f>
        <v>33.333333333333329</v>
      </c>
      <c r="M14" s="11">
        <f>IF(COUNTIF(M9:M11,"&gt;=7")/B11*100=0,"",COUNTIF(M9:M11,"&gt;=7")/B11*100)</f>
        <v>66.666666666666657</v>
      </c>
      <c r="N14" s="11">
        <f>IF(COUNTIF(N9:N11,"&gt;=7")/B11*100=0,"",COUNTIF(N9:N11,"&gt;=7")/B11*100)</f>
        <v>66.666666666666657</v>
      </c>
      <c r="O14" s="11">
        <f>IF(COUNTIF(O9:O11,"&gt;=7")/B11*100=0,"",COUNTIF(O9:O11,"&gt;=7")/B11*100)</f>
        <v>33.333333333333329</v>
      </c>
      <c r="P14" s="11">
        <f>IF(COUNTIF(P9:P11,"&gt;=7")/B11*100=0,"",COUNTIF(P9:P11,"&gt;=7")/B11*100)</f>
        <v>66.666666666666657</v>
      </c>
      <c r="Q14" s="11">
        <f>IF(COUNTIF(Q9:Q11,"&gt;=7")/B11*100=0,"",COUNTIF(Q9:Q11,"&gt;=7")/B11*100)</f>
        <v>66.666666666666657</v>
      </c>
    </row>
    <row r="15" spans="1:18" ht="15" customHeight="1" x14ac:dyDescent="0.25">
      <c r="C15" s="2" t="s">
        <v>57</v>
      </c>
      <c r="D15" s="10">
        <f>IFERROR(AVERAGE(D13:Q13),"")</f>
        <v>100</v>
      </c>
    </row>
    <row r="16" spans="1:18" ht="15" customHeight="1" x14ac:dyDescent="0.25">
      <c r="C16" s="2" t="s">
        <v>58</v>
      </c>
      <c r="D16" s="10">
        <f>IFERROR(AVERAGE(D14:Q14),"")</f>
        <v>49.999999999999993</v>
      </c>
    </row>
    <row r="17" spans="3:13" ht="15" customHeight="1" x14ac:dyDescent="0.25">
      <c r="C17" s="2" t="s">
        <v>59</v>
      </c>
      <c r="D17" s="6">
        <f>IF(COUNTIF(A9:A11,"=Б")=0,"",COUNTIF(A9:A11,"=Б"))</f>
        <v>3</v>
      </c>
    </row>
    <row r="18" spans="3:13" ht="15" customHeight="1" x14ac:dyDescent="0.25">
      <c r="C18" s="2" t="s">
        <v>60</v>
      </c>
      <c r="D18" s="6">
        <v>0</v>
      </c>
      <c r="F18" s="3" t="s">
        <v>61</v>
      </c>
      <c r="M18" s="3" t="s">
        <v>62</v>
      </c>
    </row>
    <row r="19" spans="3:13" ht="15" customHeight="1" x14ac:dyDescent="0.25">
      <c r="C19" s="2" t="s">
        <v>63</v>
      </c>
      <c r="D19" s="6">
        <v>1</v>
      </c>
    </row>
    <row r="20" spans="3:13" ht="15" customHeight="1" x14ac:dyDescent="0.25">
      <c r="C20" s="2" t="s">
        <v>64</v>
      </c>
      <c r="D20" s="6">
        <f>'Рейтингова відомість 161'!D15</f>
        <v>1</v>
      </c>
      <c r="F20" s="3" t="s">
        <v>65</v>
      </c>
      <c r="M20" s="3" t="s">
        <v>66</v>
      </c>
    </row>
  </sheetData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"/>
  <sheetViews>
    <sheetView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29" customFormat="1" ht="1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29" customFormat="1" ht="1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s="30" customFormat="1" ht="15" customHeight="1" x14ac:dyDescent="0.25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s="29" customFormat="1" ht="15" customHeight="1" x14ac:dyDescent="0.25">
      <c r="A4" s="34" t="s">
        <v>73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s="29" customFormat="1" ht="15" customHeight="1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s="29" customFormat="1" ht="15" customHeight="1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7" spans="1:18" ht="15" customHeight="1" x14ac:dyDescent="0.25">
      <c r="A7" s="31" t="s">
        <v>6</v>
      </c>
      <c r="B7" s="33" t="s">
        <v>7</v>
      </c>
      <c r="C7" s="33" t="s">
        <v>8</v>
      </c>
      <c r="D7" s="32" t="s">
        <v>9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1:18" ht="125.1" customHeight="1" x14ac:dyDescent="0.25">
      <c r="A8" s="32"/>
      <c r="B8" s="32"/>
      <c r="C8" s="32"/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7" t="s">
        <v>21</v>
      </c>
      <c r="P8" s="7" t="s">
        <v>22</v>
      </c>
      <c r="Q8" s="7" t="s">
        <v>23</v>
      </c>
      <c r="R8" s="8" t="s">
        <v>24</v>
      </c>
    </row>
    <row r="9" spans="1:18" ht="15" customHeight="1" x14ac:dyDescent="0.25">
      <c r="A9" s="28" t="s">
        <v>25</v>
      </c>
      <c r="B9" s="28">
        <v>1</v>
      </c>
      <c r="C9" s="2" t="s">
        <v>74</v>
      </c>
      <c r="D9" s="27">
        <v>4</v>
      </c>
      <c r="E9" s="27">
        <v>6</v>
      </c>
      <c r="F9" s="27">
        <v>7</v>
      </c>
      <c r="G9" s="27">
        <v>4</v>
      </c>
      <c r="H9" s="27">
        <v>7</v>
      </c>
      <c r="I9" s="27">
        <v>6</v>
      </c>
      <c r="J9" s="27">
        <v>5</v>
      </c>
      <c r="K9" s="27">
        <v>6</v>
      </c>
      <c r="L9" s="27">
        <v>4</v>
      </c>
      <c r="M9" s="27">
        <v>5</v>
      </c>
      <c r="N9" s="27">
        <v>4</v>
      </c>
      <c r="O9" s="27">
        <v>4</v>
      </c>
      <c r="P9" s="27">
        <v>4</v>
      </c>
      <c r="Q9" s="27">
        <v>5</v>
      </c>
      <c r="R9" s="9">
        <f>IF(COUNTIF(D9:Q9,"=*")&gt;0,"-",(IFERROR(AVERAGE(D9:Q9),"")))</f>
        <v>5.0714285714285712</v>
      </c>
    </row>
    <row r="10" spans="1:18" ht="15" customHeight="1" x14ac:dyDescent="0.25">
      <c r="A10" s="28" t="s">
        <v>25</v>
      </c>
      <c r="B10" s="28">
        <v>2</v>
      </c>
      <c r="C10" s="2" t="s">
        <v>75</v>
      </c>
      <c r="D10" s="27">
        <v>7</v>
      </c>
      <c r="E10" s="27">
        <v>6</v>
      </c>
      <c r="F10" s="27">
        <v>6</v>
      </c>
      <c r="G10" s="27">
        <v>4</v>
      </c>
      <c r="H10" s="27">
        <v>5</v>
      </c>
      <c r="I10" s="27">
        <v>4</v>
      </c>
      <c r="J10" s="27">
        <v>6</v>
      </c>
      <c r="K10" s="27">
        <v>7</v>
      </c>
      <c r="L10" s="27">
        <v>4</v>
      </c>
      <c r="M10" s="27">
        <v>9</v>
      </c>
      <c r="N10" s="27">
        <v>9</v>
      </c>
      <c r="O10" s="27" t="s">
        <v>39</v>
      </c>
      <c r="P10" s="27">
        <v>6</v>
      </c>
      <c r="Q10" s="27">
        <v>5</v>
      </c>
      <c r="R10" s="9" t="str">
        <f>IF(COUNTIF(D10:Q10,"=*")&gt;0,"-",(IFERROR(AVERAGE(D10:Q10),"")))</f>
        <v>-</v>
      </c>
    </row>
    <row r="11" spans="1:18" ht="15" customHeight="1" x14ac:dyDescent="0.25">
      <c r="C11" s="2" t="s">
        <v>54</v>
      </c>
      <c r="D11" s="10">
        <f>IF(SUM(D9:D10)/B10=0,"",SUM(D9:D10)/B10)</f>
        <v>5.5</v>
      </c>
      <c r="E11" s="10">
        <f>IF(SUM(E9:E10)/B10=0,"",SUM(E9:E10)/B10)</f>
        <v>6</v>
      </c>
      <c r="F11" s="10">
        <f>IF(SUM(F9:F10)/B10=0,"",SUM(F9:F10)/B10)</f>
        <v>6.5</v>
      </c>
      <c r="G11" s="10">
        <f>IF(SUM(G9:G10)/B10=0,"",SUM(G9:G10)/B10)</f>
        <v>4</v>
      </c>
      <c r="H11" s="10">
        <f>IF(SUM(H9:H10)/B10=0,"",SUM(H9:H10)/B10)</f>
        <v>6</v>
      </c>
      <c r="I11" s="10">
        <f>IF(SUM(I9:I10)/B10=0,"",SUM(I9:I10)/B10)</f>
        <v>5</v>
      </c>
      <c r="J11" s="10">
        <f>IF(SUM(J9:J10)/B10=0,"",SUM(J9:J10)/B10)</f>
        <v>5.5</v>
      </c>
      <c r="K11" s="10">
        <f>IF(SUM(K9:K10)/B10=0,"",SUM(K9:K10)/B10)</f>
        <v>6.5</v>
      </c>
      <c r="L11" s="10">
        <f>IF(SUM(L9:L10)/B10=0,"",SUM(L9:L10)/B10)</f>
        <v>4</v>
      </c>
      <c r="M11" s="10">
        <f>IF(SUM(M9:M10)/B10=0,"",SUM(M9:M10)/B10)</f>
        <v>7</v>
      </c>
      <c r="N11" s="10">
        <f>IF(SUM(N9:N10)/B10=0,"",SUM(N9:N10)/B10)</f>
        <v>6.5</v>
      </c>
      <c r="O11" s="10">
        <f>IF(SUM(O9:O10)/B10=0,"",SUM(O9:O10)/B10)</f>
        <v>2</v>
      </c>
      <c r="P11" s="10">
        <f>IF(SUM(P9:P10)/B10=0,"",SUM(P9:P10)/B10)</f>
        <v>5</v>
      </c>
      <c r="Q11" s="10">
        <f>IF(SUM(Q9:Q10)/B10=0,"",SUM(Q9:Q10)/B10)</f>
        <v>5</v>
      </c>
      <c r="R11" s="9">
        <f>IFERROR(AVERAGE(D11:Q11),"")</f>
        <v>5.3214285714285712</v>
      </c>
    </row>
    <row r="12" spans="1:18" ht="15" customHeight="1" x14ac:dyDescent="0.25">
      <c r="C12" s="2" t="s">
        <v>55</v>
      </c>
      <c r="D12" s="11">
        <f>IF(COUNTIF(D9:D10,"&gt;=4")/B10*100=0,"",COUNTIF(D9:D10,"&gt;=4")/B10*100)</f>
        <v>100</v>
      </c>
      <c r="E12" s="11">
        <f>IF(COUNTIF(E9:E10,"&gt;=4")/B10*100=0,"",COUNTIF(E9:E10,"&gt;=4")/B10*100)</f>
        <v>100</v>
      </c>
      <c r="F12" s="11">
        <f>IF(COUNTIF(F9:F10,"&gt;=4")/B10*100=0,"",COUNTIF(F9:F10,"&gt;=4")/B10*100)</f>
        <v>100</v>
      </c>
      <c r="G12" s="11">
        <f>IF(COUNTIF(G9:G10,"&gt;=4")/B10*100=0,"",COUNTIF(G9:G10,"&gt;=4")/B10*100)</f>
        <v>100</v>
      </c>
      <c r="H12" s="11">
        <f>IF(COUNTIF(H9:H10,"&gt;=4")/B10*100=0,"",COUNTIF(H9:H10,"&gt;=4")/B10*100)</f>
        <v>100</v>
      </c>
      <c r="I12" s="11">
        <f>IF(COUNTIF(I9:I10,"&gt;=4")/B10*100=0,"",COUNTIF(I9:I10,"&gt;=4")/B10*100)</f>
        <v>100</v>
      </c>
      <c r="J12" s="11">
        <f>IF(COUNTIF(J9:J10,"&gt;=4")/B10*100=0,"",COUNTIF(J9:J10,"&gt;=4")/B10*100)</f>
        <v>100</v>
      </c>
      <c r="K12" s="11">
        <f>IF(COUNTIF(K9:K10,"&gt;=4")/B10*100=0,"",COUNTIF(K9:K10,"&gt;=4")/B10*100)</f>
        <v>100</v>
      </c>
      <c r="L12" s="11">
        <f>IF(COUNTIF(L9:L10,"&gt;=4")/B10*100=0,"",COUNTIF(L9:L10,"&gt;=4")/B10*100)</f>
        <v>100</v>
      </c>
      <c r="M12" s="11">
        <f>IF(COUNTIF(M9:M10,"&gt;=4")/B10*100=0,"",COUNTIF(M9:M10,"&gt;=4")/B10*100)</f>
        <v>100</v>
      </c>
      <c r="N12" s="11">
        <f>IF(COUNTIF(N9:N10,"&gt;=4")/B10*100=0,"",COUNTIF(N9:N10,"&gt;=4")/B10*100)</f>
        <v>100</v>
      </c>
      <c r="O12" s="11">
        <f>IF(COUNTIF(O9:O10,"&gt;=4")/B10*100=0,"",COUNTIF(O9:O10,"&gt;=4")/B10*100)</f>
        <v>50</v>
      </c>
      <c r="P12" s="11">
        <f>IF(COUNTIF(P9:P10,"&gt;=4")/B10*100=0,"",COUNTIF(P9:P10,"&gt;=4")/B10*100)</f>
        <v>100</v>
      </c>
      <c r="Q12" s="11">
        <f>IF(COUNTIF(Q9:Q10,"&gt;=4")/B10*100=0,"",COUNTIF(Q9:Q10,"&gt;=4")/B10*100)</f>
        <v>100</v>
      </c>
    </row>
    <row r="13" spans="1:18" ht="15" customHeight="1" x14ac:dyDescent="0.25">
      <c r="C13" s="2" t="s">
        <v>56</v>
      </c>
      <c r="D13" s="11">
        <f>IF(COUNTIF(D9:D10,"&gt;=7")/B10*100=0,"",COUNTIF(D9:D10,"&gt;=7")/B10*100)</f>
        <v>50</v>
      </c>
      <c r="E13" s="11">
        <v>0</v>
      </c>
      <c r="F13" s="11">
        <f>IF(COUNTIF(F9:F10,"&gt;=7")/B10*100=0,"",COUNTIF(F9:F10,"&gt;=7")/B10*100)</f>
        <v>50</v>
      </c>
      <c r="G13" s="11">
        <v>0</v>
      </c>
      <c r="H13" s="11">
        <f>IF(COUNTIF(H9:H10,"&gt;=7")/B10*100=0,"",COUNTIF(H9:H10,"&gt;=7")/B10*100)</f>
        <v>50</v>
      </c>
      <c r="I13" s="11">
        <v>0</v>
      </c>
      <c r="J13" s="11">
        <v>0</v>
      </c>
      <c r="K13" s="11">
        <f>IF(COUNTIF(K9:K10,"&gt;=7")/B10*100=0,"",COUNTIF(K9:K10,"&gt;=7")/B10*100)</f>
        <v>50</v>
      </c>
      <c r="L13" s="11">
        <v>0</v>
      </c>
      <c r="M13" s="11">
        <f>IF(COUNTIF(M9:M10,"&gt;=7")/B10*100=0,"",COUNTIF(M9:M10,"&gt;=7")/B10*100)</f>
        <v>50</v>
      </c>
      <c r="N13" s="11">
        <f>IF(COUNTIF(N9:N10,"&gt;=7")/B10*100=0,"",COUNTIF(N9:N10,"&gt;=7")/B10*100)</f>
        <v>50</v>
      </c>
      <c r="O13" s="11">
        <v>0</v>
      </c>
      <c r="P13" s="11">
        <v>0</v>
      </c>
      <c r="Q13" s="11">
        <v>0</v>
      </c>
    </row>
    <row r="14" spans="1:18" ht="15" customHeight="1" x14ac:dyDescent="0.25">
      <c r="C14" s="2" t="s">
        <v>57</v>
      </c>
      <c r="D14" s="10">
        <f>IFERROR(AVERAGE(D12:Q12),"")</f>
        <v>96.428571428571431</v>
      </c>
    </row>
    <row r="15" spans="1:18" ht="15" customHeight="1" x14ac:dyDescent="0.25">
      <c r="C15" s="2" t="s">
        <v>58</v>
      </c>
      <c r="D15" s="10">
        <f>IFERROR(AVERAGE(D13:Q13),"")</f>
        <v>21.428571428571427</v>
      </c>
    </row>
    <row r="16" spans="1:18" ht="15" customHeight="1" x14ac:dyDescent="0.25">
      <c r="C16" s="2" t="s">
        <v>59</v>
      </c>
      <c r="D16" s="27">
        <v>0</v>
      </c>
      <c r="F16" s="3" t="s">
        <v>61</v>
      </c>
      <c r="M16" s="3" t="s">
        <v>62</v>
      </c>
    </row>
    <row r="17" spans="3:13" ht="15" customHeight="1" x14ac:dyDescent="0.25">
      <c r="C17" s="2" t="s">
        <v>60</v>
      </c>
      <c r="D17" s="27">
        <v>2</v>
      </c>
    </row>
    <row r="18" spans="3:13" ht="15" customHeight="1" x14ac:dyDescent="0.25">
      <c r="C18" s="2" t="s">
        <v>63</v>
      </c>
      <c r="D18" s="27">
        <v>0</v>
      </c>
      <c r="F18" s="3" t="s">
        <v>65</v>
      </c>
      <c r="M18" s="3" t="s">
        <v>66</v>
      </c>
    </row>
  </sheetData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T28"/>
  <sheetViews>
    <sheetView zoomScaleNormal="100" workbookViewId="0">
      <selection sqref="A1:T1"/>
    </sheetView>
  </sheetViews>
  <sheetFormatPr defaultColWidth="14.42578125" defaultRowHeight="15" customHeight="1" x14ac:dyDescent="0.25"/>
  <cols>
    <col min="1" max="1" width="4.140625" style="17" customWidth="1"/>
    <col min="2" max="2" width="6.5703125" style="17" customWidth="1"/>
    <col min="3" max="3" width="40.42578125" style="17" customWidth="1"/>
    <col min="4" max="17" width="6.7109375" style="17" customWidth="1"/>
    <col min="18" max="18" width="11.28515625" style="17" customWidth="1"/>
    <col min="19" max="19" width="8.7109375" style="17" customWidth="1"/>
    <col min="20" max="26" width="14.42578125" style="17" customWidth="1"/>
    <col min="27" max="27" width="14.85546875" style="17" customWidth="1"/>
    <col min="28" max="41" width="3.7109375" style="17" customWidth="1"/>
    <col min="42" max="55" width="5.7109375" style="17" customWidth="1"/>
    <col min="56" max="16384" width="14.42578125" style="17"/>
  </cols>
  <sheetData>
    <row r="1" spans="1:20" s="24" customFormat="1" ht="1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s="24" customFormat="1" ht="15" customHeight="1" x14ac:dyDescent="0.2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s="25" customFormat="1" ht="15" customHeight="1" x14ac:dyDescent="0.25">
      <c r="A3" s="39" t="s">
        <v>71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pans="1:20" s="24" customFormat="1" ht="15" customHeight="1" x14ac:dyDescent="0.25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0" s="24" customFormat="1" ht="15" customHeight="1" x14ac:dyDescent="0.25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s="24" customFormat="1" ht="15" customHeight="1" x14ac:dyDescent="0.25">
      <c r="A6" s="38" t="s">
        <v>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1:20" ht="15" customHeight="1" x14ac:dyDescent="0.25">
      <c r="A7" s="40" t="s">
        <v>6</v>
      </c>
      <c r="B7" s="41" t="s">
        <v>7</v>
      </c>
      <c r="C7" s="41" t="s">
        <v>8</v>
      </c>
      <c r="D7" s="36" t="s">
        <v>9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7"/>
    </row>
    <row r="8" spans="1:20" ht="125.1" customHeight="1" x14ac:dyDescent="0.25">
      <c r="A8" s="36"/>
      <c r="B8" s="36"/>
      <c r="C8" s="36"/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8" t="s">
        <v>15</v>
      </c>
      <c r="J8" s="18" t="s">
        <v>16</v>
      </c>
      <c r="K8" s="18" t="s">
        <v>17</v>
      </c>
      <c r="L8" s="18" t="s">
        <v>18</v>
      </c>
      <c r="M8" s="18" t="s">
        <v>19</v>
      </c>
      <c r="N8" s="18" t="s">
        <v>20</v>
      </c>
      <c r="O8" s="18" t="s">
        <v>21</v>
      </c>
      <c r="P8" s="18" t="s">
        <v>22</v>
      </c>
      <c r="Q8" s="18" t="s">
        <v>23</v>
      </c>
      <c r="R8" s="19" t="s">
        <v>24</v>
      </c>
      <c r="S8" s="19" t="s">
        <v>72</v>
      </c>
    </row>
    <row r="9" spans="1:20" ht="15" customHeight="1" x14ac:dyDescent="0.25">
      <c r="A9" s="14" t="s">
        <v>27</v>
      </c>
      <c r="B9" s="14">
        <v>1</v>
      </c>
      <c r="C9" s="15" t="s">
        <v>33</v>
      </c>
      <c r="D9" s="16">
        <v>10</v>
      </c>
      <c r="E9" s="16">
        <v>10</v>
      </c>
      <c r="F9" s="16">
        <v>10</v>
      </c>
      <c r="G9" s="16">
        <v>10</v>
      </c>
      <c r="H9" s="16">
        <v>10</v>
      </c>
      <c r="I9" s="16">
        <v>11</v>
      </c>
      <c r="J9" s="16">
        <v>11</v>
      </c>
      <c r="K9" s="16">
        <v>10</v>
      </c>
      <c r="L9" s="16">
        <v>10</v>
      </c>
      <c r="M9" s="16">
        <v>10</v>
      </c>
      <c r="N9" s="16">
        <v>10</v>
      </c>
      <c r="O9" s="16">
        <v>10</v>
      </c>
      <c r="P9" s="16">
        <v>10</v>
      </c>
      <c r="Q9" s="16">
        <v>10</v>
      </c>
      <c r="R9" s="13">
        <f t="shared" ref="R9:R24" si="0">IF(COUNTIF(D9:Q9,"=*")&gt;0,"-",(IFERROR(AVERAGE(D9:Q9),"")))</f>
        <v>10.142857142857142</v>
      </c>
      <c r="S9" s="13">
        <f>R9*90/12</f>
        <v>76.071428571428569</v>
      </c>
    </row>
    <row r="10" spans="1:20" ht="15" customHeight="1" x14ac:dyDescent="0.25">
      <c r="A10" s="14" t="s">
        <v>27</v>
      </c>
      <c r="B10" s="14">
        <v>2</v>
      </c>
      <c r="C10" s="15" t="s">
        <v>34</v>
      </c>
      <c r="D10" s="16">
        <v>10</v>
      </c>
      <c r="E10" s="16">
        <v>10</v>
      </c>
      <c r="F10" s="16">
        <v>10</v>
      </c>
      <c r="G10" s="16">
        <v>10</v>
      </c>
      <c r="H10" s="16">
        <v>9</v>
      </c>
      <c r="I10" s="16">
        <v>11</v>
      </c>
      <c r="J10" s="16">
        <v>10</v>
      </c>
      <c r="K10" s="16">
        <v>9</v>
      </c>
      <c r="L10" s="16">
        <v>10</v>
      </c>
      <c r="M10" s="16">
        <v>10</v>
      </c>
      <c r="N10" s="16">
        <v>10</v>
      </c>
      <c r="O10" s="16">
        <v>10</v>
      </c>
      <c r="P10" s="16">
        <v>10</v>
      </c>
      <c r="Q10" s="16">
        <v>10</v>
      </c>
      <c r="R10" s="13">
        <f t="shared" si="0"/>
        <v>9.9285714285714288</v>
      </c>
      <c r="S10" s="13">
        <f t="shared" ref="S10:S24" si="1">R10*90/12</f>
        <v>74.464285714285708</v>
      </c>
    </row>
    <row r="11" spans="1:20" ht="15" customHeight="1" x14ac:dyDescent="0.25">
      <c r="A11" s="14" t="s">
        <v>27</v>
      </c>
      <c r="B11" s="14">
        <v>3</v>
      </c>
      <c r="C11" s="15" t="s">
        <v>41</v>
      </c>
      <c r="D11" s="16">
        <v>10</v>
      </c>
      <c r="E11" s="16">
        <v>9</v>
      </c>
      <c r="F11" s="16">
        <v>10</v>
      </c>
      <c r="G11" s="16">
        <v>10</v>
      </c>
      <c r="H11" s="16">
        <v>10</v>
      </c>
      <c r="I11" s="16">
        <v>11</v>
      </c>
      <c r="J11" s="16">
        <v>10</v>
      </c>
      <c r="K11" s="16">
        <v>8</v>
      </c>
      <c r="L11" s="16">
        <v>10</v>
      </c>
      <c r="M11" s="16">
        <v>10</v>
      </c>
      <c r="N11" s="16">
        <v>11</v>
      </c>
      <c r="O11" s="16">
        <v>10</v>
      </c>
      <c r="P11" s="16">
        <v>10</v>
      </c>
      <c r="Q11" s="16">
        <v>10</v>
      </c>
      <c r="R11" s="13">
        <f t="shared" si="0"/>
        <v>9.9285714285714288</v>
      </c>
      <c r="S11" s="13">
        <f t="shared" si="1"/>
        <v>74.464285714285708</v>
      </c>
    </row>
    <row r="12" spans="1:20" ht="15" customHeight="1" x14ac:dyDescent="0.25">
      <c r="A12" s="14" t="s">
        <v>27</v>
      </c>
      <c r="B12" s="14">
        <v>4</v>
      </c>
      <c r="C12" s="15" t="s">
        <v>30</v>
      </c>
      <c r="D12" s="16">
        <v>10</v>
      </c>
      <c r="E12" s="16">
        <v>10</v>
      </c>
      <c r="F12" s="16">
        <v>10</v>
      </c>
      <c r="G12" s="16">
        <v>9</v>
      </c>
      <c r="H12" s="16">
        <v>10</v>
      </c>
      <c r="I12" s="16">
        <v>10</v>
      </c>
      <c r="J12" s="16">
        <v>10</v>
      </c>
      <c r="K12" s="16">
        <v>9</v>
      </c>
      <c r="L12" s="16">
        <v>10</v>
      </c>
      <c r="M12" s="16">
        <v>10</v>
      </c>
      <c r="N12" s="16">
        <v>10</v>
      </c>
      <c r="O12" s="16">
        <v>10</v>
      </c>
      <c r="P12" s="16">
        <v>10</v>
      </c>
      <c r="Q12" s="16">
        <v>10</v>
      </c>
      <c r="R12" s="13">
        <f t="shared" si="0"/>
        <v>9.8571428571428577</v>
      </c>
      <c r="S12" s="13">
        <f t="shared" si="1"/>
        <v>73.928571428571431</v>
      </c>
    </row>
    <row r="13" spans="1:20" ht="15" customHeight="1" x14ac:dyDescent="0.25">
      <c r="A13" s="14" t="s">
        <v>27</v>
      </c>
      <c r="B13" s="14">
        <v>5</v>
      </c>
      <c r="C13" s="15" t="s">
        <v>35</v>
      </c>
      <c r="D13" s="16">
        <v>9</v>
      </c>
      <c r="E13" s="16">
        <v>10</v>
      </c>
      <c r="F13" s="16">
        <v>10</v>
      </c>
      <c r="G13" s="16">
        <v>10</v>
      </c>
      <c r="H13" s="16">
        <v>10</v>
      </c>
      <c r="I13" s="16">
        <v>10</v>
      </c>
      <c r="J13" s="16">
        <v>10</v>
      </c>
      <c r="K13" s="16">
        <v>9</v>
      </c>
      <c r="L13" s="16">
        <v>10</v>
      </c>
      <c r="M13" s="16">
        <v>10</v>
      </c>
      <c r="N13" s="16">
        <v>9</v>
      </c>
      <c r="O13" s="16">
        <v>10</v>
      </c>
      <c r="P13" s="16">
        <v>10</v>
      </c>
      <c r="Q13" s="16">
        <v>8</v>
      </c>
      <c r="R13" s="13">
        <f t="shared" si="0"/>
        <v>9.6428571428571423</v>
      </c>
      <c r="S13" s="13">
        <f t="shared" si="1"/>
        <v>72.321428571428569</v>
      </c>
    </row>
    <row r="14" spans="1:20" ht="15" customHeight="1" x14ac:dyDescent="0.25">
      <c r="A14" s="14" t="s">
        <v>27</v>
      </c>
      <c r="B14" s="14">
        <v>6</v>
      </c>
      <c r="C14" s="15" t="s">
        <v>48</v>
      </c>
      <c r="D14" s="16">
        <v>9</v>
      </c>
      <c r="E14" s="16">
        <v>10</v>
      </c>
      <c r="F14" s="16">
        <v>10</v>
      </c>
      <c r="G14" s="16">
        <v>10</v>
      </c>
      <c r="H14" s="16">
        <v>8</v>
      </c>
      <c r="I14" s="16">
        <v>10</v>
      </c>
      <c r="J14" s="16">
        <v>10</v>
      </c>
      <c r="K14" s="16">
        <v>8</v>
      </c>
      <c r="L14" s="16">
        <v>10</v>
      </c>
      <c r="M14" s="16">
        <v>10</v>
      </c>
      <c r="N14" s="16">
        <v>10</v>
      </c>
      <c r="O14" s="16">
        <v>10</v>
      </c>
      <c r="P14" s="16">
        <v>9</v>
      </c>
      <c r="Q14" s="16">
        <v>9</v>
      </c>
      <c r="R14" s="13">
        <f t="shared" si="0"/>
        <v>9.5</v>
      </c>
      <c r="S14" s="13">
        <f t="shared" si="1"/>
        <v>71.25</v>
      </c>
    </row>
    <row r="15" spans="1:20" ht="15" customHeight="1" x14ac:dyDescent="0.25">
      <c r="A15" s="26" t="s">
        <v>27</v>
      </c>
      <c r="B15" s="26">
        <v>7</v>
      </c>
      <c r="C15" s="20" t="s">
        <v>53</v>
      </c>
      <c r="D15" s="23">
        <v>9</v>
      </c>
      <c r="E15" s="23">
        <v>10</v>
      </c>
      <c r="F15" s="23">
        <v>10</v>
      </c>
      <c r="G15" s="23">
        <v>10</v>
      </c>
      <c r="H15" s="23">
        <v>10</v>
      </c>
      <c r="I15" s="23">
        <v>9</v>
      </c>
      <c r="J15" s="23">
        <v>10</v>
      </c>
      <c r="K15" s="23">
        <v>9</v>
      </c>
      <c r="L15" s="23">
        <v>8</v>
      </c>
      <c r="M15" s="23">
        <v>10</v>
      </c>
      <c r="N15" s="23">
        <v>9</v>
      </c>
      <c r="O15" s="23">
        <v>10</v>
      </c>
      <c r="P15" s="23">
        <v>10</v>
      </c>
      <c r="Q15" s="23">
        <v>7</v>
      </c>
      <c r="R15" s="21">
        <f t="shared" si="0"/>
        <v>9.3571428571428577</v>
      </c>
      <c r="S15" s="21">
        <f t="shared" si="1"/>
        <v>70.178571428571431</v>
      </c>
    </row>
    <row r="16" spans="1:20" ht="15" customHeight="1" x14ac:dyDescent="0.25">
      <c r="A16" s="26" t="s">
        <v>27</v>
      </c>
      <c r="B16" s="26">
        <v>8</v>
      </c>
      <c r="C16" s="20" t="s">
        <v>32</v>
      </c>
      <c r="D16" s="23">
        <v>9</v>
      </c>
      <c r="E16" s="23">
        <v>10</v>
      </c>
      <c r="F16" s="23">
        <v>10</v>
      </c>
      <c r="G16" s="23">
        <v>9</v>
      </c>
      <c r="H16" s="23">
        <v>10</v>
      </c>
      <c r="I16" s="23">
        <v>10</v>
      </c>
      <c r="J16" s="23">
        <v>10</v>
      </c>
      <c r="K16" s="23">
        <v>9</v>
      </c>
      <c r="L16" s="23">
        <v>8</v>
      </c>
      <c r="M16" s="23">
        <v>10</v>
      </c>
      <c r="N16" s="23">
        <v>10</v>
      </c>
      <c r="O16" s="23">
        <v>8</v>
      </c>
      <c r="P16" s="23">
        <v>10</v>
      </c>
      <c r="Q16" s="23">
        <v>7</v>
      </c>
      <c r="R16" s="21">
        <f t="shared" si="0"/>
        <v>9.2857142857142865</v>
      </c>
      <c r="S16" s="21">
        <f t="shared" si="1"/>
        <v>69.642857142857153</v>
      </c>
    </row>
    <row r="17" spans="1:19" ht="15" customHeight="1" x14ac:dyDescent="0.25">
      <c r="A17" s="26" t="s">
        <v>27</v>
      </c>
      <c r="B17" s="26">
        <v>9</v>
      </c>
      <c r="C17" s="20" t="s">
        <v>31</v>
      </c>
      <c r="D17" s="23">
        <v>9</v>
      </c>
      <c r="E17" s="23">
        <v>9</v>
      </c>
      <c r="F17" s="23">
        <v>10</v>
      </c>
      <c r="G17" s="23">
        <v>10</v>
      </c>
      <c r="H17" s="23">
        <v>10</v>
      </c>
      <c r="I17" s="23">
        <v>10</v>
      </c>
      <c r="J17" s="23">
        <v>8</v>
      </c>
      <c r="K17" s="23">
        <v>9</v>
      </c>
      <c r="L17" s="23">
        <v>9</v>
      </c>
      <c r="M17" s="23">
        <v>10</v>
      </c>
      <c r="N17" s="23">
        <v>9</v>
      </c>
      <c r="O17" s="23">
        <v>6</v>
      </c>
      <c r="P17" s="23">
        <v>10</v>
      </c>
      <c r="Q17" s="23">
        <v>8</v>
      </c>
      <c r="R17" s="21">
        <f t="shared" si="0"/>
        <v>9.0714285714285712</v>
      </c>
      <c r="S17" s="21">
        <f t="shared" si="1"/>
        <v>68.035714285714292</v>
      </c>
    </row>
    <row r="18" spans="1:19" ht="15" customHeight="1" x14ac:dyDescent="0.25">
      <c r="A18" s="26" t="s">
        <v>27</v>
      </c>
      <c r="B18" s="26">
        <v>10</v>
      </c>
      <c r="C18" s="20" t="s">
        <v>42</v>
      </c>
      <c r="D18" s="23">
        <v>8</v>
      </c>
      <c r="E18" s="23">
        <v>10</v>
      </c>
      <c r="F18" s="23">
        <v>10</v>
      </c>
      <c r="G18" s="23">
        <v>8</v>
      </c>
      <c r="H18" s="23">
        <v>10</v>
      </c>
      <c r="I18" s="23">
        <v>10</v>
      </c>
      <c r="J18" s="23">
        <v>8</v>
      </c>
      <c r="K18" s="23">
        <v>8</v>
      </c>
      <c r="L18" s="23">
        <v>8</v>
      </c>
      <c r="M18" s="23">
        <v>9</v>
      </c>
      <c r="N18" s="23">
        <v>9</v>
      </c>
      <c r="O18" s="23">
        <v>9</v>
      </c>
      <c r="P18" s="23">
        <v>10</v>
      </c>
      <c r="Q18" s="23">
        <v>7</v>
      </c>
      <c r="R18" s="21">
        <f t="shared" si="0"/>
        <v>8.8571428571428577</v>
      </c>
      <c r="S18" s="21">
        <f t="shared" si="1"/>
        <v>66.428571428571431</v>
      </c>
    </row>
    <row r="19" spans="1:19" ht="15" customHeight="1" x14ac:dyDescent="0.25">
      <c r="A19" s="26" t="s">
        <v>27</v>
      </c>
      <c r="B19" s="26">
        <v>11</v>
      </c>
      <c r="C19" s="20" t="s">
        <v>46</v>
      </c>
      <c r="D19" s="23">
        <v>8</v>
      </c>
      <c r="E19" s="23">
        <v>10</v>
      </c>
      <c r="F19" s="23">
        <v>10</v>
      </c>
      <c r="G19" s="23">
        <v>9</v>
      </c>
      <c r="H19" s="23">
        <v>9</v>
      </c>
      <c r="I19" s="23">
        <v>11</v>
      </c>
      <c r="J19" s="23">
        <v>8</v>
      </c>
      <c r="K19" s="23">
        <v>7</v>
      </c>
      <c r="L19" s="23">
        <v>8</v>
      </c>
      <c r="M19" s="23">
        <v>9</v>
      </c>
      <c r="N19" s="23">
        <v>10</v>
      </c>
      <c r="O19" s="23">
        <v>9</v>
      </c>
      <c r="P19" s="23">
        <v>8</v>
      </c>
      <c r="Q19" s="23">
        <v>8</v>
      </c>
      <c r="R19" s="21">
        <f t="shared" si="0"/>
        <v>8.8571428571428577</v>
      </c>
      <c r="S19" s="21">
        <f t="shared" si="1"/>
        <v>66.428571428571431</v>
      </c>
    </row>
    <row r="20" spans="1:19" ht="15" customHeight="1" x14ac:dyDescent="0.25">
      <c r="A20" s="26" t="s">
        <v>27</v>
      </c>
      <c r="B20" s="26">
        <v>12</v>
      </c>
      <c r="C20" s="20" t="s">
        <v>51</v>
      </c>
      <c r="D20" s="23">
        <v>9</v>
      </c>
      <c r="E20" s="23">
        <v>9</v>
      </c>
      <c r="F20" s="23">
        <v>9</v>
      </c>
      <c r="G20" s="23">
        <v>8</v>
      </c>
      <c r="H20" s="23">
        <v>10</v>
      </c>
      <c r="I20" s="23">
        <v>7</v>
      </c>
      <c r="J20" s="23">
        <v>8</v>
      </c>
      <c r="K20" s="23">
        <v>9</v>
      </c>
      <c r="L20" s="23">
        <v>8</v>
      </c>
      <c r="M20" s="23">
        <v>9</v>
      </c>
      <c r="N20" s="23">
        <v>10</v>
      </c>
      <c r="O20" s="23">
        <v>8</v>
      </c>
      <c r="P20" s="23">
        <v>8</v>
      </c>
      <c r="Q20" s="23">
        <v>7</v>
      </c>
      <c r="R20" s="21">
        <f t="shared" si="0"/>
        <v>8.5</v>
      </c>
      <c r="S20" s="21">
        <f t="shared" si="1"/>
        <v>63.75</v>
      </c>
    </row>
    <row r="21" spans="1:19" ht="15" customHeight="1" x14ac:dyDescent="0.25">
      <c r="A21" s="26" t="s">
        <v>27</v>
      </c>
      <c r="B21" s="26">
        <v>13</v>
      </c>
      <c r="C21" s="20" t="s">
        <v>28</v>
      </c>
      <c r="D21" s="23">
        <v>7</v>
      </c>
      <c r="E21" s="23">
        <v>10</v>
      </c>
      <c r="F21" s="23">
        <v>10</v>
      </c>
      <c r="G21" s="23">
        <v>8</v>
      </c>
      <c r="H21" s="23">
        <v>9</v>
      </c>
      <c r="I21" s="23">
        <v>8</v>
      </c>
      <c r="J21" s="23">
        <v>10</v>
      </c>
      <c r="K21" s="23">
        <v>8</v>
      </c>
      <c r="L21" s="23">
        <v>8</v>
      </c>
      <c r="M21" s="23">
        <v>8</v>
      </c>
      <c r="N21" s="23">
        <v>8</v>
      </c>
      <c r="O21" s="23">
        <v>9</v>
      </c>
      <c r="P21" s="23">
        <v>7</v>
      </c>
      <c r="Q21" s="23">
        <v>7</v>
      </c>
      <c r="R21" s="21">
        <f t="shared" si="0"/>
        <v>8.3571428571428577</v>
      </c>
      <c r="S21" s="21">
        <f t="shared" si="1"/>
        <v>62.678571428571438</v>
      </c>
    </row>
    <row r="22" spans="1:19" ht="15" customHeight="1" x14ac:dyDescent="0.25">
      <c r="A22" s="26" t="s">
        <v>27</v>
      </c>
      <c r="B22" s="26">
        <v>14</v>
      </c>
      <c r="C22" s="20" t="s">
        <v>52</v>
      </c>
      <c r="D22" s="23">
        <v>8</v>
      </c>
      <c r="E22" s="23">
        <v>9</v>
      </c>
      <c r="F22" s="23">
        <v>9</v>
      </c>
      <c r="G22" s="23">
        <v>9</v>
      </c>
      <c r="H22" s="23">
        <v>9</v>
      </c>
      <c r="I22" s="23">
        <v>7</v>
      </c>
      <c r="J22" s="23">
        <v>7</v>
      </c>
      <c r="K22" s="23">
        <v>7</v>
      </c>
      <c r="L22" s="23">
        <v>5</v>
      </c>
      <c r="M22" s="23">
        <v>9</v>
      </c>
      <c r="N22" s="23">
        <v>10</v>
      </c>
      <c r="O22" s="23">
        <v>7</v>
      </c>
      <c r="P22" s="23">
        <v>9</v>
      </c>
      <c r="Q22" s="23">
        <v>6</v>
      </c>
      <c r="R22" s="21">
        <f t="shared" si="0"/>
        <v>7.9285714285714288</v>
      </c>
      <c r="S22" s="21">
        <f t="shared" si="1"/>
        <v>59.464285714285715</v>
      </c>
    </row>
    <row r="23" spans="1:19" ht="15" customHeight="1" x14ac:dyDescent="0.25">
      <c r="A23" s="26" t="s">
        <v>27</v>
      </c>
      <c r="B23" s="26">
        <v>15</v>
      </c>
      <c r="C23" s="20" t="s">
        <v>44</v>
      </c>
      <c r="D23" s="23">
        <v>5</v>
      </c>
      <c r="E23" s="23">
        <v>8</v>
      </c>
      <c r="F23" s="23">
        <v>9</v>
      </c>
      <c r="G23" s="23">
        <v>6</v>
      </c>
      <c r="H23" s="23">
        <v>9</v>
      </c>
      <c r="I23" s="23">
        <v>6</v>
      </c>
      <c r="J23" s="23">
        <v>7</v>
      </c>
      <c r="K23" s="23">
        <v>8</v>
      </c>
      <c r="L23" s="23">
        <v>6</v>
      </c>
      <c r="M23" s="23">
        <v>9</v>
      </c>
      <c r="N23" s="23">
        <v>9</v>
      </c>
      <c r="O23" s="23">
        <v>6</v>
      </c>
      <c r="P23" s="23">
        <v>6</v>
      </c>
      <c r="Q23" s="23">
        <v>6</v>
      </c>
      <c r="R23" s="21">
        <f t="shared" si="0"/>
        <v>7.1428571428571432</v>
      </c>
      <c r="S23" s="21">
        <f t="shared" si="1"/>
        <v>53.571428571428577</v>
      </c>
    </row>
    <row r="24" spans="1:19" ht="15" customHeight="1" x14ac:dyDescent="0.25">
      <c r="A24" s="26" t="s">
        <v>27</v>
      </c>
      <c r="B24" s="26">
        <v>16</v>
      </c>
      <c r="C24" s="20" t="s">
        <v>29</v>
      </c>
      <c r="D24" s="23">
        <v>7</v>
      </c>
      <c r="E24" s="23">
        <v>9</v>
      </c>
      <c r="F24" s="23">
        <v>7</v>
      </c>
      <c r="G24" s="23">
        <v>4</v>
      </c>
      <c r="H24" s="23">
        <v>7</v>
      </c>
      <c r="I24" s="23">
        <v>6</v>
      </c>
      <c r="J24" s="23">
        <v>5</v>
      </c>
      <c r="K24" s="23">
        <v>8</v>
      </c>
      <c r="L24" s="23">
        <v>6</v>
      </c>
      <c r="M24" s="23">
        <v>7</v>
      </c>
      <c r="N24" s="23">
        <v>10</v>
      </c>
      <c r="O24" s="23">
        <v>6</v>
      </c>
      <c r="P24" s="23">
        <v>10</v>
      </c>
      <c r="Q24" s="23">
        <v>6</v>
      </c>
      <c r="R24" s="21">
        <f t="shared" si="0"/>
        <v>7</v>
      </c>
      <c r="S24" s="21">
        <f t="shared" si="1"/>
        <v>52.5</v>
      </c>
    </row>
    <row r="25" spans="1:19" ht="15" customHeight="1" x14ac:dyDescent="0.25">
      <c r="C25" s="20" t="s">
        <v>59</v>
      </c>
      <c r="D25" s="23">
        <f>'Зведена відомість 075'!D40</f>
        <v>16</v>
      </c>
    </row>
    <row r="26" spans="1:19" ht="15" customHeight="1" x14ac:dyDescent="0.25">
      <c r="C26" s="20" t="s">
        <v>60</v>
      </c>
      <c r="D26" s="23">
        <f>'Зведена відомість 075'!D41</f>
        <v>10</v>
      </c>
      <c r="F26" s="22" t="s">
        <v>61</v>
      </c>
      <c r="M26" s="22" t="s">
        <v>62</v>
      </c>
    </row>
    <row r="27" spans="1:19" ht="15" customHeight="1" x14ac:dyDescent="0.25">
      <c r="C27" s="20" t="s">
        <v>63</v>
      </c>
      <c r="D27" s="23">
        <f>'Зведена відомість 075'!D42</f>
        <v>2</v>
      </c>
    </row>
    <row r="28" spans="1:19" ht="15" customHeight="1" x14ac:dyDescent="0.25">
      <c r="C28" s="20" t="s">
        <v>64</v>
      </c>
      <c r="D28" s="23">
        <v>6</v>
      </c>
      <c r="F28" s="22" t="s">
        <v>65</v>
      </c>
      <c r="M28" s="22" t="s">
        <v>66</v>
      </c>
    </row>
  </sheetData>
  <sortState ref="A9:R24">
    <sortCondition descending="1" ref="R9:R24"/>
  </sortState>
  <mergeCells count="10">
    <mergeCell ref="A2:T2"/>
    <mergeCell ref="A1:T1"/>
    <mergeCell ref="A7:A8"/>
    <mergeCell ref="B7:B8"/>
    <mergeCell ref="C7:C8"/>
    <mergeCell ref="D7:T7"/>
    <mergeCell ref="A6:T6"/>
    <mergeCell ref="A5:T5"/>
    <mergeCell ref="A4:T4"/>
    <mergeCell ref="A3:T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T15"/>
  <sheetViews>
    <sheetView zoomScaleNormal="100" workbookViewId="0">
      <selection sqref="A1:T1"/>
    </sheetView>
  </sheetViews>
  <sheetFormatPr defaultColWidth="14.42578125" defaultRowHeight="15" customHeight="1" x14ac:dyDescent="0.25"/>
  <cols>
    <col min="1" max="1" width="4.140625" style="17" customWidth="1"/>
    <col min="2" max="2" width="6.5703125" style="17" customWidth="1"/>
    <col min="3" max="3" width="40.42578125" style="17" customWidth="1"/>
    <col min="4" max="17" width="6.7109375" style="17" customWidth="1"/>
    <col min="18" max="18" width="11.28515625" style="17" customWidth="1"/>
    <col min="19" max="19" width="8.7109375" style="17" customWidth="1"/>
    <col min="20" max="26" width="14.42578125" style="17" customWidth="1"/>
    <col min="27" max="27" width="14.85546875" style="17" customWidth="1"/>
    <col min="28" max="41" width="3.7109375" style="17" customWidth="1"/>
    <col min="42" max="55" width="5.7109375" style="17" customWidth="1"/>
    <col min="56" max="16384" width="14.42578125" style="17"/>
  </cols>
  <sheetData>
    <row r="1" spans="1:20" s="24" customFormat="1" ht="1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s="24" customFormat="1" ht="15" customHeight="1" x14ac:dyDescent="0.2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s="25" customFormat="1" ht="15" customHeight="1" x14ac:dyDescent="0.25">
      <c r="A3" s="39" t="s">
        <v>71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pans="1:20" s="24" customFormat="1" ht="15" customHeight="1" x14ac:dyDescent="0.25">
      <c r="A4" s="38" t="s">
        <v>67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0" s="24" customFormat="1" ht="15" customHeight="1" x14ac:dyDescent="0.25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s="24" customFormat="1" ht="15" customHeight="1" x14ac:dyDescent="0.25">
      <c r="A6" s="38" t="s">
        <v>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1:20" ht="15" customHeight="1" x14ac:dyDescent="0.25">
      <c r="A7" s="40" t="s">
        <v>6</v>
      </c>
      <c r="B7" s="41" t="s">
        <v>7</v>
      </c>
      <c r="C7" s="41" t="s">
        <v>8</v>
      </c>
      <c r="D7" s="36" t="s">
        <v>9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7"/>
    </row>
    <row r="8" spans="1:20" ht="125.1" customHeight="1" x14ac:dyDescent="0.25">
      <c r="A8" s="36"/>
      <c r="B8" s="36"/>
      <c r="C8" s="36"/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8" t="s">
        <v>15</v>
      </c>
      <c r="J8" s="18" t="s">
        <v>16</v>
      </c>
      <c r="K8" s="18" t="s">
        <v>17</v>
      </c>
      <c r="L8" s="18" t="s">
        <v>18</v>
      </c>
      <c r="M8" s="18" t="s">
        <v>19</v>
      </c>
      <c r="N8" s="18" t="s">
        <v>20</v>
      </c>
      <c r="O8" s="18" t="s">
        <v>21</v>
      </c>
      <c r="P8" s="18" t="s">
        <v>22</v>
      </c>
      <c r="Q8" s="18" t="s">
        <v>23</v>
      </c>
      <c r="R8" s="19" t="s">
        <v>24</v>
      </c>
      <c r="S8" s="19" t="s">
        <v>72</v>
      </c>
    </row>
    <row r="9" spans="1:20" ht="15" customHeight="1" x14ac:dyDescent="0.25">
      <c r="A9" s="14" t="s">
        <v>27</v>
      </c>
      <c r="B9" s="14">
        <v>1</v>
      </c>
      <c r="C9" s="15" t="s">
        <v>69</v>
      </c>
      <c r="D9" s="16">
        <v>8</v>
      </c>
      <c r="E9" s="16">
        <v>10</v>
      </c>
      <c r="F9" s="16">
        <v>10</v>
      </c>
      <c r="G9" s="16">
        <v>8</v>
      </c>
      <c r="H9" s="16">
        <v>9</v>
      </c>
      <c r="I9" s="16">
        <v>9</v>
      </c>
      <c r="J9" s="16">
        <v>10</v>
      </c>
      <c r="K9" s="16">
        <v>8</v>
      </c>
      <c r="L9" s="16">
        <v>7</v>
      </c>
      <c r="M9" s="16">
        <v>10</v>
      </c>
      <c r="N9" s="16">
        <v>10</v>
      </c>
      <c r="O9" s="16">
        <v>8</v>
      </c>
      <c r="P9" s="16">
        <v>10</v>
      </c>
      <c r="Q9" s="16">
        <v>10</v>
      </c>
      <c r="R9" s="13">
        <f>IF(COUNTIF(D9:Q9,"=*")&gt;0,"-",(IFERROR(AVERAGE(D9:Q9),"")))</f>
        <v>9.0714285714285712</v>
      </c>
      <c r="S9" s="13">
        <f>R9*90/12</f>
        <v>68.035714285714292</v>
      </c>
    </row>
    <row r="10" spans="1:20" ht="15" customHeight="1" x14ac:dyDescent="0.25">
      <c r="A10" s="26" t="s">
        <v>27</v>
      </c>
      <c r="B10" s="26">
        <v>2</v>
      </c>
      <c r="C10" s="20" t="s">
        <v>70</v>
      </c>
      <c r="D10" s="23">
        <v>6</v>
      </c>
      <c r="E10" s="23">
        <v>6</v>
      </c>
      <c r="F10" s="23">
        <v>6</v>
      </c>
      <c r="G10" s="23">
        <v>5</v>
      </c>
      <c r="H10" s="23">
        <v>9</v>
      </c>
      <c r="I10" s="23">
        <v>6</v>
      </c>
      <c r="J10" s="23">
        <v>7</v>
      </c>
      <c r="K10" s="23">
        <v>7</v>
      </c>
      <c r="L10" s="23">
        <v>6</v>
      </c>
      <c r="M10" s="23">
        <v>8</v>
      </c>
      <c r="N10" s="23">
        <v>7</v>
      </c>
      <c r="O10" s="23">
        <v>5</v>
      </c>
      <c r="P10" s="23">
        <v>10</v>
      </c>
      <c r="Q10" s="23">
        <v>7</v>
      </c>
      <c r="R10" s="21">
        <f>IF(COUNTIF(D10:Q10,"=*")&gt;0,"-",(IFERROR(AVERAGE(D10:Q10),"")))</f>
        <v>6.7857142857142856</v>
      </c>
      <c r="S10" s="21">
        <f t="shared" ref="S10:S11" si="0">R10*90/12</f>
        <v>50.892857142857139</v>
      </c>
    </row>
    <row r="11" spans="1:20" ht="15" customHeight="1" x14ac:dyDescent="0.25">
      <c r="A11" s="26" t="s">
        <v>27</v>
      </c>
      <c r="B11" s="26">
        <v>3</v>
      </c>
      <c r="C11" s="20" t="s">
        <v>68</v>
      </c>
      <c r="D11" s="23">
        <v>4</v>
      </c>
      <c r="E11" s="23">
        <v>4</v>
      </c>
      <c r="F11" s="23">
        <v>5</v>
      </c>
      <c r="G11" s="23">
        <v>4</v>
      </c>
      <c r="H11" s="23">
        <v>4</v>
      </c>
      <c r="I11" s="23">
        <v>4</v>
      </c>
      <c r="J11" s="23">
        <v>5</v>
      </c>
      <c r="K11" s="23">
        <v>4</v>
      </c>
      <c r="L11" s="23">
        <v>4</v>
      </c>
      <c r="M11" s="23">
        <v>4</v>
      </c>
      <c r="N11" s="23">
        <v>4</v>
      </c>
      <c r="O11" s="23">
        <v>4</v>
      </c>
      <c r="P11" s="23">
        <v>4</v>
      </c>
      <c r="Q11" s="23">
        <v>5</v>
      </c>
      <c r="R11" s="21">
        <f>IF(COUNTIF(D11:Q11,"=*")&gt;0,"-",(IFERROR(AVERAGE(D11:Q11),"")))</f>
        <v>4.2142857142857144</v>
      </c>
      <c r="S11" s="21">
        <f t="shared" si="0"/>
        <v>31.607142857142858</v>
      </c>
    </row>
    <row r="12" spans="1:20" ht="15" customHeight="1" x14ac:dyDescent="0.25">
      <c r="C12" s="20" t="s">
        <v>59</v>
      </c>
      <c r="D12" s="23">
        <f>'Зведена відомість 161'!D17</f>
        <v>3</v>
      </c>
    </row>
    <row r="13" spans="1:20" ht="15" customHeight="1" x14ac:dyDescent="0.25">
      <c r="C13" s="20" t="s">
        <v>60</v>
      </c>
      <c r="D13" s="23">
        <f>'Зведена відомість 161'!D18</f>
        <v>0</v>
      </c>
      <c r="F13" s="22" t="s">
        <v>61</v>
      </c>
      <c r="M13" s="22" t="s">
        <v>62</v>
      </c>
    </row>
    <row r="14" spans="1:20" ht="15" customHeight="1" x14ac:dyDescent="0.25">
      <c r="C14" s="20" t="s">
        <v>63</v>
      </c>
      <c r="D14" s="23">
        <f>'Зведена відомість 161'!D19</f>
        <v>1</v>
      </c>
    </row>
    <row r="15" spans="1:20" ht="15" customHeight="1" x14ac:dyDescent="0.25">
      <c r="C15" s="20" t="s">
        <v>64</v>
      </c>
      <c r="D15" s="23">
        <v>1</v>
      </c>
      <c r="F15" s="22" t="s">
        <v>65</v>
      </c>
      <c r="M15" s="22" t="s">
        <v>66</v>
      </c>
    </row>
  </sheetData>
  <sortState ref="A9:R11">
    <sortCondition descending="1" ref="R9:R11"/>
  </sortState>
  <mergeCells count="10">
    <mergeCell ref="A2:T2"/>
    <mergeCell ref="A1:T1"/>
    <mergeCell ref="A7:A8"/>
    <mergeCell ref="B7:B8"/>
    <mergeCell ref="C7:C8"/>
    <mergeCell ref="D7:T7"/>
    <mergeCell ref="A6:T6"/>
    <mergeCell ref="A5:T5"/>
    <mergeCell ref="A4:T4"/>
    <mergeCell ref="A3:T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Зведена відомість 075</vt:lpstr>
      <vt:lpstr>Зведена відомість 161</vt:lpstr>
      <vt:lpstr>Зведена відомість 241</vt:lpstr>
      <vt:lpstr>Рейтингова відомість 075</vt:lpstr>
      <vt:lpstr>Рейтингова відомість 161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dcterms:created xsi:type="dcterms:W3CDTF">2006-09-28T05:33:49Z</dcterms:created>
  <dcterms:modified xsi:type="dcterms:W3CDTF">2023-01-04T11:39:05Z</dcterms:modified>
  <cp:category/>
  <cp:contentStatus/>
</cp:coreProperties>
</file>