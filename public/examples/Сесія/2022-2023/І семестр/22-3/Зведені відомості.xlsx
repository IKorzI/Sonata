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 firstSheet="1" activeTab="3"/>
  </bookViews>
  <sheets>
    <sheet name="Зведена відомість 151" sheetId="17" r:id="rId1"/>
    <sheet name="Зведена відомість 185" sheetId="23" r:id="rId2"/>
    <sheet name="Рейтингова відомість 151" sheetId="29" r:id="rId3"/>
    <sheet name="Рейтингова відомість 185" sheetId="30" r:id="rId4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>#REF!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D26" i="23" l="1"/>
  <c r="D17" i="30"/>
  <c r="D18" i="30"/>
  <c r="D16" i="30"/>
  <c r="R15" i="30"/>
  <c r="S15" i="30" s="1"/>
  <c r="R11" i="30"/>
  <c r="S11" i="30" s="1"/>
  <c r="R13" i="30"/>
  <c r="S13" i="30" s="1"/>
  <c r="R9" i="30"/>
  <c r="S9" i="30" s="1"/>
  <c r="R10" i="30"/>
  <c r="S10" i="30" s="1"/>
  <c r="R12" i="30"/>
  <c r="S12" i="30" s="1"/>
  <c r="R14" i="30"/>
  <c r="S14" i="30" s="1"/>
  <c r="D39" i="17"/>
  <c r="D28" i="29"/>
  <c r="D29" i="29"/>
  <c r="D27" i="29"/>
  <c r="R23" i="29"/>
  <c r="S23" i="29" s="1"/>
  <c r="R16" i="29"/>
  <c r="S16" i="29" s="1"/>
  <c r="R26" i="29"/>
  <c r="S26" i="29" s="1"/>
  <c r="R25" i="29"/>
  <c r="S25" i="29" s="1"/>
  <c r="R24" i="29"/>
  <c r="S24" i="29" s="1"/>
  <c r="R15" i="29"/>
  <c r="S15" i="29" s="1"/>
  <c r="R10" i="29"/>
  <c r="S10" i="29" s="1"/>
  <c r="R17" i="29"/>
  <c r="S17" i="29" s="1"/>
  <c r="R13" i="29"/>
  <c r="S13" i="29" s="1"/>
  <c r="R12" i="29"/>
  <c r="S12" i="29" s="1"/>
  <c r="R20" i="29"/>
  <c r="S20" i="29" s="1"/>
  <c r="R22" i="29"/>
  <c r="S22" i="29" s="1"/>
  <c r="R14" i="29"/>
  <c r="S14" i="29" s="1"/>
  <c r="R21" i="29"/>
  <c r="S21" i="29" s="1"/>
  <c r="R11" i="29"/>
  <c r="S11" i="29" s="1"/>
  <c r="R18" i="29"/>
  <c r="S18" i="29" s="1"/>
  <c r="R19" i="29"/>
  <c r="S19" i="29" s="1"/>
  <c r="R9" i="29"/>
  <c r="S9" i="29" s="1"/>
  <c r="Q20" i="23" l="1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D24" i="23" l="1"/>
  <c r="D23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R17" i="23"/>
  <c r="R16" i="23"/>
  <c r="R15" i="23"/>
  <c r="R14" i="23"/>
  <c r="R13" i="23"/>
  <c r="R12" i="23"/>
  <c r="R11" i="23"/>
  <c r="R10" i="23"/>
  <c r="R9" i="23"/>
  <c r="D37" i="17"/>
  <c r="D36" i="17"/>
  <c r="E31" i="17"/>
  <c r="D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R10" i="17"/>
  <c r="R11" i="17"/>
  <c r="R12" i="17"/>
  <c r="R13" i="17"/>
  <c r="R14" i="17"/>
  <c r="R15" i="17"/>
  <c r="R16" i="17"/>
  <c r="R17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9" i="17"/>
  <c r="D35" i="17" l="1"/>
  <c r="D34" i="17"/>
  <c r="R18" i="23"/>
  <c r="D21" i="23"/>
  <c r="R31" i="17"/>
  <c r="D22" i="23"/>
</calcChain>
</file>

<file path=xl/sharedStrings.xml><?xml version="1.0" encoding="utf-8"?>
<sst xmlns="http://schemas.openxmlformats.org/spreadsheetml/2006/main" count="262" uniqueCount="76">
  <si>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</si>
  <si>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</si>
  <si>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 xml:space="preserve">ЗВЕДЕНА  ВІДОМІСТЬ  </t>
  </si>
  <si>
    <t>Успішності студентів спеціальності 151 «Автоматизація та комп’ютерно-інтегровані технології»</t>
  </si>
  <si>
    <t>За I семестр 2022-2023 н.р.</t>
  </si>
  <si>
    <t>Група 22-3 курс І</t>
  </si>
  <si>
    <t>Б/К</t>
  </si>
  <si>
    <t>№
п/п</t>
  </si>
  <si>
    <t>Прізвище, ім’я, по батькові</t>
  </si>
  <si>
    <t>Підсумкові оцінки дисциплін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</si>
  <si>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</si>
  <si>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</si>
  <si>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</si>
  <si>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</si>
  <si>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ЗУ
Стельмах Н.Ю.</t>
  </si>
  <si>
    <t>Іноземна мова
Кучер О.П.</t>
  </si>
  <si>
    <t>Інформатика
Охрімчук В.С.</t>
  </si>
  <si>
    <t>Історія України
Левчук Т.Г.</t>
  </si>
  <si>
    <t>Математика
Ромчук В.В.</t>
  </si>
  <si>
    <t>Українська література
Нестеренко А.О.</t>
  </si>
  <si>
    <t>Українська мова
Нестеренко А.О.</t>
  </si>
  <si>
    <t>Фізика
Калюта Н.М.</t>
  </si>
  <si>
    <t>Фізична культура
Кулатов В.М.</t>
  </si>
  <si>
    <t>Хімія
Леонова Д.І.</t>
  </si>
  <si>
    <t>Середній бал</t>
  </si>
  <si>
    <t>Б</t>
  </si>
  <si>
    <t>Борисов Олександр Ігорович </t>
  </si>
  <si>
    <t>Вєрєтєнніков Микита Андрійович </t>
  </si>
  <si>
    <t>Гавронський Максим Владиславович </t>
  </si>
  <si>
    <t>Граур Єгор Анатолійович </t>
  </si>
  <si>
    <t>Грігорі Дмитро Миколайович </t>
  </si>
  <si>
    <t>Єленко Андрій Сергійович </t>
  </si>
  <si>
    <t>Жучков Данііл Євгенович </t>
  </si>
  <si>
    <t>Залізко Максим Віталійович </t>
  </si>
  <si>
    <t>Звягінцев Олександр Сергійович </t>
  </si>
  <si>
    <t>Іванова Владислава Іванівна </t>
  </si>
  <si>
    <t>-</t>
  </si>
  <si>
    <t>Кирилюк Маргарита Євгеніївна </t>
  </si>
  <si>
    <t>Кірон Нікіта Володимирович </t>
  </si>
  <si>
    <t>К</t>
  </si>
  <si>
    <t>Коєв Максим Владиславович </t>
  </si>
  <si>
    <t>Лубенець Максим Петрович </t>
  </si>
  <si>
    <t>Нєтков Олександр Георгійович </t>
  </si>
  <si>
    <t>Рошка Андрій Дмитрович </t>
  </si>
  <si>
    <t>Рябов Гліб Антонович </t>
  </si>
  <si>
    <t>Сидоренко Ілля Олександрович </t>
  </si>
  <si>
    <t>н/а</t>
  </si>
  <si>
    <t>Соколова Анастасія Дмитрівна </t>
  </si>
  <si>
    <t>Тягай Олександр Михайлович </t>
  </si>
  <si>
    <t>Чепурко-Макаров Микита Юрійович </t>
  </si>
  <si>
    <t>Щукін Нікіта Олексійович 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</si>
  <si>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</si>
  <si>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</si>
  <si>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</si>
  <si>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</si>
  <si>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</si>
  <si>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</si>
  <si>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</si>
  <si>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</si>
  <si>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Тетяна ГРАТІЙ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</si>
  <si>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</si>
  <si>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</si>
  <si>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</si>
  <si>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</si>
  <si>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185 «Нафтогазова інженерія та технології»</t>
  </si>
  <si>
    <t>Бєлов Дмитро Віталійович </t>
  </si>
  <si>
    <t>Бородін Сергій Костянтинович </t>
  </si>
  <si>
    <t>Горевич Дмитро Олексійович </t>
  </si>
  <si>
    <t>Зібаров Георгій Павлович </t>
  </si>
  <si>
    <t>Зотік Кирило Євгенович </t>
  </si>
  <si>
    <t>Кузьмін Ілля Денисович </t>
  </si>
  <si>
    <t>Степаніченко Микола Віталійович </t>
  </si>
  <si>
    <t>Фастрига Олександр Євгенович </t>
  </si>
  <si>
    <t>Холявко Артем Олександрович 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</si>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</sst>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38">
    <xf numFmtId="0" fontId="0" fillId="0" borderId="0" xfId="0"/>
    <xf numFmtId="0" fontId="3" fillId="0" borderId="1" xfId="5" applyFont="1" applyAlignment="1">
      <alignment horizontal="center" vertical="center"/>
    </xf>
    <xf numFmtId="0" fontId="3" fillId="0" borderId="2" xfId="5" applyFont="1" applyBorder="1" applyAlignment="1">
      <alignment horizontal="left" vertical="center" wrapText="1"/>
    </xf>
    <xf numFmtId="0" fontId="5" fillId="0" borderId="1" xfId="5" applyFont="1" applyAlignment="1">
      <alignment horizontal="left" vertical="center"/>
    </xf>
    <xf numFmtId="0" fontId="6" fillId="0" borderId="1" xfId="5" applyFont="1" applyAlignment="1">
      <alignment horizontal="center" vertical="center"/>
    </xf>
    <xf numFmtId="0" fontId="5" fillId="0" borderId="1" xfId="5" applyFont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0" fontId="3" fillId="0" borderId="2" xfId="5" applyFont="1" applyBorder="1" applyAlignment="1">
      <alignment horizontal="center" textRotation="90" wrapText="1"/>
    </xf>
    <xf numFmtId="0" fontId="4" fillId="0" borderId="2" xfId="5" applyFont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1" xfId="5" applyFont="1" applyFill="1" applyAlignment="1">
      <alignment horizontal="center" vertical="center"/>
    </xf>
    <xf numFmtId="0" fontId="3" fillId="0" borderId="2" xfId="5" applyFont="1" applyFill="1" applyBorder="1" applyAlignment="1">
      <alignment horizontal="center" textRotation="90" wrapText="1"/>
    </xf>
    <xf numFmtId="0" fontId="4" fillId="0" borderId="2" xfId="5" applyFont="1" applyFill="1" applyBorder="1" applyAlignment="1">
      <alignment horizontal="center" vertical="center" textRotation="90" wrapText="1"/>
    </xf>
    <xf numFmtId="0" fontId="3" fillId="0" borderId="2" xfId="5" applyFont="1" applyFill="1" applyBorder="1" applyAlignment="1">
      <alignment horizontal="left" vertical="center" wrapText="1"/>
    </xf>
    <xf numFmtId="2" fontId="3" fillId="0" borderId="2" xfId="5" applyNumberFormat="1" applyFont="1" applyFill="1" applyBorder="1" applyAlignment="1">
      <alignment horizontal="center" vertical="center"/>
    </xf>
    <xf numFmtId="0" fontId="5" fillId="0" borderId="1" xfId="5" applyFont="1" applyFill="1" applyAlignment="1">
      <alignment horizontal="left" vertical="center"/>
    </xf>
    <xf numFmtId="0" fontId="3" fillId="4" borderId="2" xfId="5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left" vertical="center" wrapText="1"/>
    </xf>
    <xf numFmtId="0" fontId="3" fillId="4" borderId="2" xfId="5" applyFont="1" applyFill="1" applyBorder="1" applyAlignment="1">
      <alignment horizontal="center" vertical="center"/>
    </xf>
    <xf numFmtId="2" fontId="3" fillId="4" borderId="2" xfId="5" applyNumberFormat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/>
    </xf>
    <xf numFmtId="0" fontId="5" fillId="0" borderId="1" xfId="5" applyFont="1" applyFill="1" applyAlignment="1">
      <alignment horizontal="center" vertical="center"/>
    </xf>
    <xf numFmtId="0" fontId="6" fillId="0" borderId="1" xfId="5" applyFont="1" applyFill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3" fillId="0" borderId="2" xfId="5" quotePrefix="1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0" fontId="5" fillId="0" borderId="1" xfId="5" applyFont="1" applyAlignment="1">
      <alignment horizontal="center" vertical="center"/>
    </xf>
    <xf numFmtId="0" fontId="6" fillId="0" borderId="1" xfId="5" applyFont="1" applyAlignment="1">
      <alignment horizontal="center" vertical="center"/>
    </xf>
    <xf numFmtId="0" fontId="3" fillId="0" borderId="2" xfId="5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5" fillId="0" borderId="1" xfId="5" applyFont="1" applyFill="1" applyAlignment="1">
      <alignment horizontal="center" vertical="center"/>
    </xf>
    <xf numFmtId="0" fontId="6" fillId="0" borderId="1" xfId="5" applyFont="1" applyFill="1" applyAlignment="1">
      <alignment horizontal="center" vertical="center"/>
    </xf>
    <xf numFmtId="0" fontId="3" fillId="0" borderId="2" xfId="5" quotePrefix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R39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5" customFormat="1" ht="1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5" customFormat="1" ht="1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s="4" customFormat="1" ht="15" customHeight="1" x14ac:dyDescent="0.25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s="5" customFormat="1" ht="15" customHeight="1" x14ac:dyDescent="0.25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s="5" customFormat="1" ht="15" customHeight="1" x14ac:dyDescent="0.25">
      <c r="A5" s="30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s="5" customFormat="1" ht="15" customHeight="1" x14ac:dyDescent="0.25">
      <c r="A6" s="30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ht="15" customHeight="1" x14ac:dyDescent="0.25">
      <c r="A7" s="27" t="s">
        <v>6</v>
      </c>
      <c r="B7" s="29" t="s">
        <v>7</v>
      </c>
      <c r="C7" s="29" t="s">
        <v>8</v>
      </c>
      <c r="D7" s="28" t="s">
        <v>9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18" ht="125.1" customHeight="1" x14ac:dyDescent="0.25">
      <c r="A8" s="28"/>
      <c r="B8" s="28"/>
      <c r="C8" s="28"/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9" t="s">
        <v>24</v>
      </c>
    </row>
    <row r="9" spans="1:18" ht="15" customHeight="1" x14ac:dyDescent="0.25">
      <c r="A9" s="7" t="s">
        <v>25</v>
      </c>
      <c r="B9" s="7">
        <v>1</v>
      </c>
      <c r="C9" s="2" t="s">
        <v>26</v>
      </c>
      <c r="D9" s="6">
        <v>10</v>
      </c>
      <c r="E9" s="6">
        <v>10</v>
      </c>
      <c r="F9" s="6">
        <v>10</v>
      </c>
      <c r="G9" s="6">
        <v>10</v>
      </c>
      <c r="H9" s="6">
        <v>10</v>
      </c>
      <c r="I9" s="6">
        <v>10</v>
      </c>
      <c r="J9" s="6">
        <v>10</v>
      </c>
      <c r="K9" s="6">
        <v>10</v>
      </c>
      <c r="L9" s="6">
        <v>10</v>
      </c>
      <c r="M9" s="6">
        <v>11</v>
      </c>
      <c r="N9" s="6">
        <v>10</v>
      </c>
      <c r="O9" s="6">
        <v>10</v>
      </c>
      <c r="P9" s="6">
        <v>10</v>
      </c>
      <c r="Q9" s="6">
        <v>10</v>
      </c>
      <c r="R9" s="10">
        <f t="shared" ref="R9:R29" si="0">IF(COUNTIF(D9:Q9,"=*")&gt;0,"-",(IFERROR(AVERAGE(D9:Q9),"")))</f>
        <v>10.071428571428571</v>
      </c>
    </row>
    <row r="10" spans="1:18" ht="15" customHeight="1" x14ac:dyDescent="0.25">
      <c r="A10" s="7" t="s">
        <v>25</v>
      </c>
      <c r="B10" s="7">
        <v>2</v>
      </c>
      <c r="C10" s="2" t="s">
        <v>27</v>
      </c>
      <c r="D10" s="6">
        <v>8</v>
      </c>
      <c r="E10" s="6">
        <v>8</v>
      </c>
      <c r="F10" s="6">
        <v>8</v>
      </c>
      <c r="G10" s="6">
        <v>6</v>
      </c>
      <c r="H10" s="6">
        <v>5</v>
      </c>
      <c r="I10" s="6">
        <v>7</v>
      </c>
      <c r="J10" s="6">
        <v>6</v>
      </c>
      <c r="K10" s="6">
        <v>5</v>
      </c>
      <c r="L10" s="6">
        <v>6</v>
      </c>
      <c r="M10" s="6">
        <v>7</v>
      </c>
      <c r="N10" s="6">
        <v>8</v>
      </c>
      <c r="O10" s="6">
        <v>6</v>
      </c>
      <c r="P10" s="6">
        <v>10</v>
      </c>
      <c r="Q10" s="6">
        <v>8</v>
      </c>
      <c r="R10" s="10">
        <f t="shared" si="0"/>
        <v>7</v>
      </c>
    </row>
    <row r="11" spans="1:18" ht="15" customHeight="1" x14ac:dyDescent="0.25">
      <c r="A11" s="7" t="s">
        <v>25</v>
      </c>
      <c r="B11" s="7">
        <v>3</v>
      </c>
      <c r="C11" s="2" t="s">
        <v>28</v>
      </c>
      <c r="D11" s="6">
        <v>8</v>
      </c>
      <c r="E11" s="6">
        <v>8</v>
      </c>
      <c r="F11" s="6">
        <v>10</v>
      </c>
      <c r="G11" s="6">
        <v>7</v>
      </c>
      <c r="H11" s="6">
        <v>8</v>
      </c>
      <c r="I11" s="6">
        <v>7</v>
      </c>
      <c r="J11" s="6">
        <v>7</v>
      </c>
      <c r="K11" s="6">
        <v>8</v>
      </c>
      <c r="L11" s="6">
        <v>7</v>
      </c>
      <c r="M11" s="6">
        <v>6</v>
      </c>
      <c r="N11" s="6">
        <v>5</v>
      </c>
      <c r="O11" s="6">
        <v>8</v>
      </c>
      <c r="P11" s="6">
        <v>10</v>
      </c>
      <c r="Q11" s="6">
        <v>8</v>
      </c>
      <c r="R11" s="10">
        <f t="shared" si="0"/>
        <v>7.6428571428571432</v>
      </c>
    </row>
    <row r="12" spans="1:18" ht="15" customHeight="1" x14ac:dyDescent="0.25">
      <c r="A12" s="7" t="s">
        <v>25</v>
      </c>
      <c r="B12" s="7">
        <v>4</v>
      </c>
      <c r="C12" s="2" t="s">
        <v>29</v>
      </c>
      <c r="D12" s="6">
        <v>10</v>
      </c>
      <c r="E12" s="6">
        <v>10</v>
      </c>
      <c r="F12" s="6">
        <v>9</v>
      </c>
      <c r="G12" s="6">
        <v>9</v>
      </c>
      <c r="H12" s="6">
        <v>10</v>
      </c>
      <c r="I12" s="6">
        <v>9</v>
      </c>
      <c r="J12" s="6">
        <v>10</v>
      </c>
      <c r="K12" s="6">
        <v>7</v>
      </c>
      <c r="L12" s="6">
        <v>9</v>
      </c>
      <c r="M12" s="6">
        <v>9</v>
      </c>
      <c r="N12" s="6">
        <v>9</v>
      </c>
      <c r="O12" s="6">
        <v>8</v>
      </c>
      <c r="P12" s="6">
        <v>8</v>
      </c>
      <c r="Q12" s="6">
        <v>10</v>
      </c>
      <c r="R12" s="10">
        <f t="shared" si="0"/>
        <v>9.0714285714285712</v>
      </c>
    </row>
    <row r="13" spans="1:18" ht="15" customHeight="1" x14ac:dyDescent="0.25">
      <c r="A13" s="7" t="s">
        <v>25</v>
      </c>
      <c r="B13" s="7">
        <v>5</v>
      </c>
      <c r="C13" s="2" t="s">
        <v>30</v>
      </c>
      <c r="D13" s="6">
        <v>7</v>
      </c>
      <c r="E13" s="6">
        <v>10</v>
      </c>
      <c r="F13" s="6">
        <v>6</v>
      </c>
      <c r="G13" s="6">
        <v>4</v>
      </c>
      <c r="H13" s="6">
        <v>5</v>
      </c>
      <c r="I13" s="6">
        <v>7</v>
      </c>
      <c r="J13" s="6">
        <v>5</v>
      </c>
      <c r="K13" s="6">
        <v>6</v>
      </c>
      <c r="L13" s="6">
        <v>5</v>
      </c>
      <c r="M13" s="6">
        <v>10</v>
      </c>
      <c r="N13" s="6">
        <v>8</v>
      </c>
      <c r="O13" s="6">
        <v>4</v>
      </c>
      <c r="P13" s="6">
        <v>7</v>
      </c>
      <c r="Q13" s="6">
        <v>6</v>
      </c>
      <c r="R13" s="10">
        <f t="shared" si="0"/>
        <v>6.4285714285714288</v>
      </c>
    </row>
    <row r="14" spans="1:18" ht="15" customHeight="1" x14ac:dyDescent="0.25">
      <c r="A14" s="7" t="s">
        <v>25</v>
      </c>
      <c r="B14" s="7">
        <v>6</v>
      </c>
      <c r="C14" s="2" t="s">
        <v>31</v>
      </c>
      <c r="D14" s="6">
        <v>7</v>
      </c>
      <c r="E14" s="6">
        <v>8</v>
      </c>
      <c r="F14" s="6">
        <v>8</v>
      </c>
      <c r="G14" s="6">
        <v>7</v>
      </c>
      <c r="H14" s="6">
        <v>9</v>
      </c>
      <c r="I14" s="6">
        <v>7</v>
      </c>
      <c r="J14" s="6">
        <v>10</v>
      </c>
      <c r="K14" s="6">
        <v>8</v>
      </c>
      <c r="L14" s="6">
        <v>7</v>
      </c>
      <c r="M14" s="6">
        <v>9</v>
      </c>
      <c r="N14" s="6">
        <v>7</v>
      </c>
      <c r="O14" s="6">
        <v>9</v>
      </c>
      <c r="P14" s="6">
        <v>10</v>
      </c>
      <c r="Q14" s="6">
        <v>10</v>
      </c>
      <c r="R14" s="10">
        <f t="shared" si="0"/>
        <v>8.2857142857142865</v>
      </c>
    </row>
    <row r="15" spans="1:18" ht="15" customHeight="1" x14ac:dyDescent="0.25">
      <c r="A15" s="7" t="s">
        <v>25</v>
      </c>
      <c r="B15" s="7">
        <v>7</v>
      </c>
      <c r="C15" s="2" t="s">
        <v>32</v>
      </c>
      <c r="D15" s="6">
        <v>4</v>
      </c>
      <c r="E15" s="6">
        <v>5</v>
      </c>
      <c r="F15" s="6">
        <v>6</v>
      </c>
      <c r="G15" s="6">
        <v>7</v>
      </c>
      <c r="H15" s="6">
        <v>6</v>
      </c>
      <c r="I15" s="6">
        <v>7</v>
      </c>
      <c r="J15" s="6">
        <v>7</v>
      </c>
      <c r="K15" s="6">
        <v>5</v>
      </c>
      <c r="L15" s="6">
        <v>5</v>
      </c>
      <c r="M15" s="6">
        <v>4</v>
      </c>
      <c r="N15" s="6">
        <v>6</v>
      </c>
      <c r="O15" s="6">
        <v>6</v>
      </c>
      <c r="P15" s="6">
        <v>10</v>
      </c>
      <c r="Q15" s="6">
        <v>7</v>
      </c>
      <c r="R15" s="10">
        <f t="shared" si="0"/>
        <v>6.0714285714285712</v>
      </c>
    </row>
    <row r="16" spans="1:18" ht="15" customHeight="1" x14ac:dyDescent="0.25">
      <c r="A16" s="7" t="s">
        <v>25</v>
      </c>
      <c r="B16" s="7">
        <v>8</v>
      </c>
      <c r="C16" s="2" t="s">
        <v>33</v>
      </c>
      <c r="D16" s="6">
        <v>7</v>
      </c>
      <c r="E16" s="6">
        <v>9</v>
      </c>
      <c r="F16" s="6">
        <v>7</v>
      </c>
      <c r="G16" s="6">
        <v>6</v>
      </c>
      <c r="H16" s="6">
        <v>8</v>
      </c>
      <c r="I16" s="6">
        <v>6</v>
      </c>
      <c r="J16" s="6">
        <v>8</v>
      </c>
      <c r="K16" s="6">
        <v>6</v>
      </c>
      <c r="L16" s="6">
        <v>7</v>
      </c>
      <c r="M16" s="6">
        <v>8</v>
      </c>
      <c r="N16" s="6">
        <v>4</v>
      </c>
      <c r="O16" s="6">
        <v>5</v>
      </c>
      <c r="P16" s="6">
        <v>8</v>
      </c>
      <c r="Q16" s="6">
        <v>8</v>
      </c>
      <c r="R16" s="10">
        <f t="shared" si="0"/>
        <v>6.9285714285714288</v>
      </c>
    </row>
    <row r="17" spans="1:18" ht="15" customHeight="1" x14ac:dyDescent="0.25">
      <c r="A17" s="7" t="s">
        <v>25</v>
      </c>
      <c r="B17" s="7">
        <v>9</v>
      </c>
      <c r="C17" s="2" t="s">
        <v>34</v>
      </c>
      <c r="D17" s="6">
        <v>9</v>
      </c>
      <c r="E17" s="6">
        <v>10</v>
      </c>
      <c r="F17" s="6">
        <v>10</v>
      </c>
      <c r="G17" s="6">
        <v>9</v>
      </c>
      <c r="H17" s="6">
        <v>9</v>
      </c>
      <c r="I17" s="6">
        <v>10</v>
      </c>
      <c r="J17" s="6">
        <v>10</v>
      </c>
      <c r="K17" s="6">
        <v>8</v>
      </c>
      <c r="L17" s="6">
        <v>7</v>
      </c>
      <c r="M17" s="6">
        <v>8</v>
      </c>
      <c r="N17" s="6">
        <v>8</v>
      </c>
      <c r="O17" s="6">
        <v>9</v>
      </c>
      <c r="P17" s="6">
        <v>9</v>
      </c>
      <c r="Q17" s="6">
        <v>9</v>
      </c>
      <c r="R17" s="10">
        <f t="shared" si="0"/>
        <v>8.9285714285714288</v>
      </c>
    </row>
    <row r="18" spans="1:18" ht="15" customHeight="1" x14ac:dyDescent="0.25">
      <c r="A18" s="7" t="s">
        <v>25</v>
      </c>
      <c r="B18" s="7">
        <v>10</v>
      </c>
      <c r="C18" s="2" t="s">
        <v>35</v>
      </c>
      <c r="D18" s="6">
        <v>4</v>
      </c>
      <c r="E18" s="6">
        <v>5</v>
      </c>
      <c r="F18" s="6">
        <v>9</v>
      </c>
      <c r="G18" s="6">
        <v>6</v>
      </c>
      <c r="H18" s="6">
        <v>8</v>
      </c>
      <c r="I18" s="6">
        <v>7</v>
      </c>
      <c r="J18" s="6">
        <v>8</v>
      </c>
      <c r="K18" s="6">
        <v>8</v>
      </c>
      <c r="L18" s="6">
        <v>7</v>
      </c>
      <c r="M18" s="6">
        <v>8</v>
      </c>
      <c r="N18" s="6">
        <v>6</v>
      </c>
      <c r="O18" s="6">
        <v>2</v>
      </c>
      <c r="P18" s="6">
        <v>6</v>
      </c>
      <c r="Q18" s="6">
        <v>7</v>
      </c>
      <c r="R18" s="10" t="s">
        <v>36</v>
      </c>
    </row>
    <row r="19" spans="1:18" ht="15" customHeight="1" x14ac:dyDescent="0.25">
      <c r="A19" s="7" t="s">
        <v>25</v>
      </c>
      <c r="B19" s="7">
        <v>11</v>
      </c>
      <c r="C19" s="2" t="s">
        <v>37</v>
      </c>
      <c r="D19" s="6">
        <v>10</v>
      </c>
      <c r="E19" s="6">
        <v>9</v>
      </c>
      <c r="F19" s="6">
        <v>9</v>
      </c>
      <c r="G19" s="6">
        <v>9</v>
      </c>
      <c r="H19" s="6">
        <v>9</v>
      </c>
      <c r="I19" s="6">
        <v>6</v>
      </c>
      <c r="J19" s="6">
        <v>10</v>
      </c>
      <c r="K19" s="6">
        <v>9</v>
      </c>
      <c r="L19" s="6">
        <v>8</v>
      </c>
      <c r="M19" s="6">
        <v>9</v>
      </c>
      <c r="N19" s="6">
        <v>6</v>
      </c>
      <c r="O19" s="6">
        <v>8</v>
      </c>
      <c r="P19" s="6">
        <v>6</v>
      </c>
      <c r="Q19" s="6">
        <v>9</v>
      </c>
      <c r="R19" s="10">
        <f t="shared" si="0"/>
        <v>8.3571428571428577</v>
      </c>
    </row>
    <row r="20" spans="1:18" ht="15" customHeight="1" x14ac:dyDescent="0.25">
      <c r="A20" s="7" t="s">
        <v>25</v>
      </c>
      <c r="B20" s="7">
        <v>12</v>
      </c>
      <c r="C20" s="2" t="s">
        <v>38</v>
      </c>
      <c r="D20" s="6">
        <v>9</v>
      </c>
      <c r="E20" s="6">
        <v>9</v>
      </c>
      <c r="F20" s="6">
        <v>8</v>
      </c>
      <c r="G20" s="6">
        <v>7</v>
      </c>
      <c r="H20" s="6">
        <v>9</v>
      </c>
      <c r="I20" s="6">
        <v>8</v>
      </c>
      <c r="J20" s="6">
        <v>8</v>
      </c>
      <c r="K20" s="6">
        <v>8</v>
      </c>
      <c r="L20" s="6">
        <v>7</v>
      </c>
      <c r="M20" s="6">
        <v>7</v>
      </c>
      <c r="N20" s="6">
        <v>5</v>
      </c>
      <c r="O20" s="6">
        <v>7</v>
      </c>
      <c r="P20" s="6">
        <v>11</v>
      </c>
      <c r="Q20" s="6">
        <v>8</v>
      </c>
      <c r="R20" s="10">
        <f t="shared" si="0"/>
        <v>7.9285714285714288</v>
      </c>
    </row>
    <row r="21" spans="1:18" ht="15" customHeight="1" x14ac:dyDescent="0.25">
      <c r="A21" s="7" t="s">
        <v>39</v>
      </c>
      <c r="B21" s="7">
        <v>13</v>
      </c>
      <c r="C21" s="2" t="s">
        <v>40</v>
      </c>
      <c r="D21" s="6">
        <v>6</v>
      </c>
      <c r="E21" s="6">
        <v>7</v>
      </c>
      <c r="F21" s="6">
        <v>8</v>
      </c>
      <c r="G21" s="6">
        <v>7</v>
      </c>
      <c r="H21" s="6">
        <v>7</v>
      </c>
      <c r="I21" s="6">
        <v>6</v>
      </c>
      <c r="J21" s="6">
        <v>6</v>
      </c>
      <c r="K21" s="6">
        <v>7</v>
      </c>
      <c r="L21" s="6">
        <v>5</v>
      </c>
      <c r="M21" s="6">
        <v>5</v>
      </c>
      <c r="N21" s="6">
        <v>5</v>
      </c>
      <c r="O21" s="6">
        <v>4</v>
      </c>
      <c r="P21" s="6">
        <v>10</v>
      </c>
      <c r="Q21" s="6">
        <v>6</v>
      </c>
      <c r="R21" s="10">
        <f t="shared" si="0"/>
        <v>6.3571428571428568</v>
      </c>
    </row>
    <row r="22" spans="1:18" ht="15" customHeight="1" x14ac:dyDescent="0.25">
      <c r="A22" s="7" t="s">
        <v>39</v>
      </c>
      <c r="B22" s="7">
        <v>14</v>
      </c>
      <c r="C22" s="2" t="s">
        <v>41</v>
      </c>
      <c r="D22" s="6">
        <v>8</v>
      </c>
      <c r="E22" s="6">
        <v>8</v>
      </c>
      <c r="F22" s="6">
        <v>5</v>
      </c>
      <c r="G22" s="6">
        <v>4</v>
      </c>
      <c r="H22" s="6">
        <v>7</v>
      </c>
      <c r="I22" s="6">
        <v>6</v>
      </c>
      <c r="J22" s="6">
        <v>7</v>
      </c>
      <c r="K22" s="6">
        <v>7</v>
      </c>
      <c r="L22" s="6">
        <v>5</v>
      </c>
      <c r="M22" s="6">
        <v>4</v>
      </c>
      <c r="N22" s="6">
        <v>8</v>
      </c>
      <c r="O22" s="6">
        <v>6</v>
      </c>
      <c r="P22" s="6">
        <v>10</v>
      </c>
      <c r="Q22" s="6">
        <v>6</v>
      </c>
      <c r="R22" s="10">
        <f t="shared" si="0"/>
        <v>6.5</v>
      </c>
    </row>
    <row r="23" spans="1:18" ht="15" customHeight="1" x14ac:dyDescent="0.25">
      <c r="A23" s="7" t="s">
        <v>25</v>
      </c>
      <c r="B23" s="7">
        <v>15</v>
      </c>
      <c r="C23" s="2" t="s">
        <v>42</v>
      </c>
      <c r="D23" s="6">
        <v>9</v>
      </c>
      <c r="E23" s="6">
        <v>10</v>
      </c>
      <c r="F23" s="6">
        <v>9</v>
      </c>
      <c r="G23" s="6">
        <v>9</v>
      </c>
      <c r="H23" s="6">
        <v>10</v>
      </c>
      <c r="I23" s="6">
        <v>8</v>
      </c>
      <c r="J23" s="6">
        <v>10</v>
      </c>
      <c r="K23" s="6">
        <v>9</v>
      </c>
      <c r="L23" s="6">
        <v>7</v>
      </c>
      <c r="M23" s="6">
        <v>10</v>
      </c>
      <c r="N23" s="6">
        <v>9</v>
      </c>
      <c r="O23" s="6">
        <v>10</v>
      </c>
      <c r="P23" s="6">
        <v>10</v>
      </c>
      <c r="Q23" s="6">
        <v>9</v>
      </c>
      <c r="R23" s="10">
        <f t="shared" si="0"/>
        <v>9.2142857142857135</v>
      </c>
    </row>
    <row r="24" spans="1:18" ht="15" customHeight="1" x14ac:dyDescent="0.25">
      <c r="A24" s="7" t="s">
        <v>25</v>
      </c>
      <c r="B24" s="7">
        <v>16</v>
      </c>
      <c r="C24" s="2" t="s">
        <v>43</v>
      </c>
      <c r="D24" s="6">
        <v>9</v>
      </c>
      <c r="E24" s="6">
        <v>8</v>
      </c>
      <c r="F24" s="6">
        <v>10</v>
      </c>
      <c r="G24" s="6">
        <v>7</v>
      </c>
      <c r="H24" s="6">
        <v>9</v>
      </c>
      <c r="I24" s="6">
        <v>7</v>
      </c>
      <c r="J24" s="6">
        <v>7</v>
      </c>
      <c r="K24" s="6">
        <v>7</v>
      </c>
      <c r="L24" s="6">
        <v>8</v>
      </c>
      <c r="M24" s="6">
        <v>9</v>
      </c>
      <c r="N24" s="6">
        <v>8</v>
      </c>
      <c r="O24" s="6">
        <v>7</v>
      </c>
      <c r="P24" s="6">
        <v>10</v>
      </c>
      <c r="Q24" s="6">
        <v>9</v>
      </c>
      <c r="R24" s="10">
        <f t="shared" si="0"/>
        <v>8.2142857142857135</v>
      </c>
    </row>
    <row r="25" spans="1:18" ht="15" customHeight="1" x14ac:dyDescent="0.25">
      <c r="A25" s="7" t="s">
        <v>25</v>
      </c>
      <c r="B25" s="7">
        <v>17</v>
      </c>
      <c r="C25" s="2" t="s">
        <v>44</v>
      </c>
      <c r="D25" s="6">
        <v>7</v>
      </c>
      <c r="E25" s="6">
        <v>6</v>
      </c>
      <c r="F25" s="6">
        <v>8</v>
      </c>
      <c r="G25" s="6">
        <v>4</v>
      </c>
      <c r="H25" s="6">
        <v>5</v>
      </c>
      <c r="I25" s="6">
        <v>5</v>
      </c>
      <c r="J25" s="6">
        <v>6</v>
      </c>
      <c r="K25" s="6">
        <v>5</v>
      </c>
      <c r="L25" s="6">
        <v>4</v>
      </c>
      <c r="M25" s="6">
        <v>4</v>
      </c>
      <c r="N25" s="6">
        <v>7</v>
      </c>
      <c r="O25" s="6">
        <v>4</v>
      </c>
      <c r="P25" s="6">
        <v>6</v>
      </c>
      <c r="Q25" s="6">
        <v>5</v>
      </c>
      <c r="R25" s="10">
        <f t="shared" si="0"/>
        <v>5.4285714285714288</v>
      </c>
    </row>
    <row r="26" spans="1:18" ht="15" customHeight="1" x14ac:dyDescent="0.25">
      <c r="A26" s="7" t="s">
        <v>25</v>
      </c>
      <c r="B26" s="7">
        <v>18</v>
      </c>
      <c r="C26" s="2" t="s">
        <v>45</v>
      </c>
      <c r="D26" s="6">
        <v>4</v>
      </c>
      <c r="E26" s="6">
        <v>5</v>
      </c>
      <c r="F26" s="6">
        <v>4</v>
      </c>
      <c r="G26" s="6">
        <v>4</v>
      </c>
      <c r="H26" s="6">
        <v>4</v>
      </c>
      <c r="I26" s="6">
        <v>6</v>
      </c>
      <c r="J26" s="6">
        <v>5</v>
      </c>
      <c r="K26" s="6" t="s">
        <v>46</v>
      </c>
      <c r="L26" s="6">
        <v>4</v>
      </c>
      <c r="M26" s="6">
        <v>4</v>
      </c>
      <c r="N26" s="6">
        <v>4</v>
      </c>
      <c r="O26" s="6" t="s">
        <v>46</v>
      </c>
      <c r="P26" s="6">
        <v>6</v>
      </c>
      <c r="Q26" s="6">
        <v>5</v>
      </c>
      <c r="R26" s="10" t="str">
        <f t="shared" si="0"/>
        <v>-</v>
      </c>
    </row>
    <row r="27" spans="1:18" ht="15" customHeight="1" x14ac:dyDescent="0.25">
      <c r="A27" s="7" t="s">
        <v>25</v>
      </c>
      <c r="B27" s="7">
        <v>19</v>
      </c>
      <c r="C27" s="2" t="s">
        <v>47</v>
      </c>
      <c r="D27" s="6">
        <v>4</v>
      </c>
      <c r="E27" s="6">
        <v>8</v>
      </c>
      <c r="F27" s="6">
        <v>4</v>
      </c>
      <c r="G27" s="6">
        <v>4</v>
      </c>
      <c r="H27" s="6">
        <v>4</v>
      </c>
      <c r="I27" s="6">
        <v>6</v>
      </c>
      <c r="J27" s="6">
        <v>4</v>
      </c>
      <c r="K27" s="6">
        <v>4</v>
      </c>
      <c r="L27" s="6">
        <v>5</v>
      </c>
      <c r="M27" s="6">
        <v>6</v>
      </c>
      <c r="N27" s="6">
        <v>4</v>
      </c>
      <c r="O27" s="6">
        <v>4</v>
      </c>
      <c r="P27" s="6">
        <v>6</v>
      </c>
      <c r="Q27" s="6">
        <v>5</v>
      </c>
      <c r="R27" s="10">
        <f t="shared" si="0"/>
        <v>4.8571428571428568</v>
      </c>
    </row>
    <row r="28" spans="1:18" ht="15" customHeight="1" x14ac:dyDescent="0.25">
      <c r="A28" s="7" t="s">
        <v>25</v>
      </c>
      <c r="B28" s="7">
        <v>20</v>
      </c>
      <c r="C28" s="2" t="s">
        <v>48</v>
      </c>
      <c r="D28" s="6">
        <v>4</v>
      </c>
      <c r="E28" s="6">
        <v>5</v>
      </c>
      <c r="F28" s="6">
        <v>5</v>
      </c>
      <c r="G28" s="6">
        <v>4</v>
      </c>
      <c r="H28" s="6">
        <v>5</v>
      </c>
      <c r="I28" s="6">
        <v>4</v>
      </c>
      <c r="J28" s="6">
        <v>5</v>
      </c>
      <c r="K28" s="6">
        <v>4</v>
      </c>
      <c r="L28" s="6">
        <v>5</v>
      </c>
      <c r="M28" s="6">
        <v>6</v>
      </c>
      <c r="N28" s="6">
        <v>6</v>
      </c>
      <c r="O28" s="6">
        <v>4</v>
      </c>
      <c r="P28" s="6">
        <v>6</v>
      </c>
      <c r="Q28" s="6">
        <v>5</v>
      </c>
      <c r="R28" s="10">
        <f t="shared" si="0"/>
        <v>4.8571428571428568</v>
      </c>
    </row>
    <row r="29" spans="1:18" ht="15" customHeight="1" x14ac:dyDescent="0.25">
      <c r="A29" s="7" t="s">
        <v>25</v>
      </c>
      <c r="B29" s="7">
        <v>21</v>
      </c>
      <c r="C29" s="2" t="s">
        <v>49</v>
      </c>
      <c r="D29" s="6">
        <v>9</v>
      </c>
      <c r="E29" s="6">
        <v>8</v>
      </c>
      <c r="F29" s="6">
        <v>8</v>
      </c>
      <c r="G29" s="6">
        <v>8</v>
      </c>
      <c r="H29" s="6">
        <v>9</v>
      </c>
      <c r="I29" s="6">
        <v>7</v>
      </c>
      <c r="J29" s="6">
        <v>8</v>
      </c>
      <c r="K29" s="6">
        <v>7</v>
      </c>
      <c r="L29" s="6">
        <v>8</v>
      </c>
      <c r="M29" s="6">
        <v>8</v>
      </c>
      <c r="N29" s="6">
        <v>6</v>
      </c>
      <c r="O29" s="6">
        <v>9</v>
      </c>
      <c r="P29" s="6">
        <v>10</v>
      </c>
      <c r="Q29" s="6">
        <v>10</v>
      </c>
      <c r="R29" s="10">
        <f t="shared" si="0"/>
        <v>8.2142857142857135</v>
      </c>
    </row>
    <row r="30" spans="1:18" ht="15" customHeight="1" x14ac:dyDescent="0.25">
      <c r="A30" s="7" t="s">
        <v>25</v>
      </c>
      <c r="B30" s="7">
        <v>22</v>
      </c>
      <c r="C30" s="2" t="s">
        <v>50</v>
      </c>
      <c r="D30" s="6">
        <v>5</v>
      </c>
      <c r="E30" s="6">
        <v>8</v>
      </c>
      <c r="F30" s="6">
        <v>4</v>
      </c>
      <c r="G30" s="6">
        <v>4</v>
      </c>
      <c r="H30" s="6">
        <v>8</v>
      </c>
      <c r="I30" s="6">
        <v>4</v>
      </c>
      <c r="J30" s="6">
        <v>6</v>
      </c>
      <c r="K30" s="6">
        <v>8</v>
      </c>
      <c r="L30" s="6">
        <v>5</v>
      </c>
      <c r="M30" s="6">
        <v>5</v>
      </c>
      <c r="N30" s="6">
        <v>4</v>
      </c>
      <c r="O30" s="6">
        <v>4</v>
      </c>
      <c r="P30" s="6">
        <v>8</v>
      </c>
      <c r="Q30" s="6">
        <v>6</v>
      </c>
      <c r="R30" s="10">
        <f t="shared" ref="R30" si="1">IF(COUNTIF(D30:Q30,"=*")&gt;0,"-",(IFERROR(AVERAGE(D30:Q30),"")))</f>
        <v>5.6428571428571432</v>
      </c>
    </row>
    <row r="31" spans="1:18" ht="15" customHeight="1" x14ac:dyDescent="0.25">
      <c r="C31" s="2" t="s">
        <v>51</v>
      </c>
      <c r="D31" s="11">
        <f>IF(SUM(D9:D30)/B30=0,"",SUM(D9:D30)/B30)</f>
        <v>7.1818181818181817</v>
      </c>
      <c r="E31" s="11">
        <f>IF(SUM(E9:E30)/B30=0,"",SUM(E9:E30)/B30)</f>
        <v>7.9090909090909092</v>
      </c>
      <c r="F31" s="11">
        <f>IF(SUM(F9:F30)/B30=0,"",SUM(F9:F30)/B30)</f>
        <v>7.5</v>
      </c>
      <c r="G31" s="11">
        <f>IF(SUM(G9:G30)/B30=0,"",SUM(G9:G30)/B30)</f>
        <v>6.4545454545454541</v>
      </c>
      <c r="H31" s="11">
        <f>IF(SUM(H9:H30)/B30=0,"",SUM(H9:H30)/B30)</f>
        <v>7.4545454545454541</v>
      </c>
      <c r="I31" s="11">
        <f>IF(SUM(I9:I30)/B30=0,"",SUM(I9:I30)/B30)</f>
        <v>6.8181818181818183</v>
      </c>
      <c r="J31" s="11">
        <f>IF(SUM(J9:J30)/B30=0,"",SUM(J9:J30)/B30)</f>
        <v>7.4090909090909092</v>
      </c>
      <c r="K31" s="11">
        <f>IF(SUM(K9:K30)/B30=0,"",SUM(K9:K30)/B30)</f>
        <v>6.6363636363636367</v>
      </c>
      <c r="L31" s="11">
        <f>IF(SUM(L9:L30)/B30=0,"",SUM(L9:L30)/B30)</f>
        <v>6.4090909090909092</v>
      </c>
      <c r="M31" s="11">
        <f>IF(SUM(M9:M30)/B30=0,"",SUM(M9:M30)/B30)</f>
        <v>7.1363636363636367</v>
      </c>
      <c r="N31" s="11">
        <f>IF(SUM(N9:N30)/B30=0,"",SUM(N9:N30)/B30)</f>
        <v>6.5</v>
      </c>
      <c r="O31" s="11">
        <f>IF(SUM(O9:O30)/B30=0,"",SUM(O9:O30)/B30)</f>
        <v>6.0909090909090908</v>
      </c>
      <c r="P31" s="11">
        <f>IF(SUM(P9:P30)/B30=0,"",SUM(P9:P30)/B30)</f>
        <v>8.5</v>
      </c>
      <c r="Q31" s="11">
        <f>IF(SUM(Q9:Q30)/B30=0,"",SUM(Q9:Q30)/B30)</f>
        <v>7.5454545454545459</v>
      </c>
      <c r="R31" s="10">
        <f>IFERROR(AVERAGE(D31:Q31),"")</f>
        <v>7.1103896103896105</v>
      </c>
    </row>
    <row r="32" spans="1:18" ht="15" customHeight="1" x14ac:dyDescent="0.25">
      <c r="C32" s="2" t="s">
        <v>52</v>
      </c>
      <c r="D32" s="12">
        <f>IF(COUNTIF(D9:D30,"&gt;=4")/B30*100=0,"",COUNTIF(D9:D30,"&gt;=4")/B30*100)</f>
        <v>100</v>
      </c>
      <c r="E32" s="12">
        <f>IF(COUNTIF(E9:E30,"&gt;=4")/B30*100=0,"",COUNTIF(E9:E30,"&gt;=4")/B30*100)</f>
        <v>100</v>
      </c>
      <c r="F32" s="12">
        <f>IF(COUNTIF(F9:F30,"&gt;=4")/B30*100=0,"",COUNTIF(F9:F30,"&gt;=4")/B30*100)</f>
        <v>100</v>
      </c>
      <c r="G32" s="12">
        <f>IF(COUNTIF(G9:G30,"&gt;=4")/B30*100=0,"",COUNTIF(G9:G30,"&gt;=4")/B30*100)</f>
        <v>100</v>
      </c>
      <c r="H32" s="12">
        <f>IF(COUNTIF(H9:H30,"&gt;=4")/B30*100=0,"",COUNTIF(H9:H30,"&gt;=4")/B30*100)</f>
        <v>100</v>
      </c>
      <c r="I32" s="12">
        <f>IF(COUNTIF(I9:I30,"&gt;=4")/B30*100=0,"",COUNTIF(I9:I30,"&gt;=4")/B30*100)</f>
        <v>100</v>
      </c>
      <c r="J32" s="12">
        <f>IF(COUNTIF(J9:J30,"&gt;=4")/B30*100=0,"",COUNTIF(J9:J30,"&gt;=4")/B30*100)</f>
        <v>100</v>
      </c>
      <c r="K32" s="12">
        <f>IF(COUNTIF(K9:K30,"&gt;=4")/B30*100=0,"",COUNTIF(K9:K30,"&gt;=4")/B30*100)</f>
        <v>95.454545454545453</v>
      </c>
      <c r="L32" s="12">
        <f>IF(COUNTIF(L9:L30,"&gt;=4")/B30*100=0,"",COUNTIF(L9:L30,"&gt;=4")/B30*100)</f>
        <v>100</v>
      </c>
      <c r="M32" s="12">
        <f>IF(COUNTIF(M9:M30,"&gt;=4")/B30*100=0,"",COUNTIF(M9:M30,"&gt;=4")/B30*100)</f>
        <v>100</v>
      </c>
      <c r="N32" s="12">
        <f>IF(COUNTIF(N9:N30,"&gt;=4")/B30*100=0,"",COUNTIF(N9:N30,"&gt;=4")/B30*100)</f>
        <v>100</v>
      </c>
      <c r="O32" s="12">
        <f>IF(COUNTIF(O9:O30,"&gt;=4")/B30*100=0,"",COUNTIF(O9:O30,"&gt;=4")/B30*100)</f>
        <v>90.909090909090907</v>
      </c>
      <c r="P32" s="12">
        <f>IF(COUNTIF(P9:P30,"&gt;=4")/B30*100=0,"",COUNTIF(P9:P30,"&gt;=4")/B30*100)</f>
        <v>100</v>
      </c>
      <c r="Q32" s="12">
        <f>IF(COUNTIF(Q9:Q30,"&gt;=4")/B30*100=0,"",COUNTIF(Q9:Q30,"&gt;=4")/B30*100)</f>
        <v>100</v>
      </c>
    </row>
    <row r="33" spans="3:17" ht="15" customHeight="1" x14ac:dyDescent="0.25">
      <c r="C33" s="2" t="s">
        <v>53</v>
      </c>
      <c r="D33" s="12">
        <f>IF(COUNTIF(D9:D30,"&gt;=7")/B30*100=0,"",COUNTIF(D9:D30,"&gt;=7")/B30*100)</f>
        <v>68.181818181818173</v>
      </c>
      <c r="E33" s="12">
        <f>IF(COUNTIF(E9:E30,"&gt;=7")/B30*100=0,"",COUNTIF(E9:E30,"&gt;=7")/B30*100)</f>
        <v>77.272727272727266</v>
      </c>
      <c r="F33" s="12">
        <f>IF(COUNTIF(F9:F30,"&gt;=7")/B30*100=0,"",COUNTIF(F9:F30,"&gt;=7")/B30*100)</f>
        <v>68.181818181818173</v>
      </c>
      <c r="G33" s="12">
        <f>IF(COUNTIF(G9:G30,"&gt;=7")/B30*100=0,"",COUNTIF(G9:G30,"&gt;=7")/B30*100)</f>
        <v>54.54545454545454</v>
      </c>
      <c r="H33" s="12">
        <f>IF(COUNTIF(H9:H30,"&gt;=7")/B30*100=0,"",COUNTIF(H9:H30,"&gt;=7")/B30*100)</f>
        <v>68.181818181818173</v>
      </c>
      <c r="I33" s="12">
        <f>IF(COUNTIF(I9:I30,"&gt;=7")/B30*100=0,"",COUNTIF(I9:I30,"&gt;=7")/B30*100)</f>
        <v>59.090909090909093</v>
      </c>
      <c r="J33" s="12">
        <f>IF(COUNTIF(J9:J30,"&gt;=7")/B30*100=0,"",COUNTIF(J9:J30,"&gt;=7")/B30*100)</f>
        <v>63.636363636363633</v>
      </c>
      <c r="K33" s="12">
        <f>IF(COUNTIF(K9:K30,"&gt;=7")/B30*100=0,"",COUNTIF(K9:K30,"&gt;=7")/B30*100)</f>
        <v>63.636363636363633</v>
      </c>
      <c r="L33" s="12">
        <f>IF(COUNTIF(L9:L30,"&gt;=7")/B30*100=0,"",COUNTIF(L9:L30,"&gt;=7")/B30*100)</f>
        <v>54.54545454545454</v>
      </c>
      <c r="M33" s="12">
        <f>IF(COUNTIF(M9:M30,"&gt;=7")/B30*100=0,"",COUNTIF(M9:M30,"&gt;=7")/B30*100)</f>
        <v>59.090909090909093</v>
      </c>
      <c r="N33" s="12">
        <f>IF(COUNTIF(N9:N30,"&gt;=7")/B30*100=0,"",COUNTIF(N9:N30,"&gt;=7")/B30*100)</f>
        <v>45.454545454545453</v>
      </c>
      <c r="O33" s="12">
        <f>IF(COUNTIF(O9:O30,"&gt;=7")/B30*100=0,"",COUNTIF(O9:O30,"&gt;=7")/B30*100)</f>
        <v>45.454545454545453</v>
      </c>
      <c r="P33" s="12">
        <f>IF(COUNTIF(P9:P30,"&gt;=7")/B30*100=0,"",COUNTIF(P9:P30,"&gt;=7")/B30*100)</f>
        <v>72.727272727272734</v>
      </c>
      <c r="Q33" s="12">
        <f>IF(COUNTIF(Q9:Q30,"&gt;=7")/B30*100=0,"",COUNTIF(Q9:Q30,"&gt;=7")/B30*100)</f>
        <v>63.636363636363633</v>
      </c>
    </row>
    <row r="34" spans="3:17" ht="15" customHeight="1" x14ac:dyDescent="0.25">
      <c r="C34" s="2" t="s">
        <v>54</v>
      </c>
      <c r="D34" s="11">
        <f>IFERROR(AVERAGE(D32:Q32),"")</f>
        <v>99.025974025974037</v>
      </c>
    </row>
    <row r="35" spans="3:17" ht="15" customHeight="1" x14ac:dyDescent="0.25">
      <c r="C35" s="2" t="s">
        <v>55</v>
      </c>
      <c r="D35" s="11">
        <f>IFERROR(AVERAGE(D33:Q33),"")</f>
        <v>61.688311688311693</v>
      </c>
    </row>
    <row r="36" spans="3:17" ht="15" customHeight="1" x14ac:dyDescent="0.25">
      <c r="C36" s="2" t="s">
        <v>56</v>
      </c>
      <c r="D36" s="6">
        <f>IF(COUNTIF(A9:A30,"=Б")=0,"",COUNTIF(A9:A30,"=Б"))</f>
        <v>20</v>
      </c>
    </row>
    <row r="37" spans="3:17" ht="15" customHeight="1" x14ac:dyDescent="0.25">
      <c r="C37" s="2" t="s">
        <v>57</v>
      </c>
      <c r="D37" s="6">
        <f>IF(COUNTIF(A9:A30,"=К")=0,"",COUNTIF(A9:A30,"=К"))</f>
        <v>2</v>
      </c>
      <c r="F37" s="3" t="s">
        <v>58</v>
      </c>
      <c r="M37" s="3" t="s">
        <v>59</v>
      </c>
    </row>
    <row r="38" spans="3:17" ht="15" customHeight="1" x14ac:dyDescent="0.25">
      <c r="C38" s="2" t="s">
        <v>60</v>
      </c>
      <c r="D38" s="6">
        <v>1</v>
      </c>
    </row>
    <row r="39" spans="3:17" ht="15" customHeight="1" x14ac:dyDescent="0.25">
      <c r="C39" s="2" t="s">
        <v>61</v>
      </c>
      <c r="D39" s="6">
        <f>'Рейтингова відомість 151'!D30</f>
        <v>8</v>
      </c>
      <c r="F39" s="3" t="s">
        <v>62</v>
      </c>
      <c r="M39" s="3" t="s">
        <v>63</v>
      </c>
    </row>
  </sheetData>
  <sortState ref="A9:C30">
    <sortCondition ref="C9:C30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R26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5" customFormat="1" ht="1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5" customFormat="1" ht="1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s="4" customFormat="1" ht="15" customHeight="1" x14ac:dyDescent="0.25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s="5" customFormat="1" ht="15" customHeight="1" x14ac:dyDescent="0.25">
      <c r="A4" s="30" t="s">
        <v>64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s="5" customFormat="1" ht="15" customHeight="1" x14ac:dyDescent="0.25">
      <c r="A5" s="30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s="5" customFormat="1" ht="15" customHeight="1" x14ac:dyDescent="0.25">
      <c r="A6" s="30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ht="15" customHeight="1" x14ac:dyDescent="0.25">
      <c r="A7" s="27" t="s">
        <v>6</v>
      </c>
      <c r="B7" s="29" t="s">
        <v>7</v>
      </c>
      <c r="C7" s="29" t="s">
        <v>8</v>
      </c>
      <c r="D7" s="28" t="s">
        <v>9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18" ht="125.1" customHeight="1" x14ac:dyDescent="0.25">
      <c r="A8" s="28"/>
      <c r="B8" s="28"/>
      <c r="C8" s="28"/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9" t="s">
        <v>24</v>
      </c>
    </row>
    <row r="9" spans="1:18" ht="15" customHeight="1" x14ac:dyDescent="0.25">
      <c r="A9" s="7" t="s">
        <v>25</v>
      </c>
      <c r="B9" s="7">
        <v>1</v>
      </c>
      <c r="C9" s="2" t="s">
        <v>65</v>
      </c>
      <c r="D9" s="6">
        <v>8</v>
      </c>
      <c r="E9" s="6">
        <v>8</v>
      </c>
      <c r="F9" s="6">
        <v>8</v>
      </c>
      <c r="G9" s="6">
        <v>6</v>
      </c>
      <c r="H9" s="6">
        <v>6</v>
      </c>
      <c r="I9" s="6">
        <v>7</v>
      </c>
      <c r="J9" s="6">
        <v>5</v>
      </c>
      <c r="K9" s="6">
        <v>5</v>
      </c>
      <c r="L9" s="6">
        <v>4</v>
      </c>
      <c r="M9" s="6">
        <v>8</v>
      </c>
      <c r="N9" s="6">
        <v>4</v>
      </c>
      <c r="O9" s="6">
        <v>4</v>
      </c>
      <c r="P9" s="6">
        <v>10</v>
      </c>
      <c r="Q9" s="6">
        <v>8</v>
      </c>
      <c r="R9" s="10">
        <f t="shared" ref="R9:R16" si="0">IF(COUNTIF(D9:Q9,"=*")&gt;0,"-",(IFERROR(AVERAGE(D9:Q9),"")))</f>
        <v>6.5</v>
      </c>
    </row>
    <row r="10" spans="1:18" ht="15" customHeight="1" x14ac:dyDescent="0.25">
      <c r="A10" s="7" t="s">
        <v>39</v>
      </c>
      <c r="B10" s="7">
        <v>2</v>
      </c>
      <c r="C10" s="2" t="s">
        <v>66</v>
      </c>
      <c r="D10" s="6">
        <v>4</v>
      </c>
      <c r="E10" s="6">
        <v>4</v>
      </c>
      <c r="F10" s="6">
        <v>4</v>
      </c>
      <c r="G10" s="6">
        <v>7</v>
      </c>
      <c r="H10" s="6">
        <v>7</v>
      </c>
      <c r="I10" s="6">
        <v>4</v>
      </c>
      <c r="J10" s="6">
        <v>6</v>
      </c>
      <c r="K10" s="6">
        <v>4</v>
      </c>
      <c r="L10" s="6">
        <v>5</v>
      </c>
      <c r="M10" s="6">
        <v>5</v>
      </c>
      <c r="N10" s="6">
        <v>5</v>
      </c>
      <c r="O10" s="6" t="s">
        <v>46</v>
      </c>
      <c r="P10" s="6">
        <v>6</v>
      </c>
      <c r="Q10" s="6">
        <v>5</v>
      </c>
      <c r="R10" s="10" t="str">
        <f t="shared" si="0"/>
        <v>-</v>
      </c>
    </row>
    <row r="11" spans="1:18" ht="15" customHeight="1" x14ac:dyDescent="0.25">
      <c r="A11" s="7" t="s">
        <v>25</v>
      </c>
      <c r="B11" s="7">
        <v>3</v>
      </c>
      <c r="C11" s="2" t="s">
        <v>67</v>
      </c>
      <c r="D11" s="6">
        <v>5</v>
      </c>
      <c r="E11" s="6">
        <v>8</v>
      </c>
      <c r="F11" s="6">
        <v>8</v>
      </c>
      <c r="G11" s="6">
        <v>7</v>
      </c>
      <c r="H11" s="6">
        <v>7</v>
      </c>
      <c r="I11" s="6">
        <v>4</v>
      </c>
      <c r="J11" s="6">
        <v>10</v>
      </c>
      <c r="K11" s="6">
        <v>8</v>
      </c>
      <c r="L11" s="6">
        <v>6</v>
      </c>
      <c r="M11" s="6">
        <v>7</v>
      </c>
      <c r="N11" s="6">
        <v>9</v>
      </c>
      <c r="O11" s="6">
        <v>4</v>
      </c>
      <c r="P11" s="6">
        <v>10</v>
      </c>
      <c r="Q11" s="6">
        <v>8</v>
      </c>
      <c r="R11" s="10">
        <f t="shared" si="0"/>
        <v>7.2142857142857144</v>
      </c>
    </row>
    <row r="12" spans="1:18" ht="15" customHeight="1" x14ac:dyDescent="0.25">
      <c r="A12" s="7" t="s">
        <v>25</v>
      </c>
      <c r="B12" s="7">
        <v>4</v>
      </c>
      <c r="C12" s="2" t="s">
        <v>68</v>
      </c>
      <c r="D12" s="6">
        <v>10</v>
      </c>
      <c r="E12" s="6">
        <v>10</v>
      </c>
      <c r="F12" s="6">
        <v>10</v>
      </c>
      <c r="G12" s="6">
        <v>9</v>
      </c>
      <c r="H12" s="6">
        <v>9</v>
      </c>
      <c r="I12" s="6">
        <v>7</v>
      </c>
      <c r="J12" s="6">
        <v>9</v>
      </c>
      <c r="K12" s="6">
        <v>8</v>
      </c>
      <c r="L12" s="6">
        <v>8</v>
      </c>
      <c r="M12" s="6">
        <v>9</v>
      </c>
      <c r="N12" s="6">
        <v>9</v>
      </c>
      <c r="O12" s="6">
        <v>8</v>
      </c>
      <c r="P12" s="6">
        <v>9</v>
      </c>
      <c r="Q12" s="6">
        <v>8</v>
      </c>
      <c r="R12" s="10">
        <f t="shared" si="0"/>
        <v>8.7857142857142865</v>
      </c>
    </row>
    <row r="13" spans="1:18" ht="15" customHeight="1" x14ac:dyDescent="0.25">
      <c r="A13" s="7" t="s">
        <v>25</v>
      </c>
      <c r="B13" s="7">
        <v>5</v>
      </c>
      <c r="C13" s="2" t="s">
        <v>69</v>
      </c>
      <c r="D13" s="6">
        <v>9</v>
      </c>
      <c r="E13" s="6">
        <v>9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8</v>
      </c>
      <c r="L13" s="6">
        <v>9</v>
      </c>
      <c r="M13" s="6">
        <v>9</v>
      </c>
      <c r="N13" s="6">
        <v>10</v>
      </c>
      <c r="O13" s="6">
        <v>9</v>
      </c>
      <c r="P13" s="6">
        <v>10</v>
      </c>
      <c r="Q13" s="6">
        <v>10</v>
      </c>
      <c r="R13" s="10">
        <f t="shared" si="0"/>
        <v>9.5</v>
      </c>
    </row>
    <row r="14" spans="1:18" ht="15" customHeight="1" x14ac:dyDescent="0.25">
      <c r="A14" s="7" t="s">
        <v>25</v>
      </c>
      <c r="B14" s="7">
        <v>6</v>
      </c>
      <c r="C14" s="2" t="s">
        <v>70</v>
      </c>
      <c r="D14" s="6">
        <v>8</v>
      </c>
      <c r="E14" s="6">
        <v>7</v>
      </c>
      <c r="F14" s="6">
        <v>8</v>
      </c>
      <c r="G14" s="6">
        <v>4</v>
      </c>
      <c r="H14" s="6">
        <v>7</v>
      </c>
      <c r="I14" s="6">
        <v>8</v>
      </c>
      <c r="J14" s="6">
        <v>8</v>
      </c>
      <c r="K14" s="6">
        <v>7</v>
      </c>
      <c r="L14" s="6">
        <v>6</v>
      </c>
      <c r="M14" s="6">
        <v>6</v>
      </c>
      <c r="N14" s="6">
        <v>8</v>
      </c>
      <c r="O14" s="6">
        <v>4</v>
      </c>
      <c r="P14" s="6">
        <v>7</v>
      </c>
      <c r="Q14" s="6">
        <v>9</v>
      </c>
      <c r="R14" s="10">
        <f t="shared" si="0"/>
        <v>6.9285714285714288</v>
      </c>
    </row>
    <row r="15" spans="1:18" ht="15" customHeight="1" x14ac:dyDescent="0.25">
      <c r="A15" s="7" t="s">
        <v>25</v>
      </c>
      <c r="B15" s="7">
        <v>7</v>
      </c>
      <c r="C15" s="2" t="s">
        <v>71</v>
      </c>
      <c r="D15" s="6">
        <v>4</v>
      </c>
      <c r="E15" s="6">
        <v>5</v>
      </c>
      <c r="F15" s="6">
        <v>4</v>
      </c>
      <c r="G15" s="6">
        <v>4</v>
      </c>
      <c r="H15" s="6">
        <v>4</v>
      </c>
      <c r="I15" s="6">
        <v>8</v>
      </c>
      <c r="J15" s="6">
        <v>4</v>
      </c>
      <c r="K15" s="6" t="s">
        <v>46</v>
      </c>
      <c r="L15" s="6">
        <v>4</v>
      </c>
      <c r="M15" s="6">
        <v>4</v>
      </c>
      <c r="N15" s="6">
        <v>4</v>
      </c>
      <c r="O15" s="6" t="s">
        <v>46</v>
      </c>
      <c r="P15" s="6">
        <v>6</v>
      </c>
      <c r="Q15" s="6">
        <v>5</v>
      </c>
      <c r="R15" s="10" t="str">
        <f t="shared" si="0"/>
        <v>-</v>
      </c>
    </row>
    <row r="16" spans="1:18" ht="15" customHeight="1" x14ac:dyDescent="0.25">
      <c r="A16" s="7" t="s">
        <v>25</v>
      </c>
      <c r="B16" s="7">
        <v>8</v>
      </c>
      <c r="C16" s="2" t="s">
        <v>72</v>
      </c>
      <c r="D16" s="6">
        <v>9</v>
      </c>
      <c r="E16" s="6">
        <v>10</v>
      </c>
      <c r="F16" s="6">
        <v>8</v>
      </c>
      <c r="G16" s="6">
        <v>8</v>
      </c>
      <c r="H16" s="6">
        <v>9</v>
      </c>
      <c r="I16" s="6">
        <v>7</v>
      </c>
      <c r="J16" s="6">
        <v>7</v>
      </c>
      <c r="K16" s="6">
        <v>7</v>
      </c>
      <c r="L16" s="6">
        <v>4</v>
      </c>
      <c r="M16" s="6">
        <v>7</v>
      </c>
      <c r="N16" s="6">
        <v>6</v>
      </c>
      <c r="O16" s="6">
        <v>6</v>
      </c>
      <c r="P16" s="6">
        <v>7</v>
      </c>
      <c r="Q16" s="6">
        <v>9</v>
      </c>
      <c r="R16" s="10">
        <f t="shared" si="0"/>
        <v>7.4285714285714288</v>
      </c>
    </row>
    <row r="17" spans="1:18" ht="15" customHeight="1" x14ac:dyDescent="0.25">
      <c r="A17" s="7" t="s">
        <v>25</v>
      </c>
      <c r="B17" s="7">
        <v>9</v>
      </c>
      <c r="C17" s="2" t="s">
        <v>73</v>
      </c>
      <c r="D17" s="6">
        <v>6</v>
      </c>
      <c r="E17" s="6">
        <v>6</v>
      </c>
      <c r="F17" s="6">
        <v>6</v>
      </c>
      <c r="G17" s="6">
        <v>6</v>
      </c>
      <c r="H17" s="6">
        <v>6</v>
      </c>
      <c r="I17" s="6">
        <v>6</v>
      </c>
      <c r="J17" s="6">
        <v>7</v>
      </c>
      <c r="K17" s="6">
        <v>6</v>
      </c>
      <c r="L17" s="6">
        <v>4</v>
      </c>
      <c r="M17" s="6">
        <v>4</v>
      </c>
      <c r="N17" s="6">
        <v>4</v>
      </c>
      <c r="O17" s="6">
        <v>4</v>
      </c>
      <c r="P17" s="6">
        <v>8</v>
      </c>
      <c r="Q17" s="6">
        <v>5</v>
      </c>
      <c r="R17" s="10">
        <f t="shared" ref="R17" si="1">IF(COUNTIF(D17:Q17,"=*")&gt;0,"-",(IFERROR(AVERAGE(D17:Q17),"")))</f>
        <v>5.5714285714285712</v>
      </c>
    </row>
    <row r="18" spans="1:18" ht="15" customHeight="1" x14ac:dyDescent="0.25">
      <c r="C18" s="2" t="s">
        <v>51</v>
      </c>
      <c r="D18" s="11">
        <f>IF(SUM(D9:D17)/B17=0,"",SUM(D9:D17)/B17)</f>
        <v>7</v>
      </c>
      <c r="E18" s="11">
        <f>IF(SUM(E9:E17)/B17=0,"",SUM(E9:E17)/B17)</f>
        <v>7.4444444444444446</v>
      </c>
      <c r="F18" s="11">
        <f>IF(SUM(F9:F17)/B17=0,"",SUM(F9:F17)/B17)</f>
        <v>7.333333333333333</v>
      </c>
      <c r="G18" s="11">
        <f>IF(SUM(G9:G17)/B17=0,"",SUM(G9:G17)/B17)</f>
        <v>6.7777777777777777</v>
      </c>
      <c r="H18" s="11">
        <f>IF(SUM(H9:H17)/B17=0,"",SUM(H9:H17)/B17)</f>
        <v>7.2222222222222223</v>
      </c>
      <c r="I18" s="11">
        <f>IF(SUM(I9:I17)/B17=0,"",SUM(I9:I17)/B17)</f>
        <v>6.7777777777777777</v>
      </c>
      <c r="J18" s="11">
        <f>IF(SUM(J9:J17)/B17=0,"",SUM(J9:J17)/B17)</f>
        <v>7.333333333333333</v>
      </c>
      <c r="K18" s="11">
        <f>IF(SUM(K9:K17)/B17=0,"",SUM(K9:K17)/B17)</f>
        <v>5.8888888888888893</v>
      </c>
      <c r="L18" s="11">
        <f>IF(SUM(L9:L17)/B17=0,"",SUM(L9:L17)/B17)</f>
        <v>5.5555555555555554</v>
      </c>
      <c r="M18" s="11">
        <f>IF(SUM(M9:M17)/B17=0,"",SUM(M9:M17)/B17)</f>
        <v>6.5555555555555554</v>
      </c>
      <c r="N18" s="11">
        <f>IF(SUM(N9:N17)/B17=0,"",SUM(N9:N17)/B17)</f>
        <v>6.5555555555555554</v>
      </c>
      <c r="O18" s="11">
        <f>IF(SUM(O9:O17)/B17=0,"",SUM(O9:O17)/B17)</f>
        <v>4.333333333333333</v>
      </c>
      <c r="P18" s="11">
        <f>IF(SUM(P9:P17)/B17=0,"",SUM(P9:P17)/B17)</f>
        <v>8.1111111111111107</v>
      </c>
      <c r="Q18" s="11">
        <f>IF(SUM(Q9:Q17)/B17=0,"",SUM(Q9:Q17)/B17)</f>
        <v>7.4444444444444446</v>
      </c>
      <c r="R18" s="10">
        <f>IFERROR(AVERAGE(D18:Q18),"")</f>
        <v>6.738095238095239</v>
      </c>
    </row>
    <row r="19" spans="1:18" ht="15" customHeight="1" x14ac:dyDescent="0.25">
      <c r="C19" s="2" t="s">
        <v>52</v>
      </c>
      <c r="D19" s="12">
        <f>IF(COUNTIF(D9:D17,"&gt;=4")/B17*100=0,"",COUNTIF(D9:D17,"&gt;=4")/B17*100)</f>
        <v>100</v>
      </c>
      <c r="E19" s="12">
        <f>IF(COUNTIF(E9:E17,"&gt;=4")/B17*100=0,"",COUNTIF(E9:E17,"&gt;=4")/B17*100)</f>
        <v>100</v>
      </c>
      <c r="F19" s="12">
        <f>IF(COUNTIF(F9:F17,"&gt;=4")/B17*100=0,"",COUNTIF(F9:F17,"&gt;=4")/B17*100)</f>
        <v>100</v>
      </c>
      <c r="G19" s="12">
        <f>IF(COUNTIF(G9:G17,"&gt;=4")/B17*100=0,"",COUNTIF(G9:G17,"&gt;=4")/B17*100)</f>
        <v>100</v>
      </c>
      <c r="H19" s="12">
        <f>IF(COUNTIF(H9:H17,"&gt;=4")/B17*100=0,"",COUNTIF(H9:H17,"&gt;=4")/B17*100)</f>
        <v>100</v>
      </c>
      <c r="I19" s="12">
        <f>IF(COUNTIF(I9:I17,"&gt;=4")/B17*100=0,"",COUNTIF(I9:I17,"&gt;=4")/B17*100)</f>
        <v>100</v>
      </c>
      <c r="J19" s="12">
        <f>IF(COUNTIF(J9:J17,"&gt;=4")/B17*100=0,"",COUNTIF(J9:J17,"&gt;=4")/B17*100)</f>
        <v>100</v>
      </c>
      <c r="K19" s="12">
        <f>IF(COUNTIF(K9:K17,"&gt;=4")/B17*100=0,"",COUNTIF(K9:K17,"&gt;=4")/B17*100)</f>
        <v>88.888888888888886</v>
      </c>
      <c r="L19" s="12">
        <f>IF(COUNTIF(L9:L17,"&gt;=4")/B17*100=0,"",COUNTIF(L9:L17,"&gt;=4")/B17*100)</f>
        <v>100</v>
      </c>
      <c r="M19" s="12">
        <f>IF(COUNTIF(M9:M17,"&gt;=4")/B17*100=0,"",COUNTIF(M9:M17,"&gt;=4")/B17*100)</f>
        <v>100</v>
      </c>
      <c r="N19" s="12">
        <f>IF(COUNTIF(N9:N17,"&gt;=4")/B17*100=0,"",COUNTIF(N9:N17,"&gt;=4")/B17*100)</f>
        <v>100</v>
      </c>
      <c r="O19" s="12">
        <f>IF(COUNTIF(O9:O17,"&gt;=4")/B17*100=0,"",COUNTIF(O9:O17,"&gt;=4")/B17*100)</f>
        <v>77.777777777777786</v>
      </c>
      <c r="P19" s="12">
        <f>IF(COUNTIF(P9:P17,"&gt;=4")/B17*100=0,"",COUNTIF(P9:P17,"&gt;=4")/B17*100)</f>
        <v>100</v>
      </c>
      <c r="Q19" s="12">
        <f>IF(COUNTIF(Q9:Q17,"&gt;=4")/B17*100=0,"",COUNTIF(Q9:Q17,"&gt;=4")/B17*100)</f>
        <v>100</v>
      </c>
    </row>
    <row r="20" spans="1:18" ht="15" customHeight="1" x14ac:dyDescent="0.25">
      <c r="C20" s="2" t="s">
        <v>53</v>
      </c>
      <c r="D20" s="12">
        <f>IF(COUNTIF(D9:D17,"&gt;=7")/B17*100=0,"",COUNTIF(D9:D17,"&gt;=7")/B17*100)</f>
        <v>55.555555555555557</v>
      </c>
      <c r="E20" s="12">
        <f>IF(COUNTIF(E9:E17,"&gt;=7")/B17*100=0,"",COUNTIF(E9:E17,"&gt;=7")/B17*100)</f>
        <v>66.666666666666657</v>
      </c>
      <c r="F20" s="12">
        <f>IF(COUNTIF(F9:F17,"&gt;=7")/B17*100=0,"",COUNTIF(F9:F17,"&gt;=7")/B17*100)</f>
        <v>66.666666666666657</v>
      </c>
      <c r="G20" s="12">
        <f>IF(COUNTIF(G9:G17,"&gt;=7")/B17*100=0,"",COUNTIF(G9:G17,"&gt;=7")/B17*100)</f>
        <v>55.555555555555557</v>
      </c>
      <c r="H20" s="12">
        <f>IF(COUNTIF(H9:H17,"&gt;=7")/B17*100=0,"",COUNTIF(H9:H17,"&gt;=7")/B17*100)</f>
        <v>66.666666666666657</v>
      </c>
      <c r="I20" s="12">
        <f>IF(COUNTIF(I9:I17,"&gt;=7")/B17*100=0,"",COUNTIF(I9:I17,"&gt;=7")/B17*100)</f>
        <v>66.666666666666657</v>
      </c>
      <c r="J20" s="12">
        <f>IF(COUNTIF(J9:J17,"&gt;=7")/B17*100=0,"",COUNTIF(J9:J17,"&gt;=7")/B17*100)</f>
        <v>66.666666666666657</v>
      </c>
      <c r="K20" s="12">
        <f>IF(COUNTIF(K9:K17,"&gt;=7")/B17*100=0,"",COUNTIF(K9:K17,"&gt;=7")/B17*100)</f>
        <v>55.555555555555557</v>
      </c>
      <c r="L20" s="12">
        <f>IF(COUNTIF(L9:L17,"&gt;=7")/B17*100=0,"",COUNTIF(L9:L17,"&gt;=7")/B17*100)</f>
        <v>22.222222222222221</v>
      </c>
      <c r="M20" s="12">
        <f>IF(COUNTIF(M9:M17,"&gt;=7")/B17*100=0,"",COUNTIF(M9:M17,"&gt;=7")/B17*100)</f>
        <v>55.555555555555557</v>
      </c>
      <c r="N20" s="12">
        <f>IF(COUNTIF(N9:N17,"&gt;=7")/B17*100=0,"",COUNTIF(N9:N17,"&gt;=7")/B17*100)</f>
        <v>44.444444444444443</v>
      </c>
      <c r="O20" s="12">
        <f>IF(COUNTIF(O9:O17,"&gt;=7")/B17*100=0,"",COUNTIF(O9:O17,"&gt;=7")/B17*100)</f>
        <v>22.222222222222221</v>
      </c>
      <c r="P20" s="12">
        <f>IF(COUNTIF(P9:P17,"&gt;=7")/B17*100=0,"",COUNTIF(P9:P17,"&gt;=7")/B17*100)</f>
        <v>77.777777777777786</v>
      </c>
      <c r="Q20" s="12">
        <f>IF(COUNTIF(Q9:Q17,"&gt;=7")/B17*100=0,"",COUNTIF(Q9:Q17,"&gt;=7")/B17*100)</f>
        <v>66.666666666666657</v>
      </c>
    </row>
    <row r="21" spans="1:18" ht="15" customHeight="1" x14ac:dyDescent="0.25">
      <c r="C21" s="2" t="s">
        <v>54</v>
      </c>
      <c r="D21" s="11">
        <f>IFERROR(AVERAGE(D19:Q19),"")</f>
        <v>97.61904761904762</v>
      </c>
    </row>
    <row r="22" spans="1:18" ht="15" customHeight="1" x14ac:dyDescent="0.25">
      <c r="C22" s="2" t="s">
        <v>55</v>
      </c>
      <c r="D22" s="11">
        <f>IFERROR(AVERAGE(D20:Q20),"")</f>
        <v>56.349206349206334</v>
      </c>
    </row>
    <row r="23" spans="1:18" ht="15" customHeight="1" x14ac:dyDescent="0.25">
      <c r="C23" s="2" t="s">
        <v>56</v>
      </c>
      <c r="D23" s="6">
        <f>IF(COUNTIF(A9:A17,"=Б")=0,"",COUNTIF(A9:A17,"=Б"))</f>
        <v>8</v>
      </c>
    </row>
    <row r="24" spans="1:18" ht="15" customHeight="1" x14ac:dyDescent="0.25">
      <c r="C24" s="2" t="s">
        <v>57</v>
      </c>
      <c r="D24" s="6">
        <f>IF(COUNTIF(A9:A17,"=К")=0,"",COUNTIF(A9:A17,"=К"))</f>
        <v>1</v>
      </c>
      <c r="F24" s="3" t="s">
        <v>58</v>
      </c>
      <c r="M24" s="3" t="s">
        <v>59</v>
      </c>
    </row>
    <row r="25" spans="1:18" ht="15" customHeight="1" x14ac:dyDescent="0.25">
      <c r="C25" s="2" t="s">
        <v>60</v>
      </c>
      <c r="D25" s="6">
        <v>1</v>
      </c>
    </row>
    <row r="26" spans="1:18" ht="15" customHeight="1" x14ac:dyDescent="0.25">
      <c r="C26" s="2" t="s">
        <v>61</v>
      </c>
      <c r="D26" s="6">
        <f>'Рейтингова відомість 185'!D19</f>
        <v>3</v>
      </c>
      <c r="F26" s="3" t="s">
        <v>62</v>
      </c>
      <c r="M26" s="3" t="s">
        <v>63</v>
      </c>
    </row>
  </sheetData>
  <sortState ref="A9:C17">
    <sortCondition ref="C9:C17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0"/>
  <sheetViews>
    <sheetView zoomScaleNormal="100" workbookViewId="0">
      <selection sqref="A1:T1"/>
    </sheetView>
  </sheetViews>
  <sheetFormatPr defaultColWidth="14.42578125" defaultRowHeight="15" customHeight="1" x14ac:dyDescent="0.25"/>
  <cols>
    <col min="1" max="1" width="4.140625" style="13" customWidth="1"/>
    <col min="2" max="2" width="6.5703125" style="13" customWidth="1"/>
    <col min="3" max="3" width="40.42578125" style="13" customWidth="1"/>
    <col min="4" max="17" width="6.7109375" style="13" customWidth="1"/>
    <col min="18" max="18" width="11.28515625" style="13" customWidth="1"/>
    <col min="19" max="19" width="8.7109375" style="13" customWidth="1"/>
    <col min="20" max="26" width="14.42578125" style="13" customWidth="1"/>
    <col min="27" max="27" width="14.85546875" style="13" customWidth="1"/>
    <col min="28" max="41" width="3.7109375" style="13" customWidth="1"/>
    <col min="42" max="55" width="5.7109375" style="13" customWidth="1"/>
    <col min="56" max="16384" width="14.42578125" style="13"/>
  </cols>
  <sheetData>
    <row r="1" spans="1:20" s="24" customFormat="1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s="24" customFormat="1" ht="1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s="25" customFormat="1" ht="15" customHeight="1" x14ac:dyDescent="0.25">
      <c r="A3" s="35" t="s">
        <v>74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0" s="24" customFormat="1" ht="15" customHeight="1" x14ac:dyDescent="0.2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s="24" customFormat="1" ht="15" customHeight="1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s="24" customFormat="1" ht="15" customHeight="1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ht="15" customHeight="1" x14ac:dyDescent="0.25">
      <c r="A7" s="36" t="s">
        <v>6</v>
      </c>
      <c r="B7" s="37" t="s">
        <v>7</v>
      </c>
      <c r="C7" s="37" t="s">
        <v>8</v>
      </c>
      <c r="D7" s="32" t="s">
        <v>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</row>
    <row r="8" spans="1:20" ht="125.1" customHeight="1" x14ac:dyDescent="0.25">
      <c r="A8" s="32"/>
      <c r="B8" s="32"/>
      <c r="C8" s="32"/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  <c r="M8" s="14" t="s">
        <v>19</v>
      </c>
      <c r="N8" s="14" t="s">
        <v>20</v>
      </c>
      <c r="O8" s="14" t="s">
        <v>21</v>
      </c>
      <c r="P8" s="14" t="s">
        <v>22</v>
      </c>
      <c r="Q8" s="14" t="s">
        <v>23</v>
      </c>
      <c r="R8" s="15" t="s">
        <v>24</v>
      </c>
      <c r="S8" s="15" t="s">
        <v>75</v>
      </c>
    </row>
    <row r="9" spans="1:20" ht="15" customHeight="1" x14ac:dyDescent="0.25">
      <c r="A9" s="19" t="s">
        <v>25</v>
      </c>
      <c r="B9" s="19">
        <v>1</v>
      </c>
      <c r="C9" s="20" t="s">
        <v>26</v>
      </c>
      <c r="D9" s="21">
        <v>10</v>
      </c>
      <c r="E9" s="21">
        <v>10</v>
      </c>
      <c r="F9" s="21">
        <v>10</v>
      </c>
      <c r="G9" s="21">
        <v>10</v>
      </c>
      <c r="H9" s="21">
        <v>10</v>
      </c>
      <c r="I9" s="21">
        <v>10</v>
      </c>
      <c r="J9" s="21">
        <v>10</v>
      </c>
      <c r="K9" s="21">
        <v>10</v>
      </c>
      <c r="L9" s="21">
        <v>10</v>
      </c>
      <c r="M9" s="21">
        <v>11</v>
      </c>
      <c r="N9" s="21">
        <v>10</v>
      </c>
      <c r="O9" s="21">
        <v>10</v>
      </c>
      <c r="P9" s="21">
        <v>10</v>
      </c>
      <c r="Q9" s="21">
        <v>10</v>
      </c>
      <c r="R9" s="22">
        <f>IF(COUNTIF(D9:Q9,"=*")&gt;0,"-",(IFERROR(AVERAGE(D9:Q9),"")))</f>
        <v>10.071428571428571</v>
      </c>
      <c r="S9" s="22">
        <f>R9*90/12</f>
        <v>75.535714285714292</v>
      </c>
    </row>
    <row r="10" spans="1:20" ht="15" customHeight="1" x14ac:dyDescent="0.25">
      <c r="A10" s="19" t="s">
        <v>25</v>
      </c>
      <c r="B10" s="19">
        <v>2</v>
      </c>
      <c r="C10" s="20" t="s">
        <v>42</v>
      </c>
      <c r="D10" s="21">
        <v>9</v>
      </c>
      <c r="E10" s="21">
        <v>10</v>
      </c>
      <c r="F10" s="21">
        <v>9</v>
      </c>
      <c r="G10" s="21">
        <v>9</v>
      </c>
      <c r="H10" s="21">
        <v>10</v>
      </c>
      <c r="I10" s="21">
        <v>8</v>
      </c>
      <c r="J10" s="21">
        <v>10</v>
      </c>
      <c r="K10" s="21">
        <v>9</v>
      </c>
      <c r="L10" s="21">
        <v>7</v>
      </c>
      <c r="M10" s="21">
        <v>10</v>
      </c>
      <c r="N10" s="21">
        <v>9</v>
      </c>
      <c r="O10" s="21">
        <v>10</v>
      </c>
      <c r="P10" s="21">
        <v>10</v>
      </c>
      <c r="Q10" s="21">
        <v>9</v>
      </c>
      <c r="R10" s="22">
        <f>IF(COUNTIF(D10:Q10,"=*")&gt;0,"-",(IFERROR(AVERAGE(D10:Q10),"")))</f>
        <v>9.2142857142857135</v>
      </c>
      <c r="S10" s="22">
        <f t="shared" ref="S10:S26" si="0">R10*90/12</f>
        <v>69.107142857142847</v>
      </c>
    </row>
    <row r="11" spans="1:20" ht="15" customHeight="1" x14ac:dyDescent="0.25">
      <c r="A11" s="19" t="s">
        <v>25</v>
      </c>
      <c r="B11" s="19">
        <v>3</v>
      </c>
      <c r="C11" s="20" t="s">
        <v>29</v>
      </c>
      <c r="D11" s="21">
        <v>10</v>
      </c>
      <c r="E11" s="21">
        <v>10</v>
      </c>
      <c r="F11" s="21">
        <v>9</v>
      </c>
      <c r="G11" s="21">
        <v>9</v>
      </c>
      <c r="H11" s="21">
        <v>10</v>
      </c>
      <c r="I11" s="21">
        <v>9</v>
      </c>
      <c r="J11" s="21">
        <v>10</v>
      </c>
      <c r="K11" s="21">
        <v>7</v>
      </c>
      <c r="L11" s="21">
        <v>9</v>
      </c>
      <c r="M11" s="21">
        <v>9</v>
      </c>
      <c r="N11" s="21">
        <v>9</v>
      </c>
      <c r="O11" s="21">
        <v>8</v>
      </c>
      <c r="P11" s="21">
        <v>8</v>
      </c>
      <c r="Q11" s="21">
        <v>10</v>
      </c>
      <c r="R11" s="22">
        <f>IF(COUNTIF(D11:Q11,"=*")&gt;0,"-",(IFERROR(AVERAGE(D11:Q11),"")))</f>
        <v>9.0714285714285712</v>
      </c>
      <c r="S11" s="22">
        <f t="shared" si="0"/>
        <v>68.035714285714292</v>
      </c>
    </row>
    <row r="12" spans="1:20" ht="15" customHeight="1" x14ac:dyDescent="0.25">
      <c r="A12" s="19" t="s">
        <v>25</v>
      </c>
      <c r="B12" s="19">
        <v>4</v>
      </c>
      <c r="C12" s="20" t="s">
        <v>34</v>
      </c>
      <c r="D12" s="21">
        <v>9</v>
      </c>
      <c r="E12" s="21">
        <v>10</v>
      </c>
      <c r="F12" s="21">
        <v>10</v>
      </c>
      <c r="G12" s="21">
        <v>9</v>
      </c>
      <c r="H12" s="21">
        <v>9</v>
      </c>
      <c r="I12" s="21">
        <v>10</v>
      </c>
      <c r="J12" s="21">
        <v>10</v>
      </c>
      <c r="K12" s="21">
        <v>8</v>
      </c>
      <c r="L12" s="21">
        <v>7</v>
      </c>
      <c r="M12" s="21">
        <v>8</v>
      </c>
      <c r="N12" s="21">
        <v>8</v>
      </c>
      <c r="O12" s="21">
        <v>9</v>
      </c>
      <c r="P12" s="21">
        <v>9</v>
      </c>
      <c r="Q12" s="21">
        <v>9</v>
      </c>
      <c r="R12" s="22">
        <f>IF(COUNTIF(D12:Q12,"=*")&gt;0,"-",(IFERROR(AVERAGE(D12:Q12),"")))</f>
        <v>8.9285714285714288</v>
      </c>
      <c r="S12" s="22">
        <f t="shared" si="0"/>
        <v>66.964285714285708</v>
      </c>
    </row>
    <row r="13" spans="1:20" ht="15" customHeight="1" x14ac:dyDescent="0.25">
      <c r="A13" s="19" t="s">
        <v>25</v>
      </c>
      <c r="B13" s="19">
        <v>5</v>
      </c>
      <c r="C13" s="20" t="s">
        <v>37</v>
      </c>
      <c r="D13" s="21">
        <v>10</v>
      </c>
      <c r="E13" s="21">
        <v>9</v>
      </c>
      <c r="F13" s="21">
        <v>9</v>
      </c>
      <c r="G13" s="21">
        <v>9</v>
      </c>
      <c r="H13" s="21">
        <v>9</v>
      </c>
      <c r="I13" s="21">
        <v>6</v>
      </c>
      <c r="J13" s="21">
        <v>10</v>
      </c>
      <c r="K13" s="21">
        <v>9</v>
      </c>
      <c r="L13" s="21">
        <v>8</v>
      </c>
      <c r="M13" s="21">
        <v>9</v>
      </c>
      <c r="N13" s="21">
        <v>6</v>
      </c>
      <c r="O13" s="21">
        <v>8</v>
      </c>
      <c r="P13" s="21">
        <v>6</v>
      </c>
      <c r="Q13" s="21">
        <v>9</v>
      </c>
      <c r="R13" s="22">
        <f>IF(COUNTIF(D13:Q13,"=*")&gt;0,"-",(IFERROR(AVERAGE(D13:Q13),"")))</f>
        <v>8.3571428571428577</v>
      </c>
      <c r="S13" s="22">
        <f t="shared" si="0"/>
        <v>62.678571428571438</v>
      </c>
    </row>
    <row r="14" spans="1:20" ht="15" customHeight="1" x14ac:dyDescent="0.25">
      <c r="A14" s="19" t="s">
        <v>25</v>
      </c>
      <c r="B14" s="19">
        <v>6</v>
      </c>
      <c r="C14" s="20" t="s">
        <v>31</v>
      </c>
      <c r="D14" s="21">
        <v>7</v>
      </c>
      <c r="E14" s="21">
        <v>8</v>
      </c>
      <c r="F14" s="21">
        <v>8</v>
      </c>
      <c r="G14" s="21">
        <v>7</v>
      </c>
      <c r="H14" s="21">
        <v>9</v>
      </c>
      <c r="I14" s="21">
        <v>7</v>
      </c>
      <c r="J14" s="21">
        <v>10</v>
      </c>
      <c r="K14" s="21">
        <v>8</v>
      </c>
      <c r="L14" s="21">
        <v>7</v>
      </c>
      <c r="M14" s="21">
        <v>9</v>
      </c>
      <c r="N14" s="21">
        <v>7</v>
      </c>
      <c r="O14" s="21">
        <v>9</v>
      </c>
      <c r="P14" s="21">
        <v>10</v>
      </c>
      <c r="Q14" s="21">
        <v>10</v>
      </c>
      <c r="R14" s="22">
        <f>IF(COUNTIF(D14:Q14,"=*")&gt;0,"-",(IFERROR(AVERAGE(D14:Q14),"")))</f>
        <v>8.2857142857142865</v>
      </c>
      <c r="S14" s="22">
        <f t="shared" si="0"/>
        <v>62.142857142857146</v>
      </c>
    </row>
    <row r="15" spans="1:20" ht="15" customHeight="1" x14ac:dyDescent="0.25">
      <c r="A15" s="19" t="s">
        <v>25</v>
      </c>
      <c r="B15" s="19">
        <v>7</v>
      </c>
      <c r="C15" s="20" t="s">
        <v>43</v>
      </c>
      <c r="D15" s="21">
        <v>9</v>
      </c>
      <c r="E15" s="21">
        <v>8</v>
      </c>
      <c r="F15" s="21">
        <v>10</v>
      </c>
      <c r="G15" s="21">
        <v>7</v>
      </c>
      <c r="H15" s="21">
        <v>9</v>
      </c>
      <c r="I15" s="21">
        <v>7</v>
      </c>
      <c r="J15" s="21">
        <v>7</v>
      </c>
      <c r="K15" s="21">
        <v>7</v>
      </c>
      <c r="L15" s="21">
        <v>8</v>
      </c>
      <c r="M15" s="21">
        <v>9</v>
      </c>
      <c r="N15" s="21">
        <v>8</v>
      </c>
      <c r="O15" s="21">
        <v>7</v>
      </c>
      <c r="P15" s="21">
        <v>10</v>
      </c>
      <c r="Q15" s="21">
        <v>9</v>
      </c>
      <c r="R15" s="22">
        <f>IF(COUNTIF(D15:Q15,"=*")&gt;0,"-",(IFERROR(AVERAGE(D15:Q15),"")))</f>
        <v>8.2142857142857135</v>
      </c>
      <c r="S15" s="22">
        <f t="shared" si="0"/>
        <v>61.607142857142854</v>
      </c>
    </row>
    <row r="16" spans="1:20" ht="15" customHeight="1" x14ac:dyDescent="0.25">
      <c r="A16" s="19" t="s">
        <v>25</v>
      </c>
      <c r="B16" s="19">
        <v>8</v>
      </c>
      <c r="C16" s="20" t="s">
        <v>49</v>
      </c>
      <c r="D16" s="21">
        <v>9</v>
      </c>
      <c r="E16" s="21">
        <v>8</v>
      </c>
      <c r="F16" s="21">
        <v>8</v>
      </c>
      <c r="G16" s="21">
        <v>8</v>
      </c>
      <c r="H16" s="21">
        <v>9</v>
      </c>
      <c r="I16" s="21">
        <v>7</v>
      </c>
      <c r="J16" s="21">
        <v>8</v>
      </c>
      <c r="K16" s="21">
        <v>7</v>
      </c>
      <c r="L16" s="21">
        <v>8</v>
      </c>
      <c r="M16" s="21">
        <v>8</v>
      </c>
      <c r="N16" s="21">
        <v>6</v>
      </c>
      <c r="O16" s="21">
        <v>9</v>
      </c>
      <c r="P16" s="21">
        <v>10</v>
      </c>
      <c r="Q16" s="21">
        <v>10</v>
      </c>
      <c r="R16" s="22">
        <f>IF(COUNTIF(D16:Q16,"=*")&gt;0,"-",(IFERROR(AVERAGE(D16:Q16),"")))</f>
        <v>8.2142857142857135</v>
      </c>
      <c r="S16" s="22">
        <f t="shared" si="0"/>
        <v>61.607142857142854</v>
      </c>
    </row>
    <row r="17" spans="1:19" ht="15" customHeight="1" x14ac:dyDescent="0.25">
      <c r="A17" s="26" t="s">
        <v>25</v>
      </c>
      <c r="B17" s="26">
        <v>9</v>
      </c>
      <c r="C17" s="16" t="s">
        <v>38</v>
      </c>
      <c r="D17" s="23">
        <v>9</v>
      </c>
      <c r="E17" s="23">
        <v>9</v>
      </c>
      <c r="F17" s="23">
        <v>8</v>
      </c>
      <c r="G17" s="23">
        <v>7</v>
      </c>
      <c r="H17" s="23">
        <v>9</v>
      </c>
      <c r="I17" s="23">
        <v>8</v>
      </c>
      <c r="J17" s="23">
        <v>8</v>
      </c>
      <c r="K17" s="23">
        <v>8</v>
      </c>
      <c r="L17" s="23">
        <v>7</v>
      </c>
      <c r="M17" s="23">
        <v>7</v>
      </c>
      <c r="N17" s="23">
        <v>5</v>
      </c>
      <c r="O17" s="23">
        <v>7</v>
      </c>
      <c r="P17" s="23">
        <v>11</v>
      </c>
      <c r="Q17" s="23">
        <v>8</v>
      </c>
      <c r="R17" s="17">
        <f>IF(COUNTIF(D17:Q17,"=*")&gt;0,"-",(IFERROR(AVERAGE(D17:Q17),"")))</f>
        <v>7.9285714285714288</v>
      </c>
      <c r="S17" s="17">
        <f t="shared" si="0"/>
        <v>59.464285714285715</v>
      </c>
    </row>
    <row r="18" spans="1:19" ht="15" customHeight="1" x14ac:dyDescent="0.25">
      <c r="A18" s="26" t="s">
        <v>25</v>
      </c>
      <c r="B18" s="26">
        <v>10</v>
      </c>
      <c r="C18" s="16" t="s">
        <v>28</v>
      </c>
      <c r="D18" s="23">
        <v>8</v>
      </c>
      <c r="E18" s="23">
        <v>8</v>
      </c>
      <c r="F18" s="23">
        <v>10</v>
      </c>
      <c r="G18" s="23">
        <v>7</v>
      </c>
      <c r="H18" s="23">
        <v>8</v>
      </c>
      <c r="I18" s="23">
        <v>7</v>
      </c>
      <c r="J18" s="23">
        <v>7</v>
      </c>
      <c r="K18" s="23">
        <v>8</v>
      </c>
      <c r="L18" s="23">
        <v>7</v>
      </c>
      <c r="M18" s="23">
        <v>6</v>
      </c>
      <c r="N18" s="23">
        <v>5</v>
      </c>
      <c r="O18" s="23">
        <v>8</v>
      </c>
      <c r="P18" s="23">
        <v>10</v>
      </c>
      <c r="Q18" s="23">
        <v>8</v>
      </c>
      <c r="R18" s="17">
        <f>IF(COUNTIF(D18:Q18,"=*")&gt;0,"-",(IFERROR(AVERAGE(D18:Q18),"")))</f>
        <v>7.6428571428571432</v>
      </c>
      <c r="S18" s="17">
        <f t="shared" si="0"/>
        <v>57.321428571428577</v>
      </c>
    </row>
    <row r="19" spans="1:19" ht="15" customHeight="1" x14ac:dyDescent="0.25">
      <c r="A19" s="26" t="s">
        <v>25</v>
      </c>
      <c r="B19" s="26">
        <v>11</v>
      </c>
      <c r="C19" s="16" t="s">
        <v>27</v>
      </c>
      <c r="D19" s="23">
        <v>8</v>
      </c>
      <c r="E19" s="23">
        <v>8</v>
      </c>
      <c r="F19" s="23">
        <v>8</v>
      </c>
      <c r="G19" s="23">
        <v>6</v>
      </c>
      <c r="H19" s="23">
        <v>5</v>
      </c>
      <c r="I19" s="23">
        <v>7</v>
      </c>
      <c r="J19" s="23">
        <v>6</v>
      </c>
      <c r="K19" s="23">
        <v>5</v>
      </c>
      <c r="L19" s="23">
        <v>6</v>
      </c>
      <c r="M19" s="23">
        <v>7</v>
      </c>
      <c r="N19" s="23">
        <v>8</v>
      </c>
      <c r="O19" s="23">
        <v>6</v>
      </c>
      <c r="P19" s="23">
        <v>10</v>
      </c>
      <c r="Q19" s="23">
        <v>8</v>
      </c>
      <c r="R19" s="17">
        <f>IF(COUNTIF(D19:Q19,"=*")&gt;0,"-",(IFERROR(AVERAGE(D19:Q19),"")))</f>
        <v>7</v>
      </c>
      <c r="S19" s="17">
        <f t="shared" si="0"/>
        <v>52.5</v>
      </c>
    </row>
    <row r="20" spans="1:19" ht="15" customHeight="1" x14ac:dyDescent="0.25">
      <c r="A20" s="26" t="s">
        <v>25</v>
      </c>
      <c r="B20" s="26">
        <v>12</v>
      </c>
      <c r="C20" s="16" t="s">
        <v>33</v>
      </c>
      <c r="D20" s="23">
        <v>7</v>
      </c>
      <c r="E20" s="23">
        <v>9</v>
      </c>
      <c r="F20" s="23">
        <v>7</v>
      </c>
      <c r="G20" s="23">
        <v>6</v>
      </c>
      <c r="H20" s="23">
        <v>8</v>
      </c>
      <c r="I20" s="23">
        <v>6</v>
      </c>
      <c r="J20" s="23">
        <v>8</v>
      </c>
      <c r="K20" s="23">
        <v>6</v>
      </c>
      <c r="L20" s="23">
        <v>7</v>
      </c>
      <c r="M20" s="23">
        <v>8</v>
      </c>
      <c r="N20" s="23">
        <v>4</v>
      </c>
      <c r="O20" s="23">
        <v>5</v>
      </c>
      <c r="P20" s="23">
        <v>8</v>
      </c>
      <c r="Q20" s="23">
        <v>8</v>
      </c>
      <c r="R20" s="17">
        <f>IF(COUNTIF(D20:Q20,"=*")&gt;0,"-",(IFERROR(AVERAGE(D20:Q20),"")))</f>
        <v>6.9285714285714288</v>
      </c>
      <c r="S20" s="17">
        <f t="shared" si="0"/>
        <v>51.964285714285715</v>
      </c>
    </row>
    <row r="21" spans="1:19" ht="15" customHeight="1" x14ac:dyDescent="0.25">
      <c r="A21" s="26" t="s">
        <v>25</v>
      </c>
      <c r="B21" s="26">
        <v>13</v>
      </c>
      <c r="C21" s="16" t="s">
        <v>30</v>
      </c>
      <c r="D21" s="23">
        <v>7</v>
      </c>
      <c r="E21" s="23">
        <v>10</v>
      </c>
      <c r="F21" s="23">
        <v>6</v>
      </c>
      <c r="G21" s="23">
        <v>4</v>
      </c>
      <c r="H21" s="23">
        <v>5</v>
      </c>
      <c r="I21" s="23">
        <v>7</v>
      </c>
      <c r="J21" s="23">
        <v>5</v>
      </c>
      <c r="K21" s="23">
        <v>6</v>
      </c>
      <c r="L21" s="23">
        <v>5</v>
      </c>
      <c r="M21" s="23">
        <v>10</v>
      </c>
      <c r="N21" s="23">
        <v>8</v>
      </c>
      <c r="O21" s="23">
        <v>4</v>
      </c>
      <c r="P21" s="23">
        <v>7</v>
      </c>
      <c r="Q21" s="23">
        <v>6</v>
      </c>
      <c r="R21" s="17">
        <f>IF(COUNTIF(D21:Q21,"=*")&gt;0,"-",(IFERROR(AVERAGE(D21:Q21),"")))</f>
        <v>6.4285714285714288</v>
      </c>
      <c r="S21" s="17">
        <f t="shared" si="0"/>
        <v>48.214285714285715</v>
      </c>
    </row>
    <row r="22" spans="1:19" ht="15" customHeight="1" x14ac:dyDescent="0.25">
      <c r="A22" s="26" t="s">
        <v>25</v>
      </c>
      <c r="B22" s="26">
        <v>14</v>
      </c>
      <c r="C22" s="16" t="s">
        <v>32</v>
      </c>
      <c r="D22" s="23">
        <v>4</v>
      </c>
      <c r="E22" s="23">
        <v>5</v>
      </c>
      <c r="F22" s="23">
        <v>6</v>
      </c>
      <c r="G22" s="23">
        <v>7</v>
      </c>
      <c r="H22" s="23">
        <v>6</v>
      </c>
      <c r="I22" s="23">
        <v>7</v>
      </c>
      <c r="J22" s="23">
        <v>7</v>
      </c>
      <c r="K22" s="23">
        <v>5</v>
      </c>
      <c r="L22" s="23">
        <v>5</v>
      </c>
      <c r="M22" s="23">
        <v>4</v>
      </c>
      <c r="N22" s="23">
        <v>6</v>
      </c>
      <c r="O22" s="23">
        <v>6</v>
      </c>
      <c r="P22" s="23">
        <v>10</v>
      </c>
      <c r="Q22" s="23">
        <v>7</v>
      </c>
      <c r="R22" s="17">
        <f>IF(COUNTIF(D22:Q22,"=*")&gt;0,"-",(IFERROR(AVERAGE(D22:Q22),"")))</f>
        <v>6.0714285714285712</v>
      </c>
      <c r="S22" s="17">
        <f t="shared" si="0"/>
        <v>45.535714285714285</v>
      </c>
    </row>
    <row r="23" spans="1:19" ht="15" customHeight="1" x14ac:dyDescent="0.25">
      <c r="A23" s="26" t="s">
        <v>25</v>
      </c>
      <c r="B23" s="26">
        <v>15</v>
      </c>
      <c r="C23" s="16" t="s">
        <v>50</v>
      </c>
      <c r="D23" s="23">
        <v>5</v>
      </c>
      <c r="E23" s="23">
        <v>8</v>
      </c>
      <c r="F23" s="23">
        <v>4</v>
      </c>
      <c r="G23" s="23">
        <v>4</v>
      </c>
      <c r="H23" s="23">
        <v>8</v>
      </c>
      <c r="I23" s="23">
        <v>4</v>
      </c>
      <c r="J23" s="23">
        <v>6</v>
      </c>
      <c r="K23" s="23">
        <v>8</v>
      </c>
      <c r="L23" s="23">
        <v>5</v>
      </c>
      <c r="M23" s="23">
        <v>5</v>
      </c>
      <c r="N23" s="23">
        <v>4</v>
      </c>
      <c r="O23" s="23">
        <v>4</v>
      </c>
      <c r="P23" s="23">
        <v>8</v>
      </c>
      <c r="Q23" s="23">
        <v>6</v>
      </c>
      <c r="R23" s="17">
        <f>IF(COUNTIF(D23:Q23,"=*")&gt;0,"-",(IFERROR(AVERAGE(D23:Q23),"")))</f>
        <v>5.6428571428571432</v>
      </c>
      <c r="S23" s="17">
        <f t="shared" si="0"/>
        <v>42.321428571428577</v>
      </c>
    </row>
    <row r="24" spans="1:19" ht="15" customHeight="1" x14ac:dyDescent="0.25">
      <c r="A24" s="26" t="s">
        <v>25</v>
      </c>
      <c r="B24" s="26">
        <v>16</v>
      </c>
      <c r="C24" s="16" t="s">
        <v>44</v>
      </c>
      <c r="D24" s="23">
        <v>7</v>
      </c>
      <c r="E24" s="23">
        <v>6</v>
      </c>
      <c r="F24" s="23">
        <v>8</v>
      </c>
      <c r="G24" s="23">
        <v>4</v>
      </c>
      <c r="H24" s="23">
        <v>5</v>
      </c>
      <c r="I24" s="23">
        <v>5</v>
      </c>
      <c r="J24" s="23">
        <v>6</v>
      </c>
      <c r="K24" s="23">
        <v>5</v>
      </c>
      <c r="L24" s="23">
        <v>4</v>
      </c>
      <c r="M24" s="23">
        <v>4</v>
      </c>
      <c r="N24" s="23">
        <v>7</v>
      </c>
      <c r="O24" s="23">
        <v>4</v>
      </c>
      <c r="P24" s="23">
        <v>6</v>
      </c>
      <c r="Q24" s="23">
        <v>5</v>
      </c>
      <c r="R24" s="17">
        <f>IF(COUNTIF(D24:Q24,"=*")&gt;0,"-",(IFERROR(AVERAGE(D24:Q24),"")))</f>
        <v>5.4285714285714288</v>
      </c>
      <c r="S24" s="17">
        <f t="shared" si="0"/>
        <v>40.714285714285715</v>
      </c>
    </row>
    <row r="25" spans="1:19" ht="15" customHeight="1" x14ac:dyDescent="0.25">
      <c r="A25" s="26" t="s">
        <v>25</v>
      </c>
      <c r="B25" s="26">
        <v>17</v>
      </c>
      <c r="C25" s="16" t="s">
        <v>47</v>
      </c>
      <c r="D25" s="23">
        <v>4</v>
      </c>
      <c r="E25" s="23">
        <v>8</v>
      </c>
      <c r="F25" s="23">
        <v>4</v>
      </c>
      <c r="G25" s="23">
        <v>4</v>
      </c>
      <c r="H25" s="23">
        <v>4</v>
      </c>
      <c r="I25" s="23">
        <v>6</v>
      </c>
      <c r="J25" s="23">
        <v>4</v>
      </c>
      <c r="K25" s="23">
        <v>4</v>
      </c>
      <c r="L25" s="23">
        <v>5</v>
      </c>
      <c r="M25" s="23">
        <v>6</v>
      </c>
      <c r="N25" s="23">
        <v>4</v>
      </c>
      <c r="O25" s="23">
        <v>4</v>
      </c>
      <c r="P25" s="23">
        <v>6</v>
      </c>
      <c r="Q25" s="23">
        <v>5</v>
      </c>
      <c r="R25" s="17">
        <f>IF(COUNTIF(D25:Q25,"=*")&gt;0,"-",(IFERROR(AVERAGE(D25:Q25),"")))</f>
        <v>4.8571428571428568</v>
      </c>
      <c r="S25" s="17">
        <f t="shared" si="0"/>
        <v>36.428571428571423</v>
      </c>
    </row>
    <row r="26" spans="1:19" ht="15" customHeight="1" x14ac:dyDescent="0.25">
      <c r="A26" s="26" t="s">
        <v>25</v>
      </c>
      <c r="B26" s="26">
        <v>18</v>
      </c>
      <c r="C26" s="16" t="s">
        <v>48</v>
      </c>
      <c r="D26" s="23">
        <v>4</v>
      </c>
      <c r="E26" s="23">
        <v>5</v>
      </c>
      <c r="F26" s="23">
        <v>5</v>
      </c>
      <c r="G26" s="23">
        <v>4</v>
      </c>
      <c r="H26" s="23">
        <v>5</v>
      </c>
      <c r="I26" s="23">
        <v>4</v>
      </c>
      <c r="J26" s="23">
        <v>5</v>
      </c>
      <c r="K26" s="23">
        <v>4</v>
      </c>
      <c r="L26" s="23">
        <v>5</v>
      </c>
      <c r="M26" s="23">
        <v>6</v>
      </c>
      <c r="N26" s="23">
        <v>6</v>
      </c>
      <c r="O26" s="23">
        <v>4</v>
      </c>
      <c r="P26" s="23">
        <v>6</v>
      </c>
      <c r="Q26" s="23">
        <v>5</v>
      </c>
      <c r="R26" s="17">
        <f>IF(COUNTIF(D26:Q26,"=*")&gt;0,"-",(IFERROR(AVERAGE(D26:Q26),"")))</f>
        <v>4.8571428571428568</v>
      </c>
      <c r="S26" s="17">
        <f t="shared" si="0"/>
        <v>36.428571428571423</v>
      </c>
    </row>
    <row r="27" spans="1:19" ht="15" customHeight="1" x14ac:dyDescent="0.25">
      <c r="C27" s="16" t="s">
        <v>56</v>
      </c>
      <c r="D27" s="23">
        <f>'Зведена відомість 151'!D36</f>
        <v>20</v>
      </c>
    </row>
    <row r="28" spans="1:19" ht="15" customHeight="1" x14ac:dyDescent="0.25">
      <c r="C28" s="16" t="s">
        <v>57</v>
      </c>
      <c r="D28" s="23">
        <f>'Зведена відомість 151'!D37</f>
        <v>2</v>
      </c>
      <c r="F28" s="18" t="s">
        <v>58</v>
      </c>
      <c r="M28" s="18" t="s">
        <v>59</v>
      </c>
    </row>
    <row r="29" spans="1:19" ht="15" customHeight="1" x14ac:dyDescent="0.25">
      <c r="C29" s="16" t="s">
        <v>60</v>
      </c>
      <c r="D29" s="23">
        <f>'Зведена відомість 151'!D38</f>
        <v>1</v>
      </c>
    </row>
    <row r="30" spans="1:19" ht="15" customHeight="1" x14ac:dyDescent="0.25">
      <c r="C30" s="16" t="s">
        <v>61</v>
      </c>
      <c r="D30" s="23">
        <v>8</v>
      </c>
      <c r="F30" s="18" t="s">
        <v>62</v>
      </c>
      <c r="M30" s="18" t="s">
        <v>63</v>
      </c>
    </row>
  </sheetData>
  <sortState ref="A9:R26">
    <sortCondition descending="1" ref="R9:R26"/>
  </sortState>
  <mergeCells count="10">
    <mergeCell ref="D7:T7"/>
    <mergeCell ref="A6:T6"/>
    <mergeCell ref="A5:T5"/>
    <mergeCell ref="A4:T4"/>
    <mergeCell ref="A3:T3"/>
    <mergeCell ref="A2:T2"/>
    <mergeCell ref="A1:T1"/>
    <mergeCell ref="A7:A8"/>
    <mergeCell ref="B7:B8"/>
    <mergeCell ref="C7:C8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9"/>
  <sheetViews>
    <sheetView tabSelected="1" zoomScaleNormal="100" workbookViewId="0">
      <selection sqref="A1:T1"/>
    </sheetView>
  </sheetViews>
  <sheetFormatPr defaultColWidth="14.42578125" defaultRowHeight="15" customHeight="1" x14ac:dyDescent="0.25"/>
  <cols>
    <col min="1" max="1" width="4.140625" style="13" customWidth="1"/>
    <col min="2" max="2" width="6.5703125" style="13" customWidth="1"/>
    <col min="3" max="3" width="40.42578125" style="13" customWidth="1"/>
    <col min="4" max="17" width="6.7109375" style="13" customWidth="1"/>
    <col min="18" max="18" width="11.28515625" style="13" customWidth="1"/>
    <col min="19" max="19" width="8.7109375" style="13" customWidth="1"/>
    <col min="20" max="26" width="14.42578125" style="13" customWidth="1"/>
    <col min="27" max="27" width="14.85546875" style="13" customWidth="1"/>
    <col min="28" max="41" width="3.7109375" style="13" customWidth="1"/>
    <col min="42" max="55" width="5.7109375" style="13" customWidth="1"/>
    <col min="56" max="16384" width="14.42578125" style="13"/>
  </cols>
  <sheetData>
    <row r="1" spans="1:20" s="24" customFormat="1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s="24" customFormat="1" ht="1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s="25" customFormat="1" ht="15" customHeight="1" x14ac:dyDescent="0.25">
      <c r="A3" s="35" t="s">
        <v>74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0" s="24" customFormat="1" ht="15" customHeight="1" x14ac:dyDescent="0.25">
      <c r="A4" s="34" t="s">
        <v>64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s="24" customFormat="1" ht="15" customHeight="1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s="24" customFormat="1" ht="15" customHeight="1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ht="15" customHeight="1" x14ac:dyDescent="0.25">
      <c r="A7" s="36" t="s">
        <v>6</v>
      </c>
      <c r="B7" s="37" t="s">
        <v>7</v>
      </c>
      <c r="C7" s="37" t="s">
        <v>8</v>
      </c>
      <c r="D7" s="32" t="s">
        <v>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</row>
    <row r="8" spans="1:20" ht="125.1" customHeight="1" x14ac:dyDescent="0.25">
      <c r="A8" s="32"/>
      <c r="B8" s="32"/>
      <c r="C8" s="32"/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18</v>
      </c>
      <c r="M8" s="14" t="s">
        <v>19</v>
      </c>
      <c r="N8" s="14" t="s">
        <v>20</v>
      </c>
      <c r="O8" s="14" t="s">
        <v>21</v>
      </c>
      <c r="P8" s="14" t="s">
        <v>22</v>
      </c>
      <c r="Q8" s="14" t="s">
        <v>23</v>
      </c>
      <c r="R8" s="15" t="s">
        <v>24</v>
      </c>
      <c r="S8" s="15" t="s">
        <v>75</v>
      </c>
    </row>
    <row r="9" spans="1:20" ht="15" customHeight="1" x14ac:dyDescent="0.25">
      <c r="A9" s="19" t="s">
        <v>25</v>
      </c>
      <c r="B9" s="19">
        <v>1</v>
      </c>
      <c r="C9" s="20" t="s">
        <v>69</v>
      </c>
      <c r="D9" s="21">
        <v>9</v>
      </c>
      <c r="E9" s="21">
        <v>9</v>
      </c>
      <c r="F9" s="21">
        <v>10</v>
      </c>
      <c r="G9" s="21">
        <v>10</v>
      </c>
      <c r="H9" s="21">
        <v>10</v>
      </c>
      <c r="I9" s="21">
        <v>10</v>
      </c>
      <c r="J9" s="21">
        <v>10</v>
      </c>
      <c r="K9" s="21">
        <v>8</v>
      </c>
      <c r="L9" s="21">
        <v>9</v>
      </c>
      <c r="M9" s="21">
        <v>9</v>
      </c>
      <c r="N9" s="21">
        <v>10</v>
      </c>
      <c r="O9" s="21">
        <v>9</v>
      </c>
      <c r="P9" s="21">
        <v>10</v>
      </c>
      <c r="Q9" s="21">
        <v>10</v>
      </c>
      <c r="R9" s="22">
        <f>IF(COUNTIF(D9:Q9,"=*")&gt;0,"-",(IFERROR(AVERAGE(D9:Q9),"")))</f>
        <v>9.5</v>
      </c>
      <c r="S9" s="22">
        <f>R9*90/12</f>
        <v>71.25</v>
      </c>
    </row>
    <row r="10" spans="1:20" ht="15" customHeight="1" x14ac:dyDescent="0.25">
      <c r="A10" s="19" t="s">
        <v>25</v>
      </c>
      <c r="B10" s="19">
        <v>2</v>
      </c>
      <c r="C10" s="20" t="s">
        <v>68</v>
      </c>
      <c r="D10" s="21">
        <v>10</v>
      </c>
      <c r="E10" s="21">
        <v>10</v>
      </c>
      <c r="F10" s="21">
        <v>10</v>
      </c>
      <c r="G10" s="21">
        <v>9</v>
      </c>
      <c r="H10" s="21">
        <v>9</v>
      </c>
      <c r="I10" s="21">
        <v>7</v>
      </c>
      <c r="J10" s="21">
        <v>9</v>
      </c>
      <c r="K10" s="21">
        <v>8</v>
      </c>
      <c r="L10" s="21">
        <v>8</v>
      </c>
      <c r="M10" s="21">
        <v>9</v>
      </c>
      <c r="N10" s="21">
        <v>9</v>
      </c>
      <c r="O10" s="21">
        <v>8</v>
      </c>
      <c r="P10" s="21">
        <v>9</v>
      </c>
      <c r="Q10" s="21">
        <v>8</v>
      </c>
      <c r="R10" s="22">
        <f>IF(COUNTIF(D10:Q10,"=*")&gt;0,"-",(IFERROR(AVERAGE(D10:Q10),"")))</f>
        <v>8.7857142857142865</v>
      </c>
      <c r="S10" s="22">
        <f t="shared" ref="S10:S15" si="0">R10*90/12</f>
        <v>65.892857142857153</v>
      </c>
    </row>
    <row r="11" spans="1:20" ht="15" customHeight="1" x14ac:dyDescent="0.25">
      <c r="A11" s="19" t="s">
        <v>25</v>
      </c>
      <c r="B11" s="19">
        <v>3</v>
      </c>
      <c r="C11" s="20" t="s">
        <v>72</v>
      </c>
      <c r="D11" s="21">
        <v>9</v>
      </c>
      <c r="E11" s="21">
        <v>10</v>
      </c>
      <c r="F11" s="21">
        <v>8</v>
      </c>
      <c r="G11" s="21">
        <v>8</v>
      </c>
      <c r="H11" s="21">
        <v>9</v>
      </c>
      <c r="I11" s="21">
        <v>7</v>
      </c>
      <c r="J11" s="21">
        <v>7</v>
      </c>
      <c r="K11" s="21">
        <v>7</v>
      </c>
      <c r="L11" s="21">
        <v>4</v>
      </c>
      <c r="M11" s="21">
        <v>7</v>
      </c>
      <c r="N11" s="21">
        <v>6</v>
      </c>
      <c r="O11" s="21">
        <v>6</v>
      </c>
      <c r="P11" s="21">
        <v>7</v>
      </c>
      <c r="Q11" s="21">
        <v>9</v>
      </c>
      <c r="R11" s="22">
        <f>IF(COUNTIF(D11:Q11,"=*")&gt;0,"-",(IFERROR(AVERAGE(D11:Q11),"")))</f>
        <v>7.4285714285714288</v>
      </c>
      <c r="S11" s="22">
        <f t="shared" si="0"/>
        <v>55.714285714285715</v>
      </c>
    </row>
    <row r="12" spans="1:20" ht="15" customHeight="1" x14ac:dyDescent="0.25">
      <c r="A12" s="26" t="s">
        <v>25</v>
      </c>
      <c r="B12" s="26">
        <v>4</v>
      </c>
      <c r="C12" s="16" t="s">
        <v>67</v>
      </c>
      <c r="D12" s="23">
        <v>5</v>
      </c>
      <c r="E12" s="23">
        <v>8</v>
      </c>
      <c r="F12" s="23">
        <v>8</v>
      </c>
      <c r="G12" s="23">
        <v>7</v>
      </c>
      <c r="H12" s="23">
        <v>7</v>
      </c>
      <c r="I12" s="23">
        <v>4</v>
      </c>
      <c r="J12" s="23">
        <v>10</v>
      </c>
      <c r="K12" s="23">
        <v>8</v>
      </c>
      <c r="L12" s="23">
        <v>6</v>
      </c>
      <c r="M12" s="23">
        <v>7</v>
      </c>
      <c r="N12" s="23">
        <v>9</v>
      </c>
      <c r="O12" s="23">
        <v>4</v>
      </c>
      <c r="P12" s="23">
        <v>10</v>
      </c>
      <c r="Q12" s="23">
        <v>8</v>
      </c>
      <c r="R12" s="17">
        <f>IF(COUNTIF(D12:Q12,"=*")&gt;0,"-",(IFERROR(AVERAGE(D12:Q12),"")))</f>
        <v>7.2142857142857144</v>
      </c>
      <c r="S12" s="17">
        <f t="shared" si="0"/>
        <v>54.107142857142861</v>
      </c>
    </row>
    <row r="13" spans="1:20" ht="15" customHeight="1" x14ac:dyDescent="0.25">
      <c r="A13" s="26" t="s">
        <v>25</v>
      </c>
      <c r="B13" s="26">
        <v>5</v>
      </c>
      <c r="C13" s="16" t="s">
        <v>70</v>
      </c>
      <c r="D13" s="23">
        <v>8</v>
      </c>
      <c r="E13" s="23">
        <v>7</v>
      </c>
      <c r="F13" s="23">
        <v>8</v>
      </c>
      <c r="G13" s="23">
        <v>4</v>
      </c>
      <c r="H13" s="23">
        <v>7</v>
      </c>
      <c r="I13" s="23">
        <v>8</v>
      </c>
      <c r="J13" s="23">
        <v>8</v>
      </c>
      <c r="K13" s="23">
        <v>7</v>
      </c>
      <c r="L13" s="23">
        <v>6</v>
      </c>
      <c r="M13" s="23">
        <v>6</v>
      </c>
      <c r="N13" s="23">
        <v>8</v>
      </c>
      <c r="O13" s="23">
        <v>4</v>
      </c>
      <c r="P13" s="23">
        <v>7</v>
      </c>
      <c r="Q13" s="23">
        <v>9</v>
      </c>
      <c r="R13" s="17">
        <f>IF(COUNTIF(D13:Q13,"=*")&gt;0,"-",(IFERROR(AVERAGE(D13:Q13),"")))</f>
        <v>6.9285714285714288</v>
      </c>
      <c r="S13" s="17">
        <f t="shared" si="0"/>
        <v>51.964285714285715</v>
      </c>
    </row>
    <row r="14" spans="1:20" ht="15" customHeight="1" x14ac:dyDescent="0.25">
      <c r="A14" s="26" t="s">
        <v>25</v>
      </c>
      <c r="B14" s="26">
        <v>6</v>
      </c>
      <c r="C14" s="16" t="s">
        <v>65</v>
      </c>
      <c r="D14" s="23">
        <v>8</v>
      </c>
      <c r="E14" s="23">
        <v>8</v>
      </c>
      <c r="F14" s="23">
        <v>8</v>
      </c>
      <c r="G14" s="23">
        <v>6</v>
      </c>
      <c r="H14" s="23">
        <v>6</v>
      </c>
      <c r="I14" s="23">
        <v>7</v>
      </c>
      <c r="J14" s="23">
        <v>5</v>
      </c>
      <c r="K14" s="23">
        <v>5</v>
      </c>
      <c r="L14" s="23">
        <v>4</v>
      </c>
      <c r="M14" s="23">
        <v>8</v>
      </c>
      <c r="N14" s="23">
        <v>4</v>
      </c>
      <c r="O14" s="23">
        <v>4</v>
      </c>
      <c r="P14" s="23">
        <v>10</v>
      </c>
      <c r="Q14" s="23">
        <v>8</v>
      </c>
      <c r="R14" s="17">
        <f>IF(COUNTIF(D14:Q14,"=*")&gt;0,"-",(IFERROR(AVERAGE(D14:Q14),"")))</f>
        <v>6.5</v>
      </c>
      <c r="S14" s="17">
        <f t="shared" si="0"/>
        <v>48.75</v>
      </c>
    </row>
    <row r="15" spans="1:20" ht="15" customHeight="1" x14ac:dyDescent="0.25">
      <c r="A15" s="26" t="s">
        <v>25</v>
      </c>
      <c r="B15" s="26">
        <v>7</v>
      </c>
      <c r="C15" s="16" t="s">
        <v>73</v>
      </c>
      <c r="D15" s="23">
        <v>6</v>
      </c>
      <c r="E15" s="23">
        <v>6</v>
      </c>
      <c r="F15" s="23">
        <v>6</v>
      </c>
      <c r="G15" s="23">
        <v>6</v>
      </c>
      <c r="H15" s="23">
        <v>6</v>
      </c>
      <c r="I15" s="23">
        <v>6</v>
      </c>
      <c r="J15" s="23">
        <v>7</v>
      </c>
      <c r="K15" s="23">
        <v>6</v>
      </c>
      <c r="L15" s="23">
        <v>4</v>
      </c>
      <c r="M15" s="23">
        <v>4</v>
      </c>
      <c r="N15" s="23">
        <v>4</v>
      </c>
      <c r="O15" s="23">
        <v>4</v>
      </c>
      <c r="P15" s="23">
        <v>8</v>
      </c>
      <c r="Q15" s="23">
        <v>5</v>
      </c>
      <c r="R15" s="17">
        <f>IF(COUNTIF(D15:Q15,"=*")&gt;0,"-",(IFERROR(AVERAGE(D15:Q15),"")))</f>
        <v>5.5714285714285712</v>
      </c>
      <c r="S15" s="17">
        <f t="shared" si="0"/>
        <v>41.785714285714285</v>
      </c>
    </row>
    <row r="16" spans="1:20" ht="15" customHeight="1" x14ac:dyDescent="0.25">
      <c r="C16" s="16" t="s">
        <v>56</v>
      </c>
      <c r="D16" s="23">
        <f>'Зведена відомість 185'!D23</f>
        <v>8</v>
      </c>
    </row>
    <row r="17" spans="3:13" ht="15" customHeight="1" x14ac:dyDescent="0.25">
      <c r="C17" s="16" t="s">
        <v>57</v>
      </c>
      <c r="D17" s="23">
        <f>'Зведена відомість 185'!D24</f>
        <v>1</v>
      </c>
      <c r="F17" s="18" t="s">
        <v>58</v>
      </c>
      <c r="M17" s="18" t="s">
        <v>59</v>
      </c>
    </row>
    <row r="18" spans="3:13" ht="15" customHeight="1" x14ac:dyDescent="0.25">
      <c r="C18" s="16" t="s">
        <v>60</v>
      </c>
      <c r="D18" s="23">
        <f>'Зведена відомість 185'!D25</f>
        <v>1</v>
      </c>
    </row>
    <row r="19" spans="3:13" ht="15" customHeight="1" x14ac:dyDescent="0.25">
      <c r="C19" s="16" t="s">
        <v>61</v>
      </c>
      <c r="D19" s="23">
        <v>3</v>
      </c>
      <c r="F19" s="18" t="s">
        <v>62</v>
      </c>
      <c r="M19" s="18" t="s">
        <v>63</v>
      </c>
    </row>
  </sheetData>
  <sortState ref="A9:R15">
    <sortCondition descending="1" ref="R9:R15"/>
  </sortState>
  <mergeCells count="10">
    <mergeCell ref="D7:T7"/>
    <mergeCell ref="A6:T6"/>
    <mergeCell ref="A5:T5"/>
    <mergeCell ref="A4:T4"/>
    <mergeCell ref="A3:T3"/>
    <mergeCell ref="A2:T2"/>
    <mergeCell ref="A1:T1"/>
    <mergeCell ref="A7:A8"/>
    <mergeCell ref="B7:B8"/>
    <mergeCell ref="C7:C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Зведена відомість 151</vt:lpstr>
      <vt:lpstr>Зведена відомість 185</vt:lpstr>
      <vt:lpstr>Рейтингова відомість 151</vt:lpstr>
      <vt:lpstr>Рейтингова відомість 185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Maxim</cp:lastModifiedBy>
  <cp:revision/>
  <dcterms:created xsi:type="dcterms:W3CDTF">2006-09-28T05:33:49Z</dcterms:created>
  <dcterms:modified xsi:type="dcterms:W3CDTF">2022-12-28T08:23:21Z</dcterms:modified>
  <cp:category/>
  <cp:contentStatus/>
</cp:coreProperties>
</file>