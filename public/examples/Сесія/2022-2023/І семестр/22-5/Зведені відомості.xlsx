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390" yWindow="525" windowWidth="19815" windowHeight="7365" tabRatio="722" activeTab="2"/>
  </bookViews>
  <sheets>
    <sheet name="Зведена відомість 101" sheetId="17" r:id="rId1"/>
    <sheet name="Зведена відомість 172" sheetId="23" r:id="rId2"/>
    <sheet name="Зведена відомість 242" sheetId="25" r:id="rId3"/>
    <sheet name="Рейтингова відомість 101" sheetId="31" r:id="rId4"/>
    <sheet name="Рейтингова відомість 172" sheetId="32" r:id="rId5"/>
  </sheets>
  <definedNames>
    <definedName name="A1048577" localSheetId="0">#REF!</definedName>
    <definedName name="A1048577" localSheetId="1">#REF!</definedName>
    <definedName name="A1048577" localSheetId="2">#REF!</definedName>
    <definedName name="A1048577" localSheetId="3">#REF!</definedName>
    <definedName name="A1048577" localSheetId="4">#REF!</definedName>
    <definedName name="A1048577">#REF!</definedName>
    <definedName name="Ф80" localSheetId="0">#REF!</definedName>
    <definedName name="Ф80" localSheetId="1">#REF!</definedName>
    <definedName name="Ф80" localSheetId="2">#REF!</definedName>
    <definedName name="Ф80" localSheetId="3">#REF!</definedName>
    <definedName name="Ф80" localSheetId="4">#REF!</definedName>
    <definedName name="Ф80">#REF!</definedName>
  </definedNames>
  <calcPr calcId="145621" calcMode="autoNoTable"/>
  <extLs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D27" i="23" l="1"/>
  <c r="D19" i="32"/>
  <c r="D20" i="32"/>
  <c r="D18" i="32"/>
  <c r="R16" i="32"/>
  <c r="S16" i="32" s="1"/>
  <c r="R12" i="32"/>
  <c r="S12" i="32" s="1"/>
  <c r="R11" i="32"/>
  <c r="S11" i="32" s="1"/>
  <c r="R14" i="32"/>
  <c r="S14" i="32" s="1"/>
  <c r="R10" i="32"/>
  <c r="S10" i="32" s="1"/>
  <c r="R17" i="32"/>
  <c r="S17" i="32" s="1"/>
  <c r="R15" i="32"/>
  <c r="S15" i="32" s="1"/>
  <c r="R9" i="32"/>
  <c r="S9" i="32" s="1"/>
  <c r="R13" i="32"/>
  <c r="S13" i="32" s="1"/>
  <c r="D28" i="17"/>
  <c r="D19" i="31"/>
  <c r="D20" i="31"/>
  <c r="D18" i="31"/>
  <c r="R17" i="31"/>
  <c r="S17" i="31" s="1"/>
  <c r="R10" i="31"/>
  <c r="S10" i="31" s="1"/>
  <c r="R16" i="31"/>
  <c r="S16" i="31" s="1"/>
  <c r="R14" i="31"/>
  <c r="S14" i="31" s="1"/>
  <c r="R11" i="31"/>
  <c r="S11" i="31" s="1"/>
  <c r="R13" i="31"/>
  <c r="S13" i="31" s="1"/>
  <c r="R15" i="31"/>
  <c r="S15" i="31" s="1"/>
  <c r="R9" i="31"/>
  <c r="S9" i="31" s="1"/>
  <c r="R12" i="31"/>
  <c r="S12" i="31" s="1"/>
  <c r="Q24" i="25" l="1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D28" i="25" l="1"/>
  <c r="D30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R21" i="25"/>
  <c r="R20" i="25"/>
  <c r="R19" i="25"/>
  <c r="R18" i="25"/>
  <c r="R17" i="25"/>
  <c r="R16" i="25"/>
  <c r="R15" i="25"/>
  <c r="R14" i="25"/>
  <c r="R13" i="25"/>
  <c r="R12" i="25"/>
  <c r="R11" i="25"/>
  <c r="R10" i="25"/>
  <c r="R9" i="25"/>
  <c r="D25" i="25" l="1"/>
  <c r="R22" i="25"/>
  <c r="D26" i="25"/>
  <c r="D24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R18" i="23"/>
  <c r="R17" i="23"/>
  <c r="R16" i="23"/>
  <c r="R15" i="23"/>
  <c r="R14" i="23"/>
  <c r="R13" i="23"/>
  <c r="R12" i="23"/>
  <c r="R11" i="23"/>
  <c r="R10" i="23"/>
  <c r="R9" i="23"/>
  <c r="D26" i="17"/>
  <c r="D25" i="17"/>
  <c r="E20" i="17"/>
  <c r="D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R10" i="17"/>
  <c r="R11" i="17"/>
  <c r="R12" i="17"/>
  <c r="R13" i="17"/>
  <c r="R14" i="17"/>
  <c r="R15" i="17"/>
  <c r="R16" i="17"/>
  <c r="R17" i="17"/>
  <c r="R18" i="17"/>
  <c r="R19" i="17"/>
  <c r="R9" i="17"/>
  <c r="D23" i="17" l="1"/>
  <c r="D24" i="17"/>
  <c r="D22" i="23"/>
  <c r="R19" i="23"/>
  <c r="D23" i="23"/>
  <c r="R20" i="17"/>
</calcChain>
</file>

<file path=xl/sharedStrings.xml><?xml version="1.0" encoding="utf-8"?>
<sst xmlns="http://schemas.openxmlformats.org/spreadsheetml/2006/main" count="294" uniqueCount="79">
  <si>
    <t xml:space="preserve">ЗВЕДЕНА  ВІДОМІСТЬ  </t>
  </si>
  <si>
    <t>Б/К</t>
  </si>
  <si>
    <t>Підсумкові оцінки дисциплін</t>
  </si>
  <si>
    <t>Всесвітня історія
Мельничук С.А.</t>
  </si>
  <si>
    <t>Математика
Земляна Т.М.</t>
  </si>
  <si>
    <t>Зарубіжна література
Пруднікова Я.П.</t>
  </si>
  <si>
    <t>Біологія
Богданенко О.В.</t>
  </si>
  <si>
    <t>Історія України
Левчук Т.Г.</t>
  </si>
  <si>
    <t>Географія
Наговська Т.С.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</si>
  <si>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</si>
  <si>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</si>
  <si>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</si>
  <si>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</si>
  <si>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</si>
  <si>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</si>
  <si>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</si>
  <si>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</si>
  <si>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</si>
  <si>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</si>
  <si>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</si>
  <si>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Завідувач відділення ПЗСО</t>
  </si>
  <si>
    <t>Маргарита БРІТІКОВА</t>
  </si>
  <si>
    <t>Фізична культура
Галеніна І.С.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</si>
  <si>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</si>
  <si>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</si>
  <si>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№
п/п</t>
  </si>
  <si>
    <t>Прізвище, ім’я, по батькові</t>
  </si>
  <si>
    <t>ЗУ
Стельмах Н.Ю.</t>
  </si>
  <si>
    <t>Іноземна мова
Нічик Н.О.</t>
  </si>
  <si>
    <t>Інформатика
Охрімчук В.С.</t>
  </si>
  <si>
    <t>Українська література
Пруднікова Я.П.</t>
  </si>
  <si>
    <t>Українська мова
Нестеренко А.О.</t>
  </si>
  <si>
    <t>Фізика
Калюта Н.М.</t>
  </si>
  <si>
    <t>Хімія
Леонова Д.І.</t>
  </si>
  <si>
    <t>Успішності студентів спеціальності 101 «Екологія»</t>
  </si>
  <si>
    <t>Група 22-5 курс І</t>
  </si>
  <si>
    <t>Успішності студентів спеціальності 172 «Телекомунікації та радіотехніка»</t>
  </si>
  <si>
    <t>Успішності студентів спеціальності 242 «Туризм»</t>
  </si>
  <si>
    <t>Б</t>
  </si>
  <si>
    <t>Гончар Софія Сергіївна  </t>
  </si>
  <si>
    <t>К</t>
  </si>
  <si>
    <t>Бендь Марія Денисівна </t>
  </si>
  <si>
    <t>Брошкова Анна Євгенівна </t>
  </si>
  <si>
    <t>Западнова Єлизавета Сергіївна </t>
  </si>
  <si>
    <t>Литвинов Андрій Олексійович </t>
  </si>
  <si>
    <t>Маленкова Таїсія Григорівна </t>
  </si>
  <si>
    <t>Саєнко Аліна Андріївна </t>
  </si>
  <si>
    <t>Сазонтова Віолета Євгенівна  </t>
  </si>
  <si>
    <t>Тер Олег Вячеславович </t>
  </si>
  <si>
    <t>Улонецька Любов Дмитрівна </t>
  </si>
  <si>
    <t>Шараєва Анна Сергіївна </t>
  </si>
  <si>
    <t>Щекотіліна Олександра Сергіївна  </t>
  </si>
  <si>
    <t>Щуренко Ілля Сергійович </t>
  </si>
  <si>
    <t>Яцюк Антон Дмитрович </t>
  </si>
  <si>
    <t>Блоцький Ярослав Олексійович </t>
  </si>
  <si>
    <t>Єфремова Інеса Михайлівна </t>
  </si>
  <si>
    <t>Каратай Іван Костянтинович </t>
  </si>
  <si>
    <t>Кісельов Петро Юрійович </t>
  </si>
  <si>
    <t>Мельник Артем Олександрович </t>
  </si>
  <si>
    <t>Мисютін Тимофій Олександрович </t>
  </si>
  <si>
    <t>Нейченко Станіслав Андріанович </t>
  </si>
  <si>
    <t>Осташко Денис Володимирович </t>
  </si>
  <si>
    <t>Санько Дмитро Андрійович </t>
  </si>
  <si>
    <t>Шумков Микола Васильович </t>
  </si>
  <si>
    <t>Бовкун Марія Григорівна </t>
  </si>
  <si>
    <t>Герасименко Ксенія Володимирівна </t>
  </si>
  <si>
    <t>Голота Єлизавета Іванівна </t>
  </si>
  <si>
    <t>Гуцан Дарія Анатоліївна </t>
  </si>
  <si>
    <t>Козіхіна Сніжана Леонідівна </t>
  </si>
  <si>
    <t>Котова Анастасія Геннадіївна </t>
  </si>
  <si>
    <t>Ладан Феодосій Володимирович </t>
  </si>
  <si>
    <t>Лашкова Ірина Сергіївна </t>
  </si>
  <si>
    <t>Малюта Сергій Віталійович </t>
  </si>
  <si>
    <t>Юферова Мар’яна Вікторівна </t>
  </si>
  <si>
    <t>н/а</t>
  </si>
  <si>
    <t>Тетяна ЗЕМЛЯНА</t>
  </si>
  <si>
    <t>Рейтинговий бал</t>
  </si>
  <si>
    <t>РЕЙТИНГОВА ВІДОМІСТЬ</t>
  </si>
  <si>
    <t>За I семестр 2022-2023 н.р.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</si>
</sst>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39">
    <xf numFmtId="0" fontId="0" fillId="0" borderId="0" xfId="0" applyFont="1" applyAlignment="1"/>
    <xf numFmtId="0" fontId="3" fillId="0" borderId="1" xfId="5" applyNumberFormat="1" applyFont="1" applyFill="1" applyAlignment="1">
      <alignment horizontal="center" vertical="center"/>
    </xf>
    <xf numFmtId="0" fontId="3" fillId="0" borderId="2" xfId="5" applyNumberFormat="1" applyFont="1" applyFill="1" applyBorder="1" applyAlignment="1">
      <alignment horizontal="left" vertical="center" wrapText="1"/>
    </xf>
    <xf numFmtId="0" fontId="5" fillId="0" borderId="1" xfId="5" applyNumberFormat="1" applyFont="1" applyFill="1" applyAlignment="1">
      <alignment horizontal="left" vertical="center"/>
    </xf>
    <xf numFmtId="0" fontId="3" fillId="0" borderId="1" xfId="5" applyNumberFormat="1" applyFont="1" applyFill="1" applyBorder="1" applyAlignment="1">
      <alignment horizontal="center" vertical="center"/>
    </xf>
    <xf numFmtId="0" fontId="6" fillId="0" borderId="1" xfId="5" applyNumberFormat="1" applyFont="1" applyFill="1" applyAlignment="1">
      <alignment horizontal="center" vertical="center"/>
    </xf>
    <xf numFmtId="0" fontId="5" fillId="0" borderId="1" xfId="5" applyNumberFormat="1" applyFont="1" applyFill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 wrapText="1"/>
    </xf>
    <xf numFmtId="0" fontId="3" fillId="0" borderId="2" xfId="5" applyNumberFormat="1" applyFont="1" applyFill="1" applyBorder="1" applyAlignment="1">
      <alignment horizontal="center" textRotation="90" wrapText="1"/>
    </xf>
    <xf numFmtId="0" fontId="4" fillId="0" borderId="2" xfId="5" applyNumberFormat="1" applyFont="1" applyFill="1" applyBorder="1" applyAlignment="1">
      <alignment horizontal="center" vertical="center" textRotation="90" wrapText="1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164" fontId="3" fillId="3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 wrapText="1"/>
    </xf>
    <xf numFmtId="0" fontId="6" fillId="0" borderId="1" xfId="5" applyNumberFormat="1" applyFont="1" applyFill="1" applyAlignment="1">
      <alignment horizontal="center" vertical="center"/>
    </xf>
    <xf numFmtId="0" fontId="5" fillId="0" borderId="1" xfId="5" applyNumberFormat="1" applyFont="1" applyFill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 wrapText="1"/>
    </xf>
    <xf numFmtId="0" fontId="6" fillId="0" borderId="1" xfId="5" applyNumberFormat="1" applyFont="1" applyFill="1" applyAlignment="1">
      <alignment horizontal="center" vertical="center"/>
    </xf>
    <xf numFmtId="0" fontId="5" fillId="0" borderId="1" xfId="5" applyNumberFormat="1" applyFont="1" applyFill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 wrapText="1"/>
    </xf>
    <xf numFmtId="2" fontId="3" fillId="0" borderId="2" xfId="5" applyNumberFormat="1" applyFont="1" applyFill="1" applyBorder="1" applyAlignment="1">
      <alignment horizontal="center" vertical="center"/>
    </xf>
    <xf numFmtId="0" fontId="3" fillId="4" borderId="2" xfId="5" applyNumberFormat="1" applyFont="1" applyFill="1" applyBorder="1" applyAlignment="1">
      <alignment horizontal="center" vertical="center" wrapText="1"/>
    </xf>
    <xf numFmtId="0" fontId="3" fillId="4" borderId="2" xfId="5" applyNumberFormat="1" applyFont="1" applyFill="1" applyBorder="1" applyAlignment="1">
      <alignment horizontal="left" vertical="center" wrapText="1"/>
    </xf>
    <xf numFmtId="0" fontId="3" fillId="4" borderId="2" xfId="5" applyNumberFormat="1" applyFont="1" applyFill="1" applyBorder="1" applyAlignment="1">
      <alignment horizontal="center" vertical="center"/>
    </xf>
    <xf numFmtId="2" fontId="3" fillId="4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 wrapText="1"/>
    </xf>
    <xf numFmtId="0" fontId="6" fillId="0" borderId="1" xfId="5" applyNumberFormat="1" applyFont="1" applyFill="1" applyAlignment="1">
      <alignment horizontal="center" vertical="center"/>
    </xf>
    <xf numFmtId="0" fontId="5" fillId="0" borderId="1" xfId="5" applyNumberFormat="1" applyFont="1" applyFill="1" applyAlignment="1">
      <alignment horizontal="center" vertical="center"/>
    </xf>
    <xf numFmtId="0" fontId="3" fillId="0" borderId="2" xfId="5" quotePrefix="1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 wrapText="1"/>
    </xf>
    <xf numFmtId="0" fontId="5" fillId="0" borderId="1" xfId="5" applyNumberFormat="1" applyFont="1" applyFill="1" applyBorder="1" applyAlignment="1">
      <alignment horizontal="center" vertical="center"/>
    </xf>
    <xf numFmtId="0" fontId="6" fillId="0" borderId="1" xfId="5" applyNumberFormat="1" applyFont="1" applyFill="1" applyAlignment="1">
      <alignment horizontal="center" vertical="center"/>
    </xf>
    <xf numFmtId="0" fontId="5" fillId="0" borderId="1" xfId="5" applyNumberFormat="1" applyFont="1" applyFill="1" applyAlignment="1">
      <alignment horizontal="center" vertical="center"/>
    </xf>
    <xf numFmtId="0" fontId="3" fillId="0" borderId="1" xfId="5" applyNumberFormat="1" applyFont="1" applyFill="1" applyBorder="1" applyAlignment="1">
      <alignment horizontal="center" vertical="center"/>
    </xf>
  </cellXfs>
  <cellStyles count="22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32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EFEF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U28"/>
  <sheetViews>
    <sheetView zoomScaleNormal="100" workbookViewId="0">
      <selection sqref="A1:R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7" width="6.7109375" style="1" customWidth="1"/>
    <col min="18" max="18" width="11.28515625" style="1" customWidth="1"/>
    <col min="19" max="19" width="14.42578125" style="1"/>
    <col min="20" max="26" width="14.42578125" style="1" customWidth="1"/>
    <col min="27" max="27" width="14.85546875" style="1" customWidth="1"/>
    <col min="28" max="41" width="3.7109375" style="1" customWidth="1"/>
    <col min="42" max="55" width="5.7109375" style="1" customWidth="1"/>
    <col min="56" max="16384" width="14.42578125" style="1"/>
  </cols>
  <sheetData>
    <row r="1" spans="1:18" s="6" customFormat="1" ht="15" customHeight="1" x14ac:dyDescent="0.25">
      <c r="A1" s="35" t="s">
        <v>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s="6" customFormat="1" ht="15" customHeight="1" x14ac:dyDescent="0.25">
      <c r="A2" s="35" t="s">
        <v>24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s="5" customFormat="1" ht="15" customHeight="1" x14ac:dyDescent="0.25">
      <c r="A3" s="36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6" customFormat="1" ht="15" customHeight="1" x14ac:dyDescent="0.25">
      <c r="A4" s="37" t="s">
        <v>34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1:18" s="6" customFormat="1" ht="15" customHeight="1" x14ac:dyDescent="0.25">
      <c r="A5" s="37" t="s">
        <v>78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1:18" s="6" customFormat="1" ht="15" customHeight="1" x14ac:dyDescent="0.25">
      <c r="A6" s="35" t="s">
        <v>35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</row>
    <row r="7" spans="1:18" ht="15" customHeight="1" x14ac:dyDescent="0.25">
      <c r="A7" s="32" t="s">
        <v>1</v>
      </c>
      <c r="B7" s="34" t="s">
        <v>25</v>
      </c>
      <c r="C7" s="34" t="s">
        <v>26</v>
      </c>
      <c r="D7" s="33" t="s">
        <v>2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spans="1:18" ht="125.1" customHeight="1" x14ac:dyDescent="0.25">
      <c r="A8" s="33"/>
      <c r="B8" s="33"/>
      <c r="C8" s="33"/>
      <c r="D8" s="9" t="s">
        <v>6</v>
      </c>
      <c r="E8" s="9" t="s">
        <v>3</v>
      </c>
      <c r="F8" s="9" t="s">
        <v>8</v>
      </c>
      <c r="G8" s="9" t="s">
        <v>5</v>
      </c>
      <c r="H8" s="9" t="s">
        <v>27</v>
      </c>
      <c r="I8" s="9" t="s">
        <v>28</v>
      </c>
      <c r="J8" s="9" t="s">
        <v>29</v>
      </c>
      <c r="K8" s="9" t="s">
        <v>7</v>
      </c>
      <c r="L8" s="9" t="s">
        <v>4</v>
      </c>
      <c r="M8" s="9" t="s">
        <v>30</v>
      </c>
      <c r="N8" s="9" t="s">
        <v>31</v>
      </c>
      <c r="O8" s="9" t="s">
        <v>32</v>
      </c>
      <c r="P8" s="9" t="s">
        <v>22</v>
      </c>
      <c r="Q8" s="9" t="s">
        <v>33</v>
      </c>
      <c r="R8" s="10" t="s">
        <v>9</v>
      </c>
    </row>
    <row r="9" spans="1:18" ht="15" customHeight="1" x14ac:dyDescent="0.25">
      <c r="A9" s="8" t="s">
        <v>38</v>
      </c>
      <c r="B9" s="8">
        <v>1</v>
      </c>
      <c r="C9" s="2" t="s">
        <v>64</v>
      </c>
      <c r="D9" s="7">
        <v>9</v>
      </c>
      <c r="E9" s="7">
        <v>9</v>
      </c>
      <c r="F9" s="7">
        <v>10</v>
      </c>
      <c r="G9" s="7">
        <v>11</v>
      </c>
      <c r="H9" s="7">
        <v>10</v>
      </c>
      <c r="I9" s="7">
        <v>9</v>
      </c>
      <c r="J9" s="7">
        <v>7</v>
      </c>
      <c r="K9" s="7">
        <v>8</v>
      </c>
      <c r="L9" s="7">
        <v>7</v>
      </c>
      <c r="M9" s="7">
        <v>11</v>
      </c>
      <c r="N9" s="7">
        <v>9</v>
      </c>
      <c r="O9" s="7">
        <v>9</v>
      </c>
      <c r="P9" s="7">
        <v>11</v>
      </c>
      <c r="Q9" s="7">
        <v>7</v>
      </c>
      <c r="R9" s="11">
        <f t="shared" ref="R9:R18" si="0">IF(COUNTIF(D9:Q9,"=*")&gt;0,"-",(IFERROR(AVERAGE(D9:Q9),"")))</f>
        <v>9.0714285714285712</v>
      </c>
    </row>
    <row r="10" spans="1:18" ht="15" customHeight="1" x14ac:dyDescent="0.25">
      <c r="A10" s="22" t="s">
        <v>38</v>
      </c>
      <c r="B10" s="15">
        <v>2</v>
      </c>
      <c r="C10" s="2" t="s">
        <v>65</v>
      </c>
      <c r="D10" s="14">
        <v>9</v>
      </c>
      <c r="E10" s="14">
        <v>10</v>
      </c>
      <c r="F10" s="14">
        <v>10</v>
      </c>
      <c r="G10" s="14">
        <v>11</v>
      </c>
      <c r="H10" s="14">
        <v>10</v>
      </c>
      <c r="I10" s="14">
        <v>11</v>
      </c>
      <c r="J10" s="14">
        <v>9</v>
      </c>
      <c r="K10" s="14">
        <v>10</v>
      </c>
      <c r="L10" s="14">
        <v>9</v>
      </c>
      <c r="M10" s="14">
        <v>11</v>
      </c>
      <c r="N10" s="14">
        <v>9</v>
      </c>
      <c r="O10" s="14">
        <v>9</v>
      </c>
      <c r="P10" s="14">
        <v>11</v>
      </c>
      <c r="Q10" s="14">
        <v>10</v>
      </c>
      <c r="R10" s="11">
        <f t="shared" si="0"/>
        <v>9.9285714285714288</v>
      </c>
    </row>
    <row r="11" spans="1:18" ht="15" customHeight="1" x14ac:dyDescent="0.25">
      <c r="A11" s="22" t="s">
        <v>38</v>
      </c>
      <c r="B11" s="22">
        <v>3</v>
      </c>
      <c r="C11" s="2" t="s">
        <v>66</v>
      </c>
      <c r="D11" s="14">
        <v>9</v>
      </c>
      <c r="E11" s="14">
        <v>8</v>
      </c>
      <c r="F11" s="14">
        <v>8</v>
      </c>
      <c r="G11" s="14">
        <v>7</v>
      </c>
      <c r="H11" s="14">
        <v>6</v>
      </c>
      <c r="I11" s="14">
        <v>7</v>
      </c>
      <c r="J11" s="14">
        <v>6</v>
      </c>
      <c r="K11" s="14">
        <v>7</v>
      </c>
      <c r="L11" s="14">
        <v>7</v>
      </c>
      <c r="M11" s="14">
        <v>7</v>
      </c>
      <c r="N11" s="14">
        <v>8</v>
      </c>
      <c r="O11" s="14">
        <v>4</v>
      </c>
      <c r="P11" s="14">
        <v>6</v>
      </c>
      <c r="Q11" s="14">
        <v>6</v>
      </c>
      <c r="R11" s="11">
        <f t="shared" si="0"/>
        <v>6.8571428571428568</v>
      </c>
    </row>
    <row r="12" spans="1:18" ht="15" customHeight="1" x14ac:dyDescent="0.25">
      <c r="A12" s="22" t="s">
        <v>40</v>
      </c>
      <c r="B12" s="22">
        <v>4</v>
      </c>
      <c r="C12" s="2" t="s">
        <v>39</v>
      </c>
      <c r="D12" s="14">
        <v>9</v>
      </c>
      <c r="E12" s="14">
        <v>10</v>
      </c>
      <c r="F12" s="14">
        <v>9</v>
      </c>
      <c r="G12" s="14">
        <v>9</v>
      </c>
      <c r="H12" s="14">
        <v>10</v>
      </c>
      <c r="I12" s="14">
        <v>10</v>
      </c>
      <c r="J12" s="14">
        <v>9</v>
      </c>
      <c r="K12" s="14">
        <v>8</v>
      </c>
      <c r="L12" s="14">
        <v>8</v>
      </c>
      <c r="M12" s="14">
        <v>9</v>
      </c>
      <c r="N12" s="14">
        <v>9</v>
      </c>
      <c r="O12" s="14">
        <v>8</v>
      </c>
      <c r="P12" s="14">
        <v>10</v>
      </c>
      <c r="Q12" s="14">
        <v>8</v>
      </c>
      <c r="R12" s="11">
        <f t="shared" si="0"/>
        <v>9</v>
      </c>
    </row>
    <row r="13" spans="1:18" ht="15" customHeight="1" x14ac:dyDescent="0.25">
      <c r="A13" s="22" t="s">
        <v>38</v>
      </c>
      <c r="B13" s="22">
        <v>5</v>
      </c>
      <c r="C13" s="2" t="s">
        <v>67</v>
      </c>
      <c r="D13" s="14">
        <v>10</v>
      </c>
      <c r="E13" s="14">
        <v>10</v>
      </c>
      <c r="F13" s="14">
        <v>10</v>
      </c>
      <c r="G13" s="14">
        <v>9</v>
      </c>
      <c r="H13" s="14">
        <v>9</v>
      </c>
      <c r="I13" s="14">
        <v>7</v>
      </c>
      <c r="J13" s="14">
        <v>7</v>
      </c>
      <c r="K13" s="14">
        <v>10</v>
      </c>
      <c r="L13" s="14">
        <v>5</v>
      </c>
      <c r="M13" s="14">
        <v>9</v>
      </c>
      <c r="N13" s="14">
        <v>8</v>
      </c>
      <c r="O13" s="14">
        <v>6</v>
      </c>
      <c r="P13" s="14">
        <v>10</v>
      </c>
      <c r="Q13" s="14">
        <v>8</v>
      </c>
      <c r="R13" s="11">
        <f t="shared" si="0"/>
        <v>8.4285714285714288</v>
      </c>
    </row>
    <row r="14" spans="1:18" ht="15" customHeight="1" x14ac:dyDescent="0.25">
      <c r="A14" s="22" t="s">
        <v>38</v>
      </c>
      <c r="B14" s="22">
        <v>6</v>
      </c>
      <c r="C14" s="2" t="s">
        <v>68</v>
      </c>
      <c r="D14" s="14">
        <v>10</v>
      </c>
      <c r="E14" s="14">
        <v>10</v>
      </c>
      <c r="F14" s="14">
        <v>10</v>
      </c>
      <c r="G14" s="14">
        <v>11</v>
      </c>
      <c r="H14" s="14">
        <v>10</v>
      </c>
      <c r="I14" s="14">
        <v>8</v>
      </c>
      <c r="J14" s="14">
        <v>8</v>
      </c>
      <c r="K14" s="14">
        <v>8</v>
      </c>
      <c r="L14" s="14">
        <v>7</v>
      </c>
      <c r="M14" s="14">
        <v>11</v>
      </c>
      <c r="N14" s="14">
        <v>10</v>
      </c>
      <c r="O14" s="14">
        <v>8</v>
      </c>
      <c r="P14" s="14">
        <v>9</v>
      </c>
      <c r="Q14" s="14">
        <v>8</v>
      </c>
      <c r="R14" s="11">
        <f t="shared" si="0"/>
        <v>9.1428571428571423</v>
      </c>
    </row>
    <row r="15" spans="1:18" ht="15" customHeight="1" x14ac:dyDescent="0.25">
      <c r="A15" s="22" t="s">
        <v>38</v>
      </c>
      <c r="B15" s="22">
        <v>7</v>
      </c>
      <c r="C15" s="2" t="s">
        <v>69</v>
      </c>
      <c r="D15" s="14">
        <v>8</v>
      </c>
      <c r="E15" s="14">
        <v>10</v>
      </c>
      <c r="F15" s="14">
        <v>9</v>
      </c>
      <c r="G15" s="14">
        <v>8</v>
      </c>
      <c r="H15" s="14">
        <v>10</v>
      </c>
      <c r="I15" s="14">
        <v>7</v>
      </c>
      <c r="J15" s="14">
        <v>8</v>
      </c>
      <c r="K15" s="14">
        <v>8</v>
      </c>
      <c r="L15" s="14">
        <v>9</v>
      </c>
      <c r="M15" s="14">
        <v>8</v>
      </c>
      <c r="N15" s="14">
        <v>8</v>
      </c>
      <c r="O15" s="14">
        <v>9</v>
      </c>
      <c r="P15" s="14">
        <v>9</v>
      </c>
      <c r="Q15" s="14">
        <v>6</v>
      </c>
      <c r="R15" s="11">
        <f t="shared" si="0"/>
        <v>8.3571428571428577</v>
      </c>
    </row>
    <row r="16" spans="1:18" ht="15" customHeight="1" x14ac:dyDescent="0.25">
      <c r="A16" s="22" t="s">
        <v>38</v>
      </c>
      <c r="B16" s="22">
        <v>8</v>
      </c>
      <c r="C16" s="2" t="s">
        <v>70</v>
      </c>
      <c r="D16" s="14">
        <v>7</v>
      </c>
      <c r="E16" s="14">
        <v>10</v>
      </c>
      <c r="F16" s="14">
        <v>9</v>
      </c>
      <c r="G16" s="14">
        <v>6</v>
      </c>
      <c r="H16" s="14">
        <v>6</v>
      </c>
      <c r="I16" s="14">
        <v>4</v>
      </c>
      <c r="J16" s="14">
        <v>6</v>
      </c>
      <c r="K16" s="14">
        <v>6</v>
      </c>
      <c r="L16" s="14">
        <v>4</v>
      </c>
      <c r="M16" s="14">
        <v>6</v>
      </c>
      <c r="N16" s="14">
        <v>8</v>
      </c>
      <c r="O16" s="14">
        <v>4</v>
      </c>
      <c r="P16" s="14">
        <v>7</v>
      </c>
      <c r="Q16" s="14">
        <v>8</v>
      </c>
      <c r="R16" s="11">
        <f t="shared" si="0"/>
        <v>6.5</v>
      </c>
    </row>
    <row r="17" spans="1:21" ht="15" customHeight="1" x14ac:dyDescent="0.25">
      <c r="A17" s="22" t="s">
        <v>38</v>
      </c>
      <c r="B17" s="22">
        <v>9</v>
      </c>
      <c r="C17" s="2" t="s">
        <v>71</v>
      </c>
      <c r="D17" s="14">
        <v>9</v>
      </c>
      <c r="E17" s="14">
        <v>10</v>
      </c>
      <c r="F17" s="14">
        <v>9</v>
      </c>
      <c r="G17" s="14">
        <v>10</v>
      </c>
      <c r="H17" s="14">
        <v>10</v>
      </c>
      <c r="I17" s="14">
        <v>10</v>
      </c>
      <c r="J17" s="14">
        <v>9</v>
      </c>
      <c r="K17" s="14">
        <v>8</v>
      </c>
      <c r="L17" s="14">
        <v>9</v>
      </c>
      <c r="M17" s="14">
        <v>11</v>
      </c>
      <c r="N17" s="14">
        <v>7</v>
      </c>
      <c r="O17" s="14">
        <v>10</v>
      </c>
      <c r="P17" s="14">
        <v>9</v>
      </c>
      <c r="Q17" s="14">
        <v>9</v>
      </c>
      <c r="R17" s="11">
        <f t="shared" si="0"/>
        <v>9.2857142857142865</v>
      </c>
    </row>
    <row r="18" spans="1:21" ht="15" customHeight="1" x14ac:dyDescent="0.25">
      <c r="A18" s="22" t="s">
        <v>38</v>
      </c>
      <c r="B18" s="22">
        <v>10</v>
      </c>
      <c r="C18" s="2" t="s">
        <v>72</v>
      </c>
      <c r="D18" s="14">
        <v>7</v>
      </c>
      <c r="E18" s="14">
        <v>9</v>
      </c>
      <c r="F18" s="14">
        <v>6</v>
      </c>
      <c r="G18" s="14">
        <v>4</v>
      </c>
      <c r="H18" s="14">
        <v>7</v>
      </c>
      <c r="I18" s="14">
        <v>4</v>
      </c>
      <c r="J18" s="14">
        <v>6</v>
      </c>
      <c r="K18" s="14">
        <v>7</v>
      </c>
      <c r="L18" s="14">
        <v>6</v>
      </c>
      <c r="M18" s="14">
        <v>4</v>
      </c>
      <c r="N18" s="14">
        <v>6</v>
      </c>
      <c r="O18" s="14">
        <v>4</v>
      </c>
      <c r="P18" s="14">
        <v>7</v>
      </c>
      <c r="Q18" s="14">
        <v>5</v>
      </c>
      <c r="R18" s="11">
        <f t="shared" si="0"/>
        <v>5.8571428571428568</v>
      </c>
    </row>
    <row r="19" spans="1:21" ht="15" customHeight="1" x14ac:dyDescent="0.25">
      <c r="A19" s="22" t="s">
        <v>38</v>
      </c>
      <c r="B19" s="22">
        <v>11</v>
      </c>
      <c r="C19" s="2" t="s">
        <v>73</v>
      </c>
      <c r="D19" s="7">
        <v>4</v>
      </c>
      <c r="E19" s="7">
        <v>10</v>
      </c>
      <c r="F19" s="7">
        <v>5</v>
      </c>
      <c r="G19" s="7">
        <v>4</v>
      </c>
      <c r="H19" s="7" t="s">
        <v>74</v>
      </c>
      <c r="I19" s="7" t="s">
        <v>74</v>
      </c>
      <c r="J19" s="7" t="s">
        <v>74</v>
      </c>
      <c r="K19" s="7">
        <v>4</v>
      </c>
      <c r="L19" s="7" t="s">
        <v>74</v>
      </c>
      <c r="M19" s="7">
        <v>4</v>
      </c>
      <c r="N19" s="7">
        <v>4</v>
      </c>
      <c r="O19" s="7" t="s">
        <v>74</v>
      </c>
      <c r="P19" s="7">
        <v>4</v>
      </c>
      <c r="Q19" s="7">
        <v>4</v>
      </c>
      <c r="R19" s="11" t="str">
        <f t="shared" ref="R19" si="1">IF(COUNTIF(D19:Q19,"=*")&gt;0,"-",(IFERROR(AVERAGE(D19:Q19),"")))</f>
        <v>-</v>
      </c>
    </row>
    <row r="20" spans="1:21" ht="15" customHeight="1" x14ac:dyDescent="0.25">
      <c r="C20" s="2" t="s">
        <v>10</v>
      </c>
      <c r="D20" s="12">
        <f>IF(SUM(D9:D19)/B19=0,"",SUM(D9:D19)/B19)</f>
        <v>8.2727272727272734</v>
      </c>
      <c r="E20" s="12">
        <f>IF(SUM(E9:E19)/B19=0,"",SUM(E9:E19)/B19)</f>
        <v>9.6363636363636367</v>
      </c>
      <c r="F20" s="12">
        <f>IF(SUM(F9:F19)/B19=0,"",SUM(F9:F19)/B19)</f>
        <v>8.6363636363636367</v>
      </c>
      <c r="G20" s="12">
        <f>IF(SUM(G9:G19)/B19=0,"",SUM(G9:G19)/B19)</f>
        <v>8.1818181818181817</v>
      </c>
      <c r="H20" s="12">
        <f>IF(SUM(H9:H19)/B19=0,"",SUM(H9:H19)/B19)</f>
        <v>8</v>
      </c>
      <c r="I20" s="12">
        <f>IF(SUM(I9:I19)/B19=0,"",SUM(I9:I19)/B19)</f>
        <v>7</v>
      </c>
      <c r="J20" s="12">
        <f>IF(SUM(J9:J19)/B19=0,"",SUM(J9:J19)/B19)</f>
        <v>6.8181818181818183</v>
      </c>
      <c r="K20" s="12">
        <f>IF(SUM(K9:K19)/B19=0,"",SUM(K9:K19)/B19)</f>
        <v>7.6363636363636367</v>
      </c>
      <c r="L20" s="12">
        <f>IF(SUM(L9:L19)/B19=0,"",SUM(L9:L19)/B19)</f>
        <v>6.4545454545454541</v>
      </c>
      <c r="M20" s="12">
        <f>IF(SUM(M9:M19)/B19=0,"",SUM(M9:M19)/B19)</f>
        <v>8.2727272727272734</v>
      </c>
      <c r="N20" s="12">
        <f>IF(SUM(N9:N19)/B19=0,"",SUM(N9:N19)/B19)</f>
        <v>7.8181818181818183</v>
      </c>
      <c r="O20" s="12">
        <f>IF(SUM(O9:O19)/B19=0,"",SUM(O9:O19)/B19)</f>
        <v>6.4545454545454541</v>
      </c>
      <c r="P20" s="12">
        <f>IF(SUM(P9:P19)/B19=0,"",SUM(P9:P19)/B19)</f>
        <v>8.454545454545455</v>
      </c>
      <c r="Q20" s="12">
        <f>IF(SUM(Q9:Q19)/B19=0,"",SUM(Q9:Q19)/B19)</f>
        <v>7.1818181818181817</v>
      </c>
      <c r="R20" s="11">
        <f>IFERROR(AVERAGE(D20:Q20),"")</f>
        <v>7.7727272727272725</v>
      </c>
    </row>
    <row r="21" spans="1:21" ht="15" customHeight="1" x14ac:dyDescent="0.25">
      <c r="C21" s="2" t="s">
        <v>11</v>
      </c>
      <c r="D21" s="13">
        <f>IF(COUNTIF(D9:D19,"&gt;=4")/B19*100=0,"",COUNTIF(D9:D19,"&gt;=4")/B19*100)</f>
        <v>100</v>
      </c>
      <c r="E21" s="13">
        <f>IF(COUNTIF(E9:E19,"&gt;=4")/B19*100=0,"",COUNTIF(E9:E19,"&gt;=4")/B19*100)</f>
        <v>100</v>
      </c>
      <c r="F21" s="13">
        <f>IF(COUNTIF(F9:F19,"&gt;=4")/B19*100=0,"",COUNTIF(F9:F19,"&gt;=4")/B19*100)</f>
        <v>100</v>
      </c>
      <c r="G21" s="13">
        <f>IF(COUNTIF(G9:G19,"&gt;=4")/B19*100=0,"",COUNTIF(G9:G19,"&gt;=4")/B19*100)</f>
        <v>100</v>
      </c>
      <c r="H21" s="13">
        <f>IF(COUNTIF(H9:H19,"&gt;=4")/B19*100=0,"",COUNTIF(H9:H19,"&gt;=4")/B19*100)</f>
        <v>90.909090909090907</v>
      </c>
      <c r="I21" s="13">
        <f>IF(COUNTIF(I9:I19,"&gt;=4")/B19*100=0,"",COUNTIF(I9:I19,"&gt;=4")/B19*100)</f>
        <v>90.909090909090907</v>
      </c>
      <c r="J21" s="13">
        <f>IF(COUNTIF(J9:J19,"&gt;=4")/B19*100=0,"",COUNTIF(J9:J19,"&gt;=4")/B19*100)</f>
        <v>90.909090909090907</v>
      </c>
      <c r="K21" s="13">
        <f>IF(COUNTIF(K9:K19,"&gt;=4")/B19*100=0,"",COUNTIF(K9:K19,"&gt;=4")/B19*100)</f>
        <v>100</v>
      </c>
      <c r="L21" s="13">
        <f>IF(COUNTIF(L9:L19,"&gt;=4")/B19*100=0,"",COUNTIF(L9:L19,"&gt;=4")/B19*100)</f>
        <v>90.909090909090907</v>
      </c>
      <c r="M21" s="13">
        <f>IF(COUNTIF(M9:M19,"&gt;=4")/B19*100=0,"",COUNTIF(M9:M19,"&gt;=4")/B19*100)</f>
        <v>100</v>
      </c>
      <c r="N21" s="13">
        <f>IF(COUNTIF(N9:N19,"&gt;=4")/B19*100=0,"",COUNTIF(N9:N19,"&gt;=4")/B19*100)</f>
        <v>100</v>
      </c>
      <c r="O21" s="13">
        <f>IF(COUNTIF(O9:O19,"&gt;=4")/B19*100=0,"",COUNTIF(O9:O19,"&gt;=4")/B19*100)</f>
        <v>90.909090909090907</v>
      </c>
      <c r="P21" s="13">
        <f>IF(COUNTIF(P9:P19,"&gt;=4")/B19*100=0,"",COUNTIF(P9:P19,"&gt;=4")/B19*100)</f>
        <v>100</v>
      </c>
      <c r="Q21" s="13">
        <f>IF(COUNTIF(Q9:Q19,"&gt;=4")/B19*100=0,"",COUNTIF(Q9:Q19,"&gt;=4")/B19*100)</f>
        <v>100</v>
      </c>
      <c r="R21" s="4"/>
      <c r="S21" s="4"/>
      <c r="T21" s="4"/>
      <c r="U21" s="4"/>
    </row>
    <row r="22" spans="1:21" ht="15" customHeight="1" x14ac:dyDescent="0.25">
      <c r="C22" s="2" t="s">
        <v>12</v>
      </c>
      <c r="D22" s="13">
        <f>IF(COUNTIF(D9:D19,"&gt;=7")/B19*100=0,"",COUNTIF(D9:D19,"&gt;=7")/B19*100)</f>
        <v>90.909090909090907</v>
      </c>
      <c r="E22" s="13">
        <f>IF(COUNTIF(E9:E19,"&gt;=7")/B19*100=0,"",COUNTIF(E9:E19,"&gt;=7")/B19*100)</f>
        <v>100</v>
      </c>
      <c r="F22" s="13">
        <f>IF(COUNTIF(F9:F19,"&gt;=7")/B19*100=0,"",COUNTIF(F9:F19,"&gt;=7")/B19*100)</f>
        <v>81.818181818181827</v>
      </c>
      <c r="G22" s="13">
        <f>IF(COUNTIF(G9:G19,"&gt;=7")/B19*100=0,"",COUNTIF(G9:G19,"&gt;=7")/B19*100)</f>
        <v>72.727272727272734</v>
      </c>
      <c r="H22" s="13">
        <f>IF(COUNTIF(H9:H19,"&gt;=7")/B19*100=0,"",COUNTIF(H9:H19,"&gt;=7")/B19*100)</f>
        <v>72.727272727272734</v>
      </c>
      <c r="I22" s="13">
        <f>IF(COUNTIF(I9:I19,"&gt;=7")/B19*100=0,"",COUNTIF(I9:I19,"&gt;=7")/B19*100)</f>
        <v>72.727272727272734</v>
      </c>
      <c r="J22" s="13">
        <f>IF(COUNTIF(J9:J19,"&gt;=7")/B19*100=0,"",COUNTIF(J9:J19,"&gt;=7")/B19*100)</f>
        <v>63.636363636363633</v>
      </c>
      <c r="K22" s="13">
        <f>IF(COUNTIF(K9:K19,"&gt;=7")/B19*100=0,"",COUNTIF(K9:K19,"&gt;=7")/B19*100)</f>
        <v>81.818181818181827</v>
      </c>
      <c r="L22" s="13">
        <f>IF(COUNTIF(L9:L19,"&gt;=7")/B19*100=0,"",COUNTIF(L9:L19,"&gt;=7")/B19*100)</f>
        <v>63.636363636363633</v>
      </c>
      <c r="M22" s="13">
        <f>IF(COUNTIF(M9:M19,"&gt;=7")/B19*100=0,"",COUNTIF(M9:M19,"&gt;=7")/B19*100)</f>
        <v>72.727272727272734</v>
      </c>
      <c r="N22" s="13">
        <f>IF(COUNTIF(N9:N19,"&gt;=7")/B19*100=0,"",COUNTIF(N9:N19,"&gt;=7")/B19*100)</f>
        <v>81.818181818181827</v>
      </c>
      <c r="O22" s="13">
        <f>IF(COUNTIF(O9:O19,"&gt;=7")/B19*100=0,"",COUNTIF(O9:O19,"&gt;=7")/B19*100)</f>
        <v>54.54545454545454</v>
      </c>
      <c r="P22" s="13">
        <f>IF(COUNTIF(P9:P19,"&gt;=7")/B19*100=0,"",COUNTIF(P9:P19,"&gt;=7")/B19*100)</f>
        <v>81.818181818181827</v>
      </c>
      <c r="Q22" s="13">
        <f>IF(COUNTIF(Q9:Q19,"&gt;=7")/B19*100=0,"",COUNTIF(Q9:Q19,"&gt;=7")/B19*100)</f>
        <v>63.636363636363633</v>
      </c>
      <c r="R22" s="4"/>
      <c r="S22" s="4"/>
      <c r="T22" s="4"/>
      <c r="U22" s="4"/>
    </row>
    <row r="23" spans="1:21" ht="15" customHeight="1" x14ac:dyDescent="0.25">
      <c r="C23" s="2" t="s">
        <v>13</v>
      </c>
      <c r="D23" s="12">
        <f>IFERROR(AVERAGE(D21:Q21),"")</f>
        <v>96.753246753246756</v>
      </c>
      <c r="R23" s="4"/>
      <c r="S23" s="4"/>
      <c r="T23" s="4"/>
      <c r="U23" s="4"/>
    </row>
    <row r="24" spans="1:21" ht="15" customHeight="1" x14ac:dyDescent="0.25">
      <c r="C24" s="2" t="s">
        <v>14</v>
      </c>
      <c r="D24" s="12">
        <f>IFERROR(AVERAGE(D22:Q22),"")</f>
        <v>75.32467532467534</v>
      </c>
      <c r="R24" s="4"/>
      <c r="S24" s="4"/>
      <c r="T24" s="4"/>
      <c r="U24" s="4"/>
    </row>
    <row r="25" spans="1:21" ht="15" customHeight="1" x14ac:dyDescent="0.25">
      <c r="C25" s="2" t="s">
        <v>15</v>
      </c>
      <c r="D25" s="7">
        <f>IF(COUNTIF(A9:A19,"=Б")=0,"",COUNTIF(A9:A19,"=Б"))</f>
        <v>10</v>
      </c>
      <c r="R25" s="4"/>
      <c r="S25" s="4"/>
      <c r="T25" s="4"/>
      <c r="U25" s="4"/>
    </row>
    <row r="26" spans="1:21" ht="15" customHeight="1" x14ac:dyDescent="0.25">
      <c r="C26" s="2" t="s">
        <v>16</v>
      </c>
      <c r="D26" s="7">
        <f>IF(COUNTIF(A9:A19,"=К")=0,"",COUNTIF(A9:A19,"=К"))</f>
        <v>1</v>
      </c>
      <c r="F26" s="3" t="s">
        <v>19</v>
      </c>
      <c r="M26" s="3" t="s">
        <v>75</v>
      </c>
    </row>
    <row r="27" spans="1:21" ht="15" customHeight="1" x14ac:dyDescent="0.25">
      <c r="C27" s="2" t="s">
        <v>17</v>
      </c>
      <c r="D27" s="7">
        <v>0</v>
      </c>
    </row>
    <row r="28" spans="1:21" ht="15" customHeight="1" x14ac:dyDescent="0.25">
      <c r="C28" s="2" t="s">
        <v>18</v>
      </c>
      <c r="D28" s="7">
        <f>'Рейтингова відомість 101'!D21</f>
        <v>4</v>
      </c>
      <c r="F28" s="3" t="s">
        <v>20</v>
      </c>
      <c r="M28" s="3" t="s">
        <v>21</v>
      </c>
    </row>
  </sheetData>
  <sortState ref="A9:C19">
    <sortCondition ref="C9:C19"/>
  </sortState>
  <mergeCells count="10">
    <mergeCell ref="A7:A8"/>
    <mergeCell ref="B7:B8"/>
    <mergeCell ref="C7:C8"/>
    <mergeCell ref="D7:R7"/>
    <mergeCell ref="A1:R1"/>
    <mergeCell ref="A2:R2"/>
    <mergeCell ref="A3:R3"/>
    <mergeCell ref="A4:R4"/>
    <mergeCell ref="A5:R5"/>
    <mergeCell ref="A6:R6"/>
  </mergeCells>
  <conditionalFormatting sqref="A9:R9 B11 B13 B15 B17">
    <cfRule type="expression" dxfId="31" priority="74">
      <formula>$S$9&lt;&gt;""</formula>
    </cfRule>
  </conditionalFormatting>
  <conditionalFormatting sqref="B10:R10 B12 B14 B16 B18">
    <cfRule type="expression" dxfId="30" priority="76">
      <formula>$S$10&lt;&gt;""</formula>
    </cfRule>
  </conditionalFormatting>
  <conditionalFormatting sqref="C11:R11">
    <cfRule type="expression" dxfId="29" priority="78">
      <formula>$S$11&lt;&gt;""</formula>
    </cfRule>
  </conditionalFormatting>
  <conditionalFormatting sqref="C12:R12">
    <cfRule type="expression" dxfId="28" priority="80">
      <formula>$S$12&lt;&gt;""</formula>
    </cfRule>
  </conditionalFormatting>
  <conditionalFormatting sqref="C13:R13">
    <cfRule type="expression" dxfId="27" priority="82">
      <formula>$S$13&lt;&gt;""</formula>
    </cfRule>
  </conditionalFormatting>
  <conditionalFormatting sqref="C14:R14">
    <cfRule type="expression" dxfId="26" priority="84">
      <formula>$S$14&lt;&gt;""</formula>
    </cfRule>
  </conditionalFormatting>
  <conditionalFormatting sqref="C15:R15">
    <cfRule type="expression" dxfId="25" priority="86">
      <formula>$S$15&lt;&gt;""</formula>
    </cfRule>
  </conditionalFormatting>
  <conditionalFormatting sqref="C16:R16">
    <cfRule type="expression" dxfId="24" priority="88">
      <formula>$S$16&lt;&gt;""</formula>
    </cfRule>
  </conditionalFormatting>
  <conditionalFormatting sqref="C17:R17">
    <cfRule type="expression" dxfId="23" priority="90">
      <formula>$S$17&lt;&gt;""</formula>
    </cfRule>
  </conditionalFormatting>
  <conditionalFormatting sqref="C18:R18">
    <cfRule type="expression" dxfId="22" priority="92">
      <formula>$S$18&lt;&gt;""</formula>
    </cfRule>
  </conditionalFormatting>
  <conditionalFormatting sqref="D19:R19">
    <cfRule type="expression" dxfId="21" priority="212">
      <formula>$S$19&lt;&gt;""</formula>
    </cfRule>
  </conditionalFormatting>
  <conditionalFormatting sqref="A10:A18">
    <cfRule type="expression" dxfId="20" priority="3">
      <formula>$S$9&lt;&gt;""</formula>
    </cfRule>
  </conditionalFormatting>
  <conditionalFormatting sqref="B19">
    <cfRule type="expression" dxfId="19" priority="1">
      <formula>$S$9&lt;&gt;""</formula>
    </cfRule>
  </conditionalFormatting>
  <conditionalFormatting sqref="A19 C19">
    <cfRule type="expression" dxfId="18" priority="2">
      <formula>#REF!&lt;&gt;""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U27"/>
  <sheetViews>
    <sheetView zoomScaleNormal="100" workbookViewId="0">
      <selection sqref="A1:R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7" width="6.7109375" style="1" customWidth="1"/>
    <col min="18" max="18" width="11.28515625" style="1" customWidth="1"/>
    <col min="19" max="19" width="14.42578125" style="1"/>
    <col min="20" max="26" width="14.42578125" style="1" customWidth="1"/>
    <col min="27" max="27" width="14.85546875" style="1" customWidth="1"/>
    <col min="28" max="41" width="3.7109375" style="1" customWidth="1"/>
    <col min="42" max="55" width="5.7109375" style="1" customWidth="1"/>
    <col min="56" max="16384" width="14.42578125" style="1"/>
  </cols>
  <sheetData>
    <row r="1" spans="1:18" s="17" customFormat="1" ht="15" customHeight="1" x14ac:dyDescent="0.25">
      <c r="A1" s="35" t="s">
        <v>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s="17" customFormat="1" ht="15" customHeight="1" x14ac:dyDescent="0.25">
      <c r="A2" s="35" t="s">
        <v>24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s="16" customFormat="1" ht="15" customHeight="1" x14ac:dyDescent="0.25">
      <c r="A3" s="36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17" customFormat="1" ht="15" customHeight="1" x14ac:dyDescent="0.25">
      <c r="A4" s="37" t="s">
        <v>36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1:18" s="17" customFormat="1" ht="15" customHeight="1" x14ac:dyDescent="0.25">
      <c r="A5" s="37" t="s">
        <v>78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1:18" s="17" customFormat="1" ht="15" customHeight="1" x14ac:dyDescent="0.25">
      <c r="A6" s="35" t="s">
        <v>35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</row>
    <row r="7" spans="1:18" ht="15" customHeight="1" x14ac:dyDescent="0.25">
      <c r="A7" s="32" t="s">
        <v>1</v>
      </c>
      <c r="B7" s="34" t="s">
        <v>25</v>
      </c>
      <c r="C7" s="34" t="s">
        <v>26</v>
      </c>
      <c r="D7" s="33" t="s">
        <v>2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spans="1:18" ht="125.1" customHeight="1" x14ac:dyDescent="0.25">
      <c r="A8" s="33"/>
      <c r="B8" s="33"/>
      <c r="C8" s="33"/>
      <c r="D8" s="9" t="s">
        <v>6</v>
      </c>
      <c r="E8" s="9" t="s">
        <v>3</v>
      </c>
      <c r="F8" s="9" t="s">
        <v>8</v>
      </c>
      <c r="G8" s="9" t="s">
        <v>5</v>
      </c>
      <c r="H8" s="9" t="s">
        <v>27</v>
      </c>
      <c r="I8" s="9" t="s">
        <v>28</v>
      </c>
      <c r="J8" s="9" t="s">
        <v>29</v>
      </c>
      <c r="K8" s="9" t="s">
        <v>7</v>
      </c>
      <c r="L8" s="9" t="s">
        <v>4</v>
      </c>
      <c r="M8" s="9" t="s">
        <v>30</v>
      </c>
      <c r="N8" s="9" t="s">
        <v>31</v>
      </c>
      <c r="O8" s="9" t="s">
        <v>32</v>
      </c>
      <c r="P8" s="9" t="s">
        <v>22</v>
      </c>
      <c r="Q8" s="9" t="s">
        <v>33</v>
      </c>
      <c r="R8" s="10" t="s">
        <v>9</v>
      </c>
    </row>
    <row r="9" spans="1:18" ht="15" customHeight="1" x14ac:dyDescent="0.25">
      <c r="A9" s="15" t="s">
        <v>38</v>
      </c>
      <c r="B9" s="15">
        <v>1</v>
      </c>
      <c r="C9" s="2" t="s">
        <v>54</v>
      </c>
      <c r="D9" s="14">
        <v>9</v>
      </c>
      <c r="E9" s="14">
        <v>9</v>
      </c>
      <c r="F9" s="14">
        <v>9</v>
      </c>
      <c r="G9" s="14">
        <v>4</v>
      </c>
      <c r="H9" s="14">
        <v>6</v>
      </c>
      <c r="I9" s="14">
        <v>7</v>
      </c>
      <c r="J9" s="14">
        <v>5</v>
      </c>
      <c r="K9" s="14">
        <v>6</v>
      </c>
      <c r="L9" s="14">
        <v>6</v>
      </c>
      <c r="M9" s="14">
        <v>7</v>
      </c>
      <c r="N9" s="14">
        <v>9</v>
      </c>
      <c r="O9" s="14">
        <v>5</v>
      </c>
      <c r="P9" s="14">
        <v>7</v>
      </c>
      <c r="Q9" s="14">
        <v>8</v>
      </c>
      <c r="R9" s="11">
        <f t="shared" ref="R9:R17" si="0">IF(COUNTIF(D9:Q9,"=*")&gt;0,"-",(IFERROR(AVERAGE(D9:Q9),"")))</f>
        <v>6.9285714285714288</v>
      </c>
    </row>
    <row r="10" spans="1:18" ht="15" customHeight="1" x14ac:dyDescent="0.25">
      <c r="A10" s="22" t="s">
        <v>38</v>
      </c>
      <c r="B10" s="15">
        <v>2</v>
      </c>
      <c r="C10" s="2" t="s">
        <v>55</v>
      </c>
      <c r="D10" s="14">
        <v>4</v>
      </c>
      <c r="E10" s="14">
        <v>8</v>
      </c>
      <c r="F10" s="14">
        <v>5</v>
      </c>
      <c r="G10" s="14">
        <v>4</v>
      </c>
      <c r="H10" s="14">
        <v>4</v>
      </c>
      <c r="I10" s="14">
        <v>4</v>
      </c>
      <c r="J10" s="14" t="s">
        <v>74</v>
      </c>
      <c r="K10" s="14">
        <v>5</v>
      </c>
      <c r="L10" s="14">
        <v>4</v>
      </c>
      <c r="M10" s="14">
        <v>4</v>
      </c>
      <c r="N10" s="14">
        <v>4</v>
      </c>
      <c r="O10" s="14">
        <v>4</v>
      </c>
      <c r="P10" s="14">
        <v>4</v>
      </c>
      <c r="Q10" s="14">
        <v>6</v>
      </c>
      <c r="R10" s="11" t="str">
        <f t="shared" si="0"/>
        <v>-</v>
      </c>
    </row>
    <row r="11" spans="1:18" ht="15" customHeight="1" x14ac:dyDescent="0.25">
      <c r="A11" s="22" t="s">
        <v>38</v>
      </c>
      <c r="B11" s="15">
        <v>3</v>
      </c>
      <c r="C11" s="2" t="s">
        <v>56</v>
      </c>
      <c r="D11" s="14">
        <v>9</v>
      </c>
      <c r="E11" s="14">
        <v>9</v>
      </c>
      <c r="F11" s="14">
        <v>9</v>
      </c>
      <c r="G11" s="14">
        <v>9</v>
      </c>
      <c r="H11" s="14">
        <v>10</v>
      </c>
      <c r="I11" s="14">
        <v>10</v>
      </c>
      <c r="J11" s="14">
        <v>10</v>
      </c>
      <c r="K11" s="14">
        <v>8</v>
      </c>
      <c r="L11" s="14">
        <v>10</v>
      </c>
      <c r="M11" s="14">
        <v>9</v>
      </c>
      <c r="N11" s="14">
        <v>9</v>
      </c>
      <c r="O11" s="14">
        <v>10</v>
      </c>
      <c r="P11" s="14">
        <v>10</v>
      </c>
      <c r="Q11" s="14">
        <v>8</v>
      </c>
      <c r="R11" s="11">
        <f t="shared" si="0"/>
        <v>9.2857142857142865</v>
      </c>
    </row>
    <row r="12" spans="1:18" ht="15" customHeight="1" x14ac:dyDescent="0.25">
      <c r="A12" s="22" t="s">
        <v>38</v>
      </c>
      <c r="B12" s="15">
        <v>4</v>
      </c>
      <c r="C12" s="2" t="s">
        <v>57</v>
      </c>
      <c r="D12" s="14">
        <v>4</v>
      </c>
      <c r="E12" s="14">
        <v>5</v>
      </c>
      <c r="F12" s="14">
        <v>8</v>
      </c>
      <c r="G12" s="14">
        <v>6</v>
      </c>
      <c r="H12" s="14">
        <v>4</v>
      </c>
      <c r="I12" s="14">
        <v>5</v>
      </c>
      <c r="J12" s="14">
        <v>6</v>
      </c>
      <c r="K12" s="14">
        <v>7</v>
      </c>
      <c r="L12" s="14">
        <v>7</v>
      </c>
      <c r="M12" s="14">
        <v>5</v>
      </c>
      <c r="N12" s="14">
        <v>7</v>
      </c>
      <c r="O12" s="14">
        <v>4</v>
      </c>
      <c r="P12" s="14">
        <v>6</v>
      </c>
      <c r="Q12" s="14">
        <v>6</v>
      </c>
      <c r="R12" s="11">
        <f t="shared" si="0"/>
        <v>5.7142857142857144</v>
      </c>
    </row>
    <row r="13" spans="1:18" ht="15" customHeight="1" x14ac:dyDescent="0.25">
      <c r="A13" s="22" t="s">
        <v>38</v>
      </c>
      <c r="B13" s="15">
        <v>5</v>
      </c>
      <c r="C13" s="2" t="s">
        <v>58</v>
      </c>
      <c r="D13" s="14">
        <v>4</v>
      </c>
      <c r="E13" s="14">
        <v>5</v>
      </c>
      <c r="F13" s="14">
        <v>6</v>
      </c>
      <c r="G13" s="14">
        <v>4</v>
      </c>
      <c r="H13" s="14">
        <v>5</v>
      </c>
      <c r="I13" s="14">
        <v>7</v>
      </c>
      <c r="J13" s="14">
        <v>4</v>
      </c>
      <c r="K13" s="14">
        <v>6</v>
      </c>
      <c r="L13" s="14">
        <v>4</v>
      </c>
      <c r="M13" s="14">
        <v>4</v>
      </c>
      <c r="N13" s="14">
        <v>7</v>
      </c>
      <c r="O13" s="14">
        <v>4</v>
      </c>
      <c r="P13" s="14">
        <v>8</v>
      </c>
      <c r="Q13" s="14">
        <v>5</v>
      </c>
      <c r="R13" s="11">
        <f t="shared" si="0"/>
        <v>5.2142857142857144</v>
      </c>
    </row>
    <row r="14" spans="1:18" ht="15" customHeight="1" x14ac:dyDescent="0.25">
      <c r="A14" s="22" t="s">
        <v>38</v>
      </c>
      <c r="B14" s="15">
        <v>6</v>
      </c>
      <c r="C14" s="2" t="s">
        <v>59</v>
      </c>
      <c r="D14" s="14">
        <v>9</v>
      </c>
      <c r="E14" s="14">
        <v>9</v>
      </c>
      <c r="F14" s="14">
        <v>10</v>
      </c>
      <c r="G14" s="14">
        <v>8</v>
      </c>
      <c r="H14" s="14">
        <v>9</v>
      </c>
      <c r="I14" s="14">
        <v>9</v>
      </c>
      <c r="J14" s="14">
        <v>9</v>
      </c>
      <c r="K14" s="14">
        <v>9</v>
      </c>
      <c r="L14" s="14">
        <v>9</v>
      </c>
      <c r="M14" s="14">
        <v>9</v>
      </c>
      <c r="N14" s="14">
        <v>8</v>
      </c>
      <c r="O14" s="14">
        <v>9</v>
      </c>
      <c r="P14" s="14">
        <v>9</v>
      </c>
      <c r="Q14" s="14">
        <v>7</v>
      </c>
      <c r="R14" s="11">
        <f t="shared" si="0"/>
        <v>8.7857142857142865</v>
      </c>
    </row>
    <row r="15" spans="1:18" ht="15" customHeight="1" x14ac:dyDescent="0.25">
      <c r="A15" s="22" t="s">
        <v>38</v>
      </c>
      <c r="B15" s="15">
        <v>7</v>
      </c>
      <c r="C15" s="2" t="s">
        <v>60</v>
      </c>
      <c r="D15" s="14">
        <v>7</v>
      </c>
      <c r="E15" s="14">
        <v>6</v>
      </c>
      <c r="F15" s="14">
        <v>8</v>
      </c>
      <c r="G15" s="14">
        <v>6</v>
      </c>
      <c r="H15" s="14">
        <v>6</v>
      </c>
      <c r="I15" s="14">
        <v>7</v>
      </c>
      <c r="J15" s="14">
        <v>6</v>
      </c>
      <c r="K15" s="14">
        <v>7</v>
      </c>
      <c r="L15" s="14">
        <v>7</v>
      </c>
      <c r="M15" s="14">
        <v>6</v>
      </c>
      <c r="N15" s="14">
        <v>8</v>
      </c>
      <c r="O15" s="14">
        <v>8</v>
      </c>
      <c r="P15" s="14">
        <v>6</v>
      </c>
      <c r="Q15" s="14">
        <v>7</v>
      </c>
      <c r="R15" s="11">
        <f t="shared" si="0"/>
        <v>6.7857142857142856</v>
      </c>
    </row>
    <row r="16" spans="1:18" ht="15" customHeight="1" x14ac:dyDescent="0.25">
      <c r="A16" s="22" t="s">
        <v>38</v>
      </c>
      <c r="B16" s="15">
        <v>8</v>
      </c>
      <c r="C16" s="2" t="s">
        <v>61</v>
      </c>
      <c r="D16" s="14">
        <v>7</v>
      </c>
      <c r="E16" s="14">
        <v>10</v>
      </c>
      <c r="F16" s="14">
        <v>10</v>
      </c>
      <c r="G16" s="14">
        <v>9</v>
      </c>
      <c r="H16" s="14">
        <v>8</v>
      </c>
      <c r="I16" s="14">
        <v>7</v>
      </c>
      <c r="J16" s="14">
        <v>8</v>
      </c>
      <c r="K16" s="14">
        <v>8</v>
      </c>
      <c r="L16" s="14">
        <v>6</v>
      </c>
      <c r="M16" s="14">
        <v>9</v>
      </c>
      <c r="N16" s="14">
        <v>7</v>
      </c>
      <c r="O16" s="14">
        <v>7</v>
      </c>
      <c r="P16" s="14">
        <v>11</v>
      </c>
      <c r="Q16" s="14">
        <v>7</v>
      </c>
      <c r="R16" s="11">
        <f t="shared" si="0"/>
        <v>8.1428571428571423</v>
      </c>
    </row>
    <row r="17" spans="1:21" ht="15" customHeight="1" x14ac:dyDescent="0.25">
      <c r="A17" s="22" t="s">
        <v>38</v>
      </c>
      <c r="B17" s="15">
        <v>9</v>
      </c>
      <c r="C17" s="2" t="s">
        <v>62</v>
      </c>
      <c r="D17" s="14">
        <v>4</v>
      </c>
      <c r="E17" s="14">
        <v>6</v>
      </c>
      <c r="F17" s="14">
        <v>7</v>
      </c>
      <c r="G17" s="14">
        <v>5</v>
      </c>
      <c r="H17" s="14">
        <v>8</v>
      </c>
      <c r="I17" s="14">
        <v>8</v>
      </c>
      <c r="J17" s="14">
        <v>8</v>
      </c>
      <c r="K17" s="14">
        <v>8</v>
      </c>
      <c r="L17" s="14">
        <v>7</v>
      </c>
      <c r="M17" s="14">
        <v>6</v>
      </c>
      <c r="N17" s="14">
        <v>8</v>
      </c>
      <c r="O17" s="14">
        <v>8</v>
      </c>
      <c r="P17" s="14">
        <v>8</v>
      </c>
      <c r="Q17" s="14">
        <v>8</v>
      </c>
      <c r="R17" s="11">
        <f t="shared" si="0"/>
        <v>7.0714285714285712</v>
      </c>
    </row>
    <row r="18" spans="1:21" ht="15" customHeight="1" x14ac:dyDescent="0.25">
      <c r="A18" s="22" t="s">
        <v>38</v>
      </c>
      <c r="B18" s="22">
        <v>10</v>
      </c>
      <c r="C18" s="2" t="s">
        <v>63</v>
      </c>
      <c r="D18" s="14">
        <v>7</v>
      </c>
      <c r="E18" s="14">
        <v>4</v>
      </c>
      <c r="F18" s="14">
        <v>5</v>
      </c>
      <c r="G18" s="14">
        <v>4</v>
      </c>
      <c r="H18" s="14">
        <v>8</v>
      </c>
      <c r="I18" s="14">
        <v>5</v>
      </c>
      <c r="J18" s="14">
        <v>5</v>
      </c>
      <c r="K18" s="14">
        <v>7</v>
      </c>
      <c r="L18" s="14">
        <v>6</v>
      </c>
      <c r="M18" s="14">
        <v>4</v>
      </c>
      <c r="N18" s="14">
        <v>6</v>
      </c>
      <c r="O18" s="14">
        <v>4</v>
      </c>
      <c r="P18" s="14">
        <v>5</v>
      </c>
      <c r="Q18" s="14">
        <v>6</v>
      </c>
      <c r="R18" s="11">
        <f t="shared" ref="R18" si="1">IF(COUNTIF(D18:Q18,"=*")&gt;0,"-",(IFERROR(AVERAGE(D18:Q18),"")))</f>
        <v>5.4285714285714288</v>
      </c>
    </row>
    <row r="19" spans="1:21" ht="15" customHeight="1" x14ac:dyDescent="0.25">
      <c r="C19" s="2" t="s">
        <v>10</v>
      </c>
      <c r="D19" s="12">
        <f>IF(SUM(D9:D18)/B18=0,"",SUM(D9:D18)/B18)</f>
        <v>6.4</v>
      </c>
      <c r="E19" s="12">
        <f>IF(SUM(E9:E18)/B18=0,"",SUM(E9:E18)/B18)</f>
        <v>7.1</v>
      </c>
      <c r="F19" s="12">
        <f>IF(SUM(F9:F18)/B18=0,"",SUM(F9:F18)/B18)</f>
        <v>7.7</v>
      </c>
      <c r="G19" s="12">
        <f>IF(SUM(G9:G18)/B18=0,"",SUM(G9:G18)/B18)</f>
        <v>5.9</v>
      </c>
      <c r="H19" s="12">
        <f>IF(SUM(H9:H18)/B18=0,"",SUM(H9:H18)/B18)</f>
        <v>6.8</v>
      </c>
      <c r="I19" s="12">
        <f>IF(SUM(I9:I18)/B18=0,"",SUM(I9:I18)/B18)</f>
        <v>6.9</v>
      </c>
      <c r="J19" s="12">
        <f>IF(SUM(J9:J18)/B18=0,"",SUM(J9:J18)/B18)</f>
        <v>6.1</v>
      </c>
      <c r="K19" s="12">
        <f>IF(SUM(K9:K18)/B18=0,"",SUM(K9:K18)/B18)</f>
        <v>7.1</v>
      </c>
      <c r="L19" s="12">
        <f>IF(SUM(L9:L18)/B18=0,"",SUM(L9:L18)/B18)</f>
        <v>6.6</v>
      </c>
      <c r="M19" s="12">
        <f>IF(SUM(M9:M18)/B18=0,"",SUM(M9:M18)/B18)</f>
        <v>6.3</v>
      </c>
      <c r="N19" s="12">
        <f>IF(SUM(N9:N18)/B18=0,"",SUM(N9:N18)/B18)</f>
        <v>7.3</v>
      </c>
      <c r="O19" s="12">
        <f>IF(SUM(O9:O18)/B18=0,"",SUM(O9:O18)/B18)</f>
        <v>6.3</v>
      </c>
      <c r="P19" s="12">
        <f>IF(SUM(P9:P18)/B18=0,"",SUM(P9:P18)/B18)</f>
        <v>7.4</v>
      </c>
      <c r="Q19" s="12">
        <f>IF(SUM(Q9:Q18)/B18=0,"",SUM(Q9:Q18)/B18)</f>
        <v>6.8</v>
      </c>
      <c r="R19" s="11">
        <f>IFERROR(AVERAGE(D19:Q19),"")</f>
        <v>6.7642857142857142</v>
      </c>
    </row>
    <row r="20" spans="1:21" ht="15" customHeight="1" x14ac:dyDescent="0.25">
      <c r="C20" s="2" t="s">
        <v>11</v>
      </c>
      <c r="D20" s="13">
        <f>IF(COUNTIF(D9:D18,"&gt;=4")/B18*100=0,"",COUNTIF(D9:D18,"&gt;=4")/B18*100)</f>
        <v>100</v>
      </c>
      <c r="E20" s="13">
        <f>IF(COUNTIF(E9:E18,"&gt;=4")/B18*100=0,"",COUNTIF(E9:E18,"&gt;=4")/B18*100)</f>
        <v>100</v>
      </c>
      <c r="F20" s="13">
        <f>IF(COUNTIF(F9:F18,"&gt;=4")/B18*100=0,"",COUNTIF(F9:F18,"&gt;=4")/B18*100)</f>
        <v>100</v>
      </c>
      <c r="G20" s="13">
        <f>IF(COUNTIF(G9:G18,"&gt;=4")/B18*100=0,"",COUNTIF(G9:G18,"&gt;=4")/B18*100)</f>
        <v>100</v>
      </c>
      <c r="H20" s="13">
        <f>IF(COUNTIF(H9:H18,"&gt;=4")/B18*100=0,"",COUNTIF(H9:H18,"&gt;=4")/B18*100)</f>
        <v>100</v>
      </c>
      <c r="I20" s="13">
        <f>IF(COUNTIF(I9:I18,"&gt;=4")/B18*100=0,"",COUNTIF(I9:I18,"&gt;=4")/B18*100)</f>
        <v>100</v>
      </c>
      <c r="J20" s="13">
        <f>IF(COUNTIF(J9:J18,"&gt;=4")/B18*100=0,"",COUNTIF(J9:J18,"&gt;=4")/B18*100)</f>
        <v>90</v>
      </c>
      <c r="K20" s="13">
        <f>IF(COUNTIF(K9:K18,"&gt;=4")/B18*100=0,"",COUNTIF(K9:K18,"&gt;=4")/B18*100)</f>
        <v>100</v>
      </c>
      <c r="L20" s="13">
        <f>IF(COUNTIF(L9:L18,"&gt;=4")/B18*100=0,"",COUNTIF(L9:L18,"&gt;=4")/B18*100)</f>
        <v>100</v>
      </c>
      <c r="M20" s="13">
        <f>IF(COUNTIF(M9:M18,"&gt;=4")/B18*100=0,"",COUNTIF(M9:M18,"&gt;=4")/B18*100)</f>
        <v>100</v>
      </c>
      <c r="N20" s="13">
        <f>IF(COUNTIF(N9:N18,"&gt;=4")/B18*100=0,"",COUNTIF(N9:N18,"&gt;=4")/B18*100)</f>
        <v>100</v>
      </c>
      <c r="O20" s="13">
        <f>IF(COUNTIF(O9:O18,"&gt;=4")/B18*100=0,"",COUNTIF(O9:O18,"&gt;=4")/B18*100)</f>
        <v>100</v>
      </c>
      <c r="P20" s="13">
        <f>IF(COUNTIF(P9:P18,"&gt;=4")/B18*100=0,"",COUNTIF(P9:P18,"&gt;=4")/B18*100)</f>
        <v>100</v>
      </c>
      <c r="Q20" s="13">
        <f>IF(COUNTIF(Q9:Q18,"&gt;=4")/B18*100=0,"",COUNTIF(Q9:Q18,"&gt;=4")/B18*100)</f>
        <v>100</v>
      </c>
      <c r="R20" s="4"/>
      <c r="S20" s="4"/>
      <c r="T20" s="4"/>
      <c r="U20" s="4"/>
    </row>
    <row r="21" spans="1:21" ht="15" customHeight="1" x14ac:dyDescent="0.25">
      <c r="C21" s="2" t="s">
        <v>12</v>
      </c>
      <c r="D21" s="13">
        <f>IF(COUNTIF(D9:D18,"&gt;=7")/B18*100=0,"",COUNTIF(D9:D18,"&gt;=7")/B18*100)</f>
        <v>60</v>
      </c>
      <c r="E21" s="13">
        <f>IF(COUNTIF(E9:E18,"&gt;=7")/B18*100=0,"",COUNTIF(E9:E18,"&gt;=7")/B18*100)</f>
        <v>50</v>
      </c>
      <c r="F21" s="13">
        <f>IF(COUNTIF(F9:F18,"&gt;=7")/B18*100=0,"",COUNTIF(F9:F18,"&gt;=7")/B18*100)</f>
        <v>70</v>
      </c>
      <c r="G21" s="13">
        <f>IF(COUNTIF(G9:G18,"&gt;=7")/B18*100=0,"",COUNTIF(G9:G18,"&gt;=7")/B18*100)</f>
        <v>30</v>
      </c>
      <c r="H21" s="13">
        <f>IF(COUNTIF(H9:H18,"&gt;=7")/B18*100=0,"",COUNTIF(H9:H18,"&gt;=7")/B18*100)</f>
        <v>50</v>
      </c>
      <c r="I21" s="13">
        <f>IF(COUNTIF(I9:I18,"&gt;=7")/B18*100=0,"",COUNTIF(I9:I18,"&gt;=7")/B18*100)</f>
        <v>70</v>
      </c>
      <c r="J21" s="13">
        <f>IF(COUNTIF(J9:J18,"&gt;=7")/B18*100=0,"",COUNTIF(J9:J18,"&gt;=7")/B18*100)</f>
        <v>40</v>
      </c>
      <c r="K21" s="13">
        <f>IF(COUNTIF(K9:K18,"&gt;=7")/B18*100=0,"",COUNTIF(K9:K18,"&gt;=7")/B18*100)</f>
        <v>70</v>
      </c>
      <c r="L21" s="13">
        <f>IF(COUNTIF(L9:L18,"&gt;=7")/B18*100=0,"",COUNTIF(L9:L18,"&gt;=7")/B18*100)</f>
        <v>50</v>
      </c>
      <c r="M21" s="13">
        <f>IF(COUNTIF(M9:M18,"&gt;=7")/B18*100=0,"",COUNTIF(M9:M18,"&gt;=7")/B18*100)</f>
        <v>40</v>
      </c>
      <c r="N21" s="13">
        <f>IF(COUNTIF(N9:N18,"&gt;=7")/B18*100=0,"",COUNTIF(N9:N18,"&gt;=7")/B18*100)</f>
        <v>80</v>
      </c>
      <c r="O21" s="13">
        <f>IF(COUNTIF(O9:O18,"&gt;=7")/B18*100=0,"",COUNTIF(O9:O18,"&gt;=7")/B18*100)</f>
        <v>50</v>
      </c>
      <c r="P21" s="13">
        <f>IF(COUNTIF(P9:P18,"&gt;=7")/B18*100=0,"",COUNTIF(P9:P18,"&gt;=7")/B18*100)</f>
        <v>60</v>
      </c>
      <c r="Q21" s="13">
        <f>IF(COUNTIF(Q9:Q18,"&gt;=7")/B18*100=0,"",COUNTIF(Q9:Q18,"&gt;=7")/B18*100)</f>
        <v>60</v>
      </c>
      <c r="R21" s="4"/>
      <c r="S21" s="4"/>
      <c r="T21" s="4"/>
      <c r="U21" s="4"/>
    </row>
    <row r="22" spans="1:21" ht="15" customHeight="1" x14ac:dyDescent="0.25">
      <c r="C22" s="2" t="s">
        <v>13</v>
      </c>
      <c r="D22" s="12">
        <f>IFERROR(AVERAGE(D20:Q20),"")</f>
        <v>99.285714285714292</v>
      </c>
      <c r="R22" s="4"/>
      <c r="S22" s="4"/>
      <c r="T22" s="4"/>
      <c r="U22" s="4"/>
    </row>
    <row r="23" spans="1:21" ht="15" customHeight="1" x14ac:dyDescent="0.25">
      <c r="C23" s="2" t="s">
        <v>14</v>
      </c>
      <c r="D23" s="12">
        <f>IFERROR(AVERAGE(D21:Q21),"")</f>
        <v>55.714285714285715</v>
      </c>
      <c r="R23" s="4"/>
      <c r="S23" s="4"/>
      <c r="T23" s="4"/>
      <c r="U23" s="4"/>
    </row>
    <row r="24" spans="1:21" ht="15" customHeight="1" x14ac:dyDescent="0.25">
      <c r="C24" s="2" t="s">
        <v>15</v>
      </c>
      <c r="D24" s="14">
        <f>IF(COUNTIF(A9:A18,"=Б")=0,"",COUNTIF(A9:A18,"=Б"))</f>
        <v>10</v>
      </c>
      <c r="R24" s="4"/>
      <c r="S24" s="4"/>
      <c r="T24" s="4"/>
      <c r="U24" s="4"/>
    </row>
    <row r="25" spans="1:21" ht="15" customHeight="1" x14ac:dyDescent="0.25">
      <c r="C25" s="2" t="s">
        <v>16</v>
      </c>
      <c r="D25" s="14">
        <v>0</v>
      </c>
      <c r="F25" s="3" t="s">
        <v>19</v>
      </c>
      <c r="M25" s="3" t="s">
        <v>75</v>
      </c>
    </row>
    <row r="26" spans="1:21" ht="15" customHeight="1" x14ac:dyDescent="0.25">
      <c r="C26" s="2" t="s">
        <v>17</v>
      </c>
      <c r="D26" s="14">
        <v>0</v>
      </c>
    </row>
    <row r="27" spans="1:21" ht="15" customHeight="1" x14ac:dyDescent="0.25">
      <c r="C27" s="2" t="s">
        <v>18</v>
      </c>
      <c r="D27" s="14">
        <f>'Рейтингова відомість 172'!D21</f>
        <v>4</v>
      </c>
      <c r="F27" s="3" t="s">
        <v>20</v>
      </c>
      <c r="M27" s="3" t="s">
        <v>21</v>
      </c>
    </row>
  </sheetData>
  <sortState ref="C9:C18">
    <sortCondition ref="C9"/>
  </sortState>
  <mergeCells count="10">
    <mergeCell ref="A7:A8"/>
    <mergeCell ref="B7:B8"/>
    <mergeCell ref="C7:C8"/>
    <mergeCell ref="D7:R7"/>
    <mergeCell ref="A1:R1"/>
    <mergeCell ref="A2:R2"/>
    <mergeCell ref="A3:R3"/>
    <mergeCell ref="A4:R4"/>
    <mergeCell ref="A5:R5"/>
    <mergeCell ref="A6:R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0"/>
  <sheetViews>
    <sheetView tabSelected="1" zoomScaleNormal="100" workbookViewId="0">
      <selection sqref="A1:R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7" width="6.7109375" style="1" customWidth="1"/>
    <col min="18" max="18" width="11.28515625" style="1" customWidth="1"/>
    <col min="19" max="19" width="14.42578125" style="1"/>
    <col min="20" max="26" width="14.42578125" style="1" customWidth="1"/>
    <col min="27" max="27" width="14.85546875" style="1" customWidth="1"/>
    <col min="28" max="41" width="3.7109375" style="1" customWidth="1"/>
    <col min="42" max="55" width="5.7109375" style="1" customWidth="1"/>
    <col min="56" max="16384" width="14.42578125" style="1"/>
  </cols>
  <sheetData>
    <row r="1" spans="1:18" s="21" customFormat="1" ht="15" customHeight="1" x14ac:dyDescent="0.25">
      <c r="A1" s="35" t="s">
        <v>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</row>
    <row r="2" spans="1:18" s="21" customFormat="1" ht="15" customHeight="1" x14ac:dyDescent="0.25">
      <c r="A2" s="35" t="s">
        <v>24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s="20" customFormat="1" ht="15" customHeight="1" x14ac:dyDescent="0.25">
      <c r="A3" s="36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21" customFormat="1" ht="15" customHeight="1" x14ac:dyDescent="0.25">
      <c r="A4" s="37" t="s">
        <v>37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</row>
    <row r="5" spans="1:18" s="21" customFormat="1" ht="15" customHeight="1" x14ac:dyDescent="0.25">
      <c r="A5" s="37" t="s">
        <v>78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spans="1:18" s="21" customFormat="1" ht="15" customHeight="1" x14ac:dyDescent="0.25">
      <c r="A6" s="35" t="s">
        <v>35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</row>
    <row r="7" spans="1:18" ht="15" customHeight="1" x14ac:dyDescent="0.25">
      <c r="A7" s="32" t="s">
        <v>1</v>
      </c>
      <c r="B7" s="34" t="s">
        <v>25</v>
      </c>
      <c r="C7" s="34" t="s">
        <v>26</v>
      </c>
      <c r="D7" s="33" t="s">
        <v>2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</row>
    <row r="8" spans="1:18" ht="125.1" customHeight="1" x14ac:dyDescent="0.25">
      <c r="A8" s="33"/>
      <c r="B8" s="33"/>
      <c r="C8" s="33"/>
      <c r="D8" s="9" t="s">
        <v>6</v>
      </c>
      <c r="E8" s="9" t="s">
        <v>3</v>
      </c>
      <c r="F8" s="9" t="s">
        <v>8</v>
      </c>
      <c r="G8" s="9" t="s">
        <v>5</v>
      </c>
      <c r="H8" s="9" t="s">
        <v>27</v>
      </c>
      <c r="I8" s="9" t="s">
        <v>28</v>
      </c>
      <c r="J8" s="9" t="s">
        <v>29</v>
      </c>
      <c r="K8" s="9" t="s">
        <v>7</v>
      </c>
      <c r="L8" s="9" t="s">
        <v>4</v>
      </c>
      <c r="M8" s="9" t="s">
        <v>30</v>
      </c>
      <c r="N8" s="9" t="s">
        <v>31</v>
      </c>
      <c r="O8" s="9" t="s">
        <v>32</v>
      </c>
      <c r="P8" s="9" t="s">
        <v>22</v>
      </c>
      <c r="Q8" s="9" t="s">
        <v>33</v>
      </c>
      <c r="R8" s="10" t="s">
        <v>9</v>
      </c>
    </row>
    <row r="9" spans="1:18" ht="15" customHeight="1" x14ac:dyDescent="0.25">
      <c r="A9" s="19" t="s">
        <v>40</v>
      </c>
      <c r="B9" s="19">
        <v>1</v>
      </c>
      <c r="C9" s="2" t="s">
        <v>41</v>
      </c>
      <c r="D9" s="18">
        <v>9</v>
      </c>
      <c r="E9" s="18">
        <v>10</v>
      </c>
      <c r="F9" s="18">
        <v>10</v>
      </c>
      <c r="G9" s="18">
        <v>10</v>
      </c>
      <c r="H9" s="18">
        <v>10</v>
      </c>
      <c r="I9" s="18">
        <v>11</v>
      </c>
      <c r="J9" s="18">
        <v>8</v>
      </c>
      <c r="K9" s="18">
        <v>10</v>
      </c>
      <c r="L9" s="18">
        <v>7</v>
      </c>
      <c r="M9" s="18">
        <v>11</v>
      </c>
      <c r="N9" s="18">
        <v>9</v>
      </c>
      <c r="O9" s="18">
        <v>7</v>
      </c>
      <c r="P9" s="18">
        <v>9</v>
      </c>
      <c r="Q9" s="18">
        <v>9</v>
      </c>
      <c r="R9" s="11">
        <f t="shared" ref="R9:R20" si="0">IF(COUNTIF(D9:Q9,"=*")&gt;0,"-",(IFERROR(AVERAGE(D9:Q9),"")))</f>
        <v>9.2857142857142865</v>
      </c>
    </row>
    <row r="10" spans="1:18" ht="15" customHeight="1" x14ac:dyDescent="0.25">
      <c r="A10" s="22" t="s">
        <v>40</v>
      </c>
      <c r="B10" s="19">
        <v>2</v>
      </c>
      <c r="C10" s="2" t="s">
        <v>42</v>
      </c>
      <c r="D10" s="18">
        <v>8</v>
      </c>
      <c r="E10" s="18">
        <v>9</v>
      </c>
      <c r="F10" s="18">
        <v>10</v>
      </c>
      <c r="G10" s="18">
        <v>4</v>
      </c>
      <c r="H10" s="18">
        <v>9</v>
      </c>
      <c r="I10" s="18">
        <v>10</v>
      </c>
      <c r="J10" s="18">
        <v>6</v>
      </c>
      <c r="K10" s="18">
        <v>7</v>
      </c>
      <c r="L10" s="18">
        <v>4</v>
      </c>
      <c r="M10" s="18">
        <v>5</v>
      </c>
      <c r="N10" s="18">
        <v>8</v>
      </c>
      <c r="O10" s="18">
        <v>5</v>
      </c>
      <c r="P10" s="18">
        <v>8</v>
      </c>
      <c r="Q10" s="18">
        <v>7</v>
      </c>
      <c r="R10" s="11">
        <f t="shared" si="0"/>
        <v>7.1428571428571432</v>
      </c>
    </row>
    <row r="11" spans="1:18" ht="15" customHeight="1" x14ac:dyDescent="0.25">
      <c r="A11" s="22" t="s">
        <v>40</v>
      </c>
      <c r="B11" s="19">
        <v>3</v>
      </c>
      <c r="C11" s="2" t="s">
        <v>43</v>
      </c>
      <c r="D11" s="18">
        <v>4</v>
      </c>
      <c r="E11" s="18">
        <v>6</v>
      </c>
      <c r="F11" s="18">
        <v>7</v>
      </c>
      <c r="G11" s="18">
        <v>4</v>
      </c>
      <c r="H11" s="18">
        <v>4</v>
      </c>
      <c r="I11" s="18" t="s">
        <v>74</v>
      </c>
      <c r="J11" s="18">
        <v>6</v>
      </c>
      <c r="K11" s="18">
        <v>7</v>
      </c>
      <c r="L11" s="18">
        <v>4</v>
      </c>
      <c r="M11" s="18">
        <v>4</v>
      </c>
      <c r="N11" s="18">
        <v>4</v>
      </c>
      <c r="O11" s="18" t="s">
        <v>74</v>
      </c>
      <c r="P11" s="18">
        <v>5</v>
      </c>
      <c r="Q11" s="18">
        <v>5</v>
      </c>
      <c r="R11" s="11" t="str">
        <f t="shared" si="0"/>
        <v>-</v>
      </c>
    </row>
    <row r="12" spans="1:18" ht="15" customHeight="1" x14ac:dyDescent="0.25">
      <c r="A12" s="22" t="s">
        <v>40</v>
      </c>
      <c r="B12" s="19">
        <v>4</v>
      </c>
      <c r="C12" s="2" t="s">
        <v>44</v>
      </c>
      <c r="D12" s="18">
        <v>7</v>
      </c>
      <c r="E12" s="18">
        <v>10</v>
      </c>
      <c r="F12" s="18">
        <v>8</v>
      </c>
      <c r="G12" s="18">
        <v>9</v>
      </c>
      <c r="H12" s="18">
        <v>8</v>
      </c>
      <c r="I12" s="18">
        <v>7</v>
      </c>
      <c r="J12" s="18">
        <v>8</v>
      </c>
      <c r="K12" s="18">
        <v>8</v>
      </c>
      <c r="L12" s="18">
        <v>9</v>
      </c>
      <c r="M12" s="18">
        <v>8</v>
      </c>
      <c r="N12" s="18">
        <v>8</v>
      </c>
      <c r="O12" s="18">
        <v>8</v>
      </c>
      <c r="P12" s="18">
        <v>10</v>
      </c>
      <c r="Q12" s="18">
        <v>8</v>
      </c>
      <c r="R12" s="11">
        <f t="shared" si="0"/>
        <v>8.2857142857142865</v>
      </c>
    </row>
    <row r="13" spans="1:18" ht="15" customHeight="1" x14ac:dyDescent="0.25">
      <c r="A13" s="22" t="s">
        <v>40</v>
      </c>
      <c r="B13" s="19">
        <v>5</v>
      </c>
      <c r="C13" s="2" t="s">
        <v>45</v>
      </c>
      <c r="D13" s="18">
        <v>6</v>
      </c>
      <c r="E13" s="18">
        <v>8</v>
      </c>
      <c r="F13" s="18">
        <v>5</v>
      </c>
      <c r="G13" s="18">
        <v>5</v>
      </c>
      <c r="H13" s="18">
        <v>6</v>
      </c>
      <c r="I13" s="18">
        <v>7</v>
      </c>
      <c r="J13" s="18">
        <v>6</v>
      </c>
      <c r="K13" s="18">
        <v>7</v>
      </c>
      <c r="L13" s="18">
        <v>5</v>
      </c>
      <c r="M13" s="18">
        <v>6</v>
      </c>
      <c r="N13" s="18">
        <v>7</v>
      </c>
      <c r="O13" s="18">
        <v>4</v>
      </c>
      <c r="P13" s="18">
        <v>7</v>
      </c>
      <c r="Q13" s="18">
        <v>6</v>
      </c>
      <c r="R13" s="11">
        <f t="shared" si="0"/>
        <v>6.0714285714285712</v>
      </c>
    </row>
    <row r="14" spans="1:18" ht="15" customHeight="1" x14ac:dyDescent="0.25">
      <c r="A14" s="22" t="s">
        <v>40</v>
      </c>
      <c r="B14" s="19">
        <v>6</v>
      </c>
      <c r="C14" s="2" t="s">
        <v>46</v>
      </c>
      <c r="D14" s="18">
        <v>4</v>
      </c>
      <c r="E14" s="18">
        <v>9</v>
      </c>
      <c r="F14" s="18">
        <v>7</v>
      </c>
      <c r="G14" s="18">
        <v>4</v>
      </c>
      <c r="H14" s="18">
        <v>6</v>
      </c>
      <c r="I14" s="18">
        <v>7</v>
      </c>
      <c r="J14" s="18">
        <v>8</v>
      </c>
      <c r="K14" s="18">
        <v>8</v>
      </c>
      <c r="L14" s="18">
        <v>6</v>
      </c>
      <c r="M14" s="18">
        <v>6</v>
      </c>
      <c r="N14" s="18">
        <v>7</v>
      </c>
      <c r="O14" s="18">
        <v>5</v>
      </c>
      <c r="P14" s="18">
        <v>10</v>
      </c>
      <c r="Q14" s="18">
        <v>6</v>
      </c>
      <c r="R14" s="11">
        <f t="shared" si="0"/>
        <v>6.6428571428571432</v>
      </c>
    </row>
    <row r="15" spans="1:18" ht="15" customHeight="1" x14ac:dyDescent="0.25">
      <c r="A15" s="22" t="s">
        <v>40</v>
      </c>
      <c r="B15" s="19">
        <v>7</v>
      </c>
      <c r="C15" s="2" t="s">
        <v>47</v>
      </c>
      <c r="D15" s="18">
        <v>4</v>
      </c>
      <c r="E15" s="18">
        <v>9</v>
      </c>
      <c r="F15" s="18">
        <v>8</v>
      </c>
      <c r="G15" s="18">
        <v>5</v>
      </c>
      <c r="H15" s="18">
        <v>7</v>
      </c>
      <c r="I15" s="18">
        <v>6</v>
      </c>
      <c r="J15" s="18">
        <v>6</v>
      </c>
      <c r="K15" s="18">
        <v>8</v>
      </c>
      <c r="L15" s="18">
        <v>5</v>
      </c>
      <c r="M15" s="18">
        <v>4</v>
      </c>
      <c r="N15" s="18">
        <v>9</v>
      </c>
      <c r="O15" s="18">
        <v>3</v>
      </c>
      <c r="P15" s="18">
        <v>9</v>
      </c>
      <c r="Q15" s="18">
        <v>6</v>
      </c>
      <c r="R15" s="11">
        <f t="shared" si="0"/>
        <v>6.3571428571428568</v>
      </c>
    </row>
    <row r="16" spans="1:18" ht="15" customHeight="1" x14ac:dyDescent="0.25">
      <c r="A16" s="22" t="s">
        <v>40</v>
      </c>
      <c r="B16" s="19">
        <v>8</v>
      </c>
      <c r="C16" s="2" t="s">
        <v>48</v>
      </c>
      <c r="D16" s="18">
        <v>4</v>
      </c>
      <c r="E16" s="18">
        <v>4</v>
      </c>
      <c r="F16" s="18">
        <v>9</v>
      </c>
      <c r="G16" s="18">
        <v>5</v>
      </c>
      <c r="H16" s="18">
        <v>8</v>
      </c>
      <c r="I16" s="18">
        <v>7</v>
      </c>
      <c r="J16" s="18">
        <v>6</v>
      </c>
      <c r="K16" s="18">
        <v>7</v>
      </c>
      <c r="L16" s="18">
        <v>5</v>
      </c>
      <c r="M16" s="18">
        <v>4</v>
      </c>
      <c r="N16" s="18">
        <v>7</v>
      </c>
      <c r="O16" s="18">
        <v>4</v>
      </c>
      <c r="P16" s="18">
        <v>10</v>
      </c>
      <c r="Q16" s="18">
        <v>8</v>
      </c>
      <c r="R16" s="11">
        <f t="shared" si="0"/>
        <v>6.2857142857142856</v>
      </c>
    </row>
    <row r="17" spans="1:21" ht="15" customHeight="1" x14ac:dyDescent="0.25">
      <c r="A17" s="22" t="s">
        <v>40</v>
      </c>
      <c r="B17" s="19">
        <v>9</v>
      </c>
      <c r="C17" s="2" t="s">
        <v>49</v>
      </c>
      <c r="D17" s="18">
        <v>8</v>
      </c>
      <c r="E17" s="18">
        <v>9</v>
      </c>
      <c r="F17" s="18">
        <v>9</v>
      </c>
      <c r="G17" s="18">
        <v>8</v>
      </c>
      <c r="H17" s="18">
        <v>8</v>
      </c>
      <c r="I17" s="18">
        <v>7</v>
      </c>
      <c r="J17" s="18">
        <v>7</v>
      </c>
      <c r="K17" s="18">
        <v>8</v>
      </c>
      <c r="L17" s="18">
        <v>7</v>
      </c>
      <c r="M17" s="18">
        <v>9</v>
      </c>
      <c r="N17" s="18">
        <v>7</v>
      </c>
      <c r="O17" s="18">
        <v>4</v>
      </c>
      <c r="P17" s="18">
        <v>10</v>
      </c>
      <c r="Q17" s="18">
        <v>7</v>
      </c>
      <c r="R17" s="11">
        <f t="shared" si="0"/>
        <v>7.7142857142857144</v>
      </c>
    </row>
    <row r="18" spans="1:21" ht="15" customHeight="1" x14ac:dyDescent="0.25">
      <c r="A18" s="22" t="s">
        <v>40</v>
      </c>
      <c r="B18" s="19">
        <v>10</v>
      </c>
      <c r="C18" s="2" t="s">
        <v>50</v>
      </c>
      <c r="D18" s="18">
        <v>8</v>
      </c>
      <c r="E18" s="18">
        <v>10</v>
      </c>
      <c r="F18" s="18">
        <v>9</v>
      </c>
      <c r="G18" s="18">
        <v>9</v>
      </c>
      <c r="H18" s="18">
        <v>10</v>
      </c>
      <c r="I18" s="18">
        <v>10</v>
      </c>
      <c r="J18" s="18">
        <v>7</v>
      </c>
      <c r="K18" s="18">
        <v>8</v>
      </c>
      <c r="L18" s="18">
        <v>7</v>
      </c>
      <c r="M18" s="18">
        <v>9</v>
      </c>
      <c r="N18" s="18">
        <v>7</v>
      </c>
      <c r="O18" s="18">
        <v>8</v>
      </c>
      <c r="P18" s="18">
        <v>9</v>
      </c>
      <c r="Q18" s="18">
        <v>7</v>
      </c>
      <c r="R18" s="11">
        <f t="shared" si="0"/>
        <v>8.4285714285714288</v>
      </c>
    </row>
    <row r="19" spans="1:21" ht="15" customHeight="1" x14ac:dyDescent="0.25">
      <c r="A19" s="22" t="s">
        <v>40</v>
      </c>
      <c r="B19" s="19">
        <v>11</v>
      </c>
      <c r="C19" s="2" t="s">
        <v>51</v>
      </c>
      <c r="D19" s="18">
        <v>6</v>
      </c>
      <c r="E19" s="18">
        <v>9</v>
      </c>
      <c r="F19" s="18">
        <v>7</v>
      </c>
      <c r="G19" s="18">
        <v>8</v>
      </c>
      <c r="H19" s="18">
        <v>4</v>
      </c>
      <c r="I19" s="18">
        <v>7</v>
      </c>
      <c r="J19" s="18">
        <v>4</v>
      </c>
      <c r="K19" s="18">
        <v>6</v>
      </c>
      <c r="L19" s="18">
        <v>6</v>
      </c>
      <c r="M19" s="18">
        <v>7</v>
      </c>
      <c r="N19" s="18">
        <v>5</v>
      </c>
      <c r="O19" s="18">
        <v>4</v>
      </c>
      <c r="P19" s="18">
        <v>4</v>
      </c>
      <c r="Q19" s="18">
        <v>6</v>
      </c>
      <c r="R19" s="11">
        <f t="shared" si="0"/>
        <v>5.9285714285714288</v>
      </c>
    </row>
    <row r="20" spans="1:21" ht="15" customHeight="1" x14ac:dyDescent="0.25">
      <c r="A20" s="22" t="s">
        <v>40</v>
      </c>
      <c r="B20" s="19">
        <v>12</v>
      </c>
      <c r="C20" s="2" t="s">
        <v>52</v>
      </c>
      <c r="D20" s="18">
        <v>10</v>
      </c>
      <c r="E20" s="18">
        <v>10</v>
      </c>
      <c r="F20" s="18">
        <v>10</v>
      </c>
      <c r="G20" s="18">
        <v>9</v>
      </c>
      <c r="H20" s="18">
        <v>9</v>
      </c>
      <c r="I20" s="18">
        <v>5</v>
      </c>
      <c r="J20" s="18">
        <v>8</v>
      </c>
      <c r="K20" s="18">
        <v>8</v>
      </c>
      <c r="L20" s="18">
        <v>6</v>
      </c>
      <c r="M20" s="18">
        <v>8</v>
      </c>
      <c r="N20" s="18">
        <v>9</v>
      </c>
      <c r="O20" s="18">
        <v>8</v>
      </c>
      <c r="P20" s="18">
        <v>8</v>
      </c>
      <c r="Q20" s="18">
        <v>8</v>
      </c>
      <c r="R20" s="11">
        <f t="shared" si="0"/>
        <v>8.2857142857142865</v>
      </c>
    </row>
    <row r="21" spans="1:21" ht="15" customHeight="1" x14ac:dyDescent="0.25">
      <c r="A21" s="22" t="s">
        <v>40</v>
      </c>
      <c r="B21" s="22">
        <v>13</v>
      </c>
      <c r="C21" s="2" t="s">
        <v>53</v>
      </c>
      <c r="D21" s="18">
        <v>9</v>
      </c>
      <c r="E21" s="18">
        <v>10</v>
      </c>
      <c r="F21" s="18">
        <v>10</v>
      </c>
      <c r="G21" s="18">
        <v>11</v>
      </c>
      <c r="H21" s="18">
        <v>9</v>
      </c>
      <c r="I21" s="18">
        <v>4</v>
      </c>
      <c r="J21" s="18">
        <v>6</v>
      </c>
      <c r="K21" s="18">
        <v>8</v>
      </c>
      <c r="L21" s="18">
        <v>6</v>
      </c>
      <c r="M21" s="18">
        <v>11</v>
      </c>
      <c r="N21" s="18">
        <v>8</v>
      </c>
      <c r="O21" s="18">
        <v>5</v>
      </c>
      <c r="P21" s="18">
        <v>7</v>
      </c>
      <c r="Q21" s="18">
        <v>6</v>
      </c>
      <c r="R21" s="11">
        <f t="shared" ref="R21" si="1">IF(COUNTIF(D21:Q21,"=*")&gt;0,"-",(IFERROR(AVERAGE(D21:Q21),"")))</f>
        <v>7.8571428571428568</v>
      </c>
    </row>
    <row r="22" spans="1:21" ht="15" customHeight="1" x14ac:dyDescent="0.25">
      <c r="C22" s="2" t="s">
        <v>10</v>
      </c>
      <c r="D22" s="12">
        <f>IF(SUM(D9:D21)/B21=0,"",SUM(D9:D21)/B21)</f>
        <v>6.6923076923076925</v>
      </c>
      <c r="E22" s="12">
        <f>IF(SUM(E9:E21)/B21=0,"",SUM(E9:E21)/B21)</f>
        <v>8.6923076923076916</v>
      </c>
      <c r="F22" s="12">
        <f>IF(SUM(F9:F21)/B21=0,"",SUM(F9:F21)/B21)</f>
        <v>8.384615384615385</v>
      </c>
      <c r="G22" s="12">
        <f>IF(SUM(G9:G21)/B21=0,"",SUM(G9:G21)/B21)</f>
        <v>7</v>
      </c>
      <c r="H22" s="12">
        <f>IF(SUM(H9:H21)/B21=0,"",SUM(H9:H21)/B21)</f>
        <v>7.5384615384615383</v>
      </c>
      <c r="I22" s="12">
        <f>IF(SUM(I9:I21)/B21=0,"",SUM(I9:I21)/B21)</f>
        <v>6.7692307692307692</v>
      </c>
      <c r="J22" s="12">
        <f>IF(SUM(J9:J21)/B21=0,"",SUM(J9:J21)/B21)</f>
        <v>6.615384615384615</v>
      </c>
      <c r="K22" s="12">
        <f>IF(SUM(K9:K21)/B21=0,"",SUM(K9:K21)/B21)</f>
        <v>7.6923076923076925</v>
      </c>
      <c r="L22" s="12">
        <f>IF(SUM(L9:L21)/B21=0,"",SUM(L9:L21)/B21)</f>
        <v>5.9230769230769234</v>
      </c>
      <c r="M22" s="12">
        <f>IF(SUM(M9:M21)/B21=0,"",SUM(M9:M21)/B21)</f>
        <v>7.0769230769230766</v>
      </c>
      <c r="N22" s="12">
        <f>IF(SUM(N9:N21)/B21=0,"",SUM(N9:N21)/B21)</f>
        <v>7.3076923076923075</v>
      </c>
      <c r="O22" s="12">
        <f>IF(SUM(O9:O21)/B21=0,"",SUM(O9:O21)/B21)</f>
        <v>5</v>
      </c>
      <c r="P22" s="12">
        <f>IF(SUM(P9:P21)/B21=0,"",SUM(P9:P21)/B21)</f>
        <v>8.1538461538461533</v>
      </c>
      <c r="Q22" s="12">
        <f>IF(SUM(Q9:Q21)/B21=0,"",SUM(Q9:Q21)/B21)</f>
        <v>6.8461538461538458</v>
      </c>
      <c r="R22" s="11">
        <f>IFERROR(AVERAGE(D22:Q22),"")</f>
        <v>7.1208791208791196</v>
      </c>
    </row>
    <row r="23" spans="1:21" ht="15" customHeight="1" x14ac:dyDescent="0.25">
      <c r="C23" s="2" t="s">
        <v>11</v>
      </c>
      <c r="D23" s="13">
        <f>IF(COUNTIF(D9:D21,"&gt;=4")/B21*100=0,"",COUNTIF(D9:D21,"&gt;=4")/B21*100)</f>
        <v>100</v>
      </c>
      <c r="E23" s="13">
        <f>IF(COUNTIF(E9:E21,"&gt;=4")/B21*100=0,"",COUNTIF(E9:E21,"&gt;=4")/B21*100)</f>
        <v>100</v>
      </c>
      <c r="F23" s="13">
        <f>IF(COUNTIF(F9:F21,"&gt;=4")/B21*100=0,"",COUNTIF(F9:F21,"&gt;=4")/B21*100)</f>
        <v>100</v>
      </c>
      <c r="G23" s="13">
        <f>IF(COUNTIF(G9:G21,"&gt;=4")/B21*100=0,"",COUNTIF(G9:G21,"&gt;=4")/B21*100)</f>
        <v>100</v>
      </c>
      <c r="H23" s="13">
        <f>IF(COUNTIF(H9:H21,"&gt;=4")/B21*100=0,"",COUNTIF(H9:H21,"&gt;=4")/B21*100)</f>
        <v>100</v>
      </c>
      <c r="I23" s="13">
        <f>IF(COUNTIF(I9:I21,"&gt;=4")/B21*100=0,"",COUNTIF(I9:I21,"&gt;=4")/B21*100)</f>
        <v>92.307692307692307</v>
      </c>
      <c r="J23" s="13">
        <f>IF(COUNTIF(J9:J21,"&gt;=4")/B21*100=0,"",COUNTIF(J9:J21,"&gt;=4")/B21*100)</f>
        <v>100</v>
      </c>
      <c r="K23" s="13">
        <f>IF(COUNTIF(K9:K21,"&gt;=4")/B21*100=0,"",COUNTIF(K9:K21,"&gt;=4")/B21*100)</f>
        <v>100</v>
      </c>
      <c r="L23" s="13">
        <f>IF(COUNTIF(L9:L21,"&gt;=4")/B21*100=0,"",COUNTIF(L9:L21,"&gt;=4")/B21*100)</f>
        <v>100</v>
      </c>
      <c r="M23" s="13">
        <f>IF(COUNTIF(M9:M21,"&gt;=4")/B21*100=0,"",COUNTIF(M9:M21,"&gt;=4")/B21*100)</f>
        <v>100</v>
      </c>
      <c r="N23" s="13">
        <f>IF(COUNTIF(N9:N21,"&gt;=4")/B21*100=0,"",COUNTIF(N9:N21,"&gt;=4")/B21*100)</f>
        <v>100</v>
      </c>
      <c r="O23" s="13">
        <f>IF(COUNTIF(O9:O21,"&gt;=4")/B21*100=0,"",COUNTIF(O9:O21,"&gt;=4")/B21*100)</f>
        <v>84.615384615384613</v>
      </c>
      <c r="P23" s="13">
        <f>IF(COUNTIF(P9:P21,"&gt;=4")/B21*100=0,"",COUNTIF(P9:P21,"&gt;=4")/B21*100)</f>
        <v>100</v>
      </c>
      <c r="Q23" s="13">
        <f>IF(COUNTIF(Q9:Q21,"&gt;=4")/B21*100=0,"",COUNTIF(Q9:Q21,"&gt;=4")/B21*100)</f>
        <v>100</v>
      </c>
      <c r="R23" s="4"/>
      <c r="S23" s="4"/>
      <c r="T23" s="4"/>
      <c r="U23" s="4"/>
    </row>
    <row r="24" spans="1:21" ht="15" customHeight="1" x14ac:dyDescent="0.25">
      <c r="C24" s="2" t="s">
        <v>12</v>
      </c>
      <c r="D24" s="13">
        <f>IF(COUNTIF(D9:D21,"&gt;=7")/B21*100=0,"",COUNTIF(D9:D21,"&gt;=7")/B21*100)</f>
        <v>53.846153846153847</v>
      </c>
      <c r="E24" s="13">
        <f>IF(COUNTIF(E9:E21,"&gt;=7")/B21*100=0,"",COUNTIF(E9:E21,"&gt;=7")/B21*100)</f>
        <v>84.615384615384613</v>
      </c>
      <c r="F24" s="13">
        <f>IF(COUNTIF(F9:F21,"&gt;=7")/B21*100=0,"",COUNTIF(F9:F21,"&gt;=7")/B21*100)</f>
        <v>92.307692307692307</v>
      </c>
      <c r="G24" s="13">
        <f>IF(COUNTIF(G9:G21,"&gt;=7")/B21*100=0,"",COUNTIF(G9:G21,"&gt;=7")/B21*100)</f>
        <v>53.846153846153847</v>
      </c>
      <c r="H24" s="13">
        <f>IF(COUNTIF(H9:H21,"&gt;=7")/B21*100=0,"",COUNTIF(H9:H21,"&gt;=7")/B21*100)</f>
        <v>69.230769230769226</v>
      </c>
      <c r="I24" s="13">
        <f>IF(COUNTIF(I9:I21,"&gt;=7")/B21*100=0,"",COUNTIF(I9:I21,"&gt;=7")/B21*100)</f>
        <v>69.230769230769226</v>
      </c>
      <c r="J24" s="13">
        <f>IF(COUNTIF(J9:J21,"&gt;=7")/B21*100=0,"",COUNTIF(J9:J21,"&gt;=7")/B21*100)</f>
        <v>46.153846153846153</v>
      </c>
      <c r="K24" s="13">
        <f>IF(COUNTIF(K9:K21,"&gt;=7")/B21*100=0,"",COUNTIF(K9:K21,"&gt;=7")/B21*100)</f>
        <v>92.307692307692307</v>
      </c>
      <c r="L24" s="13">
        <f>IF(COUNTIF(L9:L21,"&gt;=7")/B21*100=0,"",COUNTIF(L9:L21,"&gt;=7")/B21*100)</f>
        <v>30.76923076923077</v>
      </c>
      <c r="M24" s="13">
        <f>IF(COUNTIF(M9:M21,"&gt;=7")/B21*100=0,"",COUNTIF(M9:M21,"&gt;=7")/B21*100)</f>
        <v>53.846153846153847</v>
      </c>
      <c r="N24" s="13">
        <f>IF(COUNTIF(N9:N21,"&gt;=7")/B21*100=0,"",COUNTIF(N9:N21,"&gt;=7")/B21*100)</f>
        <v>84.615384615384613</v>
      </c>
      <c r="O24" s="13">
        <f>IF(COUNTIF(O9:O21,"&gt;=7")/B21*100=0,"",COUNTIF(O9:O21,"&gt;=7")/B21*100)</f>
        <v>30.76923076923077</v>
      </c>
      <c r="P24" s="13">
        <f>IF(COUNTIF(P9:P21,"&gt;=7")/B21*100=0,"",COUNTIF(P9:P21,"&gt;=7")/B21*100)</f>
        <v>84.615384615384613</v>
      </c>
      <c r="Q24" s="13">
        <f>IF(COUNTIF(Q9:Q21,"&gt;=7")/B21*100=0,"",COUNTIF(Q9:Q21,"&gt;=7")/B21*100)</f>
        <v>53.846153846153847</v>
      </c>
      <c r="R24" s="4"/>
      <c r="S24" s="4"/>
      <c r="T24" s="4"/>
      <c r="U24" s="4"/>
    </row>
    <row r="25" spans="1:21" ht="15" customHeight="1" x14ac:dyDescent="0.25">
      <c r="C25" s="2" t="s">
        <v>13</v>
      </c>
      <c r="D25" s="12">
        <f>IFERROR(AVERAGE(D23:Q23),"")</f>
        <v>98.35164835164835</v>
      </c>
      <c r="R25" s="4"/>
      <c r="S25" s="4"/>
      <c r="T25" s="4"/>
      <c r="U25" s="4"/>
    </row>
    <row r="26" spans="1:21" ht="15" customHeight="1" x14ac:dyDescent="0.25">
      <c r="C26" s="2" t="s">
        <v>14</v>
      </c>
      <c r="D26" s="12">
        <f>IFERROR(AVERAGE(D24:Q24),"")</f>
        <v>64.285714285714278</v>
      </c>
      <c r="R26" s="4"/>
      <c r="S26" s="4"/>
      <c r="T26" s="4"/>
      <c r="U26" s="4"/>
    </row>
    <row r="27" spans="1:21" ht="15" customHeight="1" x14ac:dyDescent="0.25">
      <c r="C27" s="2" t="s">
        <v>15</v>
      </c>
      <c r="D27" s="18">
        <v>0</v>
      </c>
      <c r="R27" s="4"/>
      <c r="S27" s="4"/>
      <c r="T27" s="4"/>
      <c r="U27" s="4"/>
    </row>
    <row r="28" spans="1:21" ht="15" customHeight="1" x14ac:dyDescent="0.25">
      <c r="C28" s="2" t="s">
        <v>16</v>
      </c>
      <c r="D28" s="18">
        <f>IF(COUNTIF(A9:A21,"=К")=0,"",COUNTIF(A9:A21,"=К"))</f>
        <v>13</v>
      </c>
      <c r="F28" s="3" t="s">
        <v>19</v>
      </c>
      <c r="M28" s="3" t="s">
        <v>75</v>
      </c>
    </row>
    <row r="29" spans="1:21" ht="15" customHeight="1" x14ac:dyDescent="0.25">
      <c r="C29" s="2" t="s">
        <v>17</v>
      </c>
      <c r="D29" s="18"/>
    </row>
    <row r="30" spans="1:21" ht="15" customHeight="1" x14ac:dyDescent="0.25">
      <c r="C30" s="2" t="s">
        <v>18</v>
      </c>
      <c r="D30" s="18">
        <f>IFERROR(INT(D27/100*40),"")</f>
        <v>0</v>
      </c>
      <c r="F30" s="3" t="s">
        <v>20</v>
      </c>
      <c r="M30" s="3" t="s">
        <v>21</v>
      </c>
    </row>
  </sheetData>
  <sortState ref="C9:C21">
    <sortCondition ref="C9"/>
  </sortState>
  <mergeCells count="10">
    <mergeCell ref="A7:A8"/>
    <mergeCell ref="B7:B8"/>
    <mergeCell ref="C7:C8"/>
    <mergeCell ref="D7:R7"/>
    <mergeCell ref="A1:R1"/>
    <mergeCell ref="A2:R2"/>
    <mergeCell ref="A3:R3"/>
    <mergeCell ref="A4:R4"/>
    <mergeCell ref="A5:R5"/>
    <mergeCell ref="A6:R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1"/>
  <sheetViews>
    <sheetView zoomScaleNormal="100" workbookViewId="0">
      <selection sqref="A1:T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7" width="6.7109375" style="1" customWidth="1"/>
    <col min="18" max="18" width="11.28515625" style="1" customWidth="1"/>
    <col min="19" max="19" width="8.7109375" style="1" customWidth="1"/>
    <col min="20" max="26" width="14.42578125" style="1" customWidth="1"/>
    <col min="27" max="27" width="14.85546875" style="1" customWidth="1"/>
    <col min="28" max="41" width="3.7109375" style="1" customWidth="1"/>
    <col min="42" max="55" width="5.7109375" style="1" customWidth="1"/>
    <col min="56" max="16384" width="14.42578125" style="1"/>
  </cols>
  <sheetData>
    <row r="1" spans="1:20" s="31" customFormat="1" ht="15" customHeight="1" x14ac:dyDescent="0.25">
      <c r="A1" s="35" t="s">
        <v>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0" s="31" customFormat="1" ht="15" customHeight="1" x14ac:dyDescent="0.25">
      <c r="A2" s="35" t="s">
        <v>24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</row>
    <row r="3" spans="1:20" s="30" customFormat="1" ht="15" customHeight="1" x14ac:dyDescent="0.25">
      <c r="A3" s="36" t="s">
        <v>77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</row>
    <row r="4" spans="1:20" s="31" customFormat="1" ht="15" customHeight="1" x14ac:dyDescent="0.25">
      <c r="A4" s="37" t="s">
        <v>34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0" s="31" customFormat="1" ht="15" customHeight="1" x14ac:dyDescent="0.25">
      <c r="A5" s="37" t="s">
        <v>78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</row>
    <row r="6" spans="1:20" s="31" customFormat="1" ht="15" customHeight="1" x14ac:dyDescent="0.25">
      <c r="A6" s="35" t="s">
        <v>35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1:20" ht="15" customHeight="1" x14ac:dyDescent="0.25">
      <c r="A7" s="32" t="s">
        <v>1</v>
      </c>
      <c r="B7" s="34" t="s">
        <v>25</v>
      </c>
      <c r="C7" s="34" t="s">
        <v>26</v>
      </c>
      <c r="D7" s="33" t="s">
        <v>2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8"/>
    </row>
    <row r="8" spans="1:20" ht="125.1" customHeight="1" x14ac:dyDescent="0.25">
      <c r="A8" s="33"/>
      <c r="B8" s="33"/>
      <c r="C8" s="33"/>
      <c r="D8" s="9" t="s">
        <v>6</v>
      </c>
      <c r="E8" s="9" t="s">
        <v>3</v>
      </c>
      <c r="F8" s="9" t="s">
        <v>8</v>
      </c>
      <c r="G8" s="9" t="s">
        <v>5</v>
      </c>
      <c r="H8" s="9" t="s">
        <v>27</v>
      </c>
      <c r="I8" s="9" t="s">
        <v>28</v>
      </c>
      <c r="J8" s="9" t="s">
        <v>29</v>
      </c>
      <c r="K8" s="9" t="s">
        <v>7</v>
      </c>
      <c r="L8" s="9" t="s">
        <v>4</v>
      </c>
      <c r="M8" s="9" t="s">
        <v>30</v>
      </c>
      <c r="N8" s="9" t="s">
        <v>31</v>
      </c>
      <c r="O8" s="9" t="s">
        <v>32</v>
      </c>
      <c r="P8" s="9" t="s">
        <v>22</v>
      </c>
      <c r="Q8" s="9" t="s">
        <v>33</v>
      </c>
      <c r="R8" s="10" t="s">
        <v>9</v>
      </c>
      <c r="S8" s="10" t="s">
        <v>76</v>
      </c>
    </row>
    <row r="9" spans="1:20" ht="15" customHeight="1" x14ac:dyDescent="0.25">
      <c r="A9" s="24" t="s">
        <v>38</v>
      </c>
      <c r="B9" s="24">
        <v>1</v>
      </c>
      <c r="C9" s="25" t="s">
        <v>65</v>
      </c>
      <c r="D9" s="26">
        <v>9</v>
      </c>
      <c r="E9" s="26">
        <v>10</v>
      </c>
      <c r="F9" s="26">
        <v>10</v>
      </c>
      <c r="G9" s="26">
        <v>11</v>
      </c>
      <c r="H9" s="26">
        <v>10</v>
      </c>
      <c r="I9" s="26">
        <v>11</v>
      </c>
      <c r="J9" s="26">
        <v>9</v>
      </c>
      <c r="K9" s="26">
        <v>10</v>
      </c>
      <c r="L9" s="26">
        <v>9</v>
      </c>
      <c r="M9" s="26">
        <v>11</v>
      </c>
      <c r="N9" s="26">
        <v>9</v>
      </c>
      <c r="O9" s="26">
        <v>9</v>
      </c>
      <c r="P9" s="26">
        <v>11</v>
      </c>
      <c r="Q9" s="26">
        <v>10</v>
      </c>
      <c r="R9" s="27">
        <f>IF(COUNTIF(D9:Q9,"=*")&gt;0,"-",(IFERROR(AVERAGE(D9:Q9),"")))</f>
        <v>9.9285714285714288</v>
      </c>
      <c r="S9" s="27">
        <f>R9*90/12</f>
        <v>74.464285714285708</v>
      </c>
    </row>
    <row r="10" spans="1:20" ht="15" customHeight="1" x14ac:dyDescent="0.25">
      <c r="A10" s="24" t="s">
        <v>38</v>
      </c>
      <c r="B10" s="24">
        <v>2</v>
      </c>
      <c r="C10" s="25" t="s">
        <v>71</v>
      </c>
      <c r="D10" s="26">
        <v>9</v>
      </c>
      <c r="E10" s="26">
        <v>10</v>
      </c>
      <c r="F10" s="26">
        <v>9</v>
      </c>
      <c r="G10" s="26">
        <v>10</v>
      </c>
      <c r="H10" s="26">
        <v>10</v>
      </c>
      <c r="I10" s="26">
        <v>10</v>
      </c>
      <c r="J10" s="26">
        <v>9</v>
      </c>
      <c r="K10" s="26">
        <v>8</v>
      </c>
      <c r="L10" s="26">
        <v>9</v>
      </c>
      <c r="M10" s="26">
        <v>11</v>
      </c>
      <c r="N10" s="26">
        <v>7</v>
      </c>
      <c r="O10" s="26">
        <v>10</v>
      </c>
      <c r="P10" s="26">
        <v>9</v>
      </c>
      <c r="Q10" s="26">
        <v>9</v>
      </c>
      <c r="R10" s="27">
        <f>IF(COUNTIF(D10:Q10,"=*")&gt;0,"-",(IFERROR(AVERAGE(D10:Q10),"")))</f>
        <v>9.2857142857142865</v>
      </c>
      <c r="S10" s="27">
        <f t="shared" ref="S10:S17" si="0">R10*90/12</f>
        <v>69.642857142857153</v>
      </c>
    </row>
    <row r="11" spans="1:20" ht="15" customHeight="1" x14ac:dyDescent="0.25">
      <c r="A11" s="24" t="s">
        <v>38</v>
      </c>
      <c r="B11" s="24">
        <v>3</v>
      </c>
      <c r="C11" s="25" t="s">
        <v>68</v>
      </c>
      <c r="D11" s="26">
        <v>10</v>
      </c>
      <c r="E11" s="26">
        <v>10</v>
      </c>
      <c r="F11" s="26">
        <v>10</v>
      </c>
      <c r="G11" s="26">
        <v>11</v>
      </c>
      <c r="H11" s="26">
        <v>10</v>
      </c>
      <c r="I11" s="26">
        <v>8</v>
      </c>
      <c r="J11" s="26">
        <v>8</v>
      </c>
      <c r="K11" s="26">
        <v>8</v>
      </c>
      <c r="L11" s="26">
        <v>7</v>
      </c>
      <c r="M11" s="26">
        <v>11</v>
      </c>
      <c r="N11" s="26">
        <v>10</v>
      </c>
      <c r="O11" s="26">
        <v>8</v>
      </c>
      <c r="P11" s="26">
        <v>9</v>
      </c>
      <c r="Q11" s="26">
        <v>8</v>
      </c>
      <c r="R11" s="27">
        <f>IF(COUNTIF(D11:Q11,"=*")&gt;0,"-",(IFERROR(AVERAGE(D11:Q11),"")))</f>
        <v>9.1428571428571423</v>
      </c>
      <c r="S11" s="27">
        <f t="shared" si="0"/>
        <v>68.571428571428569</v>
      </c>
    </row>
    <row r="12" spans="1:20" ht="15" customHeight="1" x14ac:dyDescent="0.25">
      <c r="A12" s="24" t="s">
        <v>38</v>
      </c>
      <c r="B12" s="24">
        <v>4</v>
      </c>
      <c r="C12" s="25" t="s">
        <v>64</v>
      </c>
      <c r="D12" s="26">
        <v>9</v>
      </c>
      <c r="E12" s="26">
        <v>9</v>
      </c>
      <c r="F12" s="26">
        <v>10</v>
      </c>
      <c r="G12" s="26">
        <v>11</v>
      </c>
      <c r="H12" s="26">
        <v>10</v>
      </c>
      <c r="I12" s="26">
        <v>9</v>
      </c>
      <c r="J12" s="26">
        <v>7</v>
      </c>
      <c r="K12" s="26">
        <v>8</v>
      </c>
      <c r="L12" s="26">
        <v>7</v>
      </c>
      <c r="M12" s="26">
        <v>11</v>
      </c>
      <c r="N12" s="26">
        <v>9</v>
      </c>
      <c r="O12" s="26">
        <v>9</v>
      </c>
      <c r="P12" s="26">
        <v>11</v>
      </c>
      <c r="Q12" s="26">
        <v>7</v>
      </c>
      <c r="R12" s="27">
        <f>IF(COUNTIF(D12:Q12,"=*")&gt;0,"-",(IFERROR(AVERAGE(D12:Q12),"")))</f>
        <v>9.0714285714285712</v>
      </c>
      <c r="S12" s="27">
        <f t="shared" si="0"/>
        <v>68.035714285714292</v>
      </c>
    </row>
    <row r="13" spans="1:20" ht="15" customHeight="1" x14ac:dyDescent="0.25">
      <c r="A13" s="29" t="s">
        <v>38</v>
      </c>
      <c r="B13" s="29">
        <v>5</v>
      </c>
      <c r="C13" s="2" t="s">
        <v>67</v>
      </c>
      <c r="D13" s="28">
        <v>10</v>
      </c>
      <c r="E13" s="28">
        <v>10</v>
      </c>
      <c r="F13" s="28">
        <v>10</v>
      </c>
      <c r="G13" s="28">
        <v>9</v>
      </c>
      <c r="H13" s="28">
        <v>9</v>
      </c>
      <c r="I13" s="28">
        <v>7</v>
      </c>
      <c r="J13" s="28">
        <v>7</v>
      </c>
      <c r="K13" s="28">
        <v>10</v>
      </c>
      <c r="L13" s="28">
        <v>5</v>
      </c>
      <c r="M13" s="28">
        <v>9</v>
      </c>
      <c r="N13" s="28">
        <v>8</v>
      </c>
      <c r="O13" s="28">
        <v>6</v>
      </c>
      <c r="P13" s="28">
        <v>10</v>
      </c>
      <c r="Q13" s="28">
        <v>8</v>
      </c>
      <c r="R13" s="23">
        <f>IF(COUNTIF(D13:Q13,"=*")&gt;0,"-",(IFERROR(AVERAGE(D13:Q13),"")))</f>
        <v>8.4285714285714288</v>
      </c>
      <c r="S13" s="23">
        <f t="shared" si="0"/>
        <v>63.214285714285715</v>
      </c>
    </row>
    <row r="14" spans="1:20" ht="15" customHeight="1" x14ac:dyDescent="0.25">
      <c r="A14" s="29" t="s">
        <v>38</v>
      </c>
      <c r="B14" s="29">
        <v>6</v>
      </c>
      <c r="C14" s="2" t="s">
        <v>69</v>
      </c>
      <c r="D14" s="28">
        <v>8</v>
      </c>
      <c r="E14" s="28">
        <v>10</v>
      </c>
      <c r="F14" s="28">
        <v>9</v>
      </c>
      <c r="G14" s="28">
        <v>8</v>
      </c>
      <c r="H14" s="28">
        <v>10</v>
      </c>
      <c r="I14" s="28">
        <v>7</v>
      </c>
      <c r="J14" s="28">
        <v>8</v>
      </c>
      <c r="K14" s="28">
        <v>8</v>
      </c>
      <c r="L14" s="28">
        <v>9</v>
      </c>
      <c r="M14" s="28">
        <v>8</v>
      </c>
      <c r="N14" s="28">
        <v>8</v>
      </c>
      <c r="O14" s="28">
        <v>9</v>
      </c>
      <c r="P14" s="28">
        <v>9</v>
      </c>
      <c r="Q14" s="28">
        <v>6</v>
      </c>
      <c r="R14" s="23">
        <f>IF(COUNTIF(D14:Q14,"=*")&gt;0,"-",(IFERROR(AVERAGE(D14:Q14),"")))</f>
        <v>8.3571428571428577</v>
      </c>
      <c r="S14" s="23">
        <f t="shared" si="0"/>
        <v>62.678571428571438</v>
      </c>
    </row>
    <row r="15" spans="1:20" ht="15" customHeight="1" x14ac:dyDescent="0.25">
      <c r="A15" s="29" t="s">
        <v>38</v>
      </c>
      <c r="B15" s="29">
        <v>7</v>
      </c>
      <c r="C15" s="2" t="s">
        <v>66</v>
      </c>
      <c r="D15" s="28">
        <v>9</v>
      </c>
      <c r="E15" s="28">
        <v>8</v>
      </c>
      <c r="F15" s="28">
        <v>8</v>
      </c>
      <c r="G15" s="28">
        <v>7</v>
      </c>
      <c r="H15" s="28">
        <v>6</v>
      </c>
      <c r="I15" s="28">
        <v>7</v>
      </c>
      <c r="J15" s="28">
        <v>6</v>
      </c>
      <c r="K15" s="28">
        <v>7</v>
      </c>
      <c r="L15" s="28">
        <v>7</v>
      </c>
      <c r="M15" s="28">
        <v>7</v>
      </c>
      <c r="N15" s="28">
        <v>8</v>
      </c>
      <c r="O15" s="28">
        <v>4</v>
      </c>
      <c r="P15" s="28">
        <v>6</v>
      </c>
      <c r="Q15" s="28">
        <v>6</v>
      </c>
      <c r="R15" s="23">
        <f>IF(COUNTIF(D15:Q15,"=*")&gt;0,"-",(IFERROR(AVERAGE(D15:Q15),"")))</f>
        <v>6.8571428571428568</v>
      </c>
      <c r="S15" s="23">
        <f t="shared" si="0"/>
        <v>51.428571428571423</v>
      </c>
    </row>
    <row r="16" spans="1:20" ht="15" customHeight="1" x14ac:dyDescent="0.25">
      <c r="A16" s="29" t="s">
        <v>38</v>
      </c>
      <c r="B16" s="29">
        <v>8</v>
      </c>
      <c r="C16" s="2" t="s">
        <v>70</v>
      </c>
      <c r="D16" s="28">
        <v>7</v>
      </c>
      <c r="E16" s="28">
        <v>10</v>
      </c>
      <c r="F16" s="28">
        <v>9</v>
      </c>
      <c r="G16" s="28">
        <v>6</v>
      </c>
      <c r="H16" s="28">
        <v>6</v>
      </c>
      <c r="I16" s="28">
        <v>4</v>
      </c>
      <c r="J16" s="28">
        <v>6</v>
      </c>
      <c r="K16" s="28">
        <v>6</v>
      </c>
      <c r="L16" s="28">
        <v>4</v>
      </c>
      <c r="M16" s="28">
        <v>6</v>
      </c>
      <c r="N16" s="28">
        <v>8</v>
      </c>
      <c r="O16" s="28">
        <v>4</v>
      </c>
      <c r="P16" s="28">
        <v>7</v>
      </c>
      <c r="Q16" s="28">
        <v>8</v>
      </c>
      <c r="R16" s="23">
        <f>IF(COUNTIF(D16:Q16,"=*")&gt;0,"-",(IFERROR(AVERAGE(D16:Q16),"")))</f>
        <v>6.5</v>
      </c>
      <c r="S16" s="23">
        <f t="shared" si="0"/>
        <v>48.75</v>
      </c>
    </row>
    <row r="17" spans="1:21" ht="15" customHeight="1" x14ac:dyDescent="0.25">
      <c r="A17" s="29" t="s">
        <v>38</v>
      </c>
      <c r="B17" s="29">
        <v>9</v>
      </c>
      <c r="C17" s="2" t="s">
        <v>72</v>
      </c>
      <c r="D17" s="28">
        <v>7</v>
      </c>
      <c r="E17" s="28">
        <v>9</v>
      </c>
      <c r="F17" s="28">
        <v>6</v>
      </c>
      <c r="G17" s="28">
        <v>4</v>
      </c>
      <c r="H17" s="28">
        <v>7</v>
      </c>
      <c r="I17" s="28">
        <v>4</v>
      </c>
      <c r="J17" s="28">
        <v>6</v>
      </c>
      <c r="K17" s="28">
        <v>7</v>
      </c>
      <c r="L17" s="28">
        <v>6</v>
      </c>
      <c r="M17" s="28">
        <v>4</v>
      </c>
      <c r="N17" s="28">
        <v>6</v>
      </c>
      <c r="O17" s="28">
        <v>4</v>
      </c>
      <c r="P17" s="28">
        <v>7</v>
      </c>
      <c r="Q17" s="28">
        <v>5</v>
      </c>
      <c r="R17" s="23">
        <f>IF(COUNTIF(D17:Q17,"=*")&gt;0,"-",(IFERROR(AVERAGE(D17:Q17),"")))</f>
        <v>5.8571428571428568</v>
      </c>
      <c r="S17" s="23">
        <f t="shared" si="0"/>
        <v>43.928571428571423</v>
      </c>
    </row>
    <row r="18" spans="1:21" ht="15" customHeight="1" x14ac:dyDescent="0.25">
      <c r="C18" s="2" t="s">
        <v>15</v>
      </c>
      <c r="D18" s="28">
        <f>'Зведена відомість 101'!D25</f>
        <v>10</v>
      </c>
      <c r="R18" s="4"/>
      <c r="S18" s="4"/>
      <c r="T18" s="4"/>
      <c r="U18" s="4"/>
    </row>
    <row r="19" spans="1:21" ht="15" customHeight="1" x14ac:dyDescent="0.25">
      <c r="C19" s="2" t="s">
        <v>16</v>
      </c>
      <c r="D19" s="28">
        <f>'Зведена відомість 101'!D26</f>
        <v>1</v>
      </c>
      <c r="F19" s="3" t="s">
        <v>19</v>
      </c>
      <c r="M19" s="3" t="s">
        <v>75</v>
      </c>
    </row>
    <row r="20" spans="1:21" ht="15" customHeight="1" x14ac:dyDescent="0.25">
      <c r="C20" s="2" t="s">
        <v>17</v>
      </c>
      <c r="D20" s="28">
        <f>'Зведена відомість 101'!D27</f>
        <v>0</v>
      </c>
    </row>
    <row r="21" spans="1:21" ht="15" customHeight="1" x14ac:dyDescent="0.25">
      <c r="C21" s="2" t="s">
        <v>18</v>
      </c>
      <c r="D21" s="28">
        <v>4</v>
      </c>
      <c r="F21" s="3" t="s">
        <v>20</v>
      </c>
      <c r="M21" s="3" t="s">
        <v>21</v>
      </c>
    </row>
  </sheetData>
  <sortState ref="A9:R17">
    <sortCondition descending="1" ref="R9:R17"/>
  </sortState>
  <mergeCells count="10">
    <mergeCell ref="D7:T7"/>
    <mergeCell ref="A6:T6"/>
    <mergeCell ref="A5:T5"/>
    <mergeCell ref="A4:T4"/>
    <mergeCell ref="A3:T3"/>
    <mergeCell ref="A2:T2"/>
    <mergeCell ref="A1:T1"/>
    <mergeCell ref="A7:A8"/>
    <mergeCell ref="B7:B8"/>
    <mergeCell ref="C7:C8"/>
  </mergeCells>
  <conditionalFormatting sqref="A9:R9 A10:A17 B11 B13 B15 B17">
    <cfRule type="expression" dxfId="17" priority="13">
      <formula>$S$9&lt;&gt;""</formula>
    </cfRule>
  </conditionalFormatting>
  <conditionalFormatting sqref="B10:R10 B12 B14 B16">
    <cfRule type="expression" dxfId="16" priority="14">
      <formula>$S$10&lt;&gt;""</formula>
    </cfRule>
  </conditionalFormatting>
  <conditionalFormatting sqref="C11:R11">
    <cfRule type="expression" dxfId="15" priority="15">
      <formula>$S$11&lt;&gt;""</formula>
    </cfRule>
  </conditionalFormatting>
  <conditionalFormatting sqref="C12:R12">
    <cfRule type="expression" dxfId="14" priority="17">
      <formula>$S$12&lt;&gt;""</formula>
    </cfRule>
  </conditionalFormatting>
  <conditionalFormatting sqref="C13:R13">
    <cfRule type="expression" dxfId="13" priority="18">
      <formula>$S$13&lt;&gt;""</formula>
    </cfRule>
  </conditionalFormatting>
  <conditionalFormatting sqref="C14:R14">
    <cfRule type="expression" dxfId="12" priority="19">
      <formula>$S$14&lt;&gt;""</formula>
    </cfRule>
  </conditionalFormatting>
  <conditionalFormatting sqref="C15:R15">
    <cfRule type="expression" dxfId="11" priority="20">
      <formula>$S$15&lt;&gt;""</formula>
    </cfRule>
  </conditionalFormatting>
  <conditionalFormatting sqref="C16:R16">
    <cfRule type="expression" dxfId="10" priority="21">
      <formula>$S$16&lt;&gt;""</formula>
    </cfRule>
  </conditionalFormatting>
  <conditionalFormatting sqref="C17:R17">
    <cfRule type="expression" dxfId="9" priority="22">
      <formula>$S$17&lt;&gt;""</formula>
    </cfRule>
  </conditionalFormatting>
  <conditionalFormatting sqref="S9:S17">
    <cfRule type="expression" dxfId="8" priority="1">
      <formula>$S$9&lt;&gt;""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1"/>
  <sheetViews>
    <sheetView zoomScaleNormal="100" workbookViewId="0">
      <selection sqref="A1:T1"/>
    </sheetView>
  </sheetViews>
  <sheetFormatPr defaultColWidth="14.42578125" defaultRowHeight="15" customHeight="1" x14ac:dyDescent="0.25"/>
  <cols>
    <col min="1" max="1" width="4.140625" style="1" customWidth="1"/>
    <col min="2" max="2" width="6.5703125" style="1" customWidth="1"/>
    <col min="3" max="3" width="40.42578125" style="1" customWidth="1"/>
    <col min="4" max="17" width="6.7109375" style="1" customWidth="1"/>
    <col min="18" max="18" width="11.28515625" style="1" customWidth="1"/>
    <col min="19" max="19" width="8.7109375" style="1" customWidth="1"/>
    <col min="20" max="26" width="14.42578125" style="1" customWidth="1"/>
    <col min="27" max="27" width="14.85546875" style="1" customWidth="1"/>
    <col min="28" max="41" width="3.7109375" style="1" customWidth="1"/>
    <col min="42" max="55" width="5.7109375" style="1" customWidth="1"/>
    <col min="56" max="16384" width="14.42578125" style="1"/>
  </cols>
  <sheetData>
    <row r="1" spans="1:20" s="31" customFormat="1" ht="15" customHeight="1" x14ac:dyDescent="0.25">
      <c r="A1" s="35" t="s">
        <v>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</row>
    <row r="2" spans="1:20" s="31" customFormat="1" ht="15" customHeight="1" x14ac:dyDescent="0.25">
      <c r="A2" s="35" t="s">
        <v>24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</row>
    <row r="3" spans="1:20" s="30" customFormat="1" ht="15" customHeight="1" x14ac:dyDescent="0.25">
      <c r="A3" s="36" t="s">
        <v>77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</row>
    <row r="4" spans="1:20" s="31" customFormat="1" ht="15" customHeight="1" x14ac:dyDescent="0.25">
      <c r="A4" s="37" t="s">
        <v>36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0" s="31" customFormat="1" ht="15" customHeight="1" x14ac:dyDescent="0.25">
      <c r="A5" s="37" t="s">
        <v>78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</row>
    <row r="6" spans="1:20" s="31" customFormat="1" ht="15" customHeight="1" x14ac:dyDescent="0.25">
      <c r="A6" s="35" t="s">
        <v>35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1:20" ht="15" customHeight="1" x14ac:dyDescent="0.25">
      <c r="A7" s="32" t="s">
        <v>1</v>
      </c>
      <c r="B7" s="34" t="s">
        <v>25</v>
      </c>
      <c r="C7" s="34" t="s">
        <v>26</v>
      </c>
      <c r="D7" s="33" t="s">
        <v>2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8"/>
    </row>
    <row r="8" spans="1:20" ht="125.1" customHeight="1" x14ac:dyDescent="0.25">
      <c r="A8" s="33"/>
      <c r="B8" s="33"/>
      <c r="C8" s="33"/>
      <c r="D8" s="9" t="s">
        <v>6</v>
      </c>
      <c r="E8" s="9" t="s">
        <v>3</v>
      </c>
      <c r="F8" s="9" t="s">
        <v>8</v>
      </c>
      <c r="G8" s="9" t="s">
        <v>5</v>
      </c>
      <c r="H8" s="9" t="s">
        <v>27</v>
      </c>
      <c r="I8" s="9" t="s">
        <v>28</v>
      </c>
      <c r="J8" s="9" t="s">
        <v>29</v>
      </c>
      <c r="K8" s="9" t="s">
        <v>7</v>
      </c>
      <c r="L8" s="9" t="s">
        <v>4</v>
      </c>
      <c r="M8" s="9" t="s">
        <v>30</v>
      </c>
      <c r="N8" s="9" t="s">
        <v>31</v>
      </c>
      <c r="O8" s="9" t="s">
        <v>32</v>
      </c>
      <c r="P8" s="9" t="s">
        <v>22</v>
      </c>
      <c r="Q8" s="9" t="s">
        <v>33</v>
      </c>
      <c r="R8" s="10" t="s">
        <v>9</v>
      </c>
      <c r="S8" s="10" t="s">
        <v>76</v>
      </c>
    </row>
    <row r="9" spans="1:20" ht="15" customHeight="1" x14ac:dyDescent="0.25">
      <c r="A9" s="24" t="s">
        <v>38</v>
      </c>
      <c r="B9" s="24">
        <v>1</v>
      </c>
      <c r="C9" s="25" t="s">
        <v>56</v>
      </c>
      <c r="D9" s="26">
        <v>9</v>
      </c>
      <c r="E9" s="26">
        <v>9</v>
      </c>
      <c r="F9" s="26">
        <v>9</v>
      </c>
      <c r="G9" s="26">
        <v>9</v>
      </c>
      <c r="H9" s="26">
        <v>10</v>
      </c>
      <c r="I9" s="26">
        <v>10</v>
      </c>
      <c r="J9" s="26">
        <v>10</v>
      </c>
      <c r="K9" s="26">
        <v>8</v>
      </c>
      <c r="L9" s="26">
        <v>10</v>
      </c>
      <c r="M9" s="26">
        <v>9</v>
      </c>
      <c r="N9" s="26">
        <v>9</v>
      </c>
      <c r="O9" s="26">
        <v>10</v>
      </c>
      <c r="P9" s="26">
        <v>10</v>
      </c>
      <c r="Q9" s="26">
        <v>8</v>
      </c>
      <c r="R9" s="27">
        <f>IF(COUNTIF(D9:Q9,"=*")&gt;0,"-",(IFERROR(AVERAGE(D9:Q9),"")))</f>
        <v>9.2857142857142865</v>
      </c>
      <c r="S9" s="27">
        <f>R9*90/12</f>
        <v>69.642857142857153</v>
      </c>
    </row>
    <row r="10" spans="1:20" ht="15" customHeight="1" x14ac:dyDescent="0.25">
      <c r="A10" s="24" t="s">
        <v>38</v>
      </c>
      <c r="B10" s="24">
        <v>2</v>
      </c>
      <c r="C10" s="25" t="s">
        <v>59</v>
      </c>
      <c r="D10" s="26">
        <v>9</v>
      </c>
      <c r="E10" s="26">
        <v>9</v>
      </c>
      <c r="F10" s="26">
        <v>10</v>
      </c>
      <c r="G10" s="26">
        <v>8</v>
      </c>
      <c r="H10" s="26">
        <v>9</v>
      </c>
      <c r="I10" s="26">
        <v>9</v>
      </c>
      <c r="J10" s="26">
        <v>9</v>
      </c>
      <c r="K10" s="26">
        <v>9</v>
      </c>
      <c r="L10" s="26">
        <v>9</v>
      </c>
      <c r="M10" s="26">
        <v>9</v>
      </c>
      <c r="N10" s="26">
        <v>8</v>
      </c>
      <c r="O10" s="26">
        <v>9</v>
      </c>
      <c r="P10" s="26">
        <v>9</v>
      </c>
      <c r="Q10" s="26">
        <v>7</v>
      </c>
      <c r="R10" s="27">
        <f>IF(COUNTIF(D10:Q10,"=*")&gt;0,"-",(IFERROR(AVERAGE(D10:Q10),"")))</f>
        <v>8.7857142857142865</v>
      </c>
      <c r="S10" s="27">
        <f t="shared" ref="S10:S17" si="0">R10*90/12</f>
        <v>65.892857142857153</v>
      </c>
    </row>
    <row r="11" spans="1:20" ht="15" customHeight="1" x14ac:dyDescent="0.25">
      <c r="A11" s="24" t="s">
        <v>38</v>
      </c>
      <c r="B11" s="24">
        <v>3</v>
      </c>
      <c r="C11" s="25" t="s">
        <v>61</v>
      </c>
      <c r="D11" s="26">
        <v>7</v>
      </c>
      <c r="E11" s="26">
        <v>10</v>
      </c>
      <c r="F11" s="26">
        <v>10</v>
      </c>
      <c r="G11" s="26">
        <v>9</v>
      </c>
      <c r="H11" s="26">
        <v>8</v>
      </c>
      <c r="I11" s="26">
        <v>7</v>
      </c>
      <c r="J11" s="26">
        <v>8</v>
      </c>
      <c r="K11" s="26">
        <v>8</v>
      </c>
      <c r="L11" s="26">
        <v>6</v>
      </c>
      <c r="M11" s="26">
        <v>9</v>
      </c>
      <c r="N11" s="26">
        <v>7</v>
      </c>
      <c r="O11" s="26">
        <v>7</v>
      </c>
      <c r="P11" s="26">
        <v>11</v>
      </c>
      <c r="Q11" s="26">
        <v>7</v>
      </c>
      <c r="R11" s="27">
        <f>IF(COUNTIF(D11:Q11,"=*")&gt;0,"-",(IFERROR(AVERAGE(D11:Q11),"")))</f>
        <v>8.1428571428571423</v>
      </c>
      <c r="S11" s="27">
        <f t="shared" si="0"/>
        <v>61.071428571428562</v>
      </c>
    </row>
    <row r="12" spans="1:20" ht="15" customHeight="1" x14ac:dyDescent="0.25">
      <c r="A12" s="24" t="s">
        <v>38</v>
      </c>
      <c r="B12" s="24">
        <v>4</v>
      </c>
      <c r="C12" s="25" t="s">
        <v>62</v>
      </c>
      <c r="D12" s="26">
        <v>4</v>
      </c>
      <c r="E12" s="26">
        <v>6</v>
      </c>
      <c r="F12" s="26">
        <v>7</v>
      </c>
      <c r="G12" s="26">
        <v>5</v>
      </c>
      <c r="H12" s="26">
        <v>8</v>
      </c>
      <c r="I12" s="26">
        <v>8</v>
      </c>
      <c r="J12" s="26">
        <v>8</v>
      </c>
      <c r="K12" s="26">
        <v>8</v>
      </c>
      <c r="L12" s="26">
        <v>7</v>
      </c>
      <c r="M12" s="26">
        <v>6</v>
      </c>
      <c r="N12" s="26">
        <v>8</v>
      </c>
      <c r="O12" s="26">
        <v>8</v>
      </c>
      <c r="P12" s="26">
        <v>8</v>
      </c>
      <c r="Q12" s="26">
        <v>8</v>
      </c>
      <c r="R12" s="27">
        <f>IF(COUNTIF(D12:Q12,"=*")&gt;0,"-",(IFERROR(AVERAGE(D12:Q12),"")))</f>
        <v>7.0714285714285712</v>
      </c>
      <c r="S12" s="27">
        <f t="shared" si="0"/>
        <v>53.035714285714285</v>
      </c>
    </row>
    <row r="13" spans="1:20" ht="15" customHeight="1" x14ac:dyDescent="0.25">
      <c r="A13" s="29" t="s">
        <v>38</v>
      </c>
      <c r="B13" s="29">
        <v>5</v>
      </c>
      <c r="C13" s="2" t="s">
        <v>54</v>
      </c>
      <c r="D13" s="28">
        <v>9</v>
      </c>
      <c r="E13" s="28">
        <v>9</v>
      </c>
      <c r="F13" s="28">
        <v>9</v>
      </c>
      <c r="G13" s="28">
        <v>4</v>
      </c>
      <c r="H13" s="28">
        <v>6</v>
      </c>
      <c r="I13" s="28">
        <v>7</v>
      </c>
      <c r="J13" s="28">
        <v>5</v>
      </c>
      <c r="K13" s="28">
        <v>6</v>
      </c>
      <c r="L13" s="28">
        <v>6</v>
      </c>
      <c r="M13" s="28">
        <v>7</v>
      </c>
      <c r="N13" s="28">
        <v>9</v>
      </c>
      <c r="O13" s="28">
        <v>5</v>
      </c>
      <c r="P13" s="28">
        <v>7</v>
      </c>
      <c r="Q13" s="28">
        <v>8</v>
      </c>
      <c r="R13" s="23">
        <f>IF(COUNTIF(D13:Q13,"=*")&gt;0,"-",(IFERROR(AVERAGE(D13:Q13),"")))</f>
        <v>6.9285714285714288</v>
      </c>
      <c r="S13" s="23">
        <f t="shared" si="0"/>
        <v>51.964285714285715</v>
      </c>
    </row>
    <row r="14" spans="1:20" ht="15" customHeight="1" x14ac:dyDescent="0.25">
      <c r="A14" s="29" t="s">
        <v>38</v>
      </c>
      <c r="B14" s="29">
        <v>6</v>
      </c>
      <c r="C14" s="2" t="s">
        <v>60</v>
      </c>
      <c r="D14" s="28">
        <v>7</v>
      </c>
      <c r="E14" s="28">
        <v>6</v>
      </c>
      <c r="F14" s="28">
        <v>8</v>
      </c>
      <c r="G14" s="28">
        <v>6</v>
      </c>
      <c r="H14" s="28">
        <v>6</v>
      </c>
      <c r="I14" s="28">
        <v>7</v>
      </c>
      <c r="J14" s="28">
        <v>6</v>
      </c>
      <c r="K14" s="28">
        <v>7</v>
      </c>
      <c r="L14" s="28">
        <v>7</v>
      </c>
      <c r="M14" s="28">
        <v>6</v>
      </c>
      <c r="N14" s="28">
        <v>8</v>
      </c>
      <c r="O14" s="28">
        <v>8</v>
      </c>
      <c r="P14" s="28">
        <v>6</v>
      </c>
      <c r="Q14" s="28">
        <v>7</v>
      </c>
      <c r="R14" s="23">
        <f>IF(COUNTIF(D14:Q14,"=*")&gt;0,"-",(IFERROR(AVERAGE(D14:Q14),"")))</f>
        <v>6.7857142857142856</v>
      </c>
      <c r="S14" s="23">
        <f t="shared" si="0"/>
        <v>50.892857142857139</v>
      </c>
    </row>
    <row r="15" spans="1:20" ht="15" customHeight="1" x14ac:dyDescent="0.25">
      <c r="A15" s="29" t="s">
        <v>38</v>
      </c>
      <c r="B15" s="29">
        <v>7</v>
      </c>
      <c r="C15" s="2" t="s">
        <v>57</v>
      </c>
      <c r="D15" s="28">
        <v>4</v>
      </c>
      <c r="E15" s="28">
        <v>5</v>
      </c>
      <c r="F15" s="28">
        <v>8</v>
      </c>
      <c r="G15" s="28">
        <v>6</v>
      </c>
      <c r="H15" s="28">
        <v>4</v>
      </c>
      <c r="I15" s="28">
        <v>5</v>
      </c>
      <c r="J15" s="28">
        <v>6</v>
      </c>
      <c r="K15" s="28">
        <v>7</v>
      </c>
      <c r="L15" s="28">
        <v>7</v>
      </c>
      <c r="M15" s="28">
        <v>5</v>
      </c>
      <c r="N15" s="28">
        <v>7</v>
      </c>
      <c r="O15" s="28">
        <v>4</v>
      </c>
      <c r="P15" s="28">
        <v>6</v>
      </c>
      <c r="Q15" s="28">
        <v>6</v>
      </c>
      <c r="R15" s="23">
        <f>IF(COUNTIF(D15:Q15,"=*")&gt;0,"-",(IFERROR(AVERAGE(D15:Q15),"")))</f>
        <v>5.7142857142857144</v>
      </c>
      <c r="S15" s="23">
        <f t="shared" si="0"/>
        <v>42.857142857142861</v>
      </c>
    </row>
    <row r="16" spans="1:20" ht="15" customHeight="1" x14ac:dyDescent="0.25">
      <c r="A16" s="29" t="s">
        <v>38</v>
      </c>
      <c r="B16" s="29">
        <v>8</v>
      </c>
      <c r="C16" s="2" t="s">
        <v>63</v>
      </c>
      <c r="D16" s="28">
        <v>7</v>
      </c>
      <c r="E16" s="28">
        <v>4</v>
      </c>
      <c r="F16" s="28">
        <v>5</v>
      </c>
      <c r="G16" s="28">
        <v>4</v>
      </c>
      <c r="H16" s="28">
        <v>8</v>
      </c>
      <c r="I16" s="28">
        <v>5</v>
      </c>
      <c r="J16" s="28">
        <v>5</v>
      </c>
      <c r="K16" s="28">
        <v>7</v>
      </c>
      <c r="L16" s="28">
        <v>6</v>
      </c>
      <c r="M16" s="28">
        <v>4</v>
      </c>
      <c r="N16" s="28">
        <v>6</v>
      </c>
      <c r="O16" s="28">
        <v>4</v>
      </c>
      <c r="P16" s="28">
        <v>5</v>
      </c>
      <c r="Q16" s="28">
        <v>6</v>
      </c>
      <c r="R16" s="23">
        <f>IF(COUNTIF(D16:Q16,"=*")&gt;0,"-",(IFERROR(AVERAGE(D16:Q16),"")))</f>
        <v>5.4285714285714288</v>
      </c>
      <c r="S16" s="23">
        <f t="shared" si="0"/>
        <v>40.714285714285715</v>
      </c>
    </row>
    <row r="17" spans="1:21" ht="15" customHeight="1" x14ac:dyDescent="0.25">
      <c r="A17" s="29" t="s">
        <v>38</v>
      </c>
      <c r="B17" s="29">
        <v>9</v>
      </c>
      <c r="C17" s="2" t="s">
        <v>58</v>
      </c>
      <c r="D17" s="28">
        <v>4</v>
      </c>
      <c r="E17" s="28">
        <v>5</v>
      </c>
      <c r="F17" s="28">
        <v>6</v>
      </c>
      <c r="G17" s="28">
        <v>4</v>
      </c>
      <c r="H17" s="28">
        <v>5</v>
      </c>
      <c r="I17" s="28">
        <v>7</v>
      </c>
      <c r="J17" s="28">
        <v>4</v>
      </c>
      <c r="K17" s="28">
        <v>6</v>
      </c>
      <c r="L17" s="28">
        <v>4</v>
      </c>
      <c r="M17" s="28">
        <v>4</v>
      </c>
      <c r="N17" s="28">
        <v>7</v>
      </c>
      <c r="O17" s="28">
        <v>4</v>
      </c>
      <c r="P17" s="28">
        <v>8</v>
      </c>
      <c r="Q17" s="28">
        <v>5</v>
      </c>
      <c r="R17" s="23">
        <f>IF(COUNTIF(D17:Q17,"=*")&gt;0,"-",(IFERROR(AVERAGE(D17:Q17),"")))</f>
        <v>5.2142857142857144</v>
      </c>
      <c r="S17" s="23">
        <f t="shared" si="0"/>
        <v>39.107142857142854</v>
      </c>
    </row>
    <row r="18" spans="1:21" ht="15" customHeight="1" x14ac:dyDescent="0.25">
      <c r="C18" s="2" t="s">
        <v>15</v>
      </c>
      <c r="D18" s="28">
        <f>'Зведена відомість 172'!D24</f>
        <v>10</v>
      </c>
      <c r="R18" s="4"/>
      <c r="S18" s="4"/>
      <c r="T18" s="4"/>
      <c r="U18" s="4"/>
    </row>
    <row r="19" spans="1:21" ht="15" customHeight="1" x14ac:dyDescent="0.25">
      <c r="C19" s="2" t="s">
        <v>16</v>
      </c>
      <c r="D19" s="28">
        <f>'Зведена відомість 172'!D25</f>
        <v>0</v>
      </c>
      <c r="F19" s="3" t="s">
        <v>19</v>
      </c>
      <c r="M19" s="3" t="s">
        <v>75</v>
      </c>
    </row>
    <row r="20" spans="1:21" ht="15" customHeight="1" x14ac:dyDescent="0.25">
      <c r="C20" s="2" t="s">
        <v>17</v>
      </c>
      <c r="D20" s="28">
        <f>'Зведена відомість 172'!D26</f>
        <v>0</v>
      </c>
    </row>
    <row r="21" spans="1:21" ht="15" customHeight="1" x14ac:dyDescent="0.25">
      <c r="C21" s="2" t="s">
        <v>18</v>
      </c>
      <c r="D21" s="28">
        <v>4</v>
      </c>
      <c r="F21" s="3" t="s">
        <v>20</v>
      </c>
      <c r="M21" s="3" t="s">
        <v>21</v>
      </c>
    </row>
  </sheetData>
  <sortState ref="A9:R17">
    <sortCondition descending="1" ref="R9:R17"/>
  </sortState>
  <mergeCells count="10">
    <mergeCell ref="D7:T7"/>
    <mergeCell ref="A6:T6"/>
    <mergeCell ref="A5:T5"/>
    <mergeCell ref="A4:T4"/>
    <mergeCell ref="A3:T3"/>
    <mergeCell ref="A2:T2"/>
    <mergeCell ref="A1:T1"/>
    <mergeCell ref="A7:A8"/>
    <mergeCell ref="B7:B8"/>
    <mergeCell ref="C7:C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Зведена відомість 101</vt:lpstr>
      <vt:lpstr>Зведена відомість 172</vt:lpstr>
      <vt:lpstr>Зведена відомість 242</vt:lpstr>
      <vt:lpstr>Рейтингова відомість 101</vt:lpstr>
      <vt:lpstr>Рейтингова відомість 172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Maxim</cp:lastModifiedBy>
  <cp:lastPrinted>2022-12-23T09:47:15Z</cp:lastPrinted>
  <dcterms:created xsi:type="dcterms:W3CDTF">2006-09-28T05:33:49Z</dcterms:created>
  <dcterms:modified xsi:type="dcterms:W3CDTF">2022-12-26T10:44:35Z</dcterms:modified>
</cp:coreProperties>
</file>