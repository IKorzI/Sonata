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activeTab="1"/>
  </bookViews>
  <sheets>
    <sheet name="Зведена відомість 141" sheetId="17" r:id="rId1"/>
    <sheet name="Рейтингова відомість 141" sheetId="26" r:id="rId2"/>
  </sheets>
  <definedNames>
    <definedName name="A1048577" localSheetId="0">#REF!</definedName>
    <definedName name="A1048577" localSheetId="1">#REF!</definedName>
    <definedName name="A1048577">#REF!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D43" i="17" l="1"/>
  <c r="D26" i="26"/>
  <c r="D27" i="26"/>
  <c r="D25" i="26"/>
  <c r="R11" i="26"/>
  <c r="S11" i="26" s="1"/>
  <c r="R17" i="26"/>
  <c r="S17" i="26" s="1"/>
  <c r="R16" i="26"/>
  <c r="S16" i="26" s="1"/>
  <c r="R20" i="26"/>
  <c r="S20" i="26" s="1"/>
  <c r="R23" i="26"/>
  <c r="S23" i="26" s="1"/>
  <c r="R22" i="26"/>
  <c r="S22" i="26" s="1"/>
  <c r="R13" i="26"/>
  <c r="S13" i="26" s="1"/>
  <c r="R10" i="26"/>
  <c r="S10" i="26" s="1"/>
  <c r="R24" i="26"/>
  <c r="S24" i="26" s="1"/>
  <c r="R18" i="26"/>
  <c r="S18" i="26" s="1"/>
  <c r="R15" i="26"/>
  <c r="S15" i="26" s="1"/>
  <c r="R12" i="26"/>
  <c r="S12" i="26" s="1"/>
  <c r="R21" i="26"/>
  <c r="S21" i="26" s="1"/>
  <c r="R19" i="26"/>
  <c r="S19" i="26" s="1"/>
  <c r="R14" i="26"/>
  <c r="S14" i="26" s="1"/>
  <c r="R9" i="26"/>
  <c r="S9" i="26" s="1"/>
  <c r="Q37" i="17" l="1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D41" i="17" l="1"/>
  <c r="D40" i="17"/>
  <c r="E35" i="17"/>
  <c r="D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R10" i="17"/>
  <c r="R11" i="17"/>
  <c r="R12" i="17"/>
  <c r="R13" i="17"/>
  <c r="R14" i="17"/>
  <c r="R15" i="17"/>
  <c r="R16" i="17"/>
  <c r="R17" i="17"/>
  <c r="R18" i="17"/>
  <c r="R19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9" i="17"/>
  <c r="D38" i="17" l="1"/>
  <c r="D39" i="17"/>
  <c r="R35" i="17"/>
</calcChain>
</file>

<file path=xl/sharedStrings.xml><?xml version="1.0" encoding="utf-8"?>
<sst xmlns="http://schemas.openxmlformats.org/spreadsheetml/2006/main" count="168" uniqueCount="70">
  <si>
    <t xml:space="preserve">ЗВЕДЕНА  ВІДОМІСТЬ  </t>
  </si>
  <si>
    <t>Б/К</t>
  </si>
  <si>
    <t>Підсумкові оцінки дисциплін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</si>
  <si>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</si>
  <si>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</si>
  <si>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</si>
  <si>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</si>
  <si>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</si>
  <si>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</si>
  <si>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</si>
  <si>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</si>
  <si>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</si>
  <si>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</si>
  <si>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</si>
  <si>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</si>
  <si>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</si>
  <si>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</si>
  <si>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</si>
  <si>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</si>
  <si>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</si>
  <si>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</si>
  <si>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</si>
  <si>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</si>
  <si>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№
п/п</t>
  </si>
  <si>
    <t>Прізвище, ім’я, по батькові</t>
  </si>
  <si>
    <t>Успішності студентів спеціальності 141 «Електроенергетика, електротехніка та електромеханіка»</t>
  </si>
  <si>
    <t>Бондаренко Олександр Іванович </t>
  </si>
  <si>
    <t>Бошков Дмитро Іванович </t>
  </si>
  <si>
    <t>Буюклі Андрій Іванович </t>
  </si>
  <si>
    <t>Вихристюк Данило Андрійович </t>
  </si>
  <si>
    <t>Гольц Ростислав Владиславович </t>
  </si>
  <si>
    <t>Дєнєв Євген Анатолійович </t>
  </si>
  <si>
    <t>Димитров Ярослав Іванович </t>
  </si>
  <si>
    <t>Зечу Петро Павлович </t>
  </si>
  <si>
    <t>Іванов Максим Олександрович </t>
  </si>
  <si>
    <t>Іоргачов Андрій Олександрович </t>
  </si>
  <si>
    <t>Казюк Максим Русланович </t>
  </si>
  <si>
    <t>Катранюк Павло Яковлевич </t>
  </si>
  <si>
    <t>Кищук Микола Валерійович </t>
  </si>
  <si>
    <t>Коваленко Дмитро Павлович </t>
  </si>
  <si>
    <t>Куценко Олексій Євгенович </t>
  </si>
  <si>
    <t>Носов Микола Васильович </t>
  </si>
  <si>
    <t>Остафійчук Максим Євгенович </t>
  </si>
  <si>
    <t>Плешко Станіслав Станіславович </t>
  </si>
  <si>
    <t>Сусло Владислав Володимирович </t>
  </si>
  <si>
    <t>Сухов Роман Дмитрович </t>
  </si>
  <si>
    <t>Сухоруков Василь Васильович </t>
  </si>
  <si>
    <t>Тевдорадзе Артем Гочайович </t>
  </si>
  <si>
    <t>Устименко Дмитро Ігорович   </t>
  </si>
  <si>
    <t>Шаманський Олексій Миколайович </t>
  </si>
  <si>
    <t>Шипук Олександр Олександрович </t>
  </si>
  <si>
    <t>Щуров Єгор Русланович  </t>
  </si>
  <si>
    <t>Група 22-4 курс І</t>
  </si>
  <si>
    <t>Б</t>
  </si>
  <si>
    <t>К</t>
  </si>
  <si>
    <t>ЗУ
Стельмах Н.Ю.</t>
  </si>
  <si>
    <t>Іноземна мова
Нічик Н.О.</t>
  </si>
  <si>
    <t>Інформатика
Вівдіч М.І.</t>
  </si>
  <si>
    <t>Математика
Земляна Т.М.</t>
  </si>
  <si>
    <t>Українська література
Пруднікова Я.П.</t>
  </si>
  <si>
    <t>Українська мова
Нестеренко А.О.</t>
  </si>
  <si>
    <t>Фізика
Калюта Н.М.</t>
  </si>
  <si>
    <t>Фізична культура
Галеніна І.С.</t>
  </si>
  <si>
    <t>Хімія
Леонова Д.І.</t>
  </si>
  <si>
    <t>н/а</t>
  </si>
  <si>
    <t>Тамара ЛЕВЧУК</t>
  </si>
  <si>
    <t>-</t>
  </si>
  <si>
    <t>РЕЙТИНГОВА ВІДОМІСТЬ</t>
  </si>
  <si>
    <t>Рейтинговий бал</t>
  </si>
  <si>
    <t>За I семестр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</si>
</sst>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</cellStyleXfs>
  <cellXfs count="36">
    <xf numFmtId="0" fontId="0" fillId="0" borderId="0" xfId="0" applyFont="1" applyAlignment="1"/>
    <xf numFmtId="0" fontId="3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left" vertical="center" wrapText="1"/>
    </xf>
    <xf numFmtId="0" fontId="5" fillId="0" borderId="1" xfId="5" applyNumberFormat="1" applyFont="1" applyFill="1" applyAlignment="1">
      <alignment horizontal="left" vertical="center"/>
    </xf>
    <xf numFmtId="0" fontId="3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textRotation="90" wrapText="1"/>
    </xf>
    <xf numFmtId="0" fontId="4" fillId="0" borderId="2" xfId="5" applyNumberFormat="1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2" fontId="3" fillId="0" borderId="2" xfId="5" applyNumberFormat="1" applyFont="1" applyFill="1" applyBorder="1" applyAlignment="1">
      <alignment horizontal="center" vertical="center"/>
    </xf>
    <xf numFmtId="0" fontId="3" fillId="4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left" vertical="center" wrapText="1"/>
    </xf>
    <xf numFmtId="0" fontId="3" fillId="4" borderId="2" xfId="5" applyNumberFormat="1" applyFont="1" applyFill="1" applyBorder="1" applyAlignment="1">
      <alignment horizontal="center" vertical="center"/>
    </xf>
    <xf numFmtId="2" fontId="3" fillId="4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2" xfId="5" quotePrefix="1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</cellXfs>
  <cellStyles count="23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U43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6" customFormat="1" ht="15" customHeight="1" x14ac:dyDescent="0.25">
      <c r="A1" s="32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s="6" customFormat="1" ht="15" customHeight="1" x14ac:dyDescent="0.25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s="5" customFormat="1" ht="15" customHeight="1" x14ac:dyDescent="0.25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6" customFormat="1" ht="15" customHeight="1" x14ac:dyDescent="0.25">
      <c r="A4" s="34" t="s">
        <v>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6" customFormat="1" ht="15" customHeight="1" x14ac:dyDescent="0.25">
      <c r="A5" s="34" t="s">
        <v>69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s="6" customFormat="1" ht="15" customHeight="1" x14ac:dyDescent="0.25">
      <c r="A6" s="32" t="s">
        <v>52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18" ht="15" customHeight="1" x14ac:dyDescent="0.25">
      <c r="A7" s="29" t="s">
        <v>1</v>
      </c>
      <c r="B7" s="31" t="s">
        <v>23</v>
      </c>
      <c r="C7" s="31" t="s">
        <v>24</v>
      </c>
      <c r="D7" s="30" t="s">
        <v>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ht="125.1" customHeight="1" x14ac:dyDescent="0.25">
      <c r="A8" s="30"/>
      <c r="B8" s="30"/>
      <c r="C8" s="30"/>
      <c r="D8" s="9" t="s">
        <v>5</v>
      </c>
      <c r="E8" s="9" t="s">
        <v>3</v>
      </c>
      <c r="F8" s="9" t="s">
        <v>7</v>
      </c>
      <c r="G8" s="9" t="s">
        <v>4</v>
      </c>
      <c r="H8" s="9" t="s">
        <v>55</v>
      </c>
      <c r="I8" s="9" t="s">
        <v>56</v>
      </c>
      <c r="J8" s="9" t="s">
        <v>57</v>
      </c>
      <c r="K8" s="9" t="s">
        <v>6</v>
      </c>
      <c r="L8" s="9" t="s">
        <v>58</v>
      </c>
      <c r="M8" s="9" t="s">
        <v>59</v>
      </c>
      <c r="N8" s="9" t="s">
        <v>60</v>
      </c>
      <c r="O8" s="9" t="s">
        <v>61</v>
      </c>
      <c r="P8" s="9" t="s">
        <v>62</v>
      </c>
      <c r="Q8" s="9" t="s">
        <v>63</v>
      </c>
      <c r="R8" s="10" t="s">
        <v>8</v>
      </c>
    </row>
    <row r="9" spans="1:18" ht="15" customHeight="1" x14ac:dyDescent="0.25">
      <c r="A9" s="8" t="s">
        <v>54</v>
      </c>
      <c r="B9" s="8">
        <v>1</v>
      </c>
      <c r="C9" s="2" t="s">
        <v>26</v>
      </c>
      <c r="D9" s="7">
        <v>4</v>
      </c>
      <c r="E9" s="7">
        <v>7</v>
      </c>
      <c r="F9" s="7">
        <v>8</v>
      </c>
      <c r="G9" s="7">
        <v>6</v>
      </c>
      <c r="H9" s="7">
        <v>7</v>
      </c>
      <c r="I9" s="7">
        <v>5</v>
      </c>
      <c r="J9" s="7">
        <v>6</v>
      </c>
      <c r="K9" s="7">
        <v>7</v>
      </c>
      <c r="L9" s="7">
        <v>5</v>
      </c>
      <c r="M9" s="7">
        <v>5</v>
      </c>
      <c r="N9" s="17">
        <v>7</v>
      </c>
      <c r="O9" s="7">
        <v>4</v>
      </c>
      <c r="P9" s="7">
        <v>7</v>
      </c>
      <c r="Q9" s="7">
        <v>8</v>
      </c>
      <c r="R9" s="11">
        <f t="shared" ref="R9:R34" si="0">IF(COUNTIF(D9:Q9,"=*")&gt;0,"-",(IFERROR(AVERAGE(D9:Q9),"")))</f>
        <v>6.1428571428571432</v>
      </c>
    </row>
    <row r="10" spans="1:18" ht="15" customHeight="1" x14ac:dyDescent="0.25">
      <c r="A10" s="16" t="s">
        <v>53</v>
      </c>
      <c r="B10" s="15">
        <v>2</v>
      </c>
      <c r="C10" s="2" t="s">
        <v>27</v>
      </c>
      <c r="D10" s="14">
        <v>10</v>
      </c>
      <c r="E10" s="14">
        <v>10</v>
      </c>
      <c r="F10" s="14">
        <v>10</v>
      </c>
      <c r="G10" s="14">
        <v>10</v>
      </c>
      <c r="H10" s="14">
        <v>10</v>
      </c>
      <c r="I10" s="14">
        <v>11</v>
      </c>
      <c r="J10" s="14">
        <v>7</v>
      </c>
      <c r="K10" s="14">
        <v>9</v>
      </c>
      <c r="L10" s="14">
        <v>8</v>
      </c>
      <c r="M10" s="14">
        <v>10</v>
      </c>
      <c r="N10" s="17">
        <v>9</v>
      </c>
      <c r="O10" s="14">
        <v>10</v>
      </c>
      <c r="P10" s="14">
        <v>11</v>
      </c>
      <c r="Q10" s="14">
        <v>10</v>
      </c>
      <c r="R10" s="11">
        <f t="shared" si="0"/>
        <v>9.6428571428571423</v>
      </c>
    </row>
    <row r="11" spans="1:18" ht="15" customHeight="1" x14ac:dyDescent="0.25">
      <c r="A11" s="16" t="s">
        <v>53</v>
      </c>
      <c r="B11" s="16">
        <v>3</v>
      </c>
      <c r="C11" s="2" t="s">
        <v>28</v>
      </c>
      <c r="D11" s="14">
        <v>9</v>
      </c>
      <c r="E11" s="14">
        <v>5</v>
      </c>
      <c r="F11" s="14">
        <v>9</v>
      </c>
      <c r="G11" s="14">
        <v>8</v>
      </c>
      <c r="H11" s="14">
        <v>9</v>
      </c>
      <c r="I11" s="14">
        <v>11</v>
      </c>
      <c r="J11" s="14">
        <v>7</v>
      </c>
      <c r="K11" s="14">
        <v>8</v>
      </c>
      <c r="L11" s="14">
        <v>7</v>
      </c>
      <c r="M11" s="14">
        <v>8</v>
      </c>
      <c r="N11" s="17">
        <v>9</v>
      </c>
      <c r="O11" s="14">
        <v>7</v>
      </c>
      <c r="P11" s="14">
        <v>10</v>
      </c>
      <c r="Q11" s="14">
        <v>10</v>
      </c>
      <c r="R11" s="11">
        <f t="shared" si="0"/>
        <v>8.3571428571428577</v>
      </c>
    </row>
    <row r="12" spans="1:18" ht="15" customHeight="1" x14ac:dyDescent="0.25">
      <c r="A12" s="16" t="s">
        <v>54</v>
      </c>
      <c r="B12" s="16">
        <v>4</v>
      </c>
      <c r="C12" s="2" t="s">
        <v>29</v>
      </c>
      <c r="D12" s="14">
        <v>4</v>
      </c>
      <c r="E12" s="14">
        <v>8</v>
      </c>
      <c r="F12" s="14">
        <v>6</v>
      </c>
      <c r="G12" s="14">
        <v>4</v>
      </c>
      <c r="H12" s="14" t="s">
        <v>64</v>
      </c>
      <c r="I12" s="14">
        <v>4</v>
      </c>
      <c r="J12" s="14">
        <v>4</v>
      </c>
      <c r="K12" s="14">
        <v>6</v>
      </c>
      <c r="L12" s="14">
        <v>4</v>
      </c>
      <c r="M12" s="14">
        <v>4</v>
      </c>
      <c r="N12" s="17">
        <v>4</v>
      </c>
      <c r="O12" s="14" t="s">
        <v>64</v>
      </c>
      <c r="P12" s="14">
        <v>6</v>
      </c>
      <c r="Q12" s="14">
        <v>6</v>
      </c>
      <c r="R12" s="11" t="str">
        <f t="shared" si="0"/>
        <v>-</v>
      </c>
    </row>
    <row r="13" spans="1:18" ht="15" customHeight="1" x14ac:dyDescent="0.25">
      <c r="A13" s="16" t="s">
        <v>53</v>
      </c>
      <c r="B13" s="16">
        <v>5</v>
      </c>
      <c r="C13" s="2" t="s">
        <v>30</v>
      </c>
      <c r="D13" s="14">
        <v>7</v>
      </c>
      <c r="E13" s="14">
        <v>10</v>
      </c>
      <c r="F13" s="14">
        <v>6</v>
      </c>
      <c r="G13" s="14">
        <v>4</v>
      </c>
      <c r="H13" s="14">
        <v>8</v>
      </c>
      <c r="I13" s="14">
        <v>7</v>
      </c>
      <c r="J13" s="14">
        <v>7</v>
      </c>
      <c r="K13" s="14">
        <v>7</v>
      </c>
      <c r="L13" s="14">
        <v>7</v>
      </c>
      <c r="M13" s="14">
        <v>4</v>
      </c>
      <c r="N13" s="17">
        <v>4</v>
      </c>
      <c r="O13" s="14">
        <v>5</v>
      </c>
      <c r="P13" s="14">
        <v>11</v>
      </c>
      <c r="Q13" s="14">
        <v>8</v>
      </c>
      <c r="R13" s="11">
        <f t="shared" si="0"/>
        <v>6.7857142857142856</v>
      </c>
    </row>
    <row r="14" spans="1:18" ht="15" customHeight="1" x14ac:dyDescent="0.25">
      <c r="A14" s="16" t="s">
        <v>54</v>
      </c>
      <c r="B14" s="16">
        <v>6</v>
      </c>
      <c r="C14" s="2" t="s">
        <v>31</v>
      </c>
      <c r="D14" s="14">
        <v>4</v>
      </c>
      <c r="E14" s="14">
        <v>5</v>
      </c>
      <c r="F14" s="14">
        <v>7</v>
      </c>
      <c r="G14" s="14" t="s">
        <v>64</v>
      </c>
      <c r="H14" s="14">
        <v>4</v>
      </c>
      <c r="I14" s="14" t="s">
        <v>64</v>
      </c>
      <c r="J14" s="14">
        <v>5</v>
      </c>
      <c r="K14" s="14">
        <v>7</v>
      </c>
      <c r="L14" s="14">
        <v>5</v>
      </c>
      <c r="M14" s="14" t="s">
        <v>64</v>
      </c>
      <c r="N14" s="17">
        <v>6</v>
      </c>
      <c r="O14" s="14">
        <v>4</v>
      </c>
      <c r="P14" s="14">
        <v>9</v>
      </c>
      <c r="Q14" s="14">
        <v>7</v>
      </c>
      <c r="R14" s="11" t="str">
        <f t="shared" si="0"/>
        <v>-</v>
      </c>
    </row>
    <row r="15" spans="1:18" ht="15" customHeight="1" x14ac:dyDescent="0.25">
      <c r="A15" s="16" t="s">
        <v>53</v>
      </c>
      <c r="B15" s="16">
        <v>7</v>
      </c>
      <c r="C15" s="2" t="s">
        <v>32</v>
      </c>
      <c r="D15" s="14">
        <v>8</v>
      </c>
      <c r="E15" s="14">
        <v>8</v>
      </c>
      <c r="F15" s="14">
        <v>7</v>
      </c>
      <c r="G15" s="14">
        <v>4</v>
      </c>
      <c r="H15" s="14">
        <v>6</v>
      </c>
      <c r="I15" s="14">
        <v>4</v>
      </c>
      <c r="J15" s="14">
        <v>5</v>
      </c>
      <c r="K15" s="14">
        <v>6</v>
      </c>
      <c r="L15" s="14">
        <v>5</v>
      </c>
      <c r="M15" s="14">
        <v>4</v>
      </c>
      <c r="N15" s="17">
        <v>7</v>
      </c>
      <c r="O15" s="14">
        <v>4</v>
      </c>
      <c r="P15" s="14">
        <v>10</v>
      </c>
      <c r="Q15" s="14">
        <v>9</v>
      </c>
      <c r="R15" s="11">
        <f t="shared" si="0"/>
        <v>6.2142857142857144</v>
      </c>
    </row>
    <row r="16" spans="1:18" ht="15" customHeight="1" x14ac:dyDescent="0.25">
      <c r="A16" s="16" t="s">
        <v>53</v>
      </c>
      <c r="B16" s="16">
        <v>8</v>
      </c>
      <c r="C16" s="2" t="s">
        <v>33</v>
      </c>
      <c r="D16" s="14">
        <v>8</v>
      </c>
      <c r="E16" s="14">
        <v>10</v>
      </c>
      <c r="F16" s="14">
        <v>10</v>
      </c>
      <c r="G16" s="14">
        <v>7</v>
      </c>
      <c r="H16" s="14">
        <v>8</v>
      </c>
      <c r="I16" s="14">
        <v>7</v>
      </c>
      <c r="J16" s="14">
        <v>8</v>
      </c>
      <c r="K16" s="14">
        <v>8</v>
      </c>
      <c r="L16" s="14">
        <v>10</v>
      </c>
      <c r="M16" s="14">
        <v>8</v>
      </c>
      <c r="N16" s="17">
        <v>10</v>
      </c>
      <c r="O16" s="14">
        <v>10</v>
      </c>
      <c r="P16" s="14">
        <v>11</v>
      </c>
      <c r="Q16" s="14">
        <v>10</v>
      </c>
      <c r="R16" s="11">
        <f t="shared" si="0"/>
        <v>8.9285714285714288</v>
      </c>
    </row>
    <row r="17" spans="1:18" ht="15" customHeight="1" x14ac:dyDescent="0.25">
      <c r="A17" s="16" t="s">
        <v>53</v>
      </c>
      <c r="B17" s="16">
        <v>9</v>
      </c>
      <c r="C17" s="2" t="s">
        <v>34</v>
      </c>
      <c r="D17" s="14">
        <v>9</v>
      </c>
      <c r="E17" s="14">
        <v>8</v>
      </c>
      <c r="F17" s="14">
        <v>9</v>
      </c>
      <c r="G17" s="14">
        <v>8</v>
      </c>
      <c r="H17" s="14">
        <v>9</v>
      </c>
      <c r="I17" s="14">
        <v>10</v>
      </c>
      <c r="J17" s="14">
        <v>7</v>
      </c>
      <c r="K17" s="14">
        <v>7</v>
      </c>
      <c r="L17" s="14">
        <v>7</v>
      </c>
      <c r="M17" s="14">
        <v>8</v>
      </c>
      <c r="N17" s="17">
        <v>9</v>
      </c>
      <c r="O17" s="14">
        <v>8</v>
      </c>
      <c r="P17" s="14">
        <v>10</v>
      </c>
      <c r="Q17" s="14">
        <v>8</v>
      </c>
      <c r="R17" s="11">
        <f t="shared" si="0"/>
        <v>8.3571428571428577</v>
      </c>
    </row>
    <row r="18" spans="1:18" ht="15" customHeight="1" x14ac:dyDescent="0.25">
      <c r="A18" s="16" t="s">
        <v>53</v>
      </c>
      <c r="B18" s="16">
        <v>10</v>
      </c>
      <c r="C18" s="2" t="s">
        <v>35</v>
      </c>
      <c r="D18" s="14">
        <v>9</v>
      </c>
      <c r="E18" s="14">
        <v>8</v>
      </c>
      <c r="F18" s="14">
        <v>8</v>
      </c>
      <c r="G18" s="14">
        <v>8</v>
      </c>
      <c r="H18" s="14">
        <v>8</v>
      </c>
      <c r="I18" s="14">
        <v>7</v>
      </c>
      <c r="J18" s="14">
        <v>7</v>
      </c>
      <c r="K18" s="14">
        <v>7</v>
      </c>
      <c r="L18" s="14">
        <v>7</v>
      </c>
      <c r="M18" s="14">
        <v>8</v>
      </c>
      <c r="N18" s="17">
        <v>8</v>
      </c>
      <c r="O18" s="14">
        <v>5</v>
      </c>
      <c r="P18" s="14">
        <v>10</v>
      </c>
      <c r="Q18" s="14">
        <v>6</v>
      </c>
      <c r="R18" s="11">
        <f t="shared" si="0"/>
        <v>7.5714285714285712</v>
      </c>
    </row>
    <row r="19" spans="1:18" ht="15" customHeight="1" x14ac:dyDescent="0.25">
      <c r="A19" s="16" t="s">
        <v>53</v>
      </c>
      <c r="B19" s="16">
        <v>11</v>
      </c>
      <c r="C19" s="2" t="s">
        <v>36</v>
      </c>
      <c r="D19" s="14">
        <v>4</v>
      </c>
      <c r="E19" s="14">
        <v>7</v>
      </c>
      <c r="F19" s="14">
        <v>7</v>
      </c>
      <c r="G19" s="14">
        <v>4</v>
      </c>
      <c r="H19" s="14">
        <v>7</v>
      </c>
      <c r="I19" s="14">
        <v>7</v>
      </c>
      <c r="J19" s="14">
        <v>4</v>
      </c>
      <c r="K19" s="14">
        <v>6</v>
      </c>
      <c r="L19" s="14">
        <v>5</v>
      </c>
      <c r="M19" s="14">
        <v>4</v>
      </c>
      <c r="N19" s="17">
        <v>5</v>
      </c>
      <c r="O19" s="14">
        <v>4</v>
      </c>
      <c r="P19" s="14">
        <v>9</v>
      </c>
      <c r="Q19" s="14">
        <v>4</v>
      </c>
      <c r="R19" s="11">
        <f t="shared" si="0"/>
        <v>5.5</v>
      </c>
    </row>
    <row r="20" spans="1:18" ht="15" customHeight="1" x14ac:dyDescent="0.25">
      <c r="A20" s="16" t="s">
        <v>53</v>
      </c>
      <c r="B20" s="16">
        <v>12</v>
      </c>
      <c r="C20" s="2" t="s">
        <v>37</v>
      </c>
      <c r="D20" s="14">
        <v>4</v>
      </c>
      <c r="E20" s="14">
        <v>5</v>
      </c>
      <c r="F20" s="14">
        <v>7</v>
      </c>
      <c r="G20" s="14">
        <v>4</v>
      </c>
      <c r="H20" s="14">
        <v>6</v>
      </c>
      <c r="I20" s="14">
        <v>4</v>
      </c>
      <c r="J20" s="14">
        <v>4</v>
      </c>
      <c r="K20" s="14">
        <v>6</v>
      </c>
      <c r="L20" s="14">
        <v>4</v>
      </c>
      <c r="M20" s="14">
        <v>4</v>
      </c>
      <c r="N20" s="17">
        <v>4</v>
      </c>
      <c r="O20" s="14">
        <v>2</v>
      </c>
      <c r="P20" s="14">
        <v>9</v>
      </c>
      <c r="Q20" s="14">
        <v>6</v>
      </c>
      <c r="R20" s="11" t="s">
        <v>66</v>
      </c>
    </row>
    <row r="21" spans="1:18" ht="15" customHeight="1" x14ac:dyDescent="0.25">
      <c r="A21" s="16" t="s">
        <v>53</v>
      </c>
      <c r="B21" s="16">
        <v>13</v>
      </c>
      <c r="C21" s="2" t="s">
        <v>38</v>
      </c>
      <c r="D21" s="14">
        <v>4</v>
      </c>
      <c r="E21" s="14">
        <v>8</v>
      </c>
      <c r="F21" s="14">
        <v>7</v>
      </c>
      <c r="G21" s="14">
        <v>5</v>
      </c>
      <c r="H21" s="14" t="s">
        <v>64</v>
      </c>
      <c r="I21" s="14">
        <v>4</v>
      </c>
      <c r="J21" s="14">
        <v>5</v>
      </c>
      <c r="K21" s="14">
        <v>6</v>
      </c>
      <c r="L21" s="14">
        <v>4</v>
      </c>
      <c r="M21" s="14">
        <v>5</v>
      </c>
      <c r="N21" s="17">
        <v>5</v>
      </c>
      <c r="O21" s="14">
        <v>3</v>
      </c>
      <c r="P21" s="14">
        <v>5</v>
      </c>
      <c r="Q21" s="14">
        <v>5</v>
      </c>
      <c r="R21" s="11" t="str">
        <f t="shared" si="0"/>
        <v>-</v>
      </c>
    </row>
    <row r="22" spans="1:18" ht="15" customHeight="1" x14ac:dyDescent="0.25">
      <c r="A22" s="16" t="s">
        <v>53</v>
      </c>
      <c r="B22" s="16">
        <v>14</v>
      </c>
      <c r="C22" s="2" t="s">
        <v>39</v>
      </c>
      <c r="D22" s="14">
        <v>10</v>
      </c>
      <c r="E22" s="14">
        <v>9</v>
      </c>
      <c r="F22" s="14">
        <v>10</v>
      </c>
      <c r="G22" s="14">
        <v>10</v>
      </c>
      <c r="H22" s="14">
        <v>10</v>
      </c>
      <c r="I22" s="14">
        <v>11</v>
      </c>
      <c r="J22" s="14">
        <v>9</v>
      </c>
      <c r="K22" s="14">
        <v>10</v>
      </c>
      <c r="L22" s="14">
        <v>8</v>
      </c>
      <c r="M22" s="14">
        <v>10</v>
      </c>
      <c r="N22" s="17">
        <v>10</v>
      </c>
      <c r="O22" s="14">
        <v>9</v>
      </c>
      <c r="P22" s="14">
        <v>9</v>
      </c>
      <c r="Q22" s="14">
        <v>8</v>
      </c>
      <c r="R22" s="11">
        <f t="shared" si="0"/>
        <v>9.5</v>
      </c>
    </row>
    <row r="23" spans="1:18" ht="15" customHeight="1" x14ac:dyDescent="0.25">
      <c r="A23" s="16" t="s">
        <v>53</v>
      </c>
      <c r="B23" s="16">
        <v>15</v>
      </c>
      <c r="C23" s="2" t="s">
        <v>40</v>
      </c>
      <c r="D23" s="14">
        <v>8</v>
      </c>
      <c r="E23" s="14">
        <v>9</v>
      </c>
      <c r="F23" s="14">
        <v>9</v>
      </c>
      <c r="G23" s="14">
        <v>8</v>
      </c>
      <c r="H23" s="14">
        <v>8</v>
      </c>
      <c r="I23" s="14">
        <v>8</v>
      </c>
      <c r="J23" s="14">
        <v>7</v>
      </c>
      <c r="K23" s="14">
        <v>9</v>
      </c>
      <c r="L23" s="14">
        <v>10</v>
      </c>
      <c r="M23" s="14">
        <v>8</v>
      </c>
      <c r="N23" s="17">
        <v>8</v>
      </c>
      <c r="O23" s="14">
        <v>8</v>
      </c>
      <c r="P23" s="14">
        <v>9</v>
      </c>
      <c r="Q23" s="14">
        <v>9</v>
      </c>
      <c r="R23" s="11">
        <f t="shared" si="0"/>
        <v>8.4285714285714288</v>
      </c>
    </row>
    <row r="24" spans="1:18" ht="15" customHeight="1" x14ac:dyDescent="0.25">
      <c r="A24" s="16" t="s">
        <v>53</v>
      </c>
      <c r="B24" s="16">
        <v>16</v>
      </c>
      <c r="C24" s="2" t="s">
        <v>41</v>
      </c>
      <c r="D24" s="14">
        <v>9</v>
      </c>
      <c r="E24" s="14">
        <v>9</v>
      </c>
      <c r="F24" s="14">
        <v>5</v>
      </c>
      <c r="G24" s="14">
        <v>5</v>
      </c>
      <c r="H24" s="14">
        <v>6</v>
      </c>
      <c r="I24" s="14">
        <v>4</v>
      </c>
      <c r="J24" s="14">
        <v>6</v>
      </c>
      <c r="K24" s="14">
        <v>6</v>
      </c>
      <c r="L24" s="14">
        <v>5</v>
      </c>
      <c r="M24" s="14">
        <v>5</v>
      </c>
      <c r="N24" s="17">
        <v>6</v>
      </c>
      <c r="O24" s="14">
        <v>5</v>
      </c>
      <c r="P24" s="14">
        <v>7</v>
      </c>
      <c r="Q24" s="14">
        <v>7</v>
      </c>
      <c r="R24" s="11">
        <f t="shared" si="0"/>
        <v>6.0714285714285712</v>
      </c>
    </row>
    <row r="25" spans="1:18" ht="15" customHeight="1" x14ac:dyDescent="0.25">
      <c r="A25" s="16" t="s">
        <v>53</v>
      </c>
      <c r="B25" s="16">
        <v>17</v>
      </c>
      <c r="C25" s="2" t="s">
        <v>42</v>
      </c>
      <c r="D25" s="14">
        <v>8</v>
      </c>
      <c r="E25" s="14">
        <v>8</v>
      </c>
      <c r="F25" s="14">
        <v>8</v>
      </c>
      <c r="G25" s="14">
        <v>4</v>
      </c>
      <c r="H25" s="14">
        <v>4</v>
      </c>
      <c r="I25" s="14">
        <v>9</v>
      </c>
      <c r="J25" s="14">
        <v>4</v>
      </c>
      <c r="K25" s="14">
        <v>6</v>
      </c>
      <c r="L25" s="14">
        <v>5</v>
      </c>
      <c r="M25" s="14">
        <v>4</v>
      </c>
      <c r="N25" s="17">
        <v>5</v>
      </c>
      <c r="O25" s="14">
        <v>4</v>
      </c>
      <c r="P25" s="14">
        <v>6</v>
      </c>
      <c r="Q25" s="14">
        <v>5</v>
      </c>
      <c r="R25" s="11">
        <f t="shared" si="0"/>
        <v>5.7142857142857144</v>
      </c>
    </row>
    <row r="26" spans="1:18" ht="15" customHeight="1" x14ac:dyDescent="0.25">
      <c r="A26" s="16" t="s">
        <v>54</v>
      </c>
      <c r="B26" s="16">
        <v>18</v>
      </c>
      <c r="C26" s="2" t="s">
        <v>43</v>
      </c>
      <c r="D26" s="14">
        <v>7</v>
      </c>
      <c r="E26" s="14">
        <v>8</v>
      </c>
      <c r="F26" s="14">
        <v>10</v>
      </c>
      <c r="G26" s="14">
        <v>4</v>
      </c>
      <c r="H26" s="14">
        <v>5</v>
      </c>
      <c r="I26" s="14">
        <v>6</v>
      </c>
      <c r="J26" s="14">
        <v>5</v>
      </c>
      <c r="K26" s="14">
        <v>7</v>
      </c>
      <c r="L26" s="14">
        <v>7</v>
      </c>
      <c r="M26" s="14">
        <v>4</v>
      </c>
      <c r="N26" s="17">
        <v>4</v>
      </c>
      <c r="O26" s="14">
        <v>4</v>
      </c>
      <c r="P26" s="14">
        <v>5</v>
      </c>
      <c r="Q26" s="14">
        <v>8</v>
      </c>
      <c r="R26" s="11">
        <f t="shared" si="0"/>
        <v>6</v>
      </c>
    </row>
    <row r="27" spans="1:18" ht="15" customHeight="1" x14ac:dyDescent="0.25">
      <c r="A27" s="15" t="s">
        <v>53</v>
      </c>
      <c r="B27" s="16">
        <v>19</v>
      </c>
      <c r="C27" s="2" t="s">
        <v>44</v>
      </c>
      <c r="D27" s="14">
        <v>7</v>
      </c>
      <c r="E27" s="14">
        <v>7</v>
      </c>
      <c r="F27" s="14">
        <v>9</v>
      </c>
      <c r="G27" s="14">
        <v>4</v>
      </c>
      <c r="H27" s="14">
        <v>6</v>
      </c>
      <c r="I27" s="14">
        <v>4</v>
      </c>
      <c r="J27" s="14">
        <v>6</v>
      </c>
      <c r="K27" s="14">
        <v>7</v>
      </c>
      <c r="L27" s="14">
        <v>7</v>
      </c>
      <c r="M27" s="14">
        <v>5</v>
      </c>
      <c r="N27" s="17">
        <v>8</v>
      </c>
      <c r="O27" s="14">
        <v>7</v>
      </c>
      <c r="P27" s="14">
        <v>8</v>
      </c>
      <c r="Q27" s="14">
        <v>7</v>
      </c>
      <c r="R27" s="11">
        <f t="shared" si="0"/>
        <v>6.5714285714285712</v>
      </c>
    </row>
    <row r="28" spans="1:18" ht="15" customHeight="1" x14ac:dyDescent="0.25">
      <c r="A28" s="16" t="s">
        <v>54</v>
      </c>
      <c r="B28" s="16">
        <v>20</v>
      </c>
      <c r="C28" s="2" t="s">
        <v>45</v>
      </c>
      <c r="D28" s="14">
        <v>8</v>
      </c>
      <c r="E28" s="14">
        <v>7</v>
      </c>
      <c r="F28" s="14">
        <v>5</v>
      </c>
      <c r="G28" s="14">
        <v>4</v>
      </c>
      <c r="H28" s="14">
        <v>6</v>
      </c>
      <c r="I28" s="14">
        <v>4</v>
      </c>
      <c r="J28" s="14">
        <v>4</v>
      </c>
      <c r="K28" s="14">
        <v>7</v>
      </c>
      <c r="L28" s="14">
        <v>4</v>
      </c>
      <c r="M28" s="14">
        <v>4</v>
      </c>
      <c r="N28" s="17">
        <v>4</v>
      </c>
      <c r="O28" s="14">
        <v>2</v>
      </c>
      <c r="P28" s="14">
        <v>8</v>
      </c>
      <c r="Q28" s="14">
        <v>7</v>
      </c>
      <c r="R28" s="11">
        <f t="shared" si="0"/>
        <v>5.2857142857142856</v>
      </c>
    </row>
    <row r="29" spans="1:18" ht="15" customHeight="1" x14ac:dyDescent="0.25">
      <c r="A29" s="16" t="s">
        <v>53</v>
      </c>
      <c r="B29" s="16">
        <v>21</v>
      </c>
      <c r="C29" s="2" t="s">
        <v>46</v>
      </c>
      <c r="D29" s="14">
        <v>9</v>
      </c>
      <c r="E29" s="14">
        <v>8</v>
      </c>
      <c r="F29" s="14">
        <v>10</v>
      </c>
      <c r="G29" s="14">
        <v>9</v>
      </c>
      <c r="H29" s="14">
        <v>8</v>
      </c>
      <c r="I29" s="14">
        <v>4</v>
      </c>
      <c r="J29" s="14">
        <v>7</v>
      </c>
      <c r="K29" s="14">
        <v>8</v>
      </c>
      <c r="L29" s="14">
        <v>7</v>
      </c>
      <c r="M29" s="14">
        <v>8</v>
      </c>
      <c r="N29" s="17">
        <v>10</v>
      </c>
      <c r="O29" s="14">
        <v>8</v>
      </c>
      <c r="P29" s="14">
        <v>11</v>
      </c>
      <c r="Q29" s="14">
        <v>7</v>
      </c>
      <c r="R29" s="11">
        <f t="shared" si="0"/>
        <v>8.1428571428571423</v>
      </c>
    </row>
    <row r="30" spans="1:18" ht="15" customHeight="1" x14ac:dyDescent="0.25">
      <c r="A30" s="16" t="s">
        <v>53</v>
      </c>
      <c r="B30" s="16">
        <v>22</v>
      </c>
      <c r="C30" s="2" t="s">
        <v>47</v>
      </c>
      <c r="D30" s="18">
        <v>10</v>
      </c>
      <c r="E30" s="18">
        <v>5</v>
      </c>
      <c r="F30" s="18">
        <v>10</v>
      </c>
      <c r="G30" s="18">
        <v>9</v>
      </c>
      <c r="H30" s="18">
        <v>8</v>
      </c>
      <c r="I30" s="18">
        <v>9</v>
      </c>
      <c r="J30" s="18">
        <v>8</v>
      </c>
      <c r="K30" s="18">
        <v>8</v>
      </c>
      <c r="L30" s="18">
        <v>6</v>
      </c>
      <c r="M30" s="18">
        <v>8</v>
      </c>
      <c r="N30" s="18">
        <v>8</v>
      </c>
      <c r="O30" s="18">
        <v>7</v>
      </c>
      <c r="P30" s="18">
        <v>10</v>
      </c>
      <c r="Q30" s="18">
        <v>7</v>
      </c>
      <c r="R30" s="11">
        <f t="shared" si="0"/>
        <v>8.0714285714285712</v>
      </c>
    </row>
    <row r="31" spans="1:18" ht="15" customHeight="1" x14ac:dyDescent="0.25">
      <c r="A31" s="16" t="s">
        <v>54</v>
      </c>
      <c r="B31" s="16">
        <v>23</v>
      </c>
      <c r="C31" s="2" t="s">
        <v>48</v>
      </c>
      <c r="D31" s="18">
        <v>9</v>
      </c>
      <c r="E31" s="18">
        <v>9</v>
      </c>
      <c r="F31" s="18">
        <v>10</v>
      </c>
      <c r="G31" s="18">
        <v>10</v>
      </c>
      <c r="H31" s="18">
        <v>7</v>
      </c>
      <c r="I31" s="18">
        <v>8</v>
      </c>
      <c r="J31" s="18">
        <v>6</v>
      </c>
      <c r="K31" s="18">
        <v>8</v>
      </c>
      <c r="L31" s="18">
        <v>7</v>
      </c>
      <c r="M31" s="18">
        <v>10</v>
      </c>
      <c r="N31" s="18">
        <v>7</v>
      </c>
      <c r="O31" s="18">
        <v>10</v>
      </c>
      <c r="P31" s="18">
        <v>10</v>
      </c>
      <c r="Q31" s="18">
        <v>7</v>
      </c>
      <c r="R31" s="11">
        <f t="shared" si="0"/>
        <v>8.4285714285714288</v>
      </c>
    </row>
    <row r="32" spans="1:18" ht="15" customHeight="1" x14ac:dyDescent="0.25">
      <c r="A32" s="16" t="s">
        <v>54</v>
      </c>
      <c r="B32" s="16">
        <v>24</v>
      </c>
      <c r="C32" s="2" t="s">
        <v>49</v>
      </c>
      <c r="D32" s="14">
        <v>4</v>
      </c>
      <c r="E32" s="14">
        <v>4</v>
      </c>
      <c r="F32" s="14">
        <v>5</v>
      </c>
      <c r="G32" s="14" t="s">
        <v>64</v>
      </c>
      <c r="H32" s="14" t="s">
        <v>64</v>
      </c>
      <c r="I32" s="14">
        <v>4</v>
      </c>
      <c r="J32" s="14">
        <v>4</v>
      </c>
      <c r="K32" s="14">
        <v>4</v>
      </c>
      <c r="L32" s="14">
        <v>4</v>
      </c>
      <c r="M32" s="14" t="s">
        <v>64</v>
      </c>
      <c r="N32" s="17">
        <v>4</v>
      </c>
      <c r="O32" s="14" t="s">
        <v>64</v>
      </c>
      <c r="P32" s="14">
        <v>4</v>
      </c>
      <c r="Q32" s="14">
        <v>8</v>
      </c>
      <c r="R32" s="11" t="str">
        <f t="shared" si="0"/>
        <v>-</v>
      </c>
    </row>
    <row r="33" spans="1:21" ht="15" customHeight="1" x14ac:dyDescent="0.25">
      <c r="A33" s="16" t="s">
        <v>54</v>
      </c>
      <c r="B33" s="16">
        <v>25</v>
      </c>
      <c r="C33" s="2" t="s">
        <v>50</v>
      </c>
      <c r="D33" s="14">
        <v>7</v>
      </c>
      <c r="E33" s="14">
        <v>4</v>
      </c>
      <c r="F33" s="14">
        <v>5</v>
      </c>
      <c r="G33" s="14">
        <v>4</v>
      </c>
      <c r="H33" s="14">
        <v>4</v>
      </c>
      <c r="I33" s="14">
        <v>4</v>
      </c>
      <c r="J33" s="14">
        <v>5</v>
      </c>
      <c r="K33" s="14">
        <v>4</v>
      </c>
      <c r="L33" s="14">
        <v>4</v>
      </c>
      <c r="M33" s="14">
        <v>4</v>
      </c>
      <c r="N33" s="17">
        <v>4</v>
      </c>
      <c r="O33" s="14" t="s">
        <v>64</v>
      </c>
      <c r="P33" s="14">
        <v>7</v>
      </c>
      <c r="Q33" s="14">
        <v>6</v>
      </c>
      <c r="R33" s="11" t="str">
        <f t="shared" si="0"/>
        <v>-</v>
      </c>
    </row>
    <row r="34" spans="1:21" ht="15" customHeight="1" x14ac:dyDescent="0.25">
      <c r="A34" s="16" t="s">
        <v>53</v>
      </c>
      <c r="B34" s="16">
        <v>26</v>
      </c>
      <c r="C34" s="2" t="s">
        <v>51</v>
      </c>
      <c r="D34" s="7">
        <v>9</v>
      </c>
      <c r="E34" s="7">
        <v>10</v>
      </c>
      <c r="F34" s="7">
        <v>10</v>
      </c>
      <c r="G34" s="7">
        <v>8</v>
      </c>
      <c r="H34" s="7">
        <v>10</v>
      </c>
      <c r="I34" s="7">
        <v>8</v>
      </c>
      <c r="J34" s="7">
        <v>7</v>
      </c>
      <c r="K34" s="7">
        <v>10</v>
      </c>
      <c r="L34" s="7">
        <v>9</v>
      </c>
      <c r="M34" s="7">
        <v>8</v>
      </c>
      <c r="N34" s="17">
        <v>9</v>
      </c>
      <c r="O34" s="7">
        <v>8</v>
      </c>
      <c r="P34" s="7">
        <v>11</v>
      </c>
      <c r="Q34" s="7">
        <v>10</v>
      </c>
      <c r="R34" s="11">
        <f t="shared" si="0"/>
        <v>9.0714285714285712</v>
      </c>
    </row>
    <row r="35" spans="1:21" ht="15" customHeight="1" x14ac:dyDescent="0.25">
      <c r="C35" s="2" t="s">
        <v>9</v>
      </c>
      <c r="D35" s="12">
        <f>IF(SUM(D9:D34)/B34=0,"",SUM(D9:D34)/B34)</f>
        <v>7.2692307692307692</v>
      </c>
      <c r="E35" s="12">
        <f>IF(SUM(E9:E34)/B34=0,"",SUM(E9:E34)/B34)</f>
        <v>7.5384615384615383</v>
      </c>
      <c r="F35" s="12">
        <f>IF(SUM(F9:F34)/B34=0,"",SUM(F9:F34)/B34)</f>
        <v>7.9615384615384617</v>
      </c>
      <c r="G35" s="12">
        <f>IF(SUM(G9:G34)/B34=0,"",SUM(G9:G34)/B34)</f>
        <v>5.8076923076923075</v>
      </c>
      <c r="H35" s="12">
        <f>IF(SUM(H9:H34)/B34=0,"",SUM(H9:H34)/B34)</f>
        <v>6.3076923076923075</v>
      </c>
      <c r="I35" s="12">
        <f>IF(SUM(I9:I34)/B34=0,"",SUM(I9:I34)/B34)</f>
        <v>6.3076923076923075</v>
      </c>
      <c r="J35" s="12">
        <f>IF(SUM(J9:J34)/B34=0,"",SUM(J9:J34)/B34)</f>
        <v>5.9230769230769234</v>
      </c>
      <c r="K35" s="12">
        <f>IF(SUM(K9:K34)/B34=0,"",SUM(K9:K34)/B34)</f>
        <v>7.0769230769230766</v>
      </c>
      <c r="L35" s="12">
        <f>IF(SUM(L9:L34)/B34=0,"",SUM(L9:L34)/B34)</f>
        <v>6.1923076923076925</v>
      </c>
      <c r="M35" s="12">
        <f>IF(SUM(M9:M34)/B34=0,"",SUM(M9:M34)/B34)</f>
        <v>5.7692307692307692</v>
      </c>
      <c r="N35" s="12">
        <f>IF(SUM(N9:N34)/B34=0,"",SUM(N9:N34)/B34)</f>
        <v>6.6923076923076925</v>
      </c>
      <c r="O35" s="12">
        <f>IF(SUM(O9:O34)/B34=0,"",SUM(O9:O34)/B34)</f>
        <v>5.3076923076923075</v>
      </c>
      <c r="P35" s="12">
        <f>IF(SUM(P9:P34)/B34=0,"",SUM(P9:P34)/B34)</f>
        <v>8.5769230769230766</v>
      </c>
      <c r="Q35" s="12">
        <f>IF(SUM(Q9:Q34)/B34=0,"",SUM(Q9:Q34)/B34)</f>
        <v>7.4230769230769234</v>
      </c>
      <c r="R35" s="11">
        <f>IFERROR(AVERAGE(D35:Q35),"")</f>
        <v>6.7252747252747254</v>
      </c>
    </row>
    <row r="36" spans="1:21" ht="15" customHeight="1" x14ac:dyDescent="0.25">
      <c r="C36" s="2" t="s">
        <v>10</v>
      </c>
      <c r="D36" s="13">
        <f>IF(COUNTIF(D9:D34,"&gt;=4")/B34*100=0,"",COUNTIF(D9:D34,"&gt;=4")/B34*100)</f>
        <v>100</v>
      </c>
      <c r="E36" s="13">
        <f>IF(COUNTIF(E9:E34,"&gt;=4")/B34*100=0,"",COUNTIF(E9:E34,"&gt;=4")/B34*100)</f>
        <v>100</v>
      </c>
      <c r="F36" s="13">
        <f>IF(COUNTIF(F9:F34,"&gt;=4")/B34*100=0,"",COUNTIF(F9:F34,"&gt;=4")/B34*100)</f>
        <v>100</v>
      </c>
      <c r="G36" s="13">
        <f>IF(COUNTIF(G9:G34,"&gt;=4")/B34*100=0,"",COUNTIF(G9:G34,"&gt;=4")/B34*100)</f>
        <v>92.307692307692307</v>
      </c>
      <c r="H36" s="13">
        <f>IF(COUNTIF(H9:H34,"&gt;=4")/B34*100=0,"",COUNTIF(H9:H34,"&gt;=4")/B34*100)</f>
        <v>88.461538461538453</v>
      </c>
      <c r="I36" s="13">
        <f>IF(COUNTIF(I9:I34,"&gt;=4")/B34*100=0,"",COUNTIF(I9:I34,"&gt;=4")/B34*100)</f>
        <v>96.15384615384616</v>
      </c>
      <c r="J36" s="13">
        <f>IF(COUNTIF(J9:J34,"&gt;=4")/B34*100=0,"",COUNTIF(J9:J34,"&gt;=4")/B34*100)</f>
        <v>100</v>
      </c>
      <c r="K36" s="13">
        <f>IF(COUNTIF(K9:K34,"&gt;=4")/B34*100=0,"",COUNTIF(K9:K34,"&gt;=4")/B34*100)</f>
        <v>100</v>
      </c>
      <c r="L36" s="13">
        <f>IF(COUNTIF(L9:L34,"&gt;=4")/B34*100=0,"",COUNTIF(L9:L34,"&gt;=4")/B34*100)</f>
        <v>100</v>
      </c>
      <c r="M36" s="13">
        <f>IF(COUNTIF(M9:M34,"&gt;=4")/B34*100=0,"",COUNTIF(M9:M34,"&gt;=4")/B34*100)</f>
        <v>92.307692307692307</v>
      </c>
      <c r="N36" s="13">
        <f>IF(COUNTIF(N9:N34,"&gt;=4")/B34*100=0,"",COUNTIF(N9:N34,"&gt;=4")/B34*100)</f>
        <v>100</v>
      </c>
      <c r="O36" s="13">
        <f>IF(COUNTIF(O9:O34,"&gt;=4")/B34*100=0,"",COUNTIF(O9:O34,"&gt;=4")/B34*100)</f>
        <v>76.923076923076934</v>
      </c>
      <c r="P36" s="13">
        <f>IF(COUNTIF(P9:P34,"&gt;=4")/B34*100=0,"",COUNTIF(P9:P34,"&gt;=4")/B34*100)</f>
        <v>100</v>
      </c>
      <c r="Q36" s="13">
        <f>IF(COUNTIF(Q9:Q34,"&gt;=4")/B34*100=0,"",COUNTIF(Q9:Q34,"&gt;=4")/B34*100)</f>
        <v>100</v>
      </c>
      <c r="R36" s="4"/>
      <c r="S36" s="4"/>
      <c r="T36" s="4"/>
      <c r="U36" s="4"/>
    </row>
    <row r="37" spans="1:21" ht="15" customHeight="1" x14ac:dyDescent="0.25">
      <c r="C37" s="2" t="s">
        <v>11</v>
      </c>
      <c r="D37" s="13">
        <f>IF(COUNTIF(D9:D34,"&gt;=7")/B34*100=0,"",COUNTIF(D9:D34,"&gt;=7")/B34*100)</f>
        <v>73.076923076923066</v>
      </c>
      <c r="E37" s="13">
        <f>IF(COUNTIF(E9:E34,"&gt;=7")/B34*100=0,"",COUNTIF(E9:E34,"&gt;=7")/B34*100)</f>
        <v>76.923076923076934</v>
      </c>
      <c r="F37" s="13">
        <f>IF(COUNTIF(F9:F34,"&gt;=7")/B34*100=0,"",COUNTIF(F9:F34,"&gt;=7")/B34*100)</f>
        <v>76.923076923076934</v>
      </c>
      <c r="G37" s="13">
        <f>IF(COUNTIF(G9:G34,"&gt;=7")/B34*100=0,"",COUNTIF(G9:G34,"&gt;=7")/B34*100)</f>
        <v>42.307692307692307</v>
      </c>
      <c r="H37" s="13">
        <f>IF(COUNTIF(H9:H34,"&gt;=7")/B34*100=0,"",COUNTIF(H9:H34,"&gt;=7")/B34*100)</f>
        <v>53.846153846153847</v>
      </c>
      <c r="I37" s="13">
        <f>IF(COUNTIF(I9:I34,"&gt;=7")/B34*100=0,"",COUNTIF(I9:I34,"&gt;=7")/B34*100)</f>
        <v>50</v>
      </c>
      <c r="J37" s="13">
        <f>IF(COUNTIF(J9:J34,"&gt;=7")/B34*100=0,"",COUNTIF(J9:J34,"&gt;=7")/B34*100)</f>
        <v>42.307692307692307</v>
      </c>
      <c r="K37" s="13">
        <f>IF(COUNTIF(K9:K34,"&gt;=7")/B34*100=0,"",COUNTIF(K9:K34,"&gt;=7")/B34*100)</f>
        <v>65.384615384615387</v>
      </c>
      <c r="L37" s="13">
        <f>IF(COUNTIF(L9:L34,"&gt;=7")/B34*100=0,"",COUNTIF(L9:L34,"&gt;=7")/B34*100)</f>
        <v>50</v>
      </c>
      <c r="M37" s="13">
        <f>IF(COUNTIF(M9:M34,"&gt;=7")/B34*100=0,"",COUNTIF(M9:M34,"&gt;=7")/B34*100)</f>
        <v>42.307692307692307</v>
      </c>
      <c r="N37" s="13">
        <f>IF(COUNTIF(N9:N34,"&gt;=7")/B34*100=0,"",COUNTIF(N9:N34,"&gt;=7")/B34*100)</f>
        <v>53.846153846153847</v>
      </c>
      <c r="O37" s="13">
        <f>IF(COUNTIF(O9:O34,"&gt;=7")/B34*100=0,"",COUNTIF(O9:O34,"&gt;=7")/B34*100)</f>
        <v>42.307692307692307</v>
      </c>
      <c r="P37" s="13">
        <f>IF(COUNTIF(P9:P34,"&gt;=7")/B34*100=0,"",COUNTIF(P9:P34,"&gt;=7")/B34*100)</f>
        <v>80.769230769230774</v>
      </c>
      <c r="Q37" s="13">
        <f>IF(COUNTIF(Q9:Q34,"&gt;=7")/B34*100=0,"",COUNTIF(Q9:Q34,"&gt;=7")/B34*100)</f>
        <v>73.076923076923066</v>
      </c>
      <c r="R37" s="4"/>
      <c r="S37" s="4"/>
      <c r="T37" s="4"/>
      <c r="U37" s="4"/>
    </row>
    <row r="38" spans="1:21" ht="15" customHeight="1" x14ac:dyDescent="0.25">
      <c r="C38" s="2" t="s">
        <v>12</v>
      </c>
      <c r="D38" s="12">
        <f>IFERROR(AVERAGE(D36:Q36),"")</f>
        <v>96.153846153846146</v>
      </c>
      <c r="R38" s="4"/>
      <c r="S38" s="4"/>
      <c r="T38" s="4"/>
      <c r="U38" s="4"/>
    </row>
    <row r="39" spans="1:21" ht="15" customHeight="1" x14ac:dyDescent="0.25">
      <c r="C39" s="2" t="s">
        <v>13</v>
      </c>
      <c r="D39" s="12">
        <f>IFERROR(AVERAGE(D37:Q37),"")</f>
        <v>58.791208791208796</v>
      </c>
      <c r="R39" s="4"/>
      <c r="S39" s="4"/>
      <c r="T39" s="4"/>
      <c r="U39" s="4"/>
    </row>
    <row r="40" spans="1:21" ht="15" customHeight="1" x14ac:dyDescent="0.25">
      <c r="C40" s="2" t="s">
        <v>14</v>
      </c>
      <c r="D40" s="7">
        <f>IF(COUNTIF(A9:A34,"=Б")=0,"",COUNTIF(A9:A34,"=Б"))</f>
        <v>18</v>
      </c>
      <c r="R40" s="4"/>
      <c r="S40" s="4"/>
      <c r="T40" s="4"/>
      <c r="U40" s="4"/>
    </row>
    <row r="41" spans="1:21" ht="15" customHeight="1" x14ac:dyDescent="0.25">
      <c r="C41" s="2" t="s">
        <v>15</v>
      </c>
      <c r="D41" s="7">
        <f>IF(COUNTIF(A9:A34,"=К")=0,"",COUNTIF(A9:A34,"=К"))</f>
        <v>8</v>
      </c>
      <c r="F41" s="3" t="s">
        <v>18</v>
      </c>
      <c r="M41" s="3" t="s">
        <v>65</v>
      </c>
    </row>
    <row r="42" spans="1:21" ht="15" customHeight="1" x14ac:dyDescent="0.25">
      <c r="C42" s="2" t="s">
        <v>16</v>
      </c>
      <c r="D42" s="7">
        <v>1</v>
      </c>
    </row>
    <row r="43" spans="1:21" ht="15" customHeight="1" x14ac:dyDescent="0.25">
      <c r="C43" s="2" t="s">
        <v>17</v>
      </c>
      <c r="D43" s="7">
        <f>'Рейтингова відомість 141'!D28</f>
        <v>7</v>
      </c>
      <c r="F43" s="3" t="s">
        <v>19</v>
      </c>
      <c r="M43" s="3" t="s">
        <v>20</v>
      </c>
    </row>
  </sheetData>
  <sortState ref="A9:C34">
    <sortCondition ref="C9:C34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abSelected="1" zoomScaleNormal="100" workbookViewId="0">
      <selection sqref="A1:T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8.7109375" style="1" customWidth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20" s="27" customFormat="1" ht="15" customHeight="1" x14ac:dyDescent="0.25">
      <c r="A1" s="32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s="27" customFormat="1" ht="15" customHeight="1" x14ac:dyDescent="0.25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s="26" customFormat="1" ht="15" customHeight="1" x14ac:dyDescent="0.25">
      <c r="A3" s="33" t="s">
        <v>67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s="27" customFormat="1" ht="15" customHeight="1" x14ac:dyDescent="0.25">
      <c r="A4" s="34" t="s">
        <v>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s="27" customFormat="1" ht="15" customHeight="1" x14ac:dyDescent="0.25">
      <c r="A5" s="34" t="s">
        <v>69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27" customFormat="1" ht="15" customHeight="1" x14ac:dyDescent="0.25">
      <c r="A6" s="32" t="s">
        <v>52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" customHeight="1" x14ac:dyDescent="0.25">
      <c r="A7" s="29" t="s">
        <v>1</v>
      </c>
      <c r="B7" s="31" t="s">
        <v>23</v>
      </c>
      <c r="C7" s="31" t="s">
        <v>24</v>
      </c>
      <c r="D7" s="30" t="s">
        <v>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5"/>
    </row>
    <row r="8" spans="1:20" ht="125.1" customHeight="1" x14ac:dyDescent="0.25">
      <c r="A8" s="30"/>
      <c r="B8" s="30"/>
      <c r="C8" s="30"/>
      <c r="D8" s="9" t="s">
        <v>5</v>
      </c>
      <c r="E8" s="9" t="s">
        <v>3</v>
      </c>
      <c r="F8" s="9" t="s">
        <v>7</v>
      </c>
      <c r="G8" s="9" t="s">
        <v>4</v>
      </c>
      <c r="H8" s="9" t="s">
        <v>55</v>
      </c>
      <c r="I8" s="9" t="s">
        <v>56</v>
      </c>
      <c r="J8" s="9" t="s">
        <v>57</v>
      </c>
      <c r="K8" s="9" t="s">
        <v>6</v>
      </c>
      <c r="L8" s="9" t="s">
        <v>58</v>
      </c>
      <c r="M8" s="9" t="s">
        <v>59</v>
      </c>
      <c r="N8" s="9" t="s">
        <v>60</v>
      </c>
      <c r="O8" s="9" t="s">
        <v>61</v>
      </c>
      <c r="P8" s="9" t="s">
        <v>62</v>
      </c>
      <c r="Q8" s="9" t="s">
        <v>63</v>
      </c>
      <c r="R8" s="10" t="s">
        <v>8</v>
      </c>
      <c r="S8" s="10" t="s">
        <v>68</v>
      </c>
    </row>
    <row r="9" spans="1:20" ht="15" customHeight="1" x14ac:dyDescent="0.25">
      <c r="A9" s="20" t="s">
        <v>53</v>
      </c>
      <c r="B9" s="20">
        <v>1</v>
      </c>
      <c r="C9" s="21" t="s">
        <v>27</v>
      </c>
      <c r="D9" s="22">
        <v>10</v>
      </c>
      <c r="E9" s="22">
        <v>10</v>
      </c>
      <c r="F9" s="22">
        <v>10</v>
      </c>
      <c r="G9" s="22">
        <v>10</v>
      </c>
      <c r="H9" s="22">
        <v>10</v>
      </c>
      <c r="I9" s="22">
        <v>11</v>
      </c>
      <c r="J9" s="22">
        <v>7</v>
      </c>
      <c r="K9" s="22">
        <v>9</v>
      </c>
      <c r="L9" s="22">
        <v>8</v>
      </c>
      <c r="M9" s="22">
        <v>10</v>
      </c>
      <c r="N9" s="22">
        <v>9</v>
      </c>
      <c r="O9" s="22">
        <v>10</v>
      </c>
      <c r="P9" s="22">
        <v>11</v>
      </c>
      <c r="Q9" s="22">
        <v>10</v>
      </c>
      <c r="R9" s="23">
        <f>IF(COUNTIF(D9:Q9,"=*")&gt;0,"-",(IFERROR(AVERAGE(D9:Q9),"")))</f>
        <v>9.6428571428571423</v>
      </c>
      <c r="S9" s="23">
        <f>R9*90/12</f>
        <v>72.321428571428569</v>
      </c>
    </row>
    <row r="10" spans="1:20" ht="15" customHeight="1" x14ac:dyDescent="0.25">
      <c r="A10" s="20" t="s">
        <v>53</v>
      </c>
      <c r="B10" s="20">
        <v>2</v>
      </c>
      <c r="C10" s="21" t="s">
        <v>39</v>
      </c>
      <c r="D10" s="22">
        <v>10</v>
      </c>
      <c r="E10" s="22">
        <v>9</v>
      </c>
      <c r="F10" s="22">
        <v>10</v>
      </c>
      <c r="G10" s="22">
        <v>10</v>
      </c>
      <c r="H10" s="22">
        <v>10</v>
      </c>
      <c r="I10" s="22">
        <v>11</v>
      </c>
      <c r="J10" s="22">
        <v>9</v>
      </c>
      <c r="K10" s="22">
        <v>10</v>
      </c>
      <c r="L10" s="22">
        <v>8</v>
      </c>
      <c r="M10" s="22">
        <v>10</v>
      </c>
      <c r="N10" s="22">
        <v>10</v>
      </c>
      <c r="O10" s="22">
        <v>9</v>
      </c>
      <c r="P10" s="22">
        <v>9</v>
      </c>
      <c r="Q10" s="22">
        <v>8</v>
      </c>
      <c r="R10" s="23">
        <f>IF(COUNTIF(D10:Q10,"=*")&gt;0,"-",(IFERROR(AVERAGE(D10:Q10),"")))</f>
        <v>9.5</v>
      </c>
      <c r="S10" s="23">
        <f t="shared" ref="S10:S24" si="0">R10*90/12</f>
        <v>71.25</v>
      </c>
    </row>
    <row r="11" spans="1:20" ht="15" customHeight="1" x14ac:dyDescent="0.25">
      <c r="A11" s="20" t="s">
        <v>53</v>
      </c>
      <c r="B11" s="20">
        <v>3</v>
      </c>
      <c r="C11" s="21" t="s">
        <v>51</v>
      </c>
      <c r="D11" s="22">
        <v>9</v>
      </c>
      <c r="E11" s="22">
        <v>10</v>
      </c>
      <c r="F11" s="22">
        <v>10</v>
      </c>
      <c r="G11" s="22">
        <v>8</v>
      </c>
      <c r="H11" s="22">
        <v>10</v>
      </c>
      <c r="I11" s="22">
        <v>8</v>
      </c>
      <c r="J11" s="22">
        <v>7</v>
      </c>
      <c r="K11" s="22">
        <v>10</v>
      </c>
      <c r="L11" s="22">
        <v>9</v>
      </c>
      <c r="M11" s="22">
        <v>8</v>
      </c>
      <c r="N11" s="22">
        <v>9</v>
      </c>
      <c r="O11" s="22">
        <v>8</v>
      </c>
      <c r="P11" s="22">
        <v>11</v>
      </c>
      <c r="Q11" s="22">
        <v>10</v>
      </c>
      <c r="R11" s="23">
        <f>IF(COUNTIF(D11:Q11,"=*")&gt;0,"-",(IFERROR(AVERAGE(D11:Q11),"")))</f>
        <v>9.0714285714285712</v>
      </c>
      <c r="S11" s="23">
        <f t="shared" si="0"/>
        <v>68.035714285714292</v>
      </c>
    </row>
    <row r="12" spans="1:20" ht="15" customHeight="1" x14ac:dyDescent="0.25">
      <c r="A12" s="20" t="s">
        <v>53</v>
      </c>
      <c r="B12" s="20">
        <v>4</v>
      </c>
      <c r="C12" s="21" t="s">
        <v>33</v>
      </c>
      <c r="D12" s="22">
        <v>8</v>
      </c>
      <c r="E12" s="22">
        <v>10</v>
      </c>
      <c r="F12" s="22">
        <v>10</v>
      </c>
      <c r="G12" s="22">
        <v>7</v>
      </c>
      <c r="H12" s="22">
        <v>8</v>
      </c>
      <c r="I12" s="22">
        <v>7</v>
      </c>
      <c r="J12" s="22">
        <v>8</v>
      </c>
      <c r="K12" s="22">
        <v>8</v>
      </c>
      <c r="L12" s="22">
        <v>10</v>
      </c>
      <c r="M12" s="22">
        <v>8</v>
      </c>
      <c r="N12" s="22">
        <v>10</v>
      </c>
      <c r="O12" s="22">
        <v>10</v>
      </c>
      <c r="P12" s="22">
        <v>11</v>
      </c>
      <c r="Q12" s="22">
        <v>10</v>
      </c>
      <c r="R12" s="23">
        <f>IF(COUNTIF(D12:Q12,"=*")&gt;0,"-",(IFERROR(AVERAGE(D12:Q12),"")))</f>
        <v>8.9285714285714288</v>
      </c>
      <c r="S12" s="23">
        <f t="shared" si="0"/>
        <v>66.964285714285708</v>
      </c>
    </row>
    <row r="13" spans="1:20" ht="15" customHeight="1" x14ac:dyDescent="0.25">
      <c r="A13" s="20" t="s">
        <v>53</v>
      </c>
      <c r="B13" s="20">
        <v>5</v>
      </c>
      <c r="C13" s="21" t="s">
        <v>40</v>
      </c>
      <c r="D13" s="22">
        <v>8</v>
      </c>
      <c r="E13" s="22">
        <v>9</v>
      </c>
      <c r="F13" s="22">
        <v>9</v>
      </c>
      <c r="G13" s="22">
        <v>8</v>
      </c>
      <c r="H13" s="22">
        <v>8</v>
      </c>
      <c r="I13" s="22">
        <v>8</v>
      </c>
      <c r="J13" s="22">
        <v>7</v>
      </c>
      <c r="K13" s="22">
        <v>9</v>
      </c>
      <c r="L13" s="22">
        <v>10</v>
      </c>
      <c r="M13" s="22">
        <v>8</v>
      </c>
      <c r="N13" s="22">
        <v>8</v>
      </c>
      <c r="O13" s="22">
        <v>8</v>
      </c>
      <c r="P13" s="22">
        <v>9</v>
      </c>
      <c r="Q13" s="22">
        <v>9</v>
      </c>
      <c r="R13" s="23">
        <f>IF(COUNTIF(D13:Q13,"=*")&gt;0,"-",(IFERROR(AVERAGE(D13:Q13),"")))</f>
        <v>8.4285714285714288</v>
      </c>
      <c r="S13" s="23">
        <f t="shared" si="0"/>
        <v>63.214285714285715</v>
      </c>
    </row>
    <row r="14" spans="1:20" ht="15" customHeight="1" x14ac:dyDescent="0.25">
      <c r="A14" s="20" t="s">
        <v>53</v>
      </c>
      <c r="B14" s="20">
        <v>6</v>
      </c>
      <c r="C14" s="21" t="s">
        <v>28</v>
      </c>
      <c r="D14" s="22">
        <v>9</v>
      </c>
      <c r="E14" s="22">
        <v>5</v>
      </c>
      <c r="F14" s="22">
        <v>9</v>
      </c>
      <c r="G14" s="22">
        <v>8</v>
      </c>
      <c r="H14" s="22">
        <v>9</v>
      </c>
      <c r="I14" s="22">
        <v>11</v>
      </c>
      <c r="J14" s="22">
        <v>7</v>
      </c>
      <c r="K14" s="22">
        <v>8</v>
      </c>
      <c r="L14" s="22">
        <v>7</v>
      </c>
      <c r="M14" s="22">
        <v>8</v>
      </c>
      <c r="N14" s="22">
        <v>9</v>
      </c>
      <c r="O14" s="22">
        <v>7</v>
      </c>
      <c r="P14" s="22">
        <v>10</v>
      </c>
      <c r="Q14" s="22">
        <v>10</v>
      </c>
      <c r="R14" s="23">
        <f>IF(COUNTIF(D14:Q14,"=*")&gt;0,"-",(IFERROR(AVERAGE(D14:Q14),"")))</f>
        <v>8.3571428571428577</v>
      </c>
      <c r="S14" s="23">
        <f t="shared" si="0"/>
        <v>62.678571428571438</v>
      </c>
    </row>
    <row r="15" spans="1:20" ht="15" customHeight="1" x14ac:dyDescent="0.25">
      <c r="A15" s="20" t="s">
        <v>53</v>
      </c>
      <c r="B15" s="20">
        <v>7</v>
      </c>
      <c r="C15" s="21" t="s">
        <v>34</v>
      </c>
      <c r="D15" s="22">
        <v>9</v>
      </c>
      <c r="E15" s="22">
        <v>8</v>
      </c>
      <c r="F15" s="22">
        <v>9</v>
      </c>
      <c r="G15" s="22">
        <v>8</v>
      </c>
      <c r="H15" s="22">
        <v>9</v>
      </c>
      <c r="I15" s="22">
        <v>10</v>
      </c>
      <c r="J15" s="22">
        <v>7</v>
      </c>
      <c r="K15" s="22">
        <v>7</v>
      </c>
      <c r="L15" s="22">
        <v>7</v>
      </c>
      <c r="M15" s="22">
        <v>8</v>
      </c>
      <c r="N15" s="22">
        <v>9</v>
      </c>
      <c r="O15" s="22">
        <v>8</v>
      </c>
      <c r="P15" s="22">
        <v>10</v>
      </c>
      <c r="Q15" s="22">
        <v>8</v>
      </c>
      <c r="R15" s="23">
        <f>IF(COUNTIF(D15:Q15,"=*")&gt;0,"-",(IFERROR(AVERAGE(D15:Q15),"")))</f>
        <v>8.3571428571428577</v>
      </c>
      <c r="S15" s="23">
        <f t="shared" si="0"/>
        <v>62.678571428571438</v>
      </c>
    </row>
    <row r="16" spans="1:20" ht="15" customHeight="1" x14ac:dyDescent="0.25">
      <c r="A16" s="25" t="s">
        <v>53</v>
      </c>
      <c r="B16" s="25">
        <v>8</v>
      </c>
      <c r="C16" s="2" t="s">
        <v>46</v>
      </c>
      <c r="D16" s="24">
        <v>9</v>
      </c>
      <c r="E16" s="24">
        <v>8</v>
      </c>
      <c r="F16" s="24">
        <v>10</v>
      </c>
      <c r="G16" s="24">
        <v>9</v>
      </c>
      <c r="H16" s="24">
        <v>8</v>
      </c>
      <c r="I16" s="24">
        <v>4</v>
      </c>
      <c r="J16" s="24">
        <v>7</v>
      </c>
      <c r="K16" s="24">
        <v>8</v>
      </c>
      <c r="L16" s="24">
        <v>7</v>
      </c>
      <c r="M16" s="24">
        <v>8</v>
      </c>
      <c r="N16" s="24">
        <v>10</v>
      </c>
      <c r="O16" s="24">
        <v>8</v>
      </c>
      <c r="P16" s="24">
        <v>11</v>
      </c>
      <c r="Q16" s="24">
        <v>7</v>
      </c>
      <c r="R16" s="19">
        <f>IF(COUNTIF(D16:Q16,"=*")&gt;0,"-",(IFERROR(AVERAGE(D16:Q16),"")))</f>
        <v>8.1428571428571423</v>
      </c>
      <c r="S16" s="19">
        <f t="shared" si="0"/>
        <v>61.071428571428562</v>
      </c>
    </row>
    <row r="17" spans="1:21" ht="15" customHeight="1" x14ac:dyDescent="0.25">
      <c r="A17" s="25" t="s">
        <v>53</v>
      </c>
      <c r="B17" s="25">
        <v>9</v>
      </c>
      <c r="C17" s="2" t="s">
        <v>47</v>
      </c>
      <c r="D17" s="24">
        <v>10</v>
      </c>
      <c r="E17" s="24">
        <v>5</v>
      </c>
      <c r="F17" s="24">
        <v>10</v>
      </c>
      <c r="G17" s="24">
        <v>9</v>
      </c>
      <c r="H17" s="24">
        <v>8</v>
      </c>
      <c r="I17" s="24">
        <v>9</v>
      </c>
      <c r="J17" s="24">
        <v>8</v>
      </c>
      <c r="K17" s="24">
        <v>8</v>
      </c>
      <c r="L17" s="24">
        <v>6</v>
      </c>
      <c r="M17" s="24">
        <v>8</v>
      </c>
      <c r="N17" s="24">
        <v>8</v>
      </c>
      <c r="O17" s="24">
        <v>7</v>
      </c>
      <c r="P17" s="24">
        <v>10</v>
      </c>
      <c r="Q17" s="24">
        <v>7</v>
      </c>
      <c r="R17" s="19">
        <f>IF(COUNTIF(D17:Q17,"=*")&gt;0,"-",(IFERROR(AVERAGE(D17:Q17),"")))</f>
        <v>8.0714285714285712</v>
      </c>
      <c r="S17" s="19">
        <f t="shared" si="0"/>
        <v>60.535714285714285</v>
      </c>
    </row>
    <row r="18" spans="1:21" ht="15" customHeight="1" x14ac:dyDescent="0.25">
      <c r="A18" s="25" t="s">
        <v>53</v>
      </c>
      <c r="B18" s="25">
        <v>10</v>
      </c>
      <c r="C18" s="2" t="s">
        <v>35</v>
      </c>
      <c r="D18" s="24">
        <v>9</v>
      </c>
      <c r="E18" s="24">
        <v>8</v>
      </c>
      <c r="F18" s="24">
        <v>8</v>
      </c>
      <c r="G18" s="24">
        <v>8</v>
      </c>
      <c r="H18" s="24">
        <v>8</v>
      </c>
      <c r="I18" s="24">
        <v>7</v>
      </c>
      <c r="J18" s="24">
        <v>7</v>
      </c>
      <c r="K18" s="24">
        <v>7</v>
      </c>
      <c r="L18" s="24">
        <v>7</v>
      </c>
      <c r="M18" s="24">
        <v>8</v>
      </c>
      <c r="N18" s="24">
        <v>8</v>
      </c>
      <c r="O18" s="24">
        <v>5</v>
      </c>
      <c r="P18" s="24">
        <v>10</v>
      </c>
      <c r="Q18" s="24">
        <v>6</v>
      </c>
      <c r="R18" s="19">
        <f>IF(COUNTIF(D18:Q18,"=*")&gt;0,"-",(IFERROR(AVERAGE(D18:Q18),"")))</f>
        <v>7.5714285714285712</v>
      </c>
      <c r="S18" s="19">
        <f t="shared" si="0"/>
        <v>56.785714285714285</v>
      </c>
    </row>
    <row r="19" spans="1:21" ht="15" customHeight="1" x14ac:dyDescent="0.25">
      <c r="A19" s="25" t="s">
        <v>53</v>
      </c>
      <c r="B19" s="25">
        <v>11</v>
      </c>
      <c r="C19" s="2" t="s">
        <v>30</v>
      </c>
      <c r="D19" s="24">
        <v>7</v>
      </c>
      <c r="E19" s="24">
        <v>10</v>
      </c>
      <c r="F19" s="24">
        <v>6</v>
      </c>
      <c r="G19" s="24">
        <v>4</v>
      </c>
      <c r="H19" s="24">
        <v>8</v>
      </c>
      <c r="I19" s="24">
        <v>7</v>
      </c>
      <c r="J19" s="24">
        <v>7</v>
      </c>
      <c r="K19" s="24">
        <v>7</v>
      </c>
      <c r="L19" s="24">
        <v>7</v>
      </c>
      <c r="M19" s="24">
        <v>4</v>
      </c>
      <c r="N19" s="24">
        <v>4</v>
      </c>
      <c r="O19" s="24">
        <v>5</v>
      </c>
      <c r="P19" s="24">
        <v>11</v>
      </c>
      <c r="Q19" s="24">
        <v>8</v>
      </c>
      <c r="R19" s="19">
        <f>IF(COUNTIF(D19:Q19,"=*")&gt;0,"-",(IFERROR(AVERAGE(D19:Q19),"")))</f>
        <v>6.7857142857142856</v>
      </c>
      <c r="S19" s="19">
        <f t="shared" si="0"/>
        <v>50.892857142857139</v>
      </c>
    </row>
    <row r="20" spans="1:21" ht="15" customHeight="1" x14ac:dyDescent="0.25">
      <c r="A20" s="25" t="s">
        <v>53</v>
      </c>
      <c r="B20" s="25">
        <v>12</v>
      </c>
      <c r="C20" s="2" t="s">
        <v>44</v>
      </c>
      <c r="D20" s="24">
        <v>7</v>
      </c>
      <c r="E20" s="24">
        <v>7</v>
      </c>
      <c r="F20" s="24">
        <v>9</v>
      </c>
      <c r="G20" s="24">
        <v>4</v>
      </c>
      <c r="H20" s="24">
        <v>6</v>
      </c>
      <c r="I20" s="24">
        <v>4</v>
      </c>
      <c r="J20" s="24">
        <v>6</v>
      </c>
      <c r="K20" s="24">
        <v>7</v>
      </c>
      <c r="L20" s="24">
        <v>7</v>
      </c>
      <c r="M20" s="24">
        <v>5</v>
      </c>
      <c r="N20" s="24">
        <v>8</v>
      </c>
      <c r="O20" s="24">
        <v>7</v>
      </c>
      <c r="P20" s="24">
        <v>8</v>
      </c>
      <c r="Q20" s="24">
        <v>7</v>
      </c>
      <c r="R20" s="19">
        <f>IF(COUNTIF(D20:Q20,"=*")&gt;0,"-",(IFERROR(AVERAGE(D20:Q20),"")))</f>
        <v>6.5714285714285712</v>
      </c>
      <c r="S20" s="19">
        <f t="shared" si="0"/>
        <v>49.285714285714285</v>
      </c>
    </row>
    <row r="21" spans="1:21" ht="15" customHeight="1" x14ac:dyDescent="0.25">
      <c r="A21" s="25" t="s">
        <v>53</v>
      </c>
      <c r="B21" s="25">
        <v>13</v>
      </c>
      <c r="C21" s="2" t="s">
        <v>32</v>
      </c>
      <c r="D21" s="24">
        <v>8</v>
      </c>
      <c r="E21" s="24">
        <v>8</v>
      </c>
      <c r="F21" s="24">
        <v>7</v>
      </c>
      <c r="G21" s="24">
        <v>4</v>
      </c>
      <c r="H21" s="24">
        <v>6</v>
      </c>
      <c r="I21" s="24">
        <v>4</v>
      </c>
      <c r="J21" s="24">
        <v>5</v>
      </c>
      <c r="K21" s="24">
        <v>6</v>
      </c>
      <c r="L21" s="24">
        <v>5</v>
      </c>
      <c r="M21" s="24">
        <v>4</v>
      </c>
      <c r="N21" s="24">
        <v>7</v>
      </c>
      <c r="O21" s="24">
        <v>4</v>
      </c>
      <c r="P21" s="24">
        <v>10</v>
      </c>
      <c r="Q21" s="24">
        <v>9</v>
      </c>
      <c r="R21" s="19">
        <f>IF(COUNTIF(D21:Q21,"=*")&gt;0,"-",(IFERROR(AVERAGE(D21:Q21),"")))</f>
        <v>6.2142857142857144</v>
      </c>
      <c r="S21" s="19">
        <f t="shared" si="0"/>
        <v>46.607142857142861</v>
      </c>
    </row>
    <row r="22" spans="1:21" ht="15" customHeight="1" x14ac:dyDescent="0.25">
      <c r="A22" s="25" t="s">
        <v>53</v>
      </c>
      <c r="B22" s="25">
        <v>14</v>
      </c>
      <c r="C22" s="2" t="s">
        <v>41</v>
      </c>
      <c r="D22" s="24">
        <v>9</v>
      </c>
      <c r="E22" s="24">
        <v>9</v>
      </c>
      <c r="F22" s="24">
        <v>5</v>
      </c>
      <c r="G22" s="24">
        <v>5</v>
      </c>
      <c r="H22" s="24">
        <v>6</v>
      </c>
      <c r="I22" s="24">
        <v>4</v>
      </c>
      <c r="J22" s="24">
        <v>6</v>
      </c>
      <c r="K22" s="24">
        <v>6</v>
      </c>
      <c r="L22" s="24">
        <v>5</v>
      </c>
      <c r="M22" s="24">
        <v>5</v>
      </c>
      <c r="N22" s="24">
        <v>6</v>
      </c>
      <c r="O22" s="24">
        <v>5</v>
      </c>
      <c r="P22" s="24">
        <v>7</v>
      </c>
      <c r="Q22" s="24">
        <v>7</v>
      </c>
      <c r="R22" s="19">
        <f>IF(COUNTIF(D22:Q22,"=*")&gt;0,"-",(IFERROR(AVERAGE(D22:Q22),"")))</f>
        <v>6.0714285714285712</v>
      </c>
      <c r="S22" s="19">
        <f t="shared" si="0"/>
        <v>45.535714285714285</v>
      </c>
    </row>
    <row r="23" spans="1:21" ht="15" customHeight="1" x14ac:dyDescent="0.25">
      <c r="A23" s="25" t="s">
        <v>53</v>
      </c>
      <c r="B23" s="25">
        <v>15</v>
      </c>
      <c r="C23" s="2" t="s">
        <v>42</v>
      </c>
      <c r="D23" s="24">
        <v>8</v>
      </c>
      <c r="E23" s="24">
        <v>8</v>
      </c>
      <c r="F23" s="24">
        <v>8</v>
      </c>
      <c r="G23" s="24">
        <v>4</v>
      </c>
      <c r="H23" s="24">
        <v>4</v>
      </c>
      <c r="I23" s="24">
        <v>9</v>
      </c>
      <c r="J23" s="24">
        <v>4</v>
      </c>
      <c r="K23" s="24">
        <v>6</v>
      </c>
      <c r="L23" s="24">
        <v>5</v>
      </c>
      <c r="M23" s="24">
        <v>4</v>
      </c>
      <c r="N23" s="24">
        <v>5</v>
      </c>
      <c r="O23" s="24">
        <v>4</v>
      </c>
      <c r="P23" s="24">
        <v>6</v>
      </c>
      <c r="Q23" s="24">
        <v>5</v>
      </c>
      <c r="R23" s="19">
        <f>IF(COUNTIF(D23:Q23,"=*")&gt;0,"-",(IFERROR(AVERAGE(D23:Q23),"")))</f>
        <v>5.7142857142857144</v>
      </c>
      <c r="S23" s="19">
        <f t="shared" si="0"/>
        <v>42.857142857142861</v>
      </c>
    </row>
    <row r="24" spans="1:21" ht="15" customHeight="1" x14ac:dyDescent="0.25">
      <c r="A24" s="25" t="s">
        <v>53</v>
      </c>
      <c r="B24" s="25">
        <v>16</v>
      </c>
      <c r="C24" s="2" t="s">
        <v>36</v>
      </c>
      <c r="D24" s="24">
        <v>4</v>
      </c>
      <c r="E24" s="24">
        <v>7</v>
      </c>
      <c r="F24" s="24">
        <v>7</v>
      </c>
      <c r="G24" s="24">
        <v>4</v>
      </c>
      <c r="H24" s="24">
        <v>7</v>
      </c>
      <c r="I24" s="24">
        <v>7</v>
      </c>
      <c r="J24" s="24">
        <v>4</v>
      </c>
      <c r="K24" s="24">
        <v>6</v>
      </c>
      <c r="L24" s="24">
        <v>5</v>
      </c>
      <c r="M24" s="24">
        <v>4</v>
      </c>
      <c r="N24" s="24">
        <v>5</v>
      </c>
      <c r="O24" s="24">
        <v>4</v>
      </c>
      <c r="P24" s="24">
        <v>9</v>
      </c>
      <c r="Q24" s="24">
        <v>4</v>
      </c>
      <c r="R24" s="19">
        <f>IF(COUNTIF(D24:Q24,"=*")&gt;0,"-",(IFERROR(AVERAGE(D24:Q24),"")))</f>
        <v>5.5</v>
      </c>
      <c r="S24" s="19">
        <f t="shared" si="0"/>
        <v>41.25</v>
      </c>
    </row>
    <row r="25" spans="1:21" ht="15" customHeight="1" x14ac:dyDescent="0.25">
      <c r="C25" s="2" t="s">
        <v>14</v>
      </c>
      <c r="D25" s="24">
        <f>'Зведена відомість 141'!D40</f>
        <v>18</v>
      </c>
      <c r="R25" s="28"/>
      <c r="S25" s="28"/>
      <c r="T25" s="28"/>
      <c r="U25" s="28"/>
    </row>
    <row r="26" spans="1:21" ht="15" customHeight="1" x14ac:dyDescent="0.25">
      <c r="C26" s="2" t="s">
        <v>15</v>
      </c>
      <c r="D26" s="24">
        <f>'Зведена відомість 141'!D41</f>
        <v>8</v>
      </c>
      <c r="F26" s="3" t="s">
        <v>18</v>
      </c>
      <c r="M26" s="3" t="s">
        <v>65</v>
      </c>
    </row>
    <row r="27" spans="1:21" ht="15" customHeight="1" x14ac:dyDescent="0.25">
      <c r="C27" s="2" t="s">
        <v>16</v>
      </c>
      <c r="D27" s="24">
        <f>'Зведена відомість 141'!D42</f>
        <v>1</v>
      </c>
    </row>
    <row r="28" spans="1:21" ht="15" customHeight="1" x14ac:dyDescent="0.25">
      <c r="C28" s="2" t="s">
        <v>17</v>
      </c>
      <c r="D28" s="24">
        <v>7</v>
      </c>
      <c r="F28" s="3" t="s">
        <v>19</v>
      </c>
      <c r="M28" s="3" t="s">
        <v>20</v>
      </c>
    </row>
  </sheetData>
  <sortState ref="A9:R24">
    <sortCondition descending="1" ref="R9:R24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printOptions horizontalCentered="1" vertic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141</vt:lpstr>
      <vt:lpstr>Рейтингова відомість 141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Maxim</cp:lastModifiedBy>
  <cp:lastPrinted>2022-12-23T09:39:22Z</cp:lastPrinted>
  <dcterms:created xsi:type="dcterms:W3CDTF">2006-09-28T05:33:49Z</dcterms:created>
  <dcterms:modified xsi:type="dcterms:W3CDTF">2022-12-28T09:52:15Z</dcterms:modified>
</cp:coreProperties>
</file>