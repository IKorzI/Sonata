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ЭтаКнига"/>
  <bookViews>
    <workbookView xWindow="390" yWindow="525" windowWidth="19815" windowHeight="7365"/>
  </bookViews>
  <sheets>
    <sheet name="Зведена 151" sheetId="42" r:id="rId1"/>
    <sheet name="Зведена 185" sheetId="41" r:id="rId2"/>
  </sheets>
  <definedNames>
    <definedName name="A1048577" localSheetId="0">#REF!</definedName>
    <definedName name="A1048577" localSheetId="1">#REF!</definedName>
    <definedName name="A1048577">#REF!</definedName>
    <definedName name="_xlnm.Print_Area" localSheetId="0">'Зведена 151'!$B$2:$V$42</definedName>
    <definedName name="_xlnm.Print_Area" localSheetId="1">'Зведена 185'!$B$2:$V$29</definedName>
    <definedName name="Ф80" localSheetId="0">#REF!</definedName>
    <definedName name="Ф80" localSheetId="1">#REF!</definedName>
    <definedName name="Ф80">#REF!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" roundtripDataSignature="AMtx7mi/vqgVw2WeVD2CSZpRXBIyplAZAg=="/>
    </ext>
  </extLst>
</workbook>
</file>

<file path=xl/calcChain.xml><?xml version="1.0" encoding="utf-8"?>
<calcChain xmlns="http://schemas.openxmlformats.org/spreadsheetml/2006/main">
  <c r="F21" i="41" l="1"/>
  <c r="S22" i="41"/>
  <c r="T22" i="41"/>
  <c r="R21" i="41"/>
  <c r="K22" i="41"/>
  <c r="H22" i="41"/>
  <c r="U32" i="42"/>
  <c r="U29" i="42"/>
  <c r="U23" i="42"/>
  <c r="U20" i="42"/>
  <c r="R34" i="42"/>
  <c r="R35" i="42"/>
  <c r="F39" i="42"/>
  <c r="F38" i="42"/>
  <c r="N35" i="42"/>
  <c r="M35" i="42"/>
  <c r="J35" i="42"/>
  <c r="G35" i="42"/>
  <c r="N34" i="42"/>
  <c r="M34" i="42"/>
  <c r="J34" i="42"/>
  <c r="G34" i="42"/>
  <c r="N33" i="42"/>
  <c r="M33" i="42"/>
  <c r="J33" i="42"/>
  <c r="G33" i="42"/>
  <c r="F33" i="42"/>
  <c r="U30" i="42"/>
  <c r="U28" i="42"/>
  <c r="U27" i="42"/>
  <c r="U26" i="42"/>
  <c r="U24" i="42"/>
  <c r="U21" i="42"/>
  <c r="U19" i="42"/>
  <c r="U18" i="42"/>
  <c r="U17" i="42"/>
  <c r="U15" i="42"/>
  <c r="U11" i="42"/>
  <c r="F26" i="41"/>
  <c r="F25" i="41"/>
  <c r="R22" i="41"/>
  <c r="P22" i="41"/>
  <c r="N22" i="41"/>
  <c r="M22" i="41"/>
  <c r="L22" i="41"/>
  <c r="J22" i="41"/>
  <c r="G22" i="41"/>
  <c r="F22" i="41"/>
  <c r="T21" i="41"/>
  <c r="P21" i="41"/>
  <c r="N21" i="41"/>
  <c r="M21" i="41"/>
  <c r="L21" i="41"/>
  <c r="K21" i="41"/>
  <c r="J21" i="41"/>
  <c r="G21" i="41"/>
  <c r="R20" i="41"/>
  <c r="P20" i="41"/>
  <c r="N20" i="41"/>
  <c r="M20" i="41"/>
  <c r="L20" i="41"/>
  <c r="K20" i="41"/>
  <c r="J20" i="41"/>
  <c r="H20" i="41"/>
  <c r="G20" i="41"/>
  <c r="U18" i="41"/>
  <c r="U14" i="41"/>
  <c r="U12" i="41"/>
  <c r="U11" i="41"/>
  <c r="K34" i="42" l="1"/>
  <c r="K35" i="42"/>
  <c r="K33" i="42"/>
  <c r="H35" i="42"/>
  <c r="H33" i="42"/>
  <c r="H34" i="42"/>
  <c r="H21" i="41"/>
  <c r="T33" i="42"/>
  <c r="T34" i="42"/>
  <c r="T35" i="42"/>
  <c r="T20" i="41"/>
  <c r="U31" i="42"/>
  <c r="O20" i="41"/>
  <c r="U17" i="41"/>
  <c r="U25" i="42"/>
  <c r="O21" i="41"/>
  <c r="O22" i="41"/>
  <c r="U15" i="41"/>
  <c r="U13" i="41"/>
  <c r="U13" i="42"/>
  <c r="O35" i="42"/>
  <c r="O33" i="42"/>
  <c r="O34" i="42"/>
  <c r="U22" i="42"/>
  <c r="L33" i="42"/>
  <c r="L34" i="42"/>
  <c r="U12" i="42"/>
  <c r="L35" i="42"/>
  <c r="P35" i="42"/>
  <c r="P33" i="42"/>
  <c r="P34" i="42"/>
  <c r="Q22" i="41"/>
  <c r="U16" i="41"/>
  <c r="Q20" i="41"/>
  <c r="Q21" i="41"/>
  <c r="U16" i="42"/>
  <c r="Q35" i="42"/>
  <c r="Q34" i="42"/>
  <c r="U14" i="42"/>
  <c r="Q33" i="42"/>
  <c r="S20" i="41"/>
  <c r="S21" i="41"/>
  <c r="S35" i="42"/>
  <c r="S33" i="42"/>
  <c r="S34" i="42"/>
  <c r="F20" i="41"/>
  <c r="F35" i="42"/>
  <c r="F34" i="42"/>
  <c r="I20" i="41"/>
  <c r="I22" i="41"/>
  <c r="U19" i="41"/>
  <c r="I35" i="42"/>
  <c r="I34" i="42"/>
  <c r="I21" i="41"/>
  <c r="I33" i="42"/>
  <c r="R33" i="42"/>
  <c r="F24" i="41" l="1"/>
  <c r="U20" i="41"/>
  <c r="F23" i="41"/>
  <c r="F37" i="42"/>
  <c r="F36" i="42"/>
  <c r="U33" i="42"/>
</calcChain>
</file>

<file path=xl/sharedStrings.xml><?xml version="1.0" encoding="utf-8"?>
<sst xmlns="http://schemas.openxmlformats.org/spreadsheetml/2006/main" count="147" uniqueCount="74">
  <si>
    <t>Б/К</t>
  </si>
  <si>
    <t>№
п/п</t>
  </si>
  <si>
    <t>Прізвище, ім’я, по батькові</t>
  </si>
  <si>
    <t>Біологія
Богданенко О.В.</t>
  </si>
  <si>
    <t>Всесвітня історія
Мельничук С.А.</t>
  </si>
  <si>
    <t>Географія
Наговська Т.С.</t>
  </si>
  <si>
    <t>Зарубіжна література
Пруднікова Я.П.</t>
  </si>
  <si>
    <t>Іноземна мова
Кучер О.П.</t>
  </si>
  <si>
    <t>Історія України
Левчук Т.Г.</t>
  </si>
  <si>
    <t>Математика
Ромчук В.В.</t>
  </si>
  <si>
    <t>Фізика
Калюта Н.М.</t>
  </si>
  <si>
    <t>Фізична культура
Кулатов В.М.</t>
  </si>
  <si>
    <t>Хімія
Леонова Д.І.</t>
  </si>
  <si>
    <t>Середній бал</t>
  </si>
  <si>
    <t>К</t>
  </si>
  <si>
    <t>Б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</si>
  <si>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</si>
  <si>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</si>
  <si>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</si>
  <si>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</si>
  <si>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</si>
  <si>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Кількість бюджетників</t>
  </si>
  <si>
    <t>Кількість контрактників</t>
  </si>
  <si>
    <t>Класний керівник</t>
  </si>
  <si>
    <t>Кількість соціального контингенту</t>
  </si>
  <si>
    <t>Вийшли на стипендію</t>
  </si>
  <si>
    <t>Завідувач відділення ПЗСО</t>
  </si>
  <si>
    <t>Маргарита БРІТІКОВА</t>
  </si>
  <si>
    <t>ЗВЕДЕНА ВІДОМІСТЬ</t>
  </si>
  <si>
    <t>Борисов Олександр Ігорович </t>
  </si>
  <si>
    <t>Вєрєтєнніков Микита Андрійович </t>
  </si>
  <si>
    <t>Гавронський Максим Владиславович </t>
  </si>
  <si>
    <t>Граур Єгор Анатолійович </t>
  </si>
  <si>
    <t>Грігорі Дмитро Миколайович </t>
  </si>
  <si>
    <t>Єленко Андрій Сергійович </t>
  </si>
  <si>
    <t>Жучков Данііл Євгенович </t>
  </si>
  <si>
    <t>Залізко Максим Віталійович </t>
  </si>
  <si>
    <t>Звягінцев Олександр Сергійович </t>
  </si>
  <si>
    <t>Іванова Владислава Іванівна </t>
  </si>
  <si>
    <t>Кирилюк Маргарита Євгеніївна </t>
  </si>
  <si>
    <t>Кірон Нікіта Володимирович </t>
  </si>
  <si>
    <t>Коєв Максим Владиславович </t>
  </si>
  <si>
    <t>Лубенець Максим Петрович </t>
  </si>
  <si>
    <t>Нєтков Олександр Георгійович </t>
  </si>
  <si>
    <t>Рошка Андрій Дмитрович </t>
  </si>
  <si>
    <t>Рябов Гліб Антонович </t>
  </si>
  <si>
    <t>Сидоренко Ілля Олександрович </t>
  </si>
  <si>
    <t>Соколова Анастасія Дмитрівна </t>
  </si>
  <si>
    <t>Тягай Олександр Михайлович </t>
  </si>
  <si>
    <t>Чепурко-Макаров Микита Юрійович </t>
  </si>
  <si>
    <t>Щукін Нікіта Олексійович </t>
  </si>
  <si>
    <t>Бєлов Дмитро Віталійович </t>
  </si>
  <si>
    <t>Бородін Сергій Костянтинович </t>
  </si>
  <si>
    <t>Горевич Дмитро Олексійович </t>
  </si>
  <si>
    <t>Зібаров Георгій Павлович </t>
  </si>
  <si>
    <t>Зотік Кирило Євгенович </t>
  </si>
  <si>
    <t>Кузьмін Ілля Денисович </t>
  </si>
  <si>
    <t>Степаніченко Микола Віталійович </t>
  </si>
  <si>
    <t>Фастрига Олександр Євгенович </t>
  </si>
  <si>
    <t>Холявко Артем Олександрович </t>
  </si>
  <si>
    <t>Успішності студентів спеціальності 151 «Автоматизація та комп’ютерно-інтегровані технології»</t>
  </si>
  <si>
    <t>Група 22-3 курс І</t>
  </si>
  <si>
    <t>Тетяна ГРАТІЙ</t>
  </si>
  <si>
    <t>Успішності студентів спеціальності 185 «Нафтогазова інженерія та технології»</t>
  </si>
  <si>
    <t>н/а</t>
  </si>
  <si>
    <t>ЗУ
Лазар В.І.</t>
  </si>
  <si>
    <t>Інформатика
Охримчук В.С.</t>
  </si>
  <si>
    <t>Підсумкові оцінки дисциплін</t>
  </si>
  <si>
    <t>Астрономія
Наговська Т.С.</t>
  </si>
  <si>
    <t>Українська література
Антропова Л.І.</t>
  </si>
  <si>
    <t>Українська мова
Антропова Л.І.</t>
  </si>
  <si>
    <t>ФАХОВИЙ КОЛЕДЖ НАФТОГАЗОВИХ ТЕХНОЛОГІЙ, ІНЖЕНЕРІЇ ТА ІНФРАСТРУКТУРИ СЕРВІСУ</t>
  </si>
  <si>
    <t>ОДЕСЬКОГО НАЦІОНАЛЬНОГО ТЕХНОЛОГІЧНОГО УНІВЕРСИТЕТУ</t>
  </si>
  <si>
    <t>Річна 2022-2023 н.р.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</si>
</sst>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Dash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9">
    <xf numFmtId="0" fontId="0" fillId="0" borderId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  <xf numFmtId="0" fontId="8" fillId="0" borderId="1"/>
  </cellStyleXfs>
  <cellXfs count="34">
    <xf numFmtId="0" fontId="0" fillId="0" borderId="0" xfId="0"/>
    <xf numFmtId="2" fontId="3" fillId="2" borderId="2" xfId="5" applyNumberFormat="1" applyFont="1" applyFill="1" applyBorder="1" applyAlignment="1">
      <alignment horizontal="center" vertical="center"/>
    </xf>
    <xf numFmtId="164" fontId="3" fillId="2" borderId="2" xfId="5" applyNumberFormat="1" applyFont="1" applyFill="1" applyBorder="1" applyAlignment="1">
      <alignment horizontal="center" vertical="center"/>
    </xf>
    <xf numFmtId="0" fontId="3" fillId="4" borderId="1" xfId="5" applyNumberFormat="1" applyFont="1" applyFill="1" applyAlignment="1">
      <alignment horizontal="center" vertical="center"/>
    </xf>
    <xf numFmtId="0" fontId="5" fillId="4" borderId="1" xfId="5" applyNumberFormat="1" applyFont="1" applyFill="1" applyAlignment="1">
      <alignment horizontal="center" vertical="center"/>
    </xf>
    <xf numFmtId="0" fontId="6" fillId="4" borderId="1" xfId="5" applyNumberFormat="1" applyFont="1" applyFill="1" applyAlignment="1">
      <alignment horizontal="center" vertical="center"/>
    </xf>
    <xf numFmtId="0" fontId="4" fillId="5" borderId="2" xfId="5" applyNumberFormat="1" applyFont="1" applyFill="1" applyBorder="1" applyAlignment="1">
      <alignment horizontal="center" vertical="center" textRotation="90" wrapText="1"/>
    </xf>
    <xf numFmtId="0" fontId="3" fillId="5" borderId="2" xfId="5" applyNumberFormat="1" applyFont="1" applyFill="1" applyBorder="1" applyAlignment="1">
      <alignment horizontal="left" vertical="center" wrapText="1"/>
    </xf>
    <xf numFmtId="0" fontId="3" fillId="5" borderId="2" xfId="5" applyNumberFormat="1" applyFont="1" applyFill="1" applyBorder="1" applyAlignment="1" applyProtection="1">
      <alignment horizontal="center" vertical="center"/>
      <protection locked="0"/>
    </xf>
    <xf numFmtId="0" fontId="3" fillId="5" borderId="1" xfId="5" applyNumberFormat="1" applyFont="1" applyFill="1" applyAlignment="1">
      <alignment horizontal="center" vertical="center"/>
    </xf>
    <xf numFmtId="164" fontId="3" fillId="3" borderId="6" xfId="5" applyNumberFormat="1" applyFont="1" applyFill="1" applyBorder="1" applyAlignment="1">
      <alignment horizontal="center" vertical="center"/>
    </xf>
    <xf numFmtId="0" fontId="3" fillId="5" borderId="1" xfId="5" applyNumberFormat="1" applyFont="1" applyFill="1" applyBorder="1" applyAlignment="1" applyProtection="1">
      <alignment horizontal="center" vertical="center"/>
      <protection locked="0"/>
    </xf>
    <xf numFmtId="0" fontId="3" fillId="4" borderId="1" xfId="5" applyNumberFormat="1" applyFont="1" applyFill="1" applyBorder="1" applyAlignment="1">
      <alignment horizontal="center" vertical="center"/>
    </xf>
    <xf numFmtId="0" fontId="5" fillId="5" borderId="1" xfId="5" applyNumberFormat="1" applyFont="1" applyFill="1" applyAlignment="1">
      <alignment horizontal="left" vertical="center"/>
    </xf>
    <xf numFmtId="0" fontId="3" fillId="0" borderId="2" xfId="5" applyFont="1" applyBorder="1" applyAlignment="1">
      <alignment horizontal="center" textRotation="90" wrapText="1"/>
    </xf>
    <xf numFmtId="0" fontId="5" fillId="5" borderId="1" xfId="5" applyFont="1" applyFill="1" applyAlignment="1">
      <alignment horizontal="left" vertical="center"/>
    </xf>
    <xf numFmtId="0" fontId="3" fillId="5" borderId="1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 wrapText="1"/>
    </xf>
    <xf numFmtId="0" fontId="8" fillId="5" borderId="1" xfId="28" applyFill="1"/>
    <xf numFmtId="0" fontId="3" fillId="4" borderId="7" xfId="5" applyNumberFormat="1" applyFont="1" applyFill="1" applyBorder="1" applyAlignment="1">
      <alignment horizontal="center" vertical="center"/>
    </xf>
    <xf numFmtId="0" fontId="5" fillId="5" borderId="1" xfId="5" applyNumberFormat="1" applyFont="1" applyFill="1" applyAlignment="1">
      <alignment horizontal="center" vertical="center"/>
    </xf>
    <xf numFmtId="0" fontId="5" fillId="5" borderId="1" xfId="5" applyNumberFormat="1" applyFont="1" applyFill="1" applyBorder="1" applyAlignment="1">
      <alignment horizontal="center" vertical="center"/>
    </xf>
    <xf numFmtId="0" fontId="3" fillId="5" borderId="2" xfId="5" quotePrefix="1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5" borderId="8" xfId="5" applyNumberFormat="1" applyFont="1" applyFill="1" applyBorder="1" applyAlignment="1">
      <alignment horizontal="center" vertical="center" wrapText="1"/>
    </xf>
    <xf numFmtId="0" fontId="3" fillId="5" borderId="9" xfId="5" applyNumberFormat="1" applyFont="1" applyFill="1" applyBorder="1" applyAlignment="1">
      <alignment horizontal="center" vertical="center" wrapText="1"/>
    </xf>
    <xf numFmtId="0" fontId="3" fillId="5" borderId="6" xfId="5" applyNumberFormat="1" applyFont="1" applyFill="1" applyBorder="1" applyAlignment="1">
      <alignment horizontal="center" vertical="center" wrapText="1"/>
    </xf>
    <xf numFmtId="0" fontId="3" fillId="4" borderId="3" xfId="5" applyNumberFormat="1" applyFont="1" applyFill="1" applyBorder="1" applyAlignment="1">
      <alignment horizontal="center" vertical="center"/>
    </xf>
    <xf numFmtId="0" fontId="3" fillId="4" borderId="4" xfId="5" applyNumberFormat="1" applyFont="1" applyFill="1" applyBorder="1" applyAlignment="1">
      <alignment horizontal="center" vertical="center"/>
    </xf>
    <xf numFmtId="0" fontId="3" fillId="5" borderId="1" xfId="5" applyNumberFormat="1" applyFont="1" applyFill="1" applyBorder="1" applyAlignment="1">
      <alignment horizontal="center" vertical="center"/>
    </xf>
    <xf numFmtId="0" fontId="3" fillId="4" borderId="5" xfId="5" applyNumberFormat="1" applyFont="1" applyFill="1" applyBorder="1" applyAlignment="1">
      <alignment horizontal="center" vertical="center"/>
    </xf>
    <xf numFmtId="0" fontId="6" fillId="5" borderId="1" xfId="5" applyNumberFormat="1" applyFont="1" applyFill="1" applyAlignment="1">
      <alignment horizontal="center" vertical="center"/>
    </xf>
  </cellXfs>
  <cellStyles count="29">
    <cellStyle name="Обычный" xfId="0" builtinId="0"/>
    <cellStyle name="Обычный 10" xfId="3"/>
    <cellStyle name="Обычный 10 2" xfId="4"/>
    <cellStyle name="Обычный 11" xfId="1"/>
    <cellStyle name="Обычный 11 2" xfId="5"/>
    <cellStyle name="Обычный 12" xfId="22"/>
    <cellStyle name="Обычный 13" xfId="23"/>
    <cellStyle name="Обычный 14" xfId="24"/>
    <cellStyle name="Обычный 15" xfId="25"/>
    <cellStyle name="Обычный 2" xfId="2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2 5" xfId="26"/>
    <cellStyle name="Обычный 2 6" xfId="27"/>
    <cellStyle name="Обычный 2 7" xfId="28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G43"/>
  <sheetViews>
    <sheetView tabSelected="1" zoomScaleNormal="100" workbookViewId="0"/>
  </sheetViews>
  <sheetFormatPr defaultColWidth="0" defaultRowHeight="0" customHeight="1" zeroHeight="1" x14ac:dyDescent="0.25"/>
  <cols>
    <col min="1" max="2" width="2.7109375" style="3" customWidth="1"/>
    <col min="3" max="3" width="4.140625" style="3" customWidth="1"/>
    <col min="4" max="4" width="6.5703125" style="3" customWidth="1"/>
    <col min="5" max="5" width="40.42578125" style="3" customWidth="1"/>
    <col min="6" max="20" width="6.7109375" style="3" customWidth="1"/>
    <col min="21" max="21" width="11.28515625" style="3" customWidth="1"/>
    <col min="22" max="23" width="2.7109375" style="3" customWidth="1"/>
    <col min="24" max="29" width="14.42578125" style="3" hidden="1" customWidth="1"/>
    <col min="30" max="30" width="14.85546875" style="3" hidden="1" customWidth="1"/>
    <col min="31" max="44" width="3.7109375" style="3" hidden="1" customWidth="1"/>
    <col min="45" max="59" width="5.7109375" style="3" hidden="1" customWidth="1"/>
    <col min="60" max="16384" width="14.42578125" style="3" hidden="1"/>
  </cols>
  <sheetData>
    <row r="1" spans="1:23" ht="12" customHeight="1" thickBot="1" x14ac:dyDescent="0.3"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</row>
    <row r="2" spans="1:23" ht="12" customHeight="1" x14ac:dyDescent="0.25">
      <c r="A2" s="30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4" customFormat="1" ht="15" customHeight="1" x14ac:dyDescent="0.25">
      <c r="A3" s="30"/>
      <c r="B3" s="22"/>
      <c r="C3" s="22" t="s">
        <v>71</v>
      </c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32"/>
    </row>
    <row r="4" spans="1:23" s="4" customFormat="1" ht="15" customHeight="1" x14ac:dyDescent="0.25">
      <c r="A4" s="30"/>
      <c r="B4" s="22"/>
      <c r="C4" s="22" t="s">
        <v>72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32"/>
    </row>
    <row r="5" spans="1:23" s="5" customFormat="1" ht="15" customHeight="1" x14ac:dyDescent="0.25">
      <c r="A5" s="30"/>
      <c r="B5" s="22"/>
      <c r="C5" s="33" t="s">
        <v>28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22"/>
      <c r="W5" s="32"/>
    </row>
    <row r="6" spans="1:23" s="4" customFormat="1" ht="15" customHeight="1" x14ac:dyDescent="0.25">
      <c r="A6" s="30"/>
      <c r="B6" s="22"/>
      <c r="C6" s="21" t="s">
        <v>60</v>
      </c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2"/>
      <c r="W6" s="32"/>
    </row>
    <row r="7" spans="1:23" s="4" customFormat="1" ht="15" customHeight="1" x14ac:dyDescent="0.25">
      <c r="A7" s="30"/>
      <c r="B7" s="22"/>
      <c r="C7" s="21" t="s">
        <v>73</v>
      </c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2"/>
      <c r="W7" s="32"/>
    </row>
    <row r="8" spans="1:23" s="4" customFormat="1" ht="15" customHeight="1" x14ac:dyDescent="0.25">
      <c r="A8" s="30"/>
      <c r="B8" s="22"/>
      <c r="C8" s="22" t="s">
        <v>61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32"/>
    </row>
    <row r="9" spans="1:23" ht="15" customHeight="1" x14ac:dyDescent="0.25">
      <c r="A9" s="30"/>
      <c r="B9" s="22"/>
      <c r="C9" s="23" t="s">
        <v>0</v>
      </c>
      <c r="D9" s="25" t="s">
        <v>1</v>
      </c>
      <c r="E9" s="25" t="s">
        <v>2</v>
      </c>
      <c r="F9" s="26" t="s">
        <v>67</v>
      </c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8"/>
      <c r="V9" s="22"/>
      <c r="W9" s="32"/>
    </row>
    <row r="10" spans="1:23" ht="125.1" customHeight="1" x14ac:dyDescent="0.25">
      <c r="A10" s="30"/>
      <c r="B10" s="22"/>
      <c r="C10" s="24"/>
      <c r="D10" s="24"/>
      <c r="E10" s="24"/>
      <c r="F10" s="14" t="s">
        <v>68</v>
      </c>
      <c r="G10" s="14" t="s">
        <v>3</v>
      </c>
      <c r="H10" s="14" t="s">
        <v>4</v>
      </c>
      <c r="I10" s="14" t="s">
        <v>5</v>
      </c>
      <c r="J10" s="14" t="s">
        <v>6</v>
      </c>
      <c r="K10" s="14" t="s">
        <v>65</v>
      </c>
      <c r="L10" s="14" t="s">
        <v>7</v>
      </c>
      <c r="M10" s="14" t="s">
        <v>66</v>
      </c>
      <c r="N10" s="14" t="s">
        <v>8</v>
      </c>
      <c r="O10" s="14" t="s">
        <v>9</v>
      </c>
      <c r="P10" s="14" t="s">
        <v>69</v>
      </c>
      <c r="Q10" s="14" t="s">
        <v>70</v>
      </c>
      <c r="R10" s="14" t="s">
        <v>10</v>
      </c>
      <c r="S10" s="14" t="s">
        <v>11</v>
      </c>
      <c r="T10" s="14" t="s">
        <v>12</v>
      </c>
      <c r="U10" s="6" t="s">
        <v>13</v>
      </c>
      <c r="V10" s="22"/>
      <c r="W10" s="32"/>
    </row>
    <row r="11" spans="1:23" ht="15" customHeight="1" x14ac:dyDescent="0.25">
      <c r="A11" s="30"/>
      <c r="B11" s="22"/>
      <c r="C11" s="18" t="s">
        <v>15</v>
      </c>
      <c r="D11" s="18">
        <v>1</v>
      </c>
      <c r="E11" s="7" t="s">
        <v>29</v>
      </c>
      <c r="F11" s="8">
        <v>10</v>
      </c>
      <c r="G11" s="8">
        <v>11</v>
      </c>
      <c r="H11" s="8">
        <v>10</v>
      </c>
      <c r="I11" s="8">
        <v>10</v>
      </c>
      <c r="J11" s="8">
        <v>10</v>
      </c>
      <c r="K11" s="8">
        <v>10</v>
      </c>
      <c r="L11" s="8">
        <v>10</v>
      </c>
      <c r="M11" s="8">
        <v>11</v>
      </c>
      <c r="N11" s="8">
        <v>10</v>
      </c>
      <c r="O11" s="8">
        <v>10</v>
      </c>
      <c r="P11" s="8">
        <v>11</v>
      </c>
      <c r="Q11" s="8">
        <v>10</v>
      </c>
      <c r="R11" s="8">
        <v>10</v>
      </c>
      <c r="S11" s="8">
        <v>10</v>
      </c>
      <c r="T11" s="8">
        <v>10</v>
      </c>
      <c r="U11" s="1">
        <f>IF(COUNTIF(F11:T11,"=*")&gt;0,"-",IF(COUNTIF(F11:T11,"&lt;4")&gt;0,"-",(IFERROR(AVERAGE(F11:T11),""))))</f>
        <v>10.199999999999999</v>
      </c>
      <c r="V11" s="22"/>
      <c r="W11" s="32"/>
    </row>
    <row r="12" spans="1:23" ht="15" customHeight="1" x14ac:dyDescent="0.25">
      <c r="A12" s="30"/>
      <c r="B12" s="22"/>
      <c r="C12" s="18" t="s">
        <v>15</v>
      </c>
      <c r="D12" s="18">
        <v>2</v>
      </c>
      <c r="E12" s="7" t="s">
        <v>30</v>
      </c>
      <c r="F12" s="8">
        <v>8</v>
      </c>
      <c r="G12" s="8">
        <v>6</v>
      </c>
      <c r="H12" s="8">
        <v>8</v>
      </c>
      <c r="I12" s="8">
        <v>8</v>
      </c>
      <c r="J12" s="8">
        <v>6</v>
      </c>
      <c r="K12" s="8">
        <v>7</v>
      </c>
      <c r="L12" s="8">
        <v>7</v>
      </c>
      <c r="M12" s="8">
        <v>7</v>
      </c>
      <c r="N12" s="8">
        <v>6</v>
      </c>
      <c r="O12" s="8">
        <v>6</v>
      </c>
      <c r="P12" s="8">
        <v>7</v>
      </c>
      <c r="Q12" s="8">
        <v>7</v>
      </c>
      <c r="R12" s="8">
        <v>5</v>
      </c>
      <c r="S12" s="8">
        <v>10</v>
      </c>
      <c r="T12" s="8">
        <v>8</v>
      </c>
      <c r="U12" s="1">
        <f t="shared" ref="U12:U31" si="0">IF(COUNTIF(F12:T12,"=*")&gt;0,"-",IF(COUNTIF(F12:T12,"&lt;4")&gt;0,"-",(IFERROR(AVERAGE(F12:T12),""))))</f>
        <v>7.0666666666666664</v>
      </c>
      <c r="V12" s="22"/>
      <c r="W12" s="32"/>
    </row>
    <row r="13" spans="1:23" ht="15" customHeight="1" x14ac:dyDescent="0.25">
      <c r="A13" s="30"/>
      <c r="B13" s="22"/>
      <c r="C13" s="18" t="s">
        <v>15</v>
      </c>
      <c r="D13" s="18">
        <v>3</v>
      </c>
      <c r="E13" s="7" t="s">
        <v>31</v>
      </c>
      <c r="F13" s="8">
        <v>9</v>
      </c>
      <c r="G13" s="8">
        <v>8</v>
      </c>
      <c r="H13" s="8">
        <v>9</v>
      </c>
      <c r="I13" s="8">
        <v>10</v>
      </c>
      <c r="J13" s="8">
        <v>6</v>
      </c>
      <c r="K13" s="8">
        <v>9</v>
      </c>
      <c r="L13" s="8">
        <v>6</v>
      </c>
      <c r="M13" s="8">
        <v>8</v>
      </c>
      <c r="N13" s="8">
        <v>8</v>
      </c>
      <c r="O13" s="8">
        <v>7</v>
      </c>
      <c r="P13" s="8">
        <v>6</v>
      </c>
      <c r="Q13" s="8">
        <v>6</v>
      </c>
      <c r="R13" s="8">
        <v>7</v>
      </c>
      <c r="S13" s="8">
        <v>10</v>
      </c>
      <c r="T13" s="8">
        <v>8</v>
      </c>
      <c r="U13" s="1">
        <f t="shared" si="0"/>
        <v>7.8</v>
      </c>
      <c r="V13" s="22"/>
      <c r="W13" s="32"/>
    </row>
    <row r="14" spans="1:23" ht="15" customHeight="1" x14ac:dyDescent="0.25">
      <c r="A14" s="30"/>
      <c r="B14" s="22"/>
      <c r="C14" s="18" t="s">
        <v>15</v>
      </c>
      <c r="D14" s="18">
        <v>4</v>
      </c>
      <c r="E14" s="7" t="s">
        <v>32</v>
      </c>
      <c r="F14" s="8">
        <v>9</v>
      </c>
      <c r="G14" s="8">
        <v>11</v>
      </c>
      <c r="H14" s="8">
        <v>10</v>
      </c>
      <c r="I14" s="8">
        <v>9</v>
      </c>
      <c r="J14" s="8">
        <v>10</v>
      </c>
      <c r="K14" s="8">
        <v>9</v>
      </c>
      <c r="L14" s="8">
        <v>10</v>
      </c>
      <c r="M14" s="8">
        <v>10</v>
      </c>
      <c r="N14" s="8">
        <v>8</v>
      </c>
      <c r="O14" s="8">
        <v>8</v>
      </c>
      <c r="P14" s="8">
        <v>9</v>
      </c>
      <c r="Q14" s="8">
        <v>9</v>
      </c>
      <c r="R14" s="8">
        <v>8</v>
      </c>
      <c r="S14" s="8">
        <v>8</v>
      </c>
      <c r="T14" s="8">
        <v>11</v>
      </c>
      <c r="U14" s="1">
        <f t="shared" si="0"/>
        <v>9.2666666666666675</v>
      </c>
      <c r="V14" s="22"/>
      <c r="W14" s="32"/>
    </row>
    <row r="15" spans="1:23" ht="15" customHeight="1" x14ac:dyDescent="0.25">
      <c r="A15" s="30"/>
      <c r="B15" s="22"/>
      <c r="C15" s="18" t="s">
        <v>15</v>
      </c>
      <c r="D15" s="18">
        <v>5</v>
      </c>
      <c r="E15" s="7" t="s">
        <v>33</v>
      </c>
      <c r="F15" s="8">
        <v>7</v>
      </c>
      <c r="G15" s="8">
        <v>6</v>
      </c>
      <c r="H15" s="8">
        <v>10</v>
      </c>
      <c r="I15" s="8">
        <v>7</v>
      </c>
      <c r="J15" s="8">
        <v>5</v>
      </c>
      <c r="K15" s="8">
        <v>6</v>
      </c>
      <c r="L15" s="8">
        <v>6</v>
      </c>
      <c r="M15" s="8">
        <v>4</v>
      </c>
      <c r="N15" s="8">
        <v>6</v>
      </c>
      <c r="O15" s="8">
        <v>4</v>
      </c>
      <c r="P15" s="8">
        <v>10</v>
      </c>
      <c r="Q15" s="8">
        <v>8</v>
      </c>
      <c r="R15" s="8">
        <v>4</v>
      </c>
      <c r="S15" s="8">
        <v>6</v>
      </c>
      <c r="T15" s="8">
        <v>7</v>
      </c>
      <c r="U15" s="1">
        <f t="shared" si="0"/>
        <v>6.4</v>
      </c>
      <c r="V15" s="22"/>
      <c r="W15" s="32"/>
    </row>
    <row r="16" spans="1:23" ht="15" customHeight="1" x14ac:dyDescent="0.25">
      <c r="A16" s="30"/>
      <c r="B16" s="22"/>
      <c r="C16" s="18" t="s">
        <v>15</v>
      </c>
      <c r="D16" s="18">
        <v>6</v>
      </c>
      <c r="E16" s="7" t="s">
        <v>34</v>
      </c>
      <c r="F16" s="8">
        <v>10</v>
      </c>
      <c r="G16" s="8">
        <v>7</v>
      </c>
      <c r="H16" s="8">
        <v>9</v>
      </c>
      <c r="I16" s="8">
        <v>9</v>
      </c>
      <c r="J16" s="8">
        <v>8</v>
      </c>
      <c r="K16" s="8">
        <v>10</v>
      </c>
      <c r="L16" s="8">
        <v>8</v>
      </c>
      <c r="M16" s="8">
        <v>10</v>
      </c>
      <c r="N16" s="8">
        <v>8</v>
      </c>
      <c r="O16" s="8">
        <v>8</v>
      </c>
      <c r="P16" s="8">
        <v>10</v>
      </c>
      <c r="Q16" s="8">
        <v>9</v>
      </c>
      <c r="R16" s="8">
        <v>9</v>
      </c>
      <c r="S16" s="8">
        <v>10</v>
      </c>
      <c r="T16" s="8">
        <v>10</v>
      </c>
      <c r="U16" s="1">
        <f t="shared" si="0"/>
        <v>9</v>
      </c>
      <c r="V16" s="22"/>
      <c r="W16" s="32"/>
    </row>
    <row r="17" spans="1:23" ht="15" customHeight="1" x14ac:dyDescent="0.25">
      <c r="A17" s="30"/>
      <c r="B17" s="22"/>
      <c r="C17" s="18" t="s">
        <v>15</v>
      </c>
      <c r="D17" s="18">
        <v>7</v>
      </c>
      <c r="E17" s="7" t="s">
        <v>35</v>
      </c>
      <c r="F17" s="8">
        <v>8</v>
      </c>
      <c r="G17" s="8">
        <v>5</v>
      </c>
      <c r="H17" s="8">
        <v>6</v>
      </c>
      <c r="I17" s="8">
        <v>6</v>
      </c>
      <c r="J17" s="8">
        <v>6</v>
      </c>
      <c r="K17" s="8">
        <v>6</v>
      </c>
      <c r="L17" s="8">
        <v>5</v>
      </c>
      <c r="M17" s="8">
        <v>4</v>
      </c>
      <c r="N17" s="8">
        <v>5</v>
      </c>
      <c r="O17" s="8">
        <v>4</v>
      </c>
      <c r="P17" s="8">
        <v>5</v>
      </c>
      <c r="Q17" s="8">
        <v>7</v>
      </c>
      <c r="R17" s="8">
        <v>5</v>
      </c>
      <c r="S17" s="8">
        <v>7</v>
      </c>
      <c r="T17" s="8">
        <v>7</v>
      </c>
      <c r="U17" s="1">
        <f t="shared" si="0"/>
        <v>5.7333333333333334</v>
      </c>
      <c r="V17" s="22"/>
      <c r="W17" s="32"/>
    </row>
    <row r="18" spans="1:23" ht="15" customHeight="1" x14ac:dyDescent="0.25">
      <c r="A18" s="30"/>
      <c r="B18" s="22"/>
      <c r="C18" s="18" t="s">
        <v>15</v>
      </c>
      <c r="D18" s="18">
        <v>8</v>
      </c>
      <c r="E18" s="7" t="s">
        <v>36</v>
      </c>
      <c r="F18" s="8">
        <v>10</v>
      </c>
      <c r="G18" s="8">
        <v>8</v>
      </c>
      <c r="H18" s="8">
        <v>10</v>
      </c>
      <c r="I18" s="8">
        <v>8</v>
      </c>
      <c r="J18" s="8">
        <v>8</v>
      </c>
      <c r="K18" s="8">
        <v>7</v>
      </c>
      <c r="L18" s="8">
        <v>7</v>
      </c>
      <c r="M18" s="8">
        <v>10</v>
      </c>
      <c r="N18" s="8">
        <v>7</v>
      </c>
      <c r="O18" s="8">
        <v>8</v>
      </c>
      <c r="P18" s="8">
        <v>8</v>
      </c>
      <c r="Q18" s="8">
        <v>6</v>
      </c>
      <c r="R18" s="8">
        <v>7</v>
      </c>
      <c r="S18" s="8">
        <v>10</v>
      </c>
      <c r="T18" s="8">
        <v>8</v>
      </c>
      <c r="U18" s="1">
        <f t="shared" si="0"/>
        <v>8.1333333333333329</v>
      </c>
      <c r="V18" s="22"/>
      <c r="W18" s="32"/>
    </row>
    <row r="19" spans="1:23" ht="15" customHeight="1" x14ac:dyDescent="0.25">
      <c r="A19" s="30"/>
      <c r="B19" s="22"/>
      <c r="C19" s="18" t="s">
        <v>15</v>
      </c>
      <c r="D19" s="18">
        <v>9</v>
      </c>
      <c r="E19" s="7" t="s">
        <v>37</v>
      </c>
      <c r="F19" s="8">
        <v>10</v>
      </c>
      <c r="G19" s="8">
        <v>9</v>
      </c>
      <c r="H19" s="8">
        <v>10</v>
      </c>
      <c r="I19" s="8">
        <v>10</v>
      </c>
      <c r="J19" s="8">
        <v>10</v>
      </c>
      <c r="K19" s="8">
        <v>10</v>
      </c>
      <c r="L19" s="8">
        <v>11</v>
      </c>
      <c r="M19" s="8">
        <v>11</v>
      </c>
      <c r="N19" s="8">
        <v>9</v>
      </c>
      <c r="O19" s="8">
        <v>8</v>
      </c>
      <c r="P19" s="8">
        <v>8</v>
      </c>
      <c r="Q19" s="8">
        <v>9</v>
      </c>
      <c r="R19" s="8">
        <v>9</v>
      </c>
      <c r="S19" s="8">
        <v>10</v>
      </c>
      <c r="T19" s="8">
        <v>10</v>
      </c>
      <c r="U19" s="1">
        <f t="shared" si="0"/>
        <v>9.6</v>
      </c>
      <c r="V19" s="22"/>
      <c r="W19" s="32"/>
    </row>
    <row r="20" spans="1:23" ht="15" customHeight="1" x14ac:dyDescent="0.25">
      <c r="A20" s="30"/>
      <c r="B20" s="22"/>
      <c r="C20" s="18" t="s">
        <v>15</v>
      </c>
      <c r="D20" s="18">
        <v>10</v>
      </c>
      <c r="E20" s="7" t="s">
        <v>38</v>
      </c>
      <c r="F20" s="8">
        <v>10</v>
      </c>
      <c r="G20" s="8">
        <v>6</v>
      </c>
      <c r="H20" s="8">
        <v>6</v>
      </c>
      <c r="I20" s="8">
        <v>10</v>
      </c>
      <c r="J20" s="8">
        <v>6</v>
      </c>
      <c r="K20" s="8">
        <v>9</v>
      </c>
      <c r="L20" s="8">
        <v>8</v>
      </c>
      <c r="M20" s="8">
        <v>8</v>
      </c>
      <c r="N20" s="8">
        <v>8</v>
      </c>
      <c r="O20" s="8">
        <v>6</v>
      </c>
      <c r="P20" s="8">
        <v>9</v>
      </c>
      <c r="Q20" s="8">
        <v>9</v>
      </c>
      <c r="R20" s="8">
        <v>4</v>
      </c>
      <c r="S20" s="8">
        <v>10</v>
      </c>
      <c r="T20" s="8">
        <v>7</v>
      </c>
      <c r="U20" s="1">
        <f t="shared" si="0"/>
        <v>7.7333333333333334</v>
      </c>
      <c r="V20" s="22"/>
      <c r="W20" s="32"/>
    </row>
    <row r="21" spans="1:23" ht="15" customHeight="1" x14ac:dyDescent="0.25">
      <c r="A21" s="30"/>
      <c r="B21" s="22"/>
      <c r="C21" s="18" t="s">
        <v>15</v>
      </c>
      <c r="D21" s="18">
        <v>11</v>
      </c>
      <c r="E21" s="7" t="s">
        <v>39</v>
      </c>
      <c r="F21" s="8">
        <v>9</v>
      </c>
      <c r="G21" s="8">
        <v>10</v>
      </c>
      <c r="H21" s="8">
        <v>10</v>
      </c>
      <c r="I21" s="8">
        <v>10</v>
      </c>
      <c r="J21" s="8">
        <v>10</v>
      </c>
      <c r="K21" s="8">
        <v>9</v>
      </c>
      <c r="L21" s="8">
        <v>7</v>
      </c>
      <c r="M21" s="8">
        <v>10</v>
      </c>
      <c r="N21" s="8">
        <v>9</v>
      </c>
      <c r="O21" s="8">
        <v>7</v>
      </c>
      <c r="P21" s="8">
        <v>10</v>
      </c>
      <c r="Q21" s="8">
        <v>9</v>
      </c>
      <c r="R21" s="8">
        <v>7</v>
      </c>
      <c r="S21" s="8">
        <v>4</v>
      </c>
      <c r="T21" s="8">
        <v>9</v>
      </c>
      <c r="U21" s="1">
        <f t="shared" si="0"/>
        <v>8.6666666666666661</v>
      </c>
      <c r="V21" s="22"/>
      <c r="W21" s="32"/>
    </row>
    <row r="22" spans="1:23" ht="15" customHeight="1" x14ac:dyDescent="0.25">
      <c r="A22" s="30"/>
      <c r="B22" s="22"/>
      <c r="C22" s="18" t="s">
        <v>15</v>
      </c>
      <c r="D22" s="18">
        <v>12</v>
      </c>
      <c r="E22" s="7" t="s">
        <v>40</v>
      </c>
      <c r="F22" s="8">
        <v>9</v>
      </c>
      <c r="G22" s="8">
        <v>8</v>
      </c>
      <c r="H22" s="8">
        <v>10</v>
      </c>
      <c r="I22" s="8">
        <v>9</v>
      </c>
      <c r="J22" s="8">
        <v>7</v>
      </c>
      <c r="K22" s="8">
        <v>11</v>
      </c>
      <c r="L22" s="8">
        <v>8</v>
      </c>
      <c r="M22" s="8">
        <v>8</v>
      </c>
      <c r="N22" s="8">
        <v>7</v>
      </c>
      <c r="O22" s="8">
        <v>6</v>
      </c>
      <c r="P22" s="8">
        <v>8</v>
      </c>
      <c r="Q22" s="8">
        <v>7</v>
      </c>
      <c r="R22" s="8">
        <v>6</v>
      </c>
      <c r="S22" s="8">
        <v>10</v>
      </c>
      <c r="T22" s="8">
        <v>8</v>
      </c>
      <c r="U22" s="1">
        <f t="shared" si="0"/>
        <v>8.1333333333333329</v>
      </c>
      <c r="V22" s="22"/>
      <c r="W22" s="32"/>
    </row>
    <row r="23" spans="1:23" ht="15" customHeight="1" x14ac:dyDescent="0.25">
      <c r="A23" s="30"/>
      <c r="B23" s="22"/>
      <c r="C23" s="18" t="s">
        <v>14</v>
      </c>
      <c r="D23" s="18">
        <v>13</v>
      </c>
      <c r="E23" s="7" t="s">
        <v>41</v>
      </c>
      <c r="F23" s="8">
        <v>10</v>
      </c>
      <c r="G23" s="8">
        <v>7</v>
      </c>
      <c r="H23" s="8">
        <v>7</v>
      </c>
      <c r="I23" s="8">
        <v>8</v>
      </c>
      <c r="J23" s="8">
        <v>6</v>
      </c>
      <c r="K23" s="8">
        <v>5</v>
      </c>
      <c r="L23" s="8">
        <v>7</v>
      </c>
      <c r="M23" s="8">
        <v>7</v>
      </c>
      <c r="N23" s="8">
        <v>7</v>
      </c>
      <c r="O23" s="8">
        <v>5</v>
      </c>
      <c r="P23" s="8">
        <v>6</v>
      </c>
      <c r="Q23" s="8">
        <v>6</v>
      </c>
      <c r="R23" s="8">
        <v>5</v>
      </c>
      <c r="S23" s="8">
        <v>8</v>
      </c>
      <c r="T23" s="8">
        <v>6</v>
      </c>
      <c r="U23" s="1">
        <f t="shared" si="0"/>
        <v>6.666666666666667</v>
      </c>
      <c r="V23" s="22"/>
      <c r="W23" s="32"/>
    </row>
    <row r="24" spans="1:23" ht="15" customHeight="1" x14ac:dyDescent="0.25">
      <c r="A24" s="30"/>
      <c r="B24" s="22"/>
      <c r="C24" s="18" t="s">
        <v>14</v>
      </c>
      <c r="D24" s="18">
        <v>14</v>
      </c>
      <c r="E24" s="7" t="s">
        <v>42</v>
      </c>
      <c r="F24" s="8">
        <v>10</v>
      </c>
      <c r="G24" s="8">
        <v>7</v>
      </c>
      <c r="H24" s="8">
        <v>8</v>
      </c>
      <c r="I24" s="8">
        <v>7</v>
      </c>
      <c r="J24" s="8">
        <v>5</v>
      </c>
      <c r="K24" s="8">
        <v>7</v>
      </c>
      <c r="L24" s="8">
        <v>7</v>
      </c>
      <c r="M24" s="8">
        <v>7</v>
      </c>
      <c r="N24" s="8">
        <v>6</v>
      </c>
      <c r="O24" s="8">
        <v>5</v>
      </c>
      <c r="P24" s="8">
        <v>6</v>
      </c>
      <c r="Q24" s="8">
        <v>7</v>
      </c>
      <c r="R24" s="8">
        <v>5</v>
      </c>
      <c r="S24" s="8">
        <v>10</v>
      </c>
      <c r="T24" s="8">
        <v>7</v>
      </c>
      <c r="U24" s="1">
        <f t="shared" si="0"/>
        <v>6.9333333333333336</v>
      </c>
      <c r="V24" s="22"/>
      <c r="W24" s="32"/>
    </row>
    <row r="25" spans="1:23" ht="15" customHeight="1" x14ac:dyDescent="0.25">
      <c r="A25" s="30"/>
      <c r="B25" s="22"/>
      <c r="C25" s="18" t="s">
        <v>15</v>
      </c>
      <c r="D25" s="18">
        <v>15</v>
      </c>
      <c r="E25" s="7" t="s">
        <v>43</v>
      </c>
      <c r="F25" s="8">
        <v>10</v>
      </c>
      <c r="G25" s="8">
        <v>9</v>
      </c>
      <c r="H25" s="8">
        <v>10</v>
      </c>
      <c r="I25" s="8">
        <v>10</v>
      </c>
      <c r="J25" s="8">
        <v>10</v>
      </c>
      <c r="K25" s="8">
        <v>10</v>
      </c>
      <c r="L25" s="8">
        <v>8</v>
      </c>
      <c r="M25" s="8">
        <v>10</v>
      </c>
      <c r="N25" s="8">
        <v>10</v>
      </c>
      <c r="O25" s="8">
        <v>8</v>
      </c>
      <c r="P25" s="8">
        <v>10</v>
      </c>
      <c r="Q25" s="8">
        <v>10</v>
      </c>
      <c r="R25" s="8">
        <v>10</v>
      </c>
      <c r="S25" s="8">
        <v>10</v>
      </c>
      <c r="T25" s="8">
        <v>9</v>
      </c>
      <c r="U25" s="1">
        <f t="shared" si="0"/>
        <v>9.6</v>
      </c>
      <c r="V25" s="22"/>
      <c r="W25" s="32"/>
    </row>
    <row r="26" spans="1:23" ht="15" customHeight="1" x14ac:dyDescent="0.25">
      <c r="A26" s="30"/>
      <c r="B26" s="22"/>
      <c r="C26" s="18" t="s">
        <v>15</v>
      </c>
      <c r="D26" s="18">
        <v>16</v>
      </c>
      <c r="E26" s="7" t="s">
        <v>44</v>
      </c>
      <c r="F26" s="8">
        <v>10</v>
      </c>
      <c r="G26" s="8">
        <v>9</v>
      </c>
      <c r="H26" s="8">
        <v>8</v>
      </c>
      <c r="I26" s="8">
        <v>10</v>
      </c>
      <c r="J26" s="8">
        <v>8</v>
      </c>
      <c r="K26" s="8">
        <v>7</v>
      </c>
      <c r="L26" s="8">
        <v>8</v>
      </c>
      <c r="M26" s="8">
        <v>8</v>
      </c>
      <c r="N26" s="8">
        <v>7</v>
      </c>
      <c r="O26" s="8">
        <v>8</v>
      </c>
      <c r="P26" s="8">
        <v>8</v>
      </c>
      <c r="Q26" s="8">
        <v>8</v>
      </c>
      <c r="R26" s="8">
        <v>7</v>
      </c>
      <c r="S26" s="8">
        <v>10</v>
      </c>
      <c r="T26" s="8">
        <v>10</v>
      </c>
      <c r="U26" s="1">
        <f t="shared" si="0"/>
        <v>8.4</v>
      </c>
      <c r="V26" s="22"/>
      <c r="W26" s="32"/>
    </row>
    <row r="27" spans="1:23" ht="15" customHeight="1" x14ac:dyDescent="0.25">
      <c r="A27" s="30"/>
      <c r="B27" s="22"/>
      <c r="C27" s="18" t="s">
        <v>15</v>
      </c>
      <c r="D27" s="18">
        <v>17</v>
      </c>
      <c r="E27" s="7" t="s">
        <v>45</v>
      </c>
      <c r="F27" s="8">
        <v>8</v>
      </c>
      <c r="G27" s="8">
        <v>6</v>
      </c>
      <c r="H27" s="8">
        <v>6</v>
      </c>
      <c r="I27" s="8">
        <v>8</v>
      </c>
      <c r="J27" s="8">
        <v>4</v>
      </c>
      <c r="K27" s="8">
        <v>6</v>
      </c>
      <c r="L27" s="8">
        <v>4</v>
      </c>
      <c r="M27" s="8">
        <v>6</v>
      </c>
      <c r="N27" s="8">
        <v>6</v>
      </c>
      <c r="O27" s="8">
        <v>4</v>
      </c>
      <c r="P27" s="8">
        <v>5</v>
      </c>
      <c r="Q27" s="8">
        <v>8</v>
      </c>
      <c r="R27" s="8">
        <v>4</v>
      </c>
      <c r="S27" s="8">
        <v>4</v>
      </c>
      <c r="T27" s="8">
        <v>6</v>
      </c>
      <c r="U27" s="1">
        <f t="shared" si="0"/>
        <v>5.666666666666667</v>
      </c>
      <c r="V27" s="22"/>
      <c r="W27" s="32"/>
    </row>
    <row r="28" spans="1:23" ht="15" customHeight="1" x14ac:dyDescent="0.25">
      <c r="A28" s="30"/>
      <c r="B28" s="22"/>
      <c r="C28" s="18" t="s">
        <v>15</v>
      </c>
      <c r="D28" s="18">
        <v>18</v>
      </c>
      <c r="E28" s="7" t="s">
        <v>46</v>
      </c>
      <c r="F28" s="8">
        <v>6</v>
      </c>
      <c r="G28" s="8">
        <v>4</v>
      </c>
      <c r="H28" s="8">
        <v>5</v>
      </c>
      <c r="I28" s="8">
        <v>4</v>
      </c>
      <c r="J28" s="8">
        <v>4</v>
      </c>
      <c r="K28" s="8" t="s">
        <v>64</v>
      </c>
      <c r="L28" s="8">
        <v>5</v>
      </c>
      <c r="M28" s="8">
        <v>4</v>
      </c>
      <c r="N28" s="8">
        <v>4</v>
      </c>
      <c r="O28" s="8">
        <v>4</v>
      </c>
      <c r="P28" s="8">
        <v>5</v>
      </c>
      <c r="Q28" s="8">
        <v>5</v>
      </c>
      <c r="R28" s="8">
        <v>4</v>
      </c>
      <c r="S28" s="8">
        <v>4</v>
      </c>
      <c r="T28" s="8">
        <v>5</v>
      </c>
      <c r="U28" s="1" t="str">
        <f t="shared" si="0"/>
        <v>-</v>
      </c>
      <c r="V28" s="22"/>
      <c r="W28" s="32"/>
    </row>
    <row r="29" spans="1:23" ht="15" customHeight="1" x14ac:dyDescent="0.25">
      <c r="A29" s="30"/>
      <c r="B29" s="22"/>
      <c r="C29" s="18" t="s">
        <v>15</v>
      </c>
      <c r="D29" s="18">
        <v>19</v>
      </c>
      <c r="E29" s="7" t="s">
        <v>47</v>
      </c>
      <c r="F29" s="8">
        <v>8</v>
      </c>
      <c r="G29" s="8">
        <v>5</v>
      </c>
      <c r="H29" s="8">
        <v>8</v>
      </c>
      <c r="I29" s="8">
        <v>4</v>
      </c>
      <c r="J29" s="8">
        <v>4</v>
      </c>
      <c r="K29" s="8">
        <v>4</v>
      </c>
      <c r="L29" s="8">
        <v>4</v>
      </c>
      <c r="M29" s="8">
        <v>5</v>
      </c>
      <c r="N29" s="8">
        <v>4</v>
      </c>
      <c r="O29" s="8">
        <v>4</v>
      </c>
      <c r="P29" s="8">
        <v>7</v>
      </c>
      <c r="Q29" s="8">
        <v>6</v>
      </c>
      <c r="R29" s="8">
        <v>4</v>
      </c>
      <c r="S29" s="8">
        <v>6</v>
      </c>
      <c r="T29" s="8">
        <v>5</v>
      </c>
      <c r="U29" s="1">
        <f t="shared" si="0"/>
        <v>5.2</v>
      </c>
      <c r="V29" s="22"/>
      <c r="W29" s="32"/>
    </row>
    <row r="30" spans="1:23" ht="15" customHeight="1" x14ac:dyDescent="0.25">
      <c r="A30" s="30"/>
      <c r="B30" s="22"/>
      <c r="C30" s="18" t="s">
        <v>15</v>
      </c>
      <c r="D30" s="18">
        <v>20</v>
      </c>
      <c r="E30" s="7" t="s">
        <v>48</v>
      </c>
      <c r="F30" s="8">
        <v>6</v>
      </c>
      <c r="G30" s="8">
        <v>5</v>
      </c>
      <c r="H30" s="8">
        <v>5</v>
      </c>
      <c r="I30" s="8">
        <v>6</v>
      </c>
      <c r="J30" s="8">
        <v>4</v>
      </c>
      <c r="K30" s="8">
        <v>4</v>
      </c>
      <c r="L30" s="8">
        <v>5</v>
      </c>
      <c r="M30" s="8">
        <v>5</v>
      </c>
      <c r="N30" s="8">
        <v>4</v>
      </c>
      <c r="O30" s="8">
        <v>4</v>
      </c>
      <c r="P30" s="8">
        <v>5</v>
      </c>
      <c r="Q30" s="8">
        <v>7</v>
      </c>
      <c r="R30" s="8">
        <v>4</v>
      </c>
      <c r="S30" s="8">
        <v>6</v>
      </c>
      <c r="T30" s="8">
        <v>6</v>
      </c>
      <c r="U30" s="1">
        <f t="shared" si="0"/>
        <v>5.0666666666666664</v>
      </c>
      <c r="V30" s="22"/>
      <c r="W30" s="32"/>
    </row>
    <row r="31" spans="1:23" ht="15" customHeight="1" x14ac:dyDescent="0.25">
      <c r="A31" s="30"/>
      <c r="B31" s="22"/>
      <c r="C31" s="18" t="s">
        <v>15</v>
      </c>
      <c r="D31" s="18">
        <v>21</v>
      </c>
      <c r="E31" s="7" t="s">
        <v>49</v>
      </c>
      <c r="F31" s="8">
        <v>10</v>
      </c>
      <c r="G31" s="8">
        <v>10</v>
      </c>
      <c r="H31" s="8">
        <v>9</v>
      </c>
      <c r="I31" s="8">
        <v>9</v>
      </c>
      <c r="J31" s="8">
        <v>9</v>
      </c>
      <c r="K31" s="8">
        <v>8</v>
      </c>
      <c r="L31" s="8">
        <v>8</v>
      </c>
      <c r="M31" s="8">
        <v>10</v>
      </c>
      <c r="N31" s="8">
        <v>8</v>
      </c>
      <c r="O31" s="8">
        <v>7</v>
      </c>
      <c r="P31" s="8">
        <v>8</v>
      </c>
      <c r="Q31" s="8">
        <v>7</v>
      </c>
      <c r="R31" s="8">
        <v>8</v>
      </c>
      <c r="S31" s="8">
        <v>10</v>
      </c>
      <c r="T31" s="8">
        <v>10</v>
      </c>
      <c r="U31" s="1">
        <f t="shared" si="0"/>
        <v>8.7333333333333325</v>
      </c>
      <c r="V31" s="22"/>
      <c r="W31" s="32"/>
    </row>
    <row r="32" spans="1:23" ht="15" customHeight="1" x14ac:dyDescent="0.25">
      <c r="A32" s="30"/>
      <c r="B32" s="22"/>
      <c r="C32" s="18" t="s">
        <v>15</v>
      </c>
      <c r="D32" s="18">
        <v>22</v>
      </c>
      <c r="E32" s="7" t="s">
        <v>50</v>
      </c>
      <c r="F32" s="8">
        <v>8</v>
      </c>
      <c r="G32" s="8">
        <v>7</v>
      </c>
      <c r="H32" s="8">
        <v>8</v>
      </c>
      <c r="I32" s="8">
        <v>6</v>
      </c>
      <c r="J32" s="8">
        <v>5</v>
      </c>
      <c r="K32" s="8">
        <v>7</v>
      </c>
      <c r="L32" s="8">
        <v>5</v>
      </c>
      <c r="M32" s="8">
        <v>4</v>
      </c>
      <c r="N32" s="8">
        <v>4</v>
      </c>
      <c r="O32" s="8">
        <v>4</v>
      </c>
      <c r="P32" s="8">
        <v>5</v>
      </c>
      <c r="Q32" s="8">
        <v>5</v>
      </c>
      <c r="R32" s="8">
        <v>4</v>
      </c>
      <c r="S32" s="8">
        <v>6</v>
      </c>
      <c r="T32" s="8">
        <v>6</v>
      </c>
      <c r="U32" s="1">
        <f t="shared" ref="U32" si="1">IF(COUNTIF(F32:T32,"=*")&gt;0,"-",IF(COUNTIF(F32:T32,"&lt;4")&gt;0,"-",(IFERROR(AVERAGE(F32:T32),""))))</f>
        <v>5.6</v>
      </c>
      <c r="V32" s="22"/>
      <c r="W32" s="32"/>
    </row>
    <row r="33" spans="1:24" ht="15" customHeight="1" x14ac:dyDescent="0.25">
      <c r="A33" s="30"/>
      <c r="B33" s="22"/>
      <c r="C33" s="9"/>
      <c r="D33" s="9"/>
      <c r="E33" s="7" t="s">
        <v>16</v>
      </c>
      <c r="F33" s="2">
        <f>IF(SUM(F11:F32)=0,"",SUM(F11:F32)/D32)</f>
        <v>8.8636363636363633</v>
      </c>
      <c r="G33" s="2">
        <f>IF(SUM(G11:G32)=0,"",SUM(G11:G32)/D32)</f>
        <v>7.4545454545454541</v>
      </c>
      <c r="H33" s="2">
        <f>IF(SUM(H11:H32)=0,"",SUM(H11:H32)/D32)</f>
        <v>8.2727272727272734</v>
      </c>
      <c r="I33" s="2">
        <f>IF(SUM(I11:I32)=0,"",SUM(I11:I32)/D32)</f>
        <v>8.0909090909090917</v>
      </c>
      <c r="J33" s="2">
        <f>IF(SUM(J11:J32)=0,"",SUM(J11:J32)/D32)</f>
        <v>6.8636363636363633</v>
      </c>
      <c r="K33" s="2">
        <f>IF(SUM(K11:K32)=0,"",SUM(K11:K32)/D32)</f>
        <v>7.3181818181818183</v>
      </c>
      <c r="L33" s="2">
        <f>IF(SUM(L11:L32)=0,"",SUM(L11:L32)/D32)</f>
        <v>7</v>
      </c>
      <c r="M33" s="2">
        <f>IF(SUM(M11:M32)=0,"",SUM(M11:M32)/D32)</f>
        <v>7.5909090909090908</v>
      </c>
      <c r="N33" s="2">
        <f>IF(SUM(N11:N32)=0,"",SUM(N11:N32)/D32)</f>
        <v>6.8636363636363633</v>
      </c>
      <c r="O33" s="2">
        <f>IF(SUM(O11:O32)=0,"",SUM(O11:O32)/D32)</f>
        <v>6.1363636363636367</v>
      </c>
      <c r="P33" s="2">
        <f>IF(SUM(P11:P32)=0,"",SUM(P11:P32)/D32)</f>
        <v>7.5454545454545459</v>
      </c>
      <c r="Q33" s="2">
        <f>IF(SUM(Q11:Q32)=0,"",SUM(Q11:Q32)/D32)</f>
        <v>7.5</v>
      </c>
      <c r="R33" s="2">
        <f>IF(SUM(R11:R32)=0,"",SUM(R11:R32)/D32)</f>
        <v>6.1818181818181817</v>
      </c>
      <c r="S33" s="2">
        <f>IF(SUM(S11:S32)=0,"",SUM(S11:S32)/D32)</f>
        <v>8.1363636363636367</v>
      </c>
      <c r="T33" s="2">
        <f>IF(SUM(T11:T32)=0,"",SUM(T11:T32)/D32)</f>
        <v>7.8636363636363633</v>
      </c>
      <c r="U33" s="1">
        <f>IFERROR(AVERAGE(F33:T33),"")</f>
        <v>7.4454545454545471</v>
      </c>
      <c r="V33" s="22"/>
      <c r="W33" s="32"/>
    </row>
    <row r="34" spans="1:24" ht="15" customHeight="1" x14ac:dyDescent="0.25">
      <c r="A34" s="30"/>
      <c r="B34" s="22"/>
      <c r="C34" s="9"/>
      <c r="D34" s="9"/>
      <c r="E34" s="7" t="s">
        <v>17</v>
      </c>
      <c r="F34" s="10">
        <f>IF(SUM(F11:F32)=0,"",IF(COUNTIF(F11:F32,"&gt;=4")=0,0,COUNTIF(F11:F32,"&gt;=4")/D32*100))</f>
        <v>100</v>
      </c>
      <c r="G34" s="10">
        <f>IF(SUM(G11:G32)=0,"",IF(COUNTIF(G11:G32,"&gt;=4")=0,0,COUNTIF(G11:G32,"&gt;=4")/D32*100))</f>
        <v>100</v>
      </c>
      <c r="H34" s="10">
        <f>IF(SUM(H11:H32)=0,"",IF(COUNTIF(H11:H32,"&gt;=4")=0,0,COUNTIF(H11:H32,"&gt;=4")/D32*100))</f>
        <v>100</v>
      </c>
      <c r="I34" s="10">
        <f>IF(SUM(I11:I32)=0,"",IF(COUNTIF(I11:I32,"&gt;=4")=0,0,COUNTIF(I11:I32,"&gt;=4")/D32*100))</f>
        <v>100</v>
      </c>
      <c r="J34" s="10">
        <f>IF(SUM(J11:J32)=0,"",IF(COUNTIF(J11:J32,"&gt;=4")=0,0,COUNTIF(J11:J32,"&gt;=4")/D32*100))</f>
        <v>100</v>
      </c>
      <c r="K34" s="10">
        <f>IF(SUM(K11:K32)=0,"",IF(COUNTIF(K11:K32,"&gt;=4")=0,0,COUNTIF(K11:K32,"&gt;=4")/D32*100))</f>
        <v>95.454545454545453</v>
      </c>
      <c r="L34" s="10">
        <f>IF(SUM(L11:L32)=0,"",IF(COUNTIF(L11:L32,"&gt;=4")=0,0,COUNTIF(L11:L32,"&gt;=4")/D32*100))</f>
        <v>100</v>
      </c>
      <c r="M34" s="10">
        <f>IF(SUM(M11:M32)=0,"",IF(COUNTIF(M11:M32,"&gt;=4")=0,0,COUNTIF(M11:M32,"&gt;=4")/D32*100))</f>
        <v>100</v>
      </c>
      <c r="N34" s="10">
        <f>IF(SUM(N11:N32)=0,"",IF(COUNTIF(N11:N32,"&gt;=4")=0,0,COUNTIF(N11:N32,"&gt;=4")/D32*100))</f>
        <v>100</v>
      </c>
      <c r="O34" s="10">
        <f>IF(SUM(O11:O32)=0,"",IF(COUNTIF(O11:O32,"&gt;=4")=0,0,COUNTIF(O11:O32,"&gt;=4")/D32*100))</f>
        <v>100</v>
      </c>
      <c r="P34" s="10">
        <f>IF(SUM(P11:P32)=0,"",IF(COUNTIF(P11:P32,"&gt;=4")=0,0,COUNTIF(P11:P32,"&gt;=4")/D32*100))</f>
        <v>100</v>
      </c>
      <c r="Q34" s="10">
        <f>IF(SUM(Q11:Q32)=0,"",IF(COUNTIF(Q11:Q32,"&gt;=4")=0,0,COUNTIF(Q11:Q32,"&gt;=4")/D32*100))</f>
        <v>100</v>
      </c>
      <c r="R34" s="10">
        <f>IF(SUM(R11:R32)=0,"",IF(COUNTIF(R11:R32,"&gt;=4")=0,0,COUNTIF(R11:R32,"&gt;=4")/D32*100))</f>
        <v>100</v>
      </c>
      <c r="S34" s="10">
        <f>IF(SUM(S11:S32)=0,"",IF(COUNTIF(S11:S32,"&gt;=4")=0,0,COUNTIF(S11:S32,"&gt;=4")/D32*100))</f>
        <v>100</v>
      </c>
      <c r="T34" s="10">
        <f>IF(SUM(T11:T32)=0,"",IF(COUNTIF(T11:T32,"&gt;=4")=0,0,COUNTIF(T11:T32,"&gt;=4")/D32*100))</f>
        <v>100</v>
      </c>
      <c r="U34" s="11"/>
      <c r="V34" s="22"/>
      <c r="W34" s="32"/>
      <c r="X34" s="12"/>
    </row>
    <row r="35" spans="1:24" ht="15" customHeight="1" x14ac:dyDescent="0.25">
      <c r="A35" s="30"/>
      <c r="B35" s="22"/>
      <c r="C35" s="9"/>
      <c r="D35" s="9"/>
      <c r="E35" s="7" t="s">
        <v>18</v>
      </c>
      <c r="F35" s="10">
        <f>IF(SUM(F11:F32)=0,"",IF(COUNTIF(F11:F32,"&gt;=7")=0,0,COUNTIF(F11:F32,"&gt;=7")/D32*100))</f>
        <v>90.909090909090907</v>
      </c>
      <c r="G35" s="10">
        <f>IF(SUM(G11:G32)=0,"",IF(COUNTIF(G11:G32,"&gt;=7")=0,0,COUNTIF(G11:G32,"&gt;=7")/D32*100))</f>
        <v>63.636363636363633</v>
      </c>
      <c r="H35" s="10">
        <f>IF(SUM(H11:H32)=0,"",IF(COUNTIF(H11:H32,"&gt;=7")=0,0,COUNTIF(H11:H32,"&gt;=7")/D32*100))</f>
        <v>77.272727272727266</v>
      </c>
      <c r="I35" s="10">
        <f>IF(SUM(I11:I32)=0,"",IF(COUNTIF(I11:I32,"&gt;=7")=0,0,COUNTIF(I11:I32,"&gt;=7")/D32*100))</f>
        <v>77.272727272727266</v>
      </c>
      <c r="J35" s="10">
        <f>IF(SUM(J11:J32)=0,"",IF(COUNTIF(J11:J32,"&gt;=7")=0,0,COUNTIF(J11:J32,"&gt;=7")/D32*100))</f>
        <v>45.454545454545453</v>
      </c>
      <c r="K35" s="10">
        <f>IF(SUM(K11:K32)=0,"",IF(COUNTIF(K11:K32,"&gt;=7")=0,0,COUNTIF(K11:K32,"&gt;=7")/D32*100))</f>
        <v>68.181818181818173</v>
      </c>
      <c r="L35" s="10">
        <f>IF(SUM(L11:L32)=0,"",IF(COUNTIF(L11:L32,"&gt;=7")=0,0,COUNTIF(L11:L32,"&gt;=7")/D32*100))</f>
        <v>63.636363636363633</v>
      </c>
      <c r="M35" s="10">
        <f>IF(SUM(M11:M32)=0,"",IF(COUNTIF(M11:M32,"&gt;=7")=0,0,COUNTIF(M11:M32,"&gt;=7")/D32*100))</f>
        <v>68.181818181818173</v>
      </c>
      <c r="N35" s="10">
        <f>IF(SUM(N11:N32)=0,"",IF(COUNTIF(N11:N32,"&gt;=7")=0,0,COUNTIF(N11:N32,"&gt;=7")/D32*100))</f>
        <v>59.090909090909093</v>
      </c>
      <c r="O35" s="10">
        <f>IF(SUM(O11:O32)=0,"",IF(COUNTIF(O11:O32,"&gt;=7")=0,0,COUNTIF(O11:O32,"&gt;=7")/D32*100))</f>
        <v>45.454545454545453</v>
      </c>
      <c r="P35" s="10">
        <f>IF(SUM(P11:P32)=0,"",IF(COUNTIF(P11:P32,"&gt;=7")=0,0,COUNTIF(P11:P32,"&gt;=7")/D32*100))</f>
        <v>63.636363636363633</v>
      </c>
      <c r="Q35" s="10">
        <f>IF(SUM(Q11:Q32)=0,"",IF(COUNTIF(Q11:Q32,"&gt;=7")=0,0,COUNTIF(Q11:Q32,"&gt;=7")/D32*100))</f>
        <v>72.727272727272734</v>
      </c>
      <c r="R35" s="10">
        <f>IF(SUM(R11:R32)=0,"",IF(COUNTIF(R11:R32,"&gt;=7")=0,0,COUNTIF(R11:R32,"&gt;=7")/D32*100))</f>
        <v>45.454545454545453</v>
      </c>
      <c r="S35" s="10">
        <f>IF(SUM(S11:S32)=0,"",IF(COUNTIF(S11:S32,"&gt;=7")=0,0,COUNTIF(S11:S32,"&gt;=7")/D32*100))</f>
        <v>68.181818181818173</v>
      </c>
      <c r="T35" s="10">
        <f>IF(SUM(T11:T32)=0,"",IF(COUNTIF(T11:T32,"&gt;=7")=0,0,COUNTIF(T11:T32,"&gt;=7")/D32*100))</f>
        <v>72.727272727272734</v>
      </c>
      <c r="U35" s="16"/>
      <c r="V35" s="22"/>
      <c r="W35" s="32"/>
      <c r="X35" s="12"/>
    </row>
    <row r="36" spans="1:24" ht="15" customHeight="1" x14ac:dyDescent="0.25">
      <c r="A36" s="30"/>
      <c r="B36" s="22"/>
      <c r="C36" s="9"/>
      <c r="D36" s="9"/>
      <c r="E36" s="7" t="s">
        <v>19</v>
      </c>
      <c r="F36" s="2">
        <f>IFERROR(AVERAGE(F34:T34),"")</f>
        <v>99.696969696969703</v>
      </c>
      <c r="G36" s="1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16"/>
      <c r="V36" s="22"/>
      <c r="W36" s="32"/>
      <c r="X36" s="12"/>
    </row>
    <row r="37" spans="1:24" ht="15" customHeight="1" x14ac:dyDescent="0.25">
      <c r="A37" s="30"/>
      <c r="B37" s="22"/>
      <c r="C37" s="9"/>
      <c r="D37" s="9"/>
      <c r="E37" s="7" t="s">
        <v>20</v>
      </c>
      <c r="F37" s="2">
        <f>IFERROR(AVERAGE(F35:T35),"")</f>
        <v>65.454545454545453</v>
      </c>
      <c r="G37" s="1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16"/>
      <c r="V37" s="22"/>
      <c r="W37" s="32"/>
      <c r="X37" s="12"/>
    </row>
    <row r="38" spans="1:24" ht="15" customHeight="1" x14ac:dyDescent="0.25">
      <c r="A38" s="30"/>
      <c r="B38" s="22"/>
      <c r="C38" s="9"/>
      <c r="D38" s="9"/>
      <c r="E38" s="7" t="s">
        <v>21</v>
      </c>
      <c r="F38" s="17">
        <f>IF(COUNTIF(C11:C32,"=Б")=0,IF(COUNTIF(C11:C32,"=К")=0,"",0),COUNTIF(C11:C32,"=Б"))</f>
        <v>20</v>
      </c>
      <c r="G38" s="1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16"/>
      <c r="V38" s="22"/>
      <c r="W38" s="32"/>
      <c r="X38" s="12"/>
    </row>
    <row r="39" spans="1:24" ht="15" customHeight="1" x14ac:dyDescent="0.25">
      <c r="A39" s="30"/>
      <c r="B39" s="22"/>
      <c r="C39" s="9"/>
      <c r="D39" s="9"/>
      <c r="E39" s="7" t="s">
        <v>22</v>
      </c>
      <c r="F39" s="17">
        <f>IF(COUNTIF(C11:C32,"=К")=0,IF(COUNTIF(C11:C32,"=Б")=0,"",0),COUNTIF(C11:C32,"=К"))</f>
        <v>2</v>
      </c>
      <c r="G39" s="19"/>
      <c r="H39" s="9"/>
      <c r="I39" s="13" t="s">
        <v>23</v>
      </c>
      <c r="J39" s="9"/>
      <c r="K39" s="9"/>
      <c r="L39" s="9"/>
      <c r="M39" s="9"/>
      <c r="N39" s="9"/>
      <c r="O39" s="9"/>
      <c r="P39" s="15" t="s">
        <v>62</v>
      </c>
      <c r="Q39" s="9"/>
      <c r="R39" s="9"/>
      <c r="S39" s="9"/>
      <c r="T39" s="9"/>
      <c r="U39" s="9"/>
      <c r="V39" s="22"/>
      <c r="W39" s="32"/>
    </row>
    <row r="40" spans="1:24" ht="15" customHeight="1" x14ac:dyDescent="0.25">
      <c r="A40" s="30"/>
      <c r="B40" s="22"/>
      <c r="C40" s="9"/>
      <c r="D40" s="9"/>
      <c r="E40" s="7" t="s">
        <v>24</v>
      </c>
      <c r="F40" s="17">
        <v>1</v>
      </c>
      <c r="G40" s="1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22"/>
      <c r="W40" s="32"/>
    </row>
    <row r="41" spans="1:24" ht="15" customHeight="1" x14ac:dyDescent="0.25">
      <c r="A41" s="30"/>
      <c r="B41" s="22"/>
      <c r="C41" s="9"/>
      <c r="D41" s="9"/>
      <c r="E41" s="7" t="s">
        <v>25</v>
      </c>
      <c r="F41" s="17">
        <v>8</v>
      </c>
      <c r="G41" s="19"/>
      <c r="H41" s="9"/>
      <c r="I41" s="13" t="s">
        <v>26</v>
      </c>
      <c r="J41" s="9"/>
      <c r="K41" s="9"/>
      <c r="L41" s="9"/>
      <c r="M41" s="9"/>
      <c r="N41" s="9"/>
      <c r="O41" s="9"/>
      <c r="P41" s="13" t="s">
        <v>27</v>
      </c>
      <c r="Q41" s="9"/>
      <c r="R41" s="9"/>
      <c r="S41" s="9"/>
      <c r="T41" s="9"/>
      <c r="U41" s="9"/>
      <c r="V41" s="22"/>
      <c r="W41" s="32"/>
    </row>
    <row r="42" spans="1:24" ht="12" customHeight="1" thickBot="1" x14ac:dyDescent="0.3">
      <c r="A42" s="30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2"/>
    </row>
    <row r="43" spans="1:24" ht="12" customHeight="1" x14ac:dyDescent="0.25"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</row>
  </sheetData>
  <sheetProtection selectLockedCells="1"/>
  <mergeCells count="18">
    <mergeCell ref="B1:V1"/>
    <mergeCell ref="A2:A42"/>
    <mergeCell ref="B2:V2"/>
    <mergeCell ref="W2:W42"/>
    <mergeCell ref="B3:B41"/>
    <mergeCell ref="C3:U3"/>
    <mergeCell ref="V3:V41"/>
    <mergeCell ref="C4:U4"/>
    <mergeCell ref="C5:U5"/>
    <mergeCell ref="C6:U6"/>
    <mergeCell ref="B42:V42"/>
    <mergeCell ref="B43:V43"/>
    <mergeCell ref="C7:U7"/>
    <mergeCell ref="C8:U8"/>
    <mergeCell ref="C9:C10"/>
    <mergeCell ref="D9:D10"/>
    <mergeCell ref="E9:E10"/>
    <mergeCell ref="F9:U9"/>
  </mergeCells>
  <printOptions horizontalCentered="1"/>
  <pageMargins left="0" right="0" top="0" bottom="0" header="0" footer="0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G30"/>
  <sheetViews>
    <sheetView zoomScaleNormal="100" workbookViewId="0"/>
  </sheetViews>
  <sheetFormatPr defaultColWidth="0" defaultRowHeight="0" customHeight="1" zeroHeight="1" x14ac:dyDescent="0.25"/>
  <cols>
    <col min="1" max="2" width="2.7109375" style="3" customWidth="1"/>
    <col min="3" max="3" width="4.140625" style="3" customWidth="1"/>
    <col min="4" max="4" width="6.5703125" style="3" customWidth="1"/>
    <col min="5" max="5" width="40.42578125" style="3" customWidth="1"/>
    <col min="6" max="20" width="6.7109375" style="3" customWidth="1"/>
    <col min="21" max="21" width="11.28515625" style="3" customWidth="1"/>
    <col min="22" max="23" width="2.7109375" style="3" customWidth="1"/>
    <col min="24" max="29" width="14.42578125" style="3" hidden="1" customWidth="1"/>
    <col min="30" max="30" width="14.85546875" style="3" hidden="1" customWidth="1"/>
    <col min="31" max="44" width="3.7109375" style="3" hidden="1" customWidth="1"/>
    <col min="45" max="59" width="5.7109375" style="3" hidden="1" customWidth="1"/>
    <col min="60" max="16384" width="14.42578125" style="3" hidden="1"/>
  </cols>
  <sheetData>
    <row r="1" spans="1:23" ht="12" customHeight="1" thickBot="1" x14ac:dyDescent="0.3"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</row>
    <row r="2" spans="1:23" ht="12" customHeight="1" x14ac:dyDescent="0.25">
      <c r="A2" s="30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4" customFormat="1" ht="15" customHeight="1" x14ac:dyDescent="0.25">
      <c r="A3" s="30"/>
      <c r="B3" s="22"/>
      <c r="C3" s="22" t="s">
        <v>71</v>
      </c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32"/>
    </row>
    <row r="4" spans="1:23" s="4" customFormat="1" ht="15" customHeight="1" x14ac:dyDescent="0.25">
      <c r="A4" s="30"/>
      <c r="B4" s="22"/>
      <c r="C4" s="22" t="s">
        <v>72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32"/>
    </row>
    <row r="5" spans="1:23" s="5" customFormat="1" ht="15" customHeight="1" x14ac:dyDescent="0.25">
      <c r="A5" s="30"/>
      <c r="B5" s="22"/>
      <c r="C5" s="33" t="s">
        <v>28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22"/>
      <c r="W5" s="32"/>
    </row>
    <row r="6" spans="1:23" s="4" customFormat="1" ht="15" customHeight="1" x14ac:dyDescent="0.25">
      <c r="A6" s="30"/>
      <c r="B6" s="22"/>
      <c r="C6" s="21" t="s">
        <v>63</v>
      </c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2"/>
      <c r="W6" s="32"/>
    </row>
    <row r="7" spans="1:23" s="4" customFormat="1" ht="15" customHeight="1" x14ac:dyDescent="0.25">
      <c r="A7" s="30"/>
      <c r="B7" s="22"/>
      <c r="C7" s="21" t="s">
        <v>73</v>
      </c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2"/>
      <c r="W7" s="32"/>
    </row>
    <row r="8" spans="1:23" s="4" customFormat="1" ht="15" customHeight="1" x14ac:dyDescent="0.25">
      <c r="A8" s="30"/>
      <c r="B8" s="22"/>
      <c r="C8" s="22" t="s">
        <v>61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32"/>
    </row>
    <row r="9" spans="1:23" ht="15" customHeight="1" x14ac:dyDescent="0.25">
      <c r="A9" s="30"/>
      <c r="B9" s="22"/>
      <c r="C9" s="23" t="s">
        <v>0</v>
      </c>
      <c r="D9" s="25" t="s">
        <v>1</v>
      </c>
      <c r="E9" s="25" t="s">
        <v>2</v>
      </c>
      <c r="F9" s="26" t="s">
        <v>67</v>
      </c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8"/>
      <c r="V9" s="22"/>
      <c r="W9" s="32"/>
    </row>
    <row r="10" spans="1:23" ht="125.1" customHeight="1" x14ac:dyDescent="0.25">
      <c r="A10" s="30"/>
      <c r="B10" s="22"/>
      <c r="C10" s="24"/>
      <c r="D10" s="24"/>
      <c r="E10" s="24"/>
      <c r="F10" s="14" t="s">
        <v>68</v>
      </c>
      <c r="G10" s="14" t="s">
        <v>3</v>
      </c>
      <c r="H10" s="14" t="s">
        <v>4</v>
      </c>
      <c r="I10" s="14" t="s">
        <v>5</v>
      </c>
      <c r="J10" s="14" t="s">
        <v>6</v>
      </c>
      <c r="K10" s="14" t="s">
        <v>65</v>
      </c>
      <c r="L10" s="14" t="s">
        <v>7</v>
      </c>
      <c r="M10" s="14" t="s">
        <v>66</v>
      </c>
      <c r="N10" s="14" t="s">
        <v>8</v>
      </c>
      <c r="O10" s="14" t="s">
        <v>9</v>
      </c>
      <c r="P10" s="14" t="s">
        <v>69</v>
      </c>
      <c r="Q10" s="14" t="s">
        <v>70</v>
      </c>
      <c r="R10" s="14" t="s">
        <v>10</v>
      </c>
      <c r="S10" s="14" t="s">
        <v>11</v>
      </c>
      <c r="T10" s="14" t="s">
        <v>12</v>
      </c>
      <c r="U10" s="6" t="s">
        <v>13</v>
      </c>
      <c r="V10" s="22"/>
      <c r="W10" s="32"/>
    </row>
    <row r="11" spans="1:23" ht="15" customHeight="1" x14ac:dyDescent="0.25">
      <c r="A11" s="30"/>
      <c r="B11" s="22"/>
      <c r="C11" s="18" t="s">
        <v>15</v>
      </c>
      <c r="D11" s="18">
        <v>1</v>
      </c>
      <c r="E11" s="7" t="s">
        <v>51</v>
      </c>
      <c r="F11" s="8">
        <v>9</v>
      </c>
      <c r="G11" s="8">
        <v>8</v>
      </c>
      <c r="H11" s="8">
        <v>8</v>
      </c>
      <c r="I11" s="8">
        <v>9</v>
      </c>
      <c r="J11" s="8">
        <v>6</v>
      </c>
      <c r="K11" s="8">
        <v>8</v>
      </c>
      <c r="L11" s="8">
        <v>9</v>
      </c>
      <c r="M11" s="8">
        <v>7</v>
      </c>
      <c r="N11" s="8">
        <v>6</v>
      </c>
      <c r="O11" s="8">
        <v>4</v>
      </c>
      <c r="P11" s="8">
        <v>8</v>
      </c>
      <c r="Q11" s="8">
        <v>6</v>
      </c>
      <c r="R11" s="8">
        <v>5</v>
      </c>
      <c r="S11" s="8">
        <v>10</v>
      </c>
      <c r="T11" s="8">
        <v>8</v>
      </c>
      <c r="U11" s="1">
        <f>IF(COUNTIF(F11:T11,"=*")&gt;0,"-",IF(COUNTIF(F11:T11,"&lt;4")&gt;0,"-",(IFERROR(AVERAGE(F11:T11),""))))</f>
        <v>7.4</v>
      </c>
      <c r="V11" s="22"/>
      <c r="W11" s="32"/>
    </row>
    <row r="12" spans="1:23" ht="15" customHeight="1" x14ac:dyDescent="0.25">
      <c r="A12" s="30"/>
      <c r="B12" s="22"/>
      <c r="C12" s="18" t="s">
        <v>14</v>
      </c>
      <c r="D12" s="18">
        <v>2</v>
      </c>
      <c r="E12" s="7" t="s">
        <v>52</v>
      </c>
      <c r="F12" s="8">
        <v>8</v>
      </c>
      <c r="G12" s="8">
        <v>6</v>
      </c>
      <c r="H12" s="8">
        <v>5</v>
      </c>
      <c r="I12" s="8">
        <v>6</v>
      </c>
      <c r="J12" s="8">
        <v>8</v>
      </c>
      <c r="K12" s="8">
        <v>5</v>
      </c>
      <c r="L12" s="8">
        <v>4</v>
      </c>
      <c r="M12" s="8">
        <v>5</v>
      </c>
      <c r="N12" s="8">
        <v>6</v>
      </c>
      <c r="O12" s="8">
        <v>5</v>
      </c>
      <c r="P12" s="8">
        <v>7</v>
      </c>
      <c r="Q12" s="8">
        <v>7</v>
      </c>
      <c r="R12" s="8">
        <v>5</v>
      </c>
      <c r="S12" s="8">
        <v>4</v>
      </c>
      <c r="T12" s="8">
        <v>5</v>
      </c>
      <c r="U12" s="1">
        <f t="shared" ref="U12:U18" si="0">IF(COUNTIF(F12:T12,"=*")&gt;0,"-",IF(COUNTIF(F12:T12,"&lt;4")&gt;0,"-",(IFERROR(AVERAGE(F12:T12),""))))</f>
        <v>5.7333333333333334</v>
      </c>
      <c r="V12" s="22"/>
      <c r="W12" s="32"/>
    </row>
    <row r="13" spans="1:23" ht="15" customHeight="1" x14ac:dyDescent="0.25">
      <c r="A13" s="30"/>
      <c r="B13" s="22"/>
      <c r="C13" s="18" t="s">
        <v>15</v>
      </c>
      <c r="D13" s="18">
        <v>3</v>
      </c>
      <c r="E13" s="7" t="s">
        <v>53</v>
      </c>
      <c r="F13" s="8">
        <v>6</v>
      </c>
      <c r="G13" s="8">
        <v>6</v>
      </c>
      <c r="H13" s="8">
        <v>9</v>
      </c>
      <c r="I13" s="8">
        <v>8</v>
      </c>
      <c r="J13" s="8">
        <v>6</v>
      </c>
      <c r="K13" s="8">
        <v>5</v>
      </c>
      <c r="L13" s="8">
        <v>4</v>
      </c>
      <c r="M13" s="8">
        <v>8</v>
      </c>
      <c r="N13" s="8">
        <v>7</v>
      </c>
      <c r="O13" s="8">
        <v>4</v>
      </c>
      <c r="P13" s="8">
        <v>7</v>
      </c>
      <c r="Q13" s="8">
        <v>8</v>
      </c>
      <c r="R13" s="8">
        <v>9</v>
      </c>
      <c r="S13" s="8">
        <v>10</v>
      </c>
      <c r="T13" s="8">
        <v>8</v>
      </c>
      <c r="U13" s="1">
        <f t="shared" si="0"/>
        <v>7</v>
      </c>
      <c r="V13" s="22"/>
      <c r="W13" s="32"/>
    </row>
    <row r="14" spans="1:23" ht="15" customHeight="1" x14ac:dyDescent="0.25">
      <c r="A14" s="30"/>
      <c r="B14" s="22"/>
      <c r="C14" s="18" t="s">
        <v>15</v>
      </c>
      <c r="D14" s="18">
        <v>4</v>
      </c>
      <c r="E14" s="7" t="s">
        <v>54</v>
      </c>
      <c r="F14" s="8">
        <v>10</v>
      </c>
      <c r="G14" s="8">
        <v>9</v>
      </c>
      <c r="H14" s="8">
        <v>10</v>
      </c>
      <c r="I14" s="8">
        <v>10</v>
      </c>
      <c r="J14" s="8">
        <v>9</v>
      </c>
      <c r="K14" s="8">
        <v>10</v>
      </c>
      <c r="L14" s="8">
        <v>8</v>
      </c>
      <c r="M14" s="8">
        <v>10</v>
      </c>
      <c r="N14" s="8">
        <v>8</v>
      </c>
      <c r="O14" s="8">
        <v>7</v>
      </c>
      <c r="P14" s="8">
        <v>10</v>
      </c>
      <c r="Q14" s="8">
        <v>10</v>
      </c>
      <c r="R14" s="8">
        <v>8</v>
      </c>
      <c r="S14" s="8">
        <v>10</v>
      </c>
      <c r="T14" s="8">
        <v>10</v>
      </c>
      <c r="U14" s="1">
        <f t="shared" si="0"/>
        <v>9.2666666666666675</v>
      </c>
      <c r="V14" s="22"/>
      <c r="W14" s="32"/>
    </row>
    <row r="15" spans="1:23" ht="15" customHeight="1" x14ac:dyDescent="0.25">
      <c r="A15" s="30"/>
      <c r="B15" s="22"/>
      <c r="C15" s="18" t="s">
        <v>15</v>
      </c>
      <c r="D15" s="18">
        <v>5</v>
      </c>
      <c r="E15" s="7" t="s">
        <v>55</v>
      </c>
      <c r="F15" s="8">
        <v>11</v>
      </c>
      <c r="G15" s="8">
        <v>10</v>
      </c>
      <c r="H15" s="8">
        <v>10</v>
      </c>
      <c r="I15" s="8">
        <v>11</v>
      </c>
      <c r="J15" s="8">
        <v>11</v>
      </c>
      <c r="K15" s="8">
        <v>10</v>
      </c>
      <c r="L15" s="8">
        <v>11</v>
      </c>
      <c r="M15" s="8">
        <v>10</v>
      </c>
      <c r="N15" s="8">
        <v>9</v>
      </c>
      <c r="O15" s="8">
        <v>10</v>
      </c>
      <c r="P15" s="8">
        <v>10</v>
      </c>
      <c r="Q15" s="8">
        <v>10</v>
      </c>
      <c r="R15" s="8">
        <v>10</v>
      </c>
      <c r="S15" s="8">
        <v>10</v>
      </c>
      <c r="T15" s="8">
        <v>11</v>
      </c>
      <c r="U15" s="1">
        <f t="shared" si="0"/>
        <v>10.266666666666667</v>
      </c>
      <c r="V15" s="22"/>
      <c r="W15" s="32"/>
    </row>
    <row r="16" spans="1:23" ht="15" customHeight="1" x14ac:dyDescent="0.25">
      <c r="A16" s="30"/>
      <c r="B16" s="22"/>
      <c r="C16" s="18" t="s">
        <v>15</v>
      </c>
      <c r="D16" s="18">
        <v>6</v>
      </c>
      <c r="E16" s="7" t="s">
        <v>56</v>
      </c>
      <c r="F16" s="8">
        <v>9</v>
      </c>
      <c r="G16" s="8">
        <v>7</v>
      </c>
      <c r="H16" s="8">
        <v>8</v>
      </c>
      <c r="I16" s="8">
        <v>9</v>
      </c>
      <c r="J16" s="8">
        <v>4</v>
      </c>
      <c r="K16" s="8">
        <v>6</v>
      </c>
      <c r="L16" s="8">
        <v>8</v>
      </c>
      <c r="M16" s="8">
        <v>9</v>
      </c>
      <c r="N16" s="8">
        <v>7</v>
      </c>
      <c r="O16" s="8">
        <v>5</v>
      </c>
      <c r="P16" s="8">
        <v>6</v>
      </c>
      <c r="Q16" s="8">
        <v>9</v>
      </c>
      <c r="R16" s="8">
        <v>5</v>
      </c>
      <c r="S16" s="8">
        <v>10</v>
      </c>
      <c r="T16" s="8">
        <v>9</v>
      </c>
      <c r="U16" s="1">
        <f t="shared" si="0"/>
        <v>7.4</v>
      </c>
      <c r="V16" s="22"/>
      <c r="W16" s="32"/>
    </row>
    <row r="17" spans="1:24" ht="15" customHeight="1" x14ac:dyDescent="0.25">
      <c r="A17" s="30"/>
      <c r="B17" s="22"/>
      <c r="C17" s="18" t="s">
        <v>15</v>
      </c>
      <c r="D17" s="18">
        <v>7</v>
      </c>
      <c r="E17" s="7" t="s">
        <v>57</v>
      </c>
      <c r="F17" s="8">
        <v>4</v>
      </c>
      <c r="G17" s="8">
        <v>4</v>
      </c>
      <c r="H17" s="8">
        <v>5</v>
      </c>
      <c r="I17" s="8">
        <v>4</v>
      </c>
      <c r="J17" s="8" t="s">
        <v>64</v>
      </c>
      <c r="K17" s="8" t="s">
        <v>64</v>
      </c>
      <c r="L17" s="8">
        <v>6</v>
      </c>
      <c r="M17" s="8" t="s">
        <v>64</v>
      </c>
      <c r="N17" s="8" t="s">
        <v>64</v>
      </c>
      <c r="O17" s="8">
        <v>4</v>
      </c>
      <c r="P17" s="8">
        <v>4</v>
      </c>
      <c r="Q17" s="8">
        <v>4</v>
      </c>
      <c r="R17" s="8" t="s">
        <v>64</v>
      </c>
      <c r="S17" s="8" t="s">
        <v>64</v>
      </c>
      <c r="T17" s="8">
        <v>5</v>
      </c>
      <c r="U17" s="1" t="str">
        <f t="shared" si="0"/>
        <v>-</v>
      </c>
      <c r="V17" s="22"/>
      <c r="W17" s="32"/>
    </row>
    <row r="18" spans="1:24" ht="15" customHeight="1" x14ac:dyDescent="0.25">
      <c r="A18" s="30"/>
      <c r="B18" s="22"/>
      <c r="C18" s="18" t="s">
        <v>15</v>
      </c>
      <c r="D18" s="18">
        <v>8</v>
      </c>
      <c r="E18" s="7" t="s">
        <v>58</v>
      </c>
      <c r="F18" s="8">
        <v>10</v>
      </c>
      <c r="G18" s="8">
        <v>9</v>
      </c>
      <c r="H18" s="8">
        <v>10</v>
      </c>
      <c r="I18" s="8">
        <v>9</v>
      </c>
      <c r="J18" s="8">
        <v>9</v>
      </c>
      <c r="K18" s="8">
        <v>8</v>
      </c>
      <c r="L18" s="8">
        <v>8</v>
      </c>
      <c r="M18" s="8">
        <v>7</v>
      </c>
      <c r="N18" s="8">
        <v>7</v>
      </c>
      <c r="O18" s="8">
        <v>5</v>
      </c>
      <c r="P18" s="8">
        <v>8</v>
      </c>
      <c r="Q18" s="8">
        <v>7</v>
      </c>
      <c r="R18" s="8">
        <v>6</v>
      </c>
      <c r="S18" s="8">
        <v>7</v>
      </c>
      <c r="T18" s="8">
        <v>10</v>
      </c>
      <c r="U18" s="1">
        <f t="shared" si="0"/>
        <v>8</v>
      </c>
      <c r="V18" s="22"/>
      <c r="W18" s="32"/>
    </row>
    <row r="19" spans="1:24" ht="15" customHeight="1" x14ac:dyDescent="0.25">
      <c r="A19" s="30"/>
      <c r="B19" s="22"/>
      <c r="C19" s="18" t="s">
        <v>15</v>
      </c>
      <c r="D19" s="18">
        <v>9</v>
      </c>
      <c r="E19" s="7" t="s">
        <v>59</v>
      </c>
      <c r="F19" s="8">
        <v>8</v>
      </c>
      <c r="G19" s="8">
        <v>7</v>
      </c>
      <c r="H19" s="8">
        <v>7</v>
      </c>
      <c r="I19" s="8">
        <v>7</v>
      </c>
      <c r="J19" s="8">
        <v>7</v>
      </c>
      <c r="K19" s="8">
        <v>6</v>
      </c>
      <c r="L19" s="8">
        <v>7</v>
      </c>
      <c r="M19" s="8">
        <v>5</v>
      </c>
      <c r="N19" s="8">
        <v>7</v>
      </c>
      <c r="O19" s="8">
        <v>5</v>
      </c>
      <c r="P19" s="8">
        <v>6</v>
      </c>
      <c r="Q19" s="8">
        <v>6</v>
      </c>
      <c r="R19" s="8">
        <v>4</v>
      </c>
      <c r="S19" s="8">
        <v>10</v>
      </c>
      <c r="T19" s="8">
        <v>6</v>
      </c>
      <c r="U19" s="1">
        <f t="shared" ref="U19" si="1">IF(COUNTIF(F19:T19,"=*")&gt;0,"-",IF(COUNTIF(F19:T19,"&lt;4")&gt;0,"-",(IFERROR(AVERAGE(F19:T19),""))))</f>
        <v>6.5333333333333332</v>
      </c>
      <c r="V19" s="22"/>
      <c r="W19" s="32"/>
    </row>
    <row r="20" spans="1:24" ht="15" customHeight="1" x14ac:dyDescent="0.25">
      <c r="A20" s="30"/>
      <c r="B20" s="22"/>
      <c r="C20" s="9"/>
      <c r="D20" s="9"/>
      <c r="E20" s="7" t="s">
        <v>16</v>
      </c>
      <c r="F20" s="2">
        <f>IF(SUM(F11:F19)=0,"",SUM(F11:F19)/D19)</f>
        <v>8.3333333333333339</v>
      </c>
      <c r="G20" s="2">
        <f>IF(SUM(G11:G19)=0,"",SUM(G11:G19)/D19)</f>
        <v>7.333333333333333</v>
      </c>
      <c r="H20" s="2">
        <f>IF(SUM(H11:H19)=0,"",SUM(H11:H19)/D19)</f>
        <v>8</v>
      </c>
      <c r="I20" s="2">
        <f>IF(SUM(I11:I19)=0,"",SUM(I11:I19)/D19)</f>
        <v>8.1111111111111107</v>
      </c>
      <c r="J20" s="2">
        <f>IF(SUM(J11:J19)=0,"",SUM(J11:J19)/D19)</f>
        <v>6.666666666666667</v>
      </c>
      <c r="K20" s="2">
        <f>IF(SUM(K11:K19)=0,"",SUM(K11:K19)/D19)</f>
        <v>6.4444444444444446</v>
      </c>
      <c r="L20" s="2">
        <f>IF(SUM(L11:L19)=0,"",SUM(L11:L19)/D19)</f>
        <v>7.2222222222222223</v>
      </c>
      <c r="M20" s="2">
        <f>IF(SUM(M11:M19)=0,"",SUM(M11:M19)/D19)</f>
        <v>6.7777777777777777</v>
      </c>
      <c r="N20" s="2">
        <f>IF(SUM(N11:N19)=0,"",SUM(N11:N19)/D19)</f>
        <v>6.333333333333333</v>
      </c>
      <c r="O20" s="2">
        <f>IF(SUM(O11:O19)=0,"",SUM(O11:O19)/D19)</f>
        <v>5.4444444444444446</v>
      </c>
      <c r="P20" s="2">
        <f>IF(SUM(P11:P19)=0,"",SUM(P11:P19)/D19)</f>
        <v>7.333333333333333</v>
      </c>
      <c r="Q20" s="2">
        <f>IF(SUM(Q11:Q19)=0,"",SUM(Q11:Q19)/D19)</f>
        <v>7.4444444444444446</v>
      </c>
      <c r="R20" s="2">
        <f>IF(SUM(R11:R19)=0,"",SUM(R11:R19)/D19)</f>
        <v>5.7777777777777777</v>
      </c>
      <c r="S20" s="2">
        <f>IF(SUM(S11:S19)=0,"",SUM(S11:S19)/D19)</f>
        <v>7.8888888888888893</v>
      </c>
      <c r="T20" s="2">
        <f>IF(SUM(T11:T19)=0,"",SUM(T11:T19)/D19)</f>
        <v>8</v>
      </c>
      <c r="U20" s="1">
        <f>IFERROR(AVERAGE(F20:T20),"")</f>
        <v>7.1407407407407391</v>
      </c>
      <c r="V20" s="22"/>
      <c r="W20" s="32"/>
    </row>
    <row r="21" spans="1:24" ht="15" customHeight="1" x14ac:dyDescent="0.25">
      <c r="A21" s="30"/>
      <c r="B21" s="22"/>
      <c r="C21" s="9"/>
      <c r="D21" s="9"/>
      <c r="E21" s="7" t="s">
        <v>17</v>
      </c>
      <c r="F21" s="10">
        <f>IF(SUM(F11:F19)=0,"",IF(COUNTIF(F11:F19,"&gt;=4")=0,0,COUNTIF(F11:F19,"&gt;=4")/D19*100))</f>
        <v>100</v>
      </c>
      <c r="G21" s="10">
        <f>IF(SUM(G11:G19)=0,"",IF(COUNTIF(G11:G19,"&gt;=4")=0,0,COUNTIF(G11:G19,"&gt;=4")/D19*100))</f>
        <v>100</v>
      </c>
      <c r="H21" s="10">
        <f>IF(SUM(H11:H19)=0,"",IF(COUNTIF(H11:H19,"&gt;=4")=0,0,COUNTIF(H11:H19,"&gt;=4")/D19*100))</f>
        <v>100</v>
      </c>
      <c r="I21" s="10">
        <f>IF(SUM(I11:I19)=0,"",IF(COUNTIF(I11:I19,"&gt;=4")=0,0,COUNTIF(I11:I19,"&gt;=4")/D19*100))</f>
        <v>100</v>
      </c>
      <c r="J21" s="10">
        <f>IF(SUM(J11:J19)=0,"",IF(COUNTIF(J11:J19,"&gt;=4")=0,0,COUNTIF(J11:J19,"&gt;=4")/D19*100))</f>
        <v>88.888888888888886</v>
      </c>
      <c r="K21" s="10">
        <f>IF(SUM(K11:K19)=0,"",IF(COUNTIF(K11:K19,"&gt;=4")=0,0,COUNTIF(K11:K19,"&gt;=4")/D19*100))</f>
        <v>88.888888888888886</v>
      </c>
      <c r="L21" s="10">
        <f>IF(SUM(L11:L19)=0,"",IF(COUNTIF(L11:L19,"&gt;=4")=0,0,COUNTIF(L11:L19,"&gt;=4")/D19*100))</f>
        <v>100</v>
      </c>
      <c r="M21" s="10">
        <f>IF(SUM(M11:M19)=0,"",IF(COUNTIF(M11:M19,"&gt;=4")=0,0,COUNTIF(M11:M19,"&gt;=4")/D19*100))</f>
        <v>88.888888888888886</v>
      </c>
      <c r="N21" s="10">
        <f>IF(SUM(N11:N19)=0,"",IF(COUNTIF(N11:N19,"&gt;=4")=0,0,COUNTIF(N11:N19,"&gt;=4")/D19*100))</f>
        <v>88.888888888888886</v>
      </c>
      <c r="O21" s="10">
        <f>IF(SUM(O11:O19)=0,"",IF(COUNTIF(O11:O19,"&gt;=4")=0,0,COUNTIF(O11:O19,"&gt;=4")/D19*100))</f>
        <v>100</v>
      </c>
      <c r="P21" s="10">
        <f>IF(SUM(P11:P19)=0,"",IF(COUNTIF(P11:P19,"&gt;=4")=0,0,COUNTIF(P11:P19,"&gt;=4")/D19*100))</f>
        <v>100</v>
      </c>
      <c r="Q21" s="10">
        <f>IF(SUM(Q11:Q19)=0,"",IF(COUNTIF(Q11:Q19,"&gt;=4")=0,0,COUNTIF(Q11:Q19,"&gt;=4")/D19*100))</f>
        <v>100</v>
      </c>
      <c r="R21" s="10">
        <f>IF(SUM(R11:R19)=0,"",IF(COUNTIF(R11:R19,"&gt;=4")=0,0,COUNTIF(R11:R19,"&gt;=4")/D19*100))</f>
        <v>88.888888888888886</v>
      </c>
      <c r="S21" s="10">
        <f>IF(SUM(S11:S19)=0,"",IF(COUNTIF(S11:S19,"&gt;=4")=0,0,COUNTIF(S11:S19,"&gt;=4")/D19*100))</f>
        <v>88.888888888888886</v>
      </c>
      <c r="T21" s="10">
        <f>IF(SUM(T11:T19)=0,"",IF(COUNTIF(T11:T19,"&gt;=4")=0,0,COUNTIF(T11:T19,"&gt;=4")/D19*100))</f>
        <v>100</v>
      </c>
      <c r="U21" s="11"/>
      <c r="V21" s="22"/>
      <c r="W21" s="32"/>
      <c r="X21" s="12"/>
    </row>
    <row r="22" spans="1:24" ht="15" customHeight="1" x14ac:dyDescent="0.25">
      <c r="A22" s="30"/>
      <c r="B22" s="22"/>
      <c r="C22" s="9"/>
      <c r="D22" s="9"/>
      <c r="E22" s="7" t="s">
        <v>18</v>
      </c>
      <c r="F22" s="10">
        <f>IF(SUM(F11:F19)=0,"",IF(COUNTIF(F11:F19,"&gt;=7")=0,0,COUNTIF(F11:F19,"&gt;=7")/D19*100))</f>
        <v>77.777777777777786</v>
      </c>
      <c r="G22" s="10">
        <f>IF(SUM(G11:G19)=0,"",IF(COUNTIF(G11:G19,"&gt;=7")=0,0,COUNTIF(G11:G19,"&gt;=7")/D19*100))</f>
        <v>66.666666666666657</v>
      </c>
      <c r="H22" s="10">
        <f>IF(SUM(H11:H19)=0,"",IF(COUNTIF(H11:H19,"&gt;=7")=0,0,COUNTIF(H11:H19,"&gt;=7")/D19*100))</f>
        <v>77.777777777777786</v>
      </c>
      <c r="I22" s="10">
        <f>IF(SUM(I11:I19)=0,"",IF(COUNTIF(I11:I19,"&gt;=7")=0,0,COUNTIF(I11:I19,"&gt;=7")/D19*100))</f>
        <v>77.777777777777786</v>
      </c>
      <c r="J22" s="10">
        <f>IF(SUM(J11:J19)=0,"",IF(COUNTIF(J11:J19,"&gt;=7")=0,0,COUNTIF(J11:J19,"&gt;=7")/D19*100))</f>
        <v>55.555555555555557</v>
      </c>
      <c r="K22" s="10">
        <f>IF(SUM(K11:K19)=0,"",IF(COUNTIF(K11:K19,"&gt;=7")=0,0,COUNTIF(K11:K19,"&gt;=7")/D19*100))</f>
        <v>44.444444444444443</v>
      </c>
      <c r="L22" s="10">
        <f>IF(SUM(L11:L19)=0,"",IF(COUNTIF(L11:L19,"&gt;=7")=0,0,COUNTIF(L11:L19,"&gt;=7")/D19*100))</f>
        <v>66.666666666666657</v>
      </c>
      <c r="M22" s="10">
        <f>IF(SUM(M11:M19)=0,"",IF(COUNTIF(M11:M19,"&gt;=7")=0,0,COUNTIF(M11:M19,"&gt;=7")/D19*100))</f>
        <v>66.666666666666657</v>
      </c>
      <c r="N22" s="10">
        <f>IF(SUM(N11:N19)=0,"",IF(COUNTIF(N11:N19,"&gt;=7")=0,0,COUNTIF(N11:N19,"&gt;=7")/D19*100))</f>
        <v>66.666666666666657</v>
      </c>
      <c r="O22" s="10">
        <f>IF(SUM(O11:O19)=0,"",IF(COUNTIF(O11:O19,"&gt;=7")=0,0,COUNTIF(O11:O19,"&gt;=7")/D19*100))</f>
        <v>22.222222222222221</v>
      </c>
      <c r="P22" s="10">
        <f>IF(SUM(P11:P19)=0,"",IF(COUNTIF(P11:P19,"&gt;=7")=0,0,COUNTIF(P11:P19,"&gt;=7")/D19*100))</f>
        <v>66.666666666666657</v>
      </c>
      <c r="Q22" s="10">
        <f>IF(SUM(Q11:Q19)=0,"",IF(COUNTIF(Q11:Q19,"&gt;=7")=0,0,COUNTIF(Q11:Q19,"&gt;=7")/D19*100))</f>
        <v>66.666666666666657</v>
      </c>
      <c r="R22" s="10">
        <f>IF(SUM(R11:R19)=0,"",IF(COUNTIF(R11:R19,"&gt;=7")=0,0,COUNTIF(R11:R19,"&gt;=7")/D19*100))</f>
        <v>33.333333333333329</v>
      </c>
      <c r="S22" s="10">
        <f>IF(SUM(S11:S19)=0,"",IF(COUNTIF(S11:S19,"&gt;=7")=0,0,COUNTIF(S11:S19,"&gt;=7")/D19*100))</f>
        <v>77.777777777777786</v>
      </c>
      <c r="T22" s="10">
        <f>IF(SUM(T11:T19)=0,"",IF(COUNTIF(T11:T19,"&gt;=7")=0,0,COUNTIF(T11:T19,"&gt;=7")/D19*100))</f>
        <v>66.666666666666657</v>
      </c>
      <c r="U22" s="16"/>
      <c r="V22" s="22"/>
      <c r="W22" s="32"/>
      <c r="X22" s="12"/>
    </row>
    <row r="23" spans="1:24" ht="15" customHeight="1" x14ac:dyDescent="0.25">
      <c r="A23" s="30"/>
      <c r="B23" s="22"/>
      <c r="C23" s="9"/>
      <c r="D23" s="9"/>
      <c r="E23" s="7" t="s">
        <v>19</v>
      </c>
      <c r="F23" s="2">
        <f>IFERROR(AVERAGE(F21:T21),"")</f>
        <v>95.555555555555571</v>
      </c>
      <c r="G23" s="1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16"/>
      <c r="V23" s="22"/>
      <c r="W23" s="32"/>
      <c r="X23" s="12"/>
    </row>
    <row r="24" spans="1:24" ht="15" customHeight="1" x14ac:dyDescent="0.25">
      <c r="A24" s="30"/>
      <c r="B24" s="22"/>
      <c r="C24" s="9"/>
      <c r="D24" s="9"/>
      <c r="E24" s="7" t="s">
        <v>20</v>
      </c>
      <c r="F24" s="2">
        <f>IFERROR(AVERAGE(F22:T22),"")</f>
        <v>62.222222222222207</v>
      </c>
      <c r="G24" s="1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16"/>
      <c r="V24" s="22"/>
      <c r="W24" s="32"/>
      <c r="X24" s="12"/>
    </row>
    <row r="25" spans="1:24" ht="15" customHeight="1" x14ac:dyDescent="0.25">
      <c r="A25" s="30"/>
      <c r="B25" s="22"/>
      <c r="C25" s="9"/>
      <c r="D25" s="9"/>
      <c r="E25" s="7" t="s">
        <v>21</v>
      </c>
      <c r="F25" s="17">
        <f>IF(COUNTIF(C11:C19,"=Б")=0,IF(COUNTIF(C11:C19,"=К")=0,"",0),COUNTIF(C11:C19,"=Б"))</f>
        <v>8</v>
      </c>
      <c r="G25" s="1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16"/>
      <c r="V25" s="22"/>
      <c r="W25" s="32"/>
      <c r="X25" s="12"/>
    </row>
    <row r="26" spans="1:24" ht="15" customHeight="1" x14ac:dyDescent="0.25">
      <c r="A26" s="30"/>
      <c r="B26" s="22"/>
      <c r="C26" s="9"/>
      <c r="D26" s="9"/>
      <c r="E26" s="7" t="s">
        <v>22</v>
      </c>
      <c r="F26" s="17">
        <f>IF(COUNTIF(C11:C19,"=К")=0,IF(COUNTIF(C11:C19,"=Б")=0,"",0),COUNTIF(C11:C19,"=К"))</f>
        <v>1</v>
      </c>
      <c r="G26" s="19"/>
      <c r="H26" s="9"/>
      <c r="I26" s="13" t="s">
        <v>23</v>
      </c>
      <c r="J26" s="9"/>
      <c r="K26" s="9"/>
      <c r="L26" s="9"/>
      <c r="M26" s="9"/>
      <c r="N26" s="9"/>
      <c r="O26" s="9"/>
      <c r="P26" s="15" t="s">
        <v>62</v>
      </c>
      <c r="Q26" s="9"/>
      <c r="R26" s="9"/>
      <c r="S26" s="9"/>
      <c r="T26" s="9"/>
      <c r="U26" s="9"/>
      <c r="V26" s="22"/>
      <c r="W26" s="32"/>
    </row>
    <row r="27" spans="1:24" ht="15" customHeight="1" x14ac:dyDescent="0.25">
      <c r="A27" s="30"/>
      <c r="B27" s="22"/>
      <c r="C27" s="9"/>
      <c r="D27" s="9"/>
      <c r="E27" s="7" t="s">
        <v>24</v>
      </c>
      <c r="F27" s="17">
        <v>1</v>
      </c>
      <c r="G27" s="1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22"/>
      <c r="W27" s="32"/>
    </row>
    <row r="28" spans="1:24" ht="15" customHeight="1" x14ac:dyDescent="0.25">
      <c r="A28" s="30"/>
      <c r="B28" s="22"/>
      <c r="C28" s="9"/>
      <c r="D28" s="9"/>
      <c r="E28" s="7" t="s">
        <v>25</v>
      </c>
      <c r="F28" s="17">
        <v>3</v>
      </c>
      <c r="G28" s="19"/>
      <c r="H28" s="9"/>
      <c r="I28" s="13" t="s">
        <v>26</v>
      </c>
      <c r="J28" s="9"/>
      <c r="K28" s="9"/>
      <c r="L28" s="9"/>
      <c r="M28" s="9"/>
      <c r="N28" s="9"/>
      <c r="O28" s="9"/>
      <c r="P28" s="13" t="s">
        <v>27</v>
      </c>
      <c r="Q28" s="9"/>
      <c r="R28" s="9"/>
      <c r="S28" s="9"/>
      <c r="T28" s="9"/>
      <c r="U28" s="9"/>
      <c r="V28" s="22"/>
      <c r="W28" s="32"/>
    </row>
    <row r="29" spans="1:24" ht="12" customHeight="1" thickBot="1" x14ac:dyDescent="0.3">
      <c r="A29" s="30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2"/>
    </row>
    <row r="30" spans="1:24" ht="12" customHeight="1" x14ac:dyDescent="0.25"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</row>
  </sheetData>
  <sheetProtection selectLockedCells="1"/>
  <mergeCells count="18">
    <mergeCell ref="B1:V1"/>
    <mergeCell ref="A2:A29"/>
    <mergeCell ref="B2:V2"/>
    <mergeCell ref="W2:W29"/>
    <mergeCell ref="B3:B28"/>
    <mergeCell ref="C3:U3"/>
    <mergeCell ref="V3:V28"/>
    <mergeCell ref="C4:U4"/>
    <mergeCell ref="C5:U5"/>
    <mergeCell ref="C6:U6"/>
    <mergeCell ref="B29:V29"/>
    <mergeCell ref="B30:V30"/>
    <mergeCell ref="C7:U7"/>
    <mergeCell ref="C8:U8"/>
    <mergeCell ref="C9:C10"/>
    <mergeCell ref="D9:D10"/>
    <mergeCell ref="E9:E10"/>
    <mergeCell ref="F9:U9"/>
  </mergeCells>
  <printOptions horizontalCentered="1"/>
  <pageMargins left="0" right="0" top="0" bottom="0" header="0" footer="0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Зведена 151</vt:lpstr>
      <vt:lpstr>Зведена 185</vt:lpstr>
      <vt:lpstr>'Зведена 151'!Область_печати</vt:lpstr>
      <vt:lpstr>'Зведена 185'!Область_печати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37063</dc:creator>
  <cp:lastModifiedBy>SURKOV</cp:lastModifiedBy>
  <cp:revision/>
  <cp:lastPrinted>2023-05-09T12:08:03Z</cp:lastPrinted>
  <dcterms:created xsi:type="dcterms:W3CDTF">2006-09-28T05:33:49Z</dcterms:created>
  <dcterms:modified xsi:type="dcterms:W3CDTF">2023-07-07T11:04:57Z</dcterms:modified>
</cp:coreProperties>
</file>