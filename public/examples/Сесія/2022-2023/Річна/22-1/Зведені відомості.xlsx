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/>
  </bookViews>
  <sheets>
    <sheet name="Зведена 075" sheetId="38" r:id="rId1"/>
    <sheet name="Зведена 161" sheetId="44" r:id="rId2"/>
    <sheet name="Зведена 241" sheetId="45" r:id="rId3"/>
  </sheets>
  <definedNames>
    <definedName name="A1048577" localSheetId="0">#REF!</definedName>
    <definedName name="A1048577" localSheetId="1">#REF!</definedName>
    <definedName name="A1048577" localSheetId="2">#REF!</definedName>
    <definedName name="A1048577">#REF!</definedName>
    <definedName name="_xlnm.Print_Area" localSheetId="0">'Зведена 075'!$B$2:$V$45</definedName>
    <definedName name="_xlnm.Print_Area" localSheetId="1">'Зведена 161'!$B$2:$V$24</definedName>
    <definedName name="_xlnm.Print_Area" localSheetId="2">'Зведена 241'!$B$2:$V$23</definedName>
    <definedName name="Ф80" localSheetId="0">#REF!</definedName>
    <definedName name="Ф80" localSheetId="1">#REF!</definedName>
    <definedName name="Ф80" localSheetId="2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2" i="38" l="1"/>
  <c r="F20" i="44" l="1"/>
  <c r="F19" i="45"/>
  <c r="F15" i="45"/>
  <c r="F17" i="44"/>
  <c r="U13" i="44" l="1"/>
  <c r="U12" i="44"/>
  <c r="U12" i="45"/>
  <c r="U14" i="44"/>
  <c r="F16" i="45"/>
  <c r="U13" i="45"/>
  <c r="F14" i="45"/>
  <c r="F16" i="44"/>
  <c r="F15" i="44"/>
  <c r="T15" i="45"/>
  <c r="R15" i="45"/>
  <c r="P15" i="45"/>
  <c r="N15" i="45"/>
  <c r="L15" i="45"/>
  <c r="J15" i="45"/>
  <c r="H15" i="45"/>
  <c r="F20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G16" i="45"/>
  <c r="S15" i="45"/>
  <c r="Q15" i="45"/>
  <c r="O15" i="45"/>
  <c r="M15" i="45"/>
  <c r="K15" i="45"/>
  <c r="I15" i="45"/>
  <c r="G15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21" i="44"/>
  <c r="T17" i="44"/>
  <c r="S17" i="44"/>
  <c r="R17" i="44"/>
  <c r="Q17" i="44"/>
  <c r="P17" i="44"/>
  <c r="O17" i="44"/>
  <c r="N17" i="44"/>
  <c r="M17" i="44"/>
  <c r="L17" i="44"/>
  <c r="K17" i="44"/>
  <c r="J17" i="44"/>
  <c r="I17" i="44"/>
  <c r="H17" i="44"/>
  <c r="G17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9" i="44" l="1"/>
  <c r="F17" i="45"/>
  <c r="F18" i="44"/>
  <c r="U14" i="45"/>
  <c r="U15" i="44"/>
  <c r="H16" i="45"/>
  <c r="F18" i="45" s="1"/>
  <c r="F42" i="38" l="1"/>
  <c r="F41" i="38"/>
  <c r="F38" i="38"/>
  <c r="F37" i="38"/>
  <c r="F36" i="38"/>
  <c r="U25" i="38" l="1"/>
  <c r="U35" i="38" l="1"/>
  <c r="U33" i="38"/>
  <c r="U34" i="38"/>
  <c r="U32" i="38"/>
  <c r="U31" i="38"/>
  <c r="U30" i="38"/>
  <c r="U29" i="38"/>
  <c r="U28" i="38"/>
  <c r="U27" i="38"/>
  <c r="U26" i="38"/>
  <c r="U24" i="38"/>
  <c r="U23" i="38"/>
  <c r="U22" i="38"/>
  <c r="U21" i="38"/>
  <c r="U20" i="38"/>
  <c r="U19" i="38"/>
  <c r="U18" i="38"/>
  <c r="U17" i="38"/>
  <c r="U16" i="38"/>
  <c r="U15" i="38"/>
  <c r="U14" i="38"/>
  <c r="U13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G37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G36" i="38"/>
  <c r="F39" i="38" l="1"/>
  <c r="F40" i="38"/>
  <c r="U36" i="38"/>
</calcChain>
</file>

<file path=xl/sharedStrings.xml><?xml version="1.0" encoding="utf-8"?>
<sst xmlns="http://schemas.openxmlformats.org/spreadsheetml/2006/main" count="190" uniqueCount="74">
  <si>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</si>
  <si>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</si>
  <si>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</si>
  <si>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</si>
  <si>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</si>
  <si>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</si>
  <si>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</si>
  <si>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Іноземна мова
Кучер О.П.</t>
  </si>
  <si>
    <t>Інформатика
Вівдіч М.І.</t>
  </si>
  <si>
    <t>Історія України
Левчук Т.Г.</t>
  </si>
  <si>
    <t>Математика
Ромчук В.В.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</si>
  <si>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</si>
  <si>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</si>
  <si>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</si>
  <si>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</si>
  <si>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</si>
  <si>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Бушовецька Дарія Віталіївна </t>
  </si>
  <si>
    <t>Б</t>
  </si>
  <si>
    <t>Горошинська Анна Олегівна </t>
  </si>
  <si>
    <t>Гуменюк Аміна Міххтіївна  </t>
  </si>
  <si>
    <t>Гуркіна Анна Ігорівна </t>
  </si>
  <si>
    <t>Діденко Софья Андріївна </t>
  </si>
  <si>
    <t>Дмуховська Аліса Андріївна </t>
  </si>
  <si>
    <t>Дурбалов Андрій Геннадійович </t>
  </si>
  <si>
    <t>Єремеєва Дар’я Сергіївна </t>
  </si>
  <si>
    <t>Калугіна Анастасія Дмитрівна </t>
  </si>
  <si>
    <t>Карпенко Уляна Вікторівна  </t>
  </si>
  <si>
    <t>Кононенко Анастасія Ігорівна </t>
  </si>
  <si>
    <t>Лукашевич Вікторія Леонідівна </t>
  </si>
  <si>
    <t>Марківська Людмила Олександрівна </t>
  </si>
  <si>
    <t>Огородник Поліна Олегівна </t>
  </si>
  <si>
    <t>Олівська Ірина Володимирівна </t>
  </si>
  <si>
    <t>Пулєва Таїсія Михайлівна </t>
  </si>
  <si>
    <t>Семкова Олеся Олександрівна </t>
  </si>
  <si>
    <t>Тимусяк Юлія Ігорівна </t>
  </si>
  <si>
    <t>Тищенко Дар'я Олександрівна </t>
  </si>
  <si>
    <t>Фурсова Тетяна Валеріївна </t>
  </si>
  <si>
    <t>Царан Максим Андрійович </t>
  </si>
  <si>
    <t>Цибульська Ольга Євгенівна </t>
  </si>
  <si>
    <t>Цибульська Поліна Ігорівна </t>
  </si>
  <si>
    <t>Чабан Каріна Ігорівна 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</si>
  <si>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</si>
  <si>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</si>
  <si>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</si>
  <si>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</si>
  <si>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</si>
  <si>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</si>
  <si>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</si>
  <si>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</si>
  <si>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Віра МЄШКОВА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</si>
  <si>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</si>
  <si>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</si>
  <si>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</si>
  <si>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</si>
  <si>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075 «Маркетинг»</t>
  </si>
  <si>
    <t>Успішності студентів спеціальності 161 «Хімічні технології»</t>
  </si>
  <si>
    <t>Успішності студентів спеціальності 241 «Готельно-ресторанна справа»</t>
  </si>
  <si>
    <t>Автушко Гліб Валерійович     </t>
  </si>
  <si>
    <t>Добровольский Олександр Олександрович </t>
  </si>
  <si>
    <t>Сухом’ясов Олексій Валерійович </t>
  </si>
  <si>
    <t xml:space="preserve">Андрєєва Анна Сергіївна </t>
  </si>
  <si>
    <t xml:space="preserve">Журавльова Дар’я Олександрівна   </t>
  </si>
  <si>
    <t>ЗВЕДЕНА ВІДОМІСТЬ</t>
  </si>
  <si>
    <t>Група 22-1 курс І</t>
  </si>
  <si>
    <t>н/а</t>
  </si>
  <si>
    <t>Астрономія
Наговська Т.С.</t>
  </si>
  <si>
    <t>Підсумкові оцінки дисциплін</t>
  </si>
  <si>
    <t>ЗУ
Зданевич В.Ф.</t>
  </si>
  <si>
    <t>Українська література
Брітікова М.В.</t>
  </si>
  <si>
    <t>Українська мова
Брітікова М.В.</t>
  </si>
  <si>
    <t>ВІДОКРЕМЛЕНИЙ СТРУКТУРНИЙ ПІДРОЗДІЛ</t>
  </si>
  <si>
    <t>ОДЕСЬКОГО НАЦІОНАЛЬНОГО ТЕХНОЛОГІЧНОГО УНІВЕРСИТЕТУ»</t>
  </si>
  <si>
    <t>«ФАХОВИЙ КОЛЕДЖ НАФТОГАЗОВИХ ТЕХНОЛОГІЙ, ІНЖЕНЕРІЇ ТА ІНФРАСТРУКТУРИ СЕРВІСУ</t>
  </si>
  <si>
    <t>Річна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</si>
</sst>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8" fillId="0" borderId="1"/>
  </cellStyleXfs>
  <cellXfs count="40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0" fillId="5" borderId="0" xfId="0" applyFill="1"/>
    <xf numFmtId="0" fontId="8" fillId="5" borderId="1" xfId="28" applyFill="1"/>
    <xf numFmtId="0" fontId="3" fillId="5" borderId="1" xfId="5" applyNumberFormat="1" applyFont="1" applyFill="1" applyAlignment="1">
      <alignment horizontal="left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2 7" xfId="28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6"/>
  <sheetViews>
    <sheetView tabSelected="1" topLeftCell="A15" zoomScaleNormal="100" workbookViewId="0">
      <selection activeCell="C29" sqref="A29:XFD29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3" ht="12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5" customFormat="1" ht="15" customHeight="1" x14ac:dyDescent="0.25">
      <c r="A3" s="27"/>
      <c r="B3" s="25"/>
      <c r="C3" s="30" t="s">
        <v>70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5"/>
      <c r="W3" s="29"/>
    </row>
    <row r="4" spans="1:23" s="5" customFormat="1" ht="15" customHeight="1" x14ac:dyDescent="0.25">
      <c r="A4" s="27"/>
      <c r="B4" s="30"/>
      <c r="C4" s="30" t="s">
        <v>72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s="5" customFormat="1" ht="15" customHeight="1" x14ac:dyDescent="0.25">
      <c r="A5" s="27"/>
      <c r="B5" s="30"/>
      <c r="C5" s="30" t="s">
        <v>71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 s="6" customFormat="1" ht="15" customHeight="1" x14ac:dyDescent="0.25">
      <c r="A6" s="27"/>
      <c r="B6" s="30"/>
      <c r="C6" s="31" t="s">
        <v>62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0"/>
      <c r="W6" s="29"/>
    </row>
    <row r="7" spans="1:23" s="5" customFormat="1" ht="15" customHeight="1" x14ac:dyDescent="0.25">
      <c r="A7" s="27"/>
      <c r="B7" s="30"/>
      <c r="C7" s="32" t="s">
        <v>54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0"/>
      <c r="W7" s="29"/>
    </row>
    <row r="8" spans="1:23" s="5" customFormat="1" ht="15" customHeight="1" x14ac:dyDescent="0.25">
      <c r="A8" s="27"/>
      <c r="B8" s="30"/>
      <c r="C8" s="32" t="s">
        <v>73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29"/>
    </row>
    <row r="9" spans="1:23" s="5" customFormat="1" ht="15" customHeight="1" x14ac:dyDescent="0.25">
      <c r="A9" s="27"/>
      <c r="B9" s="30"/>
      <c r="C9" s="30" t="s">
        <v>63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 x14ac:dyDescent="0.25">
      <c r="A10" s="27"/>
      <c r="B10" s="30"/>
      <c r="C10" s="37" t="s">
        <v>0</v>
      </c>
      <c r="D10" s="39" t="s">
        <v>1</v>
      </c>
      <c r="E10" s="39" t="s">
        <v>2</v>
      </c>
      <c r="F10" s="33" t="s">
        <v>66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0"/>
      <c r="W10" s="29"/>
    </row>
    <row r="11" spans="1:23" ht="125.1" customHeight="1" x14ac:dyDescent="0.25">
      <c r="A11" s="27"/>
      <c r="B11" s="30"/>
      <c r="C11" s="38"/>
      <c r="D11" s="38"/>
      <c r="E11" s="38"/>
      <c r="F11" s="17" t="s">
        <v>65</v>
      </c>
      <c r="G11" s="17" t="s">
        <v>3</v>
      </c>
      <c r="H11" s="17" t="s">
        <v>4</v>
      </c>
      <c r="I11" s="17" t="s">
        <v>5</v>
      </c>
      <c r="J11" s="17" t="s">
        <v>6</v>
      </c>
      <c r="K11" s="17" t="s">
        <v>67</v>
      </c>
      <c r="L11" s="17" t="s">
        <v>7</v>
      </c>
      <c r="M11" s="17" t="s">
        <v>8</v>
      </c>
      <c r="N11" s="17" t="s">
        <v>9</v>
      </c>
      <c r="O11" s="17" t="s">
        <v>10</v>
      </c>
      <c r="P11" s="17" t="s">
        <v>68</v>
      </c>
      <c r="Q11" s="17" t="s">
        <v>69</v>
      </c>
      <c r="R11" s="17" t="s">
        <v>11</v>
      </c>
      <c r="S11" s="17" t="s">
        <v>12</v>
      </c>
      <c r="T11" s="17" t="s">
        <v>13</v>
      </c>
      <c r="U11" s="7" t="s">
        <v>14</v>
      </c>
      <c r="V11" s="30"/>
      <c r="W11" s="29"/>
    </row>
    <row r="12" spans="1:23" ht="15" customHeight="1" x14ac:dyDescent="0.25">
      <c r="A12" s="27"/>
      <c r="B12" s="30"/>
      <c r="C12" s="8" t="s">
        <v>15</v>
      </c>
      <c r="D12" s="8">
        <v>1</v>
      </c>
      <c r="E12" s="9" t="s">
        <v>16</v>
      </c>
      <c r="F12" s="10">
        <v>10</v>
      </c>
      <c r="G12" s="10">
        <v>8</v>
      </c>
      <c r="H12" s="10">
        <v>10</v>
      </c>
      <c r="I12" s="10">
        <v>10</v>
      </c>
      <c r="J12" s="10">
        <v>11</v>
      </c>
      <c r="K12" s="10">
        <v>9</v>
      </c>
      <c r="L12" s="10">
        <v>6</v>
      </c>
      <c r="M12" s="10">
        <v>9</v>
      </c>
      <c r="N12" s="10">
        <v>6</v>
      </c>
      <c r="O12" s="10">
        <v>8</v>
      </c>
      <c r="P12" s="10">
        <v>11</v>
      </c>
      <c r="Q12" s="10">
        <v>8</v>
      </c>
      <c r="R12" s="10">
        <v>7</v>
      </c>
      <c r="S12" s="10">
        <v>8</v>
      </c>
      <c r="T12" s="10">
        <v>8</v>
      </c>
      <c r="U12" s="2">
        <f>IF(COUNTIF(F12:T12,"=*")&gt;0,"-",IF(COUNTIF(G12:T12,"&lt;4")&gt;0,"-",(IFERROR(AVERAGE(G12:T12),""))))</f>
        <v>8.5</v>
      </c>
      <c r="V12" s="30"/>
      <c r="W12" s="29"/>
    </row>
    <row r="13" spans="1:23" ht="15" customHeight="1" x14ac:dyDescent="0.25">
      <c r="A13" s="27"/>
      <c r="B13" s="30"/>
      <c r="C13" s="8" t="s">
        <v>17</v>
      </c>
      <c r="D13" s="8">
        <v>2</v>
      </c>
      <c r="E13" s="9" t="s">
        <v>18</v>
      </c>
      <c r="F13" s="10">
        <v>9</v>
      </c>
      <c r="G13" s="10">
        <v>8</v>
      </c>
      <c r="H13" s="10">
        <v>10</v>
      </c>
      <c r="I13" s="10">
        <v>10</v>
      </c>
      <c r="J13" s="10">
        <v>9</v>
      </c>
      <c r="K13" s="10">
        <v>9</v>
      </c>
      <c r="L13" s="10">
        <v>8</v>
      </c>
      <c r="M13" s="10">
        <v>10</v>
      </c>
      <c r="N13" s="10">
        <v>8</v>
      </c>
      <c r="O13" s="10">
        <v>8</v>
      </c>
      <c r="P13" s="10">
        <v>9</v>
      </c>
      <c r="Q13" s="10">
        <v>9</v>
      </c>
      <c r="R13" s="10">
        <v>8</v>
      </c>
      <c r="S13" s="10">
        <v>10</v>
      </c>
      <c r="T13" s="10">
        <v>9</v>
      </c>
      <c r="U13" s="2">
        <f t="shared" ref="U13:U34" si="0">IF(COUNTIF(F13:T13,"=*")&gt;0,"-",IF(COUNTIF(G13:T13,"&lt;4")&gt;0,"-",(IFERROR(AVERAGE(G13:T13),""))))</f>
        <v>8.9285714285714288</v>
      </c>
      <c r="V13" s="30"/>
      <c r="W13" s="29"/>
    </row>
    <row r="14" spans="1:23" ht="15" customHeight="1" x14ac:dyDescent="0.25">
      <c r="A14" s="27"/>
      <c r="B14" s="30"/>
      <c r="C14" s="8" t="s">
        <v>17</v>
      </c>
      <c r="D14" s="18">
        <v>3</v>
      </c>
      <c r="E14" s="9" t="s">
        <v>19</v>
      </c>
      <c r="F14" s="10">
        <v>9</v>
      </c>
      <c r="G14" s="10">
        <v>8</v>
      </c>
      <c r="H14" s="10">
        <v>9</v>
      </c>
      <c r="I14" s="10">
        <v>8</v>
      </c>
      <c r="J14" s="10">
        <v>5</v>
      </c>
      <c r="K14" s="10">
        <v>9</v>
      </c>
      <c r="L14" s="10">
        <v>5</v>
      </c>
      <c r="M14" s="10">
        <v>8</v>
      </c>
      <c r="N14" s="10">
        <v>8</v>
      </c>
      <c r="O14" s="10">
        <v>5</v>
      </c>
      <c r="P14" s="10">
        <v>7</v>
      </c>
      <c r="Q14" s="10">
        <v>9</v>
      </c>
      <c r="R14" s="10">
        <v>7</v>
      </c>
      <c r="S14" s="10">
        <v>10</v>
      </c>
      <c r="T14" s="10">
        <v>6</v>
      </c>
      <c r="U14" s="2">
        <f t="shared" si="0"/>
        <v>7.4285714285714288</v>
      </c>
      <c r="V14" s="30"/>
      <c r="W14" s="29"/>
    </row>
    <row r="15" spans="1:23" ht="15" customHeight="1" x14ac:dyDescent="0.25">
      <c r="A15" s="27"/>
      <c r="B15" s="30"/>
      <c r="C15" s="8" t="s">
        <v>17</v>
      </c>
      <c r="D15" s="18">
        <v>4</v>
      </c>
      <c r="E15" s="9" t="s">
        <v>20</v>
      </c>
      <c r="F15" s="10">
        <v>11</v>
      </c>
      <c r="G15" s="10">
        <v>10</v>
      </c>
      <c r="H15" s="10">
        <v>10</v>
      </c>
      <c r="I15" s="10">
        <v>11</v>
      </c>
      <c r="J15" s="10">
        <v>10</v>
      </c>
      <c r="K15" s="10">
        <v>11</v>
      </c>
      <c r="L15" s="10">
        <v>11</v>
      </c>
      <c r="M15" s="10">
        <v>10</v>
      </c>
      <c r="N15" s="10">
        <v>10</v>
      </c>
      <c r="O15" s="10">
        <v>10</v>
      </c>
      <c r="P15" s="10">
        <v>11</v>
      </c>
      <c r="Q15" s="10">
        <v>10</v>
      </c>
      <c r="R15" s="10">
        <v>10</v>
      </c>
      <c r="S15" s="10">
        <v>11</v>
      </c>
      <c r="T15" s="10">
        <v>11</v>
      </c>
      <c r="U15" s="2">
        <f t="shared" si="0"/>
        <v>10.428571428571429</v>
      </c>
      <c r="V15" s="30"/>
      <c r="W15" s="29"/>
    </row>
    <row r="16" spans="1:23" ht="15" customHeight="1" x14ac:dyDescent="0.25">
      <c r="A16" s="27"/>
      <c r="B16" s="30"/>
      <c r="C16" s="8" t="s">
        <v>17</v>
      </c>
      <c r="D16" s="18">
        <v>5</v>
      </c>
      <c r="E16" s="9" t="s">
        <v>21</v>
      </c>
      <c r="F16" s="10">
        <v>10</v>
      </c>
      <c r="G16" s="10">
        <v>9</v>
      </c>
      <c r="H16" s="10">
        <v>10</v>
      </c>
      <c r="I16" s="10">
        <v>10</v>
      </c>
      <c r="J16" s="10">
        <v>10</v>
      </c>
      <c r="K16" s="10">
        <v>9</v>
      </c>
      <c r="L16" s="10">
        <v>10</v>
      </c>
      <c r="M16" s="10">
        <v>9</v>
      </c>
      <c r="N16" s="10">
        <v>9</v>
      </c>
      <c r="O16" s="10">
        <v>8</v>
      </c>
      <c r="P16" s="10">
        <v>8</v>
      </c>
      <c r="Q16" s="10">
        <v>10</v>
      </c>
      <c r="R16" s="10">
        <v>7</v>
      </c>
      <c r="S16" s="10">
        <v>10</v>
      </c>
      <c r="T16" s="10">
        <v>9</v>
      </c>
      <c r="U16" s="2">
        <f t="shared" si="0"/>
        <v>9.1428571428571423</v>
      </c>
      <c r="V16" s="30"/>
      <c r="W16" s="29"/>
    </row>
    <row r="17" spans="1:23" ht="15" customHeight="1" x14ac:dyDescent="0.25">
      <c r="A17" s="27"/>
      <c r="B17" s="30"/>
      <c r="C17" s="8" t="s">
        <v>17</v>
      </c>
      <c r="D17" s="18">
        <v>6</v>
      </c>
      <c r="E17" s="9" t="s">
        <v>22</v>
      </c>
      <c r="F17" s="10">
        <v>11</v>
      </c>
      <c r="G17" s="10">
        <v>10</v>
      </c>
      <c r="H17" s="10">
        <v>10</v>
      </c>
      <c r="I17" s="10">
        <v>11</v>
      </c>
      <c r="J17" s="10">
        <v>10</v>
      </c>
      <c r="K17" s="10">
        <v>9</v>
      </c>
      <c r="L17" s="10">
        <v>10</v>
      </c>
      <c r="M17" s="10">
        <v>10</v>
      </c>
      <c r="N17" s="10">
        <v>9</v>
      </c>
      <c r="O17" s="10">
        <v>7</v>
      </c>
      <c r="P17" s="10">
        <v>10</v>
      </c>
      <c r="Q17" s="10">
        <v>10</v>
      </c>
      <c r="R17" s="10">
        <v>9</v>
      </c>
      <c r="S17" s="10">
        <v>10</v>
      </c>
      <c r="T17" s="10">
        <v>9</v>
      </c>
      <c r="U17" s="2">
        <f t="shared" si="0"/>
        <v>9.5714285714285712</v>
      </c>
      <c r="V17" s="30"/>
      <c r="W17" s="29"/>
    </row>
    <row r="18" spans="1:23" ht="14.25" customHeight="1" x14ac:dyDescent="0.25">
      <c r="A18" s="27"/>
      <c r="B18" s="30"/>
      <c r="C18" s="8" t="s">
        <v>17</v>
      </c>
      <c r="D18" s="18">
        <v>7</v>
      </c>
      <c r="E18" s="9" t="s">
        <v>23</v>
      </c>
      <c r="F18" s="10">
        <v>12</v>
      </c>
      <c r="G18" s="10">
        <v>11</v>
      </c>
      <c r="H18" s="10">
        <v>10</v>
      </c>
      <c r="I18" s="10">
        <v>11</v>
      </c>
      <c r="J18" s="10">
        <v>11</v>
      </c>
      <c r="K18" s="10">
        <v>11</v>
      </c>
      <c r="L18" s="10">
        <v>11</v>
      </c>
      <c r="M18" s="10">
        <v>11</v>
      </c>
      <c r="N18" s="10">
        <v>10</v>
      </c>
      <c r="O18" s="10">
        <v>10</v>
      </c>
      <c r="P18" s="10">
        <v>10</v>
      </c>
      <c r="Q18" s="10">
        <v>10</v>
      </c>
      <c r="R18" s="10">
        <v>10</v>
      </c>
      <c r="S18" s="10">
        <v>10</v>
      </c>
      <c r="T18" s="10">
        <v>10</v>
      </c>
      <c r="U18" s="2">
        <f t="shared" si="0"/>
        <v>10.428571428571429</v>
      </c>
      <c r="V18" s="30"/>
      <c r="W18" s="29"/>
    </row>
    <row r="19" spans="1:23" ht="15" customHeight="1" x14ac:dyDescent="0.25">
      <c r="A19" s="27"/>
      <c r="B19" s="30"/>
      <c r="C19" s="8" t="s">
        <v>17</v>
      </c>
      <c r="D19" s="18">
        <v>8</v>
      </c>
      <c r="E19" s="9" t="s">
        <v>24</v>
      </c>
      <c r="F19" s="10">
        <v>10</v>
      </c>
      <c r="G19" s="10">
        <v>11</v>
      </c>
      <c r="H19" s="10">
        <v>10</v>
      </c>
      <c r="I19" s="10">
        <v>10</v>
      </c>
      <c r="J19" s="10">
        <v>11</v>
      </c>
      <c r="K19" s="10">
        <v>9</v>
      </c>
      <c r="L19" s="10">
        <v>11</v>
      </c>
      <c r="M19" s="10">
        <v>10</v>
      </c>
      <c r="N19" s="10">
        <v>9</v>
      </c>
      <c r="O19" s="10">
        <v>10</v>
      </c>
      <c r="P19" s="10">
        <v>10</v>
      </c>
      <c r="Q19" s="10">
        <v>10</v>
      </c>
      <c r="R19" s="10">
        <v>10</v>
      </c>
      <c r="S19" s="10">
        <v>10</v>
      </c>
      <c r="T19" s="10">
        <v>11</v>
      </c>
      <c r="U19" s="2">
        <f t="shared" si="0"/>
        <v>10.142857142857142</v>
      </c>
      <c r="V19" s="30"/>
      <c r="W19" s="29"/>
    </row>
    <row r="20" spans="1:23" ht="15" customHeight="1" x14ac:dyDescent="0.25">
      <c r="A20" s="27"/>
      <c r="B20" s="30"/>
      <c r="C20" s="8" t="s">
        <v>17</v>
      </c>
      <c r="D20" s="18">
        <v>9</v>
      </c>
      <c r="E20" s="9" t="s">
        <v>25</v>
      </c>
      <c r="F20" s="10">
        <v>10</v>
      </c>
      <c r="G20" s="10">
        <v>10</v>
      </c>
      <c r="H20" s="10">
        <v>10</v>
      </c>
      <c r="I20" s="10">
        <v>11</v>
      </c>
      <c r="J20" s="10">
        <v>11</v>
      </c>
      <c r="K20" s="10">
        <v>11</v>
      </c>
      <c r="L20" s="10">
        <v>10</v>
      </c>
      <c r="M20" s="10">
        <v>10</v>
      </c>
      <c r="N20" s="10">
        <v>10</v>
      </c>
      <c r="O20" s="10">
        <v>10</v>
      </c>
      <c r="P20" s="10">
        <v>10</v>
      </c>
      <c r="Q20" s="10">
        <v>10</v>
      </c>
      <c r="R20" s="10">
        <v>11</v>
      </c>
      <c r="S20" s="10">
        <v>10</v>
      </c>
      <c r="T20" s="10">
        <v>10</v>
      </c>
      <c r="U20" s="2">
        <f t="shared" si="0"/>
        <v>10.285714285714286</v>
      </c>
      <c r="V20" s="30"/>
      <c r="W20" s="29"/>
    </row>
    <row r="21" spans="1:23" ht="15" customHeight="1" x14ac:dyDescent="0.25">
      <c r="A21" s="27"/>
      <c r="B21" s="30"/>
      <c r="C21" s="8" t="s">
        <v>15</v>
      </c>
      <c r="D21" s="18">
        <v>10</v>
      </c>
      <c r="E21" s="9" t="s">
        <v>26</v>
      </c>
      <c r="F21" s="10">
        <v>10</v>
      </c>
      <c r="G21" s="10">
        <v>10</v>
      </c>
      <c r="H21" s="10">
        <v>10</v>
      </c>
      <c r="I21" s="10">
        <v>10</v>
      </c>
      <c r="J21" s="10">
        <v>10</v>
      </c>
      <c r="K21" s="10">
        <v>9</v>
      </c>
      <c r="L21" s="10">
        <v>9</v>
      </c>
      <c r="M21" s="10">
        <v>9</v>
      </c>
      <c r="N21" s="10">
        <v>8</v>
      </c>
      <c r="O21" s="10">
        <v>9</v>
      </c>
      <c r="P21" s="10">
        <v>10</v>
      </c>
      <c r="Q21" s="10">
        <v>10</v>
      </c>
      <c r="R21" s="10">
        <v>10</v>
      </c>
      <c r="S21" s="10">
        <v>10</v>
      </c>
      <c r="T21" s="10">
        <v>9</v>
      </c>
      <c r="U21" s="2">
        <f t="shared" si="0"/>
        <v>9.5</v>
      </c>
      <c r="V21" s="30"/>
      <c r="W21" s="29"/>
    </row>
    <row r="22" spans="1:23" ht="15" customHeight="1" x14ac:dyDescent="0.25">
      <c r="A22" s="27"/>
      <c r="B22" s="30"/>
      <c r="C22" s="8" t="s">
        <v>15</v>
      </c>
      <c r="D22" s="18">
        <v>11</v>
      </c>
      <c r="E22" s="9" t="s">
        <v>27</v>
      </c>
      <c r="F22" s="10">
        <v>9</v>
      </c>
      <c r="G22" s="10">
        <v>9</v>
      </c>
      <c r="H22" s="10">
        <v>9</v>
      </c>
      <c r="I22" s="10">
        <v>10</v>
      </c>
      <c r="J22" s="10">
        <v>10</v>
      </c>
      <c r="K22" s="10">
        <v>8</v>
      </c>
      <c r="L22" s="10">
        <v>9</v>
      </c>
      <c r="M22" s="10">
        <v>8</v>
      </c>
      <c r="N22" s="10">
        <v>6</v>
      </c>
      <c r="O22" s="10">
        <v>4</v>
      </c>
      <c r="P22" s="10">
        <v>10</v>
      </c>
      <c r="Q22" s="10">
        <v>8</v>
      </c>
      <c r="R22" s="10">
        <v>6</v>
      </c>
      <c r="S22" s="10">
        <v>6</v>
      </c>
      <c r="T22" s="10">
        <v>10</v>
      </c>
      <c r="U22" s="2">
        <f t="shared" si="0"/>
        <v>8.0714285714285712</v>
      </c>
      <c r="V22" s="30"/>
      <c r="W22" s="29"/>
    </row>
    <row r="23" spans="1:23" ht="15" customHeight="1" x14ac:dyDescent="0.25">
      <c r="A23" s="27"/>
      <c r="B23" s="30"/>
      <c r="C23" s="8" t="s">
        <v>15</v>
      </c>
      <c r="D23" s="18">
        <v>12</v>
      </c>
      <c r="E23" s="9" t="s">
        <v>28</v>
      </c>
      <c r="F23" s="10">
        <v>10</v>
      </c>
      <c r="G23" s="10">
        <v>6</v>
      </c>
      <c r="H23" s="10">
        <v>9</v>
      </c>
      <c r="I23" s="10">
        <v>8</v>
      </c>
      <c r="J23" s="10">
        <v>10</v>
      </c>
      <c r="K23" s="10">
        <v>8</v>
      </c>
      <c r="L23" s="10">
        <v>8</v>
      </c>
      <c r="M23" s="10">
        <v>10</v>
      </c>
      <c r="N23" s="10">
        <v>8</v>
      </c>
      <c r="O23" s="10">
        <v>4</v>
      </c>
      <c r="P23" s="10">
        <v>9</v>
      </c>
      <c r="Q23" s="10">
        <v>8</v>
      </c>
      <c r="R23" s="10">
        <v>8</v>
      </c>
      <c r="S23" s="10">
        <v>8</v>
      </c>
      <c r="T23" s="10">
        <v>7</v>
      </c>
      <c r="U23" s="2">
        <f t="shared" si="0"/>
        <v>7.9285714285714288</v>
      </c>
      <c r="V23" s="30"/>
      <c r="W23" s="29"/>
    </row>
    <row r="24" spans="1:23" ht="15" customHeight="1" x14ac:dyDescent="0.25">
      <c r="A24" s="27"/>
      <c r="B24" s="30"/>
      <c r="C24" s="8" t="s">
        <v>17</v>
      </c>
      <c r="D24" s="18">
        <v>13</v>
      </c>
      <c r="E24" s="9" t="s">
        <v>29</v>
      </c>
      <c r="F24" s="10">
        <v>11</v>
      </c>
      <c r="G24" s="10">
        <v>8</v>
      </c>
      <c r="H24" s="10">
        <v>10</v>
      </c>
      <c r="I24" s="10">
        <v>11</v>
      </c>
      <c r="J24" s="10">
        <v>11</v>
      </c>
      <c r="K24" s="10">
        <v>12</v>
      </c>
      <c r="L24" s="10">
        <v>11</v>
      </c>
      <c r="M24" s="10">
        <v>10</v>
      </c>
      <c r="N24" s="10">
        <v>9</v>
      </c>
      <c r="O24" s="10">
        <v>10</v>
      </c>
      <c r="P24" s="10">
        <v>11</v>
      </c>
      <c r="Q24" s="10">
        <v>11</v>
      </c>
      <c r="R24" s="10">
        <v>10</v>
      </c>
      <c r="S24" s="10">
        <v>10</v>
      </c>
      <c r="T24" s="10">
        <v>11</v>
      </c>
      <c r="U24" s="2">
        <f t="shared" si="0"/>
        <v>10.357142857142858</v>
      </c>
      <c r="V24" s="30"/>
      <c r="W24" s="29"/>
    </row>
    <row r="25" spans="1:23" ht="15" customHeight="1" x14ac:dyDescent="0.25">
      <c r="A25" s="27"/>
      <c r="B25" s="30"/>
      <c r="C25" s="8" t="s">
        <v>17</v>
      </c>
      <c r="D25" s="18">
        <v>14</v>
      </c>
      <c r="E25" s="9" t="s">
        <v>30</v>
      </c>
      <c r="F25" s="10">
        <v>9</v>
      </c>
      <c r="G25" s="10">
        <v>11</v>
      </c>
      <c r="H25" s="10">
        <v>10</v>
      </c>
      <c r="I25" s="10">
        <v>10</v>
      </c>
      <c r="J25" s="10">
        <v>8</v>
      </c>
      <c r="K25" s="10">
        <v>10</v>
      </c>
      <c r="L25" s="10">
        <v>10</v>
      </c>
      <c r="M25" s="10">
        <v>9</v>
      </c>
      <c r="N25" s="10">
        <v>8</v>
      </c>
      <c r="O25" s="10">
        <v>6</v>
      </c>
      <c r="P25" s="10">
        <v>9</v>
      </c>
      <c r="Q25" s="10">
        <v>9</v>
      </c>
      <c r="R25" s="10">
        <v>9</v>
      </c>
      <c r="S25" s="10">
        <v>10</v>
      </c>
      <c r="T25" s="10">
        <v>8</v>
      </c>
      <c r="U25" s="2">
        <f t="shared" si="0"/>
        <v>9.0714285714285712</v>
      </c>
      <c r="V25" s="30"/>
      <c r="W25" s="29"/>
    </row>
    <row r="26" spans="1:23" ht="15" customHeight="1" x14ac:dyDescent="0.25">
      <c r="A26" s="27"/>
      <c r="B26" s="30"/>
      <c r="C26" s="8" t="s">
        <v>15</v>
      </c>
      <c r="D26" s="18">
        <v>15</v>
      </c>
      <c r="E26" s="9" t="s">
        <v>31</v>
      </c>
      <c r="F26" s="10">
        <v>10</v>
      </c>
      <c r="G26" s="10">
        <v>8</v>
      </c>
      <c r="H26" s="10">
        <v>9</v>
      </c>
      <c r="I26" s="10">
        <v>9</v>
      </c>
      <c r="J26" s="10">
        <v>9</v>
      </c>
      <c r="K26" s="10">
        <v>10</v>
      </c>
      <c r="L26" s="10">
        <v>8</v>
      </c>
      <c r="M26" s="10">
        <v>9</v>
      </c>
      <c r="N26" s="10">
        <v>9</v>
      </c>
      <c r="O26" s="10">
        <v>8</v>
      </c>
      <c r="P26" s="10">
        <v>9</v>
      </c>
      <c r="Q26" s="10">
        <v>9</v>
      </c>
      <c r="R26" s="10">
        <v>7</v>
      </c>
      <c r="S26" s="10">
        <v>10</v>
      </c>
      <c r="T26" s="10">
        <v>8</v>
      </c>
      <c r="U26" s="2">
        <f t="shared" si="0"/>
        <v>8.7142857142857135</v>
      </c>
      <c r="V26" s="30"/>
      <c r="W26" s="29"/>
    </row>
    <row r="27" spans="1:23" ht="15" customHeight="1" x14ac:dyDescent="0.25">
      <c r="A27" s="27"/>
      <c r="B27" s="30"/>
      <c r="C27" s="8" t="s">
        <v>17</v>
      </c>
      <c r="D27" s="18">
        <v>16</v>
      </c>
      <c r="E27" s="9" t="s">
        <v>32</v>
      </c>
      <c r="F27" s="10">
        <v>9</v>
      </c>
      <c r="G27" s="10">
        <v>10</v>
      </c>
      <c r="H27" s="10">
        <v>8</v>
      </c>
      <c r="I27" s="10">
        <v>8</v>
      </c>
      <c r="J27" s="10">
        <v>5</v>
      </c>
      <c r="K27" s="10">
        <v>8</v>
      </c>
      <c r="L27" s="10">
        <v>7</v>
      </c>
      <c r="M27" s="10">
        <v>6</v>
      </c>
      <c r="N27" s="10">
        <v>7</v>
      </c>
      <c r="O27" s="10">
        <v>6</v>
      </c>
      <c r="P27" s="10">
        <v>9</v>
      </c>
      <c r="Q27" s="10">
        <v>9</v>
      </c>
      <c r="R27" s="10">
        <v>6</v>
      </c>
      <c r="S27" s="10">
        <v>8</v>
      </c>
      <c r="T27" s="10">
        <v>6</v>
      </c>
      <c r="U27" s="2">
        <f t="shared" si="0"/>
        <v>7.3571428571428568</v>
      </c>
      <c r="V27" s="30"/>
      <c r="W27" s="29"/>
    </row>
    <row r="28" spans="1:23" ht="15" customHeight="1" x14ac:dyDescent="0.25">
      <c r="A28" s="27"/>
      <c r="B28" s="30"/>
      <c r="C28" s="8" t="s">
        <v>15</v>
      </c>
      <c r="D28" s="18">
        <v>17</v>
      </c>
      <c r="E28" s="9" t="s">
        <v>33</v>
      </c>
      <c r="F28" s="10">
        <v>10</v>
      </c>
      <c r="G28" s="10">
        <v>4</v>
      </c>
      <c r="H28" s="10">
        <v>9</v>
      </c>
      <c r="I28" s="10">
        <v>10</v>
      </c>
      <c r="J28" s="10">
        <v>10</v>
      </c>
      <c r="K28" s="10">
        <v>9</v>
      </c>
      <c r="L28" s="10">
        <v>10</v>
      </c>
      <c r="M28" s="10">
        <v>10</v>
      </c>
      <c r="N28" s="10">
        <v>7</v>
      </c>
      <c r="O28" s="10">
        <v>6</v>
      </c>
      <c r="P28" s="10">
        <v>10</v>
      </c>
      <c r="Q28" s="10">
        <v>10</v>
      </c>
      <c r="R28" s="10">
        <v>8</v>
      </c>
      <c r="S28" s="10">
        <v>5</v>
      </c>
      <c r="T28" s="10">
        <v>8</v>
      </c>
      <c r="U28" s="2">
        <f t="shared" si="0"/>
        <v>8.2857142857142865</v>
      </c>
      <c r="V28" s="30"/>
      <c r="W28" s="29"/>
    </row>
    <row r="29" spans="1:23" ht="15" customHeight="1" x14ac:dyDescent="0.25">
      <c r="A29" s="27"/>
      <c r="B29" s="30"/>
      <c r="C29" s="8" t="s">
        <v>17</v>
      </c>
      <c r="D29" s="18">
        <v>18</v>
      </c>
      <c r="E29" s="9" t="s">
        <v>34</v>
      </c>
      <c r="F29" s="10">
        <v>10</v>
      </c>
      <c r="G29" s="10">
        <v>7</v>
      </c>
      <c r="H29" s="10">
        <v>10</v>
      </c>
      <c r="I29" s="10">
        <v>10</v>
      </c>
      <c r="J29" s="10">
        <v>9</v>
      </c>
      <c r="K29" s="10">
        <v>9</v>
      </c>
      <c r="L29" s="10">
        <v>11</v>
      </c>
      <c r="M29" s="10">
        <v>10</v>
      </c>
      <c r="N29" s="10">
        <v>8</v>
      </c>
      <c r="O29" s="10">
        <v>7</v>
      </c>
      <c r="P29" s="10">
        <v>9</v>
      </c>
      <c r="Q29" s="10">
        <v>10</v>
      </c>
      <c r="R29" s="10">
        <v>9</v>
      </c>
      <c r="S29" s="10">
        <v>10</v>
      </c>
      <c r="T29" s="10">
        <v>8</v>
      </c>
      <c r="U29" s="2">
        <f t="shared" si="0"/>
        <v>9.0714285714285712</v>
      </c>
      <c r="V29" s="30"/>
      <c r="W29" s="29"/>
    </row>
    <row r="30" spans="1:23" ht="15" customHeight="1" x14ac:dyDescent="0.25">
      <c r="A30" s="27"/>
      <c r="B30" s="30"/>
      <c r="C30" s="8" t="s">
        <v>15</v>
      </c>
      <c r="D30" s="18">
        <v>19</v>
      </c>
      <c r="E30" s="9" t="s">
        <v>35</v>
      </c>
      <c r="F30" s="10">
        <v>9</v>
      </c>
      <c r="G30" s="10">
        <v>8</v>
      </c>
      <c r="H30" s="10">
        <v>10</v>
      </c>
      <c r="I30" s="10">
        <v>9</v>
      </c>
      <c r="J30" s="10">
        <v>10</v>
      </c>
      <c r="K30" s="10">
        <v>9</v>
      </c>
      <c r="L30" s="10">
        <v>9</v>
      </c>
      <c r="M30" s="10">
        <v>9</v>
      </c>
      <c r="N30" s="10">
        <v>8</v>
      </c>
      <c r="O30" s="10">
        <v>8</v>
      </c>
      <c r="P30" s="10">
        <v>9</v>
      </c>
      <c r="Q30" s="10">
        <v>10</v>
      </c>
      <c r="R30" s="10">
        <v>8</v>
      </c>
      <c r="S30" s="10">
        <v>6</v>
      </c>
      <c r="T30" s="10">
        <v>9</v>
      </c>
      <c r="U30" s="2">
        <f t="shared" si="0"/>
        <v>8.7142857142857135</v>
      </c>
      <c r="V30" s="30"/>
      <c r="W30" s="29"/>
    </row>
    <row r="31" spans="1:23" ht="15" customHeight="1" x14ac:dyDescent="0.25">
      <c r="A31" s="27"/>
      <c r="B31" s="30"/>
      <c r="C31" s="8" t="s">
        <v>17</v>
      </c>
      <c r="D31" s="18">
        <v>20</v>
      </c>
      <c r="E31" s="9" t="s">
        <v>36</v>
      </c>
      <c r="F31" s="10">
        <v>10</v>
      </c>
      <c r="G31" s="10">
        <v>8</v>
      </c>
      <c r="H31" s="10">
        <v>10</v>
      </c>
      <c r="I31" s="10">
        <v>10</v>
      </c>
      <c r="J31" s="10">
        <v>10</v>
      </c>
      <c r="K31" s="10">
        <v>9</v>
      </c>
      <c r="L31" s="10">
        <v>11</v>
      </c>
      <c r="M31" s="10">
        <v>10</v>
      </c>
      <c r="N31" s="10">
        <v>8</v>
      </c>
      <c r="O31" s="10">
        <v>9</v>
      </c>
      <c r="P31" s="10">
        <v>10</v>
      </c>
      <c r="Q31" s="10">
        <v>9</v>
      </c>
      <c r="R31" s="10">
        <v>10</v>
      </c>
      <c r="S31" s="10">
        <v>10</v>
      </c>
      <c r="T31" s="10">
        <v>10</v>
      </c>
      <c r="U31" s="2">
        <f t="shared" si="0"/>
        <v>9.5714285714285712</v>
      </c>
      <c r="V31" s="30"/>
      <c r="W31" s="29"/>
    </row>
    <row r="32" spans="1:23" ht="15" customHeight="1" x14ac:dyDescent="0.25">
      <c r="A32" s="27"/>
      <c r="B32" s="30"/>
      <c r="C32" s="8" t="s">
        <v>15</v>
      </c>
      <c r="D32" s="18">
        <v>21</v>
      </c>
      <c r="E32" s="9" t="s">
        <v>37</v>
      </c>
      <c r="F32" s="10">
        <v>7</v>
      </c>
      <c r="G32" s="10">
        <v>10</v>
      </c>
      <c r="H32" s="10">
        <v>8</v>
      </c>
      <c r="I32" s="10">
        <v>7</v>
      </c>
      <c r="J32" s="10">
        <v>5</v>
      </c>
      <c r="K32" s="10">
        <v>5</v>
      </c>
      <c r="L32" s="10">
        <v>6</v>
      </c>
      <c r="M32" s="10">
        <v>9</v>
      </c>
      <c r="N32" s="10">
        <v>7</v>
      </c>
      <c r="O32" s="10">
        <v>6</v>
      </c>
      <c r="P32" s="10">
        <v>5</v>
      </c>
      <c r="Q32" s="10">
        <v>5</v>
      </c>
      <c r="R32" s="10">
        <v>5</v>
      </c>
      <c r="S32" s="10">
        <v>10</v>
      </c>
      <c r="T32" s="10">
        <v>7</v>
      </c>
      <c r="U32" s="2">
        <f t="shared" si="0"/>
        <v>6.7857142857142856</v>
      </c>
      <c r="V32" s="30"/>
      <c r="W32" s="29"/>
    </row>
    <row r="33" spans="1:24" ht="15" customHeight="1" x14ac:dyDescent="0.25">
      <c r="A33" s="27"/>
      <c r="B33" s="30"/>
      <c r="C33" s="8" t="s">
        <v>17</v>
      </c>
      <c r="D33" s="18">
        <v>22</v>
      </c>
      <c r="E33" s="9" t="s">
        <v>38</v>
      </c>
      <c r="F33" s="10">
        <v>10</v>
      </c>
      <c r="G33" s="10">
        <v>7</v>
      </c>
      <c r="H33" s="10">
        <v>9</v>
      </c>
      <c r="I33" s="10">
        <v>9</v>
      </c>
      <c r="J33" s="10">
        <v>9</v>
      </c>
      <c r="K33" s="10">
        <v>9</v>
      </c>
      <c r="L33" s="10">
        <v>8</v>
      </c>
      <c r="M33" s="10">
        <v>9</v>
      </c>
      <c r="N33" s="10">
        <v>8</v>
      </c>
      <c r="O33" s="10">
        <v>7</v>
      </c>
      <c r="P33" s="10">
        <v>9</v>
      </c>
      <c r="Q33" s="10">
        <v>10</v>
      </c>
      <c r="R33" s="10">
        <v>9</v>
      </c>
      <c r="S33" s="10">
        <v>10</v>
      </c>
      <c r="T33" s="10">
        <v>8</v>
      </c>
      <c r="U33" s="2">
        <f t="shared" si="0"/>
        <v>8.6428571428571423</v>
      </c>
      <c r="V33" s="30"/>
      <c r="W33" s="29"/>
    </row>
    <row r="34" spans="1:24" ht="15" customHeight="1" x14ac:dyDescent="0.25">
      <c r="A34" s="27"/>
      <c r="B34" s="30"/>
      <c r="C34" s="8" t="s">
        <v>17</v>
      </c>
      <c r="D34" s="18">
        <v>23</v>
      </c>
      <c r="E34" s="9" t="s">
        <v>39</v>
      </c>
      <c r="F34" s="10">
        <v>9</v>
      </c>
      <c r="G34" s="10">
        <v>10</v>
      </c>
      <c r="H34" s="10">
        <v>9</v>
      </c>
      <c r="I34" s="10">
        <v>9</v>
      </c>
      <c r="J34" s="10">
        <v>9</v>
      </c>
      <c r="K34" s="10">
        <v>9</v>
      </c>
      <c r="L34" s="10">
        <v>8</v>
      </c>
      <c r="M34" s="10">
        <v>9</v>
      </c>
      <c r="N34" s="10">
        <v>7</v>
      </c>
      <c r="O34" s="10">
        <v>6</v>
      </c>
      <c r="P34" s="10">
        <v>9</v>
      </c>
      <c r="Q34" s="10">
        <v>10</v>
      </c>
      <c r="R34" s="10">
        <v>7</v>
      </c>
      <c r="S34" s="10">
        <v>10</v>
      </c>
      <c r="T34" s="10">
        <v>8</v>
      </c>
      <c r="U34" s="2">
        <f t="shared" si="0"/>
        <v>8.5714285714285712</v>
      </c>
      <c r="V34" s="30"/>
      <c r="W34" s="29"/>
    </row>
    <row r="35" spans="1:24" ht="15" customHeight="1" x14ac:dyDescent="0.25">
      <c r="A35" s="27"/>
      <c r="B35" s="30"/>
      <c r="C35" s="8" t="s">
        <v>17</v>
      </c>
      <c r="D35" s="18">
        <v>24</v>
      </c>
      <c r="E35" s="9" t="s">
        <v>40</v>
      </c>
      <c r="F35" s="10">
        <v>11</v>
      </c>
      <c r="G35" s="10">
        <v>9</v>
      </c>
      <c r="H35" s="10">
        <v>10</v>
      </c>
      <c r="I35" s="10">
        <v>11</v>
      </c>
      <c r="J35" s="10">
        <v>11</v>
      </c>
      <c r="K35" s="10">
        <v>10</v>
      </c>
      <c r="L35" s="10">
        <v>10</v>
      </c>
      <c r="M35" s="10">
        <v>10</v>
      </c>
      <c r="N35" s="10">
        <v>10</v>
      </c>
      <c r="O35" s="10">
        <v>9</v>
      </c>
      <c r="P35" s="10">
        <v>10</v>
      </c>
      <c r="Q35" s="10">
        <v>10</v>
      </c>
      <c r="R35" s="10">
        <v>10</v>
      </c>
      <c r="S35" s="10">
        <v>10</v>
      </c>
      <c r="T35" s="10">
        <v>9</v>
      </c>
      <c r="U35" s="2">
        <f>IF(COUNTIF(F35:T35,"=*")&gt;0,"-",IF(COUNTIF(G35:T35,"&lt;4")&gt;0,"-",(IFERROR(AVERAGE(G35:T35),""))))</f>
        <v>9.9285714285714288</v>
      </c>
      <c r="V35" s="30"/>
      <c r="W35" s="29"/>
    </row>
    <row r="36" spans="1:24" ht="15" customHeight="1" x14ac:dyDescent="0.25">
      <c r="A36" s="27"/>
      <c r="B36" s="30"/>
      <c r="C36" s="11"/>
      <c r="D36" s="11"/>
      <c r="E36" s="9" t="s">
        <v>41</v>
      </c>
      <c r="F36" s="3">
        <f>IF(SUM(F12:F35)=0,"",SUM(F12:F35)/D35)</f>
        <v>9.8333333333333339</v>
      </c>
      <c r="G36" s="3">
        <f>IF(SUM(G12:G35)=0,"",SUM(G12:G35)/D35)</f>
        <v>8.75</v>
      </c>
      <c r="H36" s="3">
        <f>IF(SUM(H12:H35)=0,"",SUM(H12:H35)/D35)</f>
        <v>9.5416666666666661</v>
      </c>
      <c r="I36" s="3">
        <f>IF(SUM(I12:I35)=0,"",SUM(I12:I35)/D35)</f>
        <v>9.7083333333333339</v>
      </c>
      <c r="J36" s="3">
        <f>IF(SUM(J12:J35)=0,"",SUM(J12:J35)/D35)</f>
        <v>9.3333333333333339</v>
      </c>
      <c r="K36" s="3">
        <f>IF(SUM(K12:K35)=0,"",SUM(K12:K35)/D35)</f>
        <v>9.2083333333333339</v>
      </c>
      <c r="L36" s="3">
        <f>IF(SUM(L12:L35)=0,"",SUM(L12:L35)/D35)</f>
        <v>9.0416666666666661</v>
      </c>
      <c r="M36" s="3">
        <f>IF(SUM(M12:M35)=0,"",SUM(M12:M35)/D35)</f>
        <v>9.3333333333333339</v>
      </c>
      <c r="N36" s="3">
        <f>IF(SUM(N12:N35)=0,"",SUM(N12:N35)/D35)</f>
        <v>8.2083333333333339</v>
      </c>
      <c r="O36" s="3">
        <f>IF(SUM(O12:O35)=0,"",SUM(O12:O35)/D35)</f>
        <v>7.541666666666667</v>
      </c>
      <c r="P36" s="3">
        <f>IF(SUM(P12:P35)=0,"",SUM(P12:P35)/D35)</f>
        <v>9.3333333333333339</v>
      </c>
      <c r="Q36" s="3">
        <f>IF(SUM(Q12:Q35)=0,"",SUM(Q12:Q35)/D35)</f>
        <v>9.3333333333333339</v>
      </c>
      <c r="R36" s="3">
        <f>IF(SUM(R12:R35)=0,"",SUM(R12:R35)/D35)</f>
        <v>8.375</v>
      </c>
      <c r="S36" s="3">
        <f>IF(SUM(S12:S35)=0,"",SUM(S12:S35)/D35)</f>
        <v>9.25</v>
      </c>
      <c r="T36" s="3">
        <f>IF(SUM(T12:T35)=0,"",SUM(T12:T35)/D35)</f>
        <v>8.7083333333333339</v>
      </c>
      <c r="U36" s="2">
        <f>IFERROR(AVERAGE(F36:T36),"")</f>
        <v>9.0333333333333332</v>
      </c>
      <c r="V36" s="30"/>
      <c r="W36" s="29"/>
    </row>
    <row r="37" spans="1:24" ht="15" customHeight="1" x14ac:dyDescent="0.25">
      <c r="A37" s="27"/>
      <c r="B37" s="30"/>
      <c r="C37" s="11"/>
      <c r="D37" s="11"/>
      <c r="E37" s="9" t="s">
        <v>42</v>
      </c>
      <c r="F37" s="12">
        <f>IF(SUM(F12:F35)=0,"",IF(COUNTIF(F12:F35,"&gt;=4")=0,0,COUNTIF(F12:F35,"&gt;=4")/D35*100))</f>
        <v>100</v>
      </c>
      <c r="G37" s="12">
        <f>IF(SUM(G12:G35)=0,"",IF(COUNTIF(G12:G35,"&gt;=4")=0,0,COUNTIF(G12:G35,"&gt;=4")/D35*100))</f>
        <v>100</v>
      </c>
      <c r="H37" s="12">
        <f>IF(SUM(H12:H35)=0,"",IF(COUNTIF(H12:H35,"&gt;=4")=0,0,COUNTIF(H12:H35,"&gt;=4")/D35*100))</f>
        <v>100</v>
      </c>
      <c r="I37" s="12">
        <f>IF(SUM(I12:I35)=0,"",IF(COUNTIF(I12:I35,"&gt;=4")=0,0,COUNTIF(I12:I35,"&gt;=4")/D35*100))</f>
        <v>100</v>
      </c>
      <c r="J37" s="12">
        <f>IF(SUM(J12:J35)=0,"",IF(COUNTIF(J12:J35,"&gt;=4")=0,0,COUNTIF(J12:J35,"&gt;=4")/D35*100))</f>
        <v>100</v>
      </c>
      <c r="K37" s="12">
        <f>IF(SUM(K12:K35)=0,"",IF(COUNTIF(K12:K35,"&gt;=4")=0,0,COUNTIF(K12:K35,"&gt;=4")/D35*100))</f>
        <v>100</v>
      </c>
      <c r="L37" s="12">
        <f>IF(SUM(L12:L35)=0,"",IF(COUNTIF(L12:L35,"&gt;=4")=0,0,COUNTIF(L12:L35,"&gt;=4")/D35*100))</f>
        <v>100</v>
      </c>
      <c r="M37" s="12">
        <f>IF(SUM(M12:M35)=0,"",IF(COUNTIF(M12:M35,"&gt;=4")=0,0,COUNTIF(M12:M35,"&gt;=4")/D35*100))</f>
        <v>100</v>
      </c>
      <c r="N37" s="12">
        <f>IF(SUM(N12:N35)=0,"",IF(COUNTIF(N12:N35,"&gt;=4")=0,0,COUNTIF(N12:N35,"&gt;=4")/D35*100))</f>
        <v>100</v>
      </c>
      <c r="O37" s="12">
        <f>IF(SUM(O12:O35)=0,"",IF(COUNTIF(O12:O35,"&gt;=4")=0,0,COUNTIF(O12:O35,"&gt;=4")/D35*100))</f>
        <v>100</v>
      </c>
      <c r="P37" s="12">
        <f>IF(SUM(P12:P35)=0,"",IF(COUNTIF(P12:P35,"&gt;=4")=0,0,COUNTIF(P12:P35,"&gt;=4")/D35*100))</f>
        <v>100</v>
      </c>
      <c r="Q37" s="12">
        <f>IF(SUM(Q12:Q35)=0,"",IF(COUNTIF(Q12:Q35,"&gt;=4")=0,0,COUNTIF(Q12:Q35,"&gt;=4")/D35*100))</f>
        <v>100</v>
      </c>
      <c r="R37" s="12">
        <f>IF(SUM(R12:R35)=0,"",IF(COUNTIF(R12:R35,"&gt;=4")=0,0,COUNTIF(R12:R35,"&gt;=4")/D35*100))</f>
        <v>100</v>
      </c>
      <c r="S37" s="12">
        <f>IF(SUM(S12:S35)=0,"",IF(COUNTIF(S12:S35,"&gt;=4")=0,0,COUNTIF(S12:S35,"&gt;=4")/D35*100))</f>
        <v>100</v>
      </c>
      <c r="T37" s="12">
        <f>IF(SUM(T12:T35)=0,"",IF(COUNTIF(T12:T35,"&gt;=4")=0,0,COUNTIF(T12:T35,"&gt;=4")/D35*100))</f>
        <v>100</v>
      </c>
      <c r="U37" s="13"/>
      <c r="V37" s="30"/>
      <c r="W37" s="29"/>
      <c r="X37" s="14"/>
    </row>
    <row r="38" spans="1:24" ht="15" customHeight="1" x14ac:dyDescent="0.25">
      <c r="A38" s="27"/>
      <c r="B38" s="30"/>
      <c r="C38" s="11"/>
      <c r="D38" s="11"/>
      <c r="E38" s="9" t="s">
        <v>43</v>
      </c>
      <c r="F38" s="12">
        <f>IF(SUM(F12:F35)=0,"",IF(COUNTIF(F12:F35,"&gt;=7")=0,0,COUNTIF(F12:F35,"&gt;=7")/D35*100))</f>
        <v>100</v>
      </c>
      <c r="G38" s="12">
        <f>IF(SUM(G12:G35)=0,"",IF(COUNTIF(G12:G35,"&gt;=7")=0,0,COUNTIF(G12:G35,"&gt;=7")/D35*100))</f>
        <v>91.666666666666657</v>
      </c>
      <c r="H38" s="12">
        <f>IF(SUM(H12:H35)=0,"",IF(COUNTIF(H12:H35,"&gt;=7")=0,0,COUNTIF(H12:H35,"&gt;=7")/D35*100))</f>
        <v>100</v>
      </c>
      <c r="I38" s="12">
        <f>IF(SUM(I12:I35)=0,"",IF(COUNTIF(I12:I35,"&gt;=7")=0,0,COUNTIF(I12:I35,"&gt;=7")/D35*100))</f>
        <v>100</v>
      </c>
      <c r="J38" s="12">
        <f>IF(SUM(J12:J35)=0,"",IF(COUNTIF(J12:J35,"&gt;=7")=0,0,COUNTIF(J12:J35,"&gt;=7")/D35*100))</f>
        <v>87.5</v>
      </c>
      <c r="K38" s="12">
        <f>IF(SUM(K12:K35)=0,"",IF(COUNTIF(K12:K35,"&gt;=7")=0,0,COUNTIF(K12:K35,"&gt;=7")/D35*100))</f>
        <v>95.833333333333343</v>
      </c>
      <c r="L38" s="12">
        <f>IF(SUM(L12:L35)=0,"",IF(COUNTIF(L12:L35,"&gt;=7")=0,0,COUNTIF(L12:L35,"&gt;=7")/D35*100))</f>
        <v>87.5</v>
      </c>
      <c r="M38" s="12">
        <f>IF(SUM(M12:M35)=0,"",IF(COUNTIF(M12:M35,"&gt;=7")=0,0,COUNTIF(M12:M35,"&gt;=7")/D35*100))</f>
        <v>95.833333333333343</v>
      </c>
      <c r="N38" s="12">
        <f>IF(SUM(N12:N35)=0,"",IF(COUNTIF(N12:N35,"&gt;=7")=0,0,COUNTIF(N12:N35,"&gt;=7")/D35*100))</f>
        <v>91.666666666666657</v>
      </c>
      <c r="O38" s="12">
        <f>IF(SUM(O12:O35)=0,"",IF(COUNTIF(O12:O35,"&gt;=7")=0,0,COUNTIF(O12:O35,"&gt;=7")/D35*100))</f>
        <v>66.666666666666657</v>
      </c>
      <c r="P38" s="12">
        <f>IF(SUM(P12:P35)=0,"",IF(COUNTIF(P12:P35,"&gt;=7")=0,0,COUNTIF(P12:P35,"&gt;=7")/D35*100))</f>
        <v>95.833333333333343</v>
      </c>
      <c r="Q38" s="12">
        <f>IF(SUM(Q12:Q35)=0,"",IF(COUNTIF(Q12:Q35,"&gt;=7")=0,0,COUNTIF(Q12:Q35,"&gt;=7")/D35*100))</f>
        <v>95.833333333333343</v>
      </c>
      <c r="R38" s="12">
        <f>IF(SUM(R12:R35)=0,"",IF(COUNTIF(R12:R35,"&gt;=7")=0,0,COUNTIF(R12:R35,"&gt;=7")/D35*100))</f>
        <v>87.5</v>
      </c>
      <c r="S38" s="12">
        <f>IF(SUM(S12:S35)=0,"",IF(COUNTIF(S12:S35,"&gt;=7")=0,0,COUNTIF(S12:S35,"&gt;=7")/D35*100))</f>
        <v>87.5</v>
      </c>
      <c r="T38" s="12">
        <f>IF(SUM(T12:T35)=0,"",IF(COUNTIF(T12:T35,"&gt;=7")=0,0,COUNTIF(T12:T35,"&gt;=7")/D35*100))</f>
        <v>91.666666666666657</v>
      </c>
      <c r="U38" s="15"/>
      <c r="V38" s="30"/>
      <c r="W38" s="29"/>
      <c r="X38" s="14"/>
    </row>
    <row r="39" spans="1:24" ht="15" customHeight="1" x14ac:dyDescent="0.25">
      <c r="A39" s="27"/>
      <c r="B39" s="30"/>
      <c r="C39" s="11"/>
      <c r="D39" s="11"/>
      <c r="E39" s="9" t="s">
        <v>44</v>
      </c>
      <c r="F39" s="3">
        <f>IFERROR(AVERAGE(F37:T37),"")</f>
        <v>100</v>
      </c>
      <c r="G39" s="2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30"/>
      <c r="W39" s="29"/>
      <c r="X39" s="14"/>
    </row>
    <row r="40" spans="1:24" ht="15" customHeight="1" x14ac:dyDescent="0.25">
      <c r="A40" s="27"/>
      <c r="B40" s="30"/>
      <c r="C40" s="11"/>
      <c r="D40" s="11"/>
      <c r="E40" s="9" t="s">
        <v>45</v>
      </c>
      <c r="F40" s="3">
        <f>IFERROR(AVERAGE(F38:T38),"")</f>
        <v>91.666666666666671</v>
      </c>
      <c r="G40" s="2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30"/>
      <c r="W40" s="29"/>
      <c r="X40" s="14"/>
    </row>
    <row r="41" spans="1:24" ht="15" customHeight="1" x14ac:dyDescent="0.25">
      <c r="A41" s="27"/>
      <c r="B41" s="30"/>
      <c r="C41" s="11"/>
      <c r="D41" s="11"/>
      <c r="E41" s="9" t="s">
        <v>46</v>
      </c>
      <c r="F41" s="20">
        <f>IF(COUNTIF(C12:C35,"=Б")=0,IF(COUNTIF(C12:C35,"=К")=0,"",0),COUNTIF(C12:C35,"=Б"))</f>
        <v>16</v>
      </c>
      <c r="G41" s="2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30"/>
      <c r="W41" s="29"/>
      <c r="X41" s="14"/>
    </row>
    <row r="42" spans="1:24" ht="15" customHeight="1" x14ac:dyDescent="0.25">
      <c r="A42" s="27"/>
      <c r="B42" s="30"/>
      <c r="C42" s="11"/>
      <c r="D42" s="11"/>
      <c r="E42" s="9" t="s">
        <v>47</v>
      </c>
      <c r="F42" s="20">
        <f>IF(COUNTIF(C12:C35,"=К")=0,IF(COUNTIF(C12:C35,"=Б")=0,"",0),COUNTIF(C12:C35,"=К"))</f>
        <v>8</v>
      </c>
      <c r="G42" s="22"/>
      <c r="H42" s="11"/>
      <c r="I42" s="16" t="s">
        <v>48</v>
      </c>
      <c r="J42" s="11"/>
      <c r="K42" s="11"/>
      <c r="L42" s="11"/>
      <c r="M42" s="11"/>
      <c r="N42" s="11"/>
      <c r="O42" s="11"/>
      <c r="P42" s="1" t="s">
        <v>49</v>
      </c>
      <c r="Q42" s="11"/>
      <c r="R42" s="11"/>
      <c r="S42" s="11"/>
      <c r="T42" s="11"/>
      <c r="U42" s="11"/>
      <c r="V42" s="30"/>
      <c r="W42" s="29"/>
    </row>
    <row r="43" spans="1:24" ht="15" customHeight="1" x14ac:dyDescent="0.25">
      <c r="A43" s="27"/>
      <c r="B43" s="30"/>
      <c r="C43" s="11"/>
      <c r="D43" s="11"/>
      <c r="E43" s="9" t="s">
        <v>50</v>
      </c>
      <c r="F43" s="20">
        <v>2</v>
      </c>
      <c r="G43" s="2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30"/>
      <c r="W43" s="29"/>
    </row>
    <row r="44" spans="1:24" ht="15" customHeight="1" x14ac:dyDescent="0.25">
      <c r="A44" s="27"/>
      <c r="B44" s="30"/>
      <c r="C44" s="11"/>
      <c r="D44" s="11"/>
      <c r="E44" s="9" t="s">
        <v>51</v>
      </c>
      <c r="F44" s="20">
        <v>6</v>
      </c>
      <c r="G44" s="22"/>
      <c r="H44" s="11"/>
      <c r="I44" s="16" t="s">
        <v>52</v>
      </c>
      <c r="J44" s="11"/>
      <c r="K44" s="11"/>
      <c r="L44" s="11"/>
      <c r="M44" s="11"/>
      <c r="N44" s="11"/>
      <c r="O44" s="11"/>
      <c r="P44" s="16" t="s">
        <v>53</v>
      </c>
      <c r="Q44" s="11"/>
      <c r="R44" s="11"/>
      <c r="S44" s="11"/>
      <c r="T44" s="11"/>
      <c r="U44" s="11"/>
      <c r="V44" s="30"/>
      <c r="W44" s="29"/>
    </row>
    <row r="45" spans="1:24" ht="12" customHeight="1" thickBot="1" x14ac:dyDescent="0.3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9"/>
    </row>
    <row r="46" spans="1:24" ht="12" customHeight="1" x14ac:dyDescent="0.25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</sheetData>
  <sheetProtection selectLockedCells="1"/>
  <mergeCells count="19">
    <mergeCell ref="B46:V46"/>
    <mergeCell ref="C8:U8"/>
    <mergeCell ref="C9:U9"/>
    <mergeCell ref="C10:C11"/>
    <mergeCell ref="D10:D11"/>
    <mergeCell ref="E10:E11"/>
    <mergeCell ref="B1:V1"/>
    <mergeCell ref="A2:A45"/>
    <mergeCell ref="B2:V2"/>
    <mergeCell ref="W2:W45"/>
    <mergeCell ref="B4:B44"/>
    <mergeCell ref="C4:U4"/>
    <mergeCell ref="V4:V44"/>
    <mergeCell ref="C5:U5"/>
    <mergeCell ref="C6:U6"/>
    <mergeCell ref="C7:U7"/>
    <mergeCell ref="B45:V45"/>
    <mergeCell ref="F10:U10"/>
    <mergeCell ref="C3:U3"/>
  </mergeCells>
  <printOptions horizontalCentered="1"/>
  <pageMargins left="0" right="0" top="0" bottom="0" header="0" footer="0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5"/>
  <sheetViews>
    <sheetView topLeftCell="A10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4" ht="12" customHeight="1" thickBo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4" ht="12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4" s="5" customFormat="1" ht="15" customHeight="1" x14ac:dyDescent="0.25">
      <c r="A3" s="27"/>
      <c r="B3" s="25"/>
      <c r="C3" s="30" t="s">
        <v>70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  <c r="X3" s="4"/>
    </row>
    <row r="4" spans="1:24" s="5" customFormat="1" ht="15" customHeight="1" x14ac:dyDescent="0.25">
      <c r="A4" s="27"/>
      <c r="B4" s="30"/>
      <c r="C4" s="30" t="s">
        <v>72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4" s="5" customFormat="1" ht="15" customHeight="1" x14ac:dyDescent="0.25">
      <c r="A5" s="27"/>
      <c r="B5" s="30"/>
      <c r="C5" s="30" t="s">
        <v>71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4" s="6" customFormat="1" ht="15" customHeight="1" x14ac:dyDescent="0.25">
      <c r="A6" s="27"/>
      <c r="B6" s="30"/>
      <c r="C6" s="31" t="s">
        <v>62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0"/>
      <c r="W6" s="29"/>
    </row>
    <row r="7" spans="1:24" s="5" customFormat="1" ht="15" customHeight="1" x14ac:dyDescent="0.25">
      <c r="A7" s="27"/>
      <c r="B7" s="30"/>
      <c r="C7" s="32" t="s">
        <v>55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0"/>
      <c r="W7" s="29"/>
    </row>
    <row r="8" spans="1:24" s="5" customFormat="1" ht="15" customHeight="1" x14ac:dyDescent="0.25">
      <c r="A8" s="27"/>
      <c r="B8" s="30"/>
      <c r="C8" s="32" t="s">
        <v>73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29"/>
    </row>
    <row r="9" spans="1:24" s="5" customFormat="1" ht="15" customHeight="1" x14ac:dyDescent="0.25">
      <c r="A9" s="27"/>
      <c r="B9" s="30"/>
      <c r="C9" s="30" t="s">
        <v>63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4" ht="15" customHeight="1" x14ac:dyDescent="0.25">
      <c r="A10" s="27"/>
      <c r="B10" s="30"/>
      <c r="C10" s="37" t="s">
        <v>0</v>
      </c>
      <c r="D10" s="39" t="s">
        <v>1</v>
      </c>
      <c r="E10" s="39" t="s">
        <v>2</v>
      </c>
      <c r="F10" s="33" t="s">
        <v>66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0"/>
      <c r="W10" s="29"/>
    </row>
    <row r="11" spans="1:24" ht="125.1" customHeight="1" x14ac:dyDescent="0.25">
      <c r="A11" s="27"/>
      <c r="B11" s="30"/>
      <c r="C11" s="38"/>
      <c r="D11" s="38"/>
      <c r="E11" s="38"/>
      <c r="F11" s="17" t="s">
        <v>65</v>
      </c>
      <c r="G11" s="17" t="s">
        <v>3</v>
      </c>
      <c r="H11" s="17" t="s">
        <v>4</v>
      </c>
      <c r="I11" s="17" t="s">
        <v>5</v>
      </c>
      <c r="J11" s="17" t="s">
        <v>6</v>
      </c>
      <c r="K11" s="17" t="s">
        <v>67</v>
      </c>
      <c r="L11" s="17" t="s">
        <v>7</v>
      </c>
      <c r="M11" s="17" t="s">
        <v>8</v>
      </c>
      <c r="N11" s="17" t="s">
        <v>9</v>
      </c>
      <c r="O11" s="17" t="s">
        <v>10</v>
      </c>
      <c r="P11" s="17" t="s">
        <v>68</v>
      </c>
      <c r="Q11" s="17" t="s">
        <v>69</v>
      </c>
      <c r="R11" s="17" t="s">
        <v>11</v>
      </c>
      <c r="S11" s="17" t="s">
        <v>12</v>
      </c>
      <c r="T11" s="17" t="s">
        <v>13</v>
      </c>
      <c r="U11" s="7" t="s">
        <v>14</v>
      </c>
      <c r="V11" s="30"/>
      <c r="W11" s="29"/>
    </row>
    <row r="12" spans="1:24" ht="15" customHeight="1" x14ac:dyDescent="0.25">
      <c r="A12" s="27"/>
      <c r="B12" s="30"/>
      <c r="C12" s="21" t="s">
        <v>17</v>
      </c>
      <c r="D12" s="21">
        <v>1</v>
      </c>
      <c r="E12" s="9" t="s">
        <v>57</v>
      </c>
      <c r="F12" s="10">
        <v>4</v>
      </c>
      <c r="G12" s="10">
        <v>4</v>
      </c>
      <c r="H12" s="10">
        <v>5</v>
      </c>
      <c r="I12" s="10">
        <v>5</v>
      </c>
      <c r="J12" s="10">
        <v>4</v>
      </c>
      <c r="K12" s="10" t="s">
        <v>64</v>
      </c>
      <c r="L12" s="10">
        <v>4</v>
      </c>
      <c r="M12" s="10" t="s">
        <v>64</v>
      </c>
      <c r="N12" s="10" t="s">
        <v>64</v>
      </c>
      <c r="O12" s="10">
        <v>4</v>
      </c>
      <c r="P12" s="10" t="s">
        <v>64</v>
      </c>
      <c r="Q12" s="10" t="s">
        <v>64</v>
      </c>
      <c r="R12" s="10" t="s">
        <v>64</v>
      </c>
      <c r="S12" s="10" t="s">
        <v>64</v>
      </c>
      <c r="T12" s="10">
        <v>5</v>
      </c>
      <c r="U12" s="2" t="str">
        <f>IF(COUNTIF(F12:T12,"=*")&gt;0,"-",IF(COUNTIF(F12:T12,"&lt;4")&gt;0,"-",(IFERROR(AVERAGE(F12:T12),""))))</f>
        <v>-</v>
      </c>
      <c r="V12" s="30"/>
      <c r="W12" s="29"/>
    </row>
    <row r="13" spans="1:24" ht="15" customHeight="1" x14ac:dyDescent="0.25">
      <c r="A13" s="27"/>
      <c r="B13" s="30"/>
      <c r="C13" s="21" t="s">
        <v>17</v>
      </c>
      <c r="D13" s="21">
        <v>2</v>
      </c>
      <c r="E13" s="9" t="s">
        <v>58</v>
      </c>
      <c r="F13" s="10">
        <v>10</v>
      </c>
      <c r="G13" s="10">
        <v>8</v>
      </c>
      <c r="H13" s="10">
        <v>10</v>
      </c>
      <c r="I13" s="10">
        <v>9</v>
      </c>
      <c r="J13" s="10">
        <v>9</v>
      </c>
      <c r="K13" s="10">
        <v>8</v>
      </c>
      <c r="L13" s="10">
        <v>9</v>
      </c>
      <c r="M13" s="10">
        <v>10</v>
      </c>
      <c r="N13" s="10">
        <v>8</v>
      </c>
      <c r="O13" s="10">
        <v>7</v>
      </c>
      <c r="P13" s="10">
        <v>10</v>
      </c>
      <c r="Q13" s="10">
        <v>9</v>
      </c>
      <c r="R13" s="10">
        <v>8</v>
      </c>
      <c r="S13" s="10">
        <v>10</v>
      </c>
      <c r="T13" s="10">
        <v>11</v>
      </c>
      <c r="U13" s="2">
        <f t="shared" ref="U13:U14" si="0">IF(COUNTIF(F13:T13,"=*")&gt;0,"-",IF(COUNTIF(F13:T13,"&lt;4")&gt;0,"-",(IFERROR(AVERAGE(F13:T13),""))))</f>
        <v>9.0666666666666664</v>
      </c>
      <c r="V13" s="30"/>
      <c r="W13" s="29"/>
    </row>
    <row r="14" spans="1:24" ht="15" customHeight="1" x14ac:dyDescent="0.25">
      <c r="A14" s="27"/>
      <c r="B14" s="30"/>
      <c r="C14" s="21" t="s">
        <v>17</v>
      </c>
      <c r="D14" s="21">
        <v>3</v>
      </c>
      <c r="E14" s="9" t="s">
        <v>59</v>
      </c>
      <c r="F14" s="10">
        <v>10</v>
      </c>
      <c r="G14" s="10">
        <v>8</v>
      </c>
      <c r="H14" s="10">
        <v>7</v>
      </c>
      <c r="I14" s="10">
        <v>7</v>
      </c>
      <c r="J14" s="10">
        <v>6</v>
      </c>
      <c r="K14" s="10">
        <v>10</v>
      </c>
      <c r="L14" s="10">
        <v>5</v>
      </c>
      <c r="M14" s="10">
        <v>8</v>
      </c>
      <c r="N14" s="10">
        <v>6</v>
      </c>
      <c r="O14" s="10">
        <v>5</v>
      </c>
      <c r="P14" s="10">
        <v>8</v>
      </c>
      <c r="Q14" s="10">
        <v>7</v>
      </c>
      <c r="R14" s="10">
        <v>5</v>
      </c>
      <c r="S14" s="10">
        <v>10</v>
      </c>
      <c r="T14" s="10">
        <v>7</v>
      </c>
      <c r="U14" s="2">
        <f t="shared" si="0"/>
        <v>7.2666666666666666</v>
      </c>
      <c r="V14" s="30"/>
      <c r="W14" s="29"/>
    </row>
    <row r="15" spans="1:24" ht="15" customHeight="1" x14ac:dyDescent="0.25">
      <c r="A15" s="27"/>
      <c r="B15" s="30"/>
      <c r="C15" s="11"/>
      <c r="D15" s="11"/>
      <c r="E15" s="9" t="s">
        <v>41</v>
      </c>
      <c r="F15" s="3">
        <f>IF(SUM(F12:F14)=0,"",SUM(F12:F14)/D14)</f>
        <v>8</v>
      </c>
      <c r="G15" s="3">
        <f>IF(SUM(G12:G14)=0,"",SUM(G12:G14)/D14)</f>
        <v>6.666666666666667</v>
      </c>
      <c r="H15" s="3">
        <f>IF(SUM(H12:H14)=0,"",SUM(H12:H14)/D14)</f>
        <v>7.333333333333333</v>
      </c>
      <c r="I15" s="3">
        <f>IF(SUM(I12:I14)=0,"",SUM(I12:I14)/D14)</f>
        <v>7</v>
      </c>
      <c r="J15" s="3">
        <f>IF(SUM(J12:J14)=0,"",SUM(J12:J14)/D14)</f>
        <v>6.333333333333333</v>
      </c>
      <c r="K15" s="3">
        <f>IF(SUM(K12:K14)=0,"",SUM(K12:K14)/D14)</f>
        <v>6</v>
      </c>
      <c r="L15" s="3">
        <f>IF(SUM(L12:L14)=0,"",SUM(L12:L14)/D14)</f>
        <v>6</v>
      </c>
      <c r="M15" s="3">
        <f>IF(SUM(M12:M14)=0,"",SUM(M12:M14)/D14)</f>
        <v>6</v>
      </c>
      <c r="N15" s="3">
        <f>IF(SUM(N12:N14)=0,"",SUM(N12:N14)/D14)</f>
        <v>4.666666666666667</v>
      </c>
      <c r="O15" s="3">
        <f>IF(SUM(O12:O14)=0,"",SUM(O12:O14)/D14)</f>
        <v>5.333333333333333</v>
      </c>
      <c r="P15" s="3">
        <f>IF(SUM(P12:P14)=0,"",SUM(P12:P14)/D14)</f>
        <v>6</v>
      </c>
      <c r="Q15" s="3">
        <f>IF(SUM(Q12:Q14)=0,"",SUM(Q12:Q14)/D14)</f>
        <v>5.333333333333333</v>
      </c>
      <c r="R15" s="3">
        <f>IF(SUM(R12:R14)=0,"",SUM(R12:R14)/D14)</f>
        <v>4.333333333333333</v>
      </c>
      <c r="S15" s="3">
        <f>IF(SUM(S12:S14)=0,"",SUM(S12:S14)/D14)</f>
        <v>6.666666666666667</v>
      </c>
      <c r="T15" s="3">
        <f>IF(SUM(T12:T14)=0,"",SUM(T12:T14)/D14)</f>
        <v>7.666666666666667</v>
      </c>
      <c r="U15" s="2">
        <f>IFERROR(AVERAGE(F15:T15),"")</f>
        <v>6.2222222222222232</v>
      </c>
      <c r="V15" s="30"/>
      <c r="W15" s="29"/>
    </row>
    <row r="16" spans="1:24" ht="15" customHeight="1" x14ac:dyDescent="0.25">
      <c r="A16" s="27"/>
      <c r="B16" s="30"/>
      <c r="C16" s="11"/>
      <c r="D16" s="11"/>
      <c r="E16" s="9" t="s">
        <v>42</v>
      </c>
      <c r="F16" s="12">
        <f>IF(SUM(F12:F14)=0,"",IF(COUNTIF(F12:F14,"&gt;=4")=0,0,COUNTIF(F12:F14,"&gt;=4")/D14*100))</f>
        <v>100</v>
      </c>
      <c r="G16" s="12">
        <f>IF(SUM(G12:G14)=0,"",IF(COUNTIF(G12:G14,"&gt;=4")=0,0,COUNTIF(G12:G14,"&gt;=4")/D14*100))</f>
        <v>100</v>
      </c>
      <c r="H16" s="12">
        <f>IF(SUM(H12:H14)=0,"",IF(COUNTIF(H12:H14,"&gt;=4")=0,0,COUNTIF(H12:H14,"&gt;=4")/D14*100))</f>
        <v>100</v>
      </c>
      <c r="I16" s="12">
        <f>IF(SUM(I12:I14)=0,"",IF(COUNTIF(I12:I14,"&gt;=4")=0,0,COUNTIF(I12:I14,"&gt;=4")/D14*100))</f>
        <v>100</v>
      </c>
      <c r="J16" s="12">
        <f>IF(SUM(J12:J14)=0,"",IF(COUNTIF(J12:J14,"&gt;=4")=0,0,COUNTIF(J12:J14,"&gt;=4")/D14*100))</f>
        <v>100</v>
      </c>
      <c r="K16" s="12">
        <f>IF(SUM(K12:K14)=0,"",IF(COUNTIF(K12:K14,"&gt;=4")=0,0,COUNTIF(K12:K14,"&gt;=4")/D14*100))</f>
        <v>66.666666666666657</v>
      </c>
      <c r="L16" s="12">
        <f>IF(SUM(L12:L14)=0,"",IF(COUNTIF(L12:L14,"&gt;=4")=0,0,COUNTIF(L12:L14,"&gt;=4")/D14*100))</f>
        <v>100</v>
      </c>
      <c r="M16" s="12">
        <f>IF(SUM(M12:M14)=0,"",IF(COUNTIF(M12:M14,"&gt;=4")=0,0,COUNTIF(M12:M14,"&gt;=4")/D14*100))</f>
        <v>66.666666666666657</v>
      </c>
      <c r="N16" s="12">
        <f>IF(SUM(N12:N14)=0,"",IF(COUNTIF(N12:N14,"&gt;=4")=0,0,COUNTIF(N12:N14,"&gt;=4")/D14*100))</f>
        <v>66.666666666666657</v>
      </c>
      <c r="O16" s="12">
        <f>IF(SUM(O12:O14)=0,"",IF(COUNTIF(O12:O14,"&gt;=4")=0,0,COUNTIF(O12:O14,"&gt;=4")/D14*100))</f>
        <v>100</v>
      </c>
      <c r="P16" s="12">
        <f>IF(SUM(P12:P14)=0,"",IF(COUNTIF(P12:P14,"&gt;=4")=0,0,COUNTIF(P12:P14,"&gt;=4")/D14*100))</f>
        <v>66.666666666666657</v>
      </c>
      <c r="Q16" s="12">
        <f>IF(SUM(Q12:Q14)=0,"",IF(COUNTIF(Q12:Q14,"&gt;=4")=0,0,COUNTIF(Q12:Q14,"&gt;=4")/D14*100))</f>
        <v>66.666666666666657</v>
      </c>
      <c r="R16" s="12">
        <f>IF(SUM(R12:R14)=0,"",IF(COUNTIF(R12:R14,"&gt;=4")=0,0,COUNTIF(R12:R14,"&gt;=4")/D14*100))</f>
        <v>66.666666666666657</v>
      </c>
      <c r="S16" s="12">
        <f>IF(SUM(S12:S14)=0,"",IF(COUNTIF(S12:S14,"&gt;=4")=0,0,COUNTIF(S12:S14,"&gt;=4")/D14*100))</f>
        <v>66.666666666666657</v>
      </c>
      <c r="T16" s="12">
        <f>IF(SUM(T12:T14)=0,"",IF(COUNTIF(T12:T14,"&gt;=4")=0,0,COUNTIF(T12:T14,"&gt;=4")/D14*100))</f>
        <v>100</v>
      </c>
      <c r="U16" s="13"/>
      <c r="V16" s="30"/>
      <c r="W16" s="29"/>
      <c r="X16" s="14"/>
    </row>
    <row r="17" spans="1:24" ht="15" customHeight="1" x14ac:dyDescent="0.25">
      <c r="A17" s="27"/>
      <c r="B17" s="30"/>
      <c r="C17" s="11"/>
      <c r="D17" s="11"/>
      <c r="E17" s="9" t="s">
        <v>43</v>
      </c>
      <c r="F17" s="12">
        <f>IF(SUM(F12:F14)=0,"",IF(COUNTIF(F12:F14,"&gt;=7")=0,0,COUNTIF(F12:F14,"&gt;=7")/D14*100))</f>
        <v>66.666666666666657</v>
      </c>
      <c r="G17" s="12">
        <f>IF(SUM(G12:G14)=0,"",IF(COUNTIF(G12:G14,"&gt;=7")=0,0,COUNTIF(G12:G14,"&gt;=7")/D14*100))</f>
        <v>66.666666666666657</v>
      </c>
      <c r="H17" s="12">
        <f>IF(SUM(H12:H14)=0,"",IF(COUNTIF(H12:H14,"&gt;=7")=0,0,COUNTIF(H12:H14,"&gt;=7")/D14*100))</f>
        <v>66.666666666666657</v>
      </c>
      <c r="I17" s="12">
        <f>IF(SUM(I12:I14)=0,"",IF(COUNTIF(I12:I14,"&gt;=7")=0,0,COUNTIF(I12:I14,"&gt;=7")/D14*100))</f>
        <v>66.666666666666657</v>
      </c>
      <c r="J17" s="12">
        <f>IF(SUM(J12:J14)=0,"",IF(COUNTIF(J12:J14,"&gt;=7")=0,0,COUNTIF(J12:J14,"&gt;=7")/D14*100))</f>
        <v>33.333333333333329</v>
      </c>
      <c r="K17" s="12">
        <f>IF(SUM(K12:K14)=0,"",IF(COUNTIF(K12:K14,"&gt;=7")=0,0,COUNTIF(K12:K14,"&gt;=7")/D14*100))</f>
        <v>66.666666666666657</v>
      </c>
      <c r="L17" s="12">
        <f>IF(SUM(L12:L14)=0,"",IF(COUNTIF(L12:L14,"&gt;=7")=0,0,COUNTIF(L12:L14,"&gt;=7")/D14*100))</f>
        <v>33.333333333333329</v>
      </c>
      <c r="M17" s="12">
        <f>IF(SUM(M12:M14)=0,"",IF(COUNTIF(M12:M14,"&gt;=7")=0,0,COUNTIF(M12:M14,"&gt;=7")/D14*100))</f>
        <v>66.666666666666657</v>
      </c>
      <c r="N17" s="12">
        <f>IF(SUM(N12:N14)=0,"",IF(COUNTIF(N12:N14,"&gt;=7")=0,0,COUNTIF(N12:N14,"&gt;=7")/D14*100))</f>
        <v>33.333333333333329</v>
      </c>
      <c r="O17" s="12">
        <f>IF(SUM(O12:O14)=0,"",IF(COUNTIF(O12:O14,"&gt;=7")=0,0,COUNTIF(O12:O14,"&gt;=7")/D14*100))</f>
        <v>33.333333333333329</v>
      </c>
      <c r="P17" s="12">
        <f>IF(SUM(P12:P14)=0,"",IF(COUNTIF(P12:P14,"&gt;=7")=0,0,COUNTIF(P12:P14,"&gt;=7")/D14*100))</f>
        <v>66.666666666666657</v>
      </c>
      <c r="Q17" s="12">
        <f>IF(SUM(Q12:Q14)=0,"",IF(COUNTIF(Q12:Q14,"&gt;=7")=0,0,COUNTIF(Q12:Q14,"&gt;=7")/D14*100))</f>
        <v>66.666666666666657</v>
      </c>
      <c r="R17" s="12">
        <f>IF(SUM(R12:R14)=0,"",IF(COUNTIF(R12:R14,"&gt;=7")=0,0,COUNTIF(R12:R14,"&gt;=7")/D14*100))</f>
        <v>33.333333333333329</v>
      </c>
      <c r="S17" s="12">
        <f>IF(SUM(S12:S14)=0,"",IF(COUNTIF(S12:S14,"&gt;=7")=0,0,COUNTIF(S12:S14,"&gt;=7")/D14*100))</f>
        <v>66.666666666666657</v>
      </c>
      <c r="T17" s="12">
        <f>IF(SUM(T12:T14)=0,"",IF(COUNTIF(T12:T14,"&gt;=7")=0,0,COUNTIF(T12:T14,"&gt;=7")/D14*100))</f>
        <v>66.666666666666657</v>
      </c>
      <c r="U17" s="19"/>
      <c r="V17" s="30"/>
      <c r="W17" s="29"/>
      <c r="X17" s="14"/>
    </row>
    <row r="18" spans="1:24" ht="15" customHeight="1" x14ac:dyDescent="0.25">
      <c r="A18" s="27"/>
      <c r="B18" s="30"/>
      <c r="C18" s="11"/>
      <c r="D18" s="11"/>
      <c r="E18" s="9" t="s">
        <v>44</v>
      </c>
      <c r="F18" s="3">
        <f>IFERROR(AVERAGE(F16:T16),"")</f>
        <v>84.444444444444443</v>
      </c>
      <c r="G18" s="2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9"/>
      <c r="V18" s="30"/>
      <c r="W18" s="29"/>
      <c r="X18" s="14"/>
    </row>
    <row r="19" spans="1:24" ht="15" customHeight="1" x14ac:dyDescent="0.25">
      <c r="A19" s="27"/>
      <c r="B19" s="30"/>
      <c r="C19" s="11"/>
      <c r="D19" s="11"/>
      <c r="E19" s="9" t="s">
        <v>45</v>
      </c>
      <c r="F19" s="3">
        <f>IFERROR(AVERAGE(F17:T17),"")</f>
        <v>55.555555555555543</v>
      </c>
      <c r="G19" s="2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9"/>
      <c r="V19" s="30"/>
      <c r="W19" s="29"/>
      <c r="X19" s="14"/>
    </row>
    <row r="20" spans="1:24" ht="15" customHeight="1" x14ac:dyDescent="0.25">
      <c r="A20" s="27"/>
      <c r="B20" s="30"/>
      <c r="C20" s="11"/>
      <c r="D20" s="11"/>
      <c r="E20" s="9" t="s">
        <v>46</v>
      </c>
      <c r="F20" s="20">
        <f>IF(COUNTIF(C12:C14,"=Б")=0,IF(COUNTIF(C12:C14,"=К")=0,"",0),COUNTIF(C12:C14,"=Б"))</f>
        <v>3</v>
      </c>
      <c r="G20" s="2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9"/>
      <c r="V20" s="30"/>
      <c r="W20" s="29"/>
      <c r="X20" s="14"/>
    </row>
    <row r="21" spans="1:24" ht="15" customHeight="1" x14ac:dyDescent="0.25">
      <c r="A21" s="27"/>
      <c r="B21" s="30"/>
      <c r="C21" s="11"/>
      <c r="D21" s="11"/>
      <c r="E21" s="9" t="s">
        <v>47</v>
      </c>
      <c r="F21" s="20">
        <f>IF(COUNTIF(C12:C14,"=К")=0,IF(COUNTIF(C12:C14,"=Б")=0,"",0),COUNTIF(C12:C14,"=К"))</f>
        <v>0</v>
      </c>
      <c r="G21" s="23"/>
      <c r="H21" s="11"/>
      <c r="I21" s="16" t="s">
        <v>48</v>
      </c>
      <c r="J21" s="11"/>
      <c r="K21" s="11"/>
      <c r="L21" s="11"/>
      <c r="M21" s="11"/>
      <c r="N21" s="11"/>
      <c r="O21" s="11"/>
      <c r="P21" s="24" t="s">
        <v>49</v>
      </c>
      <c r="Q21" s="11"/>
      <c r="R21" s="11"/>
      <c r="S21" s="11"/>
      <c r="T21" s="11"/>
      <c r="U21" s="11"/>
      <c r="V21" s="30"/>
      <c r="W21" s="29"/>
    </row>
    <row r="22" spans="1:24" ht="15" customHeight="1" x14ac:dyDescent="0.25">
      <c r="A22" s="27"/>
      <c r="B22" s="30"/>
      <c r="C22" s="11"/>
      <c r="D22" s="11"/>
      <c r="E22" s="9" t="s">
        <v>50</v>
      </c>
      <c r="F22" s="20">
        <v>1</v>
      </c>
      <c r="G22" s="2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30"/>
      <c r="W22" s="29"/>
    </row>
    <row r="23" spans="1:24" ht="15" customHeight="1" x14ac:dyDescent="0.25">
      <c r="A23" s="27"/>
      <c r="B23" s="30"/>
      <c r="C23" s="11"/>
      <c r="D23" s="11"/>
      <c r="E23" s="9" t="s">
        <v>51</v>
      </c>
      <c r="F23" s="20">
        <v>1</v>
      </c>
      <c r="G23" s="23"/>
      <c r="H23" s="11"/>
      <c r="I23" s="16" t="s">
        <v>52</v>
      </c>
      <c r="J23" s="11"/>
      <c r="K23" s="11"/>
      <c r="L23" s="11"/>
      <c r="M23" s="11"/>
      <c r="N23" s="11"/>
      <c r="O23" s="11"/>
      <c r="P23" s="16" t="s">
        <v>53</v>
      </c>
      <c r="Q23" s="11"/>
      <c r="R23" s="11"/>
      <c r="S23" s="11"/>
      <c r="T23" s="11"/>
      <c r="U23" s="11"/>
      <c r="V23" s="30"/>
      <c r="W23" s="29"/>
    </row>
    <row r="24" spans="1:24" ht="12" customHeight="1" thickBot="1" x14ac:dyDescent="0.3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9"/>
    </row>
    <row r="25" spans="1:24" ht="12" customHeight="1" x14ac:dyDescent="0.25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</sheetData>
  <sheetProtection selectLockedCells="1"/>
  <mergeCells count="19">
    <mergeCell ref="B1:V1"/>
    <mergeCell ref="A2:A24"/>
    <mergeCell ref="B2:V2"/>
    <mergeCell ref="W2:W24"/>
    <mergeCell ref="B4:B23"/>
    <mergeCell ref="C4:U4"/>
    <mergeCell ref="V4:V23"/>
    <mergeCell ref="C5:U5"/>
    <mergeCell ref="C6:U6"/>
    <mergeCell ref="C7:U7"/>
    <mergeCell ref="B24:V24"/>
    <mergeCell ref="C3:V3"/>
    <mergeCell ref="B25:V25"/>
    <mergeCell ref="C8:U8"/>
    <mergeCell ref="C9:U9"/>
    <mergeCell ref="C10:C11"/>
    <mergeCell ref="D10:D11"/>
    <mergeCell ref="E10:E11"/>
    <mergeCell ref="F10:U10"/>
  </mergeCells>
  <printOptions horizontalCentered="1"/>
  <pageMargins left="0" right="0" top="0" bottom="0" header="0" footer="0"/>
  <pageSetup paperSize="9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4"/>
  <sheetViews>
    <sheetView topLeftCell="A4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4" ht="12" customHeight="1" thickBo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4" ht="12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4" s="5" customFormat="1" ht="15" customHeight="1" x14ac:dyDescent="0.25">
      <c r="A3" s="27"/>
      <c r="B3" s="25"/>
      <c r="C3" s="30" t="s">
        <v>70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  <c r="X3" s="4"/>
    </row>
    <row r="4" spans="1:24" s="5" customFormat="1" ht="15" customHeight="1" x14ac:dyDescent="0.25">
      <c r="A4" s="27"/>
      <c r="B4" s="30"/>
      <c r="C4" s="30" t="s">
        <v>72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4" s="5" customFormat="1" ht="15" customHeight="1" x14ac:dyDescent="0.25">
      <c r="A5" s="27"/>
      <c r="B5" s="30"/>
      <c r="C5" s="30" t="s">
        <v>71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4" s="6" customFormat="1" ht="15" customHeight="1" x14ac:dyDescent="0.25">
      <c r="A6" s="27"/>
      <c r="B6" s="30"/>
      <c r="C6" s="31" t="s">
        <v>62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0"/>
      <c r="W6" s="29"/>
    </row>
    <row r="7" spans="1:24" s="5" customFormat="1" ht="15" customHeight="1" x14ac:dyDescent="0.25">
      <c r="A7" s="27"/>
      <c r="B7" s="30"/>
      <c r="C7" s="32" t="s">
        <v>56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0"/>
      <c r="W7" s="29"/>
    </row>
    <row r="8" spans="1:24" s="5" customFormat="1" ht="15" customHeight="1" x14ac:dyDescent="0.25">
      <c r="A8" s="27"/>
      <c r="B8" s="30"/>
      <c r="C8" s="32" t="s">
        <v>73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29"/>
    </row>
    <row r="9" spans="1:24" s="5" customFormat="1" ht="15" customHeight="1" x14ac:dyDescent="0.25">
      <c r="A9" s="27"/>
      <c r="B9" s="30"/>
      <c r="C9" s="30" t="s">
        <v>63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4" ht="15" customHeight="1" x14ac:dyDescent="0.25">
      <c r="A10" s="27"/>
      <c r="B10" s="30"/>
      <c r="C10" s="37" t="s">
        <v>0</v>
      </c>
      <c r="D10" s="39" t="s">
        <v>1</v>
      </c>
      <c r="E10" s="39" t="s">
        <v>2</v>
      </c>
      <c r="F10" s="33" t="s">
        <v>66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0"/>
      <c r="W10" s="29"/>
    </row>
    <row r="11" spans="1:24" ht="125.1" customHeight="1" x14ac:dyDescent="0.25">
      <c r="A11" s="27"/>
      <c r="B11" s="30"/>
      <c r="C11" s="38"/>
      <c r="D11" s="38"/>
      <c r="E11" s="38"/>
      <c r="F11" s="17" t="s">
        <v>65</v>
      </c>
      <c r="G11" s="17" t="s">
        <v>3</v>
      </c>
      <c r="H11" s="17" t="s">
        <v>4</v>
      </c>
      <c r="I11" s="17" t="s">
        <v>5</v>
      </c>
      <c r="J11" s="17" t="s">
        <v>6</v>
      </c>
      <c r="K11" s="17" t="s">
        <v>67</v>
      </c>
      <c r="L11" s="17" t="s">
        <v>7</v>
      </c>
      <c r="M11" s="17" t="s">
        <v>8</v>
      </c>
      <c r="N11" s="17" t="s">
        <v>9</v>
      </c>
      <c r="O11" s="17" t="s">
        <v>10</v>
      </c>
      <c r="P11" s="17" t="s">
        <v>68</v>
      </c>
      <c r="Q11" s="17" t="s">
        <v>69</v>
      </c>
      <c r="R11" s="17" t="s">
        <v>11</v>
      </c>
      <c r="S11" s="17" t="s">
        <v>12</v>
      </c>
      <c r="T11" s="17" t="s">
        <v>13</v>
      </c>
      <c r="U11" s="7" t="s">
        <v>14</v>
      </c>
      <c r="V11" s="30"/>
      <c r="W11" s="29"/>
    </row>
    <row r="12" spans="1:24" ht="15" customHeight="1" x14ac:dyDescent="0.25">
      <c r="A12" s="27"/>
      <c r="B12" s="30"/>
      <c r="C12" s="21" t="s">
        <v>15</v>
      </c>
      <c r="D12" s="21">
        <v>1</v>
      </c>
      <c r="E12" s="9" t="s">
        <v>60</v>
      </c>
      <c r="F12" s="10">
        <v>4</v>
      </c>
      <c r="G12" s="10">
        <v>4</v>
      </c>
      <c r="H12" s="10">
        <v>6</v>
      </c>
      <c r="I12" s="10">
        <v>6</v>
      </c>
      <c r="J12" s="10">
        <v>4</v>
      </c>
      <c r="K12" s="10" t="s">
        <v>64</v>
      </c>
      <c r="L12" s="10">
        <v>5</v>
      </c>
      <c r="M12" s="10">
        <v>4</v>
      </c>
      <c r="N12" s="10" t="s">
        <v>64</v>
      </c>
      <c r="O12" s="10">
        <v>4</v>
      </c>
      <c r="P12" s="10">
        <v>6</v>
      </c>
      <c r="Q12" s="10">
        <v>5</v>
      </c>
      <c r="R12" s="10" t="s">
        <v>64</v>
      </c>
      <c r="S12" s="10">
        <v>4</v>
      </c>
      <c r="T12" s="10">
        <v>5</v>
      </c>
      <c r="U12" s="2" t="str">
        <f>IF(COUNTIF(F12:T12,"=*")&gt;0,"-",IF(COUNTIF(F12:T12,"&lt;4")&gt;0,"-",(IFERROR(AVERAGE(F12:T12),""))))</f>
        <v>-</v>
      </c>
      <c r="V12" s="30"/>
      <c r="W12" s="29"/>
    </row>
    <row r="13" spans="1:24" ht="15" customHeight="1" x14ac:dyDescent="0.25">
      <c r="A13" s="27"/>
      <c r="B13" s="30"/>
      <c r="C13" s="21" t="s">
        <v>15</v>
      </c>
      <c r="D13" s="21">
        <v>2</v>
      </c>
      <c r="E13" s="9" t="s">
        <v>61</v>
      </c>
      <c r="F13" s="10">
        <v>8</v>
      </c>
      <c r="G13" s="10">
        <v>7</v>
      </c>
      <c r="H13" s="10">
        <v>7</v>
      </c>
      <c r="I13" s="10">
        <v>7</v>
      </c>
      <c r="J13" s="10">
        <v>4</v>
      </c>
      <c r="K13" s="10" t="s">
        <v>64</v>
      </c>
      <c r="L13" s="10">
        <v>4</v>
      </c>
      <c r="M13" s="10">
        <v>5</v>
      </c>
      <c r="N13" s="10">
        <v>6</v>
      </c>
      <c r="O13" s="10">
        <v>4</v>
      </c>
      <c r="P13" s="10">
        <v>9</v>
      </c>
      <c r="Q13" s="10">
        <v>7</v>
      </c>
      <c r="R13" s="10" t="s">
        <v>64</v>
      </c>
      <c r="S13" s="10">
        <v>8</v>
      </c>
      <c r="T13" s="10">
        <v>5</v>
      </c>
      <c r="U13" s="2" t="str">
        <f>IF(COUNTIF(F13:T13,"=*")&gt;0,"-",IF(COUNTIF(F13:T13,"&lt;4")&gt;0,"-",(IFERROR(AVERAGE(F13:T13),""))))</f>
        <v>-</v>
      </c>
      <c r="V13" s="30"/>
      <c r="W13" s="29"/>
    </row>
    <row r="14" spans="1:24" ht="15" customHeight="1" x14ac:dyDescent="0.25">
      <c r="A14" s="27"/>
      <c r="B14" s="30"/>
      <c r="C14" s="11"/>
      <c r="D14" s="11"/>
      <c r="E14" s="9" t="s">
        <v>41</v>
      </c>
      <c r="F14" s="3">
        <f>IF(SUM(F12:F13)=0,"",SUM(F12:F13)/D13)</f>
        <v>6</v>
      </c>
      <c r="G14" s="3">
        <f>IF(SUM(G12:G13)=0,"",SUM(G12:G13)/D13)</f>
        <v>5.5</v>
      </c>
      <c r="H14" s="3">
        <f>IF(SUM(H12:H13)=0,"",SUM(H12:H13)/D13)</f>
        <v>6.5</v>
      </c>
      <c r="I14" s="3">
        <f>IF(SUM(I12:I13)=0,"",SUM(I12:I13)/D13)</f>
        <v>6.5</v>
      </c>
      <c r="J14" s="3">
        <f>IF(SUM(J12:J13)=0,"",SUM(J12:J13)/D13)</f>
        <v>4</v>
      </c>
      <c r="K14" s="3" t="str">
        <f>IF(SUM(K12:K13)=0,"",SUM(K12:K13)/D13)</f>
        <v/>
      </c>
      <c r="L14" s="3">
        <f>IF(SUM(L12:L13)=0,"",SUM(L12:L13)/D13)</f>
        <v>4.5</v>
      </c>
      <c r="M14" s="3">
        <f>IF(SUM(M12:M13)=0,"",SUM(M12:M13)/D13)</f>
        <v>4.5</v>
      </c>
      <c r="N14" s="3">
        <f>IF(SUM(N12:N13)=0,"",SUM(N12:N13)/D13)</f>
        <v>3</v>
      </c>
      <c r="O14" s="3">
        <f>IF(SUM(O12:O13)=0,"",SUM(O12:O13)/D13)</f>
        <v>4</v>
      </c>
      <c r="P14" s="3">
        <f>IF(SUM(P12:P13)=0,"",SUM(P12:P13)/D13)</f>
        <v>7.5</v>
      </c>
      <c r="Q14" s="3">
        <f>IF(SUM(Q12:Q13)=0,"",SUM(Q12:Q13)/D13)</f>
        <v>6</v>
      </c>
      <c r="R14" s="3" t="str">
        <f>IF(SUM(R12:R13)=0,"",SUM(R12:R13)/D13)</f>
        <v/>
      </c>
      <c r="S14" s="3">
        <f>IF(SUM(S12:S13)=0,"",SUM(S12:S13)/D13)</f>
        <v>6</v>
      </c>
      <c r="T14" s="3">
        <f>IF(SUM(T12:T13)=0,"",SUM(T12:T13)/D13)</f>
        <v>5</v>
      </c>
      <c r="U14" s="2">
        <f>IFERROR(AVERAGE(F14:T14),"")</f>
        <v>5.3076923076923075</v>
      </c>
      <c r="V14" s="30"/>
      <c r="W14" s="29"/>
    </row>
    <row r="15" spans="1:24" ht="15" customHeight="1" x14ac:dyDescent="0.25">
      <c r="A15" s="27"/>
      <c r="B15" s="30"/>
      <c r="C15" s="11"/>
      <c r="D15" s="11"/>
      <c r="E15" s="9" t="s">
        <v>42</v>
      </c>
      <c r="F15" s="12">
        <f>IF(SUM(F12:F13)=0,"",IF(COUNTIF(F12:F13,"&gt;=4")=0,0,COUNTIF(F12:F13,"&gt;=4")/D13*100))</f>
        <v>100</v>
      </c>
      <c r="G15" s="12">
        <f>IF(SUM(G12:G13)=0,"",IF(COUNTIF(G12:G13,"&gt;=4")=0,0,COUNTIF(G12:G13,"&gt;=4")/D13*100))</f>
        <v>100</v>
      </c>
      <c r="H15" s="12">
        <f>IF(SUM(H12:H13)=0,"",IF(COUNTIF(H12:H13,"&gt;=4")=0,0,COUNTIF(H12:H13,"&gt;=4")/D13*100))</f>
        <v>100</v>
      </c>
      <c r="I15" s="12">
        <f>IF(SUM(I12:I13)=0,"",IF(COUNTIF(I12:I13,"&gt;=4")=0,0,COUNTIF(I12:I13,"&gt;=4")/D13*100))</f>
        <v>100</v>
      </c>
      <c r="J15" s="12">
        <f>IF(SUM(J12:J13)=0,"",IF(COUNTIF(J12:J13,"&gt;=4")=0,0,COUNTIF(J12:J13,"&gt;=4")/D13*100))</f>
        <v>100</v>
      </c>
      <c r="K15" s="12" t="str">
        <f>IF(SUM(K12:K13)=0,"",IF(COUNTIF(K12:K13,"&gt;=4")=0,0,COUNTIF(K12:K13,"&gt;=4")/D13*100))</f>
        <v/>
      </c>
      <c r="L15" s="12">
        <f>IF(SUM(L12:L13)=0,"",IF(COUNTIF(L12:L13,"&gt;=4")=0,0,COUNTIF(L12:L13,"&gt;=4")/D13*100))</f>
        <v>100</v>
      </c>
      <c r="M15" s="12">
        <f>IF(SUM(M12:M13)=0,"",IF(COUNTIF(M12:M13,"&gt;=4")=0,0,COUNTIF(M12:M13,"&gt;=4")/D13*100))</f>
        <v>100</v>
      </c>
      <c r="N15" s="12">
        <f>IF(SUM(N12:N13)=0,"",IF(COUNTIF(N12:N13,"&gt;=4")=0,0,COUNTIF(N12:N13,"&gt;=4")/D13*100))</f>
        <v>50</v>
      </c>
      <c r="O15" s="12">
        <f>IF(SUM(O12:O13)=0,"",IF(COUNTIF(O12:O13,"&gt;=4")=0,0,COUNTIF(O12:O13,"&gt;=4")/D13*100))</f>
        <v>100</v>
      </c>
      <c r="P15" s="12">
        <f>IF(SUM(P12:P13)=0,"",IF(COUNTIF(P12:P13,"&gt;=4")=0,0,COUNTIF(P12:P13,"&gt;=4")/D13*100))</f>
        <v>100</v>
      </c>
      <c r="Q15" s="12">
        <f>IF(SUM(Q12:Q13)=0,"",IF(COUNTIF(Q12:Q13,"&gt;=4")=0,0,COUNTIF(Q12:Q13,"&gt;=4")/D13*100))</f>
        <v>100</v>
      </c>
      <c r="R15" s="12" t="str">
        <f>IF(SUM(R12:R13)=0,"",IF(COUNTIF(R12:R13,"&gt;=4")=0,0,COUNTIF(R12:R13,"&gt;=4")/D13*100))</f>
        <v/>
      </c>
      <c r="S15" s="12">
        <f>IF(SUM(S12:S13)=0,"",IF(COUNTIF(S12:S13,"&gt;=4")=0,0,COUNTIF(S12:S13,"&gt;=4")/D13*100))</f>
        <v>100</v>
      </c>
      <c r="T15" s="12">
        <f>IF(SUM(T12:T13)=0,"",IF(COUNTIF(T12:T13,"&gt;=4")=0,0,COUNTIF(T12:T13,"&gt;=4")/D13*100))</f>
        <v>100</v>
      </c>
      <c r="U15" s="13"/>
      <c r="V15" s="30"/>
      <c r="W15" s="29"/>
      <c r="X15" s="14"/>
    </row>
    <row r="16" spans="1:24" ht="15" customHeight="1" x14ac:dyDescent="0.25">
      <c r="A16" s="27"/>
      <c r="B16" s="30"/>
      <c r="C16" s="11"/>
      <c r="D16" s="11"/>
      <c r="E16" s="9" t="s">
        <v>43</v>
      </c>
      <c r="F16" s="12">
        <f>IF(SUM(F12:F13)=0,"",IF(COUNTIF(F12:F13,"&gt;=7")=0,0,COUNTIF(F12:F13,"&gt;=7")/D13*100))</f>
        <v>50</v>
      </c>
      <c r="G16" s="12">
        <f>IF(SUM(G12:G13)=0,"",IF(COUNTIF(G12:G13,"&gt;=7")=0,0,COUNTIF(G12:G13,"&gt;=7")/D13*100))</f>
        <v>50</v>
      </c>
      <c r="H16" s="12">
        <f>IF(SUM(H12:H13)=0,"",IF(COUNTIF(H12:H13,"&gt;=7")=0,0,COUNTIF(H12:H13,"&gt;=7")/D13*100))</f>
        <v>50</v>
      </c>
      <c r="I16" s="12">
        <f>IF(SUM(I12:I13)=0,"",IF(COUNTIF(I12:I13,"&gt;=7")=0,0,COUNTIF(I12:I13,"&gt;=7")/D13*100))</f>
        <v>50</v>
      </c>
      <c r="J16" s="12">
        <f>IF(SUM(J12:J13)=0,"",IF(COUNTIF(J12:J13,"&gt;=7")=0,0,COUNTIF(J12:J13,"&gt;=7")/D13*100))</f>
        <v>0</v>
      </c>
      <c r="K16" s="12" t="str">
        <f>IF(SUM(K12:K13)=0,"",IF(COUNTIF(K12:K13,"&gt;=7")=0,0,COUNTIF(K12:K13,"&gt;=7")/D13*100))</f>
        <v/>
      </c>
      <c r="L16" s="12">
        <f>IF(SUM(L12:L13)=0,"",IF(COUNTIF(L12:L13,"&gt;=7")=0,0,COUNTIF(L12:L13,"&gt;=7")/D13*100))</f>
        <v>0</v>
      </c>
      <c r="M16" s="12">
        <f>IF(SUM(M12:M13)=0,"",IF(COUNTIF(M12:M13,"&gt;=7")=0,0,COUNTIF(M12:M13,"&gt;=7")/D13*100))</f>
        <v>0</v>
      </c>
      <c r="N16" s="12">
        <f>IF(SUM(N12:N13)=0,"",IF(COUNTIF(N12:N13,"&gt;=7")=0,0,COUNTIF(N12:N13,"&gt;=7")/D13*100))</f>
        <v>0</v>
      </c>
      <c r="O16" s="12">
        <f>IF(SUM(O12:O13)=0,"",IF(COUNTIF(O12:O13,"&gt;=7")=0,0,COUNTIF(O12:O13,"&gt;=7")/D13*100))</f>
        <v>0</v>
      </c>
      <c r="P16" s="12">
        <f>IF(SUM(P12:P13)=0,"",IF(COUNTIF(P12:P13,"&gt;=7")=0,0,COUNTIF(P12:P13,"&gt;=7")/D13*100))</f>
        <v>50</v>
      </c>
      <c r="Q16" s="12">
        <f>IF(SUM(Q12:Q13)=0,"",IF(COUNTIF(Q12:Q13,"&gt;=7")=0,0,COUNTIF(Q12:Q13,"&gt;=7")/D13*100))</f>
        <v>50</v>
      </c>
      <c r="R16" s="12" t="str">
        <f>IF(SUM(R12:R13)=0,"",IF(COUNTIF(R12:R13,"&gt;=7")=0,0,COUNTIF(R12:R13,"&gt;=7")/D13*100))</f>
        <v/>
      </c>
      <c r="S16" s="12">
        <f>IF(SUM(S12:S13)=0,"",IF(COUNTIF(S12:S13,"&gt;=7")=0,0,COUNTIF(S12:S13,"&gt;=7")/D13*100))</f>
        <v>50</v>
      </c>
      <c r="T16" s="12">
        <f>IF(SUM(T12:T13)=0,"",IF(COUNTIF(T12:T13,"&gt;=7")=0,0,COUNTIF(T12:T13,"&gt;=7")/D13*100))</f>
        <v>0</v>
      </c>
      <c r="U16" s="19"/>
      <c r="V16" s="30"/>
      <c r="W16" s="29"/>
      <c r="X16" s="14"/>
    </row>
    <row r="17" spans="1:24" ht="15" customHeight="1" x14ac:dyDescent="0.25">
      <c r="A17" s="27"/>
      <c r="B17" s="30"/>
      <c r="C17" s="11"/>
      <c r="D17" s="11"/>
      <c r="E17" s="9" t="s">
        <v>44</v>
      </c>
      <c r="F17" s="3">
        <f>IFERROR(AVERAGE(F15:T15),"")</f>
        <v>96.15384615384616</v>
      </c>
      <c r="G17" s="2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9"/>
      <c r="V17" s="30"/>
      <c r="W17" s="29"/>
      <c r="X17" s="14"/>
    </row>
    <row r="18" spans="1:24" ht="15" customHeight="1" x14ac:dyDescent="0.25">
      <c r="A18" s="27"/>
      <c r="B18" s="30"/>
      <c r="C18" s="11"/>
      <c r="D18" s="11"/>
      <c r="E18" s="9" t="s">
        <v>45</v>
      </c>
      <c r="F18" s="3">
        <f>IFERROR(AVERAGE(F16:T16),"")</f>
        <v>26.923076923076923</v>
      </c>
      <c r="G18" s="2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9"/>
      <c r="V18" s="30"/>
      <c r="W18" s="29"/>
      <c r="X18" s="14"/>
    </row>
    <row r="19" spans="1:24" ht="15" customHeight="1" x14ac:dyDescent="0.25">
      <c r="A19" s="27"/>
      <c r="B19" s="30"/>
      <c r="C19" s="11"/>
      <c r="D19" s="11"/>
      <c r="E19" s="9" t="s">
        <v>46</v>
      </c>
      <c r="F19" s="20">
        <f>IF(COUNTIF(C12:C13,"=Б")=0,IF(COUNTIF(C12:C13,"=К")=0,"",0),COUNTIF(C12:C13,"=Б"))</f>
        <v>0</v>
      </c>
      <c r="G19" s="2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9"/>
      <c r="V19" s="30"/>
      <c r="W19" s="29"/>
      <c r="X19" s="14"/>
    </row>
    <row r="20" spans="1:24" ht="15" customHeight="1" x14ac:dyDescent="0.25">
      <c r="A20" s="27"/>
      <c r="B20" s="30"/>
      <c r="C20" s="11"/>
      <c r="D20" s="11"/>
      <c r="E20" s="9" t="s">
        <v>47</v>
      </c>
      <c r="F20" s="20">
        <f>IF(COUNTIF(C12:C13,"=К")=0,IF(COUNTIF(C12:C13,"=Б")=0,"",0),COUNTIF(C12:C13,"=К"))</f>
        <v>2</v>
      </c>
      <c r="G20" s="23"/>
      <c r="H20" s="11"/>
      <c r="I20" s="16" t="s">
        <v>48</v>
      </c>
      <c r="J20" s="11"/>
      <c r="K20" s="11"/>
      <c r="L20" s="11"/>
      <c r="M20" s="11"/>
      <c r="N20" s="11"/>
      <c r="O20" s="11"/>
      <c r="P20" s="24" t="s">
        <v>49</v>
      </c>
      <c r="Q20" s="11"/>
      <c r="R20" s="11"/>
      <c r="S20" s="11"/>
      <c r="T20" s="11"/>
      <c r="U20" s="11"/>
      <c r="V20" s="30"/>
      <c r="W20" s="29"/>
    </row>
    <row r="21" spans="1:24" ht="15" customHeight="1" x14ac:dyDescent="0.25">
      <c r="A21" s="27"/>
      <c r="B21" s="30"/>
      <c r="C21" s="11"/>
      <c r="D21" s="11"/>
      <c r="E21" s="9" t="s">
        <v>50</v>
      </c>
      <c r="F21" s="20"/>
      <c r="G21" s="2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30"/>
      <c r="W21" s="29"/>
    </row>
    <row r="22" spans="1:24" ht="15" customHeight="1" x14ac:dyDescent="0.25">
      <c r="A22" s="27"/>
      <c r="B22" s="30"/>
      <c r="C22" s="11"/>
      <c r="D22" s="11"/>
      <c r="E22" s="9" t="s">
        <v>51</v>
      </c>
      <c r="F22" s="20"/>
      <c r="G22" s="23"/>
      <c r="H22" s="11"/>
      <c r="I22" s="16" t="s">
        <v>52</v>
      </c>
      <c r="J22" s="11"/>
      <c r="K22" s="11"/>
      <c r="L22" s="11"/>
      <c r="M22" s="11"/>
      <c r="N22" s="11"/>
      <c r="O22" s="11"/>
      <c r="P22" s="16" t="s">
        <v>53</v>
      </c>
      <c r="Q22" s="11"/>
      <c r="R22" s="11"/>
      <c r="S22" s="11"/>
      <c r="T22" s="11"/>
      <c r="U22" s="11"/>
      <c r="V22" s="30"/>
      <c r="W22" s="29"/>
    </row>
    <row r="23" spans="1:24" ht="12" customHeight="1" thickBot="1" x14ac:dyDescent="0.3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spans="1:24" ht="12" customHeight="1" x14ac:dyDescent="0.25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</sheetData>
  <sheetProtection selectLockedCells="1"/>
  <mergeCells count="19">
    <mergeCell ref="B1:V1"/>
    <mergeCell ref="A2:A23"/>
    <mergeCell ref="B2:V2"/>
    <mergeCell ref="W2:W23"/>
    <mergeCell ref="B4:B22"/>
    <mergeCell ref="C4:U4"/>
    <mergeCell ref="V4:V22"/>
    <mergeCell ref="C5:U5"/>
    <mergeCell ref="C6:U6"/>
    <mergeCell ref="C7:U7"/>
    <mergeCell ref="B23:V23"/>
    <mergeCell ref="C3:V3"/>
    <mergeCell ref="B24:V24"/>
    <mergeCell ref="C8:U8"/>
    <mergeCell ref="C9:U9"/>
    <mergeCell ref="C10:C11"/>
    <mergeCell ref="D10:D11"/>
    <mergeCell ref="E10:E11"/>
    <mergeCell ref="F10:U10"/>
  </mergeCells>
  <printOptions horizontalCentered="1"/>
  <pageMargins left="0" right="0" top="0" bottom="0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Зведена 075</vt:lpstr>
      <vt:lpstr>Зведена 161</vt:lpstr>
      <vt:lpstr>Зведена 241</vt:lpstr>
      <vt:lpstr>'Зведена 075'!Область_печати</vt:lpstr>
      <vt:lpstr>'Зведена 161'!Область_печати</vt:lpstr>
      <vt:lpstr>'Зведена 241'!Область_печати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RePack by Diakov</cp:lastModifiedBy>
  <cp:revision/>
  <cp:lastPrinted>2023-06-20T11:28:56Z</cp:lastPrinted>
  <dcterms:created xsi:type="dcterms:W3CDTF">2006-09-28T05:33:49Z</dcterms:created>
  <dcterms:modified xsi:type="dcterms:W3CDTF">2024-06-26T12:32:22Z</dcterms:modified>
  <cp:category/>
  <cp:contentStatus/>
</cp:coreProperties>
</file>