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610" windowHeight="11640" tabRatio="722"/>
  </bookViews>
  <sheets>
    <sheet name="Зведена 101" sheetId="39" r:id="rId1"/>
    <sheet name="Зведена 172" sheetId="42" r:id="rId2"/>
    <sheet name="Зведена 242" sheetId="37" r:id="rId3"/>
  </sheets>
  <definedNames>
    <definedName name="A1048577" localSheetId="0">#REF!</definedName>
    <definedName name="A1048577" localSheetId="1">#REF!</definedName>
    <definedName name="A1048577" localSheetId="2">#REF!</definedName>
    <definedName name="A1048577">#REF!</definedName>
    <definedName name="_xlnm.Print_Area" localSheetId="0">'Зведена 101'!$B$2:$V$31</definedName>
    <definedName name="_xlnm.Print_Area" localSheetId="1">'Зведена 172'!$B$2:$V$29</definedName>
    <definedName name="_xlnm.Print_Area" localSheetId="2">'Зведена 242'!$B$2:$V$33</definedName>
    <definedName name="Ф80" localSheetId="0">#REF!</definedName>
    <definedName name="Ф80" localSheetId="1">#REF!</definedName>
    <definedName name="Ф80" localSheetId="2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6" i="42" l="1"/>
  <c r="F25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U19" i="42"/>
  <c r="U18" i="42"/>
  <c r="U17" i="42"/>
  <c r="U16" i="42"/>
  <c r="U15" i="42"/>
  <c r="U14" i="42"/>
  <c r="U13" i="42"/>
  <c r="U12" i="42"/>
  <c r="U11" i="42"/>
  <c r="U20" i="42" l="1"/>
  <c r="F24" i="42"/>
  <c r="F23" i="42"/>
  <c r="U23" i="37" l="1"/>
  <c r="U19" i="39"/>
  <c r="U17" i="39"/>
  <c r="U16" i="39"/>
  <c r="S24" i="39"/>
  <c r="S23" i="39"/>
  <c r="Q24" i="39"/>
  <c r="O24" i="39"/>
  <c r="N23" i="39"/>
  <c r="K23" i="39"/>
  <c r="I24" i="39"/>
  <c r="T24" i="39"/>
  <c r="R24" i="39"/>
  <c r="Q23" i="39"/>
  <c r="O23" i="39"/>
  <c r="N24" i="39"/>
  <c r="I23" i="39"/>
  <c r="U21" i="39"/>
  <c r="M23" i="39"/>
  <c r="G23" i="39"/>
  <c r="F28" i="39"/>
  <c r="F27" i="39"/>
  <c r="P24" i="39"/>
  <c r="M24" i="39"/>
  <c r="J24" i="39"/>
  <c r="G24" i="39"/>
  <c r="F24" i="39"/>
  <c r="P23" i="39"/>
  <c r="J23" i="39"/>
  <c r="F23" i="39"/>
  <c r="P22" i="39"/>
  <c r="M22" i="39"/>
  <c r="K22" i="39"/>
  <c r="J22" i="39"/>
  <c r="G22" i="39"/>
  <c r="F22" i="39"/>
  <c r="U20" i="39"/>
  <c r="U18" i="39"/>
  <c r="U14" i="39"/>
  <c r="U12" i="39"/>
  <c r="U11" i="39"/>
  <c r="F30" i="37"/>
  <c r="F29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U22" i="37"/>
  <c r="U21" i="37"/>
  <c r="U20" i="37"/>
  <c r="U19" i="37"/>
  <c r="U18" i="37"/>
  <c r="U17" i="37"/>
  <c r="U16" i="37"/>
  <c r="U15" i="37"/>
  <c r="U14" i="37"/>
  <c r="U13" i="37"/>
  <c r="U12" i="37"/>
  <c r="U11" i="37"/>
  <c r="K24" i="39" l="1"/>
  <c r="S22" i="39"/>
  <c r="T22" i="39"/>
  <c r="T23" i="39"/>
  <c r="U15" i="39"/>
  <c r="U13" i="39"/>
  <c r="H24" i="39"/>
  <c r="H22" i="39"/>
  <c r="H23" i="39"/>
  <c r="O22" i="39"/>
  <c r="Q22" i="39"/>
  <c r="L24" i="39"/>
  <c r="L22" i="39"/>
  <c r="L23" i="39"/>
  <c r="R22" i="39"/>
  <c r="R23" i="39"/>
  <c r="N22" i="39"/>
  <c r="I22" i="39"/>
  <c r="U24" i="37"/>
  <c r="F28" i="37"/>
  <c r="F27" i="37"/>
  <c r="F26" i="39" l="1"/>
  <c r="F25" i="39"/>
  <c r="U22" i="39"/>
</calcChain>
</file>

<file path=xl/sharedStrings.xml><?xml version="1.0" encoding="utf-8"?>
<sst xmlns="http://schemas.openxmlformats.org/spreadsheetml/2006/main" count="197" uniqueCount="77">
  <si>
    <t>Б/К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</si>
  <si>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</si>
  <si>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</si>
  <si>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</si>
  <si>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</si>
  <si>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</si>
  <si>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</si>
  <si>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</si>
  <si>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</si>
  <si>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</si>
  <si>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</si>
  <si>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</si>
  <si>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</si>
  <si>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</si>
  <si>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</si>
  <si>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</si>
  <si>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</si>
  <si>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</si>
  <si>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Маргарита БРІТІКОВА</t>
  </si>
  <si>
    <t>№
п/п</t>
  </si>
  <si>
    <t>Прізвище, ім’я, по батькові</t>
  </si>
  <si>
    <t>Фізика
Калюта Н.М.</t>
  </si>
  <si>
    <t>Хімія
Леонова Д.І.</t>
  </si>
  <si>
    <t>Успішності студентів спеціальності 101 «Екологія»</t>
  </si>
  <si>
    <t>Група 22-5 курс І</t>
  </si>
  <si>
    <t>Успішності студентів спеціальності 172 «Телекомунікації та радіотехніка»</t>
  </si>
  <si>
    <t>Успішності студентів спеціальності 242 «Туризм»</t>
  </si>
  <si>
    <t>Б</t>
  </si>
  <si>
    <t>Гончар Софія Сергіївна  </t>
  </si>
  <si>
    <t>К</t>
  </si>
  <si>
    <t>Бендь Марія Денисівна </t>
  </si>
  <si>
    <t>Брошкова Анна Євгенівна </t>
  </si>
  <si>
    <t>Западнова Єлизавета Сергіївна </t>
  </si>
  <si>
    <t>Литвинов Андрій Олексійович </t>
  </si>
  <si>
    <t>Маленкова Таїсія Григорівна </t>
  </si>
  <si>
    <t>Саєнко Аліна Андріївна </t>
  </si>
  <si>
    <t>Сазонтова Віолета Євгенівна  </t>
  </si>
  <si>
    <t>Тер Олег Вячеславович </t>
  </si>
  <si>
    <t>Улонецька Любов Дмитрівна </t>
  </si>
  <si>
    <t>Шараєва Анна Сергіївна </t>
  </si>
  <si>
    <t>Щекотіліна Олександра Сергіївна  </t>
  </si>
  <si>
    <t>Щуренко Ілля Сергійович </t>
  </si>
  <si>
    <t>Яцюк Антон Дмитрович </t>
  </si>
  <si>
    <t>Блоцький Ярослав Олексійович </t>
  </si>
  <si>
    <t>Єфремова Інеса Михайлівна </t>
  </si>
  <si>
    <t>Кісельов Петро Юрійович </t>
  </si>
  <si>
    <t>Мельник Артем Олександрович </t>
  </si>
  <si>
    <t>Мисютін Тимофій Олександрович </t>
  </si>
  <si>
    <t>Нейченко Станіслав Андріанович </t>
  </si>
  <si>
    <t>Осташко Денис Володимирович </t>
  </si>
  <si>
    <t>Санько Дмитро Андрійович </t>
  </si>
  <si>
    <t>Шумков Микола Васильович </t>
  </si>
  <si>
    <t>Бовкун Марія Григорівна </t>
  </si>
  <si>
    <t>Герасименко Ксенія Володимирівна </t>
  </si>
  <si>
    <t>Голота Єлизавета Іванівна </t>
  </si>
  <si>
    <t>Гуцан Дарія Анатоліївна </t>
  </si>
  <si>
    <t>Козіхіна Сніжана Леонідівна </t>
  </si>
  <si>
    <t>Котова Анастасія Геннадіївна </t>
  </si>
  <si>
    <t>Ладан Феодосій Володимирович </t>
  </si>
  <si>
    <t>Лашкова Ірина Сергіївна </t>
  </si>
  <si>
    <t>Малюта Сергій Віталійович </t>
  </si>
  <si>
    <t>Юферова Мар’яна Вікторівна </t>
  </si>
  <si>
    <t>Тетяна ЗЕМЛЯНА</t>
  </si>
  <si>
    <t>ЗВЕДЕНА ВІДОМІСТЬ</t>
  </si>
  <si>
    <t>н/а</t>
  </si>
  <si>
    <t>ЗУ
Лазар В.І.</t>
  </si>
  <si>
    <t>Іноземна мова
Нічик Н.О.</t>
  </si>
  <si>
    <t>Інформатика
Охрімчук В.С.</t>
  </si>
  <si>
    <t>Математика
Земляна Т.М.</t>
  </si>
  <si>
    <t>Українська література
Пруднікова Я.П.</t>
  </si>
  <si>
    <t>Фізична культура
Галеніна І.С.</t>
  </si>
  <si>
    <t>Підсумкові оцінки дисциплін</t>
  </si>
  <si>
    <t>Астрономія
Наговська Т.С.</t>
  </si>
  <si>
    <t>Українська мова
Антропова Л.І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</si>
  <si>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</si>
  <si>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</si>
  <si>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Річна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</si>
</sst>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2" fillId="0" borderId="1"/>
  </cellStyleXfs>
  <cellXfs count="37">
    <xf numFmtId="0" fontId="0" fillId="0" borderId="0" xfId="0" applyFont="1" applyAlignment="1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0" borderId="2" xfId="5" applyFont="1" applyBorder="1" applyAlignment="1">
      <alignment horizontal="center" textRotation="90" wrapText="1"/>
    </xf>
    <xf numFmtId="164" fontId="3" fillId="3" borderId="6" xfId="5" applyNumberFormat="1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7" fillId="5" borderId="1" xfId="22" applyFill="1"/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3"/>
    <cellStyle name="Обычный 13" xfId="24"/>
    <cellStyle name="Обычный 14" xfId="25"/>
    <cellStyle name="Обычный 15" xfId="26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2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2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7" customFormat="1" ht="15" customHeight="1" x14ac:dyDescent="0.25">
      <c r="A3" s="33"/>
      <c r="B3" s="25"/>
      <c r="C3" s="25" t="s">
        <v>74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35"/>
    </row>
    <row r="4" spans="1:23" s="7" customFormat="1" ht="15" customHeight="1" x14ac:dyDescent="0.25">
      <c r="A4" s="33"/>
      <c r="B4" s="25"/>
      <c r="C4" s="25" t="s">
        <v>75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35"/>
    </row>
    <row r="5" spans="1:23" s="8" customFormat="1" ht="15" customHeight="1" x14ac:dyDescent="0.25">
      <c r="A5" s="33"/>
      <c r="B5" s="25"/>
      <c r="C5" s="36" t="s">
        <v>63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25"/>
      <c r="W5" s="35"/>
    </row>
    <row r="6" spans="1:23" s="7" customFormat="1" ht="15" customHeight="1" x14ac:dyDescent="0.25">
      <c r="A6" s="33"/>
      <c r="B6" s="25"/>
      <c r="C6" s="24" t="s">
        <v>23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5"/>
      <c r="W6" s="35"/>
    </row>
    <row r="7" spans="1:23" s="7" customFormat="1" ht="15" customHeight="1" x14ac:dyDescent="0.25">
      <c r="A7" s="33"/>
      <c r="B7" s="25"/>
      <c r="C7" s="24" t="s">
        <v>76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  <c r="W7" s="35"/>
    </row>
    <row r="8" spans="1:23" s="7" customFormat="1" ht="15" customHeight="1" x14ac:dyDescent="0.25">
      <c r="A8" s="33"/>
      <c r="B8" s="25"/>
      <c r="C8" s="25" t="s">
        <v>24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35"/>
    </row>
    <row r="9" spans="1:23" ht="15" customHeight="1" x14ac:dyDescent="0.25">
      <c r="A9" s="33"/>
      <c r="B9" s="25"/>
      <c r="C9" s="26" t="s">
        <v>0</v>
      </c>
      <c r="D9" s="28" t="s">
        <v>19</v>
      </c>
      <c r="E9" s="28" t="s">
        <v>20</v>
      </c>
      <c r="F9" s="29" t="s">
        <v>71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1"/>
      <c r="V9" s="25"/>
      <c r="W9" s="35"/>
    </row>
    <row r="10" spans="1:23" ht="125.1" customHeight="1" x14ac:dyDescent="0.25">
      <c r="A10" s="33"/>
      <c r="B10" s="25"/>
      <c r="C10" s="27"/>
      <c r="D10" s="27"/>
      <c r="E10" s="27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25"/>
      <c r="W10" s="35"/>
    </row>
    <row r="11" spans="1:23" ht="15" customHeight="1" x14ac:dyDescent="0.25">
      <c r="A11" s="33"/>
      <c r="B11" s="25"/>
      <c r="C11" s="10" t="s">
        <v>27</v>
      </c>
      <c r="D11" s="10">
        <v>1</v>
      </c>
      <c r="E11" s="11" t="s">
        <v>52</v>
      </c>
      <c r="F11" s="12">
        <v>11</v>
      </c>
      <c r="G11" s="12">
        <v>10</v>
      </c>
      <c r="H11" s="12">
        <v>10</v>
      </c>
      <c r="I11" s="12">
        <v>11</v>
      </c>
      <c r="J11" s="12">
        <v>11</v>
      </c>
      <c r="K11" s="12">
        <v>9</v>
      </c>
      <c r="L11" s="12">
        <v>10</v>
      </c>
      <c r="M11" s="12">
        <v>9</v>
      </c>
      <c r="N11" s="12">
        <v>9</v>
      </c>
      <c r="O11" s="12">
        <v>7</v>
      </c>
      <c r="P11" s="12">
        <v>11</v>
      </c>
      <c r="Q11" s="12">
        <v>10</v>
      </c>
      <c r="R11" s="12">
        <v>9</v>
      </c>
      <c r="S11" s="12">
        <v>11</v>
      </c>
      <c r="T11" s="12">
        <v>9</v>
      </c>
      <c r="U11" s="1">
        <f>IF(COUNTIF(F11:T11,"=*")&gt;0,"-",IF(COUNTIF(F11:T11,"&lt;4")&gt;0,"-",(IFERROR(AVERAGE(F11:T11),""))))</f>
        <v>9.8000000000000007</v>
      </c>
      <c r="V11" s="25"/>
      <c r="W11" s="35"/>
    </row>
    <row r="12" spans="1:23" ht="15" customHeight="1" x14ac:dyDescent="0.25">
      <c r="A12" s="33"/>
      <c r="B12" s="25"/>
      <c r="C12" s="10" t="s">
        <v>27</v>
      </c>
      <c r="D12" s="10">
        <v>2</v>
      </c>
      <c r="E12" s="11" t="s">
        <v>53</v>
      </c>
      <c r="F12" s="12">
        <v>10</v>
      </c>
      <c r="G12" s="12">
        <v>9</v>
      </c>
      <c r="H12" s="12">
        <v>10</v>
      </c>
      <c r="I12" s="12">
        <v>10</v>
      </c>
      <c r="J12" s="12">
        <v>11</v>
      </c>
      <c r="K12" s="12">
        <v>10</v>
      </c>
      <c r="L12" s="12">
        <v>12</v>
      </c>
      <c r="M12" s="12">
        <v>10</v>
      </c>
      <c r="N12" s="12">
        <v>10</v>
      </c>
      <c r="O12" s="12">
        <v>8</v>
      </c>
      <c r="P12" s="12">
        <v>11</v>
      </c>
      <c r="Q12" s="12">
        <v>9</v>
      </c>
      <c r="R12" s="12">
        <v>8</v>
      </c>
      <c r="S12" s="12">
        <v>11</v>
      </c>
      <c r="T12" s="12">
        <v>10</v>
      </c>
      <c r="U12" s="1">
        <f t="shared" ref="U12:U20" si="0">IF(COUNTIF(F12:T12,"=*")&gt;0,"-",IF(COUNTIF(F12:T12,"&lt;4")&gt;0,"-",(IFERROR(AVERAGE(F12:T12),""))))</f>
        <v>9.9333333333333336</v>
      </c>
      <c r="V12" s="25"/>
      <c r="W12" s="35"/>
    </row>
    <row r="13" spans="1:23" ht="15" customHeight="1" x14ac:dyDescent="0.25">
      <c r="A13" s="33"/>
      <c r="B13" s="25"/>
      <c r="C13" s="10" t="s">
        <v>27</v>
      </c>
      <c r="D13" s="10">
        <v>3</v>
      </c>
      <c r="E13" s="11" t="s">
        <v>54</v>
      </c>
      <c r="F13" s="12">
        <v>8</v>
      </c>
      <c r="G13" s="12">
        <v>7</v>
      </c>
      <c r="H13" s="12">
        <v>9</v>
      </c>
      <c r="I13" s="12">
        <v>8</v>
      </c>
      <c r="J13" s="12">
        <v>8</v>
      </c>
      <c r="K13" s="12" t="s">
        <v>64</v>
      </c>
      <c r="L13" s="12">
        <v>8</v>
      </c>
      <c r="M13" s="12">
        <v>4</v>
      </c>
      <c r="N13" s="12">
        <v>6</v>
      </c>
      <c r="O13" s="12">
        <v>6</v>
      </c>
      <c r="P13" s="12">
        <v>7</v>
      </c>
      <c r="Q13" s="12">
        <v>6</v>
      </c>
      <c r="R13" s="12">
        <v>5</v>
      </c>
      <c r="S13" s="12">
        <v>7</v>
      </c>
      <c r="T13" s="12">
        <v>6</v>
      </c>
      <c r="U13" s="1" t="str">
        <f t="shared" si="0"/>
        <v>-</v>
      </c>
      <c r="V13" s="25"/>
      <c r="W13" s="35"/>
    </row>
    <row r="14" spans="1:23" ht="15" customHeight="1" x14ac:dyDescent="0.25">
      <c r="A14" s="33"/>
      <c r="B14" s="25"/>
      <c r="C14" s="10" t="s">
        <v>29</v>
      </c>
      <c r="D14" s="10">
        <v>4</v>
      </c>
      <c r="E14" s="11" t="s">
        <v>28</v>
      </c>
      <c r="F14" s="12">
        <v>10</v>
      </c>
      <c r="G14" s="12">
        <v>9</v>
      </c>
      <c r="H14" s="12">
        <v>10</v>
      </c>
      <c r="I14" s="12">
        <v>10</v>
      </c>
      <c r="J14" s="12">
        <v>9</v>
      </c>
      <c r="K14" s="12">
        <v>8</v>
      </c>
      <c r="L14" s="12">
        <v>9</v>
      </c>
      <c r="M14" s="12">
        <v>9</v>
      </c>
      <c r="N14" s="12">
        <v>8</v>
      </c>
      <c r="O14" s="12">
        <v>8</v>
      </c>
      <c r="P14" s="12">
        <v>9</v>
      </c>
      <c r="Q14" s="12">
        <v>9</v>
      </c>
      <c r="R14" s="12">
        <v>8</v>
      </c>
      <c r="S14" s="12">
        <v>10</v>
      </c>
      <c r="T14" s="12">
        <v>9</v>
      </c>
      <c r="U14" s="1">
        <f t="shared" si="0"/>
        <v>9</v>
      </c>
      <c r="V14" s="25"/>
      <c r="W14" s="35"/>
    </row>
    <row r="15" spans="1:23" ht="15" customHeight="1" x14ac:dyDescent="0.25">
      <c r="A15" s="33"/>
      <c r="B15" s="25"/>
      <c r="C15" s="10" t="s">
        <v>27</v>
      </c>
      <c r="D15" s="10">
        <v>5</v>
      </c>
      <c r="E15" s="11" t="s">
        <v>55</v>
      </c>
      <c r="F15" s="12">
        <v>10</v>
      </c>
      <c r="G15" s="12">
        <v>10</v>
      </c>
      <c r="H15" s="12">
        <v>10</v>
      </c>
      <c r="I15" s="12">
        <v>10</v>
      </c>
      <c r="J15" s="12">
        <v>10</v>
      </c>
      <c r="K15" s="12">
        <v>9</v>
      </c>
      <c r="L15" s="12">
        <v>7</v>
      </c>
      <c r="M15" s="12">
        <v>6</v>
      </c>
      <c r="N15" s="12">
        <v>10</v>
      </c>
      <c r="O15" s="12">
        <v>6</v>
      </c>
      <c r="P15" s="12">
        <v>10</v>
      </c>
      <c r="Q15" s="12">
        <v>8</v>
      </c>
      <c r="R15" s="12">
        <v>6</v>
      </c>
      <c r="S15" s="12">
        <v>10</v>
      </c>
      <c r="T15" s="12">
        <v>8</v>
      </c>
      <c r="U15" s="1">
        <f t="shared" si="0"/>
        <v>8.6666666666666661</v>
      </c>
      <c r="V15" s="25"/>
      <c r="W15" s="35"/>
    </row>
    <row r="16" spans="1:23" ht="15" customHeight="1" x14ac:dyDescent="0.25">
      <c r="A16" s="33"/>
      <c r="B16" s="25"/>
      <c r="C16" s="10" t="s">
        <v>27</v>
      </c>
      <c r="D16" s="10">
        <v>6</v>
      </c>
      <c r="E16" s="11" t="s">
        <v>56</v>
      </c>
      <c r="F16" s="12">
        <v>11</v>
      </c>
      <c r="G16" s="12">
        <v>11</v>
      </c>
      <c r="H16" s="12">
        <v>10</v>
      </c>
      <c r="I16" s="12">
        <v>11</v>
      </c>
      <c r="J16" s="12">
        <v>11</v>
      </c>
      <c r="K16" s="12">
        <v>11</v>
      </c>
      <c r="L16" s="12">
        <v>9</v>
      </c>
      <c r="M16" s="12">
        <v>10</v>
      </c>
      <c r="N16" s="12">
        <v>9</v>
      </c>
      <c r="O16" s="12">
        <v>7</v>
      </c>
      <c r="P16" s="12">
        <v>11</v>
      </c>
      <c r="Q16" s="12">
        <v>10</v>
      </c>
      <c r="R16" s="12">
        <v>9</v>
      </c>
      <c r="S16" s="12">
        <v>10</v>
      </c>
      <c r="T16" s="12">
        <v>10</v>
      </c>
      <c r="U16" s="1">
        <f t="shared" si="0"/>
        <v>10</v>
      </c>
      <c r="V16" s="25"/>
      <c r="W16" s="35"/>
    </row>
    <row r="17" spans="1:24" ht="15" customHeight="1" x14ac:dyDescent="0.25">
      <c r="A17" s="33"/>
      <c r="B17" s="25"/>
      <c r="C17" s="10" t="s">
        <v>27</v>
      </c>
      <c r="D17" s="10">
        <v>7</v>
      </c>
      <c r="E17" s="11" t="s">
        <v>57</v>
      </c>
      <c r="F17" s="12">
        <v>9</v>
      </c>
      <c r="G17" s="12">
        <v>8</v>
      </c>
      <c r="H17" s="12">
        <v>10</v>
      </c>
      <c r="I17" s="12">
        <v>10</v>
      </c>
      <c r="J17" s="12">
        <v>8</v>
      </c>
      <c r="K17" s="12">
        <v>8</v>
      </c>
      <c r="L17" s="12">
        <v>7</v>
      </c>
      <c r="M17" s="12">
        <v>9</v>
      </c>
      <c r="N17" s="12">
        <v>7</v>
      </c>
      <c r="O17" s="12">
        <v>9</v>
      </c>
      <c r="P17" s="12">
        <v>7</v>
      </c>
      <c r="Q17" s="12">
        <v>9</v>
      </c>
      <c r="R17" s="12">
        <v>7</v>
      </c>
      <c r="S17" s="12">
        <v>7</v>
      </c>
      <c r="T17" s="12">
        <v>7</v>
      </c>
      <c r="U17" s="1">
        <f t="shared" si="0"/>
        <v>8.1333333333333329</v>
      </c>
      <c r="V17" s="25"/>
      <c r="W17" s="35"/>
    </row>
    <row r="18" spans="1:24" ht="15" customHeight="1" x14ac:dyDescent="0.25">
      <c r="A18" s="33"/>
      <c r="B18" s="25"/>
      <c r="C18" s="10" t="s">
        <v>27</v>
      </c>
      <c r="D18" s="10">
        <v>8</v>
      </c>
      <c r="E18" s="11" t="s">
        <v>58</v>
      </c>
      <c r="F18" s="12">
        <v>4</v>
      </c>
      <c r="G18" s="12">
        <v>7</v>
      </c>
      <c r="H18" s="12">
        <v>10</v>
      </c>
      <c r="I18" s="12">
        <v>8</v>
      </c>
      <c r="J18" s="12">
        <v>6</v>
      </c>
      <c r="K18" s="12">
        <v>5</v>
      </c>
      <c r="L18" s="12">
        <v>4</v>
      </c>
      <c r="M18" s="12">
        <v>4</v>
      </c>
      <c r="N18" s="12">
        <v>5</v>
      </c>
      <c r="O18" s="12">
        <v>4</v>
      </c>
      <c r="P18" s="12">
        <v>6</v>
      </c>
      <c r="Q18" s="12">
        <v>8</v>
      </c>
      <c r="R18" s="12">
        <v>4</v>
      </c>
      <c r="S18" s="12">
        <v>4</v>
      </c>
      <c r="T18" s="12">
        <v>8</v>
      </c>
      <c r="U18" s="1">
        <f t="shared" si="0"/>
        <v>5.8</v>
      </c>
      <c r="V18" s="25"/>
      <c r="W18" s="35"/>
    </row>
    <row r="19" spans="1:24" ht="15" customHeight="1" x14ac:dyDescent="0.25">
      <c r="A19" s="33"/>
      <c r="B19" s="25"/>
      <c r="C19" s="10" t="s">
        <v>27</v>
      </c>
      <c r="D19" s="10">
        <v>9</v>
      </c>
      <c r="E19" s="11" t="s">
        <v>59</v>
      </c>
      <c r="F19" s="12">
        <v>10</v>
      </c>
      <c r="G19" s="12">
        <v>10</v>
      </c>
      <c r="H19" s="12">
        <v>10</v>
      </c>
      <c r="I19" s="12">
        <v>10</v>
      </c>
      <c r="J19" s="12">
        <v>10</v>
      </c>
      <c r="K19" s="12">
        <v>11</v>
      </c>
      <c r="L19" s="12">
        <v>11</v>
      </c>
      <c r="M19" s="12">
        <v>9</v>
      </c>
      <c r="N19" s="12">
        <v>9</v>
      </c>
      <c r="O19" s="12">
        <v>10</v>
      </c>
      <c r="P19" s="12">
        <v>11</v>
      </c>
      <c r="Q19" s="12">
        <v>8</v>
      </c>
      <c r="R19" s="12">
        <v>8</v>
      </c>
      <c r="S19" s="12">
        <v>10</v>
      </c>
      <c r="T19" s="12">
        <v>10</v>
      </c>
      <c r="U19" s="1">
        <f t="shared" si="0"/>
        <v>9.8000000000000007</v>
      </c>
      <c r="V19" s="25"/>
      <c r="W19" s="35"/>
    </row>
    <row r="20" spans="1:24" ht="15" customHeight="1" x14ac:dyDescent="0.25">
      <c r="A20" s="33"/>
      <c r="B20" s="25"/>
      <c r="C20" s="10" t="s">
        <v>27</v>
      </c>
      <c r="D20" s="10">
        <v>10</v>
      </c>
      <c r="E20" s="11" t="s">
        <v>60</v>
      </c>
      <c r="F20" s="12">
        <v>7</v>
      </c>
      <c r="G20" s="12">
        <v>5</v>
      </c>
      <c r="H20" s="12">
        <v>9</v>
      </c>
      <c r="I20" s="12">
        <v>8</v>
      </c>
      <c r="J20" s="12">
        <v>4</v>
      </c>
      <c r="K20" s="12" t="s">
        <v>64</v>
      </c>
      <c r="L20" s="12">
        <v>4</v>
      </c>
      <c r="M20" s="12">
        <v>5</v>
      </c>
      <c r="N20" s="12">
        <v>6</v>
      </c>
      <c r="O20" s="12">
        <v>5</v>
      </c>
      <c r="P20" s="12">
        <v>4</v>
      </c>
      <c r="Q20" s="12">
        <v>6</v>
      </c>
      <c r="R20" s="12" t="s">
        <v>64</v>
      </c>
      <c r="S20" s="12">
        <v>5</v>
      </c>
      <c r="T20" s="12">
        <v>6</v>
      </c>
      <c r="U20" s="1" t="str">
        <f t="shared" si="0"/>
        <v>-</v>
      </c>
      <c r="V20" s="25"/>
      <c r="W20" s="35"/>
    </row>
    <row r="21" spans="1:24" ht="15" customHeight="1" x14ac:dyDescent="0.25">
      <c r="A21" s="33"/>
      <c r="B21" s="25"/>
      <c r="C21" s="10" t="s">
        <v>27</v>
      </c>
      <c r="D21" s="10">
        <v>11</v>
      </c>
      <c r="E21" s="11" t="s">
        <v>61</v>
      </c>
      <c r="F21" s="12" t="s">
        <v>64</v>
      </c>
      <c r="G21" s="12">
        <v>4</v>
      </c>
      <c r="H21" s="12">
        <v>8</v>
      </c>
      <c r="I21" s="12" t="s">
        <v>64</v>
      </c>
      <c r="J21" s="12" t="s">
        <v>64</v>
      </c>
      <c r="K21" s="12" t="s">
        <v>64</v>
      </c>
      <c r="L21" s="12" t="s">
        <v>64</v>
      </c>
      <c r="M21" s="12" t="s">
        <v>64</v>
      </c>
      <c r="N21" s="12" t="s">
        <v>64</v>
      </c>
      <c r="O21" s="12" t="s">
        <v>64</v>
      </c>
      <c r="P21" s="12" t="s">
        <v>64</v>
      </c>
      <c r="Q21" s="12">
        <v>4</v>
      </c>
      <c r="R21" s="12" t="s">
        <v>64</v>
      </c>
      <c r="S21" s="12">
        <v>4</v>
      </c>
      <c r="T21" s="12">
        <v>4</v>
      </c>
      <c r="U21" s="1" t="str">
        <f t="shared" ref="U21" si="1">IF(COUNTIF(F21:T21,"=*")&gt;0,"-",IF(COUNTIF(F21:T21,"&lt;4")&gt;0,"-",(IFERROR(AVERAGE(F21:T21),""))))</f>
        <v>-</v>
      </c>
      <c r="V21" s="25"/>
      <c r="W21" s="35"/>
    </row>
    <row r="22" spans="1:24" ht="15" customHeight="1" x14ac:dyDescent="0.25">
      <c r="A22" s="33"/>
      <c r="B22" s="25"/>
      <c r="C22" s="13"/>
      <c r="D22" s="13"/>
      <c r="E22" s="11" t="s">
        <v>7</v>
      </c>
      <c r="F22" s="2">
        <f>IF(SUM(F11:F21)=0,"",SUM(F11:F21)/D21)</f>
        <v>8.1818181818181817</v>
      </c>
      <c r="G22" s="2">
        <f>IF(SUM(G11:G21)=0,"",SUM(G11:G21)/D21)</f>
        <v>8.1818181818181817</v>
      </c>
      <c r="H22" s="2">
        <f>IF(SUM(H11:H21)=0,"",SUM(H11:H21)/D21)</f>
        <v>9.6363636363636367</v>
      </c>
      <c r="I22" s="2">
        <f>IF(SUM(I11:I21)=0,"",SUM(I11:I21)/D21)</f>
        <v>8.7272727272727266</v>
      </c>
      <c r="J22" s="2">
        <f>IF(SUM(J11:J21)=0,"",SUM(J11:J21)/D21)</f>
        <v>8</v>
      </c>
      <c r="K22" s="2">
        <f>IF(SUM(K11:K21)=0,"",SUM(K11:K21)/D21)</f>
        <v>6.4545454545454541</v>
      </c>
      <c r="L22" s="2">
        <f>IF(SUM(L11:L21)=0,"",SUM(L11:L21)/D21)</f>
        <v>7.3636363636363633</v>
      </c>
      <c r="M22" s="2">
        <f>IF(SUM(M11:M21)=0,"",SUM(M11:M21)/D21)</f>
        <v>6.8181818181818183</v>
      </c>
      <c r="N22" s="2">
        <f>IF(SUM(N11:N21)=0,"",SUM(N11:N21)/D21)</f>
        <v>7.1818181818181817</v>
      </c>
      <c r="O22" s="2">
        <f>IF(SUM(O11:O21)=0,"",SUM(O11:O21)/D21)</f>
        <v>6.3636363636363633</v>
      </c>
      <c r="P22" s="2">
        <f>IF(SUM(P11:P21)=0,"",SUM(P11:P21)/D21)</f>
        <v>7.9090909090909092</v>
      </c>
      <c r="Q22" s="2">
        <f>IF(SUM(Q11:Q21)=0,"",SUM(Q11:Q21)/D21)</f>
        <v>7.9090909090909092</v>
      </c>
      <c r="R22" s="2">
        <f>IF(SUM(R11:R21)=0,"",SUM(R11:R21)/D21)</f>
        <v>5.8181818181818183</v>
      </c>
      <c r="S22" s="2">
        <f>IF(SUM(S11:S21)=0,"",SUM(S11:S21)/D21)</f>
        <v>8.0909090909090917</v>
      </c>
      <c r="T22" s="2">
        <f>IF(SUM(T11:T21)=0,"",SUM(T11:T21)/D21)</f>
        <v>7.9090909090909092</v>
      </c>
      <c r="U22" s="1">
        <f>IFERROR(AVERAGE(F22:T22),"")</f>
        <v>7.6363636363636358</v>
      </c>
      <c r="V22" s="25"/>
      <c r="W22" s="35"/>
    </row>
    <row r="23" spans="1:24" ht="15" customHeight="1" x14ac:dyDescent="0.25">
      <c r="A23" s="33"/>
      <c r="B23" s="25"/>
      <c r="C23" s="13"/>
      <c r="D23" s="13"/>
      <c r="E23" s="11" t="s">
        <v>8</v>
      </c>
      <c r="F23" s="4">
        <f>IF(SUM(F11:F21)=0,"",IF(COUNTIF(F11:F21,"&gt;=4")=0,0,COUNTIF(F11:F21,"&gt;=4")/D21*100))</f>
        <v>90.909090909090907</v>
      </c>
      <c r="G23" s="4">
        <f>IF(SUM(G11:G21)=0,"",IF(COUNTIF(G11:G21,"&gt;=4")=0,0,COUNTIF(G11:G21,"&gt;=4")/D21*100))</f>
        <v>100</v>
      </c>
      <c r="H23" s="4">
        <f>IF(SUM(H11:H21)=0,"",IF(COUNTIF(H11:H21,"&gt;=4")=0,0,COUNTIF(H11:H21,"&gt;=4")/D21*100))</f>
        <v>100</v>
      </c>
      <c r="I23" s="4">
        <f>IF(SUM(I11:I21)=0,"",IF(COUNTIF(I11:I21,"&gt;=4")=0,0,COUNTIF(I11:I21,"&gt;=4")/D21*100))</f>
        <v>90.909090909090907</v>
      </c>
      <c r="J23" s="4">
        <f>IF(SUM(J11:J21)=0,"",IF(COUNTIF(J11:J21,"&gt;=4")=0,0,COUNTIF(J11:J21,"&gt;=4")/D21*100))</f>
        <v>90.909090909090907</v>
      </c>
      <c r="K23" s="4">
        <f>IF(SUM(K11:K21)=0,"",IF(COUNTIF(K11:K21,"&gt;=4")=0,0,COUNTIF(K11:K21,"&gt;=4")/D21*100))</f>
        <v>72.727272727272734</v>
      </c>
      <c r="L23" s="4">
        <f>IF(SUM(L11:L21)=0,"",IF(COUNTIF(L11:L21,"&gt;=4")=0,0,COUNTIF(L11:L21,"&gt;=4")/D21*100))</f>
        <v>90.909090909090907</v>
      </c>
      <c r="M23" s="4">
        <f>IF(SUM(M11:M21)=0,"",IF(COUNTIF(M11:M21,"&gt;=4")=0,0,COUNTIF(M11:M21,"&gt;=4")/D21*100))</f>
        <v>90.909090909090907</v>
      </c>
      <c r="N23" s="4">
        <f>IF(SUM(N11:N21)=0,"",IF(COUNTIF(N11:N21,"&gt;=4")=0,0,COUNTIF(N11:N21,"&gt;=4")/D21*100))</f>
        <v>90.909090909090907</v>
      </c>
      <c r="O23" s="4">
        <f>IF(SUM(O11:O21)=0,"",IF(COUNTIF(O11:O21,"&gt;=4")=0,0,COUNTIF(O11:O21,"&gt;=4")/D21*100))</f>
        <v>90.909090909090907</v>
      </c>
      <c r="P23" s="4">
        <f>IF(SUM(P11:P21)=0,"",IF(COUNTIF(P11:P21,"&gt;=4")=0,0,COUNTIF(P11:P21,"&gt;=4")/D21*100))</f>
        <v>90.909090909090907</v>
      </c>
      <c r="Q23" s="4">
        <f>IF(SUM(Q11:Q21)=0,"",IF(COUNTIF(Q11:Q21,"&gt;=4")=0,0,COUNTIF(Q11:Q21,"&gt;=4")/D21*100))</f>
        <v>100</v>
      </c>
      <c r="R23" s="4">
        <f>IF(SUM(R11:R21)=0,"",IF(COUNTIF(R11:R21,"&gt;=4")=0,0,COUNTIF(R11:R21,"&gt;=4")/D21*100))</f>
        <v>81.818181818181827</v>
      </c>
      <c r="S23" s="4">
        <f>IF(SUM(S11:S21)=0,"",IF(COUNTIF(S11:S21,"&gt;=4")=0,0,COUNTIF(S11:S21,"&gt;=4")/D21*100))</f>
        <v>100</v>
      </c>
      <c r="T23" s="4">
        <f>IF(SUM(T11:T21)=0,"",IF(COUNTIF(T11:T21,"&gt;=4")=0,0,COUNTIF(T11:T21,"&gt;=4")/D21*100))</f>
        <v>100</v>
      </c>
      <c r="U23" s="14"/>
      <c r="V23" s="25"/>
      <c r="W23" s="35"/>
      <c r="X23" s="15"/>
    </row>
    <row r="24" spans="1:24" ht="15" customHeight="1" x14ac:dyDescent="0.25">
      <c r="A24" s="33"/>
      <c r="B24" s="25"/>
      <c r="C24" s="13"/>
      <c r="D24" s="13"/>
      <c r="E24" s="11" t="s">
        <v>9</v>
      </c>
      <c r="F24" s="4">
        <f>IF(SUM(F11:F21)=0,"",IF(COUNTIF(F11:F21,"&gt;=7")=0,0,COUNTIF(F11:F21,"&gt;=7")/D21*100))</f>
        <v>81.818181818181827</v>
      </c>
      <c r="G24" s="4">
        <f>IF(SUM(G11:G21)=0,"",IF(COUNTIF(G11:G21,"&gt;=7")=0,0,COUNTIF(G11:G21,"&gt;=7")/D21*100))</f>
        <v>81.818181818181827</v>
      </c>
      <c r="H24" s="4">
        <f>IF(SUM(H11:H21)=0,"",IF(COUNTIF(H11:H21,"&gt;=7")=0,0,COUNTIF(H11:H21,"&gt;=7")/D21*100))</f>
        <v>100</v>
      </c>
      <c r="I24" s="4">
        <f>IF(SUM(I11:I21)=0,"",IF(COUNTIF(I11:I21,"&gt;=7")=0,0,COUNTIF(I11:I21,"&gt;=7")/D21*100))</f>
        <v>90.909090909090907</v>
      </c>
      <c r="J24" s="4">
        <f>IF(SUM(J11:J21)=0,"",IF(COUNTIF(J11:J21,"&gt;=7")=0,0,COUNTIF(J11:J21,"&gt;=7")/D21*100))</f>
        <v>72.727272727272734</v>
      </c>
      <c r="K24" s="4">
        <f>IF(SUM(K11:K21)=0,"",IF(COUNTIF(K11:K21,"&gt;=7")=0,0,COUNTIF(K11:K21,"&gt;=7")/D21*100))</f>
        <v>63.636363636363633</v>
      </c>
      <c r="L24" s="4">
        <f>IF(SUM(L11:L21)=0,"",IF(COUNTIF(L11:L21,"&gt;=7")=0,0,COUNTIF(L11:L21,"&gt;=7")/D21*100))</f>
        <v>72.727272727272734</v>
      </c>
      <c r="M24" s="4">
        <f>IF(SUM(M11:M21)=0,"",IF(COUNTIF(M11:M21,"&gt;=7")=0,0,COUNTIF(M11:M21,"&gt;=7")/D21*100))</f>
        <v>54.54545454545454</v>
      </c>
      <c r="N24" s="4">
        <f>IF(SUM(N11:N21)=0,"",IF(COUNTIF(N11:N21,"&gt;=7")=0,0,COUNTIF(N11:N21,"&gt;=7")/D21*100))</f>
        <v>63.636363636363633</v>
      </c>
      <c r="O24" s="4">
        <f>IF(SUM(O11:O21)=0,"",IF(COUNTIF(O11:O21,"&gt;=7")=0,0,COUNTIF(O11:O21,"&gt;=7")/D21*100))</f>
        <v>54.54545454545454</v>
      </c>
      <c r="P24" s="4">
        <f>IF(SUM(P11:P21)=0,"",IF(COUNTIF(P11:P21,"&gt;=7")=0,0,COUNTIF(P11:P21,"&gt;=7")/D21*100))</f>
        <v>72.727272727272734</v>
      </c>
      <c r="Q24" s="4">
        <f>IF(SUM(Q11:Q21)=0,"",IF(COUNTIF(Q11:Q21,"&gt;=7")=0,0,COUNTIF(Q11:Q21,"&gt;=7")/D21*100))</f>
        <v>72.727272727272734</v>
      </c>
      <c r="R24" s="4">
        <f>IF(SUM(R11:R21)=0,"",IF(COUNTIF(R11:R21,"&gt;=7")=0,0,COUNTIF(R11:R21,"&gt;=7")/D21*100))</f>
        <v>54.54545454545454</v>
      </c>
      <c r="S24" s="4">
        <f>IF(SUM(S11:S21)=0,"",IF(COUNTIF(S11:S21,"&gt;=7")=0,0,COUNTIF(S11:S21,"&gt;=7")/D21*100))</f>
        <v>72.727272727272734</v>
      </c>
      <c r="T24" s="4">
        <f>IF(SUM(T11:T21)=0,"",IF(COUNTIF(T11:T21,"&gt;=7")=0,0,COUNTIF(T11:T21,"&gt;=7")/D21*100))</f>
        <v>72.727272727272734</v>
      </c>
      <c r="U24" s="16"/>
      <c r="V24" s="25"/>
      <c r="W24" s="35"/>
      <c r="X24" s="15"/>
    </row>
    <row r="25" spans="1:24" ht="15" customHeight="1" x14ac:dyDescent="0.25">
      <c r="A25" s="33"/>
      <c r="B25" s="25"/>
      <c r="C25" s="13"/>
      <c r="D25" s="13"/>
      <c r="E25" s="11" t="s">
        <v>10</v>
      </c>
      <c r="F25" s="2">
        <f>IFERROR(AVERAGE(F23:T23),"")</f>
        <v>92.121212121212096</v>
      </c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6"/>
      <c r="V25" s="25"/>
      <c r="W25" s="35"/>
      <c r="X25" s="15"/>
    </row>
    <row r="26" spans="1:24" ht="15" customHeight="1" x14ac:dyDescent="0.25">
      <c r="A26" s="33"/>
      <c r="B26" s="25"/>
      <c r="C26" s="13"/>
      <c r="D26" s="13"/>
      <c r="E26" s="11" t="s">
        <v>11</v>
      </c>
      <c r="F26" s="2">
        <f>IFERROR(AVERAGE(F24:T24),"")</f>
        <v>72.12121212121211</v>
      </c>
      <c r="G26" s="1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6"/>
      <c r="V26" s="25"/>
      <c r="W26" s="35"/>
      <c r="X26" s="15"/>
    </row>
    <row r="27" spans="1:24" ht="15" customHeight="1" x14ac:dyDescent="0.25">
      <c r="A27" s="33"/>
      <c r="B27" s="25"/>
      <c r="C27" s="13"/>
      <c r="D27" s="13"/>
      <c r="E27" s="11" t="s">
        <v>12</v>
      </c>
      <c r="F27" s="18">
        <f>IF(COUNTIF(C11:C21,"=Б")=0,IF(COUNTIF(C11:C21,"=К")=0,"",0),COUNTIF(C11:C21,"=Б"))</f>
        <v>10</v>
      </c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6"/>
      <c r="V27" s="25"/>
      <c r="W27" s="35"/>
      <c r="X27" s="15"/>
    </row>
    <row r="28" spans="1:24" ht="15" customHeight="1" x14ac:dyDescent="0.25">
      <c r="A28" s="33"/>
      <c r="B28" s="25"/>
      <c r="C28" s="13"/>
      <c r="D28" s="13"/>
      <c r="E28" s="11" t="s">
        <v>13</v>
      </c>
      <c r="F28" s="18">
        <f>IF(COUNTIF(C11:C21,"=К")=0,IF(COUNTIF(C11:C21,"=Б")=0,"",0),COUNTIF(C11:C21,"=К"))</f>
        <v>1</v>
      </c>
      <c r="G28" s="17"/>
      <c r="H28" s="13"/>
      <c r="I28" s="19" t="s">
        <v>16</v>
      </c>
      <c r="J28" s="13"/>
      <c r="K28" s="13"/>
      <c r="L28" s="13"/>
      <c r="M28" s="13"/>
      <c r="N28" s="13"/>
      <c r="O28" s="13"/>
      <c r="P28" s="5" t="s">
        <v>62</v>
      </c>
      <c r="Q28" s="13"/>
      <c r="R28" s="13"/>
      <c r="S28" s="13"/>
      <c r="T28" s="13"/>
      <c r="U28" s="13"/>
      <c r="V28" s="25"/>
      <c r="W28" s="35"/>
    </row>
    <row r="29" spans="1:24" ht="15" customHeight="1" x14ac:dyDescent="0.25">
      <c r="A29" s="33"/>
      <c r="B29" s="25"/>
      <c r="C29" s="13"/>
      <c r="D29" s="13"/>
      <c r="E29" s="11" t="s">
        <v>14</v>
      </c>
      <c r="F29" s="18">
        <v>1</v>
      </c>
      <c r="G29" s="1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25"/>
      <c r="W29" s="35"/>
    </row>
    <row r="30" spans="1:24" ht="15" customHeight="1" x14ac:dyDescent="0.25">
      <c r="A30" s="33"/>
      <c r="B30" s="25"/>
      <c r="C30" s="13"/>
      <c r="D30" s="13"/>
      <c r="E30" s="11" t="s">
        <v>15</v>
      </c>
      <c r="F30" s="18">
        <v>4</v>
      </c>
      <c r="G30" s="17"/>
      <c r="H30" s="13"/>
      <c r="I30" s="19" t="s">
        <v>17</v>
      </c>
      <c r="J30" s="13"/>
      <c r="K30" s="13"/>
      <c r="L30" s="13"/>
      <c r="M30" s="13"/>
      <c r="N30" s="13"/>
      <c r="O30" s="13"/>
      <c r="P30" s="19" t="s">
        <v>18</v>
      </c>
      <c r="Q30" s="13"/>
      <c r="R30" s="13"/>
      <c r="S30" s="13"/>
      <c r="T30" s="13"/>
      <c r="U30" s="13"/>
      <c r="V30" s="25"/>
      <c r="W30" s="35"/>
    </row>
    <row r="31" spans="1:24" ht="12" customHeight="1" thickBot="1" x14ac:dyDescent="0.3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</row>
    <row r="32" spans="1:24" ht="12" customHeight="1" x14ac:dyDescent="0.25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</sheetData>
  <sheetProtection selectLockedCells="1"/>
  <mergeCells count="18">
    <mergeCell ref="B1:V1"/>
    <mergeCell ref="A2:A31"/>
    <mergeCell ref="B2:V2"/>
    <mergeCell ref="W2:W31"/>
    <mergeCell ref="B3:B30"/>
    <mergeCell ref="C3:U3"/>
    <mergeCell ref="V3:V30"/>
    <mergeCell ref="C4:U4"/>
    <mergeCell ref="C5:U5"/>
    <mergeCell ref="C6:U6"/>
    <mergeCell ref="B31:V31"/>
    <mergeCell ref="B32:V32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0"/>
  <sheetViews>
    <sheetView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7" customFormat="1" ht="15" customHeight="1" x14ac:dyDescent="0.25">
      <c r="A3" s="33"/>
      <c r="B3" s="25"/>
      <c r="C3" s="25" t="s">
        <v>74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35"/>
    </row>
    <row r="4" spans="1:23" s="7" customFormat="1" ht="15" customHeight="1" x14ac:dyDescent="0.25">
      <c r="A4" s="33"/>
      <c r="B4" s="25"/>
      <c r="C4" s="25" t="s">
        <v>75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35"/>
    </row>
    <row r="5" spans="1:23" s="8" customFormat="1" ht="15" customHeight="1" x14ac:dyDescent="0.25">
      <c r="A5" s="33"/>
      <c r="B5" s="25"/>
      <c r="C5" s="36" t="s">
        <v>63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25"/>
      <c r="W5" s="35"/>
    </row>
    <row r="6" spans="1:23" s="7" customFormat="1" ht="15" customHeight="1" x14ac:dyDescent="0.25">
      <c r="A6" s="33"/>
      <c r="B6" s="25"/>
      <c r="C6" s="24" t="s">
        <v>25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5"/>
      <c r="W6" s="35"/>
    </row>
    <row r="7" spans="1:23" s="7" customFormat="1" ht="15" customHeight="1" x14ac:dyDescent="0.25">
      <c r="A7" s="33"/>
      <c r="B7" s="25"/>
      <c r="C7" s="24" t="s">
        <v>76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  <c r="W7" s="35"/>
    </row>
    <row r="8" spans="1:23" s="7" customFormat="1" ht="15" customHeight="1" x14ac:dyDescent="0.25">
      <c r="A8" s="33"/>
      <c r="B8" s="25"/>
      <c r="C8" s="25" t="s">
        <v>24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35"/>
    </row>
    <row r="9" spans="1:23" ht="15" customHeight="1" x14ac:dyDescent="0.25">
      <c r="A9" s="33"/>
      <c r="B9" s="25"/>
      <c r="C9" s="26" t="s">
        <v>0</v>
      </c>
      <c r="D9" s="28" t="s">
        <v>19</v>
      </c>
      <c r="E9" s="28" t="s">
        <v>20</v>
      </c>
      <c r="F9" s="29" t="s">
        <v>71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1"/>
      <c r="V9" s="25"/>
      <c r="W9" s="35"/>
    </row>
    <row r="10" spans="1:23" ht="125.1" customHeight="1" x14ac:dyDescent="0.25">
      <c r="A10" s="33"/>
      <c r="B10" s="25"/>
      <c r="C10" s="27"/>
      <c r="D10" s="27"/>
      <c r="E10" s="27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25"/>
      <c r="W10" s="35"/>
    </row>
    <row r="11" spans="1:23" ht="15" customHeight="1" x14ac:dyDescent="0.25">
      <c r="A11" s="33"/>
      <c r="B11" s="25"/>
      <c r="C11" s="21" t="s">
        <v>27</v>
      </c>
      <c r="D11" s="21">
        <v>1</v>
      </c>
      <c r="E11" s="11" t="s">
        <v>43</v>
      </c>
      <c r="F11" s="12">
        <v>9</v>
      </c>
      <c r="G11" s="12">
        <v>9</v>
      </c>
      <c r="H11" s="12">
        <v>9</v>
      </c>
      <c r="I11" s="12">
        <v>9</v>
      </c>
      <c r="J11" s="12">
        <v>6</v>
      </c>
      <c r="K11" s="12">
        <v>7</v>
      </c>
      <c r="L11" s="12">
        <v>6</v>
      </c>
      <c r="M11" s="12">
        <v>5</v>
      </c>
      <c r="N11" s="12">
        <v>7</v>
      </c>
      <c r="O11" s="12">
        <v>6</v>
      </c>
      <c r="P11" s="12">
        <v>7</v>
      </c>
      <c r="Q11" s="12">
        <v>8</v>
      </c>
      <c r="R11" s="12">
        <v>5</v>
      </c>
      <c r="S11" s="12">
        <v>8</v>
      </c>
      <c r="T11" s="12">
        <v>8</v>
      </c>
      <c r="U11" s="1">
        <f>IF(COUNTIF(F11:T11,"=*")&gt;0,"-",IF(COUNTIF(F11:T11,"&lt;4")&gt;0,"-",(IFERROR(AVERAGE(F11:T11),""))))</f>
        <v>7.2666666666666666</v>
      </c>
      <c r="V11" s="25"/>
      <c r="W11" s="35"/>
    </row>
    <row r="12" spans="1:23" ht="15" customHeight="1" x14ac:dyDescent="0.25">
      <c r="A12" s="33"/>
      <c r="B12" s="25"/>
      <c r="C12" s="21" t="s">
        <v>27</v>
      </c>
      <c r="D12" s="21">
        <v>2</v>
      </c>
      <c r="E12" s="11" t="s">
        <v>44</v>
      </c>
      <c r="F12" s="12">
        <v>4</v>
      </c>
      <c r="G12" s="12">
        <v>4</v>
      </c>
      <c r="H12" s="12">
        <v>8</v>
      </c>
      <c r="I12" s="12">
        <v>5</v>
      </c>
      <c r="J12" s="12">
        <v>4</v>
      </c>
      <c r="K12" s="12">
        <v>4</v>
      </c>
      <c r="L12" s="12">
        <v>4</v>
      </c>
      <c r="M12" s="12">
        <v>5</v>
      </c>
      <c r="N12" s="12">
        <v>5</v>
      </c>
      <c r="O12" s="12">
        <v>4</v>
      </c>
      <c r="P12" s="12">
        <v>4</v>
      </c>
      <c r="Q12" s="12">
        <v>4</v>
      </c>
      <c r="R12" s="12">
        <v>4</v>
      </c>
      <c r="S12" s="12">
        <v>4</v>
      </c>
      <c r="T12" s="12">
        <v>6</v>
      </c>
      <c r="U12" s="1">
        <f t="shared" ref="U12:U19" si="0">IF(COUNTIF(F12:T12,"=*")&gt;0,"-",IF(COUNTIF(F12:T12,"&lt;4")&gt;0,"-",(IFERROR(AVERAGE(F12:T12),""))))</f>
        <v>4.5999999999999996</v>
      </c>
      <c r="V12" s="25"/>
      <c r="W12" s="35"/>
    </row>
    <row r="13" spans="1:23" ht="15" customHeight="1" x14ac:dyDescent="0.25">
      <c r="A13" s="33"/>
      <c r="B13" s="25"/>
      <c r="C13" s="21" t="s">
        <v>27</v>
      </c>
      <c r="D13" s="21">
        <v>3</v>
      </c>
      <c r="E13" s="11" t="s">
        <v>45</v>
      </c>
      <c r="F13" s="12">
        <v>9</v>
      </c>
      <c r="G13" s="12">
        <v>4</v>
      </c>
      <c r="H13" s="12">
        <v>7</v>
      </c>
      <c r="I13" s="12">
        <v>8</v>
      </c>
      <c r="J13" s="12">
        <v>4</v>
      </c>
      <c r="K13" s="12">
        <v>4</v>
      </c>
      <c r="L13" s="12">
        <v>4</v>
      </c>
      <c r="M13" s="12">
        <v>7</v>
      </c>
      <c r="N13" s="12">
        <v>7</v>
      </c>
      <c r="O13" s="12">
        <v>7</v>
      </c>
      <c r="P13" s="12">
        <v>5</v>
      </c>
      <c r="Q13" s="12">
        <v>8</v>
      </c>
      <c r="R13" s="12">
        <v>5</v>
      </c>
      <c r="S13" s="12">
        <v>6</v>
      </c>
      <c r="T13" s="12">
        <v>6</v>
      </c>
      <c r="U13" s="1">
        <f t="shared" si="0"/>
        <v>6.0666666666666664</v>
      </c>
      <c r="V13" s="25"/>
      <c r="W13" s="35"/>
    </row>
    <row r="14" spans="1:23" ht="15" customHeight="1" x14ac:dyDescent="0.25">
      <c r="A14" s="33"/>
      <c r="B14" s="25"/>
      <c r="C14" s="21" t="s">
        <v>27</v>
      </c>
      <c r="D14" s="21">
        <v>4</v>
      </c>
      <c r="E14" s="11" t="s">
        <v>46</v>
      </c>
      <c r="F14" s="12">
        <v>8</v>
      </c>
      <c r="G14" s="12">
        <v>4</v>
      </c>
      <c r="H14" s="12">
        <v>6</v>
      </c>
      <c r="I14" s="12">
        <v>7</v>
      </c>
      <c r="J14" s="12">
        <v>4</v>
      </c>
      <c r="K14" s="12">
        <v>4</v>
      </c>
      <c r="L14" s="12">
        <v>5</v>
      </c>
      <c r="M14" s="12">
        <v>4</v>
      </c>
      <c r="N14" s="12">
        <v>5</v>
      </c>
      <c r="O14" s="12">
        <v>4</v>
      </c>
      <c r="P14" s="12">
        <v>4</v>
      </c>
      <c r="Q14" s="12">
        <v>6</v>
      </c>
      <c r="R14" s="12">
        <v>4</v>
      </c>
      <c r="S14" s="12">
        <v>6</v>
      </c>
      <c r="T14" s="12">
        <v>5</v>
      </c>
      <c r="U14" s="1">
        <f t="shared" si="0"/>
        <v>5.0666666666666664</v>
      </c>
      <c r="V14" s="25"/>
      <c r="W14" s="35"/>
    </row>
    <row r="15" spans="1:23" ht="15" customHeight="1" x14ac:dyDescent="0.25">
      <c r="A15" s="33"/>
      <c r="B15" s="25"/>
      <c r="C15" s="21" t="s">
        <v>27</v>
      </c>
      <c r="D15" s="21">
        <v>5</v>
      </c>
      <c r="E15" s="11" t="s">
        <v>47</v>
      </c>
      <c r="F15" s="12">
        <v>10</v>
      </c>
      <c r="G15" s="12">
        <v>9</v>
      </c>
      <c r="H15" s="12">
        <v>9</v>
      </c>
      <c r="I15" s="12">
        <v>11</v>
      </c>
      <c r="J15" s="12">
        <v>9</v>
      </c>
      <c r="K15" s="12">
        <v>9</v>
      </c>
      <c r="L15" s="12">
        <v>9</v>
      </c>
      <c r="M15" s="12">
        <v>10</v>
      </c>
      <c r="N15" s="12">
        <v>8</v>
      </c>
      <c r="O15" s="12">
        <v>9</v>
      </c>
      <c r="P15" s="12">
        <v>9</v>
      </c>
      <c r="Q15" s="12">
        <v>9</v>
      </c>
      <c r="R15" s="12">
        <v>8</v>
      </c>
      <c r="S15" s="12">
        <v>9</v>
      </c>
      <c r="T15" s="12">
        <v>7</v>
      </c>
      <c r="U15" s="1">
        <f t="shared" si="0"/>
        <v>9</v>
      </c>
      <c r="V15" s="25"/>
      <c r="W15" s="35"/>
    </row>
    <row r="16" spans="1:23" ht="15" customHeight="1" x14ac:dyDescent="0.25">
      <c r="A16" s="33"/>
      <c r="B16" s="25"/>
      <c r="C16" s="21" t="s">
        <v>27</v>
      </c>
      <c r="D16" s="21">
        <v>6</v>
      </c>
      <c r="E16" s="11" t="s">
        <v>48</v>
      </c>
      <c r="F16" s="12">
        <v>10</v>
      </c>
      <c r="G16" s="12">
        <v>9</v>
      </c>
      <c r="H16" s="12">
        <v>7</v>
      </c>
      <c r="I16" s="12">
        <v>9</v>
      </c>
      <c r="J16" s="12">
        <v>7</v>
      </c>
      <c r="K16" s="12">
        <v>6</v>
      </c>
      <c r="L16" s="12">
        <v>7</v>
      </c>
      <c r="M16" s="12">
        <v>5</v>
      </c>
      <c r="N16" s="12">
        <v>8</v>
      </c>
      <c r="O16" s="12">
        <v>6</v>
      </c>
      <c r="P16" s="12">
        <v>7</v>
      </c>
      <c r="Q16" s="12">
        <v>8</v>
      </c>
      <c r="R16" s="12">
        <v>8</v>
      </c>
      <c r="S16" s="12">
        <v>9</v>
      </c>
      <c r="T16" s="12">
        <v>8</v>
      </c>
      <c r="U16" s="1">
        <f t="shared" si="0"/>
        <v>7.6</v>
      </c>
      <c r="V16" s="25"/>
      <c r="W16" s="35"/>
    </row>
    <row r="17" spans="1:24" ht="15" customHeight="1" x14ac:dyDescent="0.25">
      <c r="A17" s="33"/>
      <c r="B17" s="25"/>
      <c r="C17" s="21" t="s">
        <v>27</v>
      </c>
      <c r="D17" s="21">
        <v>7</v>
      </c>
      <c r="E17" s="11" t="s">
        <v>49</v>
      </c>
      <c r="F17" s="12">
        <v>9</v>
      </c>
      <c r="G17" s="12">
        <v>8</v>
      </c>
      <c r="H17" s="12">
        <v>10</v>
      </c>
      <c r="I17" s="12">
        <v>10</v>
      </c>
      <c r="J17" s="12">
        <v>9</v>
      </c>
      <c r="K17" s="12">
        <v>7</v>
      </c>
      <c r="L17" s="12">
        <v>6</v>
      </c>
      <c r="M17" s="12">
        <v>7</v>
      </c>
      <c r="N17" s="12">
        <v>8</v>
      </c>
      <c r="O17" s="12">
        <v>6</v>
      </c>
      <c r="P17" s="12">
        <v>9</v>
      </c>
      <c r="Q17" s="12">
        <v>8</v>
      </c>
      <c r="R17" s="12">
        <v>7</v>
      </c>
      <c r="S17" s="12">
        <v>10</v>
      </c>
      <c r="T17" s="12">
        <v>7</v>
      </c>
      <c r="U17" s="1">
        <f t="shared" si="0"/>
        <v>8.0666666666666664</v>
      </c>
      <c r="V17" s="25"/>
      <c r="W17" s="35"/>
    </row>
    <row r="18" spans="1:24" ht="15" customHeight="1" x14ac:dyDescent="0.25">
      <c r="A18" s="33"/>
      <c r="B18" s="25"/>
      <c r="C18" s="21" t="s">
        <v>27</v>
      </c>
      <c r="D18" s="21">
        <v>8</v>
      </c>
      <c r="E18" s="11" t="s">
        <v>50</v>
      </c>
      <c r="F18" s="12">
        <v>9</v>
      </c>
      <c r="G18" s="12">
        <v>4</v>
      </c>
      <c r="H18" s="12">
        <v>7</v>
      </c>
      <c r="I18" s="12">
        <v>8</v>
      </c>
      <c r="J18" s="12">
        <v>7</v>
      </c>
      <c r="K18" s="12">
        <v>9</v>
      </c>
      <c r="L18" s="12">
        <v>8</v>
      </c>
      <c r="M18" s="12">
        <v>7</v>
      </c>
      <c r="N18" s="12">
        <v>7</v>
      </c>
      <c r="O18" s="12">
        <v>7</v>
      </c>
      <c r="P18" s="12">
        <v>8</v>
      </c>
      <c r="Q18" s="12">
        <v>8</v>
      </c>
      <c r="R18" s="12">
        <v>8</v>
      </c>
      <c r="S18" s="12">
        <v>9</v>
      </c>
      <c r="T18" s="12">
        <v>8</v>
      </c>
      <c r="U18" s="1">
        <f t="shared" si="0"/>
        <v>7.6</v>
      </c>
      <c r="V18" s="25"/>
      <c r="W18" s="35"/>
    </row>
    <row r="19" spans="1:24" ht="15" customHeight="1" x14ac:dyDescent="0.25">
      <c r="A19" s="33"/>
      <c r="B19" s="25"/>
      <c r="C19" s="21" t="s">
        <v>27</v>
      </c>
      <c r="D19" s="21">
        <v>9</v>
      </c>
      <c r="E19" s="11" t="s">
        <v>51</v>
      </c>
      <c r="F19" s="12">
        <v>9</v>
      </c>
      <c r="G19" s="12">
        <v>5</v>
      </c>
      <c r="H19" s="12">
        <v>5</v>
      </c>
      <c r="I19" s="12">
        <v>7</v>
      </c>
      <c r="J19" s="12">
        <v>4</v>
      </c>
      <c r="K19" s="12">
        <v>5</v>
      </c>
      <c r="L19" s="12">
        <v>4</v>
      </c>
      <c r="M19" s="12">
        <v>5</v>
      </c>
      <c r="N19" s="12">
        <v>7</v>
      </c>
      <c r="O19" s="12">
        <v>5</v>
      </c>
      <c r="P19" s="12">
        <v>4</v>
      </c>
      <c r="Q19" s="12">
        <v>7</v>
      </c>
      <c r="R19" s="12">
        <v>4</v>
      </c>
      <c r="S19" s="12">
        <v>4</v>
      </c>
      <c r="T19" s="12">
        <v>6</v>
      </c>
      <c r="U19" s="1">
        <f t="shared" si="0"/>
        <v>5.4</v>
      </c>
      <c r="V19" s="25"/>
      <c r="W19" s="35"/>
    </row>
    <row r="20" spans="1:24" ht="15" customHeight="1" x14ac:dyDescent="0.25">
      <c r="A20" s="33"/>
      <c r="B20" s="25"/>
      <c r="C20" s="13"/>
      <c r="D20" s="13"/>
      <c r="E20" s="11" t="s">
        <v>7</v>
      </c>
      <c r="F20" s="2">
        <f>IF(SUM(F11:F19)=0,"",SUM(F11:F19)/D19)</f>
        <v>8.5555555555555554</v>
      </c>
      <c r="G20" s="2">
        <f>IF(SUM(G11:G19)=0,"",SUM(G11:G19)/D19)</f>
        <v>6.2222222222222223</v>
      </c>
      <c r="H20" s="2">
        <f>IF(SUM(H11:H19)=0,"",SUM(H11:H19)/D19)</f>
        <v>7.5555555555555554</v>
      </c>
      <c r="I20" s="2">
        <f>IF(SUM(I11:I19)=0,"",SUM(I11:I19)/D19)</f>
        <v>8.2222222222222214</v>
      </c>
      <c r="J20" s="2">
        <f>IF(SUM(J11:J19)=0,"",SUM(J11:J19)/D19)</f>
        <v>6</v>
      </c>
      <c r="K20" s="2">
        <f>IF(SUM(K11:K19)=0,"",SUM(K11:K19)/D19)</f>
        <v>6.1111111111111107</v>
      </c>
      <c r="L20" s="2">
        <f>IF(SUM(L11:L19)=0,"",SUM(L11:L19)/D19)</f>
        <v>5.8888888888888893</v>
      </c>
      <c r="M20" s="2">
        <f>IF(SUM(M11:M19)=0,"",SUM(M11:M19)/D19)</f>
        <v>6.1111111111111107</v>
      </c>
      <c r="N20" s="2">
        <f>IF(SUM(N11:N19)=0,"",SUM(N11:N19)/D19)</f>
        <v>6.8888888888888893</v>
      </c>
      <c r="O20" s="2">
        <f>IF(SUM(O11:O19)=0,"",SUM(O11:O19)/D19)</f>
        <v>6</v>
      </c>
      <c r="P20" s="2">
        <f>IF(SUM(P11:P19)=0,"",SUM(P11:P19)/D19)</f>
        <v>6.333333333333333</v>
      </c>
      <c r="Q20" s="2">
        <f>IF(SUM(Q11:Q19)=0,"",SUM(Q11:Q19)/D19)</f>
        <v>7.333333333333333</v>
      </c>
      <c r="R20" s="2">
        <f>IF(SUM(R11:R19)=0,"",SUM(R11:R19)/D19)</f>
        <v>5.8888888888888893</v>
      </c>
      <c r="S20" s="2">
        <f>IF(SUM(S11:S19)=0,"",SUM(S11:S19)/D19)</f>
        <v>7.2222222222222223</v>
      </c>
      <c r="T20" s="2">
        <f>IF(SUM(T11:T19)=0,"",SUM(T11:T19)/D19)</f>
        <v>6.7777777777777777</v>
      </c>
      <c r="U20" s="1">
        <f>IFERROR(AVERAGE(F20:T20),"")</f>
        <v>6.7407407407407396</v>
      </c>
      <c r="V20" s="25"/>
      <c r="W20" s="35"/>
    </row>
    <row r="21" spans="1:24" ht="15" customHeight="1" x14ac:dyDescent="0.25">
      <c r="A21" s="33"/>
      <c r="B21" s="25"/>
      <c r="C21" s="13"/>
      <c r="D21" s="13"/>
      <c r="E21" s="11" t="s">
        <v>8</v>
      </c>
      <c r="F21" s="4">
        <f>IF(SUM(F11:F19)=0,"",IF(COUNTIF(F11:F19,"&gt;=4")=0,0,COUNTIF(F11:F19,"&gt;=4")/D19*100))</f>
        <v>100</v>
      </c>
      <c r="G21" s="4">
        <f>IF(SUM(G11:G19)=0,"",IF(COUNTIF(G11:G19,"&gt;=4")=0,0,COUNTIF(G11:G19,"&gt;=4")/D19*100))</f>
        <v>100</v>
      </c>
      <c r="H21" s="4">
        <f>IF(SUM(H11:H19)=0,"",IF(COUNTIF(H11:H19,"&gt;=4")=0,0,COUNTIF(H11:H19,"&gt;=4")/D19*100))</f>
        <v>100</v>
      </c>
      <c r="I21" s="4">
        <f>IF(SUM(I11:I19)=0,"",IF(COUNTIF(I11:I19,"&gt;=4")=0,0,COUNTIF(I11:I19,"&gt;=4")/D19*100))</f>
        <v>100</v>
      </c>
      <c r="J21" s="4">
        <f>IF(SUM(J11:J19)=0,"",IF(COUNTIF(J11:J19,"&gt;=4")=0,0,COUNTIF(J11:J19,"&gt;=4")/D19*100))</f>
        <v>100</v>
      </c>
      <c r="K21" s="4">
        <f>IF(SUM(K11:K19)=0,"",IF(COUNTIF(K11:K19,"&gt;=4")=0,0,COUNTIF(K11:K19,"&gt;=4")/D19*100))</f>
        <v>100</v>
      </c>
      <c r="L21" s="4">
        <f>IF(SUM(L11:L19)=0,"",IF(COUNTIF(L11:L19,"&gt;=4")=0,0,COUNTIF(L11:L19,"&gt;=4")/D19*100))</f>
        <v>100</v>
      </c>
      <c r="M21" s="4">
        <f>IF(SUM(M11:M19)=0,"",IF(COUNTIF(M11:M19,"&gt;=4")=0,0,COUNTIF(M11:M19,"&gt;=4")/D19*100))</f>
        <v>100</v>
      </c>
      <c r="N21" s="4">
        <f>IF(SUM(N11:N19)=0,"",IF(COUNTIF(N11:N19,"&gt;=4")=0,0,COUNTIF(N11:N19,"&gt;=4")/D19*100))</f>
        <v>100</v>
      </c>
      <c r="O21" s="4">
        <f>IF(SUM(O11:O19)=0,"",IF(COUNTIF(O11:O19,"&gt;=4")=0,0,COUNTIF(O11:O19,"&gt;=4")/D19*100))</f>
        <v>100</v>
      </c>
      <c r="P21" s="4">
        <f>IF(SUM(P11:P19)=0,"",IF(COUNTIF(P11:P19,"&gt;=4")=0,0,COUNTIF(P11:P19,"&gt;=4")/D19*100))</f>
        <v>100</v>
      </c>
      <c r="Q21" s="4">
        <f>IF(SUM(Q11:Q19)=0,"",IF(COUNTIF(Q11:Q19,"&gt;=4")=0,0,COUNTIF(Q11:Q19,"&gt;=4")/D19*100))</f>
        <v>100</v>
      </c>
      <c r="R21" s="4">
        <f>IF(SUM(R11:R19)=0,"",IF(COUNTIF(R11:R19,"&gt;=4")=0,0,COUNTIF(R11:R19,"&gt;=4")/D19*100))</f>
        <v>100</v>
      </c>
      <c r="S21" s="4">
        <f>IF(SUM(S11:S19)=0,"",IF(COUNTIF(S11:S19,"&gt;=4")=0,0,COUNTIF(S11:S19,"&gt;=4")/D19*100))</f>
        <v>100</v>
      </c>
      <c r="T21" s="4">
        <f>IF(SUM(T11:T19)=0,"",IF(COUNTIF(T11:T19,"&gt;=4")=0,0,COUNTIF(T11:T19,"&gt;=4")/D19*100))</f>
        <v>100</v>
      </c>
      <c r="U21" s="14"/>
      <c r="V21" s="25"/>
      <c r="W21" s="35"/>
      <c r="X21" s="15"/>
    </row>
    <row r="22" spans="1:24" ht="15" customHeight="1" x14ac:dyDescent="0.25">
      <c r="A22" s="33"/>
      <c r="B22" s="25"/>
      <c r="C22" s="13"/>
      <c r="D22" s="13"/>
      <c r="E22" s="11" t="s">
        <v>9</v>
      </c>
      <c r="F22" s="4">
        <f>IF(SUM(F11:F19)=0,"",IF(COUNTIF(F11:F19,"&gt;=7")=0,0,COUNTIF(F11:F19,"&gt;=7")/D19*100))</f>
        <v>88.888888888888886</v>
      </c>
      <c r="G22" s="4">
        <f>IF(SUM(G11:G19)=0,"",IF(COUNTIF(G11:G19,"&gt;=7")=0,0,COUNTIF(G11:G19,"&gt;=7")/D19*100))</f>
        <v>44.444444444444443</v>
      </c>
      <c r="H22" s="4">
        <f>IF(SUM(H11:H19)=0,"",IF(COUNTIF(H11:H19,"&gt;=7")=0,0,COUNTIF(H11:H19,"&gt;=7")/D19*100))</f>
        <v>77.777777777777786</v>
      </c>
      <c r="I22" s="4">
        <f>IF(SUM(I11:I19)=0,"",IF(COUNTIF(I11:I19,"&gt;=7")=0,0,COUNTIF(I11:I19,"&gt;=7")/D19*100))</f>
        <v>88.888888888888886</v>
      </c>
      <c r="J22" s="4">
        <f>IF(SUM(J11:J19)=0,"",IF(COUNTIF(J11:J19,"&gt;=7")=0,0,COUNTIF(J11:J19,"&gt;=7")/D19*100))</f>
        <v>44.444444444444443</v>
      </c>
      <c r="K22" s="4">
        <f>IF(SUM(K11:K19)=0,"",IF(COUNTIF(K11:K19,"&gt;=7")=0,0,COUNTIF(K11:K19,"&gt;=7")/D19*100))</f>
        <v>44.444444444444443</v>
      </c>
      <c r="L22" s="4">
        <f>IF(SUM(L11:L19)=0,"",IF(COUNTIF(L11:L19,"&gt;=7")=0,0,COUNTIF(L11:L19,"&gt;=7")/D19*100))</f>
        <v>33.333333333333329</v>
      </c>
      <c r="M22" s="4">
        <f>IF(SUM(M11:M19)=0,"",IF(COUNTIF(M11:M19,"&gt;=7")=0,0,COUNTIF(M11:M19,"&gt;=7")/D19*100))</f>
        <v>44.444444444444443</v>
      </c>
      <c r="N22" s="4">
        <f>IF(SUM(N11:N19)=0,"",IF(COUNTIF(N11:N19,"&gt;=7")=0,0,COUNTIF(N11:N19,"&gt;=7")/D19*100))</f>
        <v>77.777777777777786</v>
      </c>
      <c r="O22" s="4">
        <f>IF(SUM(O11:O19)=0,"",IF(COUNTIF(O11:O19,"&gt;=7")=0,0,COUNTIF(O11:O19,"&gt;=7")/D19*100))</f>
        <v>33.333333333333329</v>
      </c>
      <c r="P22" s="4">
        <f>IF(SUM(P11:P19)=0,"",IF(COUNTIF(P11:P19,"&gt;=7")=0,0,COUNTIF(P11:P19,"&gt;=7")/D19*100))</f>
        <v>55.555555555555557</v>
      </c>
      <c r="Q22" s="4">
        <f>IF(SUM(Q11:Q19)=0,"",IF(COUNTIF(Q11:Q19,"&gt;=7")=0,0,COUNTIF(Q11:Q19,"&gt;=7")/D19*100))</f>
        <v>77.777777777777786</v>
      </c>
      <c r="R22" s="4">
        <f>IF(SUM(R11:R19)=0,"",IF(COUNTIF(R11:R19,"&gt;=7")=0,0,COUNTIF(R11:R19,"&gt;=7")/D19*100))</f>
        <v>44.444444444444443</v>
      </c>
      <c r="S22" s="4">
        <f>IF(SUM(S11:S19)=0,"",IF(COUNTIF(S11:S19,"&gt;=7")=0,0,COUNTIF(S11:S19,"&gt;=7")/D19*100))</f>
        <v>55.555555555555557</v>
      </c>
      <c r="T22" s="4">
        <f>IF(SUM(T11:T19)=0,"",IF(COUNTIF(T11:T19,"&gt;=7")=0,0,COUNTIF(T11:T19,"&gt;=7")/D19*100))</f>
        <v>55.555555555555557</v>
      </c>
      <c r="U22" s="22"/>
      <c r="V22" s="25"/>
      <c r="W22" s="35"/>
      <c r="X22" s="15"/>
    </row>
    <row r="23" spans="1:24" ht="15" customHeight="1" x14ac:dyDescent="0.25">
      <c r="A23" s="33"/>
      <c r="B23" s="25"/>
      <c r="C23" s="13"/>
      <c r="D23" s="13"/>
      <c r="E23" s="11" t="s">
        <v>10</v>
      </c>
      <c r="F23" s="2">
        <f>IFERROR(AVERAGE(F21:T21),"")</f>
        <v>100</v>
      </c>
      <c r="G23" s="1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22"/>
      <c r="V23" s="25"/>
      <c r="W23" s="35"/>
      <c r="X23" s="15"/>
    </row>
    <row r="24" spans="1:24" ht="15" customHeight="1" x14ac:dyDescent="0.25">
      <c r="A24" s="33"/>
      <c r="B24" s="25"/>
      <c r="C24" s="13"/>
      <c r="D24" s="13"/>
      <c r="E24" s="11" t="s">
        <v>11</v>
      </c>
      <c r="F24" s="2">
        <f>IFERROR(AVERAGE(F22:T22),"")</f>
        <v>57.777777777777786</v>
      </c>
      <c r="G24" s="17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22"/>
      <c r="V24" s="25"/>
      <c r="W24" s="35"/>
      <c r="X24" s="15"/>
    </row>
    <row r="25" spans="1:24" ht="15" customHeight="1" x14ac:dyDescent="0.25">
      <c r="A25" s="33"/>
      <c r="B25" s="25"/>
      <c r="C25" s="13"/>
      <c r="D25" s="13"/>
      <c r="E25" s="11" t="s">
        <v>12</v>
      </c>
      <c r="F25" s="20">
        <f>IF(COUNTIF(C11:C19,"=Б")=0,IF(COUNTIF(C11:C19,"=К")=0,"",0),COUNTIF(C11:C19,"=Б"))</f>
        <v>9</v>
      </c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22"/>
      <c r="V25" s="25"/>
      <c r="W25" s="35"/>
      <c r="X25" s="15"/>
    </row>
    <row r="26" spans="1:24" ht="15" customHeight="1" x14ac:dyDescent="0.25">
      <c r="A26" s="33"/>
      <c r="B26" s="25"/>
      <c r="C26" s="13"/>
      <c r="D26" s="13"/>
      <c r="E26" s="11" t="s">
        <v>13</v>
      </c>
      <c r="F26" s="20">
        <f>IF(COUNTIF(C11:C19,"=К")=0,IF(COUNTIF(C11:C19,"=Б")=0,"",0),COUNTIF(C11:C19,"=К"))</f>
        <v>0</v>
      </c>
      <c r="G26" s="17"/>
      <c r="H26" s="13"/>
      <c r="I26" s="19" t="s">
        <v>16</v>
      </c>
      <c r="J26" s="13"/>
      <c r="K26" s="13"/>
      <c r="L26" s="13"/>
      <c r="M26" s="13"/>
      <c r="N26" s="13"/>
      <c r="O26" s="13"/>
      <c r="P26" s="5" t="s">
        <v>62</v>
      </c>
      <c r="Q26" s="13"/>
      <c r="R26" s="13"/>
      <c r="S26" s="13"/>
      <c r="T26" s="13"/>
      <c r="U26" s="13"/>
      <c r="V26" s="25"/>
      <c r="W26" s="35"/>
    </row>
    <row r="27" spans="1:24" ht="15" customHeight="1" x14ac:dyDescent="0.25">
      <c r="A27" s="33"/>
      <c r="B27" s="25"/>
      <c r="C27" s="13"/>
      <c r="D27" s="13"/>
      <c r="E27" s="11" t="s">
        <v>14</v>
      </c>
      <c r="F27" s="20">
        <v>4</v>
      </c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25"/>
      <c r="W27" s="35"/>
    </row>
    <row r="28" spans="1:24" ht="15" customHeight="1" x14ac:dyDescent="0.25">
      <c r="A28" s="33"/>
      <c r="B28" s="25"/>
      <c r="C28" s="13"/>
      <c r="D28" s="13"/>
      <c r="E28" s="11" t="s">
        <v>15</v>
      </c>
      <c r="F28" s="20">
        <v>4</v>
      </c>
      <c r="G28" s="17"/>
      <c r="H28" s="13"/>
      <c r="I28" s="19" t="s">
        <v>17</v>
      </c>
      <c r="J28" s="13"/>
      <c r="K28" s="13"/>
      <c r="L28" s="13"/>
      <c r="M28" s="13"/>
      <c r="N28" s="13"/>
      <c r="O28" s="13"/>
      <c r="P28" s="19" t="s">
        <v>18</v>
      </c>
      <c r="Q28" s="13"/>
      <c r="R28" s="13"/>
      <c r="S28" s="13"/>
      <c r="T28" s="13"/>
      <c r="U28" s="13"/>
      <c r="V28" s="25"/>
      <c r="W28" s="35"/>
    </row>
    <row r="29" spans="1:24" ht="12" customHeight="1" thickBot="1" x14ac:dyDescent="0.3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</row>
    <row r="30" spans="1:24" ht="12" customHeight="1" x14ac:dyDescent="0.25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</sheetData>
  <sheetProtection selectLockedCells="1"/>
  <mergeCells count="18"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  <mergeCell ref="B30:V30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4"/>
  <sheetViews>
    <sheetView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3" ht="12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7" customFormat="1" ht="15" customHeight="1" x14ac:dyDescent="0.25">
      <c r="A3" s="33"/>
      <c r="B3" s="25"/>
      <c r="C3" s="25" t="s">
        <v>74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35"/>
    </row>
    <row r="4" spans="1:23" s="7" customFormat="1" ht="15" customHeight="1" x14ac:dyDescent="0.25">
      <c r="A4" s="33"/>
      <c r="B4" s="25"/>
      <c r="C4" s="25" t="s">
        <v>75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35"/>
    </row>
    <row r="5" spans="1:23" s="8" customFormat="1" ht="15" customHeight="1" x14ac:dyDescent="0.25">
      <c r="A5" s="33"/>
      <c r="B5" s="25"/>
      <c r="C5" s="36" t="s">
        <v>63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25"/>
      <c r="W5" s="35"/>
    </row>
    <row r="6" spans="1:23" s="7" customFormat="1" ht="15" customHeight="1" x14ac:dyDescent="0.25">
      <c r="A6" s="33"/>
      <c r="B6" s="25"/>
      <c r="C6" s="24" t="s">
        <v>26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5"/>
      <c r="W6" s="35"/>
    </row>
    <row r="7" spans="1:23" s="7" customFormat="1" ht="15" customHeight="1" x14ac:dyDescent="0.25">
      <c r="A7" s="33"/>
      <c r="B7" s="25"/>
      <c r="C7" s="24" t="s">
        <v>76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  <c r="W7" s="35"/>
    </row>
    <row r="8" spans="1:23" s="7" customFormat="1" ht="15" customHeight="1" x14ac:dyDescent="0.25">
      <c r="A8" s="33"/>
      <c r="B8" s="25"/>
      <c r="C8" s="25" t="s">
        <v>24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35"/>
    </row>
    <row r="9" spans="1:23" ht="15" customHeight="1" x14ac:dyDescent="0.25">
      <c r="A9" s="33"/>
      <c r="B9" s="25"/>
      <c r="C9" s="26" t="s">
        <v>0</v>
      </c>
      <c r="D9" s="28" t="s">
        <v>19</v>
      </c>
      <c r="E9" s="28" t="s">
        <v>20</v>
      </c>
      <c r="F9" s="29" t="s">
        <v>71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1"/>
      <c r="V9" s="25"/>
      <c r="W9" s="35"/>
    </row>
    <row r="10" spans="1:23" ht="125.1" customHeight="1" x14ac:dyDescent="0.25">
      <c r="A10" s="33"/>
      <c r="B10" s="25"/>
      <c r="C10" s="27"/>
      <c r="D10" s="27"/>
      <c r="E10" s="27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25"/>
      <c r="W10" s="35"/>
    </row>
    <row r="11" spans="1:23" ht="15" customHeight="1" x14ac:dyDescent="0.25">
      <c r="A11" s="33"/>
      <c r="B11" s="25"/>
      <c r="C11" s="10" t="s">
        <v>29</v>
      </c>
      <c r="D11" s="10">
        <v>1</v>
      </c>
      <c r="E11" s="11" t="s">
        <v>30</v>
      </c>
      <c r="F11" s="12">
        <v>10</v>
      </c>
      <c r="G11" s="12">
        <v>9</v>
      </c>
      <c r="H11" s="12">
        <v>10</v>
      </c>
      <c r="I11" s="12">
        <v>10</v>
      </c>
      <c r="J11" s="12">
        <v>10</v>
      </c>
      <c r="K11" s="12">
        <v>10</v>
      </c>
      <c r="L11" s="12">
        <v>10</v>
      </c>
      <c r="M11" s="12">
        <v>9</v>
      </c>
      <c r="N11" s="12">
        <v>9</v>
      </c>
      <c r="O11" s="12">
        <v>8</v>
      </c>
      <c r="P11" s="12">
        <v>11</v>
      </c>
      <c r="Q11" s="12">
        <v>10</v>
      </c>
      <c r="R11" s="12">
        <v>7</v>
      </c>
      <c r="S11" s="12">
        <v>10</v>
      </c>
      <c r="T11" s="12">
        <v>10</v>
      </c>
      <c r="U11" s="1">
        <f>IF(COUNTIF(F11:T11,"=*")&gt;0,"-",IF(COUNTIF(F11:T11,"&lt;4")&gt;0,"-",(IFERROR(AVERAGE(F11:T11),""))))</f>
        <v>9.5333333333333332</v>
      </c>
      <c r="V11" s="25"/>
      <c r="W11" s="35"/>
    </row>
    <row r="12" spans="1:23" ht="15" customHeight="1" x14ac:dyDescent="0.25">
      <c r="A12" s="33"/>
      <c r="B12" s="25"/>
      <c r="C12" s="10" t="s">
        <v>29</v>
      </c>
      <c r="D12" s="10">
        <v>2</v>
      </c>
      <c r="E12" s="11" t="s">
        <v>31</v>
      </c>
      <c r="F12" s="12">
        <v>10</v>
      </c>
      <c r="G12" s="12">
        <v>6</v>
      </c>
      <c r="H12" s="12">
        <v>9</v>
      </c>
      <c r="I12" s="12">
        <v>10</v>
      </c>
      <c r="J12" s="12">
        <v>5</v>
      </c>
      <c r="K12" s="12">
        <v>9</v>
      </c>
      <c r="L12" s="12">
        <v>9</v>
      </c>
      <c r="M12" s="12">
        <v>4</v>
      </c>
      <c r="N12" s="12">
        <v>6</v>
      </c>
      <c r="O12" s="12">
        <v>4</v>
      </c>
      <c r="P12" s="12">
        <v>5</v>
      </c>
      <c r="Q12" s="12">
        <v>7</v>
      </c>
      <c r="R12" s="12" t="s">
        <v>64</v>
      </c>
      <c r="S12" s="12">
        <v>8</v>
      </c>
      <c r="T12" s="12">
        <v>7</v>
      </c>
      <c r="U12" s="1" t="str">
        <f t="shared" ref="U12:U22" si="0">IF(COUNTIF(F12:T12,"=*")&gt;0,"-",IF(COUNTIF(F12:T12,"&lt;4")&gt;0,"-",(IFERROR(AVERAGE(F12:T12),""))))</f>
        <v>-</v>
      </c>
      <c r="V12" s="25"/>
      <c r="W12" s="35"/>
    </row>
    <row r="13" spans="1:23" ht="15" customHeight="1" x14ac:dyDescent="0.25">
      <c r="A13" s="33"/>
      <c r="B13" s="25"/>
      <c r="C13" s="10" t="s">
        <v>29</v>
      </c>
      <c r="D13" s="10">
        <v>3</v>
      </c>
      <c r="E13" s="11" t="s">
        <v>32</v>
      </c>
      <c r="F13" s="12">
        <v>9</v>
      </c>
      <c r="G13" s="12">
        <v>8</v>
      </c>
      <c r="H13" s="12">
        <v>8</v>
      </c>
      <c r="I13" s="12">
        <v>8</v>
      </c>
      <c r="J13" s="12">
        <v>9</v>
      </c>
      <c r="K13" s="12">
        <v>5</v>
      </c>
      <c r="L13" s="12">
        <v>5</v>
      </c>
      <c r="M13" s="12">
        <v>9</v>
      </c>
      <c r="N13" s="12">
        <v>7</v>
      </c>
      <c r="O13" s="12">
        <v>6</v>
      </c>
      <c r="P13" s="12">
        <v>7</v>
      </c>
      <c r="Q13" s="12">
        <v>6</v>
      </c>
      <c r="R13" s="12">
        <v>5</v>
      </c>
      <c r="S13" s="12">
        <v>5</v>
      </c>
      <c r="T13" s="12">
        <v>5</v>
      </c>
      <c r="U13" s="1">
        <f t="shared" si="0"/>
        <v>6.8</v>
      </c>
      <c r="V13" s="25"/>
      <c r="W13" s="35"/>
    </row>
    <row r="14" spans="1:23" ht="15" customHeight="1" x14ac:dyDescent="0.25">
      <c r="A14" s="33"/>
      <c r="B14" s="25"/>
      <c r="C14" s="10" t="s">
        <v>29</v>
      </c>
      <c r="D14" s="10">
        <v>4</v>
      </c>
      <c r="E14" s="11" t="s">
        <v>33</v>
      </c>
      <c r="F14" s="12">
        <v>10</v>
      </c>
      <c r="G14" s="12">
        <v>8</v>
      </c>
      <c r="H14" s="12">
        <v>10</v>
      </c>
      <c r="I14" s="12">
        <v>10</v>
      </c>
      <c r="J14" s="12">
        <v>9</v>
      </c>
      <c r="K14" s="12">
        <v>9</v>
      </c>
      <c r="L14" s="12">
        <v>7</v>
      </c>
      <c r="M14" s="12">
        <v>8</v>
      </c>
      <c r="N14" s="12">
        <v>8</v>
      </c>
      <c r="O14" s="12">
        <v>9</v>
      </c>
      <c r="P14" s="12">
        <v>9</v>
      </c>
      <c r="Q14" s="12">
        <v>9</v>
      </c>
      <c r="R14" s="12">
        <v>8</v>
      </c>
      <c r="S14" s="12">
        <v>7</v>
      </c>
      <c r="T14" s="12">
        <v>8</v>
      </c>
      <c r="U14" s="1">
        <f t="shared" si="0"/>
        <v>8.6</v>
      </c>
      <c r="V14" s="25"/>
      <c r="W14" s="35"/>
    </row>
    <row r="15" spans="1:23" ht="15" customHeight="1" x14ac:dyDescent="0.25">
      <c r="A15" s="33"/>
      <c r="B15" s="25"/>
      <c r="C15" s="10" t="s">
        <v>29</v>
      </c>
      <c r="D15" s="10">
        <v>5</v>
      </c>
      <c r="E15" s="11" t="s">
        <v>34</v>
      </c>
      <c r="F15" s="12">
        <v>10</v>
      </c>
      <c r="G15" s="12">
        <v>5</v>
      </c>
      <c r="H15" s="12">
        <v>9</v>
      </c>
      <c r="I15" s="12">
        <v>7</v>
      </c>
      <c r="J15" s="12">
        <v>6</v>
      </c>
      <c r="K15" s="12">
        <v>7</v>
      </c>
      <c r="L15" s="12">
        <v>7</v>
      </c>
      <c r="M15" s="12">
        <v>5</v>
      </c>
      <c r="N15" s="12">
        <v>7</v>
      </c>
      <c r="O15" s="12">
        <v>4</v>
      </c>
      <c r="P15" s="12">
        <v>7</v>
      </c>
      <c r="Q15" s="12">
        <v>8</v>
      </c>
      <c r="R15" s="12">
        <v>5</v>
      </c>
      <c r="S15" s="12">
        <v>8</v>
      </c>
      <c r="T15" s="12">
        <v>6</v>
      </c>
      <c r="U15" s="1">
        <f t="shared" si="0"/>
        <v>6.7333333333333334</v>
      </c>
      <c r="V15" s="25"/>
      <c r="W15" s="35"/>
    </row>
    <row r="16" spans="1:23" ht="15" customHeight="1" x14ac:dyDescent="0.25">
      <c r="A16" s="33"/>
      <c r="B16" s="25"/>
      <c r="C16" s="10" t="s">
        <v>29</v>
      </c>
      <c r="D16" s="10">
        <v>6</v>
      </c>
      <c r="E16" s="11" t="s">
        <v>35</v>
      </c>
      <c r="F16" s="12">
        <v>9</v>
      </c>
      <c r="G16" s="12">
        <v>4</v>
      </c>
      <c r="H16" s="12">
        <v>10</v>
      </c>
      <c r="I16" s="12">
        <v>9</v>
      </c>
      <c r="J16" s="12">
        <v>5</v>
      </c>
      <c r="K16" s="12">
        <v>5</v>
      </c>
      <c r="L16" s="12">
        <v>7</v>
      </c>
      <c r="M16" s="12">
        <v>5</v>
      </c>
      <c r="N16" s="12">
        <v>7</v>
      </c>
      <c r="O16" s="12">
        <v>5</v>
      </c>
      <c r="P16" s="12">
        <v>6</v>
      </c>
      <c r="Q16" s="12">
        <v>8</v>
      </c>
      <c r="R16" s="12">
        <v>4</v>
      </c>
      <c r="S16" s="12">
        <v>7</v>
      </c>
      <c r="T16" s="12">
        <v>6</v>
      </c>
      <c r="U16" s="1">
        <f t="shared" si="0"/>
        <v>6.4666666666666668</v>
      </c>
      <c r="V16" s="25"/>
      <c r="W16" s="35"/>
    </row>
    <row r="17" spans="1:24" ht="15" customHeight="1" x14ac:dyDescent="0.25">
      <c r="A17" s="33"/>
      <c r="B17" s="25"/>
      <c r="C17" s="10" t="s">
        <v>29</v>
      </c>
      <c r="D17" s="10">
        <v>7</v>
      </c>
      <c r="E17" s="11" t="s">
        <v>36</v>
      </c>
      <c r="F17" s="12">
        <v>9</v>
      </c>
      <c r="G17" s="12">
        <v>4</v>
      </c>
      <c r="H17" s="12">
        <v>9</v>
      </c>
      <c r="I17" s="12">
        <v>9</v>
      </c>
      <c r="J17" s="12">
        <v>4</v>
      </c>
      <c r="K17" s="12">
        <v>8</v>
      </c>
      <c r="L17" s="12">
        <v>5</v>
      </c>
      <c r="M17" s="12">
        <v>5</v>
      </c>
      <c r="N17" s="12">
        <v>7</v>
      </c>
      <c r="O17" s="12">
        <v>5</v>
      </c>
      <c r="P17" s="12">
        <v>5</v>
      </c>
      <c r="Q17" s="12">
        <v>8</v>
      </c>
      <c r="R17" s="12">
        <v>4</v>
      </c>
      <c r="S17" s="12">
        <v>8</v>
      </c>
      <c r="T17" s="12">
        <v>7</v>
      </c>
      <c r="U17" s="1">
        <f t="shared" si="0"/>
        <v>6.4666666666666668</v>
      </c>
      <c r="V17" s="25"/>
      <c r="W17" s="35"/>
    </row>
    <row r="18" spans="1:24" ht="15" customHeight="1" x14ac:dyDescent="0.25">
      <c r="A18" s="33"/>
      <c r="B18" s="25"/>
      <c r="C18" s="10" t="s">
        <v>29</v>
      </c>
      <c r="D18" s="10">
        <v>8</v>
      </c>
      <c r="E18" s="11" t="s">
        <v>37</v>
      </c>
      <c r="F18" s="12">
        <v>9</v>
      </c>
      <c r="G18" s="12">
        <v>4</v>
      </c>
      <c r="H18" s="12">
        <v>5</v>
      </c>
      <c r="I18" s="12">
        <v>9</v>
      </c>
      <c r="J18" s="12">
        <v>4</v>
      </c>
      <c r="K18" s="12">
        <v>7</v>
      </c>
      <c r="L18" s="12">
        <v>6</v>
      </c>
      <c r="M18" s="12">
        <v>5</v>
      </c>
      <c r="N18" s="12">
        <v>6</v>
      </c>
      <c r="O18" s="12">
        <v>5</v>
      </c>
      <c r="P18" s="12">
        <v>4</v>
      </c>
      <c r="Q18" s="12">
        <v>7</v>
      </c>
      <c r="R18" s="12">
        <v>4</v>
      </c>
      <c r="S18" s="12">
        <v>11</v>
      </c>
      <c r="T18" s="12">
        <v>8</v>
      </c>
      <c r="U18" s="1">
        <f t="shared" si="0"/>
        <v>6.2666666666666666</v>
      </c>
      <c r="V18" s="25"/>
      <c r="W18" s="35"/>
    </row>
    <row r="19" spans="1:24" ht="15" customHeight="1" x14ac:dyDescent="0.25">
      <c r="A19" s="33"/>
      <c r="B19" s="25"/>
      <c r="C19" s="10" t="s">
        <v>29</v>
      </c>
      <c r="D19" s="10">
        <v>9</v>
      </c>
      <c r="E19" s="11" t="s">
        <v>38</v>
      </c>
      <c r="F19" s="12">
        <v>11</v>
      </c>
      <c r="G19" s="12">
        <v>9</v>
      </c>
      <c r="H19" s="12">
        <v>10</v>
      </c>
      <c r="I19" s="12">
        <v>10</v>
      </c>
      <c r="J19" s="12">
        <v>9</v>
      </c>
      <c r="K19" s="12">
        <v>8</v>
      </c>
      <c r="L19" s="12">
        <v>8</v>
      </c>
      <c r="M19" s="12">
        <v>8</v>
      </c>
      <c r="N19" s="12">
        <v>8</v>
      </c>
      <c r="O19" s="12">
        <v>7</v>
      </c>
      <c r="P19" s="12">
        <v>9</v>
      </c>
      <c r="Q19" s="12">
        <v>8</v>
      </c>
      <c r="R19" s="12">
        <v>5</v>
      </c>
      <c r="S19" s="12">
        <v>10</v>
      </c>
      <c r="T19" s="12">
        <v>8</v>
      </c>
      <c r="U19" s="1">
        <f t="shared" si="0"/>
        <v>8.5333333333333332</v>
      </c>
      <c r="V19" s="25"/>
      <c r="W19" s="35"/>
    </row>
    <row r="20" spans="1:24" ht="15" customHeight="1" x14ac:dyDescent="0.25">
      <c r="A20" s="33"/>
      <c r="B20" s="25"/>
      <c r="C20" s="10" t="s">
        <v>29</v>
      </c>
      <c r="D20" s="10">
        <v>10</v>
      </c>
      <c r="E20" s="11" t="s">
        <v>39</v>
      </c>
      <c r="F20" s="12">
        <v>10</v>
      </c>
      <c r="G20" s="12">
        <v>9</v>
      </c>
      <c r="H20" s="12">
        <v>10</v>
      </c>
      <c r="I20" s="12">
        <v>10</v>
      </c>
      <c r="J20" s="12">
        <v>9</v>
      </c>
      <c r="K20" s="12">
        <v>10</v>
      </c>
      <c r="L20" s="12">
        <v>10</v>
      </c>
      <c r="M20" s="12">
        <v>8</v>
      </c>
      <c r="N20" s="12">
        <v>8</v>
      </c>
      <c r="O20" s="12">
        <v>7</v>
      </c>
      <c r="P20" s="12">
        <v>9</v>
      </c>
      <c r="Q20" s="12">
        <v>8</v>
      </c>
      <c r="R20" s="12">
        <v>7</v>
      </c>
      <c r="S20" s="12">
        <v>10</v>
      </c>
      <c r="T20" s="12">
        <v>8</v>
      </c>
      <c r="U20" s="1">
        <f t="shared" si="0"/>
        <v>8.8666666666666671</v>
      </c>
      <c r="V20" s="25"/>
      <c r="W20" s="35"/>
    </row>
    <row r="21" spans="1:24" ht="15" customHeight="1" x14ac:dyDescent="0.25">
      <c r="A21" s="33"/>
      <c r="B21" s="25"/>
      <c r="C21" s="10" t="s">
        <v>29</v>
      </c>
      <c r="D21" s="10">
        <v>11</v>
      </c>
      <c r="E21" s="11" t="s">
        <v>40</v>
      </c>
      <c r="F21" s="12">
        <v>10</v>
      </c>
      <c r="G21" s="12">
        <v>6</v>
      </c>
      <c r="H21" s="12">
        <v>9</v>
      </c>
      <c r="I21" s="12">
        <v>8</v>
      </c>
      <c r="J21" s="12">
        <v>4</v>
      </c>
      <c r="K21" s="12">
        <v>5</v>
      </c>
      <c r="L21" s="12">
        <v>7</v>
      </c>
      <c r="M21" s="12">
        <v>5</v>
      </c>
      <c r="N21" s="12">
        <v>7</v>
      </c>
      <c r="O21" s="12">
        <v>5</v>
      </c>
      <c r="P21" s="12">
        <v>6</v>
      </c>
      <c r="Q21" s="12">
        <v>6</v>
      </c>
      <c r="R21" s="12">
        <v>5</v>
      </c>
      <c r="S21" s="12">
        <v>5</v>
      </c>
      <c r="T21" s="12">
        <v>7</v>
      </c>
      <c r="U21" s="1">
        <f t="shared" si="0"/>
        <v>6.333333333333333</v>
      </c>
      <c r="V21" s="25"/>
      <c r="W21" s="35"/>
    </row>
    <row r="22" spans="1:24" ht="15" customHeight="1" x14ac:dyDescent="0.25">
      <c r="A22" s="33"/>
      <c r="B22" s="25"/>
      <c r="C22" s="10" t="s">
        <v>29</v>
      </c>
      <c r="D22" s="10">
        <v>12</v>
      </c>
      <c r="E22" s="11" t="s">
        <v>41</v>
      </c>
      <c r="F22" s="12">
        <v>10</v>
      </c>
      <c r="G22" s="12">
        <v>10</v>
      </c>
      <c r="H22" s="12">
        <v>10</v>
      </c>
      <c r="I22" s="12">
        <v>10</v>
      </c>
      <c r="J22" s="12">
        <v>10</v>
      </c>
      <c r="K22" s="12">
        <v>9</v>
      </c>
      <c r="L22" s="12">
        <v>4</v>
      </c>
      <c r="M22" s="12">
        <v>7</v>
      </c>
      <c r="N22" s="12">
        <v>9</v>
      </c>
      <c r="O22" s="12">
        <v>5</v>
      </c>
      <c r="P22" s="12">
        <v>9</v>
      </c>
      <c r="Q22" s="12">
        <v>9</v>
      </c>
      <c r="R22" s="12">
        <v>7</v>
      </c>
      <c r="S22" s="12">
        <v>8</v>
      </c>
      <c r="T22" s="12">
        <v>8</v>
      </c>
      <c r="U22" s="1">
        <f t="shared" si="0"/>
        <v>8.3333333333333339</v>
      </c>
      <c r="V22" s="25"/>
      <c r="W22" s="35"/>
    </row>
    <row r="23" spans="1:24" ht="15" customHeight="1" x14ac:dyDescent="0.25">
      <c r="A23" s="33"/>
      <c r="B23" s="25"/>
      <c r="C23" s="10" t="s">
        <v>29</v>
      </c>
      <c r="D23" s="10">
        <v>13</v>
      </c>
      <c r="E23" s="11" t="s">
        <v>42</v>
      </c>
      <c r="F23" s="12">
        <v>10</v>
      </c>
      <c r="G23" s="12">
        <v>10</v>
      </c>
      <c r="H23" s="12">
        <v>10</v>
      </c>
      <c r="I23" s="12">
        <v>10</v>
      </c>
      <c r="J23" s="12">
        <v>11</v>
      </c>
      <c r="K23" s="12">
        <v>9</v>
      </c>
      <c r="L23" s="12">
        <v>4</v>
      </c>
      <c r="M23" s="12">
        <v>5</v>
      </c>
      <c r="N23" s="12">
        <v>9</v>
      </c>
      <c r="O23" s="12">
        <v>4</v>
      </c>
      <c r="P23" s="12">
        <v>11</v>
      </c>
      <c r="Q23" s="12">
        <v>9</v>
      </c>
      <c r="R23" s="12">
        <v>6</v>
      </c>
      <c r="S23" s="12">
        <v>4</v>
      </c>
      <c r="T23" s="12">
        <v>6</v>
      </c>
      <c r="U23" s="1">
        <f t="shared" ref="U23" si="1">IF(COUNTIF(F23:T23,"=*")&gt;0,"-",IF(COUNTIF(F23:T23,"&lt;4")&gt;0,"-",(IFERROR(AVERAGE(F23:T23),""))))</f>
        <v>7.8666666666666663</v>
      </c>
      <c r="V23" s="25"/>
      <c r="W23" s="35"/>
    </row>
    <row r="24" spans="1:24" ht="15" customHeight="1" x14ac:dyDescent="0.25">
      <c r="A24" s="33"/>
      <c r="B24" s="25"/>
      <c r="C24" s="13"/>
      <c r="D24" s="13"/>
      <c r="E24" s="11" t="s">
        <v>7</v>
      </c>
      <c r="F24" s="2">
        <f>IF(SUM(F11:F23)=0,"",SUM(F11:F23)/D23)</f>
        <v>9.7692307692307701</v>
      </c>
      <c r="G24" s="2">
        <f>IF(SUM(G11:G23)=0,"",SUM(G11:G23)/D23)</f>
        <v>7.0769230769230766</v>
      </c>
      <c r="H24" s="2">
        <f>IF(SUM(H11:H23)=0,"",SUM(H11:H23)/D23)</f>
        <v>9.1538461538461533</v>
      </c>
      <c r="I24" s="2">
        <f>IF(SUM(I11:I23)=0,"",SUM(I11:I23)/D23)</f>
        <v>9.2307692307692299</v>
      </c>
      <c r="J24" s="2">
        <f>IF(SUM(J11:J23)=0,"",SUM(J11:J23)/D23)</f>
        <v>7.3076923076923075</v>
      </c>
      <c r="K24" s="2">
        <f>IF(SUM(K11:K23)=0,"",SUM(K11:K23)/D23)</f>
        <v>7.7692307692307692</v>
      </c>
      <c r="L24" s="2">
        <f>IF(SUM(L11:L23)=0,"",SUM(L11:L23)/D23)</f>
        <v>6.8461538461538458</v>
      </c>
      <c r="M24" s="2">
        <f>IF(SUM(M11:M23)=0,"",SUM(M11:M23)/D23)</f>
        <v>6.384615384615385</v>
      </c>
      <c r="N24" s="2">
        <f>IF(SUM(N11:N23)=0,"",SUM(N11:N23)/D23)</f>
        <v>7.5384615384615383</v>
      </c>
      <c r="O24" s="2">
        <f>IF(SUM(O11:O23)=0,"",SUM(O11:O23)/D23)</f>
        <v>5.6923076923076925</v>
      </c>
      <c r="P24" s="2">
        <f>IF(SUM(P11:P23)=0,"",SUM(P11:P23)/D23)</f>
        <v>7.5384615384615383</v>
      </c>
      <c r="Q24" s="2">
        <f>IF(SUM(Q11:Q23)=0,"",SUM(Q11:Q23)/D23)</f>
        <v>7.9230769230769234</v>
      </c>
      <c r="R24" s="2">
        <f>IF(SUM(R11:R23)=0,"",SUM(R11:R23)/D23)</f>
        <v>5.1538461538461542</v>
      </c>
      <c r="S24" s="2">
        <f>IF(SUM(S11:S23)=0,"",SUM(S11:S23)/D23)</f>
        <v>7.7692307692307692</v>
      </c>
      <c r="T24" s="2">
        <f>IF(SUM(T11:T23)=0,"",SUM(T11:T23)/D23)</f>
        <v>7.2307692307692308</v>
      </c>
      <c r="U24" s="1">
        <f>IFERROR(AVERAGE(F24:T24),"")</f>
        <v>7.4923076923076914</v>
      </c>
      <c r="V24" s="25"/>
      <c r="W24" s="35"/>
    </row>
    <row r="25" spans="1:24" ht="15" customHeight="1" x14ac:dyDescent="0.25">
      <c r="A25" s="33"/>
      <c r="B25" s="25"/>
      <c r="C25" s="13"/>
      <c r="D25" s="13"/>
      <c r="E25" s="11" t="s">
        <v>8</v>
      </c>
      <c r="F25" s="4">
        <f>IF(SUM(F11:F23)=0,"",IF(COUNTIF(F11:F23,"&gt;=4")=0,0,COUNTIF(F11:F23,"&gt;=4")/D23*100))</f>
        <v>100</v>
      </c>
      <c r="G25" s="4">
        <f>IF(SUM(G11:G23)=0,"",IF(COUNTIF(G11:G23,"&gt;=4")=0,0,COUNTIF(G11:G23,"&gt;=4")/D23*100))</f>
        <v>100</v>
      </c>
      <c r="H25" s="4">
        <f>IF(SUM(H11:H23)=0,"",IF(COUNTIF(H11:H23,"&gt;=4")=0,0,COUNTIF(H11:H23,"&gt;=4")/D23*100))</f>
        <v>100</v>
      </c>
      <c r="I25" s="4">
        <f>IF(SUM(I11:I23)=0,"",IF(COUNTIF(I11:I23,"&gt;=4")=0,0,COUNTIF(I11:I23,"&gt;=4")/D23*100))</f>
        <v>100</v>
      </c>
      <c r="J25" s="4">
        <f>IF(SUM(J11:J23)=0,"",IF(COUNTIF(J11:J23,"&gt;=4")=0,0,COUNTIF(J11:J23,"&gt;=4")/D23*100))</f>
        <v>100</v>
      </c>
      <c r="K25" s="4">
        <f>IF(SUM(K11:K23)=0,"",IF(COUNTIF(K11:K23,"&gt;=4")=0,0,COUNTIF(K11:K23,"&gt;=4")/D23*100))</f>
        <v>100</v>
      </c>
      <c r="L25" s="4">
        <f>IF(SUM(L11:L23)=0,"",IF(COUNTIF(L11:L23,"&gt;=4")=0,0,COUNTIF(L11:L23,"&gt;=4")/D23*100))</f>
        <v>100</v>
      </c>
      <c r="M25" s="4">
        <f>IF(SUM(M11:M23)=0,"",IF(COUNTIF(M11:M23,"&gt;=4")=0,0,COUNTIF(M11:M23,"&gt;=4")/D23*100))</f>
        <v>100</v>
      </c>
      <c r="N25" s="4">
        <f>IF(SUM(N11:N23)=0,"",IF(COUNTIF(N11:N23,"&gt;=4")=0,0,COUNTIF(N11:N23,"&gt;=4")/D23*100))</f>
        <v>100</v>
      </c>
      <c r="O25" s="4">
        <f>IF(SUM(O11:O23)=0,"",IF(COUNTIF(O11:O23,"&gt;=4")=0,0,COUNTIF(O11:O23,"&gt;=4")/D23*100))</f>
        <v>100</v>
      </c>
      <c r="P25" s="4">
        <f>IF(SUM(P11:P23)=0,"",IF(COUNTIF(P11:P23,"&gt;=4")=0,0,COUNTIF(P11:P23,"&gt;=4")/D23*100))</f>
        <v>100</v>
      </c>
      <c r="Q25" s="4">
        <f>IF(SUM(Q11:Q23)=0,"",IF(COUNTIF(Q11:Q23,"&gt;=4")=0,0,COUNTIF(Q11:Q23,"&gt;=4")/D23*100))</f>
        <v>100</v>
      </c>
      <c r="R25" s="4">
        <f>IF(SUM(R11:R23)=0,"",IF(COUNTIF(R11:R23,"&gt;=4")=0,0,COUNTIF(R11:R23,"&gt;=4")/D23*100))</f>
        <v>92.307692307692307</v>
      </c>
      <c r="S25" s="4">
        <f>IF(SUM(S11:S23)=0,"",IF(COUNTIF(S11:S23,"&gt;=4")=0,0,COUNTIF(S11:S23,"&gt;=4")/D23*100))</f>
        <v>100</v>
      </c>
      <c r="T25" s="4">
        <f>IF(SUM(T11:T23)=0,"",IF(COUNTIF(T11:T23,"&gt;=4")=0,0,COUNTIF(T11:T23,"&gt;=4")/D23*100))</f>
        <v>100</v>
      </c>
      <c r="U25" s="14"/>
      <c r="V25" s="25"/>
      <c r="W25" s="35"/>
      <c r="X25" s="15"/>
    </row>
    <row r="26" spans="1:24" ht="15" customHeight="1" x14ac:dyDescent="0.25">
      <c r="A26" s="33"/>
      <c r="B26" s="25"/>
      <c r="C26" s="13"/>
      <c r="D26" s="13"/>
      <c r="E26" s="11" t="s">
        <v>9</v>
      </c>
      <c r="F26" s="4">
        <f>IF(SUM(F11:F23)=0,"",IF(COUNTIF(F11:F23,"&gt;=7")=0,0,COUNTIF(F11:F23,"&gt;=7")/D23*100))</f>
        <v>100</v>
      </c>
      <c r="G26" s="4">
        <f>IF(SUM(G11:G23)=0,"",IF(COUNTIF(G11:G23,"&gt;=7")=0,0,COUNTIF(G11:G23,"&gt;=7")/D23*100))</f>
        <v>53.846153846153847</v>
      </c>
      <c r="H26" s="4">
        <f>IF(SUM(H11:H23)=0,"",IF(COUNTIF(H11:H23,"&gt;=7")=0,0,COUNTIF(H11:H23,"&gt;=7")/D23*100))</f>
        <v>92.307692307692307</v>
      </c>
      <c r="I26" s="4">
        <f>IF(SUM(I11:I23)=0,"",IF(COUNTIF(I11:I23,"&gt;=7")=0,0,COUNTIF(I11:I23,"&gt;=7")/D23*100))</f>
        <v>100</v>
      </c>
      <c r="J26" s="4">
        <f>IF(SUM(J11:J23)=0,"",IF(COUNTIF(J11:J23,"&gt;=7")=0,0,COUNTIF(J11:J23,"&gt;=7")/D23*100))</f>
        <v>53.846153846153847</v>
      </c>
      <c r="K26" s="4">
        <f>IF(SUM(K11:K23)=0,"",IF(COUNTIF(K11:K23,"&gt;=7")=0,0,COUNTIF(K11:K23,"&gt;=7")/D23*100))</f>
        <v>76.923076923076934</v>
      </c>
      <c r="L26" s="4">
        <f>IF(SUM(L11:L23)=0,"",IF(COUNTIF(L11:L23,"&gt;=7")=0,0,COUNTIF(L11:L23,"&gt;=7")/D23*100))</f>
        <v>61.53846153846154</v>
      </c>
      <c r="M26" s="4">
        <f>IF(SUM(M11:M23)=0,"",IF(COUNTIF(M11:M23,"&gt;=7")=0,0,COUNTIF(M11:M23,"&gt;=7")/D23*100))</f>
        <v>46.153846153846153</v>
      </c>
      <c r="N26" s="4">
        <f>IF(SUM(N11:N23)=0,"",IF(COUNTIF(N11:N23,"&gt;=7")=0,0,COUNTIF(N11:N23,"&gt;=7")/D23*100))</f>
        <v>84.615384615384613</v>
      </c>
      <c r="O26" s="4">
        <f>IF(SUM(O11:O23)=0,"",IF(COUNTIF(O11:O23,"&gt;=7")=0,0,COUNTIF(O11:O23,"&gt;=7")/D23*100))</f>
        <v>30.76923076923077</v>
      </c>
      <c r="P26" s="4">
        <f>IF(SUM(P11:P23)=0,"",IF(COUNTIF(P11:P23,"&gt;=7")=0,0,COUNTIF(P11:P23,"&gt;=7")/D23*100))</f>
        <v>61.53846153846154</v>
      </c>
      <c r="Q26" s="4">
        <f>IF(SUM(Q11:Q23)=0,"",IF(COUNTIF(Q11:Q23,"&gt;=7")=0,0,COUNTIF(Q11:Q23,"&gt;=7")/D23*100))</f>
        <v>84.615384615384613</v>
      </c>
      <c r="R26" s="4">
        <f>IF(SUM(R11:R23)=0,"",IF(COUNTIF(R11:R23,"&gt;=7")=0,0,COUNTIF(R11:R23,"&gt;=7")/D23*100))</f>
        <v>30.76923076923077</v>
      </c>
      <c r="S26" s="4">
        <f>IF(SUM(S11:S23)=0,"",IF(COUNTIF(S11:S23,"&gt;=7")=0,0,COUNTIF(S11:S23,"&gt;=7")/D23*100))</f>
        <v>76.923076923076934</v>
      </c>
      <c r="T26" s="4">
        <f>IF(SUM(T11:T23)=0,"",IF(COUNTIF(T11:T23,"&gt;=7")=0,0,COUNTIF(T11:T23,"&gt;=7")/D23*100))</f>
        <v>69.230769230769226</v>
      </c>
      <c r="U26" s="16"/>
      <c r="V26" s="25"/>
      <c r="W26" s="35"/>
      <c r="X26" s="15"/>
    </row>
    <row r="27" spans="1:24" ht="15" customHeight="1" x14ac:dyDescent="0.25">
      <c r="A27" s="33"/>
      <c r="B27" s="25"/>
      <c r="C27" s="13"/>
      <c r="D27" s="13"/>
      <c r="E27" s="11" t="s">
        <v>10</v>
      </c>
      <c r="F27" s="2">
        <f>IFERROR(AVERAGE(F25:T25),"")</f>
        <v>99.487179487179489</v>
      </c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6"/>
      <c r="V27" s="25"/>
      <c r="W27" s="35"/>
      <c r="X27" s="15"/>
    </row>
    <row r="28" spans="1:24" ht="15" customHeight="1" x14ac:dyDescent="0.25">
      <c r="A28" s="33"/>
      <c r="B28" s="25"/>
      <c r="C28" s="13"/>
      <c r="D28" s="13"/>
      <c r="E28" s="11" t="s">
        <v>11</v>
      </c>
      <c r="F28" s="2">
        <f>IFERROR(AVERAGE(F26:T26),"")</f>
        <v>68.205128205128204</v>
      </c>
      <c r="G28" s="1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6"/>
      <c r="V28" s="25"/>
      <c r="W28" s="35"/>
      <c r="X28" s="15"/>
    </row>
    <row r="29" spans="1:24" ht="15" customHeight="1" x14ac:dyDescent="0.25">
      <c r="A29" s="33"/>
      <c r="B29" s="25"/>
      <c r="C29" s="13"/>
      <c r="D29" s="13"/>
      <c r="E29" s="11" t="s">
        <v>12</v>
      </c>
      <c r="F29" s="18">
        <f>IF(COUNTIF(C11:C23,"=Б")=0,IF(COUNTIF(C11:C23,"=К")=0,"",0),COUNTIF(C11:C23,"=Б"))</f>
        <v>0</v>
      </c>
      <c r="G29" s="1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6"/>
      <c r="V29" s="25"/>
      <c r="W29" s="35"/>
      <c r="X29" s="15"/>
    </row>
    <row r="30" spans="1:24" ht="15" customHeight="1" x14ac:dyDescent="0.25">
      <c r="A30" s="33"/>
      <c r="B30" s="25"/>
      <c r="C30" s="13"/>
      <c r="D30" s="13"/>
      <c r="E30" s="11" t="s">
        <v>13</v>
      </c>
      <c r="F30" s="18">
        <f>IF(COUNTIF(C11:C23,"=К")=0,IF(COUNTIF(C11:C23,"=Б")=0,"",0),COUNTIF(C11:C23,"=К"))</f>
        <v>13</v>
      </c>
      <c r="G30" s="17"/>
      <c r="H30" s="13"/>
      <c r="I30" s="19" t="s">
        <v>16</v>
      </c>
      <c r="J30" s="13"/>
      <c r="K30" s="13"/>
      <c r="L30" s="13"/>
      <c r="M30" s="13"/>
      <c r="N30" s="13"/>
      <c r="O30" s="13"/>
      <c r="P30" s="5" t="s">
        <v>62</v>
      </c>
      <c r="Q30" s="13"/>
      <c r="R30" s="13"/>
      <c r="S30" s="13"/>
      <c r="T30" s="13"/>
      <c r="U30" s="13"/>
      <c r="V30" s="25"/>
      <c r="W30" s="35"/>
    </row>
    <row r="31" spans="1:24" ht="15" customHeight="1" x14ac:dyDescent="0.25">
      <c r="A31" s="33"/>
      <c r="B31" s="25"/>
      <c r="C31" s="13"/>
      <c r="D31" s="13"/>
      <c r="E31" s="11" t="s">
        <v>14</v>
      </c>
      <c r="F31" s="18">
        <v>0</v>
      </c>
      <c r="G31" s="1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25"/>
      <c r="W31" s="35"/>
    </row>
    <row r="32" spans="1:24" ht="15" customHeight="1" x14ac:dyDescent="0.25">
      <c r="A32" s="33"/>
      <c r="B32" s="25"/>
      <c r="C32" s="13"/>
      <c r="D32" s="13"/>
      <c r="E32" s="11" t="s">
        <v>15</v>
      </c>
      <c r="F32" s="18"/>
      <c r="G32" s="17"/>
      <c r="H32" s="13"/>
      <c r="I32" s="19" t="s">
        <v>17</v>
      </c>
      <c r="J32" s="13"/>
      <c r="K32" s="13"/>
      <c r="L32" s="13"/>
      <c r="M32" s="13"/>
      <c r="N32" s="13"/>
      <c r="O32" s="13"/>
      <c r="P32" s="19" t="s">
        <v>18</v>
      </c>
      <c r="Q32" s="13"/>
      <c r="R32" s="13"/>
      <c r="S32" s="13"/>
      <c r="T32" s="13"/>
      <c r="U32" s="13"/>
      <c r="V32" s="25"/>
      <c r="W32" s="35"/>
    </row>
    <row r="33" spans="1:23" ht="12" customHeight="1" thickBot="1" x14ac:dyDescent="0.3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</row>
    <row r="34" spans="1:23" ht="12" customHeight="1" x14ac:dyDescent="0.25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</sheetData>
  <sheetProtection selectLockedCells="1"/>
  <mergeCells count="18">
    <mergeCell ref="B1:V1"/>
    <mergeCell ref="A2:A33"/>
    <mergeCell ref="B2:V2"/>
    <mergeCell ref="W2:W33"/>
    <mergeCell ref="B3:B32"/>
    <mergeCell ref="C3:U3"/>
    <mergeCell ref="V3:V32"/>
    <mergeCell ref="C4:U4"/>
    <mergeCell ref="C5:U5"/>
    <mergeCell ref="C6:U6"/>
    <mergeCell ref="B33:V33"/>
    <mergeCell ref="B34:V34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Зведена 101</vt:lpstr>
      <vt:lpstr>Зведена 172</vt:lpstr>
      <vt:lpstr>Зведена 242</vt:lpstr>
      <vt:lpstr>'Зведена 101'!Область_печати</vt:lpstr>
      <vt:lpstr>'Зведена 172'!Область_печати</vt:lpstr>
      <vt:lpstr>'Зведена 242'!Область_печати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RePack by Diakov</cp:lastModifiedBy>
  <cp:lastPrinted>2023-07-06T11:11:32Z</cp:lastPrinted>
  <dcterms:created xsi:type="dcterms:W3CDTF">2006-09-28T05:33:49Z</dcterms:created>
  <dcterms:modified xsi:type="dcterms:W3CDTF">2023-07-07T10:28:15Z</dcterms:modified>
</cp:coreProperties>
</file>