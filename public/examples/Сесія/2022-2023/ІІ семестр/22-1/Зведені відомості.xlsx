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ведена 075" sheetId="1" r:id="rId4"/>
    <sheet state="visible" name="Рейтингова 075" sheetId="2" r:id="rId5"/>
    <sheet state="visible" name="Зведена 161" sheetId="3" r:id="rId6"/>
    <sheet state="visible" name="Рейтингова 161" sheetId="4" r:id="rId7"/>
    <sheet state="visible" name="Зведена 241" sheetId="5" r:id="rId8"/>
  </sheets>
  <definedNames>
    <definedName localSheetId="0" name="Ф80">#REF!</definedName>
    <definedName localSheetId="2" name="Ф80">#REF!</definedName>
    <definedName localSheetId="4" name="Ф80">#REF!</definedName>
    <definedName name="Ф80">#REF!</definedName>
    <definedName localSheetId="1" name="Ф80">#REF!</definedName>
    <definedName localSheetId="3" name="Ф80">#REF!</definedName>
  </definedNames>
  <calcPr/>
  <extLst>
    <ext uri="GoogleSheetsCustomDataVersion2">
      <go:sheetsCustomData xmlns:go="http://customooxmlschemas.google.com/" r:id="rId9" roundtripDataChecksum="pb6mXwff3/bkW0S1wtEskVn9HHcSXhICaLrmkDwB1Jc="/>
    </ext>
  </extLst>
</workbook>
</file>

<file path=xl/sharedStrings.xml><?xml version="1.0" encoding="utf-8"?>
<sst xmlns="http://schemas.openxmlformats.org/spreadsheetml/2006/main" count="298" uniqueCount="77">
  <si>
    <t>ВІДОКРЕМЛЕНИЙ СТРУКТУРНИЙ ПІДРОЗДІЛ</t>
  </si>
  <si>
    <t>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</si>
  <si>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</si>
  <si>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ЗВЕДЕНА ВІДОМІСТЬ</t>
  </si>
  <si>
    <t>Успішності студентів спеціальності 075 «Маркетинг»</t>
  </si>
  <si>
    <t>За IІ семестр 2022-2023 н.р.</t>
  </si>
  <si>
    <t>Група 22-1 курс І</t>
  </si>
  <si>
    <t>Б/К</t>
  </si>
  <si>
    <t>№
п/п</t>
  </si>
  <si>
    <t>Прізвище, ім’я, по батькові</t>
  </si>
  <si>
    <t>Підсумкові оцінки дисциплін</t>
  </si>
  <si>
    <t>Астрономія
Наговська Т.С.</t>
  </si>
  <si>
    <t>Біологія
Богданенко О.В.</t>
  </si>
  <si>
    <t>Всесвітня історія
Мельничук С.А.</t>
  </si>
  <si>
    <t>Географія
Наговська Т.С.</t>
  </si>
  <si>
    <t>Зарубіжна література
Пруднікова Я.П.</t>
  </si>
  <si>
    <t>ЗУ
Зданевич В.Ф.</t>
  </si>
  <si>
    <t>Іноземна мова
Кучер О.П.</t>
  </si>
  <si>
    <t>Інформатика
Вівдіч М.І.</t>
  </si>
  <si>
    <t>Історія України
Левчук Т.Г.</t>
  </si>
  <si>
    <t>Математика
Ромчук В.В.</t>
  </si>
  <si>
    <t>Українська література
Брітікова М.В.</t>
  </si>
  <si>
    <t>Українська мова
Брітікова М.В.</t>
  </si>
  <si>
    <t>Фізика
Калюта Н.М.</t>
  </si>
  <si>
    <t>Фізична культура
Кулатов В.М.</t>
  </si>
  <si>
    <t>Хімія
Леонова Д.І.</t>
  </si>
  <si>
    <t>Середній бал</t>
  </si>
  <si>
    <t>К</t>
  </si>
  <si>
    <t>Бушовецька Дарія Віталіївна </t>
  </si>
  <si>
    <t>Б</t>
  </si>
  <si>
    <t>Горошинська Анна Олегівна </t>
  </si>
  <si>
    <t>Гуменюк Аміна Міххтіївна  </t>
  </si>
  <si>
    <t>Гуркіна Анна Ігорівна </t>
  </si>
  <si>
    <t>Діденко Софья Андріївна </t>
  </si>
  <si>
    <t>Дмуховська Аліса Андріївна </t>
  </si>
  <si>
    <t>Дурбалов Андрій Геннадійович </t>
  </si>
  <si>
    <t>Єремеєва Дар’я Сергіївна </t>
  </si>
  <si>
    <t>Калугіна Анастасія Дмитрівна </t>
  </si>
  <si>
    <t>Карпенко Уляна Вікторівна  </t>
  </si>
  <si>
    <t>Кононенко Анастасія Ігорівна </t>
  </si>
  <si>
    <t>Лукашевич Вікторія Леонідівна </t>
  </si>
  <si>
    <t>Марківська Людмила Олександрівна </t>
  </si>
  <si>
    <t>Огородник Поліна Олегівна </t>
  </si>
  <si>
    <t>Олівська Ірина Володимирівна </t>
  </si>
  <si>
    <t>Пулєва Таїсія Михайлівна </t>
  </si>
  <si>
    <t>Семкова Олеся Олександрівна </t>
  </si>
  <si>
    <t>Тимусяк Юлія Ігорівна </t>
  </si>
  <si>
    <t>Тищенко Дар'я Олександрівна </t>
  </si>
  <si>
    <t>Фурсова Тетяна Валеріївна </t>
  </si>
  <si>
    <t>Царан Максим Андрійович </t>
  </si>
  <si>
    <t>Цибульська Ольга Євгенівна </t>
  </si>
  <si>
    <t>Цибульська Поліна Ігорівна </t>
  </si>
  <si>
    <t>Чабан Каріна Ігорівна 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</si>
  <si>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</si>
  <si>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</si>
  <si>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</si>
  <si>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</si>
  <si>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</si>
  <si>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</si>
  <si>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</si>
  <si>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</si>
  <si>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Віра МЄШКОВА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</si>
  <si>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</si>
  <si>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</si>
  <si>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</si>
  <si>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</si>
  <si>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РЕЙТИНГОВА ВІДОМІСТЬ</t>
  </si>
  <si>
    <t>Рейтинговий бал</t>
  </si>
  <si>
    <t>Успішності студентів спеціальності 161 «Хімічні технології»</t>
  </si>
  <si>
    <t>Автушко Гліб Валерійович     </t>
  </si>
  <si>
    <t>н/а</t>
  </si>
  <si>
    <t>Добровольский Олександр Олександрович </t>
  </si>
  <si>
    <t>Сухом’ясов Олексій Валерійович </t>
  </si>
  <si>
    <t>За ІI семестр 2022-2023 н.р.</t>
  </si>
  <si>
    <t>Успішності студентів спеціальності 241 «Готельно-ресторанна справа»</t>
  </si>
  <si>
    <t xml:space="preserve">Андрєєва Анна Сергіївна </t>
  </si>
  <si>
    <t xml:space="preserve">Журавльова Дар’я Олександрівна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</si>
</sst>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rgb="FF000000"/>
      <name val="Calibri"/>
      <scheme val="minor"/>
    </font>
    <font>
      <sz val="12.0"/>
      <color theme="1"/>
      <name val="Times New Roman"/>
    </font>
    <font/>
    <font>
      <sz val="14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EBEBE"/>
        <bgColor rgb="FFBEBEBE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7">
    <border/>
    <border>
      <left/>
      <right/>
      <top/>
      <bottom/>
    </border>
    <border>
      <left/>
      <top/>
      <bottom style="dotted">
        <color rgb="FF000000"/>
      </bottom>
    </border>
    <border>
      <top/>
      <bottom style="dotted">
        <color rgb="FF000000"/>
      </bottom>
    </border>
    <border>
      <right/>
      <top/>
      <bottom style="dotted">
        <color rgb="FF000000"/>
      </bottom>
    </border>
    <border>
      <left/>
      <right style="dotted">
        <color rgb="FF000000"/>
      </right>
      <top/>
    </border>
    <border>
      <left/>
      <top/>
      <bottom/>
    </border>
    <border>
      <top/>
      <bottom/>
    </border>
    <border>
      <right/>
      <top/>
      <bottom/>
    </border>
    <border>
      <left style="dotted">
        <color rgb="FF000000"/>
      </left>
      <right/>
      <top/>
    </border>
    <border>
      <left/>
      <right style="dotted">
        <color rgb="FF000000"/>
      </right>
    </border>
    <border>
      <left style="dotted">
        <color rgb="FF000000"/>
      </left>
      <right/>
    </border>
    <border>
      <left/>
      <right/>
      <top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 style="dotted">
        <color rgb="FF000000"/>
      </right>
      <bottom/>
    </border>
    <border>
      <left style="dotted">
        <color rgb="FF000000"/>
      </left>
      <right/>
      <bottom/>
    </border>
    <border>
      <left/>
      <top style="dotted">
        <color rgb="FF000000"/>
      </top>
      <bottom/>
    </border>
    <border>
      <top style="dotted">
        <color rgb="FF000000"/>
      </top>
      <bottom/>
    </border>
    <border>
      <right/>
      <top style="dotted">
        <color rgb="FF000000"/>
      </top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vertical="center"/>
    </xf>
    <xf borderId="6" fillId="3" fontId="1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ont="1">
      <alignment horizontal="center" vertical="center"/>
    </xf>
    <xf borderId="10" fillId="0" fontId="2" numFmtId="0" xfId="0" applyBorder="1" applyFont="1"/>
    <xf borderId="1" fillId="3" fontId="1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11" fillId="0" fontId="2" numFmtId="0" xfId="0" applyBorder="1" applyFont="1"/>
    <xf borderId="1" fillId="2" fontId="3" numFmtId="0" xfId="0" applyAlignment="1" applyBorder="1" applyFont="1">
      <alignment horizontal="center" vertical="center"/>
    </xf>
    <xf borderId="12" fillId="3" fontId="3" numFmtId="0" xfId="0" applyAlignment="1" applyBorder="1" applyFont="1">
      <alignment horizontal="center" vertical="center"/>
    </xf>
    <xf borderId="13" fillId="0" fontId="2" numFmtId="0" xfId="0" applyBorder="1" applyFont="1"/>
    <xf borderId="6" fillId="3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quotePrefix="1" borderId="14" fillId="3" fontId="1" numFmtId="0" xfId="0" applyAlignment="1" applyBorder="1" applyFont="1">
      <alignment horizontal="center" vertical="center"/>
    </xf>
    <xf borderId="14" fillId="3" fontId="1" numFmtId="0" xfId="0" applyAlignment="1" applyBorder="1" applyFont="1">
      <alignment horizontal="center" shrinkToFit="0" vertical="center" wrapText="1"/>
    </xf>
    <xf borderId="15" fillId="3" fontId="1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1" numFmtId="0" xfId="0" applyAlignment="1" applyBorder="1" applyFont="1">
      <alignment horizontal="center" shrinkToFit="0" textRotation="90" wrapText="1"/>
    </xf>
    <xf borderId="19" fillId="3" fontId="5" numFmtId="0" xfId="0" applyAlignment="1" applyBorder="1" applyFont="1">
      <alignment horizontal="center" shrinkToFit="0" textRotation="90" vertical="center" wrapText="1"/>
    </xf>
    <xf borderId="19" fillId="3" fontId="1" numFmtId="0" xfId="0" applyAlignment="1" applyBorder="1" applyFont="1">
      <alignment horizontal="center" shrinkToFit="0" vertical="center" wrapText="1"/>
    </xf>
    <xf borderId="19" fillId="3" fontId="1" numFmtId="0" xfId="0" applyAlignment="1" applyBorder="1" applyFont="1">
      <alignment horizontal="left" shrinkToFit="0" vertical="center" wrapText="1"/>
    </xf>
    <xf borderId="19" fillId="3" fontId="1" numFmtId="0" xfId="0" applyAlignment="1" applyBorder="1" applyFont="1">
      <alignment horizontal="center" vertical="center"/>
    </xf>
    <xf borderId="19" fillId="3" fontId="1" numFmtId="49" xfId="0" applyAlignment="1" applyBorder="1" applyFont="1" applyNumberFormat="1">
      <alignment horizontal="center" vertical="center"/>
    </xf>
    <xf borderId="19" fillId="4" fontId="1" numFmtId="2" xfId="0" applyAlignment="1" applyBorder="1" applyFill="1" applyFont="1" applyNumberFormat="1">
      <alignment horizontal="center" vertical="center"/>
    </xf>
    <xf borderId="19" fillId="4" fontId="1" numFmtId="164" xfId="0" applyAlignment="1" applyBorder="1" applyFont="1" applyNumberFormat="1">
      <alignment horizontal="center" vertical="center"/>
    </xf>
    <xf borderId="20" fillId="5" fontId="1" numFmtId="164" xfId="0" applyAlignment="1" applyBorder="1" applyFill="1" applyFont="1" applyNumberFormat="1">
      <alignment horizontal="center" vertical="center"/>
    </xf>
    <xf borderId="1" fillId="3" fontId="6" numFmtId="0" xfId="0" applyBorder="1" applyFont="1"/>
    <xf borderId="1" fillId="3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2" fontId="1" numFmtId="0" xfId="0" applyAlignment="1" applyBorder="1" applyFon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19" fillId="2" fontId="1" numFmtId="0" xfId="0" applyAlignment="1" applyBorder="1" applyFont="1">
      <alignment horizontal="center" shrinkToFit="0" vertical="center" wrapText="1"/>
    </xf>
    <xf borderId="19" fillId="2" fontId="1" numFmtId="0" xfId="0" applyAlignment="1" applyBorder="1" applyFont="1">
      <alignment horizontal="left" shrinkToFit="0" vertical="center" wrapText="1"/>
    </xf>
    <xf borderId="19" fillId="2" fontId="1" numFmtId="0" xfId="0" applyAlignment="1" applyBorder="1" applyFont="1">
      <alignment horizontal="center" vertical="center"/>
    </xf>
    <xf borderId="19" fillId="2" fontId="1" numFmtId="49" xfId="0" applyAlignment="1" applyBorder="1" applyFont="1" applyNumberFormat="1">
      <alignment horizontal="center" vertical="center"/>
    </xf>
    <xf borderId="19" fillId="2" fontId="1" numFmtId="2" xfId="0" applyAlignment="1" applyBorder="1" applyFont="1" applyNumberFormat="1">
      <alignment horizontal="center" vertical="center"/>
    </xf>
    <xf borderId="19" fillId="6" fontId="1" numFmtId="2" xfId="0" applyAlignment="1" applyBorder="1" applyFill="1" applyFont="1" applyNumberFormat="1">
      <alignment horizontal="center" vertical="center"/>
    </xf>
    <xf borderId="1" fillId="3" fontId="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EFEFE"/>
      </a:lt1>
      <a:dk2>
        <a:srgbClr val="000000"/>
      </a:dk2>
      <a:lt2>
        <a:srgbClr val="FEFEF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E100"/>
    <pageSetUpPr fitToPage="1"/>
  </sheetPr>
  <sheetViews>
    <sheetView workbookViewId="0"/>
  </sheetViews>
  <sheetFormatPr customHeight="1" defaultColWidth="14.43" defaultRowHeight="15.0"/>
  <cols>
    <col customWidth="1" min="1" max="2" width="2.71"/>
    <col customWidth="1" min="3" max="3" width="4.14"/>
    <col customWidth="1" min="4" max="4" width="6.57"/>
    <col customWidth="1" min="5" max="5" width="40.43"/>
    <col customWidth="1" min="6" max="20" width="6.71"/>
    <col customWidth="1" min="21" max="21" width="11.29"/>
    <col customWidth="1" min="22" max="23" width="2.71"/>
    <col customWidth="1" hidden="1" min="24" max="24" width="14.43"/>
    <col customWidth="1" min="25" max="26" width="8.71"/>
  </cols>
  <sheetData>
    <row r="1" ht="12.0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1"/>
      <c r="X1" s="1"/>
      <c r="Y1" s="1"/>
      <c r="Z1" s="1"/>
    </row>
    <row r="2" ht="12.0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9"/>
      <c r="X2" s="1"/>
      <c r="Y2" s="1"/>
      <c r="Z2" s="1"/>
    </row>
    <row r="3" ht="15.0" customHeight="1">
      <c r="A3" s="10"/>
      <c r="B3" s="11"/>
      <c r="C3" s="12" t="s"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11"/>
      <c r="W3" s="13"/>
      <c r="X3" s="14"/>
      <c r="Y3" s="14"/>
      <c r="Z3" s="14"/>
    </row>
    <row r="4" ht="15.0" customHeight="1">
      <c r="A4" s="10"/>
      <c r="B4" s="15"/>
      <c r="C4" s="12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15"/>
      <c r="W4" s="13"/>
      <c r="X4" s="14"/>
      <c r="Y4" s="14"/>
      <c r="Z4" s="14"/>
    </row>
    <row r="5" ht="15.0" customHeight="1">
      <c r="A5" s="10"/>
      <c r="B5" s="16"/>
      <c r="C5" s="12" t="s"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16"/>
      <c r="W5" s="13"/>
      <c r="X5" s="14"/>
      <c r="Y5" s="14"/>
      <c r="Z5" s="14"/>
    </row>
    <row r="6" ht="15.0" customHeight="1">
      <c r="A6" s="10"/>
      <c r="B6" s="16"/>
      <c r="C6" s="17" t="s">
        <v>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16"/>
      <c r="W6" s="13"/>
      <c r="X6" s="18"/>
      <c r="Y6" s="18"/>
      <c r="Z6" s="18"/>
    </row>
    <row r="7" ht="15.0" customHeight="1">
      <c r="A7" s="10"/>
      <c r="B7" s="16"/>
      <c r="C7" s="12" t="s"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16"/>
      <c r="W7" s="13"/>
      <c r="X7" s="14"/>
      <c r="Y7" s="14"/>
      <c r="Z7" s="14"/>
    </row>
    <row r="8" ht="15.0" customHeight="1">
      <c r="A8" s="10"/>
      <c r="B8" s="16"/>
      <c r="C8" s="12" t="s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16"/>
      <c r="W8" s="13"/>
      <c r="X8" s="14"/>
      <c r="Y8" s="14"/>
      <c r="Z8" s="14"/>
    </row>
    <row r="9" ht="15.0" customHeight="1">
      <c r="A9" s="10"/>
      <c r="B9" s="16"/>
      <c r="C9" s="12" t="s">
        <v>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"/>
      <c r="V9" s="16"/>
      <c r="W9" s="13"/>
      <c r="X9" s="14"/>
      <c r="Y9" s="14"/>
      <c r="Z9" s="14"/>
    </row>
    <row r="10" ht="15.0" customHeight="1">
      <c r="A10" s="10"/>
      <c r="B10" s="16"/>
      <c r="C10" s="19" t="s">
        <v>7</v>
      </c>
      <c r="D10" s="20" t="s">
        <v>8</v>
      </c>
      <c r="E10" s="20" t="s">
        <v>9</v>
      </c>
      <c r="F10" s="21" t="s">
        <v>10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3"/>
      <c r="V10" s="16"/>
      <c r="W10" s="13"/>
      <c r="X10" s="1"/>
      <c r="Y10" s="1"/>
      <c r="Z10" s="1"/>
    </row>
    <row r="11" ht="124.5" customHeight="1">
      <c r="A11" s="10"/>
      <c r="B11" s="16"/>
      <c r="C11" s="24"/>
      <c r="D11" s="24"/>
      <c r="E11" s="24"/>
      <c r="F11" s="25" t="s">
        <v>11</v>
      </c>
      <c r="G11" s="25" t="s">
        <v>12</v>
      </c>
      <c r="H11" s="25" t="s">
        <v>13</v>
      </c>
      <c r="I11" s="25" t="s">
        <v>14</v>
      </c>
      <c r="J11" s="25" t="s">
        <v>15</v>
      </c>
      <c r="K11" s="25" t="s">
        <v>16</v>
      </c>
      <c r="L11" s="25" t="s">
        <v>17</v>
      </c>
      <c r="M11" s="25" t="s">
        <v>18</v>
      </c>
      <c r="N11" s="25" t="s">
        <v>19</v>
      </c>
      <c r="O11" s="25" t="s">
        <v>20</v>
      </c>
      <c r="P11" s="25" t="s">
        <v>21</v>
      </c>
      <c r="Q11" s="25" t="s">
        <v>22</v>
      </c>
      <c r="R11" s="25" t="s">
        <v>23</v>
      </c>
      <c r="S11" s="25" t="s">
        <v>24</v>
      </c>
      <c r="T11" s="25" t="s">
        <v>25</v>
      </c>
      <c r="U11" s="26" t="s">
        <v>26</v>
      </c>
      <c r="V11" s="16"/>
      <c r="W11" s="13"/>
      <c r="X11" s="1"/>
      <c r="Y11" s="1"/>
      <c r="Z11" s="1"/>
    </row>
    <row r="12" ht="15.0" customHeight="1">
      <c r="A12" s="10"/>
      <c r="B12" s="16"/>
      <c r="C12" s="27" t="s">
        <v>27</v>
      </c>
      <c r="D12" s="27">
        <v>1.0</v>
      </c>
      <c r="E12" s="28" t="s">
        <v>28</v>
      </c>
      <c r="F12" s="29">
        <v>10.0</v>
      </c>
      <c r="G12" s="30">
        <v>9.0</v>
      </c>
      <c r="H12" s="29">
        <v>10.0</v>
      </c>
      <c r="I12" s="29">
        <v>10.0</v>
      </c>
      <c r="J12" s="29">
        <v>11.0</v>
      </c>
      <c r="K12" s="29">
        <v>9.0</v>
      </c>
      <c r="L12" s="29">
        <v>3.0</v>
      </c>
      <c r="M12" s="29">
        <v>9.0</v>
      </c>
      <c r="N12" s="29">
        <v>5.0</v>
      </c>
      <c r="O12" s="29">
        <v>7.0</v>
      </c>
      <c r="P12" s="29">
        <v>11.0</v>
      </c>
      <c r="Q12" s="29">
        <v>10.0</v>
      </c>
      <c r="R12" s="29">
        <v>7.0</v>
      </c>
      <c r="S12" s="29">
        <v>8.0</v>
      </c>
      <c r="T12" s="29">
        <v>10.0</v>
      </c>
      <c r="U12" s="31" t="str">
        <f t="shared" ref="U12:U35" si="1">IF(COUNTIF(F12:T12,"=*")&gt;0,"-",IF(COUNTIF(G12:T12,"&lt;4")&gt;0,"-",(IFERROR(AVERAGE(G12:T12),""))))</f>
        <v>-</v>
      </c>
      <c r="V12" s="16"/>
      <c r="W12" s="13"/>
      <c r="X12" s="1"/>
      <c r="Y12" s="1"/>
      <c r="Z12" s="1"/>
    </row>
    <row r="13" ht="15.0" customHeight="1">
      <c r="A13" s="10"/>
      <c r="B13" s="16"/>
      <c r="C13" s="27" t="s">
        <v>29</v>
      </c>
      <c r="D13" s="27">
        <v>2.0</v>
      </c>
      <c r="E13" s="28" t="s">
        <v>30</v>
      </c>
      <c r="F13" s="29">
        <v>9.0</v>
      </c>
      <c r="G13" s="30">
        <v>9.0</v>
      </c>
      <c r="H13" s="29">
        <v>10.0</v>
      </c>
      <c r="I13" s="29">
        <v>9.0</v>
      </c>
      <c r="J13" s="29">
        <v>10.0</v>
      </c>
      <c r="K13" s="29">
        <v>9.0</v>
      </c>
      <c r="L13" s="29">
        <v>8.0</v>
      </c>
      <c r="M13" s="29">
        <v>10.0</v>
      </c>
      <c r="N13" s="29">
        <v>8.0</v>
      </c>
      <c r="O13" s="29">
        <v>8.0</v>
      </c>
      <c r="P13" s="29">
        <v>9.0</v>
      </c>
      <c r="Q13" s="29">
        <v>9.0</v>
      </c>
      <c r="R13" s="29">
        <v>8.0</v>
      </c>
      <c r="S13" s="29">
        <v>10.0</v>
      </c>
      <c r="T13" s="29">
        <v>10.0</v>
      </c>
      <c r="U13" s="31">
        <f t="shared" si="1"/>
        <v>9.071428571</v>
      </c>
      <c r="V13" s="16"/>
      <c r="W13" s="13"/>
      <c r="X13" s="1"/>
      <c r="Y13" s="1"/>
      <c r="Z13" s="1"/>
    </row>
    <row r="14" ht="15.0" customHeight="1">
      <c r="A14" s="10"/>
      <c r="B14" s="16"/>
      <c r="C14" s="27" t="s">
        <v>29</v>
      </c>
      <c r="D14" s="27">
        <v>3.0</v>
      </c>
      <c r="E14" s="28" t="s">
        <v>31</v>
      </c>
      <c r="F14" s="29">
        <v>9.0</v>
      </c>
      <c r="G14" s="30">
        <v>9.0</v>
      </c>
      <c r="H14" s="29">
        <v>9.0</v>
      </c>
      <c r="I14" s="29">
        <v>9.0</v>
      </c>
      <c r="J14" s="29">
        <v>7.0</v>
      </c>
      <c r="K14" s="29">
        <v>9.0</v>
      </c>
      <c r="L14" s="29">
        <v>4.0</v>
      </c>
      <c r="M14" s="29">
        <v>8.0</v>
      </c>
      <c r="N14" s="29">
        <v>8.0</v>
      </c>
      <c r="O14" s="29">
        <v>5.0</v>
      </c>
      <c r="P14" s="29">
        <v>7.0</v>
      </c>
      <c r="Q14" s="29">
        <v>7.0</v>
      </c>
      <c r="R14" s="29">
        <v>7.0</v>
      </c>
      <c r="S14" s="29">
        <v>10.0</v>
      </c>
      <c r="T14" s="29">
        <v>6.0</v>
      </c>
      <c r="U14" s="31">
        <f t="shared" si="1"/>
        <v>7.5</v>
      </c>
      <c r="V14" s="16"/>
      <c r="W14" s="13"/>
      <c r="X14" s="1"/>
      <c r="Y14" s="1"/>
      <c r="Z14" s="1"/>
    </row>
    <row r="15" ht="15.0" customHeight="1">
      <c r="A15" s="10"/>
      <c r="B15" s="16"/>
      <c r="C15" s="27" t="s">
        <v>29</v>
      </c>
      <c r="D15" s="27">
        <v>4.0</v>
      </c>
      <c r="E15" s="28" t="s">
        <v>32</v>
      </c>
      <c r="F15" s="29">
        <v>11.0</v>
      </c>
      <c r="G15" s="30">
        <v>10.0</v>
      </c>
      <c r="H15" s="29">
        <v>10.0</v>
      </c>
      <c r="I15" s="29">
        <v>11.0</v>
      </c>
      <c r="J15" s="29">
        <v>11.0</v>
      </c>
      <c r="K15" s="29">
        <v>11.0</v>
      </c>
      <c r="L15" s="29">
        <v>11.0</v>
      </c>
      <c r="M15" s="29">
        <v>10.0</v>
      </c>
      <c r="N15" s="29">
        <v>10.0</v>
      </c>
      <c r="O15" s="29">
        <v>10.0</v>
      </c>
      <c r="P15" s="29">
        <v>11.0</v>
      </c>
      <c r="Q15" s="29">
        <v>10.0</v>
      </c>
      <c r="R15" s="29">
        <v>10.0</v>
      </c>
      <c r="S15" s="29">
        <v>11.0</v>
      </c>
      <c r="T15" s="29">
        <v>11.0</v>
      </c>
      <c r="U15" s="31">
        <f t="shared" si="1"/>
        <v>10.5</v>
      </c>
      <c r="V15" s="16"/>
      <c r="W15" s="13"/>
      <c r="X15" s="1"/>
      <c r="Y15" s="1"/>
      <c r="Z15" s="1"/>
    </row>
    <row r="16" ht="15.0" customHeight="1">
      <c r="A16" s="10"/>
      <c r="B16" s="16"/>
      <c r="C16" s="27" t="s">
        <v>29</v>
      </c>
      <c r="D16" s="27">
        <v>5.0</v>
      </c>
      <c r="E16" s="28" t="s">
        <v>33</v>
      </c>
      <c r="F16" s="29">
        <v>10.0</v>
      </c>
      <c r="G16" s="30">
        <v>9.0</v>
      </c>
      <c r="H16" s="29">
        <v>10.0</v>
      </c>
      <c r="I16" s="29">
        <v>10.0</v>
      </c>
      <c r="J16" s="29">
        <v>10.0</v>
      </c>
      <c r="K16" s="29">
        <v>8.0</v>
      </c>
      <c r="L16" s="29">
        <v>10.0</v>
      </c>
      <c r="M16" s="29">
        <v>9.0</v>
      </c>
      <c r="N16" s="29">
        <v>9.0</v>
      </c>
      <c r="O16" s="29">
        <v>8.0</v>
      </c>
      <c r="P16" s="29">
        <v>6.0</v>
      </c>
      <c r="Q16" s="29">
        <v>10.0</v>
      </c>
      <c r="R16" s="29">
        <v>7.0</v>
      </c>
      <c r="S16" s="29">
        <v>10.0</v>
      </c>
      <c r="T16" s="29">
        <v>10.0</v>
      </c>
      <c r="U16" s="31">
        <f t="shared" si="1"/>
        <v>9</v>
      </c>
      <c r="V16" s="16"/>
      <c r="W16" s="13"/>
      <c r="X16" s="1"/>
      <c r="Y16" s="1"/>
      <c r="Z16" s="1"/>
    </row>
    <row r="17" ht="15.0" customHeight="1">
      <c r="A17" s="10"/>
      <c r="B17" s="16"/>
      <c r="C17" s="27" t="s">
        <v>29</v>
      </c>
      <c r="D17" s="27">
        <v>6.0</v>
      </c>
      <c r="E17" s="28" t="s">
        <v>34</v>
      </c>
      <c r="F17" s="29">
        <v>11.0</v>
      </c>
      <c r="G17" s="30">
        <v>10.0</v>
      </c>
      <c r="H17" s="29">
        <v>10.0</v>
      </c>
      <c r="I17" s="29">
        <v>12.0</v>
      </c>
      <c r="J17" s="29">
        <v>11.0</v>
      </c>
      <c r="K17" s="29">
        <v>9.0</v>
      </c>
      <c r="L17" s="29">
        <v>10.0</v>
      </c>
      <c r="M17" s="29">
        <v>10.0</v>
      </c>
      <c r="N17" s="29">
        <v>9.0</v>
      </c>
      <c r="O17" s="29">
        <v>7.0</v>
      </c>
      <c r="P17" s="29">
        <v>9.0</v>
      </c>
      <c r="Q17" s="29">
        <v>9.0</v>
      </c>
      <c r="R17" s="29">
        <v>9.0</v>
      </c>
      <c r="S17" s="29">
        <v>10.0</v>
      </c>
      <c r="T17" s="29">
        <v>11.0</v>
      </c>
      <c r="U17" s="31">
        <f t="shared" si="1"/>
        <v>9.714285714</v>
      </c>
      <c r="V17" s="16"/>
      <c r="W17" s="13"/>
      <c r="X17" s="1"/>
      <c r="Y17" s="1"/>
      <c r="Z17" s="1"/>
    </row>
    <row r="18" ht="15.0" customHeight="1">
      <c r="A18" s="10"/>
      <c r="B18" s="16"/>
      <c r="C18" s="27" t="s">
        <v>29</v>
      </c>
      <c r="D18" s="27">
        <v>7.0</v>
      </c>
      <c r="E18" s="28" t="s">
        <v>35</v>
      </c>
      <c r="F18" s="29">
        <v>12.0</v>
      </c>
      <c r="G18" s="30">
        <v>11.0</v>
      </c>
      <c r="H18" s="29">
        <v>10.0</v>
      </c>
      <c r="I18" s="29">
        <v>12.0</v>
      </c>
      <c r="J18" s="29">
        <v>11.0</v>
      </c>
      <c r="K18" s="29">
        <v>11.0</v>
      </c>
      <c r="L18" s="29">
        <v>10.0</v>
      </c>
      <c r="M18" s="29">
        <v>11.0</v>
      </c>
      <c r="N18" s="29">
        <v>10.0</v>
      </c>
      <c r="O18" s="29">
        <v>10.0</v>
      </c>
      <c r="P18" s="29">
        <v>10.0</v>
      </c>
      <c r="Q18" s="29">
        <v>10.0</v>
      </c>
      <c r="R18" s="29">
        <v>10.0</v>
      </c>
      <c r="S18" s="29">
        <v>10.0</v>
      </c>
      <c r="T18" s="29">
        <v>10.0</v>
      </c>
      <c r="U18" s="31">
        <f t="shared" si="1"/>
        <v>10.42857143</v>
      </c>
      <c r="V18" s="16"/>
      <c r="W18" s="13"/>
      <c r="X18" s="1"/>
      <c r="Y18" s="1"/>
      <c r="Z18" s="1"/>
    </row>
    <row r="19" ht="15.0" customHeight="1">
      <c r="A19" s="10"/>
      <c r="B19" s="16"/>
      <c r="C19" s="27" t="s">
        <v>29</v>
      </c>
      <c r="D19" s="27">
        <v>8.0</v>
      </c>
      <c r="E19" s="28" t="s">
        <v>36</v>
      </c>
      <c r="F19" s="29">
        <v>10.0</v>
      </c>
      <c r="G19" s="30">
        <v>11.0</v>
      </c>
      <c r="H19" s="29">
        <v>10.0</v>
      </c>
      <c r="I19" s="29">
        <v>10.0</v>
      </c>
      <c r="J19" s="29">
        <v>11.0</v>
      </c>
      <c r="K19" s="29">
        <v>9.0</v>
      </c>
      <c r="L19" s="29">
        <v>10.0</v>
      </c>
      <c r="M19" s="29">
        <v>10.0</v>
      </c>
      <c r="N19" s="29">
        <v>9.0</v>
      </c>
      <c r="O19" s="29">
        <v>10.0</v>
      </c>
      <c r="P19" s="29">
        <v>9.0</v>
      </c>
      <c r="Q19" s="29">
        <v>9.0</v>
      </c>
      <c r="R19" s="29">
        <v>9.0</v>
      </c>
      <c r="S19" s="29">
        <v>10.0</v>
      </c>
      <c r="T19" s="29">
        <v>11.0</v>
      </c>
      <c r="U19" s="31">
        <f t="shared" si="1"/>
        <v>9.857142857</v>
      </c>
      <c r="V19" s="16"/>
      <c r="W19" s="13"/>
      <c r="X19" s="1"/>
      <c r="Y19" s="1"/>
      <c r="Z19" s="1"/>
    </row>
    <row r="20" ht="15.0" customHeight="1">
      <c r="A20" s="10"/>
      <c r="B20" s="16"/>
      <c r="C20" s="27" t="s">
        <v>29</v>
      </c>
      <c r="D20" s="27">
        <v>9.0</v>
      </c>
      <c r="E20" s="28" t="s">
        <v>37</v>
      </c>
      <c r="F20" s="29">
        <v>10.0</v>
      </c>
      <c r="G20" s="30">
        <v>10.0</v>
      </c>
      <c r="H20" s="29">
        <v>10.0</v>
      </c>
      <c r="I20" s="29">
        <v>11.0</v>
      </c>
      <c r="J20" s="29">
        <v>11.0</v>
      </c>
      <c r="K20" s="29">
        <v>11.0</v>
      </c>
      <c r="L20" s="29">
        <v>10.0</v>
      </c>
      <c r="M20" s="29">
        <v>10.0</v>
      </c>
      <c r="N20" s="29">
        <v>10.0</v>
      </c>
      <c r="O20" s="29">
        <v>10.0</v>
      </c>
      <c r="P20" s="29">
        <v>10.0</v>
      </c>
      <c r="Q20" s="29">
        <v>10.0</v>
      </c>
      <c r="R20" s="29">
        <v>11.0</v>
      </c>
      <c r="S20" s="29">
        <v>10.0</v>
      </c>
      <c r="T20" s="29">
        <v>11.0</v>
      </c>
      <c r="U20" s="31">
        <f t="shared" si="1"/>
        <v>10.35714286</v>
      </c>
      <c r="V20" s="16"/>
      <c r="W20" s="13"/>
      <c r="X20" s="1"/>
      <c r="Y20" s="1"/>
      <c r="Z20" s="1"/>
    </row>
    <row r="21" ht="15.0" customHeight="1">
      <c r="A21" s="10"/>
      <c r="B21" s="16"/>
      <c r="C21" s="27" t="s">
        <v>27</v>
      </c>
      <c r="D21" s="27">
        <v>10.0</v>
      </c>
      <c r="E21" s="28" t="s">
        <v>38</v>
      </c>
      <c r="F21" s="29">
        <v>10.0</v>
      </c>
      <c r="G21" s="30">
        <v>10.0</v>
      </c>
      <c r="H21" s="29">
        <v>10.0</v>
      </c>
      <c r="I21" s="29">
        <v>10.0</v>
      </c>
      <c r="J21" s="29">
        <v>10.0</v>
      </c>
      <c r="K21" s="29">
        <v>9.0</v>
      </c>
      <c r="L21" s="29">
        <v>10.0</v>
      </c>
      <c r="M21" s="29">
        <v>9.0</v>
      </c>
      <c r="N21" s="29">
        <v>8.0</v>
      </c>
      <c r="O21" s="29">
        <v>9.0</v>
      </c>
      <c r="P21" s="29">
        <v>9.0</v>
      </c>
      <c r="Q21" s="29">
        <v>9.0</v>
      </c>
      <c r="R21" s="29">
        <v>10.0</v>
      </c>
      <c r="S21" s="29">
        <v>10.0</v>
      </c>
      <c r="T21" s="29">
        <v>9.0</v>
      </c>
      <c r="U21" s="31">
        <f t="shared" si="1"/>
        <v>9.428571429</v>
      </c>
      <c r="V21" s="16"/>
      <c r="W21" s="13"/>
      <c r="X21" s="1"/>
      <c r="Y21" s="1"/>
      <c r="Z21" s="1"/>
    </row>
    <row r="22" ht="15.0" customHeight="1">
      <c r="A22" s="10"/>
      <c r="B22" s="16"/>
      <c r="C22" s="27" t="s">
        <v>27</v>
      </c>
      <c r="D22" s="27">
        <v>11.0</v>
      </c>
      <c r="E22" s="28" t="s">
        <v>39</v>
      </c>
      <c r="F22" s="29">
        <v>9.0</v>
      </c>
      <c r="G22" s="30">
        <v>9.0</v>
      </c>
      <c r="H22" s="29">
        <v>9.0</v>
      </c>
      <c r="I22" s="29">
        <v>10.0</v>
      </c>
      <c r="J22" s="29">
        <v>11.0</v>
      </c>
      <c r="K22" s="29">
        <v>7.0</v>
      </c>
      <c r="L22" s="29">
        <v>10.0</v>
      </c>
      <c r="M22" s="29">
        <v>8.0</v>
      </c>
      <c r="N22" s="29">
        <v>5.0</v>
      </c>
      <c r="O22" s="29">
        <v>4.0</v>
      </c>
      <c r="P22" s="29">
        <v>10.0</v>
      </c>
      <c r="Q22" s="29">
        <v>8.0</v>
      </c>
      <c r="R22" s="29">
        <v>6.0</v>
      </c>
      <c r="S22" s="29">
        <v>6.0</v>
      </c>
      <c r="T22" s="29">
        <v>11.0</v>
      </c>
      <c r="U22" s="31">
        <f t="shared" si="1"/>
        <v>8.142857143</v>
      </c>
      <c r="V22" s="16"/>
      <c r="W22" s="13"/>
      <c r="X22" s="1"/>
      <c r="Y22" s="1"/>
      <c r="Z22" s="1"/>
    </row>
    <row r="23" ht="15.0" customHeight="1">
      <c r="A23" s="10"/>
      <c r="B23" s="16"/>
      <c r="C23" s="27" t="s">
        <v>27</v>
      </c>
      <c r="D23" s="27">
        <v>12.0</v>
      </c>
      <c r="E23" s="28" t="s">
        <v>40</v>
      </c>
      <c r="F23" s="29">
        <v>10.0</v>
      </c>
      <c r="G23" s="30">
        <v>8.0</v>
      </c>
      <c r="H23" s="29">
        <v>10.0</v>
      </c>
      <c r="I23" s="29">
        <v>8.0</v>
      </c>
      <c r="J23" s="29">
        <v>10.0</v>
      </c>
      <c r="K23" s="29">
        <v>8.0</v>
      </c>
      <c r="L23" s="29">
        <v>7.0</v>
      </c>
      <c r="M23" s="29">
        <v>10.0</v>
      </c>
      <c r="N23" s="29">
        <v>7.0</v>
      </c>
      <c r="O23" s="29">
        <v>4.0</v>
      </c>
      <c r="P23" s="29">
        <v>9.0</v>
      </c>
      <c r="Q23" s="29">
        <v>7.0</v>
      </c>
      <c r="R23" s="29">
        <v>7.0</v>
      </c>
      <c r="S23" s="29">
        <v>8.0</v>
      </c>
      <c r="T23" s="29">
        <v>8.0</v>
      </c>
      <c r="U23" s="31">
        <f t="shared" si="1"/>
        <v>7.928571429</v>
      </c>
      <c r="V23" s="16"/>
      <c r="W23" s="13"/>
      <c r="X23" s="1"/>
      <c r="Y23" s="1"/>
      <c r="Z23" s="1"/>
    </row>
    <row r="24" ht="15.0" customHeight="1">
      <c r="A24" s="10"/>
      <c r="B24" s="16"/>
      <c r="C24" s="27" t="s">
        <v>29</v>
      </c>
      <c r="D24" s="27">
        <v>13.0</v>
      </c>
      <c r="E24" s="28" t="s">
        <v>41</v>
      </c>
      <c r="F24" s="29">
        <v>11.0</v>
      </c>
      <c r="G24" s="30">
        <v>11.0</v>
      </c>
      <c r="H24" s="29">
        <v>10.0</v>
      </c>
      <c r="I24" s="29">
        <v>11.0</v>
      </c>
      <c r="J24" s="29">
        <v>11.0</v>
      </c>
      <c r="K24" s="29">
        <v>12.0</v>
      </c>
      <c r="L24" s="29">
        <v>11.0</v>
      </c>
      <c r="M24" s="29">
        <v>10.0</v>
      </c>
      <c r="N24" s="29">
        <v>10.0</v>
      </c>
      <c r="O24" s="29">
        <v>10.0</v>
      </c>
      <c r="P24" s="29">
        <v>11.0</v>
      </c>
      <c r="Q24" s="29">
        <v>11.0</v>
      </c>
      <c r="R24" s="29">
        <v>10.0</v>
      </c>
      <c r="S24" s="29">
        <v>10.0</v>
      </c>
      <c r="T24" s="29">
        <v>11.0</v>
      </c>
      <c r="U24" s="31">
        <f t="shared" si="1"/>
        <v>10.64285714</v>
      </c>
      <c r="V24" s="16"/>
      <c r="W24" s="13"/>
      <c r="X24" s="1"/>
      <c r="Y24" s="1"/>
      <c r="Z24" s="1"/>
    </row>
    <row r="25" ht="15.0" customHeight="1">
      <c r="A25" s="10"/>
      <c r="B25" s="16"/>
      <c r="C25" s="27" t="s">
        <v>29</v>
      </c>
      <c r="D25" s="27">
        <v>14.0</v>
      </c>
      <c r="E25" s="28" t="s">
        <v>42</v>
      </c>
      <c r="F25" s="29">
        <v>9.0</v>
      </c>
      <c r="G25" s="30">
        <v>8.0</v>
      </c>
      <c r="H25" s="29">
        <v>10.0</v>
      </c>
      <c r="I25" s="29">
        <v>10.0</v>
      </c>
      <c r="J25" s="29">
        <v>8.0</v>
      </c>
      <c r="K25" s="29">
        <v>10.0</v>
      </c>
      <c r="L25" s="29">
        <v>9.0</v>
      </c>
      <c r="M25" s="29">
        <v>9.0</v>
      </c>
      <c r="N25" s="29">
        <v>8.0</v>
      </c>
      <c r="O25" s="29">
        <v>5.0</v>
      </c>
      <c r="P25" s="29">
        <v>8.0</v>
      </c>
      <c r="Q25" s="29">
        <v>9.0</v>
      </c>
      <c r="R25" s="29">
        <v>9.0</v>
      </c>
      <c r="S25" s="29">
        <v>10.0</v>
      </c>
      <c r="T25" s="29">
        <v>8.0</v>
      </c>
      <c r="U25" s="31">
        <f t="shared" si="1"/>
        <v>8.642857143</v>
      </c>
      <c r="V25" s="16"/>
      <c r="W25" s="13"/>
      <c r="X25" s="1"/>
      <c r="Y25" s="1"/>
      <c r="Z25" s="1"/>
    </row>
    <row r="26" ht="15.0" customHeight="1">
      <c r="A26" s="10"/>
      <c r="B26" s="16"/>
      <c r="C26" s="27" t="s">
        <v>27</v>
      </c>
      <c r="D26" s="27">
        <v>15.0</v>
      </c>
      <c r="E26" s="28" t="s">
        <v>43</v>
      </c>
      <c r="F26" s="29">
        <v>10.0</v>
      </c>
      <c r="G26" s="30">
        <v>11.0</v>
      </c>
      <c r="H26" s="29">
        <v>10.0</v>
      </c>
      <c r="I26" s="29">
        <v>9.0</v>
      </c>
      <c r="J26" s="29">
        <v>11.0</v>
      </c>
      <c r="K26" s="29">
        <v>10.0</v>
      </c>
      <c r="L26" s="29">
        <v>10.0</v>
      </c>
      <c r="M26" s="29">
        <v>9.0</v>
      </c>
      <c r="N26" s="29">
        <v>9.0</v>
      </c>
      <c r="O26" s="29">
        <v>8.0</v>
      </c>
      <c r="P26" s="29">
        <v>10.0</v>
      </c>
      <c r="Q26" s="29">
        <v>8.0</v>
      </c>
      <c r="R26" s="29">
        <v>6.0</v>
      </c>
      <c r="S26" s="29">
        <v>10.0</v>
      </c>
      <c r="T26" s="29">
        <v>10.0</v>
      </c>
      <c r="U26" s="31">
        <f t="shared" si="1"/>
        <v>9.357142857</v>
      </c>
      <c r="V26" s="16"/>
      <c r="W26" s="13"/>
      <c r="X26" s="1"/>
      <c r="Y26" s="1"/>
      <c r="Z26" s="1"/>
    </row>
    <row r="27" ht="15.0" customHeight="1">
      <c r="A27" s="10"/>
      <c r="B27" s="16"/>
      <c r="C27" s="27" t="s">
        <v>29</v>
      </c>
      <c r="D27" s="27">
        <v>16.0</v>
      </c>
      <c r="E27" s="28" t="s">
        <v>44</v>
      </c>
      <c r="F27" s="29">
        <v>9.0</v>
      </c>
      <c r="G27" s="30">
        <v>4.0</v>
      </c>
      <c r="H27" s="29">
        <v>8.0</v>
      </c>
      <c r="I27" s="29">
        <v>7.0</v>
      </c>
      <c r="J27" s="29">
        <v>4.0</v>
      </c>
      <c r="K27" s="29">
        <v>7.0</v>
      </c>
      <c r="L27" s="29">
        <v>7.0</v>
      </c>
      <c r="M27" s="29">
        <v>6.0</v>
      </c>
      <c r="N27" s="29">
        <v>6.0</v>
      </c>
      <c r="O27" s="29">
        <v>6.0</v>
      </c>
      <c r="P27" s="29">
        <v>9.0</v>
      </c>
      <c r="Q27" s="29">
        <v>9.0</v>
      </c>
      <c r="R27" s="29">
        <v>6.0</v>
      </c>
      <c r="S27" s="29">
        <v>8.0</v>
      </c>
      <c r="T27" s="29">
        <v>6.0</v>
      </c>
      <c r="U27" s="31">
        <f t="shared" si="1"/>
        <v>6.642857143</v>
      </c>
      <c r="V27" s="16"/>
      <c r="W27" s="13"/>
      <c r="X27" s="1"/>
      <c r="Y27" s="1"/>
      <c r="Z27" s="1"/>
    </row>
    <row r="28" ht="15.0" customHeight="1">
      <c r="A28" s="10"/>
      <c r="B28" s="16"/>
      <c r="C28" s="27" t="s">
        <v>27</v>
      </c>
      <c r="D28" s="27">
        <v>17.0</v>
      </c>
      <c r="E28" s="28" t="s">
        <v>45</v>
      </c>
      <c r="F28" s="29">
        <v>10.0</v>
      </c>
      <c r="G28" s="30">
        <v>8.0</v>
      </c>
      <c r="H28" s="29">
        <v>9.0</v>
      </c>
      <c r="I28" s="29">
        <v>10.0</v>
      </c>
      <c r="J28" s="29">
        <v>10.0</v>
      </c>
      <c r="K28" s="29">
        <v>9.0</v>
      </c>
      <c r="L28" s="29">
        <v>10.0</v>
      </c>
      <c r="M28" s="29">
        <v>10.0</v>
      </c>
      <c r="N28" s="29">
        <v>7.0</v>
      </c>
      <c r="O28" s="29">
        <v>6.0</v>
      </c>
      <c r="P28" s="29">
        <v>10.0</v>
      </c>
      <c r="Q28" s="29">
        <v>9.0</v>
      </c>
      <c r="R28" s="29">
        <v>7.0</v>
      </c>
      <c r="S28" s="29">
        <v>4.0</v>
      </c>
      <c r="T28" s="29">
        <v>8.0</v>
      </c>
      <c r="U28" s="31">
        <f t="shared" si="1"/>
        <v>8.357142857</v>
      </c>
      <c r="V28" s="16"/>
      <c r="W28" s="13"/>
      <c r="X28" s="1"/>
      <c r="Y28" s="1"/>
      <c r="Z28" s="1"/>
    </row>
    <row r="29" ht="15.0" customHeight="1">
      <c r="A29" s="10"/>
      <c r="B29" s="16"/>
      <c r="C29" s="27" t="s">
        <v>29</v>
      </c>
      <c r="D29" s="27">
        <v>18.0</v>
      </c>
      <c r="E29" s="28" t="s">
        <v>46</v>
      </c>
      <c r="F29" s="29">
        <v>10.0</v>
      </c>
      <c r="G29" s="30">
        <v>9.0</v>
      </c>
      <c r="H29" s="29">
        <v>10.0</v>
      </c>
      <c r="I29" s="29">
        <v>10.0</v>
      </c>
      <c r="J29" s="29">
        <v>9.0</v>
      </c>
      <c r="K29" s="29">
        <v>9.0</v>
      </c>
      <c r="L29" s="29">
        <v>11.0</v>
      </c>
      <c r="M29" s="29">
        <v>10.0</v>
      </c>
      <c r="N29" s="29">
        <v>8.0</v>
      </c>
      <c r="O29" s="29">
        <v>7.0</v>
      </c>
      <c r="P29" s="29">
        <v>9.0</v>
      </c>
      <c r="Q29" s="29">
        <v>9.0</v>
      </c>
      <c r="R29" s="29">
        <v>8.0</v>
      </c>
      <c r="S29" s="29">
        <v>10.0</v>
      </c>
      <c r="T29" s="29">
        <v>8.0</v>
      </c>
      <c r="U29" s="31">
        <f t="shared" si="1"/>
        <v>9.071428571</v>
      </c>
      <c r="V29" s="16"/>
      <c r="W29" s="13"/>
      <c r="X29" s="1"/>
      <c r="Y29" s="1"/>
      <c r="Z29" s="1"/>
    </row>
    <row r="30" ht="15.0" customHeight="1">
      <c r="A30" s="10"/>
      <c r="B30" s="16"/>
      <c r="C30" s="27" t="s">
        <v>27</v>
      </c>
      <c r="D30" s="27">
        <v>19.0</v>
      </c>
      <c r="E30" s="28" t="s">
        <v>47</v>
      </c>
      <c r="F30" s="29">
        <v>9.0</v>
      </c>
      <c r="G30" s="30">
        <v>8.0</v>
      </c>
      <c r="H30" s="29">
        <v>10.0</v>
      </c>
      <c r="I30" s="29">
        <v>9.0</v>
      </c>
      <c r="J30" s="29">
        <v>9.0</v>
      </c>
      <c r="K30" s="29">
        <v>8.0</v>
      </c>
      <c r="L30" s="29">
        <v>10.0</v>
      </c>
      <c r="M30" s="29">
        <v>9.0</v>
      </c>
      <c r="N30" s="29">
        <v>8.0</v>
      </c>
      <c r="O30" s="29">
        <v>8.0</v>
      </c>
      <c r="P30" s="29">
        <v>9.0</v>
      </c>
      <c r="Q30" s="29">
        <v>9.0</v>
      </c>
      <c r="R30" s="29">
        <v>8.0</v>
      </c>
      <c r="S30" s="29">
        <v>6.0</v>
      </c>
      <c r="T30" s="29">
        <v>9.0</v>
      </c>
      <c r="U30" s="31">
        <f t="shared" si="1"/>
        <v>8.571428571</v>
      </c>
      <c r="V30" s="16"/>
      <c r="W30" s="13"/>
      <c r="X30" s="1"/>
      <c r="Y30" s="1"/>
      <c r="Z30" s="1"/>
    </row>
    <row r="31" ht="15.0" customHeight="1">
      <c r="A31" s="10"/>
      <c r="B31" s="16"/>
      <c r="C31" s="27" t="s">
        <v>29</v>
      </c>
      <c r="D31" s="27">
        <v>20.0</v>
      </c>
      <c r="E31" s="28" t="s">
        <v>48</v>
      </c>
      <c r="F31" s="29">
        <v>10.0</v>
      </c>
      <c r="G31" s="30">
        <v>10.0</v>
      </c>
      <c r="H31" s="29">
        <v>10.0</v>
      </c>
      <c r="I31" s="29">
        <v>10.0</v>
      </c>
      <c r="J31" s="29">
        <v>10.0</v>
      </c>
      <c r="K31" s="29">
        <v>9.0</v>
      </c>
      <c r="L31" s="29">
        <v>11.0</v>
      </c>
      <c r="M31" s="29">
        <v>10.0</v>
      </c>
      <c r="N31" s="29">
        <v>8.0</v>
      </c>
      <c r="O31" s="29">
        <v>9.0</v>
      </c>
      <c r="P31" s="29">
        <v>10.0</v>
      </c>
      <c r="Q31" s="29">
        <v>8.0</v>
      </c>
      <c r="R31" s="29">
        <v>9.0</v>
      </c>
      <c r="S31" s="29">
        <v>10.0</v>
      </c>
      <c r="T31" s="29">
        <v>10.0</v>
      </c>
      <c r="U31" s="31">
        <f t="shared" si="1"/>
        <v>9.571428571</v>
      </c>
      <c r="V31" s="16"/>
      <c r="W31" s="13"/>
      <c r="X31" s="1"/>
      <c r="Y31" s="1"/>
      <c r="Z31" s="1"/>
    </row>
    <row r="32" ht="15.0" customHeight="1">
      <c r="A32" s="10"/>
      <c r="B32" s="16"/>
      <c r="C32" s="27" t="s">
        <v>27</v>
      </c>
      <c r="D32" s="27">
        <v>21.0</v>
      </c>
      <c r="E32" s="28" t="s">
        <v>49</v>
      </c>
      <c r="F32" s="29">
        <v>7.0</v>
      </c>
      <c r="G32" s="30">
        <v>9.0</v>
      </c>
      <c r="H32" s="29">
        <v>9.0</v>
      </c>
      <c r="I32" s="29">
        <v>7.0</v>
      </c>
      <c r="J32" s="29">
        <v>6.0</v>
      </c>
      <c r="K32" s="29">
        <v>5.0</v>
      </c>
      <c r="L32" s="29">
        <v>6.0</v>
      </c>
      <c r="M32" s="29">
        <v>9.0</v>
      </c>
      <c r="N32" s="29">
        <v>7.0</v>
      </c>
      <c r="O32" s="29">
        <v>6.0</v>
      </c>
      <c r="P32" s="29">
        <v>5.0</v>
      </c>
      <c r="Q32" s="29">
        <v>5.0</v>
      </c>
      <c r="R32" s="29">
        <v>6.0</v>
      </c>
      <c r="S32" s="29">
        <v>10.0</v>
      </c>
      <c r="T32" s="29">
        <v>7.0</v>
      </c>
      <c r="U32" s="31">
        <f t="shared" si="1"/>
        <v>6.928571429</v>
      </c>
      <c r="V32" s="16"/>
      <c r="W32" s="13"/>
      <c r="X32" s="1"/>
      <c r="Y32" s="1"/>
      <c r="Z32" s="1"/>
    </row>
    <row r="33" ht="15.0" customHeight="1">
      <c r="A33" s="10"/>
      <c r="B33" s="16"/>
      <c r="C33" s="27" t="s">
        <v>29</v>
      </c>
      <c r="D33" s="27">
        <v>22.0</v>
      </c>
      <c r="E33" s="28" t="s">
        <v>50</v>
      </c>
      <c r="F33" s="29">
        <v>10.0</v>
      </c>
      <c r="G33" s="30">
        <v>10.0</v>
      </c>
      <c r="H33" s="29">
        <v>8.0</v>
      </c>
      <c r="I33" s="29">
        <v>9.0</v>
      </c>
      <c r="J33" s="29">
        <v>9.0</v>
      </c>
      <c r="K33" s="29">
        <v>9.0</v>
      </c>
      <c r="L33" s="29">
        <v>8.0</v>
      </c>
      <c r="M33" s="29">
        <v>9.0</v>
      </c>
      <c r="N33" s="29">
        <v>8.0</v>
      </c>
      <c r="O33" s="29">
        <v>6.0</v>
      </c>
      <c r="P33" s="29">
        <v>9.0</v>
      </c>
      <c r="Q33" s="29">
        <v>10.0</v>
      </c>
      <c r="R33" s="29">
        <v>9.0</v>
      </c>
      <c r="S33" s="29">
        <v>10.0</v>
      </c>
      <c r="T33" s="29">
        <v>8.0</v>
      </c>
      <c r="U33" s="31">
        <f t="shared" si="1"/>
        <v>8.714285714</v>
      </c>
      <c r="V33" s="16"/>
      <c r="W33" s="13"/>
      <c r="X33" s="1"/>
      <c r="Y33" s="1"/>
      <c r="Z33" s="1"/>
    </row>
    <row r="34" ht="15.0" customHeight="1">
      <c r="A34" s="10"/>
      <c r="B34" s="16"/>
      <c r="C34" s="27" t="s">
        <v>29</v>
      </c>
      <c r="D34" s="27">
        <v>23.0</v>
      </c>
      <c r="E34" s="28" t="s">
        <v>51</v>
      </c>
      <c r="F34" s="29">
        <v>9.0</v>
      </c>
      <c r="G34" s="30">
        <v>9.0</v>
      </c>
      <c r="H34" s="29">
        <v>9.0</v>
      </c>
      <c r="I34" s="29">
        <v>9.0</v>
      </c>
      <c r="J34" s="29">
        <v>9.0</v>
      </c>
      <c r="K34" s="29">
        <v>9.0</v>
      </c>
      <c r="L34" s="29">
        <v>8.0</v>
      </c>
      <c r="M34" s="29">
        <v>9.0</v>
      </c>
      <c r="N34" s="29">
        <v>7.0</v>
      </c>
      <c r="O34" s="29">
        <v>6.0</v>
      </c>
      <c r="P34" s="29">
        <v>8.0</v>
      </c>
      <c r="Q34" s="29">
        <v>9.0</v>
      </c>
      <c r="R34" s="29">
        <v>7.0</v>
      </c>
      <c r="S34" s="29">
        <v>10.0</v>
      </c>
      <c r="T34" s="29">
        <v>10.0</v>
      </c>
      <c r="U34" s="31">
        <f t="shared" si="1"/>
        <v>8.5</v>
      </c>
      <c r="V34" s="16"/>
      <c r="W34" s="13"/>
      <c r="X34" s="1"/>
      <c r="Y34" s="1"/>
      <c r="Z34" s="1"/>
    </row>
    <row r="35" ht="15.0" customHeight="1">
      <c r="A35" s="10"/>
      <c r="B35" s="16"/>
      <c r="C35" s="27" t="s">
        <v>29</v>
      </c>
      <c r="D35" s="27">
        <v>24.0</v>
      </c>
      <c r="E35" s="28" t="s">
        <v>52</v>
      </c>
      <c r="F35" s="29">
        <v>11.0</v>
      </c>
      <c r="G35" s="30">
        <v>10.0</v>
      </c>
      <c r="H35" s="29">
        <v>10.0</v>
      </c>
      <c r="I35" s="29">
        <v>12.0</v>
      </c>
      <c r="J35" s="29">
        <v>11.0</v>
      </c>
      <c r="K35" s="29">
        <v>10.0</v>
      </c>
      <c r="L35" s="29">
        <v>10.0</v>
      </c>
      <c r="M35" s="29">
        <v>10.0</v>
      </c>
      <c r="N35" s="29">
        <v>10.0</v>
      </c>
      <c r="O35" s="29">
        <v>10.0</v>
      </c>
      <c r="P35" s="29">
        <v>10.0</v>
      </c>
      <c r="Q35" s="29">
        <v>10.0</v>
      </c>
      <c r="R35" s="29">
        <v>10.0</v>
      </c>
      <c r="S35" s="29">
        <v>10.0</v>
      </c>
      <c r="T35" s="29">
        <v>11.0</v>
      </c>
      <c r="U35" s="31">
        <f t="shared" si="1"/>
        <v>10.28571429</v>
      </c>
      <c r="V35" s="16"/>
      <c r="W35" s="13"/>
      <c r="X35" s="1"/>
      <c r="Y35" s="1"/>
      <c r="Z35" s="1"/>
    </row>
    <row r="36" ht="15.0" customHeight="1">
      <c r="A36" s="10"/>
      <c r="B36" s="16"/>
      <c r="C36" s="11"/>
      <c r="D36" s="11"/>
      <c r="E36" s="28" t="s">
        <v>53</v>
      </c>
      <c r="F36" s="32">
        <f>IF(SUM(F12:F35)=0,"",SUM(F12:F35)/D35)</f>
        <v>9.833333333</v>
      </c>
      <c r="G36" s="32">
        <f>IF(SUM(G12:G35)=0,"",SUM(G12:G35)/D35)</f>
        <v>9.25</v>
      </c>
      <c r="H36" s="32">
        <f>IF(SUM(H12:H35)=0,"",SUM(H12:H35)/D35)</f>
        <v>9.625</v>
      </c>
      <c r="I36" s="32">
        <f>IF(SUM(I12:I35)=0,"",SUM(I12:I35)/D35)</f>
        <v>9.791666667</v>
      </c>
      <c r="J36" s="32">
        <f>IF(SUM(J12:J35)=0,"",SUM(J12:J35)/D35)</f>
        <v>9.625</v>
      </c>
      <c r="K36" s="32">
        <f>IF(SUM(K12:K35)=0,"",SUM(K12:K35)/D35)</f>
        <v>9.041666667</v>
      </c>
      <c r="L36" s="32">
        <f>IF(SUM(L12:L35)=0,"",SUM(L12:L35)/D35)</f>
        <v>8.916666667</v>
      </c>
      <c r="M36" s="32">
        <f>IF(SUM(M12:M35)=0,"",SUM(M12:M35)/D35)</f>
        <v>9.333333333</v>
      </c>
      <c r="N36" s="32">
        <f>IF(SUM(N12:N35)=0,"",SUM(N12:N35)/D35)</f>
        <v>8.083333333</v>
      </c>
      <c r="O36" s="32">
        <f>IF(SUM(O12:O35)=0,"",SUM(O12:O35)/D35)</f>
        <v>7.458333333</v>
      </c>
      <c r="P36" s="32">
        <f>IF(SUM(P12:P35)=0,"",SUM(P12:P35)/D35)</f>
        <v>9.083333333</v>
      </c>
      <c r="Q36" s="32">
        <f>IF(SUM(Q12:Q35)=0,"",SUM(Q12:Q35)/D35)</f>
        <v>8.916666667</v>
      </c>
      <c r="R36" s="32">
        <f>IF(SUM(R12:R35)=0,"",SUM(R12:R35)/D35)</f>
        <v>8.166666667</v>
      </c>
      <c r="S36" s="32">
        <f>IF(SUM(S12:S35)=0,"",SUM(S12:S35)/D35)</f>
        <v>9.208333333</v>
      </c>
      <c r="T36" s="32">
        <f>IF(SUM(T12:T35)=0,"",SUM(T12:T35)/D35)</f>
        <v>9.333333333</v>
      </c>
      <c r="U36" s="31">
        <f>IFERROR(AVERAGE(F36:T36),"")</f>
        <v>9.044444444</v>
      </c>
      <c r="V36" s="16"/>
      <c r="W36" s="13"/>
      <c r="X36" s="1"/>
      <c r="Y36" s="1"/>
      <c r="Z36" s="1"/>
    </row>
    <row r="37" ht="15.0" customHeight="1">
      <c r="A37" s="10"/>
      <c r="B37" s="16"/>
      <c r="C37" s="11"/>
      <c r="D37" s="11"/>
      <c r="E37" s="28" t="s">
        <v>54</v>
      </c>
      <c r="F37" s="33">
        <f>IF(SUM(F12:F35)=0,"",IF(COUNTIF(F12:F35,"&gt;=4")=0,0,COUNTIF(F12:F35,"&gt;=4")/D35*100))</f>
        <v>100</v>
      </c>
      <c r="G37" s="33">
        <f>IF(SUM(G12:G35)=0,"",IF(COUNTIF(G12:G35,"&gt;=4")=0,0,COUNTIF(G12:G35,"&gt;=4")/D35*100))</f>
        <v>100</v>
      </c>
      <c r="H37" s="33">
        <f>IF(SUM(H12:H35)=0,"",IF(COUNTIF(H12:H35,"&gt;=4")=0,0,COUNTIF(H12:H35,"&gt;=4")/D35*100))</f>
        <v>100</v>
      </c>
      <c r="I37" s="33">
        <f>IF(SUM(I12:I35)=0,"",IF(COUNTIF(I12:I35,"&gt;=4")=0,0,COUNTIF(I12:I35,"&gt;=4")/D35*100))</f>
        <v>100</v>
      </c>
      <c r="J37" s="33">
        <f>IF(SUM(J12:J35)=0,"",IF(COUNTIF(J12:J35,"&gt;=4")=0,0,COUNTIF(J12:J35,"&gt;=4")/D35*100))</f>
        <v>100</v>
      </c>
      <c r="K37" s="33">
        <f>IF(SUM(K12:K35)=0,"",IF(COUNTIF(K12:K35,"&gt;=4")=0,0,COUNTIF(K12:K35,"&gt;=4")/D35*100))</f>
        <v>100</v>
      </c>
      <c r="L37" s="33">
        <f>IF(SUM(L12:L35)=0,"",IF(COUNTIF(L12:L35,"&gt;=4")=0,0,COUNTIF(L12:L35,"&gt;=4")/D35*100))</f>
        <v>95.83333333</v>
      </c>
      <c r="M37" s="33">
        <f>IF(SUM(M12:M35)=0,"",IF(COUNTIF(M12:M35,"&gt;=4")=0,0,COUNTIF(M12:M35,"&gt;=4")/D35*100))</f>
        <v>100</v>
      </c>
      <c r="N37" s="33">
        <f>IF(SUM(N12:N35)=0,"",IF(COUNTIF(N12:N35,"&gt;=4")=0,0,COUNTIF(N12:N35,"&gt;=4")/D35*100))</f>
        <v>100</v>
      </c>
      <c r="O37" s="33">
        <f>IF(SUM(O12:O35)=0,"",IF(COUNTIF(O12:O35,"&gt;=4")=0,0,COUNTIF(O12:O35,"&gt;=4")/D35*100))</f>
        <v>100</v>
      </c>
      <c r="P37" s="33">
        <f>IF(SUM(P12:P35)=0,"",IF(COUNTIF(P12:P35,"&gt;=4")=0,0,COUNTIF(P12:P35,"&gt;=4")/D35*100))</f>
        <v>100</v>
      </c>
      <c r="Q37" s="33">
        <f>IF(SUM(Q12:Q35)=0,"",IF(COUNTIF(Q12:Q35,"&gt;=4")=0,0,COUNTIF(Q12:Q35,"&gt;=4")/D35*100))</f>
        <v>100</v>
      </c>
      <c r="R37" s="33">
        <f>IF(SUM(R12:R35)=0,"",IF(COUNTIF(R12:R35,"&gt;=4")=0,0,COUNTIF(R12:R35,"&gt;=4")/D35*100))</f>
        <v>100</v>
      </c>
      <c r="S37" s="33">
        <f>IF(SUM(S12:S35)=0,"",IF(COUNTIF(S12:S35,"&gt;=4")=0,0,COUNTIF(S12:S35,"&gt;=4")/D35*100))</f>
        <v>100</v>
      </c>
      <c r="T37" s="33">
        <f>IF(SUM(T12:T35)=0,"",IF(COUNTIF(T12:T35,"&gt;=4")=0,0,COUNTIF(T12:T35,"&gt;=4")/D35*100))</f>
        <v>100</v>
      </c>
      <c r="U37" s="11"/>
      <c r="V37" s="16"/>
      <c r="W37" s="13"/>
      <c r="X37" s="1"/>
      <c r="Y37" s="1"/>
      <c r="Z37" s="1"/>
    </row>
    <row r="38" ht="15.0" customHeight="1">
      <c r="A38" s="10"/>
      <c r="B38" s="16"/>
      <c r="C38" s="11"/>
      <c r="D38" s="11"/>
      <c r="E38" s="28" t="s">
        <v>55</v>
      </c>
      <c r="F38" s="33">
        <f>IF(SUM(F12:F35)=0,"",IF(COUNTIF(F12:F35,"&gt;=7")=0,0,COUNTIF(F12:F35,"&gt;=7")/D35*100))</f>
        <v>100</v>
      </c>
      <c r="G38" s="33">
        <f>IF(SUM(G12:G35)=0,"",IF(COUNTIF(G12:G35,"&gt;=7")=0,0,COUNTIF(G12:G35,"&gt;=7")/D35*100))</f>
        <v>95.83333333</v>
      </c>
      <c r="H38" s="33">
        <f>IF(SUM(H12:H35)=0,"",IF(COUNTIF(H12:H35,"&gt;=7")=0,0,COUNTIF(H12:H35,"&gt;=7")/D35*100))</f>
        <v>100</v>
      </c>
      <c r="I38" s="33">
        <f>IF(SUM(I12:I35)=0,"",IF(COUNTIF(I12:I35,"&gt;=7")=0,0,COUNTIF(I12:I35,"&gt;=7")/D35*100))</f>
        <v>100</v>
      </c>
      <c r="J38" s="33">
        <f>IF(SUM(J12:J35)=0,"",IF(COUNTIF(J12:J35,"&gt;=7")=0,0,COUNTIF(J12:J35,"&gt;=7")/D35*100))</f>
        <v>91.66666667</v>
      </c>
      <c r="K38" s="33">
        <f>IF(SUM(K12:K35)=0,"",IF(COUNTIF(K12:K35,"&gt;=7")=0,0,COUNTIF(K12:K35,"&gt;=7")/D35*100))</f>
        <v>95.83333333</v>
      </c>
      <c r="L38" s="33">
        <f>IF(SUM(L12:L35)=0,"",IF(COUNTIF(L12:L35,"&gt;=7")=0,0,COUNTIF(L12:L35,"&gt;=7")/D35*100))</f>
        <v>87.5</v>
      </c>
      <c r="M38" s="33">
        <f>IF(SUM(M12:M35)=0,"",IF(COUNTIF(M12:M35,"&gt;=7")=0,0,COUNTIF(M12:M35,"&gt;=7")/D35*100))</f>
        <v>95.83333333</v>
      </c>
      <c r="N38" s="33">
        <f>IF(SUM(N12:N35)=0,"",IF(COUNTIF(N12:N35,"&gt;=7")=0,0,COUNTIF(N12:N35,"&gt;=7")/D35*100))</f>
        <v>87.5</v>
      </c>
      <c r="O38" s="33">
        <f>IF(SUM(O12:O35)=0,"",IF(COUNTIF(O12:O35,"&gt;=7")=0,0,COUNTIF(O12:O35,"&gt;=7")/D35*100))</f>
        <v>62.5</v>
      </c>
      <c r="P38" s="33">
        <f>IF(SUM(P12:P35)=0,"",IF(COUNTIF(P12:P35,"&gt;=7")=0,0,COUNTIF(P12:P35,"&gt;=7")/D35*100))</f>
        <v>91.66666667</v>
      </c>
      <c r="Q38" s="33">
        <f>IF(SUM(Q12:Q35)=0,"",IF(COUNTIF(Q12:Q35,"&gt;=7")=0,0,COUNTIF(Q12:Q35,"&gt;=7")/D35*100))</f>
        <v>95.83333333</v>
      </c>
      <c r="R38" s="33">
        <f>IF(SUM(R12:R35)=0,"",IF(COUNTIF(R12:R35,"&gt;=7")=0,0,COUNTIF(R12:R35,"&gt;=7")/D35*100))</f>
        <v>83.33333333</v>
      </c>
      <c r="S38" s="33">
        <f>IF(SUM(S12:S35)=0,"",IF(COUNTIF(S12:S35,"&gt;=7")=0,0,COUNTIF(S12:S35,"&gt;=7")/D35*100))</f>
        <v>87.5</v>
      </c>
      <c r="T38" s="33">
        <f>IF(SUM(T12:T35)=0,"",IF(COUNTIF(T12:T35,"&gt;=7")=0,0,COUNTIF(T12:T35,"&gt;=7")/D35*100))</f>
        <v>91.66666667</v>
      </c>
      <c r="U38" s="11"/>
      <c r="V38" s="16"/>
      <c r="W38" s="13"/>
      <c r="X38" s="1"/>
      <c r="Y38" s="1"/>
      <c r="Z38" s="1"/>
    </row>
    <row r="39" ht="15.0" customHeight="1">
      <c r="A39" s="10"/>
      <c r="B39" s="16"/>
      <c r="C39" s="11"/>
      <c r="D39" s="11"/>
      <c r="E39" s="28" t="s">
        <v>56</v>
      </c>
      <c r="F39" s="32">
        <f t="shared" ref="F39:F40" si="2">IFERROR(AVERAGE(F37:T37),"")</f>
        <v>99.72222222</v>
      </c>
      <c r="G39" s="34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6"/>
      <c r="W39" s="13"/>
      <c r="X39" s="1"/>
      <c r="Y39" s="1"/>
      <c r="Z39" s="1"/>
    </row>
    <row r="40" ht="15.0" customHeight="1">
      <c r="A40" s="10"/>
      <c r="B40" s="16"/>
      <c r="C40" s="11"/>
      <c r="D40" s="11"/>
      <c r="E40" s="28" t="s">
        <v>57</v>
      </c>
      <c r="F40" s="32">
        <f t="shared" si="2"/>
        <v>91.11111111</v>
      </c>
      <c r="G40" s="34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6"/>
      <c r="W40" s="13"/>
      <c r="X40" s="1"/>
      <c r="Y40" s="1"/>
      <c r="Z40" s="1"/>
    </row>
    <row r="41" ht="15.0" customHeight="1">
      <c r="A41" s="10"/>
      <c r="B41" s="16"/>
      <c r="C41" s="11"/>
      <c r="D41" s="11"/>
      <c r="E41" s="28" t="s">
        <v>58</v>
      </c>
      <c r="F41" s="29">
        <f>IF(COUNTIF(C12:C35,"=Б")=0,IF(COUNTIF(C12:C35,"=К")=0,"",0),COUNTIF(C12:C35,"=Б"))</f>
        <v>16</v>
      </c>
      <c r="G41" s="34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6"/>
      <c r="W41" s="13"/>
      <c r="X41" s="1"/>
      <c r="Y41" s="1"/>
      <c r="Z41" s="1"/>
    </row>
    <row r="42" ht="15.0" customHeight="1">
      <c r="A42" s="10"/>
      <c r="B42" s="16"/>
      <c r="C42" s="11"/>
      <c r="D42" s="11"/>
      <c r="E42" s="28" t="s">
        <v>59</v>
      </c>
      <c r="F42" s="29">
        <f>IF(COUNTIF(C12:C35,"=К")=0,IF(COUNTIF(C12:C35,"=Б")=0,"",0),COUNTIF(C12:C35,"=К"))</f>
        <v>8</v>
      </c>
      <c r="G42" s="34"/>
      <c r="H42" s="11"/>
      <c r="I42" s="35" t="s">
        <v>60</v>
      </c>
      <c r="J42" s="11"/>
      <c r="K42" s="11"/>
      <c r="L42" s="11"/>
      <c r="M42" s="11"/>
      <c r="N42" s="11"/>
      <c r="O42" s="11"/>
      <c r="P42" s="36" t="s">
        <v>61</v>
      </c>
      <c r="Q42" s="11"/>
      <c r="R42" s="11"/>
      <c r="S42" s="11"/>
      <c r="T42" s="11"/>
      <c r="U42" s="11"/>
      <c r="V42" s="16"/>
      <c r="W42" s="13"/>
      <c r="X42" s="1"/>
      <c r="Y42" s="1"/>
      <c r="Z42" s="1"/>
    </row>
    <row r="43" ht="15.0" customHeight="1">
      <c r="A43" s="10"/>
      <c r="B43" s="16"/>
      <c r="C43" s="11"/>
      <c r="D43" s="11"/>
      <c r="E43" s="28" t="s">
        <v>62</v>
      </c>
      <c r="F43" s="29">
        <v>2.0</v>
      </c>
      <c r="G43" s="34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6"/>
      <c r="W43" s="13"/>
      <c r="X43" s="1"/>
      <c r="Y43" s="1"/>
      <c r="Z43" s="1"/>
    </row>
    <row r="44" ht="15.0" customHeight="1">
      <c r="A44" s="10"/>
      <c r="B44" s="37"/>
      <c r="C44" s="11"/>
      <c r="D44" s="11"/>
      <c r="E44" s="28" t="s">
        <v>63</v>
      </c>
      <c r="F44" s="29">
        <v>6.0</v>
      </c>
      <c r="G44" s="34"/>
      <c r="H44" s="11"/>
      <c r="I44" s="35" t="s">
        <v>64</v>
      </c>
      <c r="J44" s="11"/>
      <c r="K44" s="11"/>
      <c r="L44" s="11"/>
      <c r="M44" s="11"/>
      <c r="N44" s="11"/>
      <c r="O44" s="11"/>
      <c r="P44" s="35" t="s">
        <v>65</v>
      </c>
      <c r="Q44" s="11"/>
      <c r="R44" s="11"/>
      <c r="S44" s="11"/>
      <c r="T44" s="11"/>
      <c r="U44" s="11"/>
      <c r="V44" s="37"/>
      <c r="W44" s="13"/>
      <c r="X44" s="1"/>
      <c r="Y44" s="1"/>
      <c r="Z44" s="1"/>
    </row>
    <row r="45" ht="12.0" customHeight="1">
      <c r="A45" s="38"/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8"/>
      <c r="W45" s="39"/>
      <c r="X45" s="1"/>
      <c r="Y45" s="1"/>
      <c r="Z45" s="1"/>
    </row>
    <row r="46" ht="12.0" customHeight="1">
      <c r="A46" s="1"/>
      <c r="B46" s="40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2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C4:U4"/>
    <mergeCell ref="C5:U5"/>
    <mergeCell ref="C6:U6"/>
    <mergeCell ref="C7:U7"/>
    <mergeCell ref="C8:U8"/>
    <mergeCell ref="C9:U9"/>
    <mergeCell ref="C10:C11"/>
    <mergeCell ref="D10:D11"/>
    <mergeCell ref="E10:E11"/>
    <mergeCell ref="F10:U10"/>
    <mergeCell ref="B45:V45"/>
    <mergeCell ref="B46:V46"/>
    <mergeCell ref="B1:V1"/>
    <mergeCell ref="A2:A45"/>
    <mergeCell ref="B2:V2"/>
    <mergeCell ref="W2:W45"/>
    <mergeCell ref="C3:U3"/>
    <mergeCell ref="B4:B44"/>
    <mergeCell ref="V4:V44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E100"/>
    <pageSetUpPr fitToPage="1"/>
  </sheetPr>
  <sheetViews>
    <sheetView workbookViewId="0"/>
  </sheetViews>
  <sheetFormatPr customHeight="1" defaultColWidth="14.43" defaultRowHeight="15.0"/>
  <cols>
    <col customWidth="1" min="1" max="2" width="2.71"/>
    <col customWidth="1" min="3" max="3" width="4.14"/>
    <col customWidth="1" min="4" max="4" width="6.57"/>
    <col customWidth="1" min="5" max="5" width="40.43"/>
    <col customWidth="1" min="6" max="20" width="6.71"/>
    <col customWidth="1" min="21" max="22" width="11.29"/>
    <col customWidth="1" min="23" max="24" width="2.71"/>
    <col customWidth="1" hidden="1" min="25" max="25" width="14.43"/>
    <col customWidth="1" min="26" max="26" width="8.71"/>
  </cols>
  <sheetData>
    <row r="1" ht="12.0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1"/>
      <c r="Y1" s="1"/>
      <c r="Z1" s="1"/>
    </row>
    <row r="2" ht="12.0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8"/>
      <c r="X2" s="9"/>
      <c r="Y2" s="1"/>
      <c r="Z2" s="1"/>
    </row>
    <row r="3" ht="15.0" customHeight="1">
      <c r="A3" s="10"/>
      <c r="B3" s="11"/>
      <c r="C3" s="12" t="s"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  <c r="W3" s="11"/>
      <c r="X3" s="13"/>
      <c r="Y3" s="14"/>
      <c r="Z3" s="14"/>
    </row>
    <row r="4" ht="15.0" customHeight="1">
      <c r="A4" s="10"/>
      <c r="B4" s="15"/>
      <c r="C4" s="12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  <c r="W4" s="15"/>
      <c r="X4" s="13"/>
      <c r="Y4" s="14"/>
      <c r="Z4" s="14"/>
    </row>
    <row r="5" ht="15.0" customHeight="1">
      <c r="A5" s="10"/>
      <c r="B5" s="16"/>
      <c r="C5" s="12" t="s"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  <c r="W5" s="16"/>
      <c r="X5" s="13"/>
      <c r="Y5" s="14"/>
      <c r="Z5" s="14"/>
    </row>
    <row r="6" ht="15.0" customHeight="1">
      <c r="A6" s="10"/>
      <c r="B6" s="16"/>
      <c r="C6" s="17" t="s">
        <v>66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  <c r="W6" s="16"/>
      <c r="X6" s="13"/>
      <c r="Y6" s="18"/>
      <c r="Z6" s="18"/>
    </row>
    <row r="7" ht="15.0" customHeight="1">
      <c r="A7" s="10"/>
      <c r="B7" s="16"/>
      <c r="C7" s="12" t="s"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8"/>
      <c r="W7" s="16"/>
      <c r="X7" s="13"/>
      <c r="Y7" s="14"/>
      <c r="Z7" s="14"/>
    </row>
    <row r="8" ht="15.0" customHeight="1">
      <c r="A8" s="10"/>
      <c r="B8" s="16"/>
      <c r="C8" s="12" t="s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"/>
      <c r="W8" s="16"/>
      <c r="X8" s="13"/>
      <c r="Y8" s="14"/>
      <c r="Z8" s="14"/>
    </row>
    <row r="9" ht="15.0" customHeight="1">
      <c r="A9" s="10"/>
      <c r="B9" s="16"/>
      <c r="C9" s="12" t="s">
        <v>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  <c r="W9" s="16"/>
      <c r="X9" s="13"/>
      <c r="Y9" s="14"/>
      <c r="Z9" s="14"/>
    </row>
    <row r="10" ht="15.0" customHeight="1">
      <c r="A10" s="10"/>
      <c r="B10" s="16"/>
      <c r="C10" s="19" t="s">
        <v>7</v>
      </c>
      <c r="D10" s="20" t="s">
        <v>8</v>
      </c>
      <c r="E10" s="20" t="s">
        <v>9</v>
      </c>
      <c r="F10" s="21" t="s">
        <v>10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3"/>
      <c r="W10" s="16"/>
      <c r="X10" s="13"/>
      <c r="Y10" s="1"/>
      <c r="Z10" s="1"/>
    </row>
    <row r="11" ht="124.5" customHeight="1">
      <c r="A11" s="10"/>
      <c r="B11" s="16"/>
      <c r="C11" s="24"/>
      <c r="D11" s="24"/>
      <c r="E11" s="24"/>
      <c r="F11" s="25" t="s">
        <v>11</v>
      </c>
      <c r="G11" s="25" t="s">
        <v>12</v>
      </c>
      <c r="H11" s="25" t="s">
        <v>13</v>
      </c>
      <c r="I11" s="25" t="s">
        <v>14</v>
      </c>
      <c r="J11" s="25" t="s">
        <v>15</v>
      </c>
      <c r="K11" s="25" t="s">
        <v>16</v>
      </c>
      <c r="L11" s="25" t="s">
        <v>17</v>
      </c>
      <c r="M11" s="25" t="s">
        <v>18</v>
      </c>
      <c r="N11" s="25" t="s">
        <v>19</v>
      </c>
      <c r="O11" s="25" t="s">
        <v>20</v>
      </c>
      <c r="P11" s="25" t="s">
        <v>21</v>
      </c>
      <c r="Q11" s="25" t="s">
        <v>22</v>
      </c>
      <c r="R11" s="25" t="s">
        <v>23</v>
      </c>
      <c r="S11" s="25" t="s">
        <v>24</v>
      </c>
      <c r="T11" s="25" t="s">
        <v>25</v>
      </c>
      <c r="U11" s="26" t="s">
        <v>26</v>
      </c>
      <c r="V11" s="26" t="s">
        <v>67</v>
      </c>
      <c r="W11" s="16"/>
      <c r="X11" s="13"/>
      <c r="Y11" s="1"/>
      <c r="Z11" s="1"/>
    </row>
    <row r="12" ht="15.0" customHeight="1">
      <c r="A12" s="10"/>
      <c r="B12" s="16"/>
      <c r="C12" s="43" t="s">
        <v>29</v>
      </c>
      <c r="D12" s="43">
        <v>1.0</v>
      </c>
      <c r="E12" s="44" t="s">
        <v>41</v>
      </c>
      <c r="F12" s="45">
        <v>11.0</v>
      </c>
      <c r="G12" s="46">
        <v>11.0</v>
      </c>
      <c r="H12" s="45">
        <v>10.0</v>
      </c>
      <c r="I12" s="45">
        <v>11.0</v>
      </c>
      <c r="J12" s="45">
        <v>11.0</v>
      </c>
      <c r="K12" s="45">
        <v>12.0</v>
      </c>
      <c r="L12" s="45">
        <v>11.0</v>
      </c>
      <c r="M12" s="45">
        <v>10.0</v>
      </c>
      <c r="N12" s="45">
        <v>10.0</v>
      </c>
      <c r="O12" s="45">
        <v>10.0</v>
      </c>
      <c r="P12" s="45">
        <v>11.0</v>
      </c>
      <c r="Q12" s="45">
        <v>11.0</v>
      </c>
      <c r="R12" s="45">
        <v>10.0</v>
      </c>
      <c r="S12" s="45">
        <v>10.0</v>
      </c>
      <c r="T12" s="45">
        <v>11.0</v>
      </c>
      <c r="U12" s="47">
        <f t="shared" ref="U12:U27" si="1">IF(COUNTIF(F12:T12,"=*")&gt;0,"-",IF(COUNTIF(F12:T12,"&lt;4")&gt;0,"-",(IFERROR(AVERAGE(F12:T12),""))))</f>
        <v>10.66666667</v>
      </c>
      <c r="V12" s="47">
        <f t="shared" ref="V12:V27" si="2">U12/12*90</f>
        <v>80</v>
      </c>
      <c r="W12" s="16"/>
      <c r="X12" s="13"/>
      <c r="Y12" s="1"/>
      <c r="Z12" s="1"/>
    </row>
    <row r="13" ht="15.0" customHeight="1">
      <c r="A13" s="10"/>
      <c r="B13" s="16"/>
      <c r="C13" s="43" t="s">
        <v>29</v>
      </c>
      <c r="D13" s="43">
        <v>2.0</v>
      </c>
      <c r="E13" s="44" t="s">
        <v>32</v>
      </c>
      <c r="F13" s="45">
        <v>11.0</v>
      </c>
      <c r="G13" s="46">
        <v>10.0</v>
      </c>
      <c r="H13" s="45">
        <v>10.0</v>
      </c>
      <c r="I13" s="45">
        <v>11.0</v>
      </c>
      <c r="J13" s="45">
        <v>11.0</v>
      </c>
      <c r="K13" s="45">
        <v>11.0</v>
      </c>
      <c r="L13" s="45">
        <v>11.0</v>
      </c>
      <c r="M13" s="45">
        <v>10.0</v>
      </c>
      <c r="N13" s="45">
        <v>10.0</v>
      </c>
      <c r="O13" s="45">
        <v>10.0</v>
      </c>
      <c r="P13" s="45">
        <v>11.0</v>
      </c>
      <c r="Q13" s="45">
        <v>10.0</v>
      </c>
      <c r="R13" s="45">
        <v>10.0</v>
      </c>
      <c r="S13" s="45">
        <v>11.0</v>
      </c>
      <c r="T13" s="45">
        <v>11.0</v>
      </c>
      <c r="U13" s="47">
        <f t="shared" si="1"/>
        <v>10.53333333</v>
      </c>
      <c r="V13" s="47">
        <f t="shared" si="2"/>
        <v>79</v>
      </c>
      <c r="W13" s="16"/>
      <c r="X13" s="13"/>
      <c r="Y13" s="1"/>
      <c r="Z13" s="1"/>
    </row>
    <row r="14" ht="15.0" customHeight="1">
      <c r="A14" s="10"/>
      <c r="B14" s="16"/>
      <c r="C14" s="43" t="s">
        <v>29</v>
      </c>
      <c r="D14" s="43">
        <v>3.0</v>
      </c>
      <c r="E14" s="44" t="s">
        <v>35</v>
      </c>
      <c r="F14" s="45">
        <v>12.0</v>
      </c>
      <c r="G14" s="46">
        <v>11.0</v>
      </c>
      <c r="H14" s="45">
        <v>10.0</v>
      </c>
      <c r="I14" s="45">
        <v>12.0</v>
      </c>
      <c r="J14" s="45">
        <v>11.0</v>
      </c>
      <c r="K14" s="45">
        <v>11.0</v>
      </c>
      <c r="L14" s="45">
        <v>10.0</v>
      </c>
      <c r="M14" s="45">
        <v>11.0</v>
      </c>
      <c r="N14" s="45">
        <v>10.0</v>
      </c>
      <c r="O14" s="45">
        <v>10.0</v>
      </c>
      <c r="P14" s="45">
        <v>10.0</v>
      </c>
      <c r="Q14" s="45">
        <v>10.0</v>
      </c>
      <c r="R14" s="45">
        <v>10.0</v>
      </c>
      <c r="S14" s="45">
        <v>10.0</v>
      </c>
      <c r="T14" s="45">
        <v>10.0</v>
      </c>
      <c r="U14" s="47">
        <f t="shared" si="1"/>
        <v>10.53333333</v>
      </c>
      <c r="V14" s="47">
        <f t="shared" si="2"/>
        <v>79</v>
      </c>
      <c r="W14" s="16"/>
      <c r="X14" s="13"/>
      <c r="Y14" s="1"/>
      <c r="Z14" s="1"/>
    </row>
    <row r="15" ht="15.0" customHeight="1">
      <c r="A15" s="10"/>
      <c r="B15" s="16"/>
      <c r="C15" s="43" t="s">
        <v>29</v>
      </c>
      <c r="D15" s="43">
        <v>4.0</v>
      </c>
      <c r="E15" s="44" t="s">
        <v>37</v>
      </c>
      <c r="F15" s="45">
        <v>10.0</v>
      </c>
      <c r="G15" s="46">
        <v>10.0</v>
      </c>
      <c r="H15" s="45">
        <v>10.0</v>
      </c>
      <c r="I15" s="45">
        <v>11.0</v>
      </c>
      <c r="J15" s="45">
        <v>11.0</v>
      </c>
      <c r="K15" s="45">
        <v>11.0</v>
      </c>
      <c r="L15" s="45">
        <v>10.0</v>
      </c>
      <c r="M15" s="45">
        <v>10.0</v>
      </c>
      <c r="N15" s="45">
        <v>10.0</v>
      </c>
      <c r="O15" s="45">
        <v>10.0</v>
      </c>
      <c r="P15" s="45">
        <v>10.0</v>
      </c>
      <c r="Q15" s="45">
        <v>10.0</v>
      </c>
      <c r="R15" s="45">
        <v>11.0</v>
      </c>
      <c r="S15" s="45">
        <v>10.0</v>
      </c>
      <c r="T15" s="45">
        <v>11.0</v>
      </c>
      <c r="U15" s="47">
        <f t="shared" si="1"/>
        <v>10.33333333</v>
      </c>
      <c r="V15" s="47">
        <f t="shared" si="2"/>
        <v>77.5</v>
      </c>
      <c r="W15" s="16"/>
      <c r="X15" s="13"/>
      <c r="Y15" s="1"/>
      <c r="Z15" s="1"/>
    </row>
    <row r="16" ht="15.0" customHeight="1">
      <c r="A16" s="10"/>
      <c r="B16" s="16"/>
      <c r="C16" s="43" t="s">
        <v>29</v>
      </c>
      <c r="D16" s="43">
        <v>5.0</v>
      </c>
      <c r="E16" s="44" t="s">
        <v>52</v>
      </c>
      <c r="F16" s="45">
        <v>11.0</v>
      </c>
      <c r="G16" s="46">
        <v>10.0</v>
      </c>
      <c r="H16" s="45">
        <v>10.0</v>
      </c>
      <c r="I16" s="45">
        <v>12.0</v>
      </c>
      <c r="J16" s="45">
        <v>11.0</v>
      </c>
      <c r="K16" s="45">
        <v>10.0</v>
      </c>
      <c r="L16" s="45">
        <v>10.0</v>
      </c>
      <c r="M16" s="45">
        <v>10.0</v>
      </c>
      <c r="N16" s="45">
        <v>10.0</v>
      </c>
      <c r="O16" s="45">
        <v>10.0</v>
      </c>
      <c r="P16" s="45">
        <v>10.0</v>
      </c>
      <c r="Q16" s="45">
        <v>10.0</v>
      </c>
      <c r="R16" s="45">
        <v>10.0</v>
      </c>
      <c r="S16" s="45">
        <v>10.0</v>
      </c>
      <c r="T16" s="45">
        <v>11.0</v>
      </c>
      <c r="U16" s="47">
        <f t="shared" si="1"/>
        <v>10.33333333</v>
      </c>
      <c r="V16" s="47">
        <f t="shared" si="2"/>
        <v>77.5</v>
      </c>
      <c r="W16" s="16"/>
      <c r="X16" s="13"/>
      <c r="Y16" s="1"/>
      <c r="Z16" s="1"/>
    </row>
    <row r="17" ht="15.0" customHeight="1">
      <c r="A17" s="10"/>
      <c r="B17" s="16"/>
      <c r="C17" s="43" t="s">
        <v>29</v>
      </c>
      <c r="D17" s="43">
        <v>6.0</v>
      </c>
      <c r="E17" s="44" t="s">
        <v>36</v>
      </c>
      <c r="F17" s="45">
        <v>10.0</v>
      </c>
      <c r="G17" s="46">
        <v>11.0</v>
      </c>
      <c r="H17" s="45">
        <v>10.0</v>
      </c>
      <c r="I17" s="45">
        <v>10.0</v>
      </c>
      <c r="J17" s="45">
        <v>11.0</v>
      </c>
      <c r="K17" s="45">
        <v>9.0</v>
      </c>
      <c r="L17" s="45">
        <v>10.0</v>
      </c>
      <c r="M17" s="45">
        <v>10.0</v>
      </c>
      <c r="N17" s="45">
        <v>9.0</v>
      </c>
      <c r="O17" s="45">
        <v>10.0</v>
      </c>
      <c r="P17" s="45">
        <v>9.0</v>
      </c>
      <c r="Q17" s="45">
        <v>9.0</v>
      </c>
      <c r="R17" s="45">
        <v>9.0</v>
      </c>
      <c r="S17" s="45">
        <v>10.0</v>
      </c>
      <c r="T17" s="45">
        <v>11.0</v>
      </c>
      <c r="U17" s="47">
        <f t="shared" si="1"/>
        <v>9.866666667</v>
      </c>
      <c r="V17" s="47">
        <f t="shared" si="2"/>
        <v>74</v>
      </c>
      <c r="W17" s="16"/>
      <c r="X17" s="13"/>
      <c r="Y17" s="1"/>
      <c r="Z17" s="1"/>
    </row>
    <row r="18" ht="15.0" customHeight="1">
      <c r="A18" s="10"/>
      <c r="B18" s="16"/>
      <c r="C18" s="27" t="s">
        <v>29</v>
      </c>
      <c r="D18" s="27">
        <v>7.0</v>
      </c>
      <c r="E18" s="28" t="s">
        <v>34</v>
      </c>
      <c r="F18" s="29">
        <v>11.0</v>
      </c>
      <c r="G18" s="30">
        <v>10.0</v>
      </c>
      <c r="H18" s="29">
        <v>10.0</v>
      </c>
      <c r="I18" s="29">
        <v>12.0</v>
      </c>
      <c r="J18" s="29">
        <v>11.0</v>
      </c>
      <c r="K18" s="29">
        <v>9.0</v>
      </c>
      <c r="L18" s="29">
        <v>10.0</v>
      </c>
      <c r="M18" s="29">
        <v>10.0</v>
      </c>
      <c r="N18" s="29">
        <v>9.0</v>
      </c>
      <c r="O18" s="29">
        <v>7.0</v>
      </c>
      <c r="P18" s="29">
        <v>9.0</v>
      </c>
      <c r="Q18" s="29">
        <v>9.0</v>
      </c>
      <c r="R18" s="29">
        <v>9.0</v>
      </c>
      <c r="S18" s="29">
        <v>10.0</v>
      </c>
      <c r="T18" s="29">
        <v>11.0</v>
      </c>
      <c r="U18" s="48">
        <f t="shared" si="1"/>
        <v>9.8</v>
      </c>
      <c r="V18" s="48">
        <f t="shared" si="2"/>
        <v>73.5</v>
      </c>
      <c r="W18" s="16"/>
      <c r="X18" s="13"/>
      <c r="Y18" s="1"/>
      <c r="Z18" s="1"/>
    </row>
    <row r="19" ht="15.0" customHeight="1">
      <c r="A19" s="10"/>
      <c r="B19" s="16"/>
      <c r="C19" s="27" t="s">
        <v>29</v>
      </c>
      <c r="D19" s="27">
        <v>8.0</v>
      </c>
      <c r="E19" s="28" t="s">
        <v>48</v>
      </c>
      <c r="F19" s="29">
        <v>10.0</v>
      </c>
      <c r="G19" s="30">
        <v>10.0</v>
      </c>
      <c r="H19" s="29">
        <v>10.0</v>
      </c>
      <c r="I19" s="29">
        <v>10.0</v>
      </c>
      <c r="J19" s="29">
        <v>10.0</v>
      </c>
      <c r="K19" s="29">
        <v>9.0</v>
      </c>
      <c r="L19" s="29">
        <v>11.0</v>
      </c>
      <c r="M19" s="29">
        <v>10.0</v>
      </c>
      <c r="N19" s="29">
        <v>8.0</v>
      </c>
      <c r="O19" s="29">
        <v>9.0</v>
      </c>
      <c r="P19" s="29">
        <v>10.0</v>
      </c>
      <c r="Q19" s="29">
        <v>8.0</v>
      </c>
      <c r="R19" s="29">
        <v>9.0</v>
      </c>
      <c r="S19" s="29">
        <v>10.0</v>
      </c>
      <c r="T19" s="29">
        <v>10.0</v>
      </c>
      <c r="U19" s="48">
        <f t="shared" si="1"/>
        <v>9.6</v>
      </c>
      <c r="V19" s="48">
        <f t="shared" si="2"/>
        <v>72</v>
      </c>
      <c r="W19" s="16"/>
      <c r="X19" s="13"/>
      <c r="Y19" s="1"/>
      <c r="Z19" s="1"/>
    </row>
    <row r="20" ht="15.0" customHeight="1">
      <c r="A20" s="10"/>
      <c r="B20" s="16"/>
      <c r="C20" s="27" t="s">
        <v>29</v>
      </c>
      <c r="D20" s="27">
        <v>9.0</v>
      </c>
      <c r="E20" s="28" t="s">
        <v>46</v>
      </c>
      <c r="F20" s="29">
        <v>10.0</v>
      </c>
      <c r="G20" s="30">
        <v>9.0</v>
      </c>
      <c r="H20" s="29">
        <v>10.0</v>
      </c>
      <c r="I20" s="29">
        <v>10.0</v>
      </c>
      <c r="J20" s="29">
        <v>9.0</v>
      </c>
      <c r="K20" s="29">
        <v>9.0</v>
      </c>
      <c r="L20" s="29">
        <v>11.0</v>
      </c>
      <c r="M20" s="29">
        <v>10.0</v>
      </c>
      <c r="N20" s="29">
        <v>8.0</v>
      </c>
      <c r="O20" s="29">
        <v>7.0</v>
      </c>
      <c r="P20" s="29">
        <v>9.0</v>
      </c>
      <c r="Q20" s="29">
        <v>9.0</v>
      </c>
      <c r="R20" s="29">
        <v>8.0</v>
      </c>
      <c r="S20" s="29">
        <v>10.0</v>
      </c>
      <c r="T20" s="29">
        <v>8.0</v>
      </c>
      <c r="U20" s="48">
        <f t="shared" si="1"/>
        <v>9.133333333</v>
      </c>
      <c r="V20" s="48">
        <f t="shared" si="2"/>
        <v>68.5</v>
      </c>
      <c r="W20" s="16"/>
      <c r="X20" s="13"/>
      <c r="Y20" s="1"/>
      <c r="Z20" s="1"/>
    </row>
    <row r="21" ht="15.0" customHeight="1">
      <c r="A21" s="10"/>
      <c r="B21" s="16"/>
      <c r="C21" s="27" t="s">
        <v>29</v>
      </c>
      <c r="D21" s="27">
        <v>10.0</v>
      </c>
      <c r="E21" s="28" t="s">
        <v>30</v>
      </c>
      <c r="F21" s="29">
        <v>9.0</v>
      </c>
      <c r="G21" s="30">
        <v>9.0</v>
      </c>
      <c r="H21" s="29">
        <v>10.0</v>
      </c>
      <c r="I21" s="29">
        <v>9.0</v>
      </c>
      <c r="J21" s="29">
        <v>10.0</v>
      </c>
      <c r="K21" s="29">
        <v>9.0</v>
      </c>
      <c r="L21" s="29">
        <v>8.0</v>
      </c>
      <c r="M21" s="29">
        <v>10.0</v>
      </c>
      <c r="N21" s="29">
        <v>8.0</v>
      </c>
      <c r="O21" s="29">
        <v>8.0</v>
      </c>
      <c r="P21" s="29">
        <v>9.0</v>
      </c>
      <c r="Q21" s="29">
        <v>9.0</v>
      </c>
      <c r="R21" s="29">
        <v>8.0</v>
      </c>
      <c r="S21" s="29">
        <v>10.0</v>
      </c>
      <c r="T21" s="29">
        <v>10.0</v>
      </c>
      <c r="U21" s="48">
        <f t="shared" si="1"/>
        <v>9.066666667</v>
      </c>
      <c r="V21" s="48">
        <f t="shared" si="2"/>
        <v>68</v>
      </c>
      <c r="W21" s="16"/>
      <c r="X21" s="13"/>
      <c r="Y21" s="1"/>
      <c r="Z21" s="1"/>
    </row>
    <row r="22" ht="15.0" customHeight="1">
      <c r="A22" s="10"/>
      <c r="B22" s="16"/>
      <c r="C22" s="27" t="s">
        <v>29</v>
      </c>
      <c r="D22" s="27">
        <v>11.0</v>
      </c>
      <c r="E22" s="28" t="s">
        <v>33</v>
      </c>
      <c r="F22" s="29">
        <v>10.0</v>
      </c>
      <c r="G22" s="30">
        <v>9.0</v>
      </c>
      <c r="H22" s="29">
        <v>10.0</v>
      </c>
      <c r="I22" s="29">
        <v>10.0</v>
      </c>
      <c r="J22" s="29">
        <v>10.0</v>
      </c>
      <c r="K22" s="29">
        <v>8.0</v>
      </c>
      <c r="L22" s="29">
        <v>10.0</v>
      </c>
      <c r="M22" s="29">
        <v>9.0</v>
      </c>
      <c r="N22" s="29">
        <v>9.0</v>
      </c>
      <c r="O22" s="29">
        <v>8.0</v>
      </c>
      <c r="P22" s="29">
        <v>6.0</v>
      </c>
      <c r="Q22" s="29">
        <v>10.0</v>
      </c>
      <c r="R22" s="29">
        <v>7.0</v>
      </c>
      <c r="S22" s="29">
        <v>10.0</v>
      </c>
      <c r="T22" s="29">
        <v>10.0</v>
      </c>
      <c r="U22" s="48">
        <f t="shared" si="1"/>
        <v>9.066666667</v>
      </c>
      <c r="V22" s="48">
        <f t="shared" si="2"/>
        <v>68</v>
      </c>
      <c r="W22" s="16"/>
      <c r="X22" s="13"/>
      <c r="Y22" s="1"/>
      <c r="Z22" s="1"/>
    </row>
    <row r="23" ht="15.0" customHeight="1">
      <c r="A23" s="10"/>
      <c r="B23" s="16"/>
      <c r="C23" s="27" t="s">
        <v>29</v>
      </c>
      <c r="D23" s="27">
        <v>12.0</v>
      </c>
      <c r="E23" s="28" t="s">
        <v>50</v>
      </c>
      <c r="F23" s="29">
        <v>10.0</v>
      </c>
      <c r="G23" s="30">
        <v>10.0</v>
      </c>
      <c r="H23" s="29">
        <v>8.0</v>
      </c>
      <c r="I23" s="29">
        <v>9.0</v>
      </c>
      <c r="J23" s="29">
        <v>9.0</v>
      </c>
      <c r="K23" s="29">
        <v>9.0</v>
      </c>
      <c r="L23" s="29">
        <v>8.0</v>
      </c>
      <c r="M23" s="29">
        <v>9.0</v>
      </c>
      <c r="N23" s="29">
        <v>8.0</v>
      </c>
      <c r="O23" s="29">
        <v>6.0</v>
      </c>
      <c r="P23" s="29">
        <v>9.0</v>
      </c>
      <c r="Q23" s="29">
        <v>10.0</v>
      </c>
      <c r="R23" s="29">
        <v>9.0</v>
      </c>
      <c r="S23" s="29">
        <v>10.0</v>
      </c>
      <c r="T23" s="29">
        <v>8.0</v>
      </c>
      <c r="U23" s="48">
        <f t="shared" si="1"/>
        <v>8.8</v>
      </c>
      <c r="V23" s="48">
        <f t="shared" si="2"/>
        <v>66</v>
      </c>
      <c r="W23" s="16"/>
      <c r="X23" s="13"/>
      <c r="Y23" s="1"/>
      <c r="Z23" s="1"/>
    </row>
    <row r="24" ht="15.0" customHeight="1">
      <c r="A24" s="10"/>
      <c r="B24" s="16"/>
      <c r="C24" s="27" t="s">
        <v>29</v>
      </c>
      <c r="D24" s="27">
        <v>13.0</v>
      </c>
      <c r="E24" s="28" t="s">
        <v>42</v>
      </c>
      <c r="F24" s="29">
        <v>9.0</v>
      </c>
      <c r="G24" s="30">
        <v>8.0</v>
      </c>
      <c r="H24" s="29">
        <v>10.0</v>
      </c>
      <c r="I24" s="29">
        <v>10.0</v>
      </c>
      <c r="J24" s="29">
        <v>8.0</v>
      </c>
      <c r="K24" s="29">
        <v>10.0</v>
      </c>
      <c r="L24" s="29">
        <v>9.0</v>
      </c>
      <c r="M24" s="29">
        <v>9.0</v>
      </c>
      <c r="N24" s="29">
        <v>8.0</v>
      </c>
      <c r="O24" s="29">
        <v>5.0</v>
      </c>
      <c r="P24" s="29">
        <v>8.0</v>
      </c>
      <c r="Q24" s="29">
        <v>9.0</v>
      </c>
      <c r="R24" s="29">
        <v>9.0</v>
      </c>
      <c r="S24" s="29">
        <v>10.0</v>
      </c>
      <c r="T24" s="29">
        <v>8.0</v>
      </c>
      <c r="U24" s="48">
        <f t="shared" si="1"/>
        <v>8.666666667</v>
      </c>
      <c r="V24" s="48">
        <f t="shared" si="2"/>
        <v>65</v>
      </c>
      <c r="W24" s="16"/>
      <c r="X24" s="13"/>
      <c r="Y24" s="1"/>
      <c r="Z24" s="1"/>
    </row>
    <row r="25" ht="15.0" customHeight="1">
      <c r="A25" s="10"/>
      <c r="B25" s="16"/>
      <c r="C25" s="27" t="s">
        <v>29</v>
      </c>
      <c r="D25" s="27">
        <v>14.0</v>
      </c>
      <c r="E25" s="28" t="s">
        <v>51</v>
      </c>
      <c r="F25" s="29">
        <v>9.0</v>
      </c>
      <c r="G25" s="30">
        <v>9.0</v>
      </c>
      <c r="H25" s="29">
        <v>9.0</v>
      </c>
      <c r="I25" s="29">
        <v>9.0</v>
      </c>
      <c r="J25" s="29">
        <v>9.0</v>
      </c>
      <c r="K25" s="29">
        <v>9.0</v>
      </c>
      <c r="L25" s="29">
        <v>8.0</v>
      </c>
      <c r="M25" s="29">
        <v>9.0</v>
      </c>
      <c r="N25" s="29">
        <v>7.0</v>
      </c>
      <c r="O25" s="29">
        <v>6.0</v>
      </c>
      <c r="P25" s="29">
        <v>8.0</v>
      </c>
      <c r="Q25" s="29">
        <v>9.0</v>
      </c>
      <c r="R25" s="29">
        <v>7.0</v>
      </c>
      <c r="S25" s="29">
        <v>10.0</v>
      </c>
      <c r="T25" s="29">
        <v>10.0</v>
      </c>
      <c r="U25" s="48">
        <f t="shared" si="1"/>
        <v>8.533333333</v>
      </c>
      <c r="V25" s="48">
        <f t="shared" si="2"/>
        <v>64</v>
      </c>
      <c r="W25" s="16"/>
      <c r="X25" s="13"/>
      <c r="Y25" s="1"/>
      <c r="Z25" s="1"/>
    </row>
    <row r="26" ht="15.0" customHeight="1">
      <c r="A26" s="10"/>
      <c r="B26" s="16"/>
      <c r="C26" s="27" t="s">
        <v>29</v>
      </c>
      <c r="D26" s="27">
        <v>15.0</v>
      </c>
      <c r="E26" s="28" t="s">
        <v>31</v>
      </c>
      <c r="F26" s="29">
        <v>9.0</v>
      </c>
      <c r="G26" s="30">
        <v>9.0</v>
      </c>
      <c r="H26" s="29">
        <v>9.0</v>
      </c>
      <c r="I26" s="29">
        <v>9.0</v>
      </c>
      <c r="J26" s="29">
        <v>7.0</v>
      </c>
      <c r="K26" s="29">
        <v>9.0</v>
      </c>
      <c r="L26" s="29">
        <v>4.0</v>
      </c>
      <c r="M26" s="29">
        <v>8.0</v>
      </c>
      <c r="N26" s="29">
        <v>8.0</v>
      </c>
      <c r="O26" s="29">
        <v>5.0</v>
      </c>
      <c r="P26" s="29">
        <v>7.0</v>
      </c>
      <c r="Q26" s="29">
        <v>7.0</v>
      </c>
      <c r="R26" s="29">
        <v>7.0</v>
      </c>
      <c r="S26" s="29">
        <v>10.0</v>
      </c>
      <c r="T26" s="29">
        <v>6.0</v>
      </c>
      <c r="U26" s="48">
        <f t="shared" si="1"/>
        <v>7.6</v>
      </c>
      <c r="V26" s="48">
        <f t="shared" si="2"/>
        <v>57</v>
      </c>
      <c r="W26" s="16"/>
      <c r="X26" s="13"/>
      <c r="Y26" s="1"/>
      <c r="Z26" s="1"/>
    </row>
    <row r="27" ht="15.0" customHeight="1">
      <c r="A27" s="10"/>
      <c r="B27" s="16"/>
      <c r="C27" s="27" t="s">
        <v>29</v>
      </c>
      <c r="D27" s="27">
        <v>16.0</v>
      </c>
      <c r="E27" s="28" t="s">
        <v>44</v>
      </c>
      <c r="F27" s="29">
        <v>9.0</v>
      </c>
      <c r="G27" s="30">
        <v>4.0</v>
      </c>
      <c r="H27" s="29">
        <v>8.0</v>
      </c>
      <c r="I27" s="29">
        <v>7.0</v>
      </c>
      <c r="J27" s="29">
        <v>4.0</v>
      </c>
      <c r="K27" s="29">
        <v>7.0</v>
      </c>
      <c r="L27" s="29">
        <v>7.0</v>
      </c>
      <c r="M27" s="29">
        <v>6.0</v>
      </c>
      <c r="N27" s="29">
        <v>6.0</v>
      </c>
      <c r="O27" s="29">
        <v>6.0</v>
      </c>
      <c r="P27" s="29">
        <v>9.0</v>
      </c>
      <c r="Q27" s="29">
        <v>9.0</v>
      </c>
      <c r="R27" s="29">
        <v>6.0</v>
      </c>
      <c r="S27" s="29">
        <v>8.0</v>
      </c>
      <c r="T27" s="29">
        <v>6.0</v>
      </c>
      <c r="U27" s="48">
        <f t="shared" si="1"/>
        <v>6.8</v>
      </c>
      <c r="V27" s="48">
        <f t="shared" si="2"/>
        <v>51</v>
      </c>
      <c r="W27" s="16"/>
      <c r="X27" s="13"/>
      <c r="Y27" s="1"/>
      <c r="Z27" s="1"/>
    </row>
    <row r="28" ht="15.0" customHeight="1">
      <c r="A28" s="10"/>
      <c r="B28" s="16"/>
      <c r="C28" s="11"/>
      <c r="D28" s="11"/>
      <c r="E28" s="28" t="s">
        <v>58</v>
      </c>
      <c r="F28" s="29">
        <f>'Зведена 075'!F41</f>
        <v>16</v>
      </c>
      <c r="G28" s="34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6"/>
      <c r="X28" s="13"/>
      <c r="Y28" s="1"/>
      <c r="Z28" s="1"/>
    </row>
    <row r="29" ht="15.0" customHeight="1">
      <c r="A29" s="10"/>
      <c r="B29" s="16"/>
      <c r="C29" s="11"/>
      <c r="D29" s="11"/>
      <c r="E29" s="28" t="s">
        <v>59</v>
      </c>
      <c r="F29" s="29">
        <f>'Зведена 075'!F42</f>
        <v>8</v>
      </c>
      <c r="G29" s="34"/>
      <c r="H29" s="11"/>
      <c r="I29" s="35" t="s">
        <v>60</v>
      </c>
      <c r="J29" s="11"/>
      <c r="K29" s="11"/>
      <c r="L29" s="11"/>
      <c r="M29" s="11"/>
      <c r="N29" s="11"/>
      <c r="O29" s="11"/>
      <c r="P29" s="36" t="s">
        <v>61</v>
      </c>
      <c r="Q29" s="11"/>
      <c r="R29" s="11"/>
      <c r="S29" s="11"/>
      <c r="T29" s="11"/>
      <c r="U29" s="11"/>
      <c r="V29" s="11"/>
      <c r="W29" s="16"/>
      <c r="X29" s="13"/>
      <c r="Y29" s="1"/>
      <c r="Z29" s="1"/>
    </row>
    <row r="30" ht="15.0" customHeight="1">
      <c r="A30" s="10"/>
      <c r="B30" s="16"/>
      <c r="C30" s="11"/>
      <c r="D30" s="11"/>
      <c r="E30" s="28" t="s">
        <v>62</v>
      </c>
      <c r="F30" s="29">
        <f>'Зведена 075'!F43</f>
        <v>2</v>
      </c>
      <c r="G30" s="34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6"/>
      <c r="X30" s="13"/>
      <c r="Y30" s="1"/>
      <c r="Z30" s="1"/>
    </row>
    <row r="31" ht="15.0" customHeight="1">
      <c r="A31" s="10"/>
      <c r="B31" s="37"/>
      <c r="C31" s="11"/>
      <c r="D31" s="11"/>
      <c r="E31" s="28" t="s">
        <v>63</v>
      </c>
      <c r="F31" s="29">
        <f>'Зведена 075'!F44</f>
        <v>6</v>
      </c>
      <c r="G31" s="34"/>
      <c r="H31" s="11"/>
      <c r="I31" s="35" t="s">
        <v>64</v>
      </c>
      <c r="J31" s="11"/>
      <c r="K31" s="11"/>
      <c r="L31" s="11"/>
      <c r="M31" s="11"/>
      <c r="N31" s="11"/>
      <c r="O31" s="11"/>
      <c r="P31" s="35" t="s">
        <v>65</v>
      </c>
      <c r="Q31" s="11"/>
      <c r="R31" s="11"/>
      <c r="S31" s="11"/>
      <c r="T31" s="11"/>
      <c r="U31" s="11"/>
      <c r="V31" s="11"/>
      <c r="W31" s="37"/>
      <c r="X31" s="13"/>
      <c r="Y31" s="1"/>
      <c r="Z31" s="1"/>
    </row>
    <row r="32" ht="12.0" customHeight="1">
      <c r="A32" s="38"/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8"/>
      <c r="X32" s="39"/>
      <c r="Y32" s="1"/>
      <c r="Z32" s="1"/>
    </row>
    <row r="33" ht="12.0" customHeight="1">
      <c r="A33" s="1"/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2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C4:V4"/>
    <mergeCell ref="C5:V5"/>
    <mergeCell ref="C6:V6"/>
    <mergeCell ref="C7:V7"/>
    <mergeCell ref="C8:V8"/>
    <mergeCell ref="C9:V9"/>
    <mergeCell ref="C10:C11"/>
    <mergeCell ref="D10:D11"/>
    <mergeCell ref="E10:E11"/>
    <mergeCell ref="F10:V10"/>
    <mergeCell ref="B32:W32"/>
    <mergeCell ref="B33:W33"/>
    <mergeCell ref="B1:W1"/>
    <mergeCell ref="A2:A32"/>
    <mergeCell ref="B2:W2"/>
    <mergeCell ref="X2:X32"/>
    <mergeCell ref="C3:V3"/>
    <mergeCell ref="B4:B31"/>
    <mergeCell ref="W4:W31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E100"/>
    <pageSetUpPr fitToPage="1"/>
  </sheetPr>
  <sheetViews>
    <sheetView workbookViewId="0"/>
  </sheetViews>
  <sheetFormatPr customHeight="1" defaultColWidth="14.43" defaultRowHeight="15.0"/>
  <cols>
    <col customWidth="1" min="1" max="2" width="2.71"/>
    <col customWidth="1" min="3" max="3" width="4.14"/>
    <col customWidth="1" min="4" max="4" width="6.57"/>
    <col customWidth="1" min="5" max="5" width="40.43"/>
    <col customWidth="1" min="6" max="20" width="6.71"/>
    <col customWidth="1" min="21" max="21" width="11.29"/>
    <col customWidth="1" min="22" max="23" width="2.71"/>
    <col customWidth="1" hidden="1" min="24" max="24" width="14.43"/>
    <col customWidth="1" min="25" max="26" width="8.71"/>
  </cols>
  <sheetData>
    <row r="1" ht="12.0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1"/>
      <c r="X1" s="1"/>
      <c r="Y1" s="1"/>
      <c r="Z1" s="1"/>
    </row>
    <row r="2" ht="12.0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9"/>
      <c r="X2" s="1"/>
      <c r="Y2" s="1"/>
      <c r="Z2" s="1"/>
    </row>
    <row r="3" ht="15.0" customHeight="1">
      <c r="A3" s="10"/>
      <c r="B3" s="11"/>
      <c r="C3" s="12" t="s"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  <c r="W3" s="13"/>
      <c r="X3" s="1"/>
      <c r="Y3" s="14"/>
      <c r="Z3" s="14"/>
    </row>
    <row r="4" ht="15.0" customHeight="1">
      <c r="A4" s="10"/>
      <c r="B4" s="15"/>
      <c r="C4" s="12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15"/>
      <c r="W4" s="13"/>
      <c r="X4" s="14"/>
      <c r="Y4" s="14"/>
      <c r="Z4" s="14"/>
    </row>
    <row r="5" ht="15.0" customHeight="1">
      <c r="A5" s="10"/>
      <c r="B5" s="16"/>
      <c r="C5" s="12" t="s"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16"/>
      <c r="W5" s="13"/>
      <c r="X5" s="14"/>
      <c r="Y5" s="14"/>
      <c r="Z5" s="14"/>
    </row>
    <row r="6" ht="15.0" customHeight="1">
      <c r="A6" s="10"/>
      <c r="B6" s="16"/>
      <c r="C6" s="17" t="s">
        <v>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16"/>
      <c r="W6" s="13"/>
      <c r="X6" s="18"/>
      <c r="Y6" s="18"/>
      <c r="Z6" s="18"/>
    </row>
    <row r="7" ht="15.0" customHeight="1">
      <c r="A7" s="10"/>
      <c r="B7" s="16"/>
      <c r="C7" s="12" t="s">
        <v>68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16"/>
      <c r="W7" s="13"/>
      <c r="X7" s="14"/>
      <c r="Y7" s="14"/>
      <c r="Z7" s="14"/>
    </row>
    <row r="8" ht="15.0" customHeight="1">
      <c r="A8" s="10"/>
      <c r="B8" s="16"/>
      <c r="C8" s="12" t="s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16"/>
      <c r="W8" s="13"/>
      <c r="X8" s="14"/>
      <c r="Y8" s="14"/>
      <c r="Z8" s="14"/>
    </row>
    <row r="9" ht="15.0" customHeight="1">
      <c r="A9" s="10"/>
      <c r="B9" s="16"/>
      <c r="C9" s="12" t="s">
        <v>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"/>
      <c r="V9" s="16"/>
      <c r="W9" s="13"/>
      <c r="X9" s="14"/>
      <c r="Y9" s="14"/>
      <c r="Z9" s="14"/>
    </row>
    <row r="10" ht="15.0" customHeight="1">
      <c r="A10" s="10"/>
      <c r="B10" s="16"/>
      <c r="C10" s="19" t="s">
        <v>7</v>
      </c>
      <c r="D10" s="20" t="s">
        <v>8</v>
      </c>
      <c r="E10" s="20" t="s">
        <v>9</v>
      </c>
      <c r="F10" s="21" t="s">
        <v>10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3"/>
      <c r="V10" s="16"/>
      <c r="W10" s="13"/>
      <c r="X10" s="1"/>
      <c r="Y10" s="1"/>
      <c r="Z10" s="1"/>
    </row>
    <row r="11" ht="124.5" customHeight="1">
      <c r="A11" s="10"/>
      <c r="B11" s="16"/>
      <c r="C11" s="24"/>
      <c r="D11" s="24"/>
      <c r="E11" s="24"/>
      <c r="F11" s="25" t="s">
        <v>11</v>
      </c>
      <c r="G11" s="25" t="s">
        <v>12</v>
      </c>
      <c r="H11" s="25" t="s">
        <v>13</v>
      </c>
      <c r="I11" s="25" t="s">
        <v>14</v>
      </c>
      <c r="J11" s="25" t="s">
        <v>15</v>
      </c>
      <c r="K11" s="25" t="s">
        <v>16</v>
      </c>
      <c r="L11" s="25" t="s">
        <v>17</v>
      </c>
      <c r="M11" s="25" t="s">
        <v>18</v>
      </c>
      <c r="N11" s="25" t="s">
        <v>19</v>
      </c>
      <c r="O11" s="25" t="s">
        <v>20</v>
      </c>
      <c r="P11" s="25" t="s">
        <v>21</v>
      </c>
      <c r="Q11" s="25" t="s">
        <v>22</v>
      </c>
      <c r="R11" s="25" t="s">
        <v>23</v>
      </c>
      <c r="S11" s="25" t="s">
        <v>24</v>
      </c>
      <c r="T11" s="25" t="s">
        <v>25</v>
      </c>
      <c r="U11" s="26" t="s">
        <v>26</v>
      </c>
      <c r="V11" s="16"/>
      <c r="W11" s="13"/>
      <c r="X11" s="1"/>
      <c r="Y11" s="1"/>
      <c r="Z11" s="1"/>
    </row>
    <row r="12" ht="15.0" customHeight="1">
      <c r="A12" s="10"/>
      <c r="B12" s="16"/>
      <c r="C12" s="27" t="s">
        <v>29</v>
      </c>
      <c r="D12" s="27">
        <v>1.0</v>
      </c>
      <c r="E12" s="28" t="s">
        <v>69</v>
      </c>
      <c r="F12" s="29">
        <v>4.0</v>
      </c>
      <c r="G12" s="29">
        <v>4.0</v>
      </c>
      <c r="H12" s="29">
        <v>5.0</v>
      </c>
      <c r="I12" s="29">
        <v>4.0</v>
      </c>
      <c r="J12" s="29">
        <v>4.0</v>
      </c>
      <c r="K12" s="29" t="s">
        <v>70</v>
      </c>
      <c r="L12" s="29">
        <v>3.0</v>
      </c>
      <c r="M12" s="29" t="s">
        <v>70</v>
      </c>
      <c r="N12" s="29" t="s">
        <v>70</v>
      </c>
      <c r="O12" s="29">
        <v>4.0</v>
      </c>
      <c r="P12" s="29" t="s">
        <v>70</v>
      </c>
      <c r="Q12" s="29" t="s">
        <v>70</v>
      </c>
      <c r="R12" s="29" t="s">
        <v>70</v>
      </c>
      <c r="S12" s="29" t="s">
        <v>70</v>
      </c>
      <c r="T12" s="29">
        <v>5.0</v>
      </c>
      <c r="U12" s="31" t="str">
        <f t="shared" ref="U12:U14" si="1">IF(COUNTIF(F12:T12,"=*")&gt;0,"-",IF(COUNTIF(F12:T12,"&lt;4")&gt;0,"-",(IFERROR(AVERAGE(F12:T12),""))))</f>
        <v>-</v>
      </c>
      <c r="V12" s="16"/>
      <c r="W12" s="13"/>
      <c r="X12" s="1"/>
      <c r="Y12" s="1"/>
      <c r="Z12" s="1"/>
    </row>
    <row r="13" ht="15.0" customHeight="1">
      <c r="A13" s="10"/>
      <c r="B13" s="16"/>
      <c r="C13" s="27" t="s">
        <v>29</v>
      </c>
      <c r="D13" s="27">
        <v>2.0</v>
      </c>
      <c r="E13" s="28" t="s">
        <v>71</v>
      </c>
      <c r="F13" s="29">
        <v>10.0</v>
      </c>
      <c r="G13" s="29">
        <v>8.0</v>
      </c>
      <c r="H13" s="29">
        <v>10.0</v>
      </c>
      <c r="I13" s="29">
        <v>8.0</v>
      </c>
      <c r="J13" s="29">
        <v>10.0</v>
      </c>
      <c r="K13" s="29">
        <v>8.0</v>
      </c>
      <c r="L13" s="29">
        <v>9.0</v>
      </c>
      <c r="M13" s="29">
        <v>10.0</v>
      </c>
      <c r="N13" s="29">
        <v>8.0</v>
      </c>
      <c r="O13" s="29">
        <v>7.0</v>
      </c>
      <c r="P13" s="29">
        <v>9.0</v>
      </c>
      <c r="Q13" s="29">
        <v>8.0</v>
      </c>
      <c r="R13" s="29">
        <v>8.0</v>
      </c>
      <c r="S13" s="29">
        <v>10.0</v>
      </c>
      <c r="T13" s="29">
        <v>11.0</v>
      </c>
      <c r="U13" s="31">
        <f t="shared" si="1"/>
        <v>8.933333333</v>
      </c>
      <c r="V13" s="16"/>
      <c r="W13" s="13"/>
      <c r="X13" s="1"/>
      <c r="Y13" s="1"/>
      <c r="Z13" s="1"/>
    </row>
    <row r="14" ht="15.0" customHeight="1">
      <c r="A14" s="10"/>
      <c r="B14" s="16"/>
      <c r="C14" s="27" t="s">
        <v>29</v>
      </c>
      <c r="D14" s="27">
        <v>3.0</v>
      </c>
      <c r="E14" s="28" t="s">
        <v>72</v>
      </c>
      <c r="F14" s="29">
        <v>10.0</v>
      </c>
      <c r="G14" s="29">
        <v>7.0</v>
      </c>
      <c r="H14" s="29">
        <v>7.0</v>
      </c>
      <c r="I14" s="29">
        <v>7.0</v>
      </c>
      <c r="J14" s="29">
        <v>6.0</v>
      </c>
      <c r="K14" s="29">
        <v>11.0</v>
      </c>
      <c r="L14" s="29">
        <v>7.0</v>
      </c>
      <c r="M14" s="29">
        <v>8.0</v>
      </c>
      <c r="N14" s="29">
        <v>5.0</v>
      </c>
      <c r="O14" s="29">
        <v>4.0</v>
      </c>
      <c r="P14" s="29">
        <v>7.0</v>
      </c>
      <c r="Q14" s="29">
        <v>7.0</v>
      </c>
      <c r="R14" s="29">
        <v>5.0</v>
      </c>
      <c r="S14" s="29">
        <v>10.0</v>
      </c>
      <c r="T14" s="29">
        <v>7.0</v>
      </c>
      <c r="U14" s="31">
        <f t="shared" si="1"/>
        <v>7.2</v>
      </c>
      <c r="V14" s="16"/>
      <c r="W14" s="13"/>
      <c r="X14" s="1"/>
      <c r="Y14" s="1"/>
      <c r="Z14" s="1"/>
    </row>
    <row r="15" ht="15.0" customHeight="1">
      <c r="A15" s="10"/>
      <c r="B15" s="16"/>
      <c r="C15" s="11"/>
      <c r="D15" s="11"/>
      <c r="E15" s="28" t="s">
        <v>53</v>
      </c>
      <c r="F15" s="32">
        <f>IF(SUM(F12:F14)=0,"",SUM(F12:F14)/D14)</f>
        <v>8</v>
      </c>
      <c r="G15" s="32">
        <f>IF(SUM(G12:G14)=0,"",SUM(G12:G14)/D14)</f>
        <v>6.333333333</v>
      </c>
      <c r="H15" s="32">
        <f>IF(SUM(H12:H14)=0,"",SUM(H12:H14)/D14)</f>
        <v>7.333333333</v>
      </c>
      <c r="I15" s="32">
        <f>IF(SUM(I12:I14)=0,"",SUM(I12:I14)/D14)</f>
        <v>6.333333333</v>
      </c>
      <c r="J15" s="32">
        <f>IF(SUM(J12:J14)=0,"",SUM(J12:J14)/D14)</f>
        <v>6.666666667</v>
      </c>
      <c r="K15" s="32">
        <f>IF(SUM(K12:K14)=0,"",SUM(K12:K14)/D14)</f>
        <v>6.333333333</v>
      </c>
      <c r="L15" s="32">
        <f>IF(SUM(L12:L14)=0,"",SUM(L12:L14)/D14)</f>
        <v>6.333333333</v>
      </c>
      <c r="M15" s="32">
        <f>IF(SUM(M12:M14)=0,"",SUM(M12:M14)/D14)</f>
        <v>6</v>
      </c>
      <c r="N15" s="32">
        <f>IF(SUM(N12:N14)=0,"",SUM(N12:N14)/D14)</f>
        <v>4.333333333</v>
      </c>
      <c r="O15" s="32">
        <f>IF(SUM(O12:O14)=0,"",SUM(O12:O14)/D14)</f>
        <v>5</v>
      </c>
      <c r="P15" s="32">
        <f>IF(SUM(P12:P14)=0,"",SUM(P12:P14)/D14)</f>
        <v>5.333333333</v>
      </c>
      <c r="Q15" s="32">
        <f>IF(SUM(Q12:Q14)=0,"",SUM(Q12:Q14)/D14)</f>
        <v>5</v>
      </c>
      <c r="R15" s="32">
        <f>IF(SUM(R12:R14)=0,"",SUM(R12:R14)/D14)</f>
        <v>4.333333333</v>
      </c>
      <c r="S15" s="32">
        <f>IF(SUM(S12:S14)=0,"",SUM(S12:S14)/D14)</f>
        <v>6.666666667</v>
      </c>
      <c r="T15" s="32">
        <f>IF(SUM(T12:T14)=0,"",SUM(T12:T14)/D14)</f>
        <v>7.666666667</v>
      </c>
      <c r="U15" s="31">
        <f>IFERROR(AVERAGE(F15:T15),"")</f>
        <v>6.111111111</v>
      </c>
      <c r="V15" s="16"/>
      <c r="W15" s="13"/>
      <c r="X15" s="1"/>
      <c r="Y15" s="1"/>
      <c r="Z15" s="1"/>
    </row>
    <row r="16" ht="15.0" customHeight="1">
      <c r="A16" s="10"/>
      <c r="B16" s="16"/>
      <c r="C16" s="11"/>
      <c r="D16" s="11"/>
      <c r="E16" s="28" t="s">
        <v>54</v>
      </c>
      <c r="F16" s="33">
        <f>IF(SUM(F12:F14)=0,"",IF(COUNTIF(F12:F14,"&gt;=4")=0,0,COUNTIF(F12:F14,"&gt;=4")/D14*100))</f>
        <v>100</v>
      </c>
      <c r="G16" s="33">
        <f>IF(SUM(G12:G14)=0,"",IF(COUNTIF(G12:G14,"&gt;=4")=0,0,COUNTIF(G12:G14,"&gt;=4")/D14*100))</f>
        <v>100</v>
      </c>
      <c r="H16" s="33">
        <f>IF(SUM(H12:H14)=0,"",IF(COUNTIF(H12:H14,"&gt;=4")=0,0,COUNTIF(H12:H14,"&gt;=4")/D14*100))</f>
        <v>100</v>
      </c>
      <c r="I16" s="33">
        <f>IF(SUM(I12:I14)=0,"",IF(COUNTIF(I12:I14,"&gt;=4")=0,0,COUNTIF(I12:I14,"&gt;=4")/D14*100))</f>
        <v>100</v>
      </c>
      <c r="J16" s="33">
        <f>IF(SUM(J12:J14)=0,"",IF(COUNTIF(J12:J14,"&gt;=4")=0,0,COUNTIF(J12:J14,"&gt;=4")/D14*100))</f>
        <v>100</v>
      </c>
      <c r="K16" s="33">
        <f>IF(SUM(K12:K14)=0,"",IF(COUNTIF(K12:K14,"&gt;=4")=0,0,COUNTIF(K12:K14,"&gt;=4")/D14*100))</f>
        <v>66.66666667</v>
      </c>
      <c r="L16" s="33">
        <f>IF(SUM(L12:L14)=0,"",IF(COUNTIF(L12:L14,"&gt;=4")=0,0,COUNTIF(L12:L14,"&gt;=4")/D14*100))</f>
        <v>66.66666667</v>
      </c>
      <c r="M16" s="33">
        <f>IF(SUM(M12:M14)=0,"",IF(COUNTIF(M12:M14,"&gt;=4")=0,0,COUNTIF(M12:M14,"&gt;=4")/D14*100))</f>
        <v>66.66666667</v>
      </c>
      <c r="N16" s="33">
        <f>IF(SUM(N12:N14)=0,"",IF(COUNTIF(N12:N14,"&gt;=4")=0,0,COUNTIF(N12:N14,"&gt;=4")/D14*100))</f>
        <v>66.66666667</v>
      </c>
      <c r="O16" s="33">
        <f>IF(SUM(O12:O14)=0,"",IF(COUNTIF(O12:O14,"&gt;=4")=0,0,COUNTIF(O12:O14,"&gt;=4")/D14*100))</f>
        <v>100</v>
      </c>
      <c r="P16" s="33">
        <f>IF(SUM(P12:P14)=0,"",IF(COUNTIF(P12:P14,"&gt;=4")=0,0,COUNTIF(P12:P14,"&gt;=4")/D14*100))</f>
        <v>66.66666667</v>
      </c>
      <c r="Q16" s="33">
        <f>IF(SUM(Q12:Q14)=0,"",IF(COUNTIF(Q12:Q14,"&gt;=4")=0,0,COUNTIF(Q12:Q14,"&gt;=4")/D14*100))</f>
        <v>66.66666667</v>
      </c>
      <c r="R16" s="33">
        <f>IF(SUM(R12:R14)=0,"",IF(COUNTIF(R12:R14,"&gt;=4")=0,0,COUNTIF(R12:R14,"&gt;=4")/D14*100))</f>
        <v>66.66666667</v>
      </c>
      <c r="S16" s="33">
        <f>IF(SUM(S12:S14)=0,"",IF(COUNTIF(S12:S14,"&gt;=4")=0,0,COUNTIF(S12:S14,"&gt;=4")/D14*100))</f>
        <v>66.66666667</v>
      </c>
      <c r="T16" s="33">
        <f>IF(SUM(T12:T14)=0,"",IF(COUNTIF(T12:T14,"&gt;=4")=0,0,COUNTIF(T12:T14,"&gt;=4")/D14*100))</f>
        <v>100</v>
      </c>
      <c r="U16" s="11"/>
      <c r="V16" s="16"/>
      <c r="W16" s="13"/>
      <c r="X16" s="1"/>
      <c r="Y16" s="1"/>
      <c r="Z16" s="1"/>
    </row>
    <row r="17" ht="15.0" customHeight="1">
      <c r="A17" s="10"/>
      <c r="B17" s="16"/>
      <c r="C17" s="11"/>
      <c r="D17" s="11"/>
      <c r="E17" s="28" t="s">
        <v>55</v>
      </c>
      <c r="F17" s="33">
        <f>IF(SUM(F12:F14)=0,"",IF(COUNTIF(F12:F14,"&gt;=7")=0,0,COUNTIF(F12:F14,"&gt;=7")/D14*100))</f>
        <v>66.66666667</v>
      </c>
      <c r="G17" s="33">
        <f>IF(SUM(G12:G14)=0,"",IF(COUNTIF(G12:G14,"&gt;=7")=0,0,COUNTIF(G12:G14,"&gt;=7")/D14*100))</f>
        <v>66.66666667</v>
      </c>
      <c r="H17" s="33">
        <f>IF(SUM(H12:H14)=0,"",IF(COUNTIF(H12:H14,"&gt;=7")=0,0,COUNTIF(H12:H14,"&gt;=7")/D14*100))</f>
        <v>66.66666667</v>
      </c>
      <c r="I17" s="33">
        <f>IF(SUM(I12:I14)=0,"",IF(COUNTIF(I12:I14,"&gt;=7")=0,0,COUNTIF(I12:I14,"&gt;=7")/D14*100))</f>
        <v>66.66666667</v>
      </c>
      <c r="J17" s="33">
        <f>IF(SUM(J12:J14)=0,"",IF(COUNTIF(J12:J14,"&gt;=7")=0,0,COUNTIF(J12:J14,"&gt;=7")/D14*100))</f>
        <v>33.33333333</v>
      </c>
      <c r="K17" s="33">
        <f>IF(SUM(K12:K14)=0,"",IF(COUNTIF(K12:K14,"&gt;=7")=0,0,COUNTIF(K12:K14,"&gt;=7")/D14*100))</f>
        <v>66.66666667</v>
      </c>
      <c r="L17" s="33">
        <f>IF(SUM(L12:L14)=0,"",IF(COUNTIF(L12:L14,"&gt;=7")=0,0,COUNTIF(L12:L14,"&gt;=7")/D14*100))</f>
        <v>66.66666667</v>
      </c>
      <c r="M17" s="33">
        <f>IF(SUM(M12:M14)=0,"",IF(COUNTIF(M12:M14,"&gt;=7")=0,0,COUNTIF(M12:M14,"&gt;=7")/D14*100))</f>
        <v>66.66666667</v>
      </c>
      <c r="N17" s="33">
        <f>IF(SUM(N12:N14)=0,"",IF(COUNTIF(N12:N14,"&gt;=7")=0,0,COUNTIF(N12:N14,"&gt;=7")/D14*100))</f>
        <v>33.33333333</v>
      </c>
      <c r="O17" s="33">
        <f>IF(SUM(O12:O14)=0,"",IF(COUNTIF(O12:O14,"&gt;=7")=0,0,COUNTIF(O12:O14,"&gt;=7")/D14*100))</f>
        <v>33.33333333</v>
      </c>
      <c r="P17" s="33">
        <f>IF(SUM(P12:P14)=0,"",IF(COUNTIF(P12:P14,"&gt;=7")=0,0,COUNTIF(P12:P14,"&gt;=7")/D14*100))</f>
        <v>66.66666667</v>
      </c>
      <c r="Q17" s="33">
        <f>IF(SUM(Q12:Q14)=0,"",IF(COUNTIF(Q12:Q14,"&gt;=7")=0,0,COUNTIF(Q12:Q14,"&gt;=7")/D14*100))</f>
        <v>66.66666667</v>
      </c>
      <c r="R17" s="33">
        <f>IF(SUM(R12:R14)=0,"",IF(COUNTIF(R12:R14,"&gt;=7")=0,0,COUNTIF(R12:R14,"&gt;=7")/D14*100))</f>
        <v>33.33333333</v>
      </c>
      <c r="S17" s="33">
        <f>IF(SUM(S12:S14)=0,"",IF(COUNTIF(S12:S14,"&gt;=7")=0,0,COUNTIF(S12:S14,"&gt;=7")/D14*100))</f>
        <v>66.66666667</v>
      </c>
      <c r="T17" s="33">
        <f>IF(SUM(T12:T14)=0,"",IF(COUNTIF(T12:T14,"&gt;=7")=0,0,COUNTIF(T12:T14,"&gt;=7")/D14*100))</f>
        <v>66.66666667</v>
      </c>
      <c r="U17" s="11"/>
      <c r="V17" s="16"/>
      <c r="W17" s="13"/>
      <c r="X17" s="1"/>
      <c r="Y17" s="1"/>
      <c r="Z17" s="1"/>
    </row>
    <row r="18" ht="15.0" customHeight="1">
      <c r="A18" s="10"/>
      <c r="B18" s="16"/>
      <c r="C18" s="11"/>
      <c r="D18" s="11"/>
      <c r="E18" s="28" t="s">
        <v>56</v>
      </c>
      <c r="F18" s="32">
        <f t="shared" ref="F18:F19" si="2">IFERROR(AVERAGE(F16:T16),"")</f>
        <v>82.22222222</v>
      </c>
      <c r="G18" s="34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6"/>
      <c r="W18" s="13"/>
      <c r="X18" s="1"/>
      <c r="Y18" s="1"/>
      <c r="Z18" s="1"/>
    </row>
    <row r="19" ht="15.0" customHeight="1">
      <c r="A19" s="10"/>
      <c r="B19" s="16"/>
      <c r="C19" s="11"/>
      <c r="D19" s="11"/>
      <c r="E19" s="28" t="s">
        <v>57</v>
      </c>
      <c r="F19" s="32">
        <f t="shared" si="2"/>
        <v>57.77777778</v>
      </c>
      <c r="G19" s="34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6"/>
      <c r="W19" s="13"/>
      <c r="X19" s="1"/>
      <c r="Y19" s="1"/>
      <c r="Z19" s="1"/>
    </row>
    <row r="20" ht="15.0" customHeight="1">
      <c r="A20" s="10"/>
      <c r="B20" s="16"/>
      <c r="C20" s="11"/>
      <c r="D20" s="11"/>
      <c r="E20" s="28" t="s">
        <v>58</v>
      </c>
      <c r="F20" s="29">
        <f>IF(COUNTIF(C12:C14,"=Б")=0,IF(COUNTIF(C12:C14,"=К")=0,"",0),COUNTIF(C12:C14,"=Б"))</f>
        <v>3</v>
      </c>
      <c r="G20" s="34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6"/>
      <c r="W20" s="13"/>
      <c r="X20" s="1"/>
      <c r="Y20" s="1"/>
      <c r="Z20" s="1"/>
    </row>
    <row r="21" ht="15.0" customHeight="1">
      <c r="A21" s="10"/>
      <c r="B21" s="16"/>
      <c r="C21" s="11"/>
      <c r="D21" s="11"/>
      <c r="E21" s="28" t="s">
        <v>59</v>
      </c>
      <c r="F21" s="29">
        <f>IF(COUNTIF(C12:C14,"=К")=0,IF(COUNTIF(C12:C14,"=Б")=0,"",0),COUNTIF(C12:C14,"=К"))</f>
        <v>0</v>
      </c>
      <c r="G21" s="34"/>
      <c r="H21" s="11"/>
      <c r="I21" s="35" t="s">
        <v>60</v>
      </c>
      <c r="J21" s="11"/>
      <c r="K21" s="11"/>
      <c r="L21" s="11"/>
      <c r="M21" s="11"/>
      <c r="N21" s="11"/>
      <c r="O21" s="11"/>
      <c r="P21" s="49" t="s">
        <v>61</v>
      </c>
      <c r="Q21" s="11"/>
      <c r="R21" s="11"/>
      <c r="S21" s="11"/>
      <c r="T21" s="11"/>
      <c r="U21" s="11"/>
      <c r="V21" s="16"/>
      <c r="W21" s="13"/>
      <c r="X21" s="1"/>
      <c r="Y21" s="1"/>
      <c r="Z21" s="1"/>
    </row>
    <row r="22" ht="15.0" customHeight="1">
      <c r="A22" s="10"/>
      <c r="B22" s="16"/>
      <c r="C22" s="11"/>
      <c r="D22" s="11"/>
      <c r="E22" s="28" t="s">
        <v>62</v>
      </c>
      <c r="F22" s="29">
        <v>1.0</v>
      </c>
      <c r="G22" s="34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6"/>
      <c r="W22" s="13"/>
      <c r="X22" s="1"/>
      <c r="Y22" s="1"/>
      <c r="Z22" s="1"/>
    </row>
    <row r="23" ht="15.0" customHeight="1">
      <c r="A23" s="10"/>
      <c r="B23" s="37"/>
      <c r="C23" s="11"/>
      <c r="D23" s="11"/>
      <c r="E23" s="28" t="s">
        <v>63</v>
      </c>
      <c r="F23" s="29">
        <v>1.0</v>
      </c>
      <c r="G23" s="34"/>
      <c r="H23" s="11"/>
      <c r="I23" s="35" t="s">
        <v>64</v>
      </c>
      <c r="J23" s="11"/>
      <c r="K23" s="11"/>
      <c r="L23" s="11"/>
      <c r="M23" s="11"/>
      <c r="N23" s="11"/>
      <c r="O23" s="11"/>
      <c r="P23" s="35" t="s">
        <v>65</v>
      </c>
      <c r="Q23" s="11"/>
      <c r="R23" s="11"/>
      <c r="S23" s="11"/>
      <c r="T23" s="11"/>
      <c r="U23" s="11"/>
      <c r="V23" s="37"/>
      <c r="W23" s="13"/>
      <c r="X23" s="1"/>
      <c r="Y23" s="1"/>
      <c r="Z23" s="1"/>
    </row>
    <row r="24" ht="12.0" customHeight="1">
      <c r="A24" s="38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8"/>
      <c r="W24" s="39"/>
      <c r="X24" s="1"/>
      <c r="Y24" s="1"/>
      <c r="Z24" s="1"/>
    </row>
    <row r="25" ht="12.0" customHeight="1">
      <c r="A25" s="1"/>
      <c r="B25" s="40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2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C4:U4"/>
    <mergeCell ref="C5:U5"/>
    <mergeCell ref="C6:U6"/>
    <mergeCell ref="C7:U7"/>
    <mergeCell ref="C8:U8"/>
    <mergeCell ref="C9:U9"/>
    <mergeCell ref="C10:C11"/>
    <mergeCell ref="D10:D11"/>
    <mergeCell ref="E10:E11"/>
    <mergeCell ref="F10:U10"/>
    <mergeCell ref="B24:V24"/>
    <mergeCell ref="B25:V25"/>
    <mergeCell ref="B1:V1"/>
    <mergeCell ref="A2:A24"/>
    <mergeCell ref="B2:V2"/>
    <mergeCell ref="W2:W24"/>
    <mergeCell ref="C3:V3"/>
    <mergeCell ref="B4:B23"/>
    <mergeCell ref="V4:V23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E100"/>
    <pageSetUpPr fitToPage="1"/>
  </sheetPr>
  <sheetViews>
    <sheetView workbookViewId="0"/>
  </sheetViews>
  <sheetFormatPr customHeight="1" defaultColWidth="14.43" defaultRowHeight="15.0"/>
  <cols>
    <col customWidth="1" min="1" max="2" width="2.71"/>
    <col customWidth="1" min="3" max="3" width="4.14"/>
    <col customWidth="1" min="4" max="4" width="6.57"/>
    <col customWidth="1" min="5" max="5" width="40.43"/>
    <col customWidth="1" min="6" max="20" width="6.71"/>
    <col customWidth="1" min="21" max="22" width="11.29"/>
    <col customWidth="1" min="23" max="24" width="2.71"/>
    <col customWidth="1" hidden="1" min="25" max="25" width="14.43"/>
    <col customWidth="1" min="26" max="26" width="8.71"/>
  </cols>
  <sheetData>
    <row r="1" ht="12.0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1"/>
      <c r="Y1" s="1"/>
      <c r="Z1" s="1"/>
    </row>
    <row r="2" ht="12.0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8"/>
      <c r="X2" s="9"/>
      <c r="Y2" s="1"/>
      <c r="Z2" s="1"/>
    </row>
    <row r="3" ht="15.0" customHeight="1">
      <c r="A3" s="10"/>
      <c r="B3" s="11"/>
      <c r="C3" s="12" t="s"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  <c r="W3" s="11"/>
      <c r="X3" s="13"/>
      <c r="Y3" s="14"/>
      <c r="Z3" s="14"/>
    </row>
    <row r="4" ht="15.0" customHeight="1">
      <c r="A4" s="10"/>
      <c r="B4" s="15"/>
      <c r="C4" s="12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  <c r="W4" s="15"/>
      <c r="X4" s="13"/>
      <c r="Y4" s="14"/>
      <c r="Z4" s="14"/>
    </row>
    <row r="5" ht="15.0" customHeight="1">
      <c r="A5" s="10"/>
      <c r="B5" s="16"/>
      <c r="C5" s="12" t="s"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  <c r="W5" s="16"/>
      <c r="X5" s="13"/>
      <c r="Y5" s="14"/>
      <c r="Z5" s="14"/>
    </row>
    <row r="6" ht="15.0" customHeight="1">
      <c r="A6" s="10"/>
      <c r="B6" s="16"/>
      <c r="C6" s="17" t="s">
        <v>66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  <c r="W6" s="16"/>
      <c r="X6" s="13"/>
      <c r="Y6" s="18"/>
      <c r="Z6" s="18"/>
    </row>
    <row r="7" ht="15.0" customHeight="1">
      <c r="A7" s="10"/>
      <c r="B7" s="16"/>
      <c r="C7" s="12" t="s">
        <v>68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8"/>
      <c r="W7" s="16"/>
      <c r="X7" s="13"/>
      <c r="Y7" s="14"/>
      <c r="Z7" s="14"/>
    </row>
    <row r="8" ht="15.0" customHeight="1">
      <c r="A8" s="10"/>
      <c r="B8" s="16"/>
      <c r="C8" s="12" t="s">
        <v>73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"/>
      <c r="W8" s="16"/>
      <c r="X8" s="13"/>
      <c r="Y8" s="14"/>
      <c r="Z8" s="14"/>
    </row>
    <row r="9" ht="15.0" customHeight="1">
      <c r="A9" s="10"/>
      <c r="B9" s="16"/>
      <c r="C9" s="12" t="s">
        <v>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  <c r="W9" s="16"/>
      <c r="X9" s="13"/>
      <c r="Y9" s="14"/>
      <c r="Z9" s="14"/>
    </row>
    <row r="10" ht="15.0" customHeight="1">
      <c r="A10" s="10"/>
      <c r="B10" s="16"/>
      <c r="C10" s="19" t="s">
        <v>7</v>
      </c>
      <c r="D10" s="20" t="s">
        <v>8</v>
      </c>
      <c r="E10" s="20" t="s">
        <v>9</v>
      </c>
      <c r="F10" s="21" t="s">
        <v>10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3"/>
      <c r="W10" s="16"/>
      <c r="X10" s="13"/>
      <c r="Y10" s="1"/>
      <c r="Z10" s="1"/>
    </row>
    <row r="11" ht="124.5" customHeight="1">
      <c r="A11" s="10"/>
      <c r="B11" s="16"/>
      <c r="C11" s="24"/>
      <c r="D11" s="24"/>
      <c r="E11" s="24"/>
      <c r="F11" s="25" t="s">
        <v>11</v>
      </c>
      <c r="G11" s="25" t="s">
        <v>12</v>
      </c>
      <c r="H11" s="25" t="s">
        <v>13</v>
      </c>
      <c r="I11" s="25" t="s">
        <v>14</v>
      </c>
      <c r="J11" s="25" t="s">
        <v>15</v>
      </c>
      <c r="K11" s="25" t="s">
        <v>16</v>
      </c>
      <c r="L11" s="25" t="s">
        <v>17</v>
      </c>
      <c r="M11" s="25" t="s">
        <v>18</v>
      </c>
      <c r="N11" s="25" t="s">
        <v>19</v>
      </c>
      <c r="O11" s="25" t="s">
        <v>20</v>
      </c>
      <c r="P11" s="25" t="s">
        <v>21</v>
      </c>
      <c r="Q11" s="25" t="s">
        <v>22</v>
      </c>
      <c r="R11" s="25" t="s">
        <v>23</v>
      </c>
      <c r="S11" s="25" t="s">
        <v>24</v>
      </c>
      <c r="T11" s="25" t="s">
        <v>25</v>
      </c>
      <c r="U11" s="26" t="s">
        <v>26</v>
      </c>
      <c r="V11" s="26" t="s">
        <v>67</v>
      </c>
      <c r="W11" s="16"/>
      <c r="X11" s="13"/>
      <c r="Y11" s="1"/>
      <c r="Z11" s="1"/>
    </row>
    <row r="12" ht="15.0" customHeight="1">
      <c r="A12" s="10"/>
      <c r="B12" s="16"/>
      <c r="C12" s="43" t="s">
        <v>29</v>
      </c>
      <c r="D12" s="43">
        <v>1.0</v>
      </c>
      <c r="E12" s="44" t="s">
        <v>71</v>
      </c>
      <c r="F12" s="45">
        <v>10.0</v>
      </c>
      <c r="G12" s="45">
        <v>8.0</v>
      </c>
      <c r="H12" s="45">
        <v>10.0</v>
      </c>
      <c r="I12" s="45">
        <v>8.0</v>
      </c>
      <c r="J12" s="45">
        <v>10.0</v>
      </c>
      <c r="K12" s="45">
        <v>8.0</v>
      </c>
      <c r="L12" s="45">
        <v>9.0</v>
      </c>
      <c r="M12" s="45">
        <v>10.0</v>
      </c>
      <c r="N12" s="45">
        <v>8.0</v>
      </c>
      <c r="O12" s="45">
        <v>7.0</v>
      </c>
      <c r="P12" s="45">
        <v>9.0</v>
      </c>
      <c r="Q12" s="45">
        <v>8.0</v>
      </c>
      <c r="R12" s="45">
        <v>8.0</v>
      </c>
      <c r="S12" s="45">
        <v>10.0</v>
      </c>
      <c r="T12" s="45">
        <v>11.0</v>
      </c>
      <c r="U12" s="47">
        <f t="shared" ref="U12:U13" si="1">IF(COUNTIF(F12:T12,"=*")&gt;0,"-",IF(COUNTIF(F12:T12,"&lt;4")&gt;0,"-",(IFERROR(AVERAGE(F12:T12),""))))</f>
        <v>8.933333333</v>
      </c>
      <c r="V12" s="47">
        <f t="shared" ref="V12:V13" si="2">U12/12*90</f>
        <v>67</v>
      </c>
      <c r="W12" s="16"/>
      <c r="X12" s="13"/>
      <c r="Y12" s="1"/>
      <c r="Z12" s="1"/>
    </row>
    <row r="13" ht="15.0" customHeight="1">
      <c r="A13" s="10"/>
      <c r="B13" s="16"/>
      <c r="C13" s="27" t="s">
        <v>29</v>
      </c>
      <c r="D13" s="27">
        <v>2.0</v>
      </c>
      <c r="E13" s="28" t="s">
        <v>72</v>
      </c>
      <c r="F13" s="29">
        <v>10.0</v>
      </c>
      <c r="G13" s="29">
        <v>7.0</v>
      </c>
      <c r="H13" s="29">
        <v>7.0</v>
      </c>
      <c r="I13" s="29">
        <v>7.0</v>
      </c>
      <c r="J13" s="29">
        <v>6.0</v>
      </c>
      <c r="K13" s="29">
        <v>11.0</v>
      </c>
      <c r="L13" s="29">
        <v>7.0</v>
      </c>
      <c r="M13" s="29">
        <v>8.0</v>
      </c>
      <c r="N13" s="29">
        <v>5.0</v>
      </c>
      <c r="O13" s="29">
        <v>4.0</v>
      </c>
      <c r="P13" s="29">
        <v>7.0</v>
      </c>
      <c r="Q13" s="29">
        <v>7.0</v>
      </c>
      <c r="R13" s="29">
        <v>5.0</v>
      </c>
      <c r="S13" s="29">
        <v>10.0</v>
      </c>
      <c r="T13" s="29">
        <v>7.0</v>
      </c>
      <c r="U13" s="48">
        <f t="shared" si="1"/>
        <v>7.2</v>
      </c>
      <c r="V13" s="48">
        <f t="shared" si="2"/>
        <v>54</v>
      </c>
      <c r="W13" s="16"/>
      <c r="X13" s="13"/>
      <c r="Y13" s="1"/>
      <c r="Z13" s="1"/>
    </row>
    <row r="14" ht="15.0" customHeight="1">
      <c r="A14" s="10"/>
      <c r="B14" s="16"/>
      <c r="C14" s="11"/>
      <c r="D14" s="11"/>
      <c r="E14" s="28" t="s">
        <v>58</v>
      </c>
      <c r="F14" s="29">
        <f>'Зведена 161'!F20</f>
        <v>3</v>
      </c>
      <c r="G14" s="34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6"/>
      <c r="X14" s="13"/>
      <c r="Y14" s="1"/>
      <c r="Z14" s="1"/>
    </row>
    <row r="15" ht="15.0" customHeight="1">
      <c r="A15" s="10"/>
      <c r="B15" s="16"/>
      <c r="C15" s="11"/>
      <c r="D15" s="11"/>
      <c r="E15" s="28" t="s">
        <v>59</v>
      </c>
      <c r="F15" s="29">
        <f>'Зведена 161'!F21</f>
        <v>0</v>
      </c>
      <c r="G15" s="34"/>
      <c r="H15" s="11"/>
      <c r="I15" s="35" t="s">
        <v>60</v>
      </c>
      <c r="J15" s="11"/>
      <c r="K15" s="11"/>
      <c r="L15" s="11"/>
      <c r="M15" s="11"/>
      <c r="N15" s="11"/>
      <c r="O15" s="11"/>
      <c r="P15" s="49" t="s">
        <v>61</v>
      </c>
      <c r="Q15" s="11"/>
      <c r="R15" s="11"/>
      <c r="S15" s="11"/>
      <c r="T15" s="11"/>
      <c r="U15" s="11"/>
      <c r="V15" s="11"/>
      <c r="W15" s="16"/>
      <c r="X15" s="13"/>
      <c r="Y15" s="1"/>
      <c r="Z15" s="1"/>
    </row>
    <row r="16" ht="15.0" customHeight="1">
      <c r="A16" s="10"/>
      <c r="B16" s="16"/>
      <c r="C16" s="11"/>
      <c r="D16" s="11"/>
      <c r="E16" s="28" t="s">
        <v>62</v>
      </c>
      <c r="F16" s="29">
        <f>'Зведена 161'!F22</f>
        <v>1</v>
      </c>
      <c r="G16" s="34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6"/>
      <c r="X16" s="13"/>
      <c r="Y16" s="1"/>
      <c r="Z16" s="1"/>
    </row>
    <row r="17" ht="15.0" customHeight="1">
      <c r="A17" s="10"/>
      <c r="B17" s="37"/>
      <c r="C17" s="11"/>
      <c r="D17" s="11"/>
      <c r="E17" s="28" t="s">
        <v>63</v>
      </c>
      <c r="F17" s="29">
        <f>'Зведена 161'!F23</f>
        <v>1</v>
      </c>
      <c r="G17" s="34"/>
      <c r="H17" s="11"/>
      <c r="I17" s="35" t="s">
        <v>64</v>
      </c>
      <c r="J17" s="11"/>
      <c r="K17" s="11"/>
      <c r="L17" s="11"/>
      <c r="M17" s="11"/>
      <c r="N17" s="11"/>
      <c r="O17" s="11"/>
      <c r="P17" s="35" t="s">
        <v>65</v>
      </c>
      <c r="Q17" s="11"/>
      <c r="R17" s="11"/>
      <c r="S17" s="11"/>
      <c r="T17" s="11"/>
      <c r="U17" s="11"/>
      <c r="V17" s="11"/>
      <c r="W17" s="37"/>
      <c r="X17" s="13"/>
      <c r="Y17" s="1"/>
      <c r="Z17" s="1"/>
    </row>
    <row r="18" ht="12.0" customHeight="1">
      <c r="A18" s="38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8"/>
      <c r="X18" s="39"/>
      <c r="Y18" s="1"/>
      <c r="Z18" s="1"/>
    </row>
    <row r="19" ht="12.0" customHeight="1">
      <c r="A19" s="1"/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2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C4:V4"/>
    <mergeCell ref="C5:V5"/>
    <mergeCell ref="C6:V6"/>
    <mergeCell ref="C7:V7"/>
    <mergeCell ref="C8:V8"/>
    <mergeCell ref="C9:V9"/>
    <mergeCell ref="C10:C11"/>
    <mergeCell ref="D10:D11"/>
    <mergeCell ref="E10:E11"/>
    <mergeCell ref="F10:V10"/>
    <mergeCell ref="B18:W18"/>
    <mergeCell ref="B19:W19"/>
    <mergeCell ref="B1:W1"/>
    <mergeCell ref="A2:A18"/>
    <mergeCell ref="B2:W2"/>
    <mergeCell ref="X2:X18"/>
    <mergeCell ref="C3:V3"/>
    <mergeCell ref="B4:B17"/>
    <mergeCell ref="W4:W17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E100"/>
    <pageSetUpPr fitToPage="1"/>
  </sheetPr>
  <sheetViews>
    <sheetView workbookViewId="0"/>
  </sheetViews>
  <sheetFormatPr customHeight="1" defaultColWidth="14.43" defaultRowHeight="15.0"/>
  <cols>
    <col customWidth="1" min="1" max="2" width="2.71"/>
    <col customWidth="1" min="3" max="3" width="4.14"/>
    <col customWidth="1" min="4" max="4" width="6.57"/>
    <col customWidth="1" min="5" max="5" width="40.43"/>
    <col customWidth="1" min="6" max="20" width="6.71"/>
    <col customWidth="1" min="21" max="21" width="11.29"/>
    <col customWidth="1" min="22" max="23" width="2.71"/>
    <col customWidth="1" hidden="1" min="24" max="24" width="14.43"/>
    <col customWidth="1" min="25" max="26" width="8.71"/>
  </cols>
  <sheetData>
    <row r="1" ht="12.0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1"/>
      <c r="X1" s="1"/>
      <c r="Y1" s="1"/>
      <c r="Z1" s="1"/>
    </row>
    <row r="2" ht="12.0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9"/>
      <c r="X2" s="1"/>
      <c r="Y2" s="1"/>
      <c r="Z2" s="1"/>
    </row>
    <row r="3" ht="15.0" customHeight="1">
      <c r="A3" s="10"/>
      <c r="B3" s="11"/>
      <c r="C3" s="12" t="s"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  <c r="W3" s="13"/>
      <c r="X3" s="1"/>
      <c r="Y3" s="14"/>
      <c r="Z3" s="14"/>
    </row>
    <row r="4" ht="15.0" customHeight="1">
      <c r="A4" s="10"/>
      <c r="B4" s="15"/>
      <c r="C4" s="12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15"/>
      <c r="W4" s="13"/>
      <c r="X4" s="14"/>
      <c r="Y4" s="14"/>
      <c r="Z4" s="14"/>
    </row>
    <row r="5" ht="15.0" customHeight="1">
      <c r="A5" s="10"/>
      <c r="B5" s="16"/>
      <c r="C5" s="12" t="s"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16"/>
      <c r="W5" s="13"/>
      <c r="X5" s="14"/>
      <c r="Y5" s="14"/>
      <c r="Z5" s="14"/>
    </row>
    <row r="6" ht="15.0" customHeight="1">
      <c r="A6" s="10"/>
      <c r="B6" s="16"/>
      <c r="C6" s="17" t="s">
        <v>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16"/>
      <c r="W6" s="13"/>
      <c r="X6" s="18"/>
      <c r="Y6" s="18"/>
      <c r="Z6" s="18"/>
    </row>
    <row r="7" ht="15.0" customHeight="1">
      <c r="A7" s="10"/>
      <c r="B7" s="16"/>
      <c r="C7" s="12" t="s">
        <v>74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16"/>
      <c r="W7" s="13"/>
      <c r="X7" s="14"/>
      <c r="Y7" s="14"/>
      <c r="Z7" s="14"/>
    </row>
    <row r="8" ht="15.0" customHeight="1">
      <c r="A8" s="10"/>
      <c r="B8" s="16"/>
      <c r="C8" s="12" t="s">
        <v>73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16"/>
      <c r="W8" s="13"/>
      <c r="X8" s="14"/>
      <c r="Y8" s="14"/>
      <c r="Z8" s="14"/>
    </row>
    <row r="9" ht="15.0" customHeight="1">
      <c r="A9" s="10"/>
      <c r="B9" s="16"/>
      <c r="C9" s="12" t="s">
        <v>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"/>
      <c r="V9" s="16"/>
      <c r="W9" s="13"/>
      <c r="X9" s="14"/>
      <c r="Y9" s="14"/>
      <c r="Z9" s="14"/>
    </row>
    <row r="10" ht="15.0" customHeight="1">
      <c r="A10" s="10"/>
      <c r="B10" s="16"/>
      <c r="C10" s="19" t="s">
        <v>7</v>
      </c>
      <c r="D10" s="20" t="s">
        <v>8</v>
      </c>
      <c r="E10" s="20" t="s">
        <v>9</v>
      </c>
      <c r="F10" s="21" t="s">
        <v>10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3"/>
      <c r="V10" s="16"/>
      <c r="W10" s="13"/>
      <c r="X10" s="1"/>
      <c r="Y10" s="1"/>
      <c r="Z10" s="1"/>
    </row>
    <row r="11" ht="124.5" customHeight="1">
      <c r="A11" s="10"/>
      <c r="B11" s="16"/>
      <c r="C11" s="24"/>
      <c r="D11" s="24"/>
      <c r="E11" s="24"/>
      <c r="F11" s="25" t="s">
        <v>11</v>
      </c>
      <c r="G11" s="25" t="s">
        <v>12</v>
      </c>
      <c r="H11" s="25" t="s">
        <v>13</v>
      </c>
      <c r="I11" s="25" t="s">
        <v>14</v>
      </c>
      <c r="J11" s="25" t="s">
        <v>15</v>
      </c>
      <c r="K11" s="25" t="s">
        <v>16</v>
      </c>
      <c r="L11" s="25" t="s">
        <v>17</v>
      </c>
      <c r="M11" s="25" t="s">
        <v>18</v>
      </c>
      <c r="N11" s="25" t="s">
        <v>19</v>
      </c>
      <c r="O11" s="25" t="s">
        <v>20</v>
      </c>
      <c r="P11" s="25" t="s">
        <v>21</v>
      </c>
      <c r="Q11" s="25" t="s">
        <v>22</v>
      </c>
      <c r="R11" s="25" t="s">
        <v>23</v>
      </c>
      <c r="S11" s="25" t="s">
        <v>24</v>
      </c>
      <c r="T11" s="25" t="s">
        <v>25</v>
      </c>
      <c r="U11" s="26" t="s">
        <v>26</v>
      </c>
      <c r="V11" s="16"/>
      <c r="W11" s="13"/>
      <c r="X11" s="1"/>
      <c r="Y11" s="1"/>
      <c r="Z11" s="1"/>
    </row>
    <row r="12" ht="15.0" customHeight="1">
      <c r="A12" s="10"/>
      <c r="B12" s="16"/>
      <c r="C12" s="27" t="s">
        <v>27</v>
      </c>
      <c r="D12" s="27">
        <v>1.0</v>
      </c>
      <c r="E12" s="28" t="s">
        <v>75</v>
      </c>
      <c r="F12" s="29">
        <v>4.0</v>
      </c>
      <c r="G12" s="29">
        <v>4.0</v>
      </c>
      <c r="H12" s="29">
        <v>6.0</v>
      </c>
      <c r="I12" s="29">
        <v>4.0</v>
      </c>
      <c r="J12" s="29">
        <v>4.0</v>
      </c>
      <c r="K12" s="29" t="s">
        <v>70</v>
      </c>
      <c r="L12" s="29">
        <v>4.0</v>
      </c>
      <c r="M12" s="29">
        <v>4.0</v>
      </c>
      <c r="N12" s="29" t="s">
        <v>70</v>
      </c>
      <c r="O12" s="29">
        <v>4.0</v>
      </c>
      <c r="P12" s="29">
        <v>6.0</v>
      </c>
      <c r="Q12" s="29">
        <v>5.0</v>
      </c>
      <c r="R12" s="29" t="s">
        <v>70</v>
      </c>
      <c r="S12" s="29">
        <v>4.0</v>
      </c>
      <c r="T12" s="29">
        <v>5.0</v>
      </c>
      <c r="U12" s="31" t="str">
        <f t="shared" ref="U12:U13" si="1">IF(COUNTIF(F12:T12,"=*")&gt;0,"-",IF(COUNTIF(F12:T12,"&lt;4")&gt;0,"-",(IFERROR(AVERAGE(F12:T12),""))))</f>
        <v>-</v>
      </c>
      <c r="V12" s="16"/>
      <c r="W12" s="13"/>
      <c r="X12" s="1"/>
      <c r="Y12" s="1"/>
      <c r="Z12" s="1"/>
    </row>
    <row r="13" ht="15.0" customHeight="1">
      <c r="A13" s="10"/>
      <c r="B13" s="16"/>
      <c r="C13" s="27" t="s">
        <v>27</v>
      </c>
      <c r="D13" s="27">
        <v>2.0</v>
      </c>
      <c r="E13" s="28" t="s">
        <v>76</v>
      </c>
      <c r="F13" s="29">
        <v>8.0</v>
      </c>
      <c r="G13" s="29">
        <v>7.0</v>
      </c>
      <c r="H13" s="29">
        <v>7.0</v>
      </c>
      <c r="I13" s="29">
        <v>7.0</v>
      </c>
      <c r="J13" s="29">
        <v>4.0</v>
      </c>
      <c r="K13" s="29" t="s">
        <v>70</v>
      </c>
      <c r="L13" s="29">
        <v>4.0</v>
      </c>
      <c r="M13" s="29">
        <v>5.0</v>
      </c>
      <c r="N13" s="29">
        <v>5.0</v>
      </c>
      <c r="O13" s="29">
        <v>4.0</v>
      </c>
      <c r="P13" s="29">
        <v>8.0</v>
      </c>
      <c r="Q13" s="29">
        <v>5.0</v>
      </c>
      <c r="R13" s="29" t="s">
        <v>70</v>
      </c>
      <c r="S13" s="29">
        <v>8.0</v>
      </c>
      <c r="T13" s="29">
        <v>5.0</v>
      </c>
      <c r="U13" s="31" t="str">
        <f t="shared" si="1"/>
        <v>-</v>
      </c>
      <c r="V13" s="16"/>
      <c r="W13" s="13"/>
      <c r="X13" s="1"/>
      <c r="Y13" s="1"/>
      <c r="Z13" s="1"/>
    </row>
    <row r="14" ht="15.0" customHeight="1">
      <c r="A14" s="10"/>
      <c r="B14" s="16"/>
      <c r="C14" s="11"/>
      <c r="D14" s="11"/>
      <c r="E14" s="28" t="s">
        <v>53</v>
      </c>
      <c r="F14" s="32">
        <f>IF(SUM(F12:F13)=0,"",SUM(F12:F13)/D13)</f>
        <v>6</v>
      </c>
      <c r="G14" s="32">
        <f>IF(SUM(G12:G13)=0,"",SUM(G12:G13)/D13)</f>
        <v>5.5</v>
      </c>
      <c r="H14" s="32">
        <f>IF(SUM(H12:H13)=0,"",SUM(H12:H13)/D13)</f>
        <v>6.5</v>
      </c>
      <c r="I14" s="32">
        <f>IF(SUM(I12:I13)=0,"",SUM(I12:I13)/D13)</f>
        <v>5.5</v>
      </c>
      <c r="J14" s="32">
        <f>IF(SUM(J12:J13)=0,"",SUM(J12:J13)/D13)</f>
        <v>4</v>
      </c>
      <c r="K14" s="32" t="str">
        <f>IF(SUM(K12:K13)=0,"",SUM(K12:K13)/D13)</f>
        <v/>
      </c>
      <c r="L14" s="32">
        <f>IF(SUM(L12:L13)=0,"",SUM(L12:L13)/D13)</f>
        <v>4</v>
      </c>
      <c r="M14" s="32">
        <f>IF(SUM(M12:M13)=0,"",SUM(M12:M13)/D13)</f>
        <v>4.5</v>
      </c>
      <c r="N14" s="32">
        <f>IF(SUM(N12:N13)=0,"",SUM(N12:N13)/D13)</f>
        <v>2.5</v>
      </c>
      <c r="O14" s="32">
        <f>IF(SUM(O12:O13)=0,"",SUM(O12:O13)/D13)</f>
        <v>4</v>
      </c>
      <c r="P14" s="32">
        <f>IF(SUM(P12:P13)=0,"",SUM(P12:P13)/D13)</f>
        <v>7</v>
      </c>
      <c r="Q14" s="32">
        <f>IF(SUM(Q12:Q13)=0,"",SUM(Q12:Q13)/D13)</f>
        <v>5</v>
      </c>
      <c r="R14" s="32" t="str">
        <f>IF(SUM(R12:R13)=0,"",SUM(R12:R13)/D13)</f>
        <v/>
      </c>
      <c r="S14" s="32">
        <f>IF(SUM(S12:S13)=0,"",SUM(S12:S13)/D13)</f>
        <v>6</v>
      </c>
      <c r="T14" s="32">
        <f>IF(SUM(T12:T13)=0,"",SUM(T12:T13)/D13)</f>
        <v>5</v>
      </c>
      <c r="U14" s="31">
        <f>IFERROR(AVERAGE(F14:T14),"")</f>
        <v>5.038461538</v>
      </c>
      <c r="V14" s="16"/>
      <c r="W14" s="13"/>
      <c r="X14" s="1"/>
      <c r="Y14" s="1"/>
      <c r="Z14" s="1"/>
    </row>
    <row r="15" ht="15.0" customHeight="1">
      <c r="A15" s="10"/>
      <c r="B15" s="16"/>
      <c r="C15" s="11"/>
      <c r="D15" s="11"/>
      <c r="E15" s="28" t="s">
        <v>54</v>
      </c>
      <c r="F15" s="33">
        <f>IF(SUM(F12:F13)=0,"",IF(COUNTIF(F12:F13,"&gt;=4")=0,0,COUNTIF(F12:F13,"&gt;=4")/D13*100))</f>
        <v>100</v>
      </c>
      <c r="G15" s="33">
        <f>IF(SUM(G12:G13)=0,"",IF(COUNTIF(G12:G13,"&gt;=4")=0,0,COUNTIF(G12:G13,"&gt;=4")/D13*100))</f>
        <v>100</v>
      </c>
      <c r="H15" s="33">
        <f>IF(SUM(H12:H13)=0,"",IF(COUNTIF(H12:H13,"&gt;=4")=0,0,COUNTIF(H12:H13,"&gt;=4")/D13*100))</f>
        <v>100</v>
      </c>
      <c r="I15" s="33">
        <f>IF(SUM(I12:I13)=0,"",IF(COUNTIF(I12:I13,"&gt;=4")=0,0,COUNTIF(I12:I13,"&gt;=4")/D13*100))</f>
        <v>100</v>
      </c>
      <c r="J15" s="33">
        <f>IF(SUM(J12:J13)=0,"",IF(COUNTIF(J12:J13,"&gt;=4")=0,0,COUNTIF(J12:J13,"&gt;=4")/D13*100))</f>
        <v>100</v>
      </c>
      <c r="K15" s="33" t="str">
        <f>IF(SUM(K12:K13)=0,"",IF(COUNTIF(K12:K13,"&gt;=4")=0,0,COUNTIF(K12:K13,"&gt;=4")/D13*100))</f>
        <v/>
      </c>
      <c r="L15" s="33">
        <f>IF(SUM(L12:L13)=0,"",IF(COUNTIF(L12:L13,"&gt;=4")=0,0,COUNTIF(L12:L13,"&gt;=4")/D13*100))</f>
        <v>100</v>
      </c>
      <c r="M15" s="33">
        <f>IF(SUM(M12:M13)=0,"",IF(COUNTIF(M12:M13,"&gt;=4")=0,0,COUNTIF(M12:M13,"&gt;=4")/D13*100))</f>
        <v>100</v>
      </c>
      <c r="N15" s="33">
        <f>IF(SUM(N12:N13)=0,"",IF(COUNTIF(N12:N13,"&gt;=4")=0,0,COUNTIF(N12:N13,"&gt;=4")/D13*100))</f>
        <v>50</v>
      </c>
      <c r="O15" s="33">
        <f>IF(SUM(O12:O13)=0,"",IF(COUNTIF(O12:O13,"&gt;=4")=0,0,COUNTIF(O12:O13,"&gt;=4")/D13*100))</f>
        <v>100</v>
      </c>
      <c r="P15" s="33">
        <f>IF(SUM(P12:P13)=0,"",IF(COUNTIF(P12:P13,"&gt;=4")=0,0,COUNTIF(P12:P13,"&gt;=4")/D13*100))</f>
        <v>100</v>
      </c>
      <c r="Q15" s="33">
        <f>IF(SUM(Q12:Q13)=0,"",IF(COUNTIF(Q12:Q13,"&gt;=4")=0,0,COUNTIF(Q12:Q13,"&gt;=4")/D13*100))</f>
        <v>100</v>
      </c>
      <c r="R15" s="33" t="str">
        <f>IF(SUM(R12:R13)=0,"",IF(COUNTIF(R12:R13,"&gt;=4")=0,0,COUNTIF(R12:R13,"&gt;=4")/D13*100))</f>
        <v/>
      </c>
      <c r="S15" s="33">
        <f>IF(SUM(S12:S13)=0,"",IF(COUNTIF(S12:S13,"&gt;=4")=0,0,COUNTIF(S12:S13,"&gt;=4")/D13*100))</f>
        <v>100</v>
      </c>
      <c r="T15" s="33">
        <f>IF(SUM(T12:T13)=0,"",IF(COUNTIF(T12:T13,"&gt;=4")=0,0,COUNTIF(T12:T13,"&gt;=4")/D13*100))</f>
        <v>100</v>
      </c>
      <c r="U15" s="11"/>
      <c r="V15" s="16"/>
      <c r="W15" s="13"/>
      <c r="X15" s="1"/>
      <c r="Y15" s="1"/>
      <c r="Z15" s="1"/>
    </row>
    <row r="16" ht="15.0" customHeight="1">
      <c r="A16" s="10"/>
      <c r="B16" s="16"/>
      <c r="C16" s="11"/>
      <c r="D16" s="11"/>
      <c r="E16" s="28" t="s">
        <v>55</v>
      </c>
      <c r="F16" s="33">
        <f>IF(SUM(F12:F13)=0,"",IF(COUNTIF(F12:F13,"&gt;=7")=0,0,COUNTIF(F12:F13,"&gt;=7")/D13*100))</f>
        <v>50</v>
      </c>
      <c r="G16" s="33">
        <f>IF(SUM(G12:G13)=0,"",IF(COUNTIF(G12:G13,"&gt;=7")=0,0,COUNTIF(G12:G13,"&gt;=7")/D13*100))</f>
        <v>50</v>
      </c>
      <c r="H16" s="33">
        <f>IF(SUM(H12:H13)=0,"",IF(COUNTIF(H12:H13,"&gt;=7")=0,0,COUNTIF(H12:H13,"&gt;=7")/D13*100))</f>
        <v>50</v>
      </c>
      <c r="I16" s="33">
        <f>IF(SUM(I12:I13)=0,"",IF(COUNTIF(I12:I13,"&gt;=7")=0,0,COUNTIF(I12:I13,"&gt;=7")/D13*100))</f>
        <v>50</v>
      </c>
      <c r="J16" s="33">
        <f>IF(SUM(J12:J13)=0,"",IF(COUNTIF(J12:J13,"&gt;=7")=0,0,COUNTIF(J12:J13,"&gt;=7")/D13*100))</f>
        <v>0</v>
      </c>
      <c r="K16" s="33" t="str">
        <f>IF(SUM(K12:K13)=0,"",IF(COUNTIF(K12:K13,"&gt;=7")=0,0,COUNTIF(K12:K13,"&gt;=7")/D13*100))</f>
        <v/>
      </c>
      <c r="L16" s="33">
        <f>IF(SUM(L12:L13)=0,"",IF(COUNTIF(L12:L13,"&gt;=7")=0,0,COUNTIF(L12:L13,"&gt;=7")/D13*100))</f>
        <v>0</v>
      </c>
      <c r="M16" s="33">
        <f>IF(SUM(M12:M13)=0,"",IF(COUNTIF(M12:M13,"&gt;=7")=0,0,COUNTIF(M12:M13,"&gt;=7")/D13*100))</f>
        <v>0</v>
      </c>
      <c r="N16" s="33">
        <f>IF(SUM(N12:N13)=0,"",IF(COUNTIF(N12:N13,"&gt;=7")=0,0,COUNTIF(N12:N13,"&gt;=7")/D13*100))</f>
        <v>0</v>
      </c>
      <c r="O16" s="33">
        <f>IF(SUM(O12:O13)=0,"",IF(COUNTIF(O12:O13,"&gt;=7")=0,0,COUNTIF(O12:O13,"&gt;=7")/D13*100))</f>
        <v>0</v>
      </c>
      <c r="P16" s="33">
        <f>IF(SUM(P12:P13)=0,"",IF(COUNTIF(P12:P13,"&gt;=7")=0,0,COUNTIF(P12:P13,"&gt;=7")/D13*100))</f>
        <v>50</v>
      </c>
      <c r="Q16" s="33">
        <f>IF(SUM(Q12:Q13)=0,"",IF(COUNTIF(Q12:Q13,"&gt;=7")=0,0,COUNTIF(Q12:Q13,"&gt;=7")/D13*100))</f>
        <v>0</v>
      </c>
      <c r="R16" s="33" t="str">
        <f>IF(SUM(R12:R13)=0,"",IF(COUNTIF(R12:R13,"&gt;=7")=0,0,COUNTIF(R12:R13,"&gt;=7")/D13*100))</f>
        <v/>
      </c>
      <c r="S16" s="33">
        <f>IF(SUM(S12:S13)=0,"",IF(COUNTIF(S12:S13,"&gt;=7")=0,0,COUNTIF(S12:S13,"&gt;=7")/D13*100))</f>
        <v>50</v>
      </c>
      <c r="T16" s="33">
        <f>IF(SUM(T12:T13)=0,"",IF(COUNTIF(T12:T13,"&gt;=7")=0,0,COUNTIF(T12:T13,"&gt;=7")/D13*100))</f>
        <v>0</v>
      </c>
      <c r="U16" s="11"/>
      <c r="V16" s="16"/>
      <c r="W16" s="13"/>
      <c r="X16" s="1"/>
      <c r="Y16" s="1"/>
      <c r="Z16" s="1"/>
    </row>
    <row r="17" ht="15.0" customHeight="1">
      <c r="A17" s="10"/>
      <c r="B17" s="16"/>
      <c r="C17" s="11"/>
      <c r="D17" s="11"/>
      <c r="E17" s="28" t="s">
        <v>56</v>
      </c>
      <c r="F17" s="32">
        <f t="shared" ref="F17:F18" si="2">IFERROR(AVERAGE(F15:T15),"")</f>
        <v>96.15384615</v>
      </c>
      <c r="G17" s="34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6"/>
      <c r="W17" s="13"/>
      <c r="X17" s="1"/>
      <c r="Y17" s="1"/>
      <c r="Z17" s="1"/>
    </row>
    <row r="18" ht="15.0" customHeight="1">
      <c r="A18" s="10"/>
      <c r="B18" s="16"/>
      <c r="C18" s="11"/>
      <c r="D18" s="11"/>
      <c r="E18" s="28" t="s">
        <v>57</v>
      </c>
      <c r="F18" s="32">
        <f t="shared" si="2"/>
        <v>23.07692308</v>
      </c>
      <c r="G18" s="34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6"/>
      <c r="W18" s="13"/>
      <c r="X18" s="1"/>
      <c r="Y18" s="1"/>
      <c r="Z18" s="1"/>
    </row>
    <row r="19" ht="15.0" customHeight="1">
      <c r="A19" s="10"/>
      <c r="B19" s="16"/>
      <c r="C19" s="11"/>
      <c r="D19" s="11"/>
      <c r="E19" s="28" t="s">
        <v>58</v>
      </c>
      <c r="F19" s="29">
        <f>IF(COUNTIF(C12:C13,"=Б")=0,IF(COUNTIF(C12:C13,"=К")=0,"",0),COUNTIF(C12:C13,"=Б"))</f>
        <v>0</v>
      </c>
      <c r="G19" s="34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6"/>
      <c r="W19" s="13"/>
      <c r="X19" s="1"/>
      <c r="Y19" s="1"/>
      <c r="Z19" s="1"/>
    </row>
    <row r="20" ht="15.0" customHeight="1">
      <c r="A20" s="10"/>
      <c r="B20" s="16"/>
      <c r="C20" s="11"/>
      <c r="D20" s="11"/>
      <c r="E20" s="28" t="s">
        <v>59</v>
      </c>
      <c r="F20" s="29">
        <f>IF(COUNTIF(C12:C13,"=К")=0,IF(COUNTIF(C12:C13,"=Б")=0,"",0),COUNTIF(C12:C13,"=К"))</f>
        <v>2</v>
      </c>
      <c r="G20" s="34"/>
      <c r="H20" s="11"/>
      <c r="I20" s="35" t="s">
        <v>60</v>
      </c>
      <c r="J20" s="11"/>
      <c r="K20" s="11"/>
      <c r="L20" s="11"/>
      <c r="M20" s="11"/>
      <c r="N20" s="11"/>
      <c r="O20" s="11"/>
      <c r="P20" s="49" t="s">
        <v>61</v>
      </c>
      <c r="Q20" s="11"/>
      <c r="R20" s="11"/>
      <c r="S20" s="11"/>
      <c r="T20" s="11"/>
      <c r="U20" s="11"/>
      <c r="V20" s="16"/>
      <c r="W20" s="13"/>
      <c r="X20" s="1"/>
      <c r="Y20" s="1"/>
      <c r="Z20" s="1"/>
    </row>
    <row r="21" ht="15.0" customHeight="1">
      <c r="A21" s="10"/>
      <c r="B21" s="16"/>
      <c r="C21" s="11"/>
      <c r="D21" s="11"/>
      <c r="E21" s="28" t="s">
        <v>62</v>
      </c>
      <c r="F21" s="29"/>
      <c r="G21" s="34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6"/>
      <c r="W21" s="13"/>
      <c r="X21" s="1"/>
      <c r="Y21" s="1"/>
      <c r="Z21" s="1"/>
    </row>
    <row r="22" ht="15.0" customHeight="1">
      <c r="A22" s="10"/>
      <c r="B22" s="37"/>
      <c r="C22" s="11"/>
      <c r="D22" s="11"/>
      <c r="E22" s="28" t="s">
        <v>63</v>
      </c>
      <c r="F22" s="29"/>
      <c r="G22" s="34"/>
      <c r="H22" s="11"/>
      <c r="I22" s="35" t="s">
        <v>64</v>
      </c>
      <c r="J22" s="11"/>
      <c r="K22" s="11"/>
      <c r="L22" s="11"/>
      <c r="M22" s="11"/>
      <c r="N22" s="11"/>
      <c r="O22" s="11"/>
      <c r="P22" s="35" t="s">
        <v>65</v>
      </c>
      <c r="Q22" s="11"/>
      <c r="R22" s="11"/>
      <c r="S22" s="11"/>
      <c r="T22" s="11"/>
      <c r="U22" s="11"/>
      <c r="V22" s="37"/>
      <c r="W22" s="13"/>
      <c r="X22" s="1"/>
      <c r="Y22" s="1"/>
      <c r="Z22" s="1"/>
    </row>
    <row r="23" ht="12.0" customHeight="1">
      <c r="A23" s="38"/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8"/>
      <c r="W23" s="39"/>
      <c r="X23" s="1"/>
      <c r="Y23" s="1"/>
      <c r="Z23" s="1"/>
    </row>
    <row r="24" ht="12.0" customHeight="1">
      <c r="A24" s="1"/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2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C4:U4"/>
    <mergeCell ref="C5:U5"/>
    <mergeCell ref="C6:U6"/>
    <mergeCell ref="C7:U7"/>
    <mergeCell ref="C8:U8"/>
    <mergeCell ref="C9:U9"/>
    <mergeCell ref="C10:C11"/>
    <mergeCell ref="D10:D11"/>
    <mergeCell ref="E10:E11"/>
    <mergeCell ref="F10:U10"/>
    <mergeCell ref="B23:V23"/>
    <mergeCell ref="B24:V24"/>
    <mergeCell ref="B1:V1"/>
    <mergeCell ref="A2:A23"/>
    <mergeCell ref="B2:V2"/>
    <mergeCell ref="W2:W23"/>
    <mergeCell ref="C3:V3"/>
    <mergeCell ref="B4:B22"/>
    <mergeCell ref="V4:V22"/>
  </mergeCells>
  <printOptions horizontalCentered="1"/>
  <pageMargins bottom="0.0" footer="0.0" header="0.0" left="0.0" right="0.0" top="0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2006-09-28T05:33:49Z</dcterms:created>
  <dc:creator>37063</dc:creator>
</cp:coreProperties>
</file>