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-120" yWindow="-120" windowWidth="20610" windowHeight="11640" tabRatio="722" activeTab="2"/>
  </bookViews>
  <sheets>
    <sheet name="Рейтингова 172" sheetId="43" r:id="rId1"/>
    <sheet name="Зведена 172" sheetId="42" r:id="rId2"/>
    <sheet name="Зведена 101" sheetId="39" r:id="rId3"/>
    <sheet name="Рейтингова 101" sheetId="40" r:id="rId4"/>
    <sheet name="Зведена 242" sheetId="37" r:id="rId5"/>
  </sheets>
  <definedNames>
    <definedName name="A1048577" localSheetId="2">#REF!</definedName>
    <definedName name="A1048577" localSheetId="1">#REF!</definedName>
    <definedName name="A1048577" localSheetId="4">#REF!</definedName>
    <definedName name="A1048577" localSheetId="3">#REF!</definedName>
    <definedName name="A1048577" localSheetId="0">#REF!</definedName>
    <definedName name="A1048577">#REF!</definedName>
    <definedName name="_xlnm.Print_Area" localSheetId="2">'Зведена 101'!$B$2:$V$31</definedName>
    <definedName name="_xlnm.Print_Area" localSheetId="1">'Зведена 172'!$B$2:$V$29</definedName>
    <definedName name="_xlnm.Print_Area" localSheetId="4">'Зведена 242'!$B$2:$V$33</definedName>
    <definedName name="_xlnm.Print_Area" localSheetId="3">'Рейтингова 101'!$B$2:$W$21</definedName>
    <definedName name="_xlnm.Print_Area" localSheetId="0">'Рейтингова 172'!$B$2:$W$24</definedName>
    <definedName name="Ф80" localSheetId="2">#REF!</definedName>
    <definedName name="Ф80" localSheetId="1">#REF!</definedName>
    <definedName name="Ф80" localSheetId="4">#REF!</definedName>
    <definedName name="Ф80" localSheetId="3">#REF!</definedName>
    <definedName name="Ф80" localSheetId="0">#REF!</definedName>
    <definedName name="Ф80">#REF!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F23" i="43" l="1"/>
  <c r="F22" i="43"/>
  <c r="F21" i="43"/>
  <c r="F20" i="43"/>
  <c r="U19" i="43"/>
  <c r="V19" i="43" s="1"/>
  <c r="U18" i="43"/>
  <c r="V18" i="43" s="1"/>
  <c r="U17" i="43"/>
  <c r="V17" i="43" s="1"/>
  <c r="U16" i="43"/>
  <c r="V16" i="43" s="1"/>
  <c r="U15" i="43"/>
  <c r="V15" i="43" s="1"/>
  <c r="U13" i="43"/>
  <c r="V13" i="43" s="1"/>
  <c r="U12" i="43"/>
  <c r="V12" i="43" s="1"/>
  <c r="U11" i="43"/>
  <c r="V11" i="43" s="1"/>
  <c r="F26" i="42"/>
  <c r="F25" i="42"/>
  <c r="T22" i="42"/>
  <c r="S22" i="42"/>
  <c r="R22" i="42"/>
  <c r="Q22" i="42"/>
  <c r="P22" i="42"/>
  <c r="O22" i="42"/>
  <c r="N22" i="42"/>
  <c r="M22" i="42"/>
  <c r="L22" i="42"/>
  <c r="K22" i="42"/>
  <c r="J22" i="42"/>
  <c r="I22" i="42"/>
  <c r="H22" i="42"/>
  <c r="G22" i="42"/>
  <c r="F22" i="42"/>
  <c r="F24" i="42" s="1"/>
  <c r="T21" i="42"/>
  <c r="S21" i="42"/>
  <c r="R21" i="42"/>
  <c r="Q21" i="42"/>
  <c r="P21" i="42"/>
  <c r="O21" i="42"/>
  <c r="N21" i="42"/>
  <c r="M21" i="42"/>
  <c r="L21" i="42"/>
  <c r="K21" i="42"/>
  <c r="J21" i="42"/>
  <c r="I21" i="42"/>
  <c r="H21" i="42"/>
  <c r="G21" i="42"/>
  <c r="F21" i="42"/>
  <c r="T20" i="42"/>
  <c r="S20" i="42"/>
  <c r="R20" i="42"/>
  <c r="Q20" i="42"/>
  <c r="P20" i="42"/>
  <c r="O20" i="42"/>
  <c r="N20" i="42"/>
  <c r="M20" i="42"/>
  <c r="L20" i="42"/>
  <c r="K20" i="42"/>
  <c r="J20" i="42"/>
  <c r="I20" i="42"/>
  <c r="H20" i="42"/>
  <c r="G20" i="42"/>
  <c r="F20" i="42"/>
  <c r="U20" i="42" s="1"/>
  <c r="U19" i="42"/>
  <c r="U18" i="42"/>
  <c r="U17" i="42"/>
  <c r="U16" i="42"/>
  <c r="U15" i="42"/>
  <c r="U14" i="42"/>
  <c r="U13" i="42"/>
  <c r="U12" i="42"/>
  <c r="U11" i="42"/>
  <c r="F23" i="42" l="1"/>
  <c r="U14" i="40"/>
  <c r="V14" i="40" s="1"/>
  <c r="U15" i="40"/>
  <c r="V15" i="40" s="1"/>
  <c r="U11" i="40"/>
  <c r="V11" i="40" s="1"/>
  <c r="U16" i="40"/>
  <c r="V16" i="40" s="1"/>
  <c r="U13" i="40"/>
  <c r="V13" i="40" s="1"/>
  <c r="U12" i="40"/>
  <c r="V12" i="40" s="1"/>
  <c r="F20" i="40"/>
  <c r="F19" i="40"/>
  <c r="F18" i="40"/>
  <c r="F17" i="40"/>
  <c r="U23" i="37" l="1"/>
  <c r="U19" i="39"/>
  <c r="U17" i="39"/>
  <c r="U16" i="39"/>
  <c r="S24" i="39"/>
  <c r="S23" i="39"/>
  <c r="Q24" i="39"/>
  <c r="O24" i="39"/>
  <c r="N23" i="39"/>
  <c r="K23" i="39"/>
  <c r="I24" i="39"/>
  <c r="T24" i="39"/>
  <c r="R24" i="39"/>
  <c r="Q23" i="39"/>
  <c r="O23" i="39"/>
  <c r="N24" i="39"/>
  <c r="I23" i="39"/>
  <c r="U21" i="39"/>
  <c r="M23" i="39"/>
  <c r="G23" i="39"/>
  <c r="F28" i="39"/>
  <c r="F27" i="39"/>
  <c r="P24" i="39"/>
  <c r="M24" i="39"/>
  <c r="J24" i="39"/>
  <c r="G24" i="39"/>
  <c r="F24" i="39"/>
  <c r="P23" i="39"/>
  <c r="J23" i="39"/>
  <c r="F23" i="39"/>
  <c r="P22" i="39"/>
  <c r="M22" i="39"/>
  <c r="K22" i="39"/>
  <c r="J22" i="39"/>
  <c r="G22" i="39"/>
  <c r="F22" i="39"/>
  <c r="U20" i="39"/>
  <c r="U18" i="39"/>
  <c r="U14" i="39"/>
  <c r="U12" i="39"/>
  <c r="U11" i="39"/>
  <c r="F30" i="37"/>
  <c r="F29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26" i="37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T24" i="37"/>
  <c r="S24" i="37"/>
  <c r="R24" i="37"/>
  <c r="Q24" i="37"/>
  <c r="P24" i="37"/>
  <c r="O24" i="37"/>
  <c r="N24" i="37"/>
  <c r="M24" i="37"/>
  <c r="L24" i="37"/>
  <c r="K24" i="37"/>
  <c r="J24" i="37"/>
  <c r="I24" i="37"/>
  <c r="H24" i="37"/>
  <c r="G24" i="37"/>
  <c r="F24" i="37"/>
  <c r="U22" i="37"/>
  <c r="U21" i="37"/>
  <c r="U20" i="37"/>
  <c r="U19" i="37"/>
  <c r="U18" i="37"/>
  <c r="U17" i="37"/>
  <c r="U16" i="37"/>
  <c r="U15" i="37"/>
  <c r="U14" i="37"/>
  <c r="U13" i="37"/>
  <c r="U12" i="37"/>
  <c r="U11" i="37"/>
  <c r="K24" i="39" l="1"/>
  <c r="S22" i="39"/>
  <c r="T22" i="39"/>
  <c r="T23" i="39"/>
  <c r="U15" i="39"/>
  <c r="U13" i="39"/>
  <c r="H24" i="39"/>
  <c r="H22" i="39"/>
  <c r="H23" i="39"/>
  <c r="O22" i="39"/>
  <c r="Q22" i="39"/>
  <c r="L24" i="39"/>
  <c r="L22" i="39"/>
  <c r="L23" i="39"/>
  <c r="R22" i="39"/>
  <c r="R23" i="39"/>
  <c r="N22" i="39"/>
  <c r="I22" i="39"/>
  <c r="U24" i="37"/>
  <c r="F28" i="37"/>
  <c r="F27" i="37"/>
  <c r="F26" i="39" l="1"/>
  <c r="F25" i="39"/>
  <c r="U22" i="39"/>
</calcChain>
</file>

<file path=xl/sharedStrings.xml><?xml version="1.0" encoding="utf-8"?>
<sst xmlns="http://schemas.openxmlformats.org/spreadsheetml/2006/main" count="297" uniqueCount="80">
  <si>
    <t>Б/К</t>
  </si>
  <si>
    <t>Всесвітня історія
Мельничук С.А.</t>
  </si>
  <si>
    <t>Зарубіжна література
Пруднікова Я.П.</t>
  </si>
  <si>
    <t>Біологія
Богданенко О.В.</t>
  </si>
  <si>
    <t>Історія України
Левчук Т.Г.</t>
  </si>
  <si>
    <t>Географія
Наговська Т.С.</t>
  </si>
  <si>
    <t>Середній бал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</si>
  <si>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</si>
  <si>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</si>
  <si>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</si>
  <si>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</si>
  <si>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</si>
  <si>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</si>
  <si>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</si>
  <si>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Кількість соціального контингенту</t>
  </si>
  <si>
    <t>Вийшли на стипендію</t>
  </si>
  <si>
    <t>Класний керівник</t>
  </si>
  <si>
    <t>Завідувач відділення ПЗСО</t>
  </si>
  <si>
    <t>Маргарита БРІТІКОВА</t>
  </si>
  <si>
    <t>№
п/п</t>
  </si>
  <si>
    <t>Прізвище, ім’я, по батькові</t>
  </si>
  <si>
    <t>Фізика
Калюта Н.М.</t>
  </si>
  <si>
    <t>Хімія
Леонова Д.І.</t>
  </si>
  <si>
    <t>Успішності студентів спеціальності 101 «Екологія»</t>
  </si>
  <si>
    <t>Група 22-5 курс І</t>
  </si>
  <si>
    <t>Успішності студентів спеціальності 172 «Телекомунікації та радіотехніка»</t>
  </si>
  <si>
    <t>Успішності студентів спеціальності 242 «Туризм»</t>
  </si>
  <si>
    <t>Б</t>
  </si>
  <si>
    <t>Гончар Софія Сергіївна  </t>
  </si>
  <si>
    <t>К</t>
  </si>
  <si>
    <t>Бендь Марія Денисівна </t>
  </si>
  <si>
    <t>Брошкова Анна Євгенівна </t>
  </si>
  <si>
    <t>Западнова Єлизавета Сергіївна </t>
  </si>
  <si>
    <t>Литвинов Андрій Олексійович </t>
  </si>
  <si>
    <t>Маленкова Таїсія Григорівна </t>
  </si>
  <si>
    <t>Саєнко Аліна Андріївна </t>
  </si>
  <si>
    <t>Сазонтова Віолета Євгенівна  </t>
  </si>
  <si>
    <t>Тер Олег Вячеславович </t>
  </si>
  <si>
    <t>Улонецька Любов Дмитрівна </t>
  </si>
  <si>
    <t>Шараєва Анна Сергіївна </t>
  </si>
  <si>
    <t>Щекотіліна Олександра Сергіївна  </t>
  </si>
  <si>
    <t>Щуренко Ілля Сергійович </t>
  </si>
  <si>
    <t>Яцюк Антон Дмитрович </t>
  </si>
  <si>
    <t>Блоцький Ярослав Олексійович </t>
  </si>
  <si>
    <t>Єфремова Інеса Михайлівна </t>
  </si>
  <si>
    <t>Кісельов Петро Юрійович </t>
  </si>
  <si>
    <t>Мельник Артем Олександрович </t>
  </si>
  <si>
    <t>Мисютін Тимофій Олександрович </t>
  </si>
  <si>
    <t>Нейченко Станіслав Андріанович </t>
  </si>
  <si>
    <t>Осташко Денис Володимирович </t>
  </si>
  <si>
    <t>Санько Дмитро Андрійович </t>
  </si>
  <si>
    <t>Шумков Микола Васильович </t>
  </si>
  <si>
    <t>Бовкун Марія Григорівна </t>
  </si>
  <si>
    <t>Герасименко Ксенія Володимирівна </t>
  </si>
  <si>
    <t>Голота Єлизавета Іванівна </t>
  </si>
  <si>
    <t>Гуцан Дарія Анатоліївна </t>
  </si>
  <si>
    <t>Козіхіна Сніжана Леонідівна </t>
  </si>
  <si>
    <t>Котова Анастасія Геннадіївна </t>
  </si>
  <si>
    <t>Ладан Феодосій Володимирович </t>
  </si>
  <si>
    <t>Лашкова Ірина Сергіївна </t>
  </si>
  <si>
    <t>Малюта Сергій Віталійович </t>
  </si>
  <si>
    <t>Юферова Мар’яна Вікторівна </t>
  </si>
  <si>
    <t>Тетяна ЗЕМЛЯНА</t>
  </si>
  <si>
    <t>ЗВЕДЕНА ВІДОМІСТЬ</t>
  </si>
  <si>
    <t>н/а</t>
  </si>
  <si>
    <t>ЗУ
Лазар В.І.</t>
  </si>
  <si>
    <t>Іноземна мова
Нічик Н.О.</t>
  </si>
  <si>
    <t>Інформатика
Охрімчук В.С.</t>
  </si>
  <si>
    <t>Математика
Земляна Т.М.</t>
  </si>
  <si>
    <t>Українська література
Пруднікова Я.П.</t>
  </si>
  <si>
    <t>Фізична культура
Галеніна І.С.</t>
  </si>
  <si>
    <t>Підсумкові оцінки дисциплін</t>
  </si>
  <si>
    <t>Астрономія
Наговська Т.С.</t>
  </si>
  <si>
    <t>Українська мова
Антропова Л.І</t>
  </si>
  <si>
    <t>РЕЙТИНГОВА ВІДОМІСТЬ</t>
  </si>
  <si>
    <t>Рейтинговий бал</t>
  </si>
  <si>
    <t>ФАХОВИЙ КОЛЕДЖ НАФТОГАЗОВИХ ТЕХНОЛОГІЙ, ІНЖЕНЕРІЇ ТА ІНФРАСТРУКТУРИ СЕРВІСУ</t>
  </si>
  <si>
    <t>ОДЕСЬКОГО НАЦІОНАЛЬНОГО ТЕХНОЛОГІЧНОГО УНІВЕРСИТЕТУ</t>
  </si>
  <si>
    <t>За ІI семестр 2022-2023 н.р.</t>
  </si>
  <si>
    <t>За IІ семестр 2022-2023 н.р.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</si>
</sst>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EBEBE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8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1" fillId="0" borderId="1"/>
    <xf numFmtId="0" fontId="8" fillId="0" borderId="1"/>
    <xf numFmtId="0" fontId="8" fillId="0" borderId="1"/>
    <xf numFmtId="0" fontId="8" fillId="0" borderId="1"/>
    <xf numFmtId="0" fontId="2" fillId="0" borderId="1"/>
  </cellStyleXfs>
  <cellXfs count="45">
    <xf numFmtId="0" fontId="0" fillId="0" borderId="0" xfId="0" applyFont="1" applyAlignment="1"/>
    <xf numFmtId="2" fontId="3" fillId="2" borderId="2" xfId="5" applyNumberFormat="1" applyFont="1" applyFill="1" applyBorder="1" applyAlignment="1">
      <alignment horizontal="center" vertical="center"/>
    </xf>
    <xf numFmtId="164" fontId="3" fillId="2" borderId="2" xfId="5" applyNumberFormat="1" applyFont="1" applyFill="1" applyBorder="1" applyAlignment="1">
      <alignment horizontal="center" vertical="center"/>
    </xf>
    <xf numFmtId="0" fontId="3" fillId="0" borderId="2" xfId="5" applyFont="1" applyBorder="1" applyAlignment="1">
      <alignment horizontal="center" textRotation="90" wrapText="1"/>
    </xf>
    <xf numFmtId="164" fontId="3" fillId="3" borderId="6" xfId="5" applyNumberFormat="1" applyFont="1" applyFill="1" applyBorder="1" applyAlignment="1">
      <alignment horizontal="center" vertical="center"/>
    </xf>
    <xf numFmtId="0" fontId="5" fillId="5" borderId="1" xfId="5" applyFont="1" applyFill="1" applyAlignment="1">
      <alignment horizontal="left" vertical="center"/>
    </xf>
    <xf numFmtId="0" fontId="3" fillId="4" borderId="1" xfId="5" applyNumberFormat="1" applyFont="1" applyFill="1" applyAlignment="1">
      <alignment horizontal="center" vertical="center"/>
    </xf>
    <xf numFmtId="0" fontId="5" fillId="4" borderId="1" xfId="5" applyNumberFormat="1" applyFont="1" applyFill="1" applyAlignment="1">
      <alignment horizontal="center" vertical="center"/>
    </xf>
    <xf numFmtId="0" fontId="6" fillId="4" borderId="1" xfId="5" applyNumberFormat="1" applyFont="1" applyFill="1" applyAlignment="1">
      <alignment horizontal="center" vertical="center"/>
    </xf>
    <xf numFmtId="0" fontId="4" fillId="5" borderId="2" xfId="5" applyNumberFormat="1" applyFont="1" applyFill="1" applyBorder="1" applyAlignment="1">
      <alignment horizontal="center" vertical="center" textRotation="90" wrapText="1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2" xfId="5" applyNumberFormat="1" applyFont="1" applyFill="1" applyBorder="1" applyAlignment="1">
      <alignment horizontal="left" vertical="center" wrapText="1"/>
    </xf>
    <xf numFmtId="0" fontId="3" fillId="5" borderId="2" xfId="5" applyNumberFormat="1" applyFont="1" applyFill="1" applyBorder="1" applyAlignment="1" applyProtection="1">
      <alignment horizontal="center" vertical="center"/>
      <protection locked="0"/>
    </xf>
    <xf numFmtId="0" fontId="3" fillId="5" borderId="1" xfId="5" applyNumberFormat="1" applyFont="1" applyFill="1" applyAlignment="1">
      <alignment horizontal="center" vertical="center"/>
    </xf>
    <xf numFmtId="0" fontId="3" fillId="5" borderId="1" xfId="5" applyNumberFormat="1" applyFont="1" applyFill="1" applyBorder="1" applyAlignment="1" applyProtection="1">
      <alignment horizontal="center" vertical="center"/>
      <protection locked="0"/>
    </xf>
    <xf numFmtId="0" fontId="3" fillId="4" borderId="1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7" fillId="5" borderId="1" xfId="22" applyFill="1"/>
    <xf numFmtId="0" fontId="3" fillId="5" borderId="2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Alignment="1">
      <alignment horizontal="left" vertical="center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1" xfId="5" applyNumberFormat="1" applyFont="1" applyFill="1" applyBorder="1" applyAlignment="1">
      <alignment horizontal="center" vertical="center"/>
    </xf>
    <xf numFmtId="2" fontId="3" fillId="6" borderId="2" xfId="5" applyNumberFormat="1" applyFont="1" applyFill="1" applyBorder="1" applyAlignment="1">
      <alignment horizontal="center" vertical="center"/>
    </xf>
    <xf numFmtId="0" fontId="3" fillId="7" borderId="2" xfId="5" applyNumberFormat="1" applyFont="1" applyFill="1" applyBorder="1" applyAlignment="1">
      <alignment horizontal="center" vertical="center" wrapText="1"/>
    </xf>
    <xf numFmtId="0" fontId="3" fillId="7" borderId="2" xfId="5" applyNumberFormat="1" applyFont="1" applyFill="1" applyBorder="1" applyAlignment="1">
      <alignment horizontal="left" vertical="center" wrapText="1"/>
    </xf>
    <xf numFmtId="0" fontId="3" fillId="7" borderId="2" xfId="5" applyNumberFormat="1" applyFont="1" applyFill="1" applyBorder="1" applyAlignment="1" applyProtection="1">
      <alignment horizontal="center" vertical="center"/>
      <protection locked="0"/>
    </xf>
    <xf numFmtId="2" fontId="3" fillId="7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1" xfId="5" applyNumberFormat="1" applyFont="1" applyFill="1" applyBorder="1" applyAlignment="1">
      <alignment horizontal="center" vertical="center"/>
    </xf>
    <xf numFmtId="0" fontId="3" fillId="4" borderId="7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Alignment="1">
      <alignment horizontal="center" vertical="center"/>
    </xf>
    <xf numFmtId="0" fontId="5" fillId="5" borderId="1" xfId="5" applyNumberFormat="1" applyFont="1" applyFill="1" applyBorder="1" applyAlignment="1">
      <alignment horizontal="center" vertical="center"/>
    </xf>
    <xf numFmtId="0" fontId="3" fillId="5" borderId="2" xfId="5" quotePrefix="1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8" xfId="5" applyNumberFormat="1" applyFont="1" applyFill="1" applyBorder="1" applyAlignment="1">
      <alignment horizontal="center" vertical="center" wrapText="1"/>
    </xf>
    <xf numFmtId="0" fontId="3" fillId="5" borderId="9" xfId="5" applyNumberFormat="1" applyFont="1" applyFill="1" applyBorder="1" applyAlignment="1">
      <alignment horizontal="center" vertical="center" wrapText="1"/>
    </xf>
    <xf numFmtId="0" fontId="3" fillId="5" borderId="6" xfId="5" applyNumberFormat="1" applyFont="1" applyFill="1" applyBorder="1" applyAlignment="1">
      <alignment horizontal="center" vertical="center" wrapText="1"/>
    </xf>
    <xf numFmtId="0" fontId="3" fillId="4" borderId="3" xfId="5" applyNumberFormat="1" applyFont="1" applyFill="1" applyBorder="1" applyAlignment="1">
      <alignment horizontal="center" vertical="center"/>
    </xf>
    <xf numFmtId="0" fontId="3" fillId="4" borderId="4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4" borderId="5" xfId="5" applyNumberFormat="1" applyFont="1" applyFill="1" applyBorder="1" applyAlignment="1">
      <alignment horizontal="center" vertical="center"/>
    </xf>
    <xf numFmtId="0" fontId="6" fillId="5" borderId="1" xfId="5" applyNumberFormat="1" applyFont="1" applyFill="1" applyAlignment="1">
      <alignment horizontal="center" vertical="center"/>
    </xf>
  </cellXfs>
  <cellStyles count="28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3"/>
    <cellStyle name="Обычный 13" xfId="24"/>
    <cellStyle name="Обычный 14" xfId="25"/>
    <cellStyle name="Обычный 15" xfId="26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2"/>
    <cellStyle name="Обычный 2 6" xfId="27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H25"/>
  <sheetViews>
    <sheetView zoomScaleNormal="100" workbookViewId="0">
      <selection activeCell="K10" sqref="K10"/>
    </sheetView>
  </sheetViews>
  <sheetFormatPr defaultColWidth="0" defaultRowHeight="0" customHeight="1" zeroHeight="1" x14ac:dyDescent="0.25"/>
  <cols>
    <col min="1" max="2" width="2.7109375" style="6" customWidth="1"/>
    <col min="3" max="3" width="4.140625" style="6" customWidth="1"/>
    <col min="4" max="4" width="6.5703125" style="6" customWidth="1"/>
    <col min="5" max="5" width="40.42578125" style="6" customWidth="1"/>
    <col min="6" max="20" width="6.7109375" style="6" customWidth="1"/>
    <col min="21" max="22" width="11.28515625" style="6" customWidth="1"/>
    <col min="23" max="24" width="2.7109375" style="6" customWidth="1"/>
    <col min="25" max="30" width="14.42578125" style="6" hidden="1" customWidth="1"/>
    <col min="31" max="31" width="14.85546875" style="6" hidden="1" customWidth="1"/>
    <col min="32" max="45" width="3.7109375" style="6" hidden="1" customWidth="1"/>
    <col min="46" max="60" width="5.7109375" style="6" hidden="1" customWidth="1"/>
    <col min="61" max="16384" width="14.42578125" style="6" hidden="1"/>
  </cols>
  <sheetData>
    <row r="1" spans="1:24" ht="12" customHeight="1" thickBot="1" x14ac:dyDescent="0.3"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</row>
    <row r="2" spans="1:24" ht="12" customHeight="1" x14ac:dyDescent="0.25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3"/>
    </row>
    <row r="3" spans="1:24" s="7" customFormat="1" ht="15" customHeight="1" x14ac:dyDescent="0.25">
      <c r="A3" s="41"/>
      <c r="B3" s="33"/>
      <c r="C3" s="33" t="s">
        <v>76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43"/>
    </row>
    <row r="4" spans="1:24" s="7" customFormat="1" ht="15" customHeight="1" x14ac:dyDescent="0.25">
      <c r="A4" s="41"/>
      <c r="B4" s="33"/>
      <c r="C4" s="33" t="s">
        <v>77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43"/>
    </row>
    <row r="5" spans="1:24" s="8" customFormat="1" ht="15" customHeight="1" x14ac:dyDescent="0.25">
      <c r="A5" s="41"/>
      <c r="B5" s="33"/>
      <c r="C5" s="44" t="s">
        <v>74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33"/>
      <c r="X5" s="43"/>
    </row>
    <row r="6" spans="1:24" s="7" customFormat="1" ht="15" customHeight="1" x14ac:dyDescent="0.25">
      <c r="A6" s="41"/>
      <c r="B6" s="33"/>
      <c r="C6" s="32" t="s">
        <v>25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3"/>
      <c r="X6" s="43"/>
    </row>
    <row r="7" spans="1:24" s="7" customFormat="1" ht="15" customHeight="1" x14ac:dyDescent="0.25">
      <c r="A7" s="41"/>
      <c r="B7" s="33"/>
      <c r="C7" s="32" t="s">
        <v>78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3"/>
      <c r="X7" s="43"/>
    </row>
    <row r="8" spans="1:24" s="7" customFormat="1" ht="15" customHeight="1" x14ac:dyDescent="0.25">
      <c r="A8" s="41"/>
      <c r="B8" s="33"/>
      <c r="C8" s="33" t="s">
        <v>24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43"/>
    </row>
    <row r="9" spans="1:24" ht="15" customHeight="1" x14ac:dyDescent="0.25">
      <c r="A9" s="41"/>
      <c r="B9" s="33"/>
      <c r="C9" s="34" t="s">
        <v>0</v>
      </c>
      <c r="D9" s="36" t="s">
        <v>19</v>
      </c>
      <c r="E9" s="36" t="s">
        <v>20</v>
      </c>
      <c r="F9" s="37" t="s">
        <v>71</v>
      </c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9"/>
      <c r="W9" s="33"/>
      <c r="X9" s="43"/>
    </row>
    <row r="10" spans="1:24" ht="125.1" customHeight="1" x14ac:dyDescent="0.25">
      <c r="A10" s="41"/>
      <c r="B10" s="33"/>
      <c r="C10" s="35"/>
      <c r="D10" s="35"/>
      <c r="E10" s="35"/>
      <c r="F10" s="3" t="s">
        <v>72</v>
      </c>
      <c r="G10" s="3" t="s">
        <v>3</v>
      </c>
      <c r="H10" s="3" t="s">
        <v>1</v>
      </c>
      <c r="I10" s="3" t="s">
        <v>5</v>
      </c>
      <c r="J10" s="3" t="s">
        <v>2</v>
      </c>
      <c r="K10" s="3" t="s">
        <v>65</v>
      </c>
      <c r="L10" s="3" t="s">
        <v>66</v>
      </c>
      <c r="M10" s="3" t="s">
        <v>67</v>
      </c>
      <c r="N10" s="3" t="s">
        <v>4</v>
      </c>
      <c r="O10" s="3" t="s">
        <v>68</v>
      </c>
      <c r="P10" s="3" t="s">
        <v>69</v>
      </c>
      <c r="Q10" s="3" t="s">
        <v>73</v>
      </c>
      <c r="R10" s="3" t="s">
        <v>21</v>
      </c>
      <c r="S10" s="3" t="s">
        <v>70</v>
      </c>
      <c r="T10" s="3" t="s">
        <v>22</v>
      </c>
      <c r="U10" s="9" t="s">
        <v>6</v>
      </c>
      <c r="V10" s="9" t="s">
        <v>75</v>
      </c>
      <c r="W10" s="33"/>
      <c r="X10" s="43"/>
    </row>
    <row r="11" spans="1:24" ht="15" customHeight="1" x14ac:dyDescent="0.25">
      <c r="A11" s="41"/>
      <c r="B11" s="33"/>
      <c r="C11" s="24" t="s">
        <v>27</v>
      </c>
      <c r="D11" s="24">
        <v>1</v>
      </c>
      <c r="E11" s="25" t="s">
        <v>47</v>
      </c>
      <c r="F11" s="26">
        <v>10</v>
      </c>
      <c r="G11" s="26">
        <v>9</v>
      </c>
      <c r="H11" s="26">
        <v>9</v>
      </c>
      <c r="I11" s="26">
        <v>11</v>
      </c>
      <c r="J11" s="26">
        <v>9</v>
      </c>
      <c r="K11" s="26">
        <v>9</v>
      </c>
      <c r="L11" s="26">
        <v>9</v>
      </c>
      <c r="M11" s="26">
        <v>10</v>
      </c>
      <c r="N11" s="26">
        <v>7</v>
      </c>
      <c r="O11" s="26">
        <v>9</v>
      </c>
      <c r="P11" s="26">
        <v>9</v>
      </c>
      <c r="Q11" s="26">
        <v>10</v>
      </c>
      <c r="R11" s="26">
        <v>8</v>
      </c>
      <c r="S11" s="26">
        <v>9</v>
      </c>
      <c r="T11" s="26">
        <v>7</v>
      </c>
      <c r="U11" s="27">
        <f t="shared" ref="U11:U19" si="0">IF(COUNTIF(F11:T11,"=*")&gt;0,"-",IF(COUNTIF(F11:T11,"&lt;4")&gt;0,"-",(IFERROR(AVERAGE(F11:T11),""))))</f>
        <v>9</v>
      </c>
      <c r="V11" s="27">
        <f t="shared" ref="V11:V19" si="1">U11/12*90</f>
        <v>67.5</v>
      </c>
      <c r="W11" s="33"/>
      <c r="X11" s="43"/>
    </row>
    <row r="12" spans="1:24" ht="15" customHeight="1" x14ac:dyDescent="0.25">
      <c r="A12" s="41"/>
      <c r="B12" s="33"/>
      <c r="C12" s="24" t="s">
        <v>27</v>
      </c>
      <c r="D12" s="24">
        <v>2</v>
      </c>
      <c r="E12" s="25" t="s">
        <v>50</v>
      </c>
      <c r="F12" s="26">
        <v>9</v>
      </c>
      <c r="G12" s="26">
        <v>4</v>
      </c>
      <c r="H12" s="26">
        <v>8</v>
      </c>
      <c r="I12" s="26">
        <v>9</v>
      </c>
      <c r="J12" s="26">
        <v>9</v>
      </c>
      <c r="K12" s="26">
        <v>9</v>
      </c>
      <c r="L12" s="26">
        <v>8</v>
      </c>
      <c r="M12" s="26">
        <v>6</v>
      </c>
      <c r="N12" s="26">
        <v>7</v>
      </c>
      <c r="O12" s="26">
        <v>7</v>
      </c>
      <c r="P12" s="26">
        <v>9</v>
      </c>
      <c r="Q12" s="26">
        <v>7</v>
      </c>
      <c r="R12" s="26">
        <v>7</v>
      </c>
      <c r="S12" s="26">
        <v>10</v>
      </c>
      <c r="T12" s="26">
        <v>8</v>
      </c>
      <c r="U12" s="27">
        <f>IF(COUNTIF(F12:T12,"=*")&gt;0,"-",IF(COUNTIF(F12:T12,"&lt;4")&gt;0,"-",(IFERROR(AVERAGE(F12:T12),""))))</f>
        <v>7.8</v>
      </c>
      <c r="V12" s="27">
        <f>U12/12*90</f>
        <v>58.5</v>
      </c>
      <c r="W12" s="33"/>
      <c r="X12" s="43"/>
    </row>
    <row r="13" spans="1:24" ht="15" customHeight="1" x14ac:dyDescent="0.25">
      <c r="A13" s="41"/>
      <c r="B13" s="33"/>
      <c r="C13" s="24" t="s">
        <v>27</v>
      </c>
      <c r="D13" s="24">
        <v>3</v>
      </c>
      <c r="E13" s="25" t="s">
        <v>49</v>
      </c>
      <c r="F13" s="26">
        <v>9</v>
      </c>
      <c r="G13" s="26">
        <v>8</v>
      </c>
      <c r="H13" s="26">
        <v>10</v>
      </c>
      <c r="I13" s="26">
        <v>10</v>
      </c>
      <c r="J13" s="26">
        <v>9</v>
      </c>
      <c r="K13" s="26">
        <v>7</v>
      </c>
      <c r="L13" s="26">
        <v>5</v>
      </c>
      <c r="M13" s="26">
        <v>5</v>
      </c>
      <c r="N13" s="26">
        <v>7</v>
      </c>
      <c r="O13" s="26">
        <v>6</v>
      </c>
      <c r="P13" s="26">
        <v>9</v>
      </c>
      <c r="Q13" s="26">
        <v>9</v>
      </c>
      <c r="R13" s="26">
        <v>7</v>
      </c>
      <c r="S13" s="26">
        <v>9</v>
      </c>
      <c r="T13" s="26">
        <v>7</v>
      </c>
      <c r="U13" s="27">
        <f>IF(COUNTIF(F13:T13,"=*")&gt;0,"-",IF(COUNTIF(F13:T13,"&lt;4")&gt;0,"-",(IFERROR(AVERAGE(F13:T13),""))))</f>
        <v>7.8</v>
      </c>
      <c r="V13" s="27">
        <f>U13/12*90</f>
        <v>58.5</v>
      </c>
      <c r="W13" s="33"/>
      <c r="X13" s="43"/>
    </row>
    <row r="14" spans="1:24" ht="15" customHeight="1" x14ac:dyDescent="0.25">
      <c r="A14" s="41"/>
      <c r="B14" s="33"/>
      <c r="C14" s="24" t="s">
        <v>27</v>
      </c>
      <c r="D14" s="24">
        <v>4</v>
      </c>
      <c r="E14" s="25" t="s">
        <v>48</v>
      </c>
      <c r="F14" s="26">
        <v>10</v>
      </c>
      <c r="G14" s="26">
        <v>10</v>
      </c>
      <c r="H14" s="26">
        <v>7</v>
      </c>
      <c r="I14" s="26">
        <v>9</v>
      </c>
      <c r="J14" s="26">
        <v>7</v>
      </c>
      <c r="K14" s="26">
        <v>6</v>
      </c>
      <c r="L14" s="26">
        <v>7</v>
      </c>
      <c r="M14" s="26">
        <v>4</v>
      </c>
      <c r="N14" s="26">
        <v>8</v>
      </c>
      <c r="O14" s="26">
        <v>5</v>
      </c>
      <c r="P14" s="26">
        <v>7</v>
      </c>
      <c r="Q14" s="26">
        <v>8</v>
      </c>
      <c r="R14" s="26">
        <v>7</v>
      </c>
      <c r="S14" s="26">
        <v>11</v>
      </c>
      <c r="T14" s="26">
        <v>8</v>
      </c>
      <c r="U14" s="27">
        <v>7.6</v>
      </c>
      <c r="V14" s="27">
        <v>57</v>
      </c>
      <c r="W14" s="33"/>
      <c r="X14" s="43"/>
    </row>
    <row r="15" spans="1:24" ht="15" customHeight="1" x14ac:dyDescent="0.25">
      <c r="A15" s="41"/>
      <c r="B15" s="33"/>
      <c r="C15" s="29" t="s">
        <v>27</v>
      </c>
      <c r="D15" s="29">
        <v>5</v>
      </c>
      <c r="E15" s="11" t="s">
        <v>43</v>
      </c>
      <c r="F15" s="12">
        <v>9</v>
      </c>
      <c r="G15" s="12">
        <v>9</v>
      </c>
      <c r="H15" s="12">
        <v>9</v>
      </c>
      <c r="I15" s="12">
        <v>9</v>
      </c>
      <c r="J15" s="12">
        <v>7</v>
      </c>
      <c r="K15" s="12">
        <v>8</v>
      </c>
      <c r="L15" s="12">
        <v>6</v>
      </c>
      <c r="M15" s="12">
        <v>6</v>
      </c>
      <c r="N15" s="12">
        <v>7</v>
      </c>
      <c r="O15" s="12">
        <v>6</v>
      </c>
      <c r="P15" s="12">
        <v>7</v>
      </c>
      <c r="Q15" s="12">
        <v>6</v>
      </c>
      <c r="R15" s="12">
        <v>5</v>
      </c>
      <c r="S15" s="12">
        <v>9</v>
      </c>
      <c r="T15" s="12">
        <v>8</v>
      </c>
      <c r="U15" s="23">
        <f t="shared" si="0"/>
        <v>7.4</v>
      </c>
      <c r="V15" s="23">
        <f t="shared" si="1"/>
        <v>55.5</v>
      </c>
      <c r="W15" s="33"/>
      <c r="X15" s="43"/>
    </row>
    <row r="16" spans="1:24" ht="15" customHeight="1" x14ac:dyDescent="0.25">
      <c r="A16" s="41"/>
      <c r="B16" s="33"/>
      <c r="C16" s="29" t="s">
        <v>27</v>
      </c>
      <c r="D16" s="29">
        <v>6</v>
      </c>
      <c r="E16" s="11" t="s">
        <v>45</v>
      </c>
      <c r="F16" s="12">
        <v>9</v>
      </c>
      <c r="G16" s="12">
        <v>4</v>
      </c>
      <c r="H16" s="12">
        <v>8</v>
      </c>
      <c r="I16" s="12">
        <v>8</v>
      </c>
      <c r="J16" s="12">
        <v>4</v>
      </c>
      <c r="K16" s="12">
        <v>4</v>
      </c>
      <c r="L16" s="12">
        <v>4</v>
      </c>
      <c r="M16" s="12">
        <v>7</v>
      </c>
      <c r="N16" s="12">
        <v>7</v>
      </c>
      <c r="O16" s="12">
        <v>6</v>
      </c>
      <c r="P16" s="12">
        <v>4</v>
      </c>
      <c r="Q16" s="12">
        <v>9</v>
      </c>
      <c r="R16" s="12">
        <v>6</v>
      </c>
      <c r="S16" s="12">
        <v>5</v>
      </c>
      <c r="T16" s="12">
        <v>6</v>
      </c>
      <c r="U16" s="23">
        <f t="shared" si="0"/>
        <v>6.0666666666666664</v>
      </c>
      <c r="V16" s="23">
        <f t="shared" si="1"/>
        <v>45.5</v>
      </c>
      <c r="W16" s="33"/>
      <c r="X16" s="43"/>
    </row>
    <row r="17" spans="1:25" ht="15" customHeight="1" x14ac:dyDescent="0.25">
      <c r="A17" s="41"/>
      <c r="B17" s="33"/>
      <c r="C17" s="29" t="s">
        <v>27</v>
      </c>
      <c r="D17" s="29">
        <v>7</v>
      </c>
      <c r="E17" s="11" t="s">
        <v>51</v>
      </c>
      <c r="F17" s="12">
        <v>9</v>
      </c>
      <c r="G17" s="12">
        <v>4</v>
      </c>
      <c r="H17" s="12">
        <v>5</v>
      </c>
      <c r="I17" s="12">
        <v>8</v>
      </c>
      <c r="J17" s="12">
        <v>4</v>
      </c>
      <c r="K17" s="12">
        <v>4</v>
      </c>
      <c r="L17" s="12">
        <v>4</v>
      </c>
      <c r="M17" s="12">
        <v>5</v>
      </c>
      <c r="N17" s="12">
        <v>7</v>
      </c>
      <c r="O17" s="12">
        <v>4</v>
      </c>
      <c r="P17" s="12">
        <v>4</v>
      </c>
      <c r="Q17" s="12">
        <v>8</v>
      </c>
      <c r="R17" s="12">
        <v>4</v>
      </c>
      <c r="S17" s="12">
        <v>4</v>
      </c>
      <c r="T17" s="12">
        <v>6</v>
      </c>
      <c r="U17" s="23">
        <f t="shared" si="0"/>
        <v>5.333333333333333</v>
      </c>
      <c r="V17" s="23">
        <f t="shared" si="1"/>
        <v>40</v>
      </c>
      <c r="W17" s="33"/>
      <c r="X17" s="43"/>
    </row>
    <row r="18" spans="1:25" ht="15" customHeight="1" x14ac:dyDescent="0.25">
      <c r="A18" s="41"/>
      <c r="B18" s="33"/>
      <c r="C18" s="29" t="s">
        <v>27</v>
      </c>
      <c r="D18" s="29">
        <v>8</v>
      </c>
      <c r="E18" s="11" t="s">
        <v>46</v>
      </c>
      <c r="F18" s="12">
        <v>8</v>
      </c>
      <c r="G18" s="12">
        <v>4</v>
      </c>
      <c r="H18" s="12">
        <v>6</v>
      </c>
      <c r="I18" s="12">
        <v>8</v>
      </c>
      <c r="J18" s="12">
        <v>4</v>
      </c>
      <c r="K18" s="12">
        <v>4</v>
      </c>
      <c r="L18" s="12">
        <v>4</v>
      </c>
      <c r="M18" s="12">
        <v>4</v>
      </c>
      <c r="N18" s="12">
        <v>5</v>
      </c>
      <c r="O18" s="12">
        <v>4</v>
      </c>
      <c r="P18" s="12">
        <v>4</v>
      </c>
      <c r="Q18" s="12">
        <v>5</v>
      </c>
      <c r="R18" s="12">
        <v>4</v>
      </c>
      <c r="S18" s="12">
        <v>4</v>
      </c>
      <c r="T18" s="12">
        <v>5</v>
      </c>
      <c r="U18" s="23">
        <f t="shared" si="0"/>
        <v>4.8666666666666663</v>
      </c>
      <c r="V18" s="23">
        <f t="shared" si="1"/>
        <v>36.499999999999993</v>
      </c>
      <c r="W18" s="33"/>
      <c r="X18" s="43"/>
    </row>
    <row r="19" spans="1:25" ht="15" customHeight="1" x14ac:dyDescent="0.25">
      <c r="A19" s="41"/>
      <c r="B19" s="33"/>
      <c r="C19" s="29" t="s">
        <v>27</v>
      </c>
      <c r="D19" s="29">
        <v>9</v>
      </c>
      <c r="E19" s="11" t="s">
        <v>44</v>
      </c>
      <c r="F19" s="12">
        <v>4</v>
      </c>
      <c r="G19" s="12">
        <v>4</v>
      </c>
      <c r="H19" s="12">
        <v>8</v>
      </c>
      <c r="I19" s="12">
        <v>4</v>
      </c>
      <c r="J19" s="12">
        <v>4</v>
      </c>
      <c r="K19" s="12">
        <v>4</v>
      </c>
      <c r="L19" s="12">
        <v>4</v>
      </c>
      <c r="M19" s="12">
        <v>5</v>
      </c>
      <c r="N19" s="12">
        <v>4</v>
      </c>
      <c r="O19" s="12">
        <v>4</v>
      </c>
      <c r="P19" s="12">
        <v>4</v>
      </c>
      <c r="Q19" s="12">
        <v>4</v>
      </c>
      <c r="R19" s="12">
        <v>4</v>
      </c>
      <c r="S19" s="12">
        <v>4</v>
      </c>
      <c r="T19" s="12">
        <v>6</v>
      </c>
      <c r="U19" s="23">
        <f t="shared" si="0"/>
        <v>4.4666666666666668</v>
      </c>
      <c r="V19" s="23">
        <f t="shared" si="1"/>
        <v>33.5</v>
      </c>
      <c r="W19" s="33"/>
      <c r="X19" s="43"/>
    </row>
    <row r="20" spans="1:25" ht="15" customHeight="1" x14ac:dyDescent="0.25">
      <c r="A20" s="41"/>
      <c r="B20" s="33"/>
      <c r="C20" s="13"/>
      <c r="D20" s="13"/>
      <c r="E20" s="11" t="s">
        <v>12</v>
      </c>
      <c r="F20" s="28" t="e">
        <f>#REF!</f>
        <v>#REF!</v>
      </c>
      <c r="G20" s="17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30"/>
      <c r="V20" s="30"/>
      <c r="W20" s="33"/>
      <c r="X20" s="43"/>
      <c r="Y20" s="15"/>
    </row>
    <row r="21" spans="1:25" ht="15" customHeight="1" x14ac:dyDescent="0.25">
      <c r="A21" s="41"/>
      <c r="B21" s="33"/>
      <c r="C21" s="13"/>
      <c r="D21" s="13"/>
      <c r="E21" s="11" t="s">
        <v>13</v>
      </c>
      <c r="F21" s="28" t="e">
        <f>#REF!</f>
        <v>#REF!</v>
      </c>
      <c r="G21" s="17"/>
      <c r="H21" s="13"/>
      <c r="I21" s="19" t="s">
        <v>16</v>
      </c>
      <c r="J21" s="13"/>
      <c r="K21" s="13"/>
      <c r="L21" s="13"/>
      <c r="M21" s="13"/>
      <c r="N21" s="13"/>
      <c r="O21" s="13"/>
      <c r="P21" s="5" t="s">
        <v>62</v>
      </c>
      <c r="Q21" s="13"/>
      <c r="R21" s="13"/>
      <c r="S21" s="13"/>
      <c r="T21" s="13"/>
      <c r="U21" s="13"/>
      <c r="V21" s="13"/>
      <c r="W21" s="33"/>
      <c r="X21" s="43"/>
    </row>
    <row r="22" spans="1:25" ht="15" customHeight="1" x14ac:dyDescent="0.25">
      <c r="A22" s="41"/>
      <c r="B22" s="33"/>
      <c r="C22" s="13"/>
      <c r="D22" s="13"/>
      <c r="E22" s="11" t="s">
        <v>14</v>
      </c>
      <c r="F22" s="28" t="e">
        <f>#REF!</f>
        <v>#REF!</v>
      </c>
      <c r="G22" s="17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33"/>
      <c r="X22" s="43"/>
    </row>
    <row r="23" spans="1:25" ht="15" customHeight="1" x14ac:dyDescent="0.25">
      <c r="A23" s="41"/>
      <c r="B23" s="33"/>
      <c r="C23" s="13"/>
      <c r="D23" s="13"/>
      <c r="E23" s="11" t="s">
        <v>15</v>
      </c>
      <c r="F23" s="28" t="e">
        <f>#REF!</f>
        <v>#REF!</v>
      </c>
      <c r="G23" s="17"/>
      <c r="H23" s="13"/>
      <c r="I23" s="19" t="s">
        <v>17</v>
      </c>
      <c r="J23" s="13"/>
      <c r="K23" s="13"/>
      <c r="L23" s="13"/>
      <c r="M23" s="13"/>
      <c r="N23" s="13"/>
      <c r="O23" s="13"/>
      <c r="P23" s="19" t="s">
        <v>18</v>
      </c>
      <c r="Q23" s="13"/>
      <c r="R23" s="13"/>
      <c r="S23" s="13"/>
      <c r="T23" s="13"/>
      <c r="U23" s="13"/>
      <c r="V23" s="13"/>
      <c r="W23" s="33"/>
      <c r="X23" s="43"/>
    </row>
    <row r="24" spans="1:25" ht="12" customHeight="1" thickBot="1" x14ac:dyDescent="0.3">
      <c r="A24" s="41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3"/>
    </row>
    <row r="25" spans="1:25" ht="12" customHeight="1" x14ac:dyDescent="0.25"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</row>
  </sheetData>
  <sheetProtection selectLockedCells="1"/>
  <mergeCells count="18">
    <mergeCell ref="B1:W1"/>
    <mergeCell ref="A2:A24"/>
    <mergeCell ref="B2:W2"/>
    <mergeCell ref="X2:X24"/>
    <mergeCell ref="B3:B23"/>
    <mergeCell ref="C3:V3"/>
    <mergeCell ref="W3:W23"/>
    <mergeCell ref="C4:V4"/>
    <mergeCell ref="C5:V5"/>
    <mergeCell ref="C6:V6"/>
    <mergeCell ref="B24:W24"/>
    <mergeCell ref="B25:W25"/>
    <mergeCell ref="C7:V7"/>
    <mergeCell ref="C8:V8"/>
    <mergeCell ref="C9:C10"/>
    <mergeCell ref="D9:D10"/>
    <mergeCell ref="E9:E10"/>
    <mergeCell ref="F9:V9"/>
  </mergeCells>
  <printOptions horizontalCentered="1"/>
  <pageMargins left="0" right="0" top="0" bottom="0" header="0" footer="0"/>
  <pageSetup paperSize="9" scale="8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30"/>
  <sheetViews>
    <sheetView zoomScaleNormal="100" workbookViewId="0">
      <selection activeCell="E12" sqref="E12"/>
    </sheetView>
  </sheetViews>
  <sheetFormatPr defaultColWidth="0" defaultRowHeight="0" customHeight="1" zeroHeight="1" x14ac:dyDescent="0.25"/>
  <cols>
    <col min="1" max="2" width="2.7109375" style="6" customWidth="1"/>
    <col min="3" max="3" width="4.140625" style="6" customWidth="1"/>
    <col min="4" max="4" width="6.5703125" style="6" customWidth="1"/>
    <col min="5" max="5" width="40.42578125" style="6" customWidth="1"/>
    <col min="6" max="20" width="6.7109375" style="6" customWidth="1"/>
    <col min="21" max="21" width="11.28515625" style="6" customWidth="1"/>
    <col min="22" max="23" width="2.7109375" style="6" customWidth="1"/>
    <col min="24" max="29" width="14.42578125" style="6" hidden="1" customWidth="1"/>
    <col min="30" max="30" width="14.85546875" style="6" hidden="1" customWidth="1"/>
    <col min="31" max="44" width="3.7109375" style="6" hidden="1" customWidth="1"/>
    <col min="45" max="59" width="5.7109375" style="6" hidden="1" customWidth="1"/>
    <col min="60" max="16384" width="14.42578125" style="6" hidden="1"/>
  </cols>
  <sheetData>
    <row r="1" spans="1:23" ht="12" customHeight="1" thickBot="1" x14ac:dyDescent="0.3"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</row>
    <row r="2" spans="1:23" ht="12" customHeight="1" x14ac:dyDescent="0.25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3"/>
    </row>
    <row r="3" spans="1:23" s="7" customFormat="1" ht="15" customHeight="1" x14ac:dyDescent="0.25">
      <c r="A3" s="41"/>
      <c r="B3" s="33"/>
      <c r="C3" s="33" t="s">
        <v>76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43"/>
    </row>
    <row r="4" spans="1:23" s="7" customFormat="1" ht="15" customHeight="1" x14ac:dyDescent="0.25">
      <c r="A4" s="41"/>
      <c r="B4" s="33"/>
      <c r="C4" s="33" t="s">
        <v>77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43"/>
    </row>
    <row r="5" spans="1:23" s="8" customFormat="1" ht="15" customHeight="1" x14ac:dyDescent="0.25">
      <c r="A5" s="41"/>
      <c r="B5" s="33"/>
      <c r="C5" s="44" t="s">
        <v>63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33"/>
      <c r="W5" s="43"/>
    </row>
    <row r="6" spans="1:23" s="7" customFormat="1" ht="15" customHeight="1" x14ac:dyDescent="0.25">
      <c r="A6" s="41"/>
      <c r="B6" s="33"/>
      <c r="C6" s="32" t="s">
        <v>25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3"/>
      <c r="W6" s="43"/>
    </row>
    <row r="7" spans="1:23" s="7" customFormat="1" ht="15" customHeight="1" x14ac:dyDescent="0.25">
      <c r="A7" s="41"/>
      <c r="B7" s="33"/>
      <c r="C7" s="32" t="s">
        <v>78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3"/>
      <c r="W7" s="43"/>
    </row>
    <row r="8" spans="1:23" s="7" customFormat="1" ht="15" customHeight="1" x14ac:dyDescent="0.25">
      <c r="A8" s="41"/>
      <c r="B8" s="33"/>
      <c r="C8" s="33" t="s">
        <v>24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43"/>
    </row>
    <row r="9" spans="1:23" ht="15" customHeight="1" x14ac:dyDescent="0.25">
      <c r="A9" s="41"/>
      <c r="B9" s="33"/>
      <c r="C9" s="34" t="s">
        <v>0</v>
      </c>
      <c r="D9" s="36" t="s">
        <v>19</v>
      </c>
      <c r="E9" s="36" t="s">
        <v>20</v>
      </c>
      <c r="F9" s="37" t="s">
        <v>71</v>
      </c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9"/>
      <c r="V9" s="33"/>
      <c r="W9" s="43"/>
    </row>
    <row r="10" spans="1:23" ht="125.1" customHeight="1" x14ac:dyDescent="0.25">
      <c r="A10" s="41"/>
      <c r="B10" s="33"/>
      <c r="C10" s="35"/>
      <c r="D10" s="35"/>
      <c r="E10" s="35"/>
      <c r="F10" s="3" t="s">
        <v>72</v>
      </c>
      <c r="G10" s="3" t="s">
        <v>3</v>
      </c>
      <c r="H10" s="3" t="s">
        <v>1</v>
      </c>
      <c r="I10" s="3" t="s">
        <v>5</v>
      </c>
      <c r="J10" s="3" t="s">
        <v>2</v>
      </c>
      <c r="K10" s="3" t="s">
        <v>65</v>
      </c>
      <c r="L10" s="3" t="s">
        <v>66</v>
      </c>
      <c r="M10" s="3" t="s">
        <v>67</v>
      </c>
      <c r="N10" s="3" t="s">
        <v>4</v>
      </c>
      <c r="O10" s="3" t="s">
        <v>68</v>
      </c>
      <c r="P10" s="3" t="s">
        <v>69</v>
      </c>
      <c r="Q10" s="3" t="s">
        <v>73</v>
      </c>
      <c r="R10" s="3" t="s">
        <v>21</v>
      </c>
      <c r="S10" s="3" t="s">
        <v>70</v>
      </c>
      <c r="T10" s="3" t="s">
        <v>22</v>
      </c>
      <c r="U10" s="9" t="s">
        <v>6</v>
      </c>
      <c r="V10" s="33"/>
      <c r="W10" s="43"/>
    </row>
    <row r="11" spans="1:23" ht="15" customHeight="1" x14ac:dyDescent="0.25">
      <c r="A11" s="41"/>
      <c r="B11" s="33"/>
      <c r="C11" s="29" t="s">
        <v>27</v>
      </c>
      <c r="D11" s="29">
        <v>1</v>
      </c>
      <c r="E11" s="11" t="s">
        <v>43</v>
      </c>
      <c r="F11" s="12">
        <v>9</v>
      </c>
      <c r="G11" s="12">
        <v>9</v>
      </c>
      <c r="H11" s="12">
        <v>9</v>
      </c>
      <c r="I11" s="12">
        <v>9</v>
      </c>
      <c r="J11" s="12">
        <v>7</v>
      </c>
      <c r="K11" s="12">
        <v>8</v>
      </c>
      <c r="L11" s="12">
        <v>6</v>
      </c>
      <c r="M11" s="12">
        <v>6</v>
      </c>
      <c r="N11" s="12">
        <v>7</v>
      </c>
      <c r="O11" s="12">
        <v>6</v>
      </c>
      <c r="P11" s="12">
        <v>7</v>
      </c>
      <c r="Q11" s="12">
        <v>6</v>
      </c>
      <c r="R11" s="12">
        <v>5</v>
      </c>
      <c r="S11" s="12">
        <v>9</v>
      </c>
      <c r="T11" s="12">
        <v>8</v>
      </c>
      <c r="U11" s="1">
        <f>IF(COUNTIF(F11:T11,"=*")&gt;0,"-",IF(COUNTIF(F11:T11,"&lt;4")&gt;0,"-",(IFERROR(AVERAGE(F11:T11),""))))</f>
        <v>7.4</v>
      </c>
      <c r="V11" s="33"/>
      <c r="W11" s="43"/>
    </row>
    <row r="12" spans="1:23" ht="15" customHeight="1" x14ac:dyDescent="0.25">
      <c r="A12" s="41"/>
      <c r="B12" s="33"/>
      <c r="C12" s="29" t="s">
        <v>27</v>
      </c>
      <c r="D12" s="29">
        <v>2</v>
      </c>
      <c r="E12" s="11" t="s">
        <v>44</v>
      </c>
      <c r="F12" s="12">
        <v>4</v>
      </c>
      <c r="G12" s="12">
        <v>4</v>
      </c>
      <c r="H12" s="12">
        <v>8</v>
      </c>
      <c r="I12" s="12">
        <v>4</v>
      </c>
      <c r="J12" s="12">
        <v>4</v>
      </c>
      <c r="K12" s="12">
        <v>4</v>
      </c>
      <c r="L12" s="12">
        <v>4</v>
      </c>
      <c r="M12" s="12">
        <v>5</v>
      </c>
      <c r="N12" s="12">
        <v>4</v>
      </c>
      <c r="O12" s="12">
        <v>4</v>
      </c>
      <c r="P12" s="12">
        <v>4</v>
      </c>
      <c r="Q12" s="12">
        <v>4</v>
      </c>
      <c r="R12" s="12">
        <v>4</v>
      </c>
      <c r="S12" s="12">
        <v>4</v>
      </c>
      <c r="T12" s="12">
        <v>6</v>
      </c>
      <c r="U12" s="1">
        <f t="shared" ref="U12:U19" si="0">IF(COUNTIF(F12:T12,"=*")&gt;0,"-",IF(COUNTIF(F12:T12,"&lt;4")&gt;0,"-",(IFERROR(AVERAGE(F12:T12),""))))</f>
        <v>4.4666666666666668</v>
      </c>
      <c r="V12" s="33"/>
      <c r="W12" s="43"/>
    </row>
    <row r="13" spans="1:23" ht="15" customHeight="1" x14ac:dyDescent="0.25">
      <c r="A13" s="41"/>
      <c r="B13" s="33"/>
      <c r="C13" s="29" t="s">
        <v>27</v>
      </c>
      <c r="D13" s="29">
        <v>3</v>
      </c>
      <c r="E13" s="11" t="s">
        <v>45</v>
      </c>
      <c r="F13" s="12">
        <v>9</v>
      </c>
      <c r="G13" s="12">
        <v>4</v>
      </c>
      <c r="H13" s="12">
        <v>8</v>
      </c>
      <c r="I13" s="12">
        <v>8</v>
      </c>
      <c r="J13" s="12">
        <v>4</v>
      </c>
      <c r="K13" s="12">
        <v>4</v>
      </c>
      <c r="L13" s="12">
        <v>4</v>
      </c>
      <c r="M13" s="12">
        <v>7</v>
      </c>
      <c r="N13" s="12">
        <v>7</v>
      </c>
      <c r="O13" s="12">
        <v>6</v>
      </c>
      <c r="P13" s="12">
        <v>4</v>
      </c>
      <c r="Q13" s="12">
        <v>9</v>
      </c>
      <c r="R13" s="12">
        <v>6</v>
      </c>
      <c r="S13" s="12">
        <v>5</v>
      </c>
      <c r="T13" s="12">
        <v>6</v>
      </c>
      <c r="U13" s="1">
        <f t="shared" si="0"/>
        <v>6.0666666666666664</v>
      </c>
      <c r="V13" s="33"/>
      <c r="W13" s="43"/>
    </row>
    <row r="14" spans="1:23" ht="15" customHeight="1" x14ac:dyDescent="0.25">
      <c r="A14" s="41"/>
      <c r="B14" s="33"/>
      <c r="C14" s="29" t="s">
        <v>27</v>
      </c>
      <c r="D14" s="29">
        <v>4</v>
      </c>
      <c r="E14" s="11" t="s">
        <v>46</v>
      </c>
      <c r="F14" s="12">
        <v>8</v>
      </c>
      <c r="G14" s="12">
        <v>4</v>
      </c>
      <c r="H14" s="12">
        <v>6</v>
      </c>
      <c r="I14" s="12">
        <v>8</v>
      </c>
      <c r="J14" s="12">
        <v>4</v>
      </c>
      <c r="K14" s="12">
        <v>4</v>
      </c>
      <c r="L14" s="12">
        <v>4</v>
      </c>
      <c r="M14" s="12">
        <v>4</v>
      </c>
      <c r="N14" s="12">
        <v>5</v>
      </c>
      <c r="O14" s="12">
        <v>4</v>
      </c>
      <c r="P14" s="12">
        <v>4</v>
      </c>
      <c r="Q14" s="12">
        <v>5</v>
      </c>
      <c r="R14" s="12">
        <v>4</v>
      </c>
      <c r="S14" s="12">
        <v>4</v>
      </c>
      <c r="T14" s="12">
        <v>5</v>
      </c>
      <c r="U14" s="1">
        <f t="shared" si="0"/>
        <v>4.8666666666666663</v>
      </c>
      <c r="V14" s="33"/>
      <c r="W14" s="43"/>
    </row>
    <row r="15" spans="1:23" ht="15" customHeight="1" x14ac:dyDescent="0.25">
      <c r="A15" s="41"/>
      <c r="B15" s="33"/>
      <c r="C15" s="29" t="s">
        <v>27</v>
      </c>
      <c r="D15" s="29">
        <v>5</v>
      </c>
      <c r="E15" s="11" t="s">
        <v>47</v>
      </c>
      <c r="F15" s="12">
        <v>10</v>
      </c>
      <c r="G15" s="12">
        <v>9</v>
      </c>
      <c r="H15" s="12">
        <v>9</v>
      </c>
      <c r="I15" s="12">
        <v>11</v>
      </c>
      <c r="J15" s="12">
        <v>9</v>
      </c>
      <c r="K15" s="12">
        <v>9</v>
      </c>
      <c r="L15" s="12">
        <v>9</v>
      </c>
      <c r="M15" s="12">
        <v>10</v>
      </c>
      <c r="N15" s="12">
        <v>7</v>
      </c>
      <c r="O15" s="12">
        <v>9</v>
      </c>
      <c r="P15" s="12">
        <v>9</v>
      </c>
      <c r="Q15" s="12">
        <v>10</v>
      </c>
      <c r="R15" s="12">
        <v>8</v>
      </c>
      <c r="S15" s="12">
        <v>9</v>
      </c>
      <c r="T15" s="12">
        <v>7</v>
      </c>
      <c r="U15" s="1">
        <f t="shared" si="0"/>
        <v>9</v>
      </c>
      <c r="V15" s="33"/>
      <c r="W15" s="43"/>
    </row>
    <row r="16" spans="1:23" ht="15" customHeight="1" x14ac:dyDescent="0.25">
      <c r="A16" s="41"/>
      <c r="B16" s="33"/>
      <c r="C16" s="29" t="s">
        <v>27</v>
      </c>
      <c r="D16" s="29">
        <v>6</v>
      </c>
      <c r="E16" s="11" t="s">
        <v>48</v>
      </c>
      <c r="F16" s="12">
        <v>10</v>
      </c>
      <c r="G16" s="12">
        <v>10</v>
      </c>
      <c r="H16" s="12">
        <v>7</v>
      </c>
      <c r="I16" s="12">
        <v>9</v>
      </c>
      <c r="J16" s="12">
        <v>7</v>
      </c>
      <c r="K16" s="12">
        <v>6</v>
      </c>
      <c r="L16" s="12">
        <v>7</v>
      </c>
      <c r="M16" s="12">
        <v>4</v>
      </c>
      <c r="N16" s="12">
        <v>8</v>
      </c>
      <c r="O16" s="12">
        <v>5</v>
      </c>
      <c r="P16" s="12">
        <v>7</v>
      </c>
      <c r="Q16" s="12">
        <v>8</v>
      </c>
      <c r="R16" s="12">
        <v>7</v>
      </c>
      <c r="S16" s="12">
        <v>11</v>
      </c>
      <c r="T16" s="12">
        <v>8</v>
      </c>
      <c r="U16" s="1">
        <f t="shared" si="0"/>
        <v>7.6</v>
      </c>
      <c r="V16" s="33"/>
      <c r="W16" s="43"/>
    </row>
    <row r="17" spans="1:24" ht="15" customHeight="1" x14ac:dyDescent="0.25">
      <c r="A17" s="41"/>
      <c r="B17" s="33"/>
      <c r="C17" s="29" t="s">
        <v>27</v>
      </c>
      <c r="D17" s="29">
        <v>7</v>
      </c>
      <c r="E17" s="11" t="s">
        <v>49</v>
      </c>
      <c r="F17" s="12">
        <v>9</v>
      </c>
      <c r="G17" s="12">
        <v>8</v>
      </c>
      <c r="H17" s="12">
        <v>10</v>
      </c>
      <c r="I17" s="12">
        <v>10</v>
      </c>
      <c r="J17" s="12">
        <v>9</v>
      </c>
      <c r="K17" s="12">
        <v>7</v>
      </c>
      <c r="L17" s="12">
        <v>5</v>
      </c>
      <c r="M17" s="12">
        <v>5</v>
      </c>
      <c r="N17" s="12">
        <v>7</v>
      </c>
      <c r="O17" s="12">
        <v>6</v>
      </c>
      <c r="P17" s="12">
        <v>9</v>
      </c>
      <c r="Q17" s="12">
        <v>9</v>
      </c>
      <c r="R17" s="12">
        <v>7</v>
      </c>
      <c r="S17" s="12">
        <v>9</v>
      </c>
      <c r="T17" s="12">
        <v>7</v>
      </c>
      <c r="U17" s="1">
        <f t="shared" si="0"/>
        <v>7.8</v>
      </c>
      <c r="V17" s="33"/>
      <c r="W17" s="43"/>
    </row>
    <row r="18" spans="1:24" ht="15" customHeight="1" x14ac:dyDescent="0.25">
      <c r="A18" s="41"/>
      <c r="B18" s="33"/>
      <c r="C18" s="29" t="s">
        <v>27</v>
      </c>
      <c r="D18" s="29">
        <v>8</v>
      </c>
      <c r="E18" s="11" t="s">
        <v>50</v>
      </c>
      <c r="F18" s="12">
        <v>9</v>
      </c>
      <c r="G18" s="12">
        <v>4</v>
      </c>
      <c r="H18" s="12">
        <v>8</v>
      </c>
      <c r="I18" s="12">
        <v>9</v>
      </c>
      <c r="J18" s="12">
        <v>9</v>
      </c>
      <c r="K18" s="12">
        <v>9</v>
      </c>
      <c r="L18" s="12">
        <v>8</v>
      </c>
      <c r="M18" s="12">
        <v>6</v>
      </c>
      <c r="N18" s="12">
        <v>7</v>
      </c>
      <c r="O18" s="12">
        <v>7</v>
      </c>
      <c r="P18" s="12">
        <v>9</v>
      </c>
      <c r="Q18" s="12">
        <v>7</v>
      </c>
      <c r="R18" s="12">
        <v>7</v>
      </c>
      <c r="S18" s="12">
        <v>10</v>
      </c>
      <c r="T18" s="12">
        <v>8</v>
      </c>
      <c r="U18" s="1">
        <f t="shared" si="0"/>
        <v>7.8</v>
      </c>
      <c r="V18" s="33"/>
      <c r="W18" s="43"/>
    </row>
    <row r="19" spans="1:24" ht="15" customHeight="1" x14ac:dyDescent="0.25">
      <c r="A19" s="41"/>
      <c r="B19" s="33"/>
      <c r="C19" s="29" t="s">
        <v>27</v>
      </c>
      <c r="D19" s="29">
        <v>9</v>
      </c>
      <c r="E19" s="11" t="s">
        <v>51</v>
      </c>
      <c r="F19" s="12">
        <v>9</v>
      </c>
      <c r="G19" s="12">
        <v>4</v>
      </c>
      <c r="H19" s="12">
        <v>5</v>
      </c>
      <c r="I19" s="12">
        <v>8</v>
      </c>
      <c r="J19" s="12">
        <v>4</v>
      </c>
      <c r="K19" s="12">
        <v>4</v>
      </c>
      <c r="L19" s="12">
        <v>4</v>
      </c>
      <c r="M19" s="12">
        <v>5</v>
      </c>
      <c r="N19" s="12">
        <v>7</v>
      </c>
      <c r="O19" s="12">
        <v>4</v>
      </c>
      <c r="P19" s="12">
        <v>4</v>
      </c>
      <c r="Q19" s="12">
        <v>8</v>
      </c>
      <c r="R19" s="12">
        <v>4</v>
      </c>
      <c r="S19" s="12">
        <v>4</v>
      </c>
      <c r="T19" s="12">
        <v>6</v>
      </c>
      <c r="U19" s="1">
        <f t="shared" si="0"/>
        <v>5.333333333333333</v>
      </c>
      <c r="V19" s="33"/>
      <c r="W19" s="43"/>
    </row>
    <row r="20" spans="1:24" ht="15" customHeight="1" x14ac:dyDescent="0.25">
      <c r="A20" s="41"/>
      <c r="B20" s="33"/>
      <c r="C20" s="13"/>
      <c r="D20" s="13"/>
      <c r="E20" s="11" t="s">
        <v>7</v>
      </c>
      <c r="F20" s="2">
        <f>IF(SUM(F11:F19)=0,"",SUM(F11:F19)/D19)</f>
        <v>8.5555555555555554</v>
      </c>
      <c r="G20" s="2">
        <f>IF(SUM(G11:G19)=0,"",SUM(G11:G19)/D19)</f>
        <v>6.2222222222222223</v>
      </c>
      <c r="H20" s="2">
        <f>IF(SUM(H11:H19)=0,"",SUM(H11:H19)/D19)</f>
        <v>7.7777777777777777</v>
      </c>
      <c r="I20" s="2">
        <f>IF(SUM(I11:I19)=0,"",SUM(I11:I19)/D19)</f>
        <v>8.4444444444444446</v>
      </c>
      <c r="J20" s="2">
        <f>IF(SUM(J11:J19)=0,"",SUM(J11:J19)/D19)</f>
        <v>6.333333333333333</v>
      </c>
      <c r="K20" s="2">
        <f>IF(SUM(K11:K19)=0,"",SUM(K11:K19)/D19)</f>
        <v>6.1111111111111107</v>
      </c>
      <c r="L20" s="2">
        <f>IF(SUM(L11:L19)=0,"",SUM(L11:L19)/D19)</f>
        <v>5.666666666666667</v>
      </c>
      <c r="M20" s="2">
        <f>IF(SUM(M11:M19)=0,"",SUM(M11:M19)/D19)</f>
        <v>5.7777777777777777</v>
      </c>
      <c r="N20" s="2">
        <f>IF(SUM(N11:N19)=0,"",SUM(N11:N19)/D19)</f>
        <v>6.5555555555555554</v>
      </c>
      <c r="O20" s="2">
        <f>IF(SUM(O11:O19)=0,"",SUM(O11:O19)/D19)</f>
        <v>5.666666666666667</v>
      </c>
      <c r="P20" s="2">
        <f>IF(SUM(P11:P19)=0,"",SUM(P11:P19)/D19)</f>
        <v>6.333333333333333</v>
      </c>
      <c r="Q20" s="2">
        <f>IF(SUM(Q11:Q19)=0,"",SUM(Q11:Q19)/D19)</f>
        <v>7.333333333333333</v>
      </c>
      <c r="R20" s="2">
        <f>IF(SUM(R11:R19)=0,"",SUM(R11:R19)/D19)</f>
        <v>5.7777777777777777</v>
      </c>
      <c r="S20" s="2">
        <f>IF(SUM(S11:S19)=0,"",SUM(S11:S19)/D19)</f>
        <v>7.2222222222222223</v>
      </c>
      <c r="T20" s="2">
        <f>IF(SUM(T11:T19)=0,"",SUM(T11:T19)/D19)</f>
        <v>6.7777777777777777</v>
      </c>
      <c r="U20" s="1">
        <f>IFERROR(AVERAGE(F20:T20),"")</f>
        <v>6.7037037037037033</v>
      </c>
      <c r="V20" s="33"/>
      <c r="W20" s="43"/>
    </row>
    <row r="21" spans="1:24" ht="15" customHeight="1" x14ac:dyDescent="0.25">
      <c r="A21" s="41"/>
      <c r="B21" s="33"/>
      <c r="C21" s="13"/>
      <c r="D21" s="13"/>
      <c r="E21" s="11" t="s">
        <v>8</v>
      </c>
      <c r="F21" s="4">
        <f>IF(SUM(F11:F19)=0,"",IF(COUNTIF(F11:F19,"&gt;=4")=0,0,COUNTIF(F11:F19,"&gt;=4")/D19*100))</f>
        <v>100</v>
      </c>
      <c r="G21" s="4">
        <f>IF(SUM(G11:G19)=0,"",IF(COUNTIF(G11:G19,"&gt;=4")=0,0,COUNTIF(G11:G19,"&gt;=4")/D19*100))</f>
        <v>100</v>
      </c>
      <c r="H21" s="4">
        <f>IF(SUM(H11:H19)=0,"",IF(COUNTIF(H11:H19,"&gt;=4")=0,0,COUNTIF(H11:H19,"&gt;=4")/D19*100))</f>
        <v>100</v>
      </c>
      <c r="I21" s="4">
        <f>IF(SUM(I11:I19)=0,"",IF(COUNTIF(I11:I19,"&gt;=4")=0,0,COUNTIF(I11:I19,"&gt;=4")/D19*100))</f>
        <v>100</v>
      </c>
      <c r="J21" s="4">
        <f>IF(SUM(J11:J19)=0,"",IF(COUNTIF(J11:J19,"&gt;=4")=0,0,COUNTIF(J11:J19,"&gt;=4")/D19*100))</f>
        <v>100</v>
      </c>
      <c r="K21" s="4">
        <f>IF(SUM(K11:K19)=0,"",IF(COUNTIF(K11:K19,"&gt;=4")=0,0,COUNTIF(K11:K19,"&gt;=4")/D19*100))</f>
        <v>100</v>
      </c>
      <c r="L21" s="4">
        <f>IF(SUM(L11:L19)=0,"",IF(COUNTIF(L11:L19,"&gt;=4")=0,0,COUNTIF(L11:L19,"&gt;=4")/D19*100))</f>
        <v>100</v>
      </c>
      <c r="M21" s="4">
        <f>IF(SUM(M11:M19)=0,"",IF(COUNTIF(M11:M19,"&gt;=4")=0,0,COUNTIF(M11:M19,"&gt;=4")/D19*100))</f>
        <v>100</v>
      </c>
      <c r="N21" s="4">
        <f>IF(SUM(N11:N19)=0,"",IF(COUNTIF(N11:N19,"&gt;=4")=0,0,COUNTIF(N11:N19,"&gt;=4")/D19*100))</f>
        <v>100</v>
      </c>
      <c r="O21" s="4">
        <f>IF(SUM(O11:O19)=0,"",IF(COUNTIF(O11:O19,"&gt;=4")=0,0,COUNTIF(O11:O19,"&gt;=4")/D19*100))</f>
        <v>100</v>
      </c>
      <c r="P21" s="4">
        <f>IF(SUM(P11:P19)=0,"",IF(COUNTIF(P11:P19,"&gt;=4")=0,0,COUNTIF(P11:P19,"&gt;=4")/D19*100))</f>
        <v>100</v>
      </c>
      <c r="Q21" s="4">
        <f>IF(SUM(Q11:Q19)=0,"",IF(COUNTIF(Q11:Q19,"&gt;=4")=0,0,COUNTIF(Q11:Q19,"&gt;=4")/D19*100))</f>
        <v>100</v>
      </c>
      <c r="R21" s="4">
        <f>IF(SUM(R11:R19)=0,"",IF(COUNTIF(R11:R19,"&gt;=4")=0,0,COUNTIF(R11:R19,"&gt;=4")/D19*100))</f>
        <v>100</v>
      </c>
      <c r="S21" s="4">
        <f>IF(SUM(S11:S19)=0,"",IF(COUNTIF(S11:S19,"&gt;=4")=0,0,COUNTIF(S11:S19,"&gt;=4")/D19*100))</f>
        <v>100</v>
      </c>
      <c r="T21" s="4">
        <f>IF(SUM(T11:T19)=0,"",IF(COUNTIF(T11:T19,"&gt;=4")=0,0,COUNTIF(T11:T19,"&gt;=4")/D19*100))</f>
        <v>100</v>
      </c>
      <c r="U21" s="14"/>
      <c r="V21" s="33"/>
      <c r="W21" s="43"/>
      <c r="X21" s="15"/>
    </row>
    <row r="22" spans="1:24" ht="15" customHeight="1" x14ac:dyDescent="0.25">
      <c r="A22" s="41"/>
      <c r="B22" s="33"/>
      <c r="C22" s="13"/>
      <c r="D22" s="13"/>
      <c r="E22" s="11" t="s">
        <v>9</v>
      </c>
      <c r="F22" s="4">
        <f>IF(SUM(F11:F19)=0,"",IF(COUNTIF(F11:F19,"&gt;=7")=0,0,COUNTIF(F11:F19,"&gt;=7")/D19*100))</f>
        <v>88.888888888888886</v>
      </c>
      <c r="G22" s="4">
        <f>IF(SUM(G11:G19)=0,"",IF(COUNTIF(G11:G19,"&gt;=7")=0,0,COUNTIF(G11:G19,"&gt;=7")/D19*100))</f>
        <v>44.444444444444443</v>
      </c>
      <c r="H22" s="4">
        <f>IF(SUM(H11:H19)=0,"",IF(COUNTIF(H11:H19,"&gt;=7")=0,0,COUNTIF(H11:H19,"&gt;=7")/D19*100))</f>
        <v>77.777777777777786</v>
      </c>
      <c r="I22" s="4">
        <f>IF(SUM(I11:I19)=0,"",IF(COUNTIF(I11:I19,"&gt;=7")=0,0,COUNTIF(I11:I19,"&gt;=7")/D19*100))</f>
        <v>88.888888888888886</v>
      </c>
      <c r="J22" s="4">
        <f>IF(SUM(J11:J19)=0,"",IF(COUNTIF(J11:J19,"&gt;=7")=0,0,COUNTIF(J11:J19,"&gt;=7")/D19*100))</f>
        <v>55.555555555555557</v>
      </c>
      <c r="K22" s="4">
        <f>IF(SUM(K11:K19)=0,"",IF(COUNTIF(K11:K19,"&gt;=7")=0,0,COUNTIF(K11:K19,"&gt;=7")/D19*100))</f>
        <v>44.444444444444443</v>
      </c>
      <c r="L22" s="4">
        <f>IF(SUM(L11:L19)=0,"",IF(COUNTIF(L11:L19,"&gt;=7")=0,0,COUNTIF(L11:L19,"&gt;=7")/D19*100))</f>
        <v>33.333333333333329</v>
      </c>
      <c r="M22" s="4">
        <f>IF(SUM(M11:M19)=0,"",IF(COUNTIF(M11:M19,"&gt;=7")=0,0,COUNTIF(M11:M19,"&gt;=7")/D19*100))</f>
        <v>22.222222222222221</v>
      </c>
      <c r="N22" s="4">
        <f>IF(SUM(N11:N19)=0,"",IF(COUNTIF(N11:N19,"&gt;=7")=0,0,COUNTIF(N11:N19,"&gt;=7")/D19*100))</f>
        <v>77.777777777777786</v>
      </c>
      <c r="O22" s="4">
        <f>IF(SUM(O11:O19)=0,"",IF(COUNTIF(O11:O19,"&gt;=7")=0,0,COUNTIF(O11:O19,"&gt;=7")/D19*100))</f>
        <v>22.222222222222221</v>
      </c>
      <c r="P22" s="4">
        <f>IF(SUM(P11:P19)=0,"",IF(COUNTIF(P11:P19,"&gt;=7")=0,0,COUNTIF(P11:P19,"&gt;=7")/D19*100))</f>
        <v>55.555555555555557</v>
      </c>
      <c r="Q22" s="4">
        <f>IF(SUM(Q11:Q19)=0,"",IF(COUNTIF(Q11:Q19,"&gt;=7")=0,0,COUNTIF(Q11:Q19,"&gt;=7")/D19*100))</f>
        <v>66.666666666666657</v>
      </c>
      <c r="R22" s="4">
        <f>IF(SUM(R11:R19)=0,"",IF(COUNTIF(R11:R19,"&gt;=7")=0,0,COUNTIF(R11:R19,"&gt;=7")/D19*100))</f>
        <v>44.444444444444443</v>
      </c>
      <c r="S22" s="4">
        <f>IF(SUM(S11:S19)=0,"",IF(COUNTIF(S11:S19,"&gt;=7")=0,0,COUNTIF(S11:S19,"&gt;=7")/D19*100))</f>
        <v>55.555555555555557</v>
      </c>
      <c r="T22" s="4">
        <f>IF(SUM(T11:T19)=0,"",IF(COUNTIF(T11:T19,"&gt;=7")=0,0,COUNTIF(T11:T19,"&gt;=7")/D19*100))</f>
        <v>55.555555555555557</v>
      </c>
      <c r="U22" s="30"/>
      <c r="V22" s="33"/>
      <c r="W22" s="43"/>
      <c r="X22" s="15"/>
    </row>
    <row r="23" spans="1:24" ht="15" customHeight="1" x14ac:dyDescent="0.25">
      <c r="A23" s="41"/>
      <c r="B23" s="33"/>
      <c r="C23" s="13"/>
      <c r="D23" s="13"/>
      <c r="E23" s="11" t="s">
        <v>10</v>
      </c>
      <c r="F23" s="2">
        <f>IFERROR(AVERAGE(F21:T21),"")</f>
        <v>100</v>
      </c>
      <c r="G23" s="17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30"/>
      <c r="V23" s="33"/>
      <c r="W23" s="43"/>
      <c r="X23" s="15"/>
    </row>
    <row r="24" spans="1:24" ht="15" customHeight="1" x14ac:dyDescent="0.25">
      <c r="A24" s="41"/>
      <c r="B24" s="33"/>
      <c r="C24" s="13"/>
      <c r="D24" s="13"/>
      <c r="E24" s="11" t="s">
        <v>11</v>
      </c>
      <c r="F24" s="2">
        <f>IFERROR(AVERAGE(F22:T22),"")</f>
        <v>55.55555555555555</v>
      </c>
      <c r="G24" s="17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30"/>
      <c r="V24" s="33"/>
      <c r="W24" s="43"/>
      <c r="X24" s="15"/>
    </row>
    <row r="25" spans="1:24" ht="15" customHeight="1" x14ac:dyDescent="0.25">
      <c r="A25" s="41"/>
      <c r="B25" s="33"/>
      <c r="C25" s="13"/>
      <c r="D25" s="13"/>
      <c r="E25" s="11" t="s">
        <v>12</v>
      </c>
      <c r="F25" s="28">
        <f>IF(COUNTIF(C11:C19,"=Б")=0,IF(COUNTIF(C11:C19,"=К")=0,"",0),COUNTIF(C11:C19,"=Б"))</f>
        <v>9</v>
      </c>
      <c r="G25" s="17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30"/>
      <c r="V25" s="33"/>
      <c r="W25" s="43"/>
      <c r="X25" s="15"/>
    </row>
    <row r="26" spans="1:24" ht="15" customHeight="1" x14ac:dyDescent="0.25">
      <c r="A26" s="41"/>
      <c r="B26" s="33"/>
      <c r="C26" s="13"/>
      <c r="D26" s="13"/>
      <c r="E26" s="11" t="s">
        <v>13</v>
      </c>
      <c r="F26" s="28">
        <f>IF(COUNTIF(C11:C19,"=К")=0,IF(COUNTIF(C11:C19,"=Б")=0,"",0),COUNTIF(C11:C19,"=К"))</f>
        <v>0</v>
      </c>
      <c r="G26" s="17"/>
      <c r="H26" s="13"/>
      <c r="I26" s="19" t="s">
        <v>16</v>
      </c>
      <c r="J26" s="13"/>
      <c r="K26" s="13"/>
      <c r="L26" s="13"/>
      <c r="M26" s="13"/>
      <c r="N26" s="13"/>
      <c r="O26" s="13"/>
      <c r="P26" s="5" t="s">
        <v>62</v>
      </c>
      <c r="Q26" s="13"/>
      <c r="R26" s="13"/>
      <c r="S26" s="13"/>
      <c r="T26" s="13"/>
      <c r="U26" s="13"/>
      <c r="V26" s="33"/>
      <c r="W26" s="43"/>
    </row>
    <row r="27" spans="1:24" ht="15" customHeight="1" x14ac:dyDescent="0.25">
      <c r="A27" s="41"/>
      <c r="B27" s="33"/>
      <c r="C27" s="13"/>
      <c r="D27" s="13"/>
      <c r="E27" s="11" t="s">
        <v>14</v>
      </c>
      <c r="F27" s="28">
        <v>4</v>
      </c>
      <c r="G27" s="17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33"/>
      <c r="W27" s="43"/>
    </row>
    <row r="28" spans="1:24" ht="15" customHeight="1" x14ac:dyDescent="0.25">
      <c r="A28" s="41"/>
      <c r="B28" s="33"/>
      <c r="C28" s="13"/>
      <c r="D28" s="13"/>
      <c r="E28" s="11" t="s">
        <v>15</v>
      </c>
      <c r="F28" s="28">
        <v>4</v>
      </c>
      <c r="G28" s="17"/>
      <c r="H28" s="13"/>
      <c r="I28" s="19" t="s">
        <v>17</v>
      </c>
      <c r="J28" s="13"/>
      <c r="K28" s="13"/>
      <c r="L28" s="13"/>
      <c r="M28" s="13"/>
      <c r="N28" s="13"/>
      <c r="O28" s="13"/>
      <c r="P28" s="19" t="s">
        <v>18</v>
      </c>
      <c r="Q28" s="13"/>
      <c r="R28" s="13"/>
      <c r="S28" s="13"/>
      <c r="T28" s="13"/>
      <c r="U28" s="13"/>
      <c r="V28" s="33"/>
      <c r="W28" s="43"/>
    </row>
    <row r="29" spans="1:24" ht="12" customHeight="1" thickBot="1" x14ac:dyDescent="0.3">
      <c r="A29" s="41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3"/>
    </row>
    <row r="30" spans="1:24" ht="12" customHeight="1" x14ac:dyDescent="0.25"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</row>
  </sheetData>
  <sheetProtection selectLockedCells="1"/>
  <mergeCells count="18">
    <mergeCell ref="B1:V1"/>
    <mergeCell ref="A2:A29"/>
    <mergeCell ref="B2:V2"/>
    <mergeCell ref="W2:W29"/>
    <mergeCell ref="B3:B28"/>
    <mergeCell ref="C3:U3"/>
    <mergeCell ref="V3:V28"/>
    <mergeCell ref="C4:U4"/>
    <mergeCell ref="C5:U5"/>
    <mergeCell ref="C6:U6"/>
    <mergeCell ref="B29:V29"/>
    <mergeCell ref="B30:V30"/>
    <mergeCell ref="C7:U7"/>
    <mergeCell ref="C8:U8"/>
    <mergeCell ref="C9:C10"/>
    <mergeCell ref="D9:D10"/>
    <mergeCell ref="E9:E10"/>
    <mergeCell ref="F9:U9"/>
  </mergeCells>
  <printOptions horizontalCentered="1"/>
  <pageMargins left="0" right="0" top="0" bottom="0" header="0" footer="0"/>
  <pageSetup paperSize="9" scale="8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32"/>
  <sheetViews>
    <sheetView tabSelected="1" zoomScaleNormal="100" workbookViewId="0"/>
  </sheetViews>
  <sheetFormatPr defaultColWidth="0" defaultRowHeight="0" customHeight="1" zeroHeight="1" x14ac:dyDescent="0.25"/>
  <cols>
    <col min="1" max="2" width="2.7109375" style="6" customWidth="1"/>
    <col min="3" max="3" width="4.140625" style="6" customWidth="1"/>
    <col min="4" max="4" width="6.5703125" style="6" customWidth="1"/>
    <col min="5" max="5" width="40.42578125" style="6" customWidth="1"/>
    <col min="6" max="20" width="6.7109375" style="6" customWidth="1"/>
    <col min="21" max="21" width="11.28515625" style="6" customWidth="1"/>
    <col min="22" max="23" width="2.7109375" style="6" customWidth="1"/>
    <col min="24" max="29" width="14.42578125" style="6" hidden="1" customWidth="1"/>
    <col min="30" max="30" width="14.85546875" style="6" hidden="1" customWidth="1"/>
    <col min="31" max="44" width="3.7109375" style="6" hidden="1" customWidth="1"/>
    <col min="45" max="59" width="5.7109375" style="6" hidden="1" customWidth="1"/>
    <col min="60" max="16384" width="14.42578125" style="6" hidden="1"/>
  </cols>
  <sheetData>
    <row r="1" spans="1:23" ht="12" customHeight="1" thickBot="1" x14ac:dyDescent="0.3"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</row>
    <row r="2" spans="1:23" ht="12" customHeight="1" x14ac:dyDescent="0.25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3"/>
    </row>
    <row r="3" spans="1:23" s="7" customFormat="1" ht="15" customHeight="1" x14ac:dyDescent="0.25">
      <c r="A3" s="41"/>
      <c r="B3" s="33"/>
      <c r="C3" s="33" t="s">
        <v>76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43"/>
    </row>
    <row r="4" spans="1:23" s="7" customFormat="1" ht="15" customHeight="1" x14ac:dyDescent="0.25">
      <c r="A4" s="41"/>
      <c r="B4" s="33"/>
      <c r="C4" s="33" t="s">
        <v>77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43"/>
    </row>
    <row r="5" spans="1:23" s="8" customFormat="1" ht="15" customHeight="1" x14ac:dyDescent="0.25">
      <c r="A5" s="41"/>
      <c r="B5" s="33"/>
      <c r="C5" s="44" t="s">
        <v>63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33"/>
      <c r="W5" s="43"/>
    </row>
    <row r="6" spans="1:23" s="7" customFormat="1" ht="15" customHeight="1" x14ac:dyDescent="0.25">
      <c r="A6" s="41"/>
      <c r="B6" s="33"/>
      <c r="C6" s="32" t="s">
        <v>23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3"/>
      <c r="W6" s="43"/>
    </row>
    <row r="7" spans="1:23" s="7" customFormat="1" ht="15" customHeight="1" x14ac:dyDescent="0.25">
      <c r="A7" s="41"/>
      <c r="B7" s="33"/>
      <c r="C7" s="32" t="s">
        <v>78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3"/>
      <c r="W7" s="43"/>
    </row>
    <row r="8" spans="1:23" s="7" customFormat="1" ht="15" customHeight="1" x14ac:dyDescent="0.25">
      <c r="A8" s="41"/>
      <c r="B8" s="33"/>
      <c r="C8" s="33" t="s">
        <v>24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43"/>
    </row>
    <row r="9" spans="1:23" ht="15" customHeight="1" x14ac:dyDescent="0.25">
      <c r="A9" s="41"/>
      <c r="B9" s="33"/>
      <c r="C9" s="34" t="s">
        <v>0</v>
      </c>
      <c r="D9" s="36" t="s">
        <v>19</v>
      </c>
      <c r="E9" s="36" t="s">
        <v>20</v>
      </c>
      <c r="F9" s="37" t="s">
        <v>71</v>
      </c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9"/>
      <c r="V9" s="33"/>
      <c r="W9" s="43"/>
    </row>
    <row r="10" spans="1:23" ht="125.1" customHeight="1" x14ac:dyDescent="0.25">
      <c r="A10" s="41"/>
      <c r="B10" s="33"/>
      <c r="C10" s="35"/>
      <c r="D10" s="35"/>
      <c r="E10" s="35"/>
      <c r="F10" s="3" t="s">
        <v>72</v>
      </c>
      <c r="G10" s="3" t="s">
        <v>3</v>
      </c>
      <c r="H10" s="3" t="s">
        <v>1</v>
      </c>
      <c r="I10" s="3" t="s">
        <v>5</v>
      </c>
      <c r="J10" s="3" t="s">
        <v>2</v>
      </c>
      <c r="K10" s="3" t="s">
        <v>65</v>
      </c>
      <c r="L10" s="3" t="s">
        <v>66</v>
      </c>
      <c r="M10" s="3" t="s">
        <v>67</v>
      </c>
      <c r="N10" s="3" t="s">
        <v>4</v>
      </c>
      <c r="O10" s="3" t="s">
        <v>68</v>
      </c>
      <c r="P10" s="3" t="s">
        <v>69</v>
      </c>
      <c r="Q10" s="3" t="s">
        <v>73</v>
      </c>
      <c r="R10" s="3" t="s">
        <v>21</v>
      </c>
      <c r="S10" s="3" t="s">
        <v>70</v>
      </c>
      <c r="T10" s="3" t="s">
        <v>22</v>
      </c>
      <c r="U10" s="9" t="s">
        <v>6</v>
      </c>
      <c r="V10" s="33"/>
      <c r="W10" s="43"/>
    </row>
    <row r="11" spans="1:23" ht="15" customHeight="1" x14ac:dyDescent="0.25">
      <c r="A11" s="41"/>
      <c r="B11" s="33"/>
      <c r="C11" s="10" t="s">
        <v>27</v>
      </c>
      <c r="D11" s="10">
        <v>1</v>
      </c>
      <c r="E11" s="11" t="s">
        <v>52</v>
      </c>
      <c r="F11" s="12">
        <v>11</v>
      </c>
      <c r="G11" s="12">
        <v>11</v>
      </c>
      <c r="H11" s="12">
        <v>10</v>
      </c>
      <c r="I11" s="12">
        <v>11</v>
      </c>
      <c r="J11" s="12">
        <v>11</v>
      </c>
      <c r="K11" s="12">
        <v>9</v>
      </c>
      <c r="L11" s="12">
        <v>10</v>
      </c>
      <c r="M11" s="12">
        <v>9</v>
      </c>
      <c r="N11" s="12">
        <v>10</v>
      </c>
      <c r="O11" s="12">
        <v>7</v>
      </c>
      <c r="P11" s="12">
        <v>11</v>
      </c>
      <c r="Q11" s="12">
        <v>10</v>
      </c>
      <c r="R11" s="12">
        <v>9</v>
      </c>
      <c r="S11" s="12">
        <v>11</v>
      </c>
      <c r="T11" s="12">
        <v>11</v>
      </c>
      <c r="U11" s="1">
        <f>IF(COUNTIF(F11:T11,"=*")&gt;0,"-",IF(COUNTIF(F11:T11,"&lt;4")&gt;0,"-",(IFERROR(AVERAGE(F11:T11),""))))</f>
        <v>10.066666666666666</v>
      </c>
      <c r="V11" s="33"/>
      <c r="W11" s="43"/>
    </row>
    <row r="12" spans="1:23" ht="15" customHeight="1" x14ac:dyDescent="0.25">
      <c r="A12" s="41"/>
      <c r="B12" s="33"/>
      <c r="C12" s="10" t="s">
        <v>27</v>
      </c>
      <c r="D12" s="10">
        <v>2</v>
      </c>
      <c r="E12" s="11" t="s">
        <v>53</v>
      </c>
      <c r="F12" s="12">
        <v>10</v>
      </c>
      <c r="G12" s="12">
        <v>9</v>
      </c>
      <c r="H12" s="12">
        <v>10</v>
      </c>
      <c r="I12" s="12">
        <v>10</v>
      </c>
      <c r="J12" s="12">
        <v>10</v>
      </c>
      <c r="K12" s="12">
        <v>10</v>
      </c>
      <c r="L12" s="12">
        <v>12</v>
      </c>
      <c r="M12" s="12">
        <v>10</v>
      </c>
      <c r="N12" s="12">
        <v>10</v>
      </c>
      <c r="O12" s="12">
        <v>7</v>
      </c>
      <c r="P12" s="12">
        <v>10</v>
      </c>
      <c r="Q12" s="12">
        <v>8</v>
      </c>
      <c r="R12" s="12">
        <v>7</v>
      </c>
      <c r="S12" s="12">
        <v>11</v>
      </c>
      <c r="T12" s="12">
        <v>10</v>
      </c>
      <c r="U12" s="1">
        <f t="shared" ref="U12:U20" si="0">IF(COUNTIF(F12:T12,"=*")&gt;0,"-",IF(COUNTIF(F12:T12,"&lt;4")&gt;0,"-",(IFERROR(AVERAGE(F12:T12),""))))</f>
        <v>9.6</v>
      </c>
      <c r="V12" s="33"/>
      <c r="W12" s="43"/>
    </row>
    <row r="13" spans="1:23" ht="15" customHeight="1" x14ac:dyDescent="0.25">
      <c r="A13" s="41"/>
      <c r="B13" s="33"/>
      <c r="C13" s="10" t="s">
        <v>27</v>
      </c>
      <c r="D13" s="10">
        <v>3</v>
      </c>
      <c r="E13" s="11" t="s">
        <v>54</v>
      </c>
      <c r="F13" s="12">
        <v>8</v>
      </c>
      <c r="G13" s="12">
        <v>6</v>
      </c>
      <c r="H13" s="12">
        <v>9</v>
      </c>
      <c r="I13" s="12">
        <v>8</v>
      </c>
      <c r="J13" s="12">
        <v>8</v>
      </c>
      <c r="K13" s="12" t="s">
        <v>64</v>
      </c>
      <c r="L13" s="12">
        <v>9</v>
      </c>
      <c r="M13" s="12">
        <v>4</v>
      </c>
      <c r="N13" s="12">
        <v>6</v>
      </c>
      <c r="O13" s="12">
        <v>5</v>
      </c>
      <c r="P13" s="12">
        <v>7</v>
      </c>
      <c r="Q13" s="12">
        <v>4</v>
      </c>
      <c r="R13" s="12">
        <v>6</v>
      </c>
      <c r="S13" s="12">
        <v>7</v>
      </c>
      <c r="T13" s="12">
        <v>6</v>
      </c>
      <c r="U13" s="1" t="str">
        <f t="shared" si="0"/>
        <v>-</v>
      </c>
      <c r="V13" s="33"/>
      <c r="W13" s="43"/>
    </row>
    <row r="14" spans="1:23" ht="15" customHeight="1" x14ac:dyDescent="0.25">
      <c r="A14" s="41"/>
      <c r="B14" s="33"/>
      <c r="C14" s="10" t="s">
        <v>29</v>
      </c>
      <c r="D14" s="10">
        <v>4</v>
      </c>
      <c r="E14" s="11" t="s">
        <v>28</v>
      </c>
      <c r="F14" s="12">
        <v>10</v>
      </c>
      <c r="G14" s="12">
        <v>9</v>
      </c>
      <c r="H14" s="12">
        <v>10</v>
      </c>
      <c r="I14" s="12">
        <v>10</v>
      </c>
      <c r="J14" s="12">
        <v>8</v>
      </c>
      <c r="K14" s="12">
        <v>8</v>
      </c>
      <c r="L14" s="12">
        <v>8</v>
      </c>
      <c r="M14" s="12">
        <v>8</v>
      </c>
      <c r="N14" s="12">
        <v>8</v>
      </c>
      <c r="O14" s="12">
        <v>7</v>
      </c>
      <c r="P14" s="12">
        <v>8</v>
      </c>
      <c r="Q14" s="12">
        <v>9</v>
      </c>
      <c r="R14" s="12">
        <v>8</v>
      </c>
      <c r="S14" s="12">
        <v>10</v>
      </c>
      <c r="T14" s="12">
        <v>9</v>
      </c>
      <c r="U14" s="1">
        <f t="shared" si="0"/>
        <v>8.6666666666666661</v>
      </c>
      <c r="V14" s="33"/>
      <c r="W14" s="43"/>
    </row>
    <row r="15" spans="1:23" ht="15" customHeight="1" x14ac:dyDescent="0.25">
      <c r="A15" s="41"/>
      <c r="B15" s="33"/>
      <c r="C15" s="10" t="s">
        <v>27</v>
      </c>
      <c r="D15" s="10">
        <v>5</v>
      </c>
      <c r="E15" s="11" t="s">
        <v>55</v>
      </c>
      <c r="F15" s="12">
        <v>10</v>
      </c>
      <c r="G15" s="12">
        <v>11</v>
      </c>
      <c r="H15" s="12">
        <v>10</v>
      </c>
      <c r="I15" s="12">
        <v>10</v>
      </c>
      <c r="J15" s="12">
        <v>11</v>
      </c>
      <c r="K15" s="12">
        <v>9</v>
      </c>
      <c r="L15" s="12">
        <v>7</v>
      </c>
      <c r="M15" s="12">
        <v>5</v>
      </c>
      <c r="N15" s="12">
        <v>10</v>
      </c>
      <c r="O15" s="12">
        <v>6</v>
      </c>
      <c r="P15" s="12">
        <v>11</v>
      </c>
      <c r="Q15" s="12">
        <v>7</v>
      </c>
      <c r="R15" s="12">
        <v>5</v>
      </c>
      <c r="S15" s="12">
        <v>10</v>
      </c>
      <c r="T15" s="12">
        <v>8</v>
      </c>
      <c r="U15" s="1">
        <f t="shared" si="0"/>
        <v>8.6666666666666661</v>
      </c>
      <c r="V15" s="33"/>
      <c r="W15" s="43"/>
    </row>
    <row r="16" spans="1:23" ht="15" customHeight="1" x14ac:dyDescent="0.25">
      <c r="A16" s="41"/>
      <c r="B16" s="33"/>
      <c r="C16" s="10" t="s">
        <v>27</v>
      </c>
      <c r="D16" s="10">
        <v>6</v>
      </c>
      <c r="E16" s="11" t="s">
        <v>56</v>
      </c>
      <c r="F16" s="12">
        <v>11</v>
      </c>
      <c r="G16" s="12">
        <v>11</v>
      </c>
      <c r="H16" s="12">
        <v>10</v>
      </c>
      <c r="I16" s="12">
        <v>11</v>
      </c>
      <c r="J16" s="12">
        <v>11</v>
      </c>
      <c r="K16" s="12">
        <v>11</v>
      </c>
      <c r="L16" s="12">
        <v>10</v>
      </c>
      <c r="M16" s="12">
        <v>10</v>
      </c>
      <c r="N16" s="12">
        <v>10</v>
      </c>
      <c r="O16" s="12">
        <v>7</v>
      </c>
      <c r="P16" s="12">
        <v>11</v>
      </c>
      <c r="Q16" s="12">
        <v>10</v>
      </c>
      <c r="R16" s="12">
        <v>9</v>
      </c>
      <c r="S16" s="12">
        <v>10</v>
      </c>
      <c r="T16" s="12">
        <v>11</v>
      </c>
      <c r="U16" s="1">
        <f t="shared" si="0"/>
        <v>10.199999999999999</v>
      </c>
      <c r="V16" s="33"/>
      <c r="W16" s="43"/>
    </row>
    <row r="17" spans="1:24" ht="15" customHeight="1" x14ac:dyDescent="0.25">
      <c r="A17" s="41"/>
      <c r="B17" s="33"/>
      <c r="C17" s="10" t="s">
        <v>27</v>
      </c>
      <c r="D17" s="10">
        <v>7</v>
      </c>
      <c r="E17" s="11" t="s">
        <v>57</v>
      </c>
      <c r="F17" s="12">
        <v>9</v>
      </c>
      <c r="G17" s="12">
        <v>9</v>
      </c>
      <c r="H17" s="12">
        <v>10</v>
      </c>
      <c r="I17" s="12">
        <v>10</v>
      </c>
      <c r="J17" s="12">
        <v>7</v>
      </c>
      <c r="K17" s="12">
        <v>7</v>
      </c>
      <c r="L17" s="12">
        <v>7</v>
      </c>
      <c r="M17" s="12">
        <v>9</v>
      </c>
      <c r="N17" s="12">
        <v>7</v>
      </c>
      <c r="O17" s="12">
        <v>9</v>
      </c>
      <c r="P17" s="12">
        <v>6</v>
      </c>
      <c r="Q17" s="12">
        <v>9</v>
      </c>
      <c r="R17" s="12">
        <v>6</v>
      </c>
      <c r="S17" s="12">
        <v>5</v>
      </c>
      <c r="T17" s="12">
        <v>8</v>
      </c>
      <c r="U17" s="1">
        <f t="shared" si="0"/>
        <v>7.8666666666666663</v>
      </c>
      <c r="V17" s="33"/>
      <c r="W17" s="43"/>
    </row>
    <row r="18" spans="1:24" ht="15" customHeight="1" x14ac:dyDescent="0.25">
      <c r="A18" s="41"/>
      <c r="B18" s="33"/>
      <c r="C18" s="10" t="s">
        <v>27</v>
      </c>
      <c r="D18" s="10">
        <v>8</v>
      </c>
      <c r="E18" s="11" t="s">
        <v>58</v>
      </c>
      <c r="F18" s="12">
        <v>4</v>
      </c>
      <c r="G18" s="12">
        <v>7</v>
      </c>
      <c r="H18" s="12">
        <v>10</v>
      </c>
      <c r="I18" s="12">
        <v>8</v>
      </c>
      <c r="J18" s="12">
        <v>6</v>
      </c>
      <c r="K18" s="12">
        <v>4</v>
      </c>
      <c r="L18" s="12">
        <v>4</v>
      </c>
      <c r="M18" s="12">
        <v>4</v>
      </c>
      <c r="N18" s="12">
        <v>5</v>
      </c>
      <c r="O18" s="12">
        <v>4</v>
      </c>
      <c r="P18" s="12">
        <v>6</v>
      </c>
      <c r="Q18" s="12">
        <v>8</v>
      </c>
      <c r="R18" s="12">
        <v>4</v>
      </c>
      <c r="S18" s="12">
        <v>4</v>
      </c>
      <c r="T18" s="12">
        <v>8</v>
      </c>
      <c r="U18" s="1">
        <f t="shared" si="0"/>
        <v>5.7333333333333334</v>
      </c>
      <c r="V18" s="33"/>
      <c r="W18" s="43"/>
    </row>
    <row r="19" spans="1:24" ht="15" customHeight="1" x14ac:dyDescent="0.25">
      <c r="A19" s="41"/>
      <c r="B19" s="33"/>
      <c r="C19" s="10" t="s">
        <v>27</v>
      </c>
      <c r="D19" s="10">
        <v>9</v>
      </c>
      <c r="E19" s="11" t="s">
        <v>59</v>
      </c>
      <c r="F19" s="12">
        <v>10</v>
      </c>
      <c r="G19" s="12">
        <v>10</v>
      </c>
      <c r="H19" s="12">
        <v>10</v>
      </c>
      <c r="I19" s="12">
        <v>10</v>
      </c>
      <c r="J19" s="12">
        <v>10</v>
      </c>
      <c r="K19" s="12">
        <v>11</v>
      </c>
      <c r="L19" s="12">
        <v>11</v>
      </c>
      <c r="M19" s="12">
        <v>8</v>
      </c>
      <c r="N19" s="12">
        <v>10</v>
      </c>
      <c r="O19" s="12">
        <v>10</v>
      </c>
      <c r="P19" s="12">
        <v>10</v>
      </c>
      <c r="Q19" s="12">
        <v>9</v>
      </c>
      <c r="R19" s="12">
        <v>7</v>
      </c>
      <c r="S19" s="12">
        <v>11</v>
      </c>
      <c r="T19" s="12">
        <v>11</v>
      </c>
      <c r="U19" s="1">
        <f t="shared" si="0"/>
        <v>9.8666666666666671</v>
      </c>
      <c r="V19" s="33"/>
      <c r="W19" s="43"/>
    </row>
    <row r="20" spans="1:24" ht="15" customHeight="1" x14ac:dyDescent="0.25">
      <c r="A20" s="41"/>
      <c r="B20" s="33"/>
      <c r="C20" s="10" t="s">
        <v>27</v>
      </c>
      <c r="D20" s="10">
        <v>10</v>
      </c>
      <c r="E20" s="11" t="s">
        <v>60</v>
      </c>
      <c r="F20" s="12">
        <v>7</v>
      </c>
      <c r="G20" s="12">
        <v>4</v>
      </c>
      <c r="H20" s="12">
        <v>9</v>
      </c>
      <c r="I20" s="12">
        <v>9</v>
      </c>
      <c r="J20" s="12">
        <v>4</v>
      </c>
      <c r="K20" s="12" t="s">
        <v>64</v>
      </c>
      <c r="L20" s="12">
        <v>4</v>
      </c>
      <c r="M20" s="12">
        <v>4</v>
      </c>
      <c r="N20" s="12">
        <v>6</v>
      </c>
      <c r="O20" s="12">
        <v>4</v>
      </c>
      <c r="P20" s="12">
        <v>4</v>
      </c>
      <c r="Q20" s="12">
        <v>6</v>
      </c>
      <c r="R20" s="12" t="s">
        <v>64</v>
      </c>
      <c r="S20" s="12">
        <v>4</v>
      </c>
      <c r="T20" s="12">
        <v>6</v>
      </c>
      <c r="U20" s="1" t="str">
        <f t="shared" si="0"/>
        <v>-</v>
      </c>
      <c r="V20" s="33"/>
      <c r="W20" s="43"/>
    </row>
    <row r="21" spans="1:24" ht="15" customHeight="1" x14ac:dyDescent="0.25">
      <c r="A21" s="41"/>
      <c r="B21" s="33"/>
      <c r="C21" s="10" t="s">
        <v>27</v>
      </c>
      <c r="D21" s="10">
        <v>11</v>
      </c>
      <c r="E21" s="11" t="s">
        <v>61</v>
      </c>
      <c r="F21" s="12" t="s">
        <v>64</v>
      </c>
      <c r="G21" s="12">
        <v>4</v>
      </c>
      <c r="H21" s="12">
        <v>5</v>
      </c>
      <c r="I21" s="12" t="s">
        <v>64</v>
      </c>
      <c r="J21" s="12" t="s">
        <v>64</v>
      </c>
      <c r="K21" s="12" t="s">
        <v>64</v>
      </c>
      <c r="L21" s="12" t="s">
        <v>64</v>
      </c>
      <c r="M21" s="12" t="s">
        <v>64</v>
      </c>
      <c r="N21" s="12" t="s">
        <v>64</v>
      </c>
      <c r="O21" s="12" t="s">
        <v>64</v>
      </c>
      <c r="P21" s="12" t="s">
        <v>64</v>
      </c>
      <c r="Q21" s="12">
        <v>4</v>
      </c>
      <c r="R21" s="12" t="s">
        <v>64</v>
      </c>
      <c r="S21" s="12">
        <v>4</v>
      </c>
      <c r="T21" s="12">
        <v>4</v>
      </c>
      <c r="U21" s="1" t="str">
        <f t="shared" ref="U21" si="1">IF(COUNTIF(F21:T21,"=*")&gt;0,"-",IF(COUNTIF(F21:T21,"&lt;4")&gt;0,"-",(IFERROR(AVERAGE(F21:T21),""))))</f>
        <v>-</v>
      </c>
      <c r="V21" s="33"/>
      <c r="W21" s="43"/>
    </row>
    <row r="22" spans="1:24" ht="15" customHeight="1" x14ac:dyDescent="0.25">
      <c r="A22" s="41"/>
      <c r="B22" s="33"/>
      <c r="C22" s="13"/>
      <c r="D22" s="13"/>
      <c r="E22" s="11" t="s">
        <v>7</v>
      </c>
      <c r="F22" s="2">
        <f>IF(SUM(F11:F21)=0,"",SUM(F11:F21)/D21)</f>
        <v>8.1818181818181817</v>
      </c>
      <c r="G22" s="2">
        <f>IF(SUM(G11:G21)=0,"",SUM(G11:G21)/D21)</f>
        <v>8.2727272727272734</v>
      </c>
      <c r="H22" s="2">
        <f>IF(SUM(H11:H21)=0,"",SUM(H11:H21)/D21)</f>
        <v>9.3636363636363633</v>
      </c>
      <c r="I22" s="2">
        <f>IF(SUM(I11:I21)=0,"",SUM(I11:I21)/D21)</f>
        <v>8.8181818181818183</v>
      </c>
      <c r="J22" s="2">
        <f>IF(SUM(J11:J21)=0,"",SUM(J11:J21)/D21)</f>
        <v>7.8181818181818183</v>
      </c>
      <c r="K22" s="2">
        <f>IF(SUM(K11:K21)=0,"",SUM(K11:K21)/D21)</f>
        <v>6.2727272727272725</v>
      </c>
      <c r="L22" s="2">
        <f>IF(SUM(L11:L21)=0,"",SUM(L11:L21)/D21)</f>
        <v>7.4545454545454541</v>
      </c>
      <c r="M22" s="2">
        <f>IF(SUM(M11:M21)=0,"",SUM(M11:M21)/D21)</f>
        <v>6.4545454545454541</v>
      </c>
      <c r="N22" s="2">
        <f>IF(SUM(N11:N21)=0,"",SUM(N11:N21)/D21)</f>
        <v>7.4545454545454541</v>
      </c>
      <c r="O22" s="2">
        <f>IF(SUM(O11:O21)=0,"",SUM(O11:O21)/D21)</f>
        <v>6</v>
      </c>
      <c r="P22" s="2">
        <f>IF(SUM(P11:P21)=0,"",SUM(P11:P21)/D21)</f>
        <v>7.6363636363636367</v>
      </c>
      <c r="Q22" s="2">
        <f>IF(SUM(Q11:Q21)=0,"",SUM(Q11:Q21)/D21)</f>
        <v>7.6363636363636367</v>
      </c>
      <c r="R22" s="2">
        <f>IF(SUM(R11:R21)=0,"",SUM(R11:R21)/D21)</f>
        <v>5.5454545454545459</v>
      </c>
      <c r="S22" s="2">
        <f>IF(SUM(S11:S21)=0,"",SUM(S11:S21)/D21)</f>
        <v>7.9090909090909092</v>
      </c>
      <c r="T22" s="2">
        <f>IF(SUM(T11:T21)=0,"",SUM(T11:T21)/D21)</f>
        <v>8.3636363636363633</v>
      </c>
      <c r="U22" s="1">
        <f>IFERROR(AVERAGE(F22:T22),"")</f>
        <v>7.5454545454545459</v>
      </c>
      <c r="V22" s="33"/>
      <c r="W22" s="43"/>
    </row>
    <row r="23" spans="1:24" ht="15" customHeight="1" x14ac:dyDescent="0.25">
      <c r="A23" s="41"/>
      <c r="B23" s="33"/>
      <c r="C23" s="13"/>
      <c r="D23" s="13"/>
      <c r="E23" s="11" t="s">
        <v>8</v>
      </c>
      <c r="F23" s="4">
        <f>IF(SUM(F11:F21)=0,"",IF(COUNTIF(F11:F21,"&gt;=4")=0,0,COUNTIF(F11:F21,"&gt;=4")/D21*100))</f>
        <v>90.909090909090907</v>
      </c>
      <c r="G23" s="4">
        <f>IF(SUM(G11:G21)=0,"",IF(COUNTIF(G11:G21,"&gt;=4")=0,0,COUNTIF(G11:G21,"&gt;=4")/D21*100))</f>
        <v>100</v>
      </c>
      <c r="H23" s="4">
        <f>IF(SUM(H11:H21)=0,"",IF(COUNTIF(H11:H21,"&gt;=4")=0,0,COUNTIF(H11:H21,"&gt;=4")/D21*100))</f>
        <v>100</v>
      </c>
      <c r="I23" s="4">
        <f>IF(SUM(I11:I21)=0,"",IF(COUNTIF(I11:I21,"&gt;=4")=0,0,COUNTIF(I11:I21,"&gt;=4")/D21*100))</f>
        <v>90.909090909090907</v>
      </c>
      <c r="J23" s="4">
        <f>IF(SUM(J11:J21)=0,"",IF(COUNTIF(J11:J21,"&gt;=4")=0,0,COUNTIF(J11:J21,"&gt;=4")/D21*100))</f>
        <v>90.909090909090907</v>
      </c>
      <c r="K23" s="4">
        <f>IF(SUM(K11:K21)=0,"",IF(COUNTIF(K11:K21,"&gt;=4")=0,0,COUNTIF(K11:K21,"&gt;=4")/D21*100))</f>
        <v>72.727272727272734</v>
      </c>
      <c r="L23" s="4">
        <f>IF(SUM(L11:L21)=0,"",IF(COUNTIF(L11:L21,"&gt;=4")=0,0,COUNTIF(L11:L21,"&gt;=4")/D21*100))</f>
        <v>90.909090909090907</v>
      </c>
      <c r="M23" s="4">
        <f>IF(SUM(M11:M21)=0,"",IF(COUNTIF(M11:M21,"&gt;=4")=0,0,COUNTIF(M11:M21,"&gt;=4")/D21*100))</f>
        <v>90.909090909090907</v>
      </c>
      <c r="N23" s="4">
        <f>IF(SUM(N11:N21)=0,"",IF(COUNTIF(N11:N21,"&gt;=4")=0,0,COUNTIF(N11:N21,"&gt;=4")/D21*100))</f>
        <v>90.909090909090907</v>
      </c>
      <c r="O23" s="4">
        <f>IF(SUM(O11:O21)=0,"",IF(COUNTIF(O11:O21,"&gt;=4")=0,0,COUNTIF(O11:O21,"&gt;=4")/D21*100))</f>
        <v>90.909090909090907</v>
      </c>
      <c r="P23" s="4">
        <f>IF(SUM(P11:P21)=0,"",IF(COUNTIF(P11:P21,"&gt;=4")=0,0,COUNTIF(P11:P21,"&gt;=4")/D21*100))</f>
        <v>90.909090909090907</v>
      </c>
      <c r="Q23" s="4">
        <f>IF(SUM(Q11:Q21)=0,"",IF(COUNTIF(Q11:Q21,"&gt;=4")=0,0,COUNTIF(Q11:Q21,"&gt;=4")/D21*100))</f>
        <v>100</v>
      </c>
      <c r="R23" s="4">
        <f>IF(SUM(R11:R21)=0,"",IF(COUNTIF(R11:R21,"&gt;=4")=0,0,COUNTIF(R11:R21,"&gt;=4")/D21*100))</f>
        <v>81.818181818181827</v>
      </c>
      <c r="S23" s="4">
        <f>IF(SUM(S11:S21)=0,"",IF(COUNTIF(S11:S21,"&gt;=4")=0,0,COUNTIF(S11:S21,"&gt;=4")/D21*100))</f>
        <v>100</v>
      </c>
      <c r="T23" s="4">
        <f>IF(SUM(T11:T21)=0,"",IF(COUNTIF(T11:T21,"&gt;=4")=0,0,COUNTIF(T11:T21,"&gt;=4")/D21*100))</f>
        <v>100</v>
      </c>
      <c r="U23" s="14"/>
      <c r="V23" s="33"/>
      <c r="W23" s="43"/>
      <c r="X23" s="15"/>
    </row>
    <row r="24" spans="1:24" ht="15" customHeight="1" x14ac:dyDescent="0.25">
      <c r="A24" s="41"/>
      <c r="B24" s="33"/>
      <c r="C24" s="13"/>
      <c r="D24" s="13"/>
      <c r="E24" s="11" t="s">
        <v>9</v>
      </c>
      <c r="F24" s="4">
        <f>IF(SUM(F11:F21)=0,"",IF(COUNTIF(F11:F21,"&gt;=7")=0,0,COUNTIF(F11:F21,"&gt;=7")/D21*100))</f>
        <v>81.818181818181827</v>
      </c>
      <c r="G24" s="4">
        <f>IF(SUM(G11:G21)=0,"",IF(COUNTIF(G11:G21,"&gt;=7")=0,0,COUNTIF(G11:G21,"&gt;=7")/D21*100))</f>
        <v>72.727272727272734</v>
      </c>
      <c r="H24" s="4">
        <f>IF(SUM(H11:H21)=0,"",IF(COUNTIF(H11:H21,"&gt;=7")=0,0,COUNTIF(H11:H21,"&gt;=7")/D21*100))</f>
        <v>90.909090909090907</v>
      </c>
      <c r="I24" s="4">
        <f>IF(SUM(I11:I21)=0,"",IF(COUNTIF(I11:I21,"&gt;=7")=0,0,COUNTIF(I11:I21,"&gt;=7")/D21*100))</f>
        <v>90.909090909090907</v>
      </c>
      <c r="J24" s="4">
        <f>IF(SUM(J11:J21)=0,"",IF(COUNTIF(J11:J21,"&gt;=7")=0,0,COUNTIF(J11:J21,"&gt;=7")/D21*100))</f>
        <v>72.727272727272734</v>
      </c>
      <c r="K24" s="4">
        <f>IF(SUM(K11:K21)=0,"",IF(COUNTIF(K11:K21,"&gt;=7")=0,0,COUNTIF(K11:K21,"&gt;=7")/D21*100))</f>
        <v>63.636363636363633</v>
      </c>
      <c r="L24" s="4">
        <f>IF(SUM(L11:L21)=0,"",IF(COUNTIF(L11:L21,"&gt;=7")=0,0,COUNTIF(L11:L21,"&gt;=7")/D21*100))</f>
        <v>72.727272727272734</v>
      </c>
      <c r="M24" s="4">
        <f>IF(SUM(M11:M21)=0,"",IF(COUNTIF(M11:M21,"&gt;=7")=0,0,COUNTIF(M11:M21,"&gt;=7")/D21*100))</f>
        <v>54.54545454545454</v>
      </c>
      <c r="N24" s="4">
        <f>IF(SUM(N11:N21)=0,"",IF(COUNTIF(N11:N21,"&gt;=7")=0,0,COUNTIF(N11:N21,"&gt;=7")/D21*100))</f>
        <v>63.636363636363633</v>
      </c>
      <c r="O24" s="4">
        <f>IF(SUM(O11:O21)=0,"",IF(COUNTIF(O11:O21,"&gt;=7")=0,0,COUNTIF(O11:O21,"&gt;=7")/D21*100))</f>
        <v>54.54545454545454</v>
      </c>
      <c r="P24" s="4">
        <f>IF(SUM(P11:P21)=0,"",IF(COUNTIF(P11:P21,"&gt;=7")=0,0,COUNTIF(P11:P21,"&gt;=7")/D21*100))</f>
        <v>63.636363636363633</v>
      </c>
      <c r="Q24" s="4">
        <f>IF(SUM(Q11:Q21)=0,"",IF(COUNTIF(Q11:Q21,"&gt;=7")=0,0,COUNTIF(Q11:Q21,"&gt;=7")/D21*100))</f>
        <v>72.727272727272734</v>
      </c>
      <c r="R24" s="4">
        <f>IF(SUM(R11:R21)=0,"",IF(COUNTIF(R11:R21,"&gt;=7")=0,0,COUNTIF(R11:R21,"&gt;=7")/D21*100))</f>
        <v>45.454545454545453</v>
      </c>
      <c r="S24" s="4">
        <f>IF(SUM(S11:S21)=0,"",IF(COUNTIF(S11:S21,"&gt;=7")=0,0,COUNTIF(S11:S21,"&gt;=7")/D21*100))</f>
        <v>63.636363636363633</v>
      </c>
      <c r="T24" s="4">
        <f>IF(SUM(T11:T21)=0,"",IF(COUNTIF(T11:T21,"&gt;=7")=0,0,COUNTIF(T11:T21,"&gt;=7")/D21*100))</f>
        <v>72.727272727272734</v>
      </c>
      <c r="U24" s="16"/>
      <c r="V24" s="33"/>
      <c r="W24" s="43"/>
      <c r="X24" s="15"/>
    </row>
    <row r="25" spans="1:24" ht="15" customHeight="1" x14ac:dyDescent="0.25">
      <c r="A25" s="41"/>
      <c r="B25" s="33"/>
      <c r="C25" s="13"/>
      <c r="D25" s="13"/>
      <c r="E25" s="11" t="s">
        <v>10</v>
      </c>
      <c r="F25" s="2">
        <f>IFERROR(AVERAGE(F23:T23),"")</f>
        <v>92.121212121212096</v>
      </c>
      <c r="G25" s="17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6"/>
      <c r="V25" s="33"/>
      <c r="W25" s="43"/>
      <c r="X25" s="15"/>
    </row>
    <row r="26" spans="1:24" ht="15" customHeight="1" x14ac:dyDescent="0.25">
      <c r="A26" s="41"/>
      <c r="B26" s="33"/>
      <c r="C26" s="13"/>
      <c r="D26" s="13"/>
      <c r="E26" s="11" t="s">
        <v>11</v>
      </c>
      <c r="F26" s="2">
        <f>IFERROR(AVERAGE(F24:T24),"")</f>
        <v>69.090909090909079</v>
      </c>
      <c r="G26" s="17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6"/>
      <c r="V26" s="33"/>
      <c r="W26" s="43"/>
      <c r="X26" s="15"/>
    </row>
    <row r="27" spans="1:24" ht="15" customHeight="1" x14ac:dyDescent="0.25">
      <c r="A27" s="41"/>
      <c r="B27" s="33"/>
      <c r="C27" s="13"/>
      <c r="D27" s="13"/>
      <c r="E27" s="11" t="s">
        <v>12</v>
      </c>
      <c r="F27" s="18">
        <f>IF(COUNTIF(C11:C21,"=Б")=0,IF(COUNTIF(C11:C21,"=К")=0,"",0),COUNTIF(C11:C21,"=Б"))</f>
        <v>10</v>
      </c>
      <c r="G27" s="17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6"/>
      <c r="V27" s="33"/>
      <c r="W27" s="43"/>
      <c r="X27" s="15"/>
    </row>
    <row r="28" spans="1:24" ht="15" customHeight="1" x14ac:dyDescent="0.25">
      <c r="A28" s="41"/>
      <c r="B28" s="33"/>
      <c r="C28" s="13"/>
      <c r="D28" s="13"/>
      <c r="E28" s="11" t="s">
        <v>13</v>
      </c>
      <c r="F28" s="18">
        <f>IF(COUNTIF(C11:C21,"=К")=0,IF(COUNTIF(C11:C21,"=Б")=0,"",0),COUNTIF(C11:C21,"=К"))</f>
        <v>1</v>
      </c>
      <c r="G28" s="17"/>
      <c r="H28" s="13"/>
      <c r="I28" s="19" t="s">
        <v>16</v>
      </c>
      <c r="J28" s="13"/>
      <c r="K28" s="13"/>
      <c r="L28" s="13"/>
      <c r="M28" s="13"/>
      <c r="N28" s="13"/>
      <c r="O28" s="13"/>
      <c r="P28" s="5" t="s">
        <v>62</v>
      </c>
      <c r="Q28" s="13"/>
      <c r="R28" s="13"/>
      <c r="S28" s="13"/>
      <c r="T28" s="13"/>
      <c r="U28" s="13"/>
      <c r="V28" s="33"/>
      <c r="W28" s="43"/>
    </row>
    <row r="29" spans="1:24" ht="15" customHeight="1" x14ac:dyDescent="0.25">
      <c r="A29" s="41"/>
      <c r="B29" s="33"/>
      <c r="C29" s="13"/>
      <c r="D29" s="13"/>
      <c r="E29" s="11" t="s">
        <v>14</v>
      </c>
      <c r="F29" s="18">
        <v>1</v>
      </c>
      <c r="G29" s="17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33"/>
      <c r="W29" s="43"/>
    </row>
    <row r="30" spans="1:24" ht="15" customHeight="1" x14ac:dyDescent="0.25">
      <c r="A30" s="41"/>
      <c r="B30" s="33"/>
      <c r="C30" s="13"/>
      <c r="D30" s="13"/>
      <c r="E30" s="11" t="s">
        <v>15</v>
      </c>
      <c r="F30" s="18">
        <v>4</v>
      </c>
      <c r="G30" s="17"/>
      <c r="H30" s="13"/>
      <c r="I30" s="19" t="s">
        <v>17</v>
      </c>
      <c r="J30" s="13"/>
      <c r="K30" s="13"/>
      <c r="L30" s="13"/>
      <c r="M30" s="13"/>
      <c r="N30" s="13"/>
      <c r="O30" s="13"/>
      <c r="P30" s="19" t="s">
        <v>18</v>
      </c>
      <c r="Q30" s="13"/>
      <c r="R30" s="13"/>
      <c r="S30" s="13"/>
      <c r="T30" s="13"/>
      <c r="U30" s="13"/>
      <c r="V30" s="33"/>
      <c r="W30" s="43"/>
    </row>
    <row r="31" spans="1:24" ht="12" customHeight="1" thickBot="1" x14ac:dyDescent="0.3">
      <c r="A31" s="41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3"/>
    </row>
    <row r="32" spans="1:24" ht="12" customHeight="1" x14ac:dyDescent="0.25"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</row>
  </sheetData>
  <sheetProtection selectLockedCells="1"/>
  <mergeCells count="18">
    <mergeCell ref="B1:V1"/>
    <mergeCell ref="A2:A31"/>
    <mergeCell ref="B2:V2"/>
    <mergeCell ref="W2:W31"/>
    <mergeCell ref="B3:B30"/>
    <mergeCell ref="C3:U3"/>
    <mergeCell ref="V3:V30"/>
    <mergeCell ref="C4:U4"/>
    <mergeCell ref="C5:U5"/>
    <mergeCell ref="C6:U6"/>
    <mergeCell ref="B31:V31"/>
    <mergeCell ref="B32:V32"/>
    <mergeCell ref="C7:U7"/>
    <mergeCell ref="C8:U8"/>
    <mergeCell ref="C9:C10"/>
    <mergeCell ref="D9:D10"/>
    <mergeCell ref="E9:E10"/>
    <mergeCell ref="F9:U9"/>
  </mergeCells>
  <printOptions horizontalCentered="1"/>
  <pageMargins left="0" right="0" top="0" bottom="0" header="0" footer="0"/>
  <pageSetup paperSize="9" scale="8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H22"/>
  <sheetViews>
    <sheetView zoomScaleNormal="100" workbookViewId="0"/>
  </sheetViews>
  <sheetFormatPr defaultColWidth="0" defaultRowHeight="0" customHeight="1" zeroHeight="1" x14ac:dyDescent="0.25"/>
  <cols>
    <col min="1" max="2" width="2.7109375" style="6" customWidth="1"/>
    <col min="3" max="3" width="4.140625" style="6" customWidth="1"/>
    <col min="4" max="4" width="6.5703125" style="6" customWidth="1"/>
    <col min="5" max="5" width="40.42578125" style="6" customWidth="1"/>
    <col min="6" max="20" width="6.7109375" style="6" customWidth="1"/>
    <col min="21" max="22" width="11.28515625" style="6" customWidth="1"/>
    <col min="23" max="24" width="2.7109375" style="6" customWidth="1"/>
    <col min="25" max="30" width="14.42578125" style="6" hidden="1" customWidth="1"/>
    <col min="31" max="31" width="14.85546875" style="6" hidden="1" customWidth="1"/>
    <col min="32" max="45" width="3.7109375" style="6" hidden="1" customWidth="1"/>
    <col min="46" max="60" width="5.7109375" style="6" hidden="1" customWidth="1"/>
    <col min="61" max="16384" width="14.42578125" style="6" hidden="1"/>
  </cols>
  <sheetData>
    <row r="1" spans="1:24" ht="12" customHeight="1" thickBot="1" x14ac:dyDescent="0.3"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</row>
    <row r="2" spans="1:24" ht="12" customHeight="1" x14ac:dyDescent="0.25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3"/>
    </row>
    <row r="3" spans="1:24" s="7" customFormat="1" ht="15" customHeight="1" x14ac:dyDescent="0.25">
      <c r="A3" s="41"/>
      <c r="B3" s="33"/>
      <c r="C3" s="33" t="s">
        <v>76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43"/>
    </row>
    <row r="4" spans="1:24" s="7" customFormat="1" ht="15" customHeight="1" x14ac:dyDescent="0.25">
      <c r="A4" s="41"/>
      <c r="B4" s="33"/>
      <c r="C4" s="33" t="s">
        <v>77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43"/>
    </row>
    <row r="5" spans="1:24" s="8" customFormat="1" ht="15" customHeight="1" x14ac:dyDescent="0.25">
      <c r="A5" s="41"/>
      <c r="B5" s="33"/>
      <c r="C5" s="44" t="s">
        <v>74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33"/>
      <c r="X5" s="43"/>
    </row>
    <row r="6" spans="1:24" s="7" customFormat="1" ht="15" customHeight="1" x14ac:dyDescent="0.25">
      <c r="A6" s="41"/>
      <c r="B6" s="33"/>
      <c r="C6" s="32" t="s">
        <v>23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3"/>
      <c r="X6" s="43"/>
    </row>
    <row r="7" spans="1:24" s="7" customFormat="1" ht="15" customHeight="1" x14ac:dyDescent="0.25">
      <c r="A7" s="41"/>
      <c r="B7" s="33"/>
      <c r="C7" s="32" t="s">
        <v>79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3"/>
      <c r="X7" s="43"/>
    </row>
    <row r="8" spans="1:24" s="7" customFormat="1" ht="15" customHeight="1" x14ac:dyDescent="0.25">
      <c r="A8" s="41"/>
      <c r="B8" s="33"/>
      <c r="C8" s="33" t="s">
        <v>24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43"/>
    </row>
    <row r="9" spans="1:24" ht="15" customHeight="1" x14ac:dyDescent="0.25">
      <c r="A9" s="41"/>
      <c r="B9" s="33"/>
      <c r="C9" s="34" t="s">
        <v>0</v>
      </c>
      <c r="D9" s="36" t="s">
        <v>19</v>
      </c>
      <c r="E9" s="36" t="s">
        <v>20</v>
      </c>
      <c r="F9" s="37" t="s">
        <v>71</v>
      </c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9"/>
      <c r="W9" s="33"/>
      <c r="X9" s="43"/>
    </row>
    <row r="10" spans="1:24" ht="125.1" customHeight="1" x14ac:dyDescent="0.25">
      <c r="A10" s="41"/>
      <c r="B10" s="33"/>
      <c r="C10" s="35"/>
      <c r="D10" s="35"/>
      <c r="E10" s="35"/>
      <c r="F10" s="3" t="s">
        <v>72</v>
      </c>
      <c r="G10" s="3" t="s">
        <v>3</v>
      </c>
      <c r="H10" s="3" t="s">
        <v>1</v>
      </c>
      <c r="I10" s="3" t="s">
        <v>5</v>
      </c>
      <c r="J10" s="3" t="s">
        <v>2</v>
      </c>
      <c r="K10" s="3" t="s">
        <v>65</v>
      </c>
      <c r="L10" s="3" t="s">
        <v>66</v>
      </c>
      <c r="M10" s="3" t="s">
        <v>67</v>
      </c>
      <c r="N10" s="3" t="s">
        <v>4</v>
      </c>
      <c r="O10" s="3" t="s">
        <v>68</v>
      </c>
      <c r="P10" s="3" t="s">
        <v>69</v>
      </c>
      <c r="Q10" s="3" t="s">
        <v>73</v>
      </c>
      <c r="R10" s="3" t="s">
        <v>21</v>
      </c>
      <c r="S10" s="3" t="s">
        <v>70</v>
      </c>
      <c r="T10" s="3" t="s">
        <v>22</v>
      </c>
      <c r="U10" s="9" t="s">
        <v>6</v>
      </c>
      <c r="V10" s="9" t="s">
        <v>75</v>
      </c>
      <c r="W10" s="33"/>
      <c r="X10" s="43"/>
    </row>
    <row r="11" spans="1:24" ht="15" customHeight="1" x14ac:dyDescent="0.25">
      <c r="A11" s="41"/>
      <c r="B11" s="33"/>
      <c r="C11" s="24" t="s">
        <v>27</v>
      </c>
      <c r="D11" s="24">
        <v>1</v>
      </c>
      <c r="E11" s="25" t="s">
        <v>56</v>
      </c>
      <c r="F11" s="26">
        <v>11</v>
      </c>
      <c r="G11" s="26">
        <v>11</v>
      </c>
      <c r="H11" s="26">
        <v>10</v>
      </c>
      <c r="I11" s="26">
        <v>11</v>
      </c>
      <c r="J11" s="26">
        <v>11</v>
      </c>
      <c r="K11" s="26">
        <v>11</v>
      </c>
      <c r="L11" s="26">
        <v>10</v>
      </c>
      <c r="M11" s="26">
        <v>10</v>
      </c>
      <c r="N11" s="26">
        <v>10</v>
      </c>
      <c r="O11" s="26">
        <v>7</v>
      </c>
      <c r="P11" s="26">
        <v>11</v>
      </c>
      <c r="Q11" s="26">
        <v>10</v>
      </c>
      <c r="R11" s="26">
        <v>9</v>
      </c>
      <c r="S11" s="26">
        <v>10</v>
      </c>
      <c r="T11" s="26">
        <v>11</v>
      </c>
      <c r="U11" s="27">
        <f t="shared" ref="U11:U16" si="0">IF(COUNTIF(F11:T11,"=*")&gt;0,"-",IF(COUNTIF(F11:T11,"&lt;4")&gt;0,"-",(IFERROR(AVERAGE(F11:T11),""))))</f>
        <v>10.199999999999999</v>
      </c>
      <c r="V11" s="27">
        <f t="shared" ref="V11:V16" si="1">U11/12*90</f>
        <v>76.5</v>
      </c>
      <c r="W11" s="33"/>
      <c r="X11" s="43"/>
    </row>
    <row r="12" spans="1:24" ht="15" customHeight="1" x14ac:dyDescent="0.25">
      <c r="A12" s="41"/>
      <c r="B12" s="33"/>
      <c r="C12" s="24" t="s">
        <v>27</v>
      </c>
      <c r="D12" s="24">
        <v>2</v>
      </c>
      <c r="E12" s="25" t="s">
        <v>52</v>
      </c>
      <c r="F12" s="26">
        <v>11</v>
      </c>
      <c r="G12" s="26">
        <v>11</v>
      </c>
      <c r="H12" s="26">
        <v>10</v>
      </c>
      <c r="I12" s="26">
        <v>11</v>
      </c>
      <c r="J12" s="26">
        <v>11</v>
      </c>
      <c r="K12" s="26">
        <v>9</v>
      </c>
      <c r="L12" s="26">
        <v>10</v>
      </c>
      <c r="M12" s="26">
        <v>9</v>
      </c>
      <c r="N12" s="26">
        <v>10</v>
      </c>
      <c r="O12" s="26">
        <v>7</v>
      </c>
      <c r="P12" s="26">
        <v>11</v>
      </c>
      <c r="Q12" s="26">
        <v>10</v>
      </c>
      <c r="R12" s="26">
        <v>9</v>
      </c>
      <c r="S12" s="26">
        <v>11</v>
      </c>
      <c r="T12" s="26">
        <v>11</v>
      </c>
      <c r="U12" s="27">
        <f t="shared" si="0"/>
        <v>10.066666666666666</v>
      </c>
      <c r="V12" s="27">
        <f t="shared" si="1"/>
        <v>75.5</v>
      </c>
      <c r="W12" s="33"/>
      <c r="X12" s="43"/>
    </row>
    <row r="13" spans="1:24" ht="15" customHeight="1" x14ac:dyDescent="0.25">
      <c r="A13" s="41"/>
      <c r="B13" s="33"/>
      <c r="C13" s="24" t="s">
        <v>27</v>
      </c>
      <c r="D13" s="24">
        <v>3</v>
      </c>
      <c r="E13" s="25" t="s">
        <v>59</v>
      </c>
      <c r="F13" s="26">
        <v>10</v>
      </c>
      <c r="G13" s="26">
        <v>10</v>
      </c>
      <c r="H13" s="26">
        <v>10</v>
      </c>
      <c r="I13" s="26">
        <v>10</v>
      </c>
      <c r="J13" s="26">
        <v>10</v>
      </c>
      <c r="K13" s="26">
        <v>11</v>
      </c>
      <c r="L13" s="26">
        <v>11</v>
      </c>
      <c r="M13" s="26">
        <v>8</v>
      </c>
      <c r="N13" s="26">
        <v>10</v>
      </c>
      <c r="O13" s="26">
        <v>10</v>
      </c>
      <c r="P13" s="26">
        <v>10</v>
      </c>
      <c r="Q13" s="26">
        <v>9</v>
      </c>
      <c r="R13" s="26">
        <v>7</v>
      </c>
      <c r="S13" s="26">
        <v>11</v>
      </c>
      <c r="T13" s="26">
        <v>11</v>
      </c>
      <c r="U13" s="27">
        <f t="shared" si="0"/>
        <v>9.8666666666666671</v>
      </c>
      <c r="V13" s="27">
        <f t="shared" si="1"/>
        <v>74</v>
      </c>
      <c r="W13" s="33"/>
      <c r="X13" s="43"/>
    </row>
    <row r="14" spans="1:24" ht="15" customHeight="1" x14ac:dyDescent="0.25">
      <c r="A14" s="41"/>
      <c r="B14" s="33"/>
      <c r="C14" s="24" t="s">
        <v>27</v>
      </c>
      <c r="D14" s="24">
        <v>4</v>
      </c>
      <c r="E14" s="25" t="s">
        <v>53</v>
      </c>
      <c r="F14" s="26">
        <v>10</v>
      </c>
      <c r="G14" s="26">
        <v>9</v>
      </c>
      <c r="H14" s="26">
        <v>10</v>
      </c>
      <c r="I14" s="26">
        <v>10</v>
      </c>
      <c r="J14" s="26">
        <v>10</v>
      </c>
      <c r="K14" s="26">
        <v>10</v>
      </c>
      <c r="L14" s="26">
        <v>12</v>
      </c>
      <c r="M14" s="26">
        <v>10</v>
      </c>
      <c r="N14" s="26">
        <v>10</v>
      </c>
      <c r="O14" s="26">
        <v>7</v>
      </c>
      <c r="P14" s="26">
        <v>10</v>
      </c>
      <c r="Q14" s="26">
        <v>8</v>
      </c>
      <c r="R14" s="26">
        <v>7</v>
      </c>
      <c r="S14" s="26">
        <v>11</v>
      </c>
      <c r="T14" s="26">
        <v>10</v>
      </c>
      <c r="U14" s="27">
        <f t="shared" si="0"/>
        <v>9.6</v>
      </c>
      <c r="V14" s="27">
        <f t="shared" si="1"/>
        <v>72</v>
      </c>
      <c r="W14" s="33"/>
      <c r="X14" s="43"/>
    </row>
    <row r="15" spans="1:24" ht="15" customHeight="1" x14ac:dyDescent="0.25">
      <c r="A15" s="41"/>
      <c r="B15" s="33"/>
      <c r="C15" s="21" t="s">
        <v>27</v>
      </c>
      <c r="D15" s="21">
        <v>5</v>
      </c>
      <c r="E15" s="11" t="s">
        <v>55</v>
      </c>
      <c r="F15" s="12">
        <v>10</v>
      </c>
      <c r="G15" s="12">
        <v>11</v>
      </c>
      <c r="H15" s="12">
        <v>10</v>
      </c>
      <c r="I15" s="12">
        <v>10</v>
      </c>
      <c r="J15" s="12">
        <v>11</v>
      </c>
      <c r="K15" s="12">
        <v>9</v>
      </c>
      <c r="L15" s="12">
        <v>7</v>
      </c>
      <c r="M15" s="12">
        <v>5</v>
      </c>
      <c r="N15" s="12">
        <v>10</v>
      </c>
      <c r="O15" s="12">
        <v>6</v>
      </c>
      <c r="P15" s="12">
        <v>11</v>
      </c>
      <c r="Q15" s="12">
        <v>7</v>
      </c>
      <c r="R15" s="12">
        <v>5</v>
      </c>
      <c r="S15" s="12">
        <v>10</v>
      </c>
      <c r="T15" s="12">
        <v>8</v>
      </c>
      <c r="U15" s="23">
        <f t="shared" si="0"/>
        <v>8.6666666666666661</v>
      </c>
      <c r="V15" s="23">
        <f t="shared" si="1"/>
        <v>65</v>
      </c>
      <c r="W15" s="33"/>
      <c r="X15" s="43"/>
    </row>
    <row r="16" spans="1:24" ht="15" customHeight="1" x14ac:dyDescent="0.25">
      <c r="A16" s="41"/>
      <c r="B16" s="33"/>
      <c r="C16" s="21" t="s">
        <v>27</v>
      </c>
      <c r="D16" s="21">
        <v>6</v>
      </c>
      <c r="E16" s="11" t="s">
        <v>57</v>
      </c>
      <c r="F16" s="12">
        <v>9</v>
      </c>
      <c r="G16" s="12">
        <v>9</v>
      </c>
      <c r="H16" s="12">
        <v>10</v>
      </c>
      <c r="I16" s="12">
        <v>10</v>
      </c>
      <c r="J16" s="12">
        <v>7</v>
      </c>
      <c r="K16" s="12">
        <v>7</v>
      </c>
      <c r="L16" s="12">
        <v>7</v>
      </c>
      <c r="M16" s="12">
        <v>9</v>
      </c>
      <c r="N16" s="12">
        <v>7</v>
      </c>
      <c r="O16" s="12">
        <v>9</v>
      </c>
      <c r="P16" s="12">
        <v>6</v>
      </c>
      <c r="Q16" s="12">
        <v>9</v>
      </c>
      <c r="R16" s="12">
        <v>6</v>
      </c>
      <c r="S16" s="12">
        <v>5</v>
      </c>
      <c r="T16" s="12">
        <v>8</v>
      </c>
      <c r="U16" s="23">
        <f t="shared" si="0"/>
        <v>7.8666666666666663</v>
      </c>
      <c r="V16" s="23">
        <f t="shared" si="1"/>
        <v>59</v>
      </c>
      <c r="W16" s="33"/>
      <c r="X16" s="43"/>
    </row>
    <row r="17" spans="1:25" ht="15" customHeight="1" x14ac:dyDescent="0.25">
      <c r="A17" s="41"/>
      <c r="B17" s="33"/>
      <c r="C17" s="13"/>
      <c r="D17" s="13"/>
      <c r="E17" s="11" t="s">
        <v>12</v>
      </c>
      <c r="F17" s="20">
        <f>'Зведена 101'!F27</f>
        <v>10</v>
      </c>
      <c r="G17" s="17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22"/>
      <c r="V17" s="22"/>
      <c r="W17" s="33"/>
      <c r="X17" s="43"/>
      <c r="Y17" s="15"/>
    </row>
    <row r="18" spans="1:25" ht="15" customHeight="1" x14ac:dyDescent="0.25">
      <c r="A18" s="41"/>
      <c r="B18" s="33"/>
      <c r="C18" s="13"/>
      <c r="D18" s="13"/>
      <c r="E18" s="11" t="s">
        <v>13</v>
      </c>
      <c r="F18" s="20">
        <f>'Зведена 101'!F28</f>
        <v>1</v>
      </c>
      <c r="G18" s="17"/>
      <c r="H18" s="13"/>
      <c r="I18" s="19" t="s">
        <v>16</v>
      </c>
      <c r="J18" s="13"/>
      <c r="K18" s="13"/>
      <c r="L18" s="13"/>
      <c r="M18" s="13"/>
      <c r="N18" s="13"/>
      <c r="O18" s="13"/>
      <c r="P18" s="5" t="s">
        <v>62</v>
      </c>
      <c r="Q18" s="13"/>
      <c r="R18" s="13"/>
      <c r="S18" s="13"/>
      <c r="T18" s="13"/>
      <c r="U18" s="13"/>
      <c r="V18" s="13"/>
      <c r="W18" s="33"/>
      <c r="X18" s="43"/>
    </row>
    <row r="19" spans="1:25" ht="15" customHeight="1" x14ac:dyDescent="0.25">
      <c r="A19" s="41"/>
      <c r="B19" s="33"/>
      <c r="C19" s="13"/>
      <c r="D19" s="13"/>
      <c r="E19" s="11" t="s">
        <v>14</v>
      </c>
      <c r="F19" s="20">
        <f>'Зведена 101'!F29</f>
        <v>1</v>
      </c>
      <c r="G19" s="17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33"/>
      <c r="X19" s="43"/>
    </row>
    <row r="20" spans="1:25" ht="15" customHeight="1" x14ac:dyDescent="0.25">
      <c r="A20" s="41"/>
      <c r="B20" s="33"/>
      <c r="C20" s="13"/>
      <c r="D20" s="13"/>
      <c r="E20" s="11" t="s">
        <v>15</v>
      </c>
      <c r="F20" s="20">
        <f>'Зведена 101'!F30</f>
        <v>4</v>
      </c>
      <c r="G20" s="17"/>
      <c r="H20" s="13"/>
      <c r="I20" s="19" t="s">
        <v>17</v>
      </c>
      <c r="J20" s="13"/>
      <c r="K20" s="13"/>
      <c r="L20" s="13"/>
      <c r="M20" s="13"/>
      <c r="N20" s="13"/>
      <c r="O20" s="13"/>
      <c r="P20" s="19" t="s">
        <v>18</v>
      </c>
      <c r="Q20" s="13"/>
      <c r="R20" s="13"/>
      <c r="S20" s="13"/>
      <c r="T20" s="13"/>
      <c r="U20" s="13"/>
      <c r="V20" s="13"/>
      <c r="W20" s="33"/>
      <c r="X20" s="43"/>
    </row>
    <row r="21" spans="1:25" ht="12" customHeight="1" thickBot="1" x14ac:dyDescent="0.3">
      <c r="A21" s="41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3"/>
    </row>
    <row r="22" spans="1:25" ht="12" customHeight="1" x14ac:dyDescent="0.25"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</row>
  </sheetData>
  <sheetProtection selectLockedCells="1"/>
  <sortState ref="C11:V17">
    <sortCondition descending="1" ref="U11:U17"/>
  </sortState>
  <mergeCells count="18">
    <mergeCell ref="B1:W1"/>
    <mergeCell ref="A2:A21"/>
    <mergeCell ref="B2:W2"/>
    <mergeCell ref="X2:X21"/>
    <mergeCell ref="B3:B20"/>
    <mergeCell ref="C3:V3"/>
    <mergeCell ref="W3:W20"/>
    <mergeCell ref="C4:V4"/>
    <mergeCell ref="C5:V5"/>
    <mergeCell ref="C6:V6"/>
    <mergeCell ref="B21:W21"/>
    <mergeCell ref="B22:W22"/>
    <mergeCell ref="C7:V7"/>
    <mergeCell ref="C8:V8"/>
    <mergeCell ref="C9:C10"/>
    <mergeCell ref="D9:D10"/>
    <mergeCell ref="E9:E10"/>
    <mergeCell ref="F9:V9"/>
  </mergeCells>
  <printOptions horizontalCentered="1"/>
  <pageMargins left="0" right="0" top="0" bottom="0" header="0" footer="0"/>
  <pageSetup paperSize="9" scale="7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34"/>
  <sheetViews>
    <sheetView zoomScaleNormal="100" workbookViewId="0">
      <selection activeCell="E12" sqref="E12"/>
    </sheetView>
  </sheetViews>
  <sheetFormatPr defaultColWidth="0" defaultRowHeight="0" customHeight="1" zeroHeight="1" x14ac:dyDescent="0.25"/>
  <cols>
    <col min="1" max="2" width="2.7109375" style="6" customWidth="1"/>
    <col min="3" max="3" width="4.140625" style="6" customWidth="1"/>
    <col min="4" max="4" width="6.5703125" style="6" customWidth="1"/>
    <col min="5" max="5" width="40.42578125" style="6" customWidth="1"/>
    <col min="6" max="20" width="6.7109375" style="6" customWidth="1"/>
    <col min="21" max="21" width="11.28515625" style="6" customWidth="1"/>
    <col min="22" max="23" width="2.7109375" style="6" customWidth="1"/>
    <col min="24" max="29" width="14.42578125" style="6" hidden="1" customWidth="1"/>
    <col min="30" max="30" width="14.85546875" style="6" hidden="1" customWidth="1"/>
    <col min="31" max="44" width="3.7109375" style="6" hidden="1" customWidth="1"/>
    <col min="45" max="59" width="5.7109375" style="6" hidden="1" customWidth="1"/>
    <col min="60" max="16384" width="14.42578125" style="6" hidden="1"/>
  </cols>
  <sheetData>
    <row r="1" spans="1:23" ht="12" customHeight="1" thickBot="1" x14ac:dyDescent="0.3"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</row>
    <row r="2" spans="1:23" ht="12" customHeight="1" x14ac:dyDescent="0.25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3"/>
    </row>
    <row r="3" spans="1:23" s="7" customFormat="1" ht="15" customHeight="1" x14ac:dyDescent="0.25">
      <c r="A3" s="41"/>
      <c r="B3" s="33"/>
      <c r="C3" s="33" t="s">
        <v>76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43"/>
    </row>
    <row r="4" spans="1:23" s="7" customFormat="1" ht="15" customHeight="1" x14ac:dyDescent="0.25">
      <c r="A4" s="41"/>
      <c r="B4" s="33"/>
      <c r="C4" s="33" t="s">
        <v>77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43"/>
    </row>
    <row r="5" spans="1:23" s="8" customFormat="1" ht="15" customHeight="1" x14ac:dyDescent="0.25">
      <c r="A5" s="41"/>
      <c r="B5" s="33"/>
      <c r="C5" s="44" t="s">
        <v>63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33"/>
      <c r="W5" s="43"/>
    </row>
    <row r="6" spans="1:23" s="7" customFormat="1" ht="15" customHeight="1" x14ac:dyDescent="0.25">
      <c r="A6" s="41"/>
      <c r="B6" s="33"/>
      <c r="C6" s="32" t="s">
        <v>26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3"/>
      <c r="W6" s="43"/>
    </row>
    <row r="7" spans="1:23" s="7" customFormat="1" ht="15" customHeight="1" x14ac:dyDescent="0.25">
      <c r="A7" s="41"/>
      <c r="B7" s="33"/>
      <c r="C7" s="32" t="s">
        <v>79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3"/>
      <c r="W7" s="43"/>
    </row>
    <row r="8" spans="1:23" s="7" customFormat="1" ht="15" customHeight="1" x14ac:dyDescent="0.25">
      <c r="A8" s="41"/>
      <c r="B8" s="33"/>
      <c r="C8" s="33" t="s">
        <v>24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43"/>
    </row>
    <row r="9" spans="1:23" ht="15" customHeight="1" x14ac:dyDescent="0.25">
      <c r="A9" s="41"/>
      <c r="B9" s="33"/>
      <c r="C9" s="34" t="s">
        <v>0</v>
      </c>
      <c r="D9" s="36" t="s">
        <v>19</v>
      </c>
      <c r="E9" s="36" t="s">
        <v>20</v>
      </c>
      <c r="F9" s="37" t="s">
        <v>71</v>
      </c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9"/>
      <c r="V9" s="33"/>
      <c r="W9" s="43"/>
    </row>
    <row r="10" spans="1:23" ht="125.1" customHeight="1" x14ac:dyDescent="0.25">
      <c r="A10" s="41"/>
      <c r="B10" s="33"/>
      <c r="C10" s="35"/>
      <c r="D10" s="35"/>
      <c r="E10" s="35"/>
      <c r="F10" s="3" t="s">
        <v>72</v>
      </c>
      <c r="G10" s="3" t="s">
        <v>3</v>
      </c>
      <c r="H10" s="3" t="s">
        <v>1</v>
      </c>
      <c r="I10" s="3" t="s">
        <v>5</v>
      </c>
      <c r="J10" s="3" t="s">
        <v>2</v>
      </c>
      <c r="K10" s="3" t="s">
        <v>65</v>
      </c>
      <c r="L10" s="3" t="s">
        <v>66</v>
      </c>
      <c r="M10" s="3" t="s">
        <v>67</v>
      </c>
      <c r="N10" s="3" t="s">
        <v>4</v>
      </c>
      <c r="O10" s="3" t="s">
        <v>68</v>
      </c>
      <c r="P10" s="3" t="s">
        <v>69</v>
      </c>
      <c r="Q10" s="3" t="s">
        <v>73</v>
      </c>
      <c r="R10" s="3" t="s">
        <v>21</v>
      </c>
      <c r="S10" s="3" t="s">
        <v>70</v>
      </c>
      <c r="T10" s="3" t="s">
        <v>22</v>
      </c>
      <c r="U10" s="9" t="s">
        <v>6</v>
      </c>
      <c r="V10" s="33"/>
      <c r="W10" s="43"/>
    </row>
    <row r="11" spans="1:23" ht="15" customHeight="1" x14ac:dyDescent="0.25">
      <c r="A11" s="41"/>
      <c r="B11" s="33"/>
      <c r="C11" s="10" t="s">
        <v>29</v>
      </c>
      <c r="D11" s="10">
        <v>1</v>
      </c>
      <c r="E11" s="11" t="s">
        <v>30</v>
      </c>
      <c r="F11" s="12">
        <v>10</v>
      </c>
      <c r="G11" s="12">
        <v>9</v>
      </c>
      <c r="H11" s="12">
        <v>10</v>
      </c>
      <c r="I11" s="12">
        <v>10</v>
      </c>
      <c r="J11" s="12">
        <v>10</v>
      </c>
      <c r="K11" s="12">
        <v>10</v>
      </c>
      <c r="L11" s="12">
        <v>10</v>
      </c>
      <c r="M11" s="12">
        <v>9</v>
      </c>
      <c r="N11" s="12">
        <v>8</v>
      </c>
      <c r="O11" s="12">
        <v>8</v>
      </c>
      <c r="P11" s="12">
        <v>10</v>
      </c>
      <c r="Q11" s="12">
        <v>10</v>
      </c>
      <c r="R11" s="12">
        <v>7</v>
      </c>
      <c r="S11" s="12">
        <v>10</v>
      </c>
      <c r="T11" s="12">
        <v>11</v>
      </c>
      <c r="U11" s="1">
        <f>IF(COUNTIF(F11:T11,"=*")&gt;0,"-",IF(COUNTIF(F11:T11,"&lt;4")&gt;0,"-",(IFERROR(AVERAGE(F11:T11),""))))</f>
        <v>9.4666666666666668</v>
      </c>
      <c r="V11" s="33"/>
      <c r="W11" s="43"/>
    </row>
    <row r="12" spans="1:23" ht="15" customHeight="1" x14ac:dyDescent="0.25">
      <c r="A12" s="41"/>
      <c r="B12" s="33"/>
      <c r="C12" s="10" t="s">
        <v>29</v>
      </c>
      <c r="D12" s="10">
        <v>2</v>
      </c>
      <c r="E12" s="11" t="s">
        <v>31</v>
      </c>
      <c r="F12" s="12">
        <v>10</v>
      </c>
      <c r="G12" s="12">
        <v>4</v>
      </c>
      <c r="H12" s="12">
        <v>9</v>
      </c>
      <c r="I12" s="12">
        <v>9</v>
      </c>
      <c r="J12" s="12">
        <v>5</v>
      </c>
      <c r="K12" s="12">
        <v>9</v>
      </c>
      <c r="L12" s="12">
        <v>9</v>
      </c>
      <c r="M12" s="12">
        <v>4</v>
      </c>
      <c r="N12" s="12">
        <v>5</v>
      </c>
      <c r="O12" s="12">
        <v>4</v>
      </c>
      <c r="P12" s="12">
        <v>4</v>
      </c>
      <c r="Q12" s="12">
        <v>5</v>
      </c>
      <c r="R12" s="12" t="s">
        <v>64</v>
      </c>
      <c r="S12" s="12">
        <v>7</v>
      </c>
      <c r="T12" s="12">
        <v>7</v>
      </c>
      <c r="U12" s="1" t="str">
        <f t="shared" ref="U12:U22" si="0">IF(COUNTIF(F12:T12,"=*")&gt;0,"-",IF(COUNTIF(F12:T12,"&lt;4")&gt;0,"-",(IFERROR(AVERAGE(F12:T12),""))))</f>
        <v>-</v>
      </c>
      <c r="V12" s="33"/>
      <c r="W12" s="43"/>
    </row>
    <row r="13" spans="1:23" ht="15" customHeight="1" x14ac:dyDescent="0.25">
      <c r="A13" s="41"/>
      <c r="B13" s="33"/>
      <c r="C13" s="10" t="s">
        <v>29</v>
      </c>
      <c r="D13" s="10">
        <v>3</v>
      </c>
      <c r="E13" s="11" t="s">
        <v>32</v>
      </c>
      <c r="F13" s="12">
        <v>9</v>
      </c>
      <c r="G13" s="12">
        <v>11</v>
      </c>
      <c r="H13" s="12">
        <v>9</v>
      </c>
      <c r="I13" s="12">
        <v>9</v>
      </c>
      <c r="J13" s="12">
        <v>10</v>
      </c>
      <c r="K13" s="12">
        <v>5</v>
      </c>
      <c r="L13" s="12">
        <v>5</v>
      </c>
      <c r="M13" s="12">
        <v>9</v>
      </c>
      <c r="N13" s="12">
        <v>7</v>
      </c>
      <c r="O13" s="12">
        <v>8</v>
      </c>
      <c r="P13" s="12">
        <v>10</v>
      </c>
      <c r="Q13" s="12">
        <v>8</v>
      </c>
      <c r="R13" s="12">
        <v>6</v>
      </c>
      <c r="S13" s="12">
        <v>5</v>
      </c>
      <c r="T13" s="12">
        <v>5</v>
      </c>
      <c r="U13" s="1">
        <f t="shared" si="0"/>
        <v>7.7333333333333334</v>
      </c>
      <c r="V13" s="33"/>
      <c r="W13" s="43"/>
    </row>
    <row r="14" spans="1:23" ht="15" customHeight="1" x14ac:dyDescent="0.25">
      <c r="A14" s="41"/>
      <c r="B14" s="33"/>
      <c r="C14" s="10" t="s">
        <v>29</v>
      </c>
      <c r="D14" s="10">
        <v>4</v>
      </c>
      <c r="E14" s="11" t="s">
        <v>33</v>
      </c>
      <c r="F14" s="12">
        <v>10</v>
      </c>
      <c r="G14" s="12">
        <v>9</v>
      </c>
      <c r="H14" s="12">
        <v>10</v>
      </c>
      <c r="I14" s="12">
        <v>11</v>
      </c>
      <c r="J14" s="12">
        <v>9</v>
      </c>
      <c r="K14" s="12">
        <v>9</v>
      </c>
      <c r="L14" s="12">
        <v>6</v>
      </c>
      <c r="M14" s="12">
        <v>7</v>
      </c>
      <c r="N14" s="12">
        <v>8</v>
      </c>
      <c r="O14" s="12">
        <v>8</v>
      </c>
      <c r="P14" s="12">
        <v>9</v>
      </c>
      <c r="Q14" s="12">
        <v>10</v>
      </c>
      <c r="R14" s="12">
        <v>8</v>
      </c>
      <c r="S14" s="12">
        <v>7</v>
      </c>
      <c r="T14" s="12">
        <v>8</v>
      </c>
      <c r="U14" s="1">
        <f t="shared" si="0"/>
        <v>8.6</v>
      </c>
      <c r="V14" s="33"/>
      <c r="W14" s="43"/>
    </row>
    <row r="15" spans="1:23" ht="15" customHeight="1" x14ac:dyDescent="0.25">
      <c r="A15" s="41"/>
      <c r="B15" s="33"/>
      <c r="C15" s="10" t="s">
        <v>29</v>
      </c>
      <c r="D15" s="10">
        <v>5</v>
      </c>
      <c r="E15" s="11" t="s">
        <v>34</v>
      </c>
      <c r="F15" s="12">
        <v>10</v>
      </c>
      <c r="G15" s="12">
        <v>5</v>
      </c>
      <c r="H15" s="12">
        <v>9</v>
      </c>
      <c r="I15" s="12">
        <v>9</v>
      </c>
      <c r="J15" s="12">
        <v>6</v>
      </c>
      <c r="K15" s="12">
        <v>7</v>
      </c>
      <c r="L15" s="12">
        <v>7</v>
      </c>
      <c r="M15" s="12">
        <v>5</v>
      </c>
      <c r="N15" s="12">
        <v>6</v>
      </c>
      <c r="O15" s="12">
        <v>4</v>
      </c>
      <c r="P15" s="12">
        <v>7</v>
      </c>
      <c r="Q15" s="12">
        <v>8</v>
      </c>
      <c r="R15" s="12">
        <v>5</v>
      </c>
      <c r="S15" s="12">
        <v>9</v>
      </c>
      <c r="T15" s="12">
        <v>6</v>
      </c>
      <c r="U15" s="1">
        <f t="shared" si="0"/>
        <v>6.8666666666666663</v>
      </c>
      <c r="V15" s="33"/>
      <c r="W15" s="43"/>
    </row>
    <row r="16" spans="1:23" ht="15" customHeight="1" x14ac:dyDescent="0.25">
      <c r="A16" s="41"/>
      <c r="B16" s="33"/>
      <c r="C16" s="10" t="s">
        <v>29</v>
      </c>
      <c r="D16" s="10">
        <v>6</v>
      </c>
      <c r="E16" s="11" t="s">
        <v>35</v>
      </c>
      <c r="F16" s="12">
        <v>9</v>
      </c>
      <c r="G16" s="12">
        <v>4</v>
      </c>
      <c r="H16" s="12">
        <v>10</v>
      </c>
      <c r="I16" s="12">
        <v>10</v>
      </c>
      <c r="J16" s="12">
        <v>6</v>
      </c>
      <c r="K16" s="12">
        <v>4</v>
      </c>
      <c r="L16" s="12">
        <v>7</v>
      </c>
      <c r="M16" s="12">
        <v>5</v>
      </c>
      <c r="N16" s="12">
        <v>6</v>
      </c>
      <c r="O16" s="12">
        <v>4</v>
      </c>
      <c r="P16" s="12">
        <v>5</v>
      </c>
      <c r="Q16" s="12">
        <v>8</v>
      </c>
      <c r="R16" s="12">
        <v>4</v>
      </c>
      <c r="S16" s="12">
        <v>4</v>
      </c>
      <c r="T16" s="12">
        <v>6</v>
      </c>
      <c r="U16" s="1">
        <f t="shared" si="0"/>
        <v>6.1333333333333337</v>
      </c>
      <c r="V16" s="33"/>
      <c r="W16" s="43"/>
    </row>
    <row r="17" spans="1:24" ht="15" customHeight="1" x14ac:dyDescent="0.25">
      <c r="A17" s="41"/>
      <c r="B17" s="33"/>
      <c r="C17" s="10" t="s">
        <v>29</v>
      </c>
      <c r="D17" s="10">
        <v>7</v>
      </c>
      <c r="E17" s="11" t="s">
        <v>36</v>
      </c>
      <c r="F17" s="12">
        <v>9</v>
      </c>
      <c r="G17" s="12">
        <v>4</v>
      </c>
      <c r="H17" s="12">
        <v>9</v>
      </c>
      <c r="I17" s="12">
        <v>10</v>
      </c>
      <c r="J17" s="12">
        <v>4</v>
      </c>
      <c r="K17" s="12">
        <v>8</v>
      </c>
      <c r="L17" s="12">
        <v>4</v>
      </c>
      <c r="M17" s="12">
        <v>5</v>
      </c>
      <c r="N17" s="12">
        <v>7</v>
      </c>
      <c r="O17" s="12">
        <v>4</v>
      </c>
      <c r="P17" s="12">
        <v>4</v>
      </c>
      <c r="Q17" s="12">
        <v>7</v>
      </c>
      <c r="R17" s="12">
        <v>5</v>
      </c>
      <c r="S17" s="12">
        <v>7</v>
      </c>
      <c r="T17" s="12">
        <v>7</v>
      </c>
      <c r="U17" s="1">
        <f t="shared" si="0"/>
        <v>6.2666666666666666</v>
      </c>
      <c r="V17" s="33"/>
      <c r="W17" s="43"/>
    </row>
    <row r="18" spans="1:24" ht="15" customHeight="1" x14ac:dyDescent="0.25">
      <c r="A18" s="41"/>
      <c r="B18" s="33"/>
      <c r="C18" s="10" t="s">
        <v>29</v>
      </c>
      <c r="D18" s="10">
        <v>8</v>
      </c>
      <c r="E18" s="11" t="s">
        <v>37</v>
      </c>
      <c r="F18" s="12">
        <v>9</v>
      </c>
      <c r="G18" s="12">
        <v>4</v>
      </c>
      <c r="H18" s="12">
        <v>5</v>
      </c>
      <c r="I18" s="12">
        <v>8</v>
      </c>
      <c r="J18" s="12">
        <v>4</v>
      </c>
      <c r="K18" s="12">
        <v>7</v>
      </c>
      <c r="L18" s="12">
        <v>4</v>
      </c>
      <c r="M18" s="12">
        <v>5</v>
      </c>
      <c r="N18" s="12">
        <v>6</v>
      </c>
      <c r="O18" s="12">
        <v>4</v>
      </c>
      <c r="P18" s="12">
        <v>4</v>
      </c>
      <c r="Q18" s="12">
        <v>6</v>
      </c>
      <c r="R18" s="12">
        <v>4</v>
      </c>
      <c r="S18" s="12">
        <v>11</v>
      </c>
      <c r="T18" s="12">
        <v>7</v>
      </c>
      <c r="U18" s="1">
        <f t="shared" si="0"/>
        <v>5.8666666666666663</v>
      </c>
      <c r="V18" s="33"/>
      <c r="W18" s="43"/>
    </row>
    <row r="19" spans="1:24" ht="15" customHeight="1" x14ac:dyDescent="0.25">
      <c r="A19" s="41"/>
      <c r="B19" s="33"/>
      <c r="C19" s="10" t="s">
        <v>29</v>
      </c>
      <c r="D19" s="10">
        <v>9</v>
      </c>
      <c r="E19" s="11" t="s">
        <v>38</v>
      </c>
      <c r="F19" s="12">
        <v>11</v>
      </c>
      <c r="G19" s="12">
        <v>9</v>
      </c>
      <c r="H19" s="12">
        <v>10</v>
      </c>
      <c r="I19" s="12">
        <v>10</v>
      </c>
      <c r="J19" s="12">
        <v>9</v>
      </c>
      <c r="K19" s="12">
        <v>8</v>
      </c>
      <c r="L19" s="12">
        <v>9</v>
      </c>
      <c r="M19" s="12">
        <v>9</v>
      </c>
      <c r="N19" s="12">
        <v>8</v>
      </c>
      <c r="O19" s="12">
        <v>6</v>
      </c>
      <c r="P19" s="12">
        <v>9</v>
      </c>
      <c r="Q19" s="12">
        <v>8</v>
      </c>
      <c r="R19" s="12">
        <v>5</v>
      </c>
      <c r="S19" s="12">
        <v>10</v>
      </c>
      <c r="T19" s="12">
        <v>8</v>
      </c>
      <c r="U19" s="1">
        <f t="shared" si="0"/>
        <v>8.6</v>
      </c>
      <c r="V19" s="33"/>
      <c r="W19" s="43"/>
    </row>
    <row r="20" spans="1:24" ht="15" customHeight="1" x14ac:dyDescent="0.25">
      <c r="A20" s="41"/>
      <c r="B20" s="33"/>
      <c r="C20" s="10" t="s">
        <v>29</v>
      </c>
      <c r="D20" s="10">
        <v>10</v>
      </c>
      <c r="E20" s="11" t="s">
        <v>39</v>
      </c>
      <c r="F20" s="12">
        <v>10</v>
      </c>
      <c r="G20" s="12">
        <v>9</v>
      </c>
      <c r="H20" s="12">
        <v>10</v>
      </c>
      <c r="I20" s="12">
        <v>10</v>
      </c>
      <c r="J20" s="12">
        <v>8</v>
      </c>
      <c r="K20" s="12">
        <v>10</v>
      </c>
      <c r="L20" s="12">
        <v>10</v>
      </c>
      <c r="M20" s="12">
        <v>8</v>
      </c>
      <c r="N20" s="12">
        <v>7</v>
      </c>
      <c r="O20" s="12">
        <v>6</v>
      </c>
      <c r="P20" s="12">
        <v>8</v>
      </c>
      <c r="Q20" s="12">
        <v>8</v>
      </c>
      <c r="R20" s="12">
        <v>7</v>
      </c>
      <c r="S20" s="12">
        <v>10</v>
      </c>
      <c r="T20" s="12">
        <v>8</v>
      </c>
      <c r="U20" s="1">
        <f t="shared" si="0"/>
        <v>8.6</v>
      </c>
      <c r="V20" s="33"/>
      <c r="W20" s="43"/>
    </row>
    <row r="21" spans="1:24" ht="15" customHeight="1" x14ac:dyDescent="0.25">
      <c r="A21" s="41"/>
      <c r="B21" s="33"/>
      <c r="C21" s="10" t="s">
        <v>29</v>
      </c>
      <c r="D21" s="10">
        <v>11</v>
      </c>
      <c r="E21" s="11" t="s">
        <v>40</v>
      </c>
      <c r="F21" s="12">
        <v>10</v>
      </c>
      <c r="G21" s="12">
        <v>6</v>
      </c>
      <c r="H21" s="12">
        <v>9</v>
      </c>
      <c r="I21" s="12">
        <v>9</v>
      </c>
      <c r="J21" s="12">
        <v>4</v>
      </c>
      <c r="K21" s="12">
        <v>4</v>
      </c>
      <c r="L21" s="12">
        <v>7</v>
      </c>
      <c r="M21" s="12">
        <v>5</v>
      </c>
      <c r="N21" s="12">
        <v>7</v>
      </c>
      <c r="O21" s="12">
        <v>4</v>
      </c>
      <c r="P21" s="12">
        <v>4</v>
      </c>
      <c r="Q21" s="12">
        <v>7</v>
      </c>
      <c r="R21" s="12">
        <v>5</v>
      </c>
      <c r="S21" s="12">
        <v>5</v>
      </c>
      <c r="T21" s="12">
        <v>7</v>
      </c>
      <c r="U21" s="1">
        <f t="shared" si="0"/>
        <v>6.2</v>
      </c>
      <c r="V21" s="33"/>
      <c r="W21" s="43"/>
    </row>
    <row r="22" spans="1:24" ht="15" customHeight="1" x14ac:dyDescent="0.25">
      <c r="A22" s="41"/>
      <c r="B22" s="33"/>
      <c r="C22" s="10" t="s">
        <v>29</v>
      </c>
      <c r="D22" s="10">
        <v>12</v>
      </c>
      <c r="E22" s="11" t="s">
        <v>41</v>
      </c>
      <c r="F22" s="12">
        <v>10</v>
      </c>
      <c r="G22" s="12">
        <v>10</v>
      </c>
      <c r="H22" s="12">
        <v>10</v>
      </c>
      <c r="I22" s="12">
        <v>10</v>
      </c>
      <c r="J22" s="12">
        <v>10</v>
      </c>
      <c r="K22" s="12">
        <v>9</v>
      </c>
      <c r="L22" s="12">
        <v>4</v>
      </c>
      <c r="M22" s="12">
        <v>6</v>
      </c>
      <c r="N22" s="12">
        <v>10</v>
      </c>
      <c r="O22" s="12">
        <v>4</v>
      </c>
      <c r="P22" s="12">
        <v>10</v>
      </c>
      <c r="Q22" s="12">
        <v>9</v>
      </c>
      <c r="R22" s="12">
        <v>6</v>
      </c>
      <c r="S22" s="12">
        <v>8</v>
      </c>
      <c r="T22" s="12">
        <v>7</v>
      </c>
      <c r="U22" s="1">
        <f t="shared" si="0"/>
        <v>8.1999999999999993</v>
      </c>
      <c r="V22" s="33"/>
      <c r="W22" s="43"/>
    </row>
    <row r="23" spans="1:24" ht="15" customHeight="1" x14ac:dyDescent="0.25">
      <c r="A23" s="41"/>
      <c r="B23" s="33"/>
      <c r="C23" s="10" t="s">
        <v>29</v>
      </c>
      <c r="D23" s="10">
        <v>13</v>
      </c>
      <c r="E23" s="11" t="s">
        <v>42</v>
      </c>
      <c r="F23" s="12">
        <v>10</v>
      </c>
      <c r="G23" s="12">
        <v>10</v>
      </c>
      <c r="H23" s="12">
        <v>10</v>
      </c>
      <c r="I23" s="12">
        <v>10</v>
      </c>
      <c r="J23" s="12">
        <v>11</v>
      </c>
      <c r="K23" s="12">
        <v>9</v>
      </c>
      <c r="L23" s="12">
        <v>4</v>
      </c>
      <c r="M23" s="12">
        <v>4</v>
      </c>
      <c r="N23" s="12">
        <v>9</v>
      </c>
      <c r="O23" s="12">
        <v>4</v>
      </c>
      <c r="P23" s="12">
        <v>11</v>
      </c>
      <c r="Q23" s="12">
        <v>9</v>
      </c>
      <c r="R23" s="12">
        <v>6</v>
      </c>
      <c r="S23" s="12">
        <v>4</v>
      </c>
      <c r="T23" s="12">
        <v>6</v>
      </c>
      <c r="U23" s="1">
        <f t="shared" ref="U23" si="1">IF(COUNTIF(F23:T23,"=*")&gt;0,"-",IF(COUNTIF(F23:T23,"&lt;4")&gt;0,"-",(IFERROR(AVERAGE(F23:T23),""))))</f>
        <v>7.8</v>
      </c>
      <c r="V23" s="33"/>
      <c r="W23" s="43"/>
    </row>
    <row r="24" spans="1:24" ht="15" customHeight="1" x14ac:dyDescent="0.25">
      <c r="A24" s="41"/>
      <c r="B24" s="33"/>
      <c r="C24" s="13"/>
      <c r="D24" s="13"/>
      <c r="E24" s="11" t="s">
        <v>7</v>
      </c>
      <c r="F24" s="2">
        <f>IF(SUM(F11:F23)=0,"",SUM(F11:F23)/D23)</f>
        <v>9.7692307692307701</v>
      </c>
      <c r="G24" s="2">
        <f>IF(SUM(G11:G23)=0,"",SUM(G11:G23)/D23)</f>
        <v>7.2307692307692308</v>
      </c>
      <c r="H24" s="2">
        <f>IF(SUM(H11:H23)=0,"",SUM(H11:H23)/D23)</f>
        <v>9.2307692307692299</v>
      </c>
      <c r="I24" s="2">
        <f>IF(SUM(I11:I23)=0,"",SUM(I11:I23)/D23)</f>
        <v>9.615384615384615</v>
      </c>
      <c r="J24" s="2">
        <f>IF(SUM(J11:J23)=0,"",SUM(J11:J23)/D23)</f>
        <v>7.384615384615385</v>
      </c>
      <c r="K24" s="2">
        <f>IF(SUM(K11:K23)=0,"",SUM(K11:K23)/D23)</f>
        <v>7.615384615384615</v>
      </c>
      <c r="L24" s="2">
        <f>IF(SUM(L11:L23)=0,"",SUM(L11:L23)/D23)</f>
        <v>6.615384615384615</v>
      </c>
      <c r="M24" s="2">
        <f>IF(SUM(M11:M23)=0,"",SUM(M11:M23)/D23)</f>
        <v>6.2307692307692308</v>
      </c>
      <c r="N24" s="2">
        <f>IF(SUM(N11:N23)=0,"",SUM(N11:N23)/D23)</f>
        <v>7.2307692307692308</v>
      </c>
      <c r="O24" s="2">
        <f>IF(SUM(O11:O23)=0,"",SUM(O11:O23)/D23)</f>
        <v>5.2307692307692308</v>
      </c>
      <c r="P24" s="2">
        <f>IF(SUM(P11:P23)=0,"",SUM(P11:P23)/D23)</f>
        <v>7.3076923076923075</v>
      </c>
      <c r="Q24" s="2">
        <f>IF(SUM(Q11:Q23)=0,"",SUM(Q11:Q23)/D23)</f>
        <v>7.9230769230769234</v>
      </c>
      <c r="R24" s="2">
        <f>IF(SUM(R11:R23)=0,"",SUM(R11:R23)/D23)</f>
        <v>5.2307692307692308</v>
      </c>
      <c r="S24" s="2">
        <f>IF(SUM(S11:S23)=0,"",SUM(S11:S23)/D23)</f>
        <v>7.4615384615384617</v>
      </c>
      <c r="T24" s="2">
        <f>IF(SUM(T11:T23)=0,"",SUM(T11:T23)/D23)</f>
        <v>7.1538461538461542</v>
      </c>
      <c r="U24" s="1">
        <f>IFERROR(AVERAGE(F24:T24),"")</f>
        <v>7.4153846153846148</v>
      </c>
      <c r="V24" s="33"/>
      <c r="W24" s="43"/>
    </row>
    <row r="25" spans="1:24" ht="15" customHeight="1" x14ac:dyDescent="0.25">
      <c r="A25" s="41"/>
      <c r="B25" s="33"/>
      <c r="C25" s="13"/>
      <c r="D25" s="13"/>
      <c r="E25" s="11" t="s">
        <v>8</v>
      </c>
      <c r="F25" s="4">
        <f>IF(SUM(F11:F23)=0,"",IF(COUNTIF(F11:F23,"&gt;=4")=0,0,COUNTIF(F11:F23,"&gt;=4")/D23*100))</f>
        <v>100</v>
      </c>
      <c r="G25" s="4">
        <f>IF(SUM(G11:G23)=0,"",IF(COUNTIF(G11:G23,"&gt;=4")=0,0,COUNTIF(G11:G23,"&gt;=4")/D23*100))</f>
        <v>100</v>
      </c>
      <c r="H25" s="4">
        <f>IF(SUM(H11:H23)=0,"",IF(COUNTIF(H11:H23,"&gt;=4")=0,0,COUNTIF(H11:H23,"&gt;=4")/D23*100))</f>
        <v>100</v>
      </c>
      <c r="I25" s="4">
        <f>IF(SUM(I11:I23)=0,"",IF(COUNTIF(I11:I23,"&gt;=4")=0,0,COUNTIF(I11:I23,"&gt;=4")/D23*100))</f>
        <v>100</v>
      </c>
      <c r="J25" s="4">
        <f>IF(SUM(J11:J23)=0,"",IF(COUNTIF(J11:J23,"&gt;=4")=0,0,COUNTIF(J11:J23,"&gt;=4")/D23*100))</f>
        <v>100</v>
      </c>
      <c r="K25" s="4">
        <f>IF(SUM(K11:K23)=0,"",IF(COUNTIF(K11:K23,"&gt;=4")=0,0,COUNTIF(K11:K23,"&gt;=4")/D23*100))</f>
        <v>100</v>
      </c>
      <c r="L25" s="4">
        <f>IF(SUM(L11:L23)=0,"",IF(COUNTIF(L11:L23,"&gt;=4")=0,0,COUNTIF(L11:L23,"&gt;=4")/D23*100))</f>
        <v>100</v>
      </c>
      <c r="M25" s="4">
        <f>IF(SUM(M11:M23)=0,"",IF(COUNTIF(M11:M23,"&gt;=4")=0,0,COUNTIF(M11:M23,"&gt;=4")/D23*100))</f>
        <v>100</v>
      </c>
      <c r="N25" s="4">
        <f>IF(SUM(N11:N23)=0,"",IF(COUNTIF(N11:N23,"&gt;=4")=0,0,COUNTIF(N11:N23,"&gt;=4")/D23*100))</f>
        <v>100</v>
      </c>
      <c r="O25" s="4">
        <f>IF(SUM(O11:O23)=0,"",IF(COUNTIF(O11:O23,"&gt;=4")=0,0,COUNTIF(O11:O23,"&gt;=4")/D23*100))</f>
        <v>100</v>
      </c>
      <c r="P25" s="4">
        <f>IF(SUM(P11:P23)=0,"",IF(COUNTIF(P11:P23,"&gt;=4")=0,0,COUNTIF(P11:P23,"&gt;=4")/D23*100))</f>
        <v>100</v>
      </c>
      <c r="Q25" s="4">
        <f>IF(SUM(Q11:Q23)=0,"",IF(COUNTIF(Q11:Q23,"&gt;=4")=0,0,COUNTIF(Q11:Q23,"&gt;=4")/D23*100))</f>
        <v>100</v>
      </c>
      <c r="R25" s="4">
        <f>IF(SUM(R11:R23)=0,"",IF(COUNTIF(R11:R23,"&gt;=4")=0,0,COUNTIF(R11:R23,"&gt;=4")/D23*100))</f>
        <v>92.307692307692307</v>
      </c>
      <c r="S25" s="4">
        <f>IF(SUM(S11:S23)=0,"",IF(COUNTIF(S11:S23,"&gt;=4")=0,0,COUNTIF(S11:S23,"&gt;=4")/D23*100))</f>
        <v>100</v>
      </c>
      <c r="T25" s="4">
        <f>IF(SUM(T11:T23)=0,"",IF(COUNTIF(T11:T23,"&gt;=4")=0,0,COUNTIF(T11:T23,"&gt;=4")/D23*100))</f>
        <v>100</v>
      </c>
      <c r="U25" s="14"/>
      <c r="V25" s="33"/>
      <c r="W25" s="43"/>
      <c r="X25" s="15"/>
    </row>
    <row r="26" spans="1:24" ht="15" customHeight="1" x14ac:dyDescent="0.25">
      <c r="A26" s="41"/>
      <c r="B26" s="33"/>
      <c r="C26" s="13"/>
      <c r="D26" s="13"/>
      <c r="E26" s="11" t="s">
        <v>9</v>
      </c>
      <c r="F26" s="4">
        <f>IF(SUM(F11:F23)=0,"",IF(COUNTIF(F11:F23,"&gt;=7")=0,0,COUNTIF(F11:F23,"&gt;=7")/D23*100))</f>
        <v>100</v>
      </c>
      <c r="G26" s="4">
        <f>IF(SUM(G11:G23)=0,"",IF(COUNTIF(G11:G23,"&gt;=7")=0,0,COUNTIF(G11:G23,"&gt;=7")/D23*100))</f>
        <v>53.846153846153847</v>
      </c>
      <c r="H26" s="4">
        <f>IF(SUM(H11:H23)=0,"",IF(COUNTIF(H11:H23,"&gt;=7")=0,0,COUNTIF(H11:H23,"&gt;=7")/D23*100))</f>
        <v>92.307692307692307</v>
      </c>
      <c r="I26" s="4">
        <f>IF(SUM(I11:I23)=0,"",IF(COUNTIF(I11:I23,"&gt;=7")=0,0,COUNTIF(I11:I23,"&gt;=7")/D23*100))</f>
        <v>100</v>
      </c>
      <c r="J26" s="4">
        <f>IF(SUM(J11:J23)=0,"",IF(COUNTIF(J11:J23,"&gt;=7")=0,0,COUNTIF(J11:J23,"&gt;=7")/D23*100))</f>
        <v>53.846153846153847</v>
      </c>
      <c r="K26" s="4">
        <f>IF(SUM(K11:K23)=0,"",IF(COUNTIF(K11:K23,"&gt;=7")=0,0,COUNTIF(K11:K23,"&gt;=7")/D23*100))</f>
        <v>76.923076923076934</v>
      </c>
      <c r="L26" s="4">
        <f>IF(SUM(L11:L23)=0,"",IF(COUNTIF(L11:L23,"&gt;=7")=0,0,COUNTIF(L11:L23,"&gt;=7")/D23*100))</f>
        <v>53.846153846153847</v>
      </c>
      <c r="M26" s="4">
        <f>IF(SUM(M11:M23)=0,"",IF(COUNTIF(M11:M23,"&gt;=7")=0,0,COUNTIF(M11:M23,"&gt;=7")/D23*100))</f>
        <v>38.461538461538467</v>
      </c>
      <c r="N26" s="4">
        <f>IF(SUM(N11:N23)=0,"",IF(COUNTIF(N11:N23,"&gt;=7")=0,0,COUNTIF(N11:N23,"&gt;=7")/D23*100))</f>
        <v>69.230769230769226</v>
      </c>
      <c r="O26" s="4">
        <f>IF(SUM(O11:O23)=0,"",IF(COUNTIF(O11:O23,"&gt;=7")=0,0,COUNTIF(O11:O23,"&gt;=7")/D23*100))</f>
        <v>23.076923076923077</v>
      </c>
      <c r="P26" s="4">
        <f>IF(SUM(P11:P23)=0,"",IF(COUNTIF(P11:P23,"&gt;=7")=0,0,COUNTIF(P11:P23,"&gt;=7")/D23*100))</f>
        <v>61.53846153846154</v>
      </c>
      <c r="Q26" s="4">
        <f>IF(SUM(Q11:Q23)=0,"",IF(COUNTIF(Q11:Q23,"&gt;=7")=0,0,COUNTIF(Q11:Q23,"&gt;=7")/D23*100))</f>
        <v>84.615384615384613</v>
      </c>
      <c r="R26" s="4">
        <f>IF(SUM(R11:R23)=0,"",IF(COUNTIF(R11:R23,"&gt;=7")=0,0,COUNTIF(R11:R23,"&gt;=7")/D23*100))</f>
        <v>23.076923076923077</v>
      </c>
      <c r="S26" s="4">
        <f>IF(SUM(S11:S23)=0,"",IF(COUNTIF(S11:S23,"&gt;=7")=0,0,COUNTIF(S11:S23,"&gt;=7")/D23*100))</f>
        <v>69.230769230769226</v>
      </c>
      <c r="T26" s="4">
        <f>IF(SUM(T11:T23)=0,"",IF(COUNTIF(T11:T23,"&gt;=7")=0,0,COUNTIF(T11:T23,"&gt;=7")/D23*100))</f>
        <v>69.230769230769226</v>
      </c>
      <c r="U26" s="16"/>
      <c r="V26" s="33"/>
      <c r="W26" s="43"/>
      <c r="X26" s="15"/>
    </row>
    <row r="27" spans="1:24" ht="15" customHeight="1" x14ac:dyDescent="0.25">
      <c r="A27" s="41"/>
      <c r="B27" s="33"/>
      <c r="C27" s="13"/>
      <c r="D27" s="13"/>
      <c r="E27" s="11" t="s">
        <v>10</v>
      </c>
      <c r="F27" s="2">
        <f>IFERROR(AVERAGE(F25:T25),"")</f>
        <v>99.487179487179489</v>
      </c>
      <c r="G27" s="17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6"/>
      <c r="V27" s="33"/>
      <c r="W27" s="43"/>
      <c r="X27" s="15"/>
    </row>
    <row r="28" spans="1:24" ht="15" customHeight="1" x14ac:dyDescent="0.25">
      <c r="A28" s="41"/>
      <c r="B28" s="33"/>
      <c r="C28" s="13"/>
      <c r="D28" s="13"/>
      <c r="E28" s="11" t="s">
        <v>11</v>
      </c>
      <c r="F28" s="2">
        <f>IFERROR(AVERAGE(F26:T26),"")</f>
        <v>64.615384615384613</v>
      </c>
      <c r="G28" s="17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6"/>
      <c r="V28" s="33"/>
      <c r="W28" s="43"/>
      <c r="X28" s="15"/>
    </row>
    <row r="29" spans="1:24" ht="15" customHeight="1" x14ac:dyDescent="0.25">
      <c r="A29" s="41"/>
      <c r="B29" s="33"/>
      <c r="C29" s="13"/>
      <c r="D29" s="13"/>
      <c r="E29" s="11" t="s">
        <v>12</v>
      </c>
      <c r="F29" s="18">
        <f>IF(COUNTIF(C11:C23,"=Б")=0,IF(COUNTIF(C11:C23,"=К")=0,"",0),COUNTIF(C11:C23,"=Б"))</f>
        <v>0</v>
      </c>
      <c r="G29" s="17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6"/>
      <c r="V29" s="33"/>
      <c r="W29" s="43"/>
      <c r="X29" s="15"/>
    </row>
    <row r="30" spans="1:24" ht="15" customHeight="1" x14ac:dyDescent="0.25">
      <c r="A30" s="41"/>
      <c r="B30" s="33"/>
      <c r="C30" s="13"/>
      <c r="D30" s="13"/>
      <c r="E30" s="11" t="s">
        <v>13</v>
      </c>
      <c r="F30" s="18">
        <f>IF(COUNTIF(C11:C23,"=К")=0,IF(COUNTIF(C11:C23,"=Б")=0,"",0),COUNTIF(C11:C23,"=К"))</f>
        <v>13</v>
      </c>
      <c r="G30" s="17"/>
      <c r="H30" s="13"/>
      <c r="I30" s="19" t="s">
        <v>16</v>
      </c>
      <c r="J30" s="13"/>
      <c r="K30" s="13"/>
      <c r="L30" s="13"/>
      <c r="M30" s="13"/>
      <c r="N30" s="13"/>
      <c r="O30" s="13"/>
      <c r="P30" s="5" t="s">
        <v>62</v>
      </c>
      <c r="Q30" s="13"/>
      <c r="R30" s="13"/>
      <c r="S30" s="13"/>
      <c r="T30" s="13"/>
      <c r="U30" s="13"/>
      <c r="V30" s="33"/>
      <c r="W30" s="43"/>
    </row>
    <row r="31" spans="1:24" ht="15" customHeight="1" x14ac:dyDescent="0.25">
      <c r="A31" s="41"/>
      <c r="B31" s="33"/>
      <c r="C31" s="13"/>
      <c r="D31" s="13"/>
      <c r="E31" s="11" t="s">
        <v>14</v>
      </c>
      <c r="F31" s="18">
        <v>0</v>
      </c>
      <c r="G31" s="17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33"/>
      <c r="W31" s="43"/>
    </row>
    <row r="32" spans="1:24" ht="15" customHeight="1" x14ac:dyDescent="0.25">
      <c r="A32" s="41"/>
      <c r="B32" s="33"/>
      <c r="C32" s="13"/>
      <c r="D32" s="13"/>
      <c r="E32" s="11" t="s">
        <v>15</v>
      </c>
      <c r="F32" s="18"/>
      <c r="G32" s="17"/>
      <c r="H32" s="13"/>
      <c r="I32" s="19" t="s">
        <v>17</v>
      </c>
      <c r="J32" s="13"/>
      <c r="K32" s="13"/>
      <c r="L32" s="13"/>
      <c r="M32" s="13"/>
      <c r="N32" s="13"/>
      <c r="O32" s="13"/>
      <c r="P32" s="19" t="s">
        <v>18</v>
      </c>
      <c r="Q32" s="13"/>
      <c r="R32" s="13"/>
      <c r="S32" s="13"/>
      <c r="T32" s="13"/>
      <c r="U32" s="13"/>
      <c r="V32" s="33"/>
      <c r="W32" s="43"/>
    </row>
    <row r="33" spans="1:23" ht="12" customHeight="1" thickBot="1" x14ac:dyDescent="0.3">
      <c r="A33" s="41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3"/>
    </row>
    <row r="34" spans="1:23" ht="12" customHeight="1" x14ac:dyDescent="0.25"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</row>
  </sheetData>
  <sheetProtection selectLockedCells="1"/>
  <mergeCells count="18">
    <mergeCell ref="B1:V1"/>
    <mergeCell ref="A2:A33"/>
    <mergeCell ref="B2:V2"/>
    <mergeCell ref="W2:W33"/>
    <mergeCell ref="B3:B32"/>
    <mergeCell ref="C3:U3"/>
    <mergeCell ref="V3:V32"/>
    <mergeCell ref="C4:U4"/>
    <mergeCell ref="C5:U5"/>
    <mergeCell ref="C6:U6"/>
    <mergeCell ref="B33:V33"/>
    <mergeCell ref="B34:V34"/>
    <mergeCell ref="C7:U7"/>
    <mergeCell ref="C8:U8"/>
    <mergeCell ref="C9:C10"/>
    <mergeCell ref="D9:D10"/>
    <mergeCell ref="E9:E10"/>
    <mergeCell ref="F9:U9"/>
  </mergeCells>
  <printOptions horizontalCentered="1"/>
  <pageMargins left="0" right="0" top="0" bottom="0" header="0" footer="0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Рейтингова 172</vt:lpstr>
      <vt:lpstr>Зведена 172</vt:lpstr>
      <vt:lpstr>Зведена 101</vt:lpstr>
      <vt:lpstr>Рейтингова 101</vt:lpstr>
      <vt:lpstr>Зведена 242</vt:lpstr>
      <vt:lpstr>'Зведена 101'!Область_печати</vt:lpstr>
      <vt:lpstr>'Зведена 172'!Область_печати</vt:lpstr>
      <vt:lpstr>'Зведена 242'!Область_печати</vt:lpstr>
      <vt:lpstr>'Рейтингова 101'!Область_печати</vt:lpstr>
      <vt:lpstr>'Рейтингова 172'!Область_печати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37063</dc:creator>
  <cp:lastModifiedBy>SURKOV</cp:lastModifiedBy>
  <cp:lastPrinted>2023-06-27T09:48:10Z</cp:lastPrinted>
  <dcterms:created xsi:type="dcterms:W3CDTF">2006-09-28T05:33:49Z</dcterms:created>
  <dcterms:modified xsi:type="dcterms:W3CDTF">2023-07-06T08:44:43Z</dcterms:modified>
</cp:coreProperties>
</file>