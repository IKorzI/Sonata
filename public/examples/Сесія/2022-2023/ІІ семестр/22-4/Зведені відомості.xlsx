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610" windowHeight="11640"/>
  </bookViews>
  <sheets>
    <sheet name="Зведена 141" sheetId="28" r:id="rId1"/>
    <sheet name="Рейтингова 141" sheetId="2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141'!$B$2:$V$46</definedName>
    <definedName name="_xlnm.Print_Area" localSheetId="1">'Рейтингова 141'!$B$2:$W$30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7" i="29" l="1"/>
  <c r="U16" i="29"/>
  <c r="V16" i="29" s="1"/>
  <c r="U20" i="29"/>
  <c r="V20" i="29" s="1"/>
  <c r="U23" i="29"/>
  <c r="V23" i="29" s="1"/>
  <c r="U25" i="29"/>
  <c r="V25" i="29" s="1"/>
  <c r="U21" i="29"/>
  <c r="V21" i="29" s="1"/>
  <c r="U19" i="29"/>
  <c r="V19" i="29" s="1"/>
  <c r="U11" i="29"/>
  <c r="V11" i="29" s="1"/>
  <c r="U22" i="29"/>
  <c r="V22" i="29" s="1"/>
  <c r="U15" i="29"/>
  <c r="V15" i="29" s="1"/>
  <c r="U13" i="29"/>
  <c r="V13" i="29" s="1"/>
  <c r="U14" i="29"/>
  <c r="V14" i="29" s="1"/>
  <c r="U24" i="29"/>
  <c r="V24" i="29" s="1"/>
  <c r="U18" i="29"/>
  <c r="V18" i="29" s="1"/>
  <c r="U12" i="29"/>
  <c r="V12" i="29" s="1"/>
  <c r="U36" i="28" l="1"/>
  <c r="U12" i="28"/>
  <c r="U13" i="28"/>
  <c r="U14" i="28"/>
  <c r="U15" i="28"/>
  <c r="U16" i="28"/>
  <c r="U17" i="28"/>
  <c r="G37" i="28"/>
  <c r="H37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G38" i="28"/>
  <c r="H38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F43" i="28"/>
  <c r="F42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F38" i="28"/>
  <c r="F37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1" i="28"/>
  <c r="U37" i="28" l="1"/>
  <c r="F41" i="28"/>
  <c r="F40" i="28"/>
</calcChain>
</file>

<file path=xl/sharedStrings.xml><?xml version="1.0" encoding="utf-8"?>
<sst xmlns="http://schemas.openxmlformats.org/spreadsheetml/2006/main" count="174" uniqueCount="71">
  <si>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</si>
  <si>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</si>
  <si>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</si>
  <si>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</si>
  <si>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</si>
  <si>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</si>
  <si>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</si>
  <si>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</si>
  <si>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</si>
  <si>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</si>
  <si>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</si>
  <si>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</si>
  <si>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</si>
  <si>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</si>
  <si>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</si>
  <si>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</si>
  <si>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</si>
  <si>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</si>
  <si>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</si>
  <si>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№
п/п</t>
  </si>
  <si>
    <t>Прізвище, ім’я, по батькові</t>
  </si>
  <si>
    <t>Бондаренко Олександр Іванович </t>
  </si>
  <si>
    <t>Бошков Дмитро Іванович </t>
  </si>
  <si>
    <t>Буюклі Андрій Іванович </t>
  </si>
  <si>
    <t>Вихристюк Данило Андрійович </t>
  </si>
  <si>
    <t>Гольц Ростислав Владиславович </t>
  </si>
  <si>
    <t>Дєнєв Євген Анатолійович </t>
  </si>
  <si>
    <t>Димитров Ярослав Іванович </t>
  </si>
  <si>
    <t>Зечу Петро Павлович </t>
  </si>
  <si>
    <t>Іванов Максим Олександрович </t>
  </si>
  <si>
    <t>Іоргачов Андрій Олександрович </t>
  </si>
  <si>
    <t>Казюк Максим Русланович </t>
  </si>
  <si>
    <t>Катранюк Павло Яковлевич </t>
  </si>
  <si>
    <t>Кищук Микола Валерійович </t>
  </si>
  <si>
    <t>Коваленко Дмитро Павлович </t>
  </si>
  <si>
    <t>Куценко Олексій Євгенович </t>
  </si>
  <si>
    <t>Носов Микола Васильович </t>
  </si>
  <si>
    <t>Остафійчук Максим Євгенович </t>
  </si>
  <si>
    <t>Плешко Станіслав Станіславович </t>
  </si>
  <si>
    <t>Сусло Владислав Володимирович </t>
  </si>
  <si>
    <t>Сухов Роман Дмитрович </t>
  </si>
  <si>
    <t>Сухоруков Василь Васильович </t>
  </si>
  <si>
    <t>Тевдорадзе Артем Гочайович </t>
  </si>
  <si>
    <t>Устименко Дмитро Ігорович   </t>
  </si>
  <si>
    <t>Шаманський Олексій Миколайович </t>
  </si>
  <si>
    <t>Шипук Олександр Олександрович </t>
  </si>
  <si>
    <t>Щуров Єгор Русланович  </t>
  </si>
  <si>
    <t>Б</t>
  </si>
  <si>
    <t>К</t>
  </si>
  <si>
    <t>Інформатика
Вівдіч М.І.</t>
  </si>
  <si>
    <t>Фізика
Калюта Н.М.</t>
  </si>
  <si>
    <t>Хімія
Леонова Д.І.</t>
  </si>
  <si>
    <t>ЗВЕДЕНА ВІДОМІСТЬ</t>
  </si>
  <si>
    <t>Тамара ЛЕВЧУК</t>
  </si>
  <si>
    <t>Група 22-4 курс І</t>
  </si>
  <si>
    <t>н/а</t>
  </si>
  <si>
    <t>н/a</t>
  </si>
  <si>
    <t>ЗУ
Лазар В.І.</t>
  </si>
  <si>
    <t>Іноземна мова
Нічик Н.О.</t>
  </si>
  <si>
    <t>Математика
Земляна Т.М.</t>
  </si>
  <si>
    <t>Українська література
Пруднікова Я.П.</t>
  </si>
  <si>
    <t>Фізична культура
Галеніна І.С.</t>
  </si>
  <si>
    <t>Підсумкові оцінки дисциплін</t>
  </si>
  <si>
    <t>Астрономія
Наговська Т.С.</t>
  </si>
  <si>
    <t>Українська мова
Пруднікова Я.П.</t>
  </si>
  <si>
    <t>РЕЙТИНГОВА ВІДОМІСТЬ</t>
  </si>
  <si>
    <t>Рейтинговий бал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</si>
  <si>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</si>
  <si>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</si>
  <si>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За ІI семестр 2022-2023 н.р.</t>
  </si>
  <si>
    <t>Успішності студентів спеціальності 141 «Електроенергетика, електротехніка та електромеханіка»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</si>
</sst>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8" fillId="0" borderId="1"/>
    <xf numFmtId="0" fontId="9" fillId="0" borderId="1"/>
    <xf numFmtId="0" fontId="9" fillId="0" borderId="1"/>
    <xf numFmtId="0" fontId="9" fillId="0" borderId="1"/>
    <xf numFmtId="0" fontId="2" fillId="0" borderId="1"/>
  </cellStyleXfs>
  <cellXfs count="43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8" fillId="5" borderId="1" xfId="23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left" vertical="center" wrapText="1"/>
    </xf>
    <xf numFmtId="0" fontId="3" fillId="4" borderId="2" xfId="5" applyNumberFormat="1" applyFont="1" applyFill="1" applyBorder="1" applyAlignment="1" applyProtection="1">
      <alignment horizontal="center" vertical="center"/>
      <protection locked="0"/>
    </xf>
    <xf numFmtId="2" fontId="3" fillId="4" borderId="2" xfId="5" applyNumberFormat="1" applyFont="1" applyFill="1" applyBorder="1" applyAlignment="1">
      <alignment horizontal="center" vertical="center"/>
    </xf>
    <xf numFmtId="2" fontId="3" fillId="5" borderId="2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3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7"/>
  <sheetViews>
    <sheetView tabSelected="1" topLeftCell="A10" zoomScaleNormal="100" workbookViewId="0">
      <selection activeCell="E14" sqref="E14"/>
    </sheetView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7" customFormat="1" ht="15" customHeight="1" x14ac:dyDescent="0.25">
      <c r="A3" s="30"/>
      <c r="B3" s="33"/>
      <c r="C3" s="33" t="s">
        <v>67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2"/>
    </row>
    <row r="4" spans="1:23" s="7" customFormat="1" ht="15" customHeight="1" x14ac:dyDescent="0.25">
      <c r="A4" s="30"/>
      <c r="B4" s="33"/>
      <c r="C4" s="33" t="s">
        <v>68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2"/>
    </row>
    <row r="5" spans="1:23" s="8" customFormat="1" ht="15" customHeight="1" x14ac:dyDescent="0.25">
      <c r="A5" s="30"/>
      <c r="B5" s="33"/>
      <c r="C5" s="34" t="s">
        <v>52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3"/>
      <c r="W5" s="32"/>
    </row>
    <row r="6" spans="1:23" s="7" customFormat="1" ht="15" customHeight="1" x14ac:dyDescent="0.25">
      <c r="A6" s="30"/>
      <c r="B6" s="33"/>
      <c r="C6" s="35" t="s">
        <v>70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3"/>
      <c r="W6" s="32"/>
    </row>
    <row r="7" spans="1:23" s="7" customFormat="1" ht="15" customHeight="1" x14ac:dyDescent="0.25">
      <c r="A7" s="30"/>
      <c r="B7" s="33"/>
      <c r="C7" s="35" t="s">
        <v>69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3"/>
      <c r="W7" s="32"/>
    </row>
    <row r="8" spans="1:23" s="7" customFormat="1" ht="15" customHeight="1" x14ac:dyDescent="0.25">
      <c r="A8" s="30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2"/>
    </row>
    <row r="9" spans="1:23" ht="15" customHeight="1" x14ac:dyDescent="0.25">
      <c r="A9" s="30"/>
      <c r="B9" s="33"/>
      <c r="C9" s="37" t="s">
        <v>0</v>
      </c>
      <c r="D9" s="39" t="s">
        <v>19</v>
      </c>
      <c r="E9" s="39" t="s">
        <v>20</v>
      </c>
      <c r="F9" s="40" t="s">
        <v>62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2"/>
      <c r="V9" s="33"/>
      <c r="W9" s="32"/>
    </row>
    <row r="10" spans="1:23" ht="125.1" customHeight="1" x14ac:dyDescent="0.25">
      <c r="A10" s="30"/>
      <c r="B10" s="33"/>
      <c r="C10" s="38"/>
      <c r="D10" s="38"/>
      <c r="E10" s="38"/>
      <c r="F10" s="3" t="s">
        <v>63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57</v>
      </c>
      <c r="L10" s="3" t="s">
        <v>58</v>
      </c>
      <c r="M10" s="3" t="s">
        <v>49</v>
      </c>
      <c r="N10" s="3" t="s">
        <v>4</v>
      </c>
      <c r="O10" s="3" t="s">
        <v>59</v>
      </c>
      <c r="P10" s="3" t="s">
        <v>60</v>
      </c>
      <c r="Q10" s="3" t="s">
        <v>64</v>
      </c>
      <c r="R10" s="3" t="s">
        <v>50</v>
      </c>
      <c r="S10" s="3" t="s">
        <v>61</v>
      </c>
      <c r="T10" s="3" t="s">
        <v>51</v>
      </c>
      <c r="U10" s="9" t="s">
        <v>6</v>
      </c>
      <c r="V10" s="33"/>
      <c r="W10" s="32"/>
    </row>
    <row r="11" spans="1:23" ht="15" customHeight="1" x14ac:dyDescent="0.25">
      <c r="A11" s="30"/>
      <c r="B11" s="33"/>
      <c r="C11" s="10" t="s">
        <v>48</v>
      </c>
      <c r="D11" s="10">
        <v>1</v>
      </c>
      <c r="E11" s="11" t="s">
        <v>21</v>
      </c>
      <c r="F11" s="12">
        <v>8</v>
      </c>
      <c r="G11" s="12">
        <v>4</v>
      </c>
      <c r="H11" s="12">
        <v>7</v>
      </c>
      <c r="I11" s="12">
        <v>4</v>
      </c>
      <c r="J11" s="12">
        <v>4</v>
      </c>
      <c r="K11" s="12">
        <v>4</v>
      </c>
      <c r="L11" s="12">
        <v>4</v>
      </c>
      <c r="M11" s="12">
        <v>5</v>
      </c>
      <c r="N11" s="12">
        <v>6</v>
      </c>
      <c r="O11" s="12">
        <v>4</v>
      </c>
      <c r="P11" s="12">
        <v>4</v>
      </c>
      <c r="Q11" s="12">
        <v>4</v>
      </c>
      <c r="R11" s="12">
        <v>5</v>
      </c>
      <c r="S11" s="12">
        <v>4</v>
      </c>
      <c r="T11" s="12">
        <v>8</v>
      </c>
      <c r="U11" s="1">
        <f>IF(COUNTIF(F11:T11,"=*")&gt;0,"-",IF(COUNTIF(F11:T11,"&lt;4")&gt;0,"-",(IFERROR(AVERAGE(F11:T11),""))))</f>
        <v>5</v>
      </c>
      <c r="V11" s="33"/>
      <c r="W11" s="32"/>
    </row>
    <row r="12" spans="1:23" ht="15" customHeight="1" x14ac:dyDescent="0.25">
      <c r="A12" s="30"/>
      <c r="B12" s="33"/>
      <c r="C12" s="10" t="s">
        <v>47</v>
      </c>
      <c r="D12" s="10">
        <v>2</v>
      </c>
      <c r="E12" s="11" t="s">
        <v>22</v>
      </c>
      <c r="F12" s="12">
        <v>10</v>
      </c>
      <c r="G12" s="12">
        <v>10</v>
      </c>
      <c r="H12" s="12">
        <v>10</v>
      </c>
      <c r="I12" s="12">
        <v>12</v>
      </c>
      <c r="J12" s="12">
        <v>11</v>
      </c>
      <c r="K12" s="12">
        <v>9</v>
      </c>
      <c r="L12" s="12">
        <v>10</v>
      </c>
      <c r="M12" s="12">
        <v>9</v>
      </c>
      <c r="N12" s="12">
        <v>10</v>
      </c>
      <c r="O12" s="12">
        <v>8</v>
      </c>
      <c r="P12" s="12">
        <v>11</v>
      </c>
      <c r="Q12" s="12">
        <v>10</v>
      </c>
      <c r="R12" s="12">
        <v>9</v>
      </c>
      <c r="S12" s="12">
        <v>11</v>
      </c>
      <c r="T12" s="12">
        <v>10</v>
      </c>
      <c r="U12" s="1">
        <f t="shared" ref="U12:U17" si="0">IF(COUNTIF(F12:T12,"=*")&gt;0,"-",IF(COUNTIF(F12:T12,"&lt;4")&gt;0,"-",(IFERROR(AVERAGE(F12:T12),""))))</f>
        <v>10</v>
      </c>
      <c r="V12" s="33"/>
      <c r="W12" s="32"/>
    </row>
    <row r="13" spans="1:23" ht="15" customHeight="1" x14ac:dyDescent="0.25">
      <c r="A13" s="30"/>
      <c r="B13" s="33"/>
      <c r="C13" s="10" t="s">
        <v>47</v>
      </c>
      <c r="D13" s="10">
        <v>3</v>
      </c>
      <c r="E13" s="11" t="s">
        <v>23</v>
      </c>
      <c r="F13" s="12">
        <v>10</v>
      </c>
      <c r="G13" s="12">
        <v>10</v>
      </c>
      <c r="H13" s="12">
        <v>8</v>
      </c>
      <c r="I13" s="12">
        <v>9</v>
      </c>
      <c r="J13" s="12">
        <v>9</v>
      </c>
      <c r="K13" s="12">
        <v>9</v>
      </c>
      <c r="L13" s="12">
        <v>11</v>
      </c>
      <c r="M13" s="12">
        <v>9</v>
      </c>
      <c r="N13" s="12">
        <v>9</v>
      </c>
      <c r="O13" s="12">
        <v>6</v>
      </c>
      <c r="P13" s="12">
        <v>6</v>
      </c>
      <c r="Q13" s="12">
        <v>7</v>
      </c>
      <c r="R13" s="12">
        <v>5</v>
      </c>
      <c r="S13" s="12">
        <v>11</v>
      </c>
      <c r="T13" s="12">
        <v>10</v>
      </c>
      <c r="U13" s="1">
        <f t="shared" si="0"/>
        <v>8.6</v>
      </c>
      <c r="V13" s="33"/>
      <c r="W13" s="32"/>
    </row>
    <row r="14" spans="1:23" ht="15" customHeight="1" x14ac:dyDescent="0.25">
      <c r="A14" s="30"/>
      <c r="B14" s="33"/>
      <c r="C14" s="10" t="s">
        <v>48</v>
      </c>
      <c r="D14" s="10">
        <v>4</v>
      </c>
      <c r="E14" s="11" t="s">
        <v>24</v>
      </c>
      <c r="F14" s="12">
        <v>6</v>
      </c>
      <c r="G14" s="12">
        <v>5</v>
      </c>
      <c r="H14" s="12">
        <v>8</v>
      </c>
      <c r="I14" s="12">
        <v>8</v>
      </c>
      <c r="J14" s="12">
        <v>4</v>
      </c>
      <c r="K14" s="12" t="s">
        <v>56</v>
      </c>
      <c r="L14" s="12">
        <v>4</v>
      </c>
      <c r="M14" s="12">
        <v>4</v>
      </c>
      <c r="N14" s="12">
        <v>5</v>
      </c>
      <c r="O14" s="12" t="s">
        <v>55</v>
      </c>
      <c r="P14" s="12">
        <v>4</v>
      </c>
      <c r="Q14" s="12">
        <v>4</v>
      </c>
      <c r="R14" s="12">
        <v>5</v>
      </c>
      <c r="S14" s="12">
        <v>5</v>
      </c>
      <c r="T14" s="12">
        <v>6</v>
      </c>
      <c r="U14" s="1" t="str">
        <f t="shared" si="0"/>
        <v>-</v>
      </c>
      <c r="V14" s="33"/>
      <c r="W14" s="32"/>
    </row>
    <row r="15" spans="1:23" ht="15" customHeight="1" x14ac:dyDescent="0.25">
      <c r="A15" s="30"/>
      <c r="B15" s="33"/>
      <c r="C15" s="10" t="s">
        <v>47</v>
      </c>
      <c r="D15" s="10">
        <v>5</v>
      </c>
      <c r="E15" s="11" t="s">
        <v>25</v>
      </c>
      <c r="F15" s="12">
        <v>8</v>
      </c>
      <c r="G15" s="12">
        <v>7</v>
      </c>
      <c r="H15" s="12">
        <v>10</v>
      </c>
      <c r="I15" s="12">
        <v>8</v>
      </c>
      <c r="J15" s="12">
        <v>4</v>
      </c>
      <c r="K15" s="12">
        <v>4</v>
      </c>
      <c r="L15" s="12">
        <v>4</v>
      </c>
      <c r="M15" s="12">
        <v>5</v>
      </c>
      <c r="N15" s="12">
        <v>6</v>
      </c>
      <c r="O15" s="12">
        <v>6</v>
      </c>
      <c r="P15" s="12">
        <v>4</v>
      </c>
      <c r="Q15" s="12">
        <v>4</v>
      </c>
      <c r="R15" s="12">
        <v>5</v>
      </c>
      <c r="S15" s="12">
        <v>5</v>
      </c>
      <c r="T15" s="12">
        <v>8</v>
      </c>
      <c r="U15" s="1">
        <f t="shared" si="0"/>
        <v>5.8666666666666663</v>
      </c>
      <c r="V15" s="33"/>
      <c r="W15" s="32"/>
    </row>
    <row r="16" spans="1:23" ht="15" customHeight="1" x14ac:dyDescent="0.25">
      <c r="A16" s="30"/>
      <c r="B16" s="33"/>
      <c r="C16" s="10" t="s">
        <v>48</v>
      </c>
      <c r="D16" s="10">
        <v>6</v>
      </c>
      <c r="E16" s="11" t="s">
        <v>26</v>
      </c>
      <c r="F16" s="12">
        <v>10</v>
      </c>
      <c r="G16" s="12">
        <v>7</v>
      </c>
      <c r="H16" s="12">
        <v>5</v>
      </c>
      <c r="I16" s="12">
        <v>7</v>
      </c>
      <c r="J16" s="12" t="s">
        <v>56</v>
      </c>
      <c r="K16" s="12">
        <v>7</v>
      </c>
      <c r="L16" s="12">
        <v>4</v>
      </c>
      <c r="M16" s="12">
        <v>6</v>
      </c>
      <c r="N16" s="12">
        <v>7</v>
      </c>
      <c r="O16" s="12">
        <v>4</v>
      </c>
      <c r="P16" s="12" t="s">
        <v>55</v>
      </c>
      <c r="Q16" s="12">
        <v>4</v>
      </c>
      <c r="R16" s="12">
        <v>5</v>
      </c>
      <c r="S16" s="12">
        <v>7</v>
      </c>
      <c r="T16" s="12">
        <v>7</v>
      </c>
      <c r="U16" s="1" t="str">
        <f t="shared" si="0"/>
        <v>-</v>
      </c>
      <c r="V16" s="33"/>
      <c r="W16" s="32"/>
    </row>
    <row r="17" spans="1:23" ht="15" customHeight="1" x14ac:dyDescent="0.25">
      <c r="A17" s="30"/>
      <c r="B17" s="33"/>
      <c r="C17" s="10" t="s">
        <v>47</v>
      </c>
      <c r="D17" s="10">
        <v>7</v>
      </c>
      <c r="E17" s="11" t="s">
        <v>27</v>
      </c>
      <c r="F17" s="12">
        <v>8</v>
      </c>
      <c r="G17" s="12">
        <v>7</v>
      </c>
      <c r="H17" s="12">
        <v>9</v>
      </c>
      <c r="I17" s="12">
        <v>8</v>
      </c>
      <c r="J17" s="12">
        <v>5</v>
      </c>
      <c r="K17" s="12">
        <v>7</v>
      </c>
      <c r="L17" s="12">
        <v>5</v>
      </c>
      <c r="M17" s="12">
        <v>8</v>
      </c>
      <c r="N17" s="12">
        <v>6</v>
      </c>
      <c r="O17" s="12">
        <v>4</v>
      </c>
      <c r="P17" s="12">
        <v>4</v>
      </c>
      <c r="Q17" s="12" t="s">
        <v>55</v>
      </c>
      <c r="R17" s="12">
        <v>5</v>
      </c>
      <c r="S17" s="12">
        <v>7</v>
      </c>
      <c r="T17" s="12">
        <v>9</v>
      </c>
      <c r="U17" s="1" t="str">
        <f t="shared" si="0"/>
        <v>-</v>
      </c>
      <c r="V17" s="33"/>
      <c r="W17" s="32"/>
    </row>
    <row r="18" spans="1:23" ht="15" customHeight="1" x14ac:dyDescent="0.25">
      <c r="A18" s="30"/>
      <c r="B18" s="33"/>
      <c r="C18" s="10" t="s">
        <v>47</v>
      </c>
      <c r="D18" s="10">
        <v>8</v>
      </c>
      <c r="E18" s="11" t="s">
        <v>28</v>
      </c>
      <c r="F18" s="12">
        <v>10</v>
      </c>
      <c r="G18" s="12">
        <v>9</v>
      </c>
      <c r="H18" s="12">
        <v>10</v>
      </c>
      <c r="I18" s="12">
        <v>10</v>
      </c>
      <c r="J18" s="12">
        <v>9</v>
      </c>
      <c r="K18" s="12">
        <v>10</v>
      </c>
      <c r="L18" s="12">
        <v>8</v>
      </c>
      <c r="M18" s="12">
        <v>9</v>
      </c>
      <c r="N18" s="12">
        <v>9</v>
      </c>
      <c r="O18" s="12">
        <v>11</v>
      </c>
      <c r="P18" s="12">
        <v>9</v>
      </c>
      <c r="Q18" s="12">
        <v>8</v>
      </c>
      <c r="R18" s="12">
        <v>10</v>
      </c>
      <c r="S18" s="12">
        <v>11</v>
      </c>
      <c r="T18" s="12">
        <v>10</v>
      </c>
      <c r="U18" s="1">
        <f t="shared" ref="U18:U35" si="1">IF(COUNTIF(F18:T18,"=*")&gt;0,"-",IF(COUNTIF(F18:T18,"&lt;4")&gt;0,"-",(IFERROR(AVERAGE(F18:T18),""))))</f>
        <v>9.5333333333333332</v>
      </c>
      <c r="V18" s="33"/>
      <c r="W18" s="32"/>
    </row>
    <row r="19" spans="1:23" ht="15" customHeight="1" x14ac:dyDescent="0.25">
      <c r="A19" s="30"/>
      <c r="B19" s="33"/>
      <c r="C19" s="10" t="s">
        <v>47</v>
      </c>
      <c r="D19" s="10">
        <v>9</v>
      </c>
      <c r="E19" s="11" t="s">
        <v>29</v>
      </c>
      <c r="F19" s="12">
        <v>10</v>
      </c>
      <c r="G19" s="12">
        <v>10</v>
      </c>
      <c r="H19" s="12">
        <v>10</v>
      </c>
      <c r="I19" s="12">
        <v>10</v>
      </c>
      <c r="J19" s="12">
        <v>11</v>
      </c>
      <c r="K19" s="12">
        <v>9</v>
      </c>
      <c r="L19" s="12">
        <v>10</v>
      </c>
      <c r="M19" s="12">
        <v>9</v>
      </c>
      <c r="N19" s="12">
        <v>9</v>
      </c>
      <c r="O19" s="12">
        <v>8</v>
      </c>
      <c r="P19" s="12">
        <v>11</v>
      </c>
      <c r="Q19" s="12">
        <v>10</v>
      </c>
      <c r="R19" s="12">
        <v>9</v>
      </c>
      <c r="S19" s="12">
        <v>10</v>
      </c>
      <c r="T19" s="12">
        <v>8</v>
      </c>
      <c r="U19" s="1">
        <f t="shared" si="1"/>
        <v>9.6</v>
      </c>
      <c r="V19" s="33"/>
      <c r="W19" s="32"/>
    </row>
    <row r="20" spans="1:23" ht="15" customHeight="1" x14ac:dyDescent="0.25">
      <c r="A20" s="30"/>
      <c r="B20" s="33"/>
      <c r="C20" s="10" t="s">
        <v>47</v>
      </c>
      <c r="D20" s="10">
        <v>10</v>
      </c>
      <c r="E20" s="11" t="s">
        <v>30</v>
      </c>
      <c r="F20" s="12">
        <v>10</v>
      </c>
      <c r="G20" s="12">
        <v>11</v>
      </c>
      <c r="H20" s="12">
        <v>10</v>
      </c>
      <c r="I20" s="12">
        <v>9</v>
      </c>
      <c r="J20" s="12">
        <v>10</v>
      </c>
      <c r="K20" s="12">
        <v>10</v>
      </c>
      <c r="L20" s="12">
        <v>10</v>
      </c>
      <c r="M20" s="12">
        <v>9</v>
      </c>
      <c r="N20" s="12">
        <v>9</v>
      </c>
      <c r="O20" s="12">
        <v>7</v>
      </c>
      <c r="P20" s="12">
        <v>9</v>
      </c>
      <c r="Q20" s="12">
        <v>9</v>
      </c>
      <c r="R20" s="12">
        <v>8</v>
      </c>
      <c r="S20" s="12">
        <v>11</v>
      </c>
      <c r="T20" s="12">
        <v>8</v>
      </c>
      <c r="U20" s="1">
        <f t="shared" si="1"/>
        <v>9.3333333333333339</v>
      </c>
      <c r="V20" s="33"/>
      <c r="W20" s="32"/>
    </row>
    <row r="21" spans="1:23" ht="15" customHeight="1" x14ac:dyDescent="0.25">
      <c r="A21" s="30"/>
      <c r="B21" s="33"/>
      <c r="C21" s="10" t="s">
        <v>47</v>
      </c>
      <c r="D21" s="10">
        <v>11</v>
      </c>
      <c r="E21" s="11" t="s">
        <v>31</v>
      </c>
      <c r="F21" s="12">
        <v>8</v>
      </c>
      <c r="G21" s="12">
        <v>6</v>
      </c>
      <c r="H21" s="12">
        <v>8</v>
      </c>
      <c r="I21" s="12">
        <v>7</v>
      </c>
      <c r="J21" s="12">
        <v>5</v>
      </c>
      <c r="K21" s="12">
        <v>8</v>
      </c>
      <c r="L21" s="12">
        <v>6</v>
      </c>
      <c r="M21" s="12">
        <v>7</v>
      </c>
      <c r="N21" s="12">
        <v>5</v>
      </c>
      <c r="O21" s="12">
        <v>5</v>
      </c>
      <c r="P21" s="12">
        <v>5</v>
      </c>
      <c r="Q21" s="12">
        <v>4</v>
      </c>
      <c r="R21" s="12">
        <v>4</v>
      </c>
      <c r="S21" s="12">
        <v>10</v>
      </c>
      <c r="T21" s="12">
        <v>5</v>
      </c>
      <c r="U21" s="1">
        <f t="shared" si="1"/>
        <v>6.2</v>
      </c>
      <c r="V21" s="33"/>
      <c r="W21" s="32"/>
    </row>
    <row r="22" spans="1:23" ht="15" customHeight="1" x14ac:dyDescent="0.25">
      <c r="A22" s="30"/>
      <c r="B22" s="33"/>
      <c r="C22" s="10" t="s">
        <v>47</v>
      </c>
      <c r="D22" s="10">
        <v>12</v>
      </c>
      <c r="E22" s="11" t="s">
        <v>32</v>
      </c>
      <c r="F22" s="12">
        <v>4</v>
      </c>
      <c r="G22" s="12">
        <v>4</v>
      </c>
      <c r="H22" s="12">
        <v>5</v>
      </c>
      <c r="I22" s="12">
        <v>7</v>
      </c>
      <c r="J22" s="12">
        <v>4</v>
      </c>
      <c r="K22" s="12" t="s">
        <v>56</v>
      </c>
      <c r="L22" s="12">
        <v>4</v>
      </c>
      <c r="M22" s="12">
        <v>5</v>
      </c>
      <c r="N22" s="12">
        <v>5</v>
      </c>
      <c r="O22" s="12" t="s">
        <v>55</v>
      </c>
      <c r="P22" s="12">
        <v>4</v>
      </c>
      <c r="Q22" s="12">
        <v>4</v>
      </c>
      <c r="R22" s="12" t="s">
        <v>55</v>
      </c>
      <c r="S22" s="12">
        <v>8</v>
      </c>
      <c r="T22" s="12">
        <v>6</v>
      </c>
      <c r="U22" s="1" t="str">
        <f t="shared" si="1"/>
        <v>-</v>
      </c>
      <c r="V22" s="33"/>
      <c r="W22" s="32"/>
    </row>
    <row r="23" spans="1:23" ht="15" customHeight="1" x14ac:dyDescent="0.25">
      <c r="A23" s="30"/>
      <c r="B23" s="33"/>
      <c r="C23" s="10" t="s">
        <v>47</v>
      </c>
      <c r="D23" s="10">
        <v>13</v>
      </c>
      <c r="E23" s="11" t="s">
        <v>33</v>
      </c>
      <c r="F23" s="12">
        <v>7</v>
      </c>
      <c r="G23" s="12">
        <v>7</v>
      </c>
      <c r="H23" s="12">
        <v>8</v>
      </c>
      <c r="I23" s="12">
        <v>8</v>
      </c>
      <c r="J23" s="12">
        <v>4</v>
      </c>
      <c r="K23" s="12" t="s">
        <v>56</v>
      </c>
      <c r="L23" s="12">
        <v>4</v>
      </c>
      <c r="M23" s="12">
        <v>7</v>
      </c>
      <c r="N23" s="12">
        <v>5</v>
      </c>
      <c r="O23" s="12">
        <v>4</v>
      </c>
      <c r="P23" s="12">
        <v>4</v>
      </c>
      <c r="Q23" s="12">
        <v>4</v>
      </c>
      <c r="R23" s="12" t="s">
        <v>55</v>
      </c>
      <c r="S23" s="12">
        <v>10</v>
      </c>
      <c r="T23" s="12">
        <v>5</v>
      </c>
      <c r="U23" s="1" t="str">
        <f t="shared" si="1"/>
        <v>-</v>
      </c>
      <c r="V23" s="33"/>
      <c r="W23" s="32"/>
    </row>
    <row r="24" spans="1:23" ht="15" customHeight="1" x14ac:dyDescent="0.25">
      <c r="A24" s="30"/>
      <c r="B24" s="33"/>
      <c r="C24" s="10" t="s">
        <v>47</v>
      </c>
      <c r="D24" s="10">
        <v>14</v>
      </c>
      <c r="E24" s="11" t="s">
        <v>34</v>
      </c>
      <c r="F24" s="12">
        <v>10</v>
      </c>
      <c r="G24" s="12">
        <v>11</v>
      </c>
      <c r="H24" s="12">
        <v>10</v>
      </c>
      <c r="I24" s="12">
        <v>12</v>
      </c>
      <c r="J24" s="12">
        <v>11</v>
      </c>
      <c r="K24" s="12">
        <v>9</v>
      </c>
      <c r="L24" s="12">
        <v>11</v>
      </c>
      <c r="M24" s="12">
        <v>10</v>
      </c>
      <c r="N24" s="12">
        <v>11</v>
      </c>
      <c r="O24" s="12">
        <v>9</v>
      </c>
      <c r="P24" s="12">
        <v>11</v>
      </c>
      <c r="Q24" s="12">
        <v>10</v>
      </c>
      <c r="R24" s="12">
        <v>8</v>
      </c>
      <c r="S24" s="12">
        <v>10</v>
      </c>
      <c r="T24" s="12">
        <v>11</v>
      </c>
      <c r="U24" s="1">
        <f t="shared" si="1"/>
        <v>10.266666666666667</v>
      </c>
      <c r="V24" s="33"/>
      <c r="W24" s="32"/>
    </row>
    <row r="25" spans="1:23" ht="15" customHeight="1" x14ac:dyDescent="0.25">
      <c r="A25" s="30"/>
      <c r="B25" s="33"/>
      <c r="C25" s="10" t="s">
        <v>47</v>
      </c>
      <c r="D25" s="10">
        <v>15</v>
      </c>
      <c r="E25" s="11" t="s">
        <v>35</v>
      </c>
      <c r="F25" s="12">
        <v>9</v>
      </c>
      <c r="G25" s="12">
        <v>5</v>
      </c>
      <c r="H25" s="12">
        <v>10</v>
      </c>
      <c r="I25" s="12">
        <v>10</v>
      </c>
      <c r="J25" s="12">
        <v>9</v>
      </c>
      <c r="K25" s="12">
        <v>6</v>
      </c>
      <c r="L25" s="12">
        <v>8</v>
      </c>
      <c r="M25" s="12">
        <v>8</v>
      </c>
      <c r="N25" s="12">
        <v>9</v>
      </c>
      <c r="O25" s="12">
        <v>9</v>
      </c>
      <c r="P25" s="12">
        <v>9</v>
      </c>
      <c r="Q25" s="12">
        <v>8</v>
      </c>
      <c r="R25" s="12">
        <v>7</v>
      </c>
      <c r="S25" s="12">
        <v>10</v>
      </c>
      <c r="T25" s="12">
        <v>10</v>
      </c>
      <c r="U25" s="1">
        <f t="shared" si="1"/>
        <v>8.4666666666666668</v>
      </c>
      <c r="V25" s="33"/>
      <c r="W25" s="32"/>
    </row>
    <row r="26" spans="1:23" ht="15" customHeight="1" x14ac:dyDescent="0.25">
      <c r="A26" s="30"/>
      <c r="B26" s="33"/>
      <c r="C26" s="10" t="s">
        <v>47</v>
      </c>
      <c r="D26" s="10">
        <v>16</v>
      </c>
      <c r="E26" s="11" t="s">
        <v>36</v>
      </c>
      <c r="F26" s="12">
        <v>9</v>
      </c>
      <c r="G26" s="12">
        <v>10</v>
      </c>
      <c r="H26" s="12">
        <v>9</v>
      </c>
      <c r="I26" s="12">
        <v>8</v>
      </c>
      <c r="J26" s="12">
        <v>4</v>
      </c>
      <c r="K26" s="12">
        <v>7</v>
      </c>
      <c r="L26" s="12">
        <v>7</v>
      </c>
      <c r="M26" s="12">
        <v>5</v>
      </c>
      <c r="N26" s="12">
        <v>6</v>
      </c>
      <c r="O26" s="12">
        <v>4</v>
      </c>
      <c r="P26" s="12">
        <v>4</v>
      </c>
      <c r="Q26" s="12">
        <v>4</v>
      </c>
      <c r="R26" s="12">
        <v>5</v>
      </c>
      <c r="S26" s="12">
        <v>11</v>
      </c>
      <c r="T26" s="12">
        <v>7</v>
      </c>
      <c r="U26" s="1">
        <f t="shared" si="1"/>
        <v>6.666666666666667</v>
      </c>
      <c r="V26" s="33"/>
      <c r="W26" s="32"/>
    </row>
    <row r="27" spans="1:23" ht="15" customHeight="1" x14ac:dyDescent="0.25">
      <c r="A27" s="30"/>
      <c r="B27" s="33"/>
      <c r="C27" s="10" t="s">
        <v>47</v>
      </c>
      <c r="D27" s="10">
        <v>17</v>
      </c>
      <c r="E27" s="11" t="s">
        <v>37</v>
      </c>
      <c r="F27" s="12">
        <v>7</v>
      </c>
      <c r="G27" s="12">
        <v>5</v>
      </c>
      <c r="H27" s="12">
        <v>9</v>
      </c>
      <c r="I27" s="12">
        <v>8</v>
      </c>
      <c r="J27" s="12">
        <v>4</v>
      </c>
      <c r="K27" s="12">
        <v>4</v>
      </c>
      <c r="L27" s="12">
        <v>8</v>
      </c>
      <c r="M27" s="12">
        <v>6</v>
      </c>
      <c r="N27" s="12">
        <v>6</v>
      </c>
      <c r="O27" s="12">
        <v>4</v>
      </c>
      <c r="P27" s="12">
        <v>4</v>
      </c>
      <c r="Q27" s="12">
        <v>4</v>
      </c>
      <c r="R27" s="12">
        <v>4</v>
      </c>
      <c r="S27" s="12">
        <v>5</v>
      </c>
      <c r="T27" s="12">
        <v>5</v>
      </c>
      <c r="U27" s="1">
        <f t="shared" si="1"/>
        <v>5.5333333333333332</v>
      </c>
      <c r="V27" s="33"/>
      <c r="W27" s="32"/>
    </row>
    <row r="28" spans="1:23" ht="15" customHeight="1" x14ac:dyDescent="0.25">
      <c r="A28" s="30"/>
      <c r="B28" s="33"/>
      <c r="C28" s="10" t="s">
        <v>48</v>
      </c>
      <c r="D28" s="10">
        <v>18</v>
      </c>
      <c r="E28" s="11" t="s">
        <v>38</v>
      </c>
      <c r="F28" s="12">
        <v>8</v>
      </c>
      <c r="G28" s="12">
        <v>8</v>
      </c>
      <c r="H28" s="12">
        <v>8</v>
      </c>
      <c r="I28" s="12">
        <v>12</v>
      </c>
      <c r="J28" s="12">
        <v>4</v>
      </c>
      <c r="K28" s="12">
        <v>7</v>
      </c>
      <c r="L28" s="12">
        <v>4</v>
      </c>
      <c r="M28" s="12">
        <v>4</v>
      </c>
      <c r="N28" s="12">
        <v>6</v>
      </c>
      <c r="O28" s="12">
        <v>4</v>
      </c>
      <c r="P28" s="12">
        <v>4</v>
      </c>
      <c r="Q28" s="12">
        <v>4</v>
      </c>
      <c r="R28" s="12">
        <v>4</v>
      </c>
      <c r="S28" s="12">
        <v>6</v>
      </c>
      <c r="T28" s="12">
        <v>8</v>
      </c>
      <c r="U28" s="1">
        <f t="shared" si="1"/>
        <v>6.0666666666666664</v>
      </c>
      <c r="V28" s="33"/>
      <c r="W28" s="32"/>
    </row>
    <row r="29" spans="1:23" ht="15" customHeight="1" x14ac:dyDescent="0.25">
      <c r="A29" s="30"/>
      <c r="B29" s="33"/>
      <c r="C29" s="10" t="s">
        <v>47</v>
      </c>
      <c r="D29" s="10">
        <v>19</v>
      </c>
      <c r="E29" s="11" t="s">
        <v>39</v>
      </c>
      <c r="F29" s="12">
        <v>9</v>
      </c>
      <c r="G29" s="12">
        <v>5</v>
      </c>
      <c r="H29" s="12">
        <v>7</v>
      </c>
      <c r="I29" s="12">
        <v>8</v>
      </c>
      <c r="J29" s="12">
        <v>5</v>
      </c>
      <c r="K29" s="12">
        <v>7</v>
      </c>
      <c r="L29" s="12">
        <v>5</v>
      </c>
      <c r="M29" s="12">
        <v>6</v>
      </c>
      <c r="N29" s="12">
        <v>7</v>
      </c>
      <c r="O29" s="12">
        <v>4</v>
      </c>
      <c r="P29" s="12">
        <v>4</v>
      </c>
      <c r="Q29" s="12">
        <v>5</v>
      </c>
      <c r="R29" s="12">
        <v>7</v>
      </c>
      <c r="S29" s="12">
        <v>5</v>
      </c>
      <c r="T29" s="12">
        <v>7</v>
      </c>
      <c r="U29" s="1">
        <f t="shared" si="1"/>
        <v>6.0666666666666664</v>
      </c>
      <c r="V29" s="33"/>
      <c r="W29" s="32"/>
    </row>
    <row r="30" spans="1:23" ht="15" customHeight="1" x14ac:dyDescent="0.25">
      <c r="A30" s="30"/>
      <c r="B30" s="33"/>
      <c r="C30" s="10" t="s">
        <v>48</v>
      </c>
      <c r="D30" s="10">
        <v>20</v>
      </c>
      <c r="E30" s="11" t="s">
        <v>40</v>
      </c>
      <c r="F30" s="12">
        <v>8</v>
      </c>
      <c r="G30" s="12">
        <v>5</v>
      </c>
      <c r="H30" s="12">
        <v>7</v>
      </c>
      <c r="I30" s="12">
        <v>8</v>
      </c>
      <c r="J30" s="12">
        <v>8</v>
      </c>
      <c r="K30" s="12">
        <v>4</v>
      </c>
      <c r="L30" s="12">
        <v>5</v>
      </c>
      <c r="M30" s="12">
        <v>5</v>
      </c>
      <c r="N30" s="12">
        <v>5</v>
      </c>
      <c r="O30" s="12">
        <v>4</v>
      </c>
      <c r="P30" s="12">
        <v>4</v>
      </c>
      <c r="Q30" s="12">
        <v>4</v>
      </c>
      <c r="R30" s="12" t="s">
        <v>55</v>
      </c>
      <c r="S30" s="12">
        <v>8</v>
      </c>
      <c r="T30" s="12">
        <v>8</v>
      </c>
      <c r="U30" s="1" t="str">
        <f t="shared" si="1"/>
        <v>-</v>
      </c>
      <c r="V30" s="33"/>
      <c r="W30" s="32"/>
    </row>
    <row r="31" spans="1:23" ht="15" customHeight="1" x14ac:dyDescent="0.25">
      <c r="A31" s="30"/>
      <c r="B31" s="33"/>
      <c r="C31" s="10" t="s">
        <v>47</v>
      </c>
      <c r="D31" s="10">
        <v>21</v>
      </c>
      <c r="E31" s="11" t="s">
        <v>41</v>
      </c>
      <c r="F31" s="12">
        <v>9</v>
      </c>
      <c r="G31" s="12">
        <v>8</v>
      </c>
      <c r="H31" s="12">
        <v>8</v>
      </c>
      <c r="I31" s="12">
        <v>8</v>
      </c>
      <c r="J31" s="12">
        <v>8</v>
      </c>
      <c r="K31" s="12">
        <v>7</v>
      </c>
      <c r="L31" s="12">
        <v>6</v>
      </c>
      <c r="M31" s="12">
        <v>8</v>
      </c>
      <c r="N31" s="12">
        <v>8</v>
      </c>
      <c r="O31" s="12">
        <v>7</v>
      </c>
      <c r="P31" s="12">
        <v>8</v>
      </c>
      <c r="Q31" s="12">
        <v>8</v>
      </c>
      <c r="R31" s="12">
        <v>7</v>
      </c>
      <c r="S31" s="12">
        <v>7</v>
      </c>
      <c r="T31" s="12">
        <v>7</v>
      </c>
      <c r="U31" s="1">
        <f t="shared" si="1"/>
        <v>7.6</v>
      </c>
      <c r="V31" s="33"/>
      <c r="W31" s="32"/>
    </row>
    <row r="32" spans="1:23" ht="15" customHeight="1" x14ac:dyDescent="0.25">
      <c r="A32" s="30"/>
      <c r="B32" s="33"/>
      <c r="C32" s="10" t="s">
        <v>47</v>
      </c>
      <c r="D32" s="10">
        <v>22</v>
      </c>
      <c r="E32" s="11" t="s">
        <v>42</v>
      </c>
      <c r="F32" s="12">
        <v>10</v>
      </c>
      <c r="G32" s="12">
        <v>10</v>
      </c>
      <c r="H32" s="12">
        <v>8</v>
      </c>
      <c r="I32" s="12">
        <v>12</v>
      </c>
      <c r="J32" s="12">
        <v>11</v>
      </c>
      <c r="K32" s="12">
        <v>8</v>
      </c>
      <c r="L32" s="12">
        <v>10</v>
      </c>
      <c r="M32" s="12">
        <v>5</v>
      </c>
      <c r="N32" s="12">
        <v>10</v>
      </c>
      <c r="O32" s="12">
        <v>6</v>
      </c>
      <c r="P32" s="12">
        <v>11</v>
      </c>
      <c r="Q32" s="12">
        <v>10</v>
      </c>
      <c r="R32" s="12">
        <v>8</v>
      </c>
      <c r="S32" s="12">
        <v>9</v>
      </c>
      <c r="T32" s="12">
        <v>8</v>
      </c>
      <c r="U32" s="1">
        <f t="shared" si="1"/>
        <v>9.0666666666666664</v>
      </c>
      <c r="V32" s="33"/>
      <c r="W32" s="32"/>
    </row>
    <row r="33" spans="1:24" ht="15" customHeight="1" x14ac:dyDescent="0.25">
      <c r="A33" s="30"/>
      <c r="B33" s="33"/>
      <c r="C33" s="10" t="s">
        <v>48</v>
      </c>
      <c r="D33" s="10">
        <v>23</v>
      </c>
      <c r="E33" s="11" t="s">
        <v>43</v>
      </c>
      <c r="F33" s="12">
        <v>9</v>
      </c>
      <c r="G33" s="12">
        <v>8</v>
      </c>
      <c r="H33" s="12">
        <v>9</v>
      </c>
      <c r="I33" s="12">
        <v>10</v>
      </c>
      <c r="J33" s="12">
        <v>8</v>
      </c>
      <c r="K33" s="12">
        <v>4</v>
      </c>
      <c r="L33" s="12">
        <v>7</v>
      </c>
      <c r="M33" s="12">
        <v>10</v>
      </c>
      <c r="N33" s="12">
        <v>7</v>
      </c>
      <c r="O33" s="12">
        <v>5</v>
      </c>
      <c r="P33" s="12">
        <v>8</v>
      </c>
      <c r="Q33" s="12">
        <v>7</v>
      </c>
      <c r="R33" s="12">
        <v>4</v>
      </c>
      <c r="S33" s="12">
        <v>10</v>
      </c>
      <c r="T33" s="12">
        <v>8</v>
      </c>
      <c r="U33" s="1">
        <f t="shared" si="1"/>
        <v>7.6</v>
      </c>
      <c r="V33" s="33"/>
      <c r="W33" s="32"/>
    </row>
    <row r="34" spans="1:24" ht="15" customHeight="1" x14ac:dyDescent="0.25">
      <c r="A34" s="30"/>
      <c r="B34" s="33"/>
      <c r="C34" s="10" t="s">
        <v>48</v>
      </c>
      <c r="D34" s="10">
        <v>24</v>
      </c>
      <c r="E34" s="11" t="s">
        <v>44</v>
      </c>
      <c r="F34" s="12">
        <v>4</v>
      </c>
      <c r="G34" s="12">
        <v>4</v>
      </c>
      <c r="H34" s="12">
        <v>5</v>
      </c>
      <c r="I34" s="12">
        <v>4</v>
      </c>
      <c r="J34" s="12" t="s">
        <v>56</v>
      </c>
      <c r="K34" s="12" t="s">
        <v>56</v>
      </c>
      <c r="L34" s="12">
        <v>5</v>
      </c>
      <c r="M34" s="12" t="s">
        <v>55</v>
      </c>
      <c r="N34" s="12">
        <v>5</v>
      </c>
      <c r="O34" s="12">
        <v>4</v>
      </c>
      <c r="P34" s="12" t="s">
        <v>55</v>
      </c>
      <c r="Q34" s="12" t="s">
        <v>55</v>
      </c>
      <c r="R34" s="12">
        <v>5</v>
      </c>
      <c r="S34" s="12">
        <v>4</v>
      </c>
      <c r="T34" s="12">
        <v>8</v>
      </c>
      <c r="U34" s="1" t="str">
        <f t="shared" si="1"/>
        <v>-</v>
      </c>
      <c r="V34" s="33"/>
      <c r="W34" s="32"/>
    </row>
    <row r="35" spans="1:24" ht="15" customHeight="1" x14ac:dyDescent="0.25">
      <c r="A35" s="30"/>
      <c r="B35" s="33"/>
      <c r="C35" s="10" t="s">
        <v>48</v>
      </c>
      <c r="D35" s="10">
        <v>25</v>
      </c>
      <c r="E35" s="11" t="s">
        <v>45</v>
      </c>
      <c r="F35" s="12">
        <v>4</v>
      </c>
      <c r="G35" s="12">
        <v>5</v>
      </c>
      <c r="H35" s="12">
        <v>5</v>
      </c>
      <c r="I35" s="12">
        <v>4</v>
      </c>
      <c r="J35" s="12">
        <v>4</v>
      </c>
      <c r="K35" s="12" t="s">
        <v>56</v>
      </c>
      <c r="L35" s="12">
        <v>4</v>
      </c>
      <c r="M35" s="12">
        <v>4</v>
      </c>
      <c r="N35" s="12">
        <v>5</v>
      </c>
      <c r="O35" s="12">
        <v>4</v>
      </c>
      <c r="P35" s="12">
        <v>4</v>
      </c>
      <c r="Q35" s="12">
        <v>4</v>
      </c>
      <c r="R35" s="12" t="s">
        <v>55</v>
      </c>
      <c r="S35" s="12">
        <v>5</v>
      </c>
      <c r="T35" s="12">
        <v>6</v>
      </c>
      <c r="U35" s="1" t="str">
        <f t="shared" si="1"/>
        <v>-</v>
      </c>
      <c r="V35" s="33"/>
      <c r="W35" s="32"/>
    </row>
    <row r="36" spans="1:24" ht="15" customHeight="1" x14ac:dyDescent="0.25">
      <c r="A36" s="30"/>
      <c r="B36" s="33"/>
      <c r="C36" s="10" t="s">
        <v>47</v>
      </c>
      <c r="D36" s="10">
        <v>26</v>
      </c>
      <c r="E36" s="11" t="s">
        <v>46</v>
      </c>
      <c r="F36" s="12">
        <v>9</v>
      </c>
      <c r="G36" s="12">
        <v>9</v>
      </c>
      <c r="H36" s="12">
        <v>10</v>
      </c>
      <c r="I36" s="12">
        <v>8</v>
      </c>
      <c r="J36" s="12">
        <v>6</v>
      </c>
      <c r="K36" s="12">
        <v>8</v>
      </c>
      <c r="L36" s="12">
        <v>10</v>
      </c>
      <c r="M36" s="12">
        <v>10</v>
      </c>
      <c r="N36" s="12">
        <v>9</v>
      </c>
      <c r="O36" s="12">
        <v>7</v>
      </c>
      <c r="P36" s="12">
        <v>6</v>
      </c>
      <c r="Q36" s="12">
        <v>7</v>
      </c>
      <c r="R36" s="12">
        <v>9</v>
      </c>
      <c r="S36" s="12">
        <v>11</v>
      </c>
      <c r="T36" s="12">
        <v>10</v>
      </c>
      <c r="U36" s="1">
        <f t="shared" ref="U36" si="2">IF(COUNTIF(F36:T36,"=*")&gt;0,"-",IF(COUNTIF(F36:T36,"&lt;4")&gt;0,"-",(IFERROR(AVERAGE(F36:T36),""))))</f>
        <v>8.6</v>
      </c>
      <c r="V36" s="33"/>
      <c r="W36" s="32"/>
    </row>
    <row r="37" spans="1:24" ht="15" customHeight="1" x14ac:dyDescent="0.25">
      <c r="A37" s="30"/>
      <c r="B37" s="33"/>
      <c r="C37" s="13"/>
      <c r="D37" s="13"/>
      <c r="E37" s="11" t="s">
        <v>7</v>
      </c>
      <c r="F37" s="2">
        <f>IF(SUM(F11:F36)=0,"",SUM(F11:F36)/D36)</f>
        <v>8.2307692307692299</v>
      </c>
      <c r="G37" s="2">
        <f>IF(SUM(G11:G36)=0,"",SUM(G11:G36)/D36)</f>
        <v>7.3076923076923075</v>
      </c>
      <c r="H37" s="2">
        <f>IF(SUM(H11:H36)=0,"",SUM(H11:H36)/D36)</f>
        <v>8.1923076923076916</v>
      </c>
      <c r="I37" s="2">
        <f>IF(SUM(I11:I36)=0,"",SUM(I11:I36)/D36)</f>
        <v>8.4230769230769234</v>
      </c>
      <c r="J37" s="2">
        <f>IF(SUM(J11:J36)=0,"",SUM(J11:J36)/D36)</f>
        <v>6.2307692307692308</v>
      </c>
      <c r="K37" s="2">
        <f>IF(SUM(K11:K36)=0,"",SUM(K11:K36)/D36)</f>
        <v>5.6923076923076925</v>
      </c>
      <c r="L37" s="2">
        <f>IF(SUM(L11:L36)=0,"",SUM(L11:L36)/D36)</f>
        <v>6.6923076923076925</v>
      </c>
      <c r="M37" s="2">
        <f>IF(SUM(M11:M36)=0,"",SUM(M11:M36)/D36)</f>
        <v>6.6538461538461542</v>
      </c>
      <c r="N37" s="2">
        <f>IF(SUM(N11:N36)=0,"",SUM(N11:N36)/D36)</f>
        <v>7.115384615384615</v>
      </c>
      <c r="O37" s="2">
        <f>IF(SUM(O11:O36)=0,"",SUM(O11:O36)/D36)</f>
        <v>5.3076923076923075</v>
      </c>
      <c r="P37" s="2">
        <f>IF(SUM(P11:P36)=0,"",SUM(P11:P36)/D36)</f>
        <v>5.8461538461538458</v>
      </c>
      <c r="Q37" s="2">
        <f>IF(SUM(Q11:Q36)=0,"",SUM(Q11:Q36)/D36)</f>
        <v>5.6538461538461542</v>
      </c>
      <c r="R37" s="2">
        <f>IF(SUM(R11:R36)=0,"",SUM(R11:R36)/D36)</f>
        <v>5.3076923076923075</v>
      </c>
      <c r="S37" s="2">
        <f>IF(SUM(S11:S36)=0,"",SUM(S11:S36)/D36)</f>
        <v>8.115384615384615</v>
      </c>
      <c r="T37" s="2">
        <f>IF(SUM(T11:T36)=0,"",SUM(T11:T36)/D36)</f>
        <v>7.8076923076923075</v>
      </c>
      <c r="U37" s="1">
        <f>IFERROR(AVERAGE(F37:T37),"")</f>
        <v>6.8384615384615381</v>
      </c>
      <c r="V37" s="33"/>
      <c r="W37" s="32"/>
    </row>
    <row r="38" spans="1:24" ht="15" customHeight="1" x14ac:dyDescent="0.25">
      <c r="A38" s="30"/>
      <c r="B38" s="33"/>
      <c r="C38" s="13"/>
      <c r="D38" s="13"/>
      <c r="E38" s="11" t="s">
        <v>8</v>
      </c>
      <c r="F38" s="4">
        <f>IF(SUM(F11:F36)=0,"",IF(COUNTIF(F11:F36,"&gt;=4")=0,0,COUNTIF(F11:F36,"&gt;=4")/D36*100))</f>
        <v>100</v>
      </c>
      <c r="G38" s="4">
        <f>IF(SUM(G11:G36)=0,"",IF(COUNTIF(G11:G36,"&gt;=4")=0,0,COUNTIF(G11:G36,"&gt;=4")/D36*100))</f>
        <v>100</v>
      </c>
      <c r="H38" s="4">
        <f>IF(SUM(H11:H36)=0,"",IF(COUNTIF(H11:H36,"&gt;=4")=0,0,COUNTIF(H11:H36,"&gt;=4")/D36*100))</f>
        <v>100</v>
      </c>
      <c r="I38" s="4">
        <f>IF(SUM(I11:I36)=0,"",IF(COUNTIF(I11:I36,"&gt;=4")=0,0,COUNTIF(I11:I36,"&gt;=4")/D36*100))</f>
        <v>100</v>
      </c>
      <c r="J38" s="4">
        <f>IF(SUM(J11:J36)=0,"",IF(COUNTIF(J11:J36,"&gt;=4")=0,0,COUNTIF(J11:J36,"&gt;=4")/D36*100))</f>
        <v>92.307692307692307</v>
      </c>
      <c r="K38" s="4">
        <f>IF(SUM(K11:K36)=0,"",IF(COUNTIF(K11:K36,"&gt;=4")=0,0,COUNTIF(K11:K36,"&gt;=4")/D36*100))</f>
        <v>80.769230769230774</v>
      </c>
      <c r="L38" s="4">
        <f>IF(SUM(L11:L36)=0,"",IF(COUNTIF(L11:L36,"&gt;=4")=0,0,COUNTIF(L11:L36,"&gt;=4")/D36*100))</f>
        <v>100</v>
      </c>
      <c r="M38" s="4">
        <f>IF(SUM(M11:M36)=0,"",IF(COUNTIF(M11:M36,"&gt;=4")=0,0,COUNTIF(M11:M36,"&gt;=4")/D36*100))</f>
        <v>96.15384615384616</v>
      </c>
      <c r="N38" s="4">
        <f>IF(SUM(N11:N36)=0,"",IF(COUNTIF(N11:N36,"&gt;=4")=0,0,COUNTIF(N11:N36,"&gt;=4")/D36*100))</f>
        <v>100</v>
      </c>
      <c r="O38" s="4">
        <f>IF(SUM(O11:O36)=0,"",IF(COUNTIF(O11:O36,"&gt;=4")=0,0,COUNTIF(O11:O36,"&gt;=4")/D36*100))</f>
        <v>92.307692307692307</v>
      </c>
      <c r="P38" s="4">
        <f>IF(SUM(P11:P36)=0,"",IF(COUNTIF(P11:P36,"&gt;=4")=0,0,COUNTIF(P11:P36,"&gt;=4")/D36*100))</f>
        <v>92.307692307692307</v>
      </c>
      <c r="Q38" s="4">
        <f>IF(SUM(Q11:Q36)=0,"",IF(COUNTIF(Q11:Q36,"&gt;=4")=0,0,COUNTIF(Q11:Q36,"&gt;=4")/D36*100))</f>
        <v>92.307692307692307</v>
      </c>
      <c r="R38" s="4">
        <f>IF(SUM(R11:R36)=0,"",IF(COUNTIF(R11:R36,"&gt;=4")=0,0,COUNTIF(R11:R36,"&gt;=4")/D36*100))</f>
        <v>84.615384615384613</v>
      </c>
      <c r="S38" s="4">
        <f>IF(SUM(S11:S36)=0,"",IF(COUNTIF(S11:S36,"&gt;=4")=0,0,COUNTIF(S11:S36,"&gt;=4")/D36*100))</f>
        <v>100</v>
      </c>
      <c r="T38" s="4">
        <f>IF(SUM(T11:T36)=0,"",IF(COUNTIF(T11:T36,"&gt;=4")=0,0,COUNTIF(T11:T36,"&gt;=4")/D36*100))</f>
        <v>100</v>
      </c>
      <c r="U38" s="14"/>
      <c r="V38" s="33"/>
      <c r="W38" s="32"/>
      <c r="X38" s="15"/>
    </row>
    <row r="39" spans="1:24" ht="15" customHeight="1" x14ac:dyDescent="0.25">
      <c r="A39" s="30"/>
      <c r="B39" s="33"/>
      <c r="C39" s="13"/>
      <c r="D39" s="13"/>
      <c r="E39" s="11" t="s">
        <v>9</v>
      </c>
      <c r="F39" s="4">
        <f>IF(SUM(F11:F36)=0,"",IF(COUNTIF(F11:F36,"&gt;=7")=0,0,COUNTIF(F11:F36,"&gt;=7")/D36*100))</f>
        <v>84.615384615384613</v>
      </c>
      <c r="G39" s="4">
        <f>IF(SUM(G11:G36)=0,"",IF(COUNTIF(G11:G36,"&gt;=7")=0,0,COUNTIF(G11:G36,"&gt;=7")/D36*100))</f>
        <v>61.53846153846154</v>
      </c>
      <c r="H39" s="4">
        <f>IF(SUM(H11:H36)=0,"",IF(COUNTIF(H11:H36,"&gt;=7")=0,0,COUNTIF(H11:H36,"&gt;=7")/D36*100))</f>
        <v>84.615384615384613</v>
      </c>
      <c r="I39" s="4">
        <f>IF(SUM(I11:I36)=0,"",IF(COUNTIF(I11:I36,"&gt;=7")=0,0,COUNTIF(I11:I36,"&gt;=7")/D36*100))</f>
        <v>88.461538461538453</v>
      </c>
      <c r="J39" s="4">
        <f>IF(SUM(J11:J36)=0,"",IF(COUNTIF(J11:J36,"&gt;=7")=0,0,COUNTIF(J11:J36,"&gt;=7")/D36*100))</f>
        <v>42.307692307692307</v>
      </c>
      <c r="K39" s="4">
        <f>IF(SUM(K11:K36)=0,"",IF(COUNTIF(K11:K36,"&gt;=7")=0,0,COUNTIF(K11:K36,"&gt;=7")/D36*100))</f>
        <v>57.692307692307686</v>
      </c>
      <c r="L39" s="4">
        <f>IF(SUM(L11:L36)=0,"",IF(COUNTIF(L11:L36,"&gt;=7")=0,0,COUNTIF(L11:L36,"&gt;=7")/D36*100))</f>
        <v>46.153846153846153</v>
      </c>
      <c r="M39" s="4">
        <f>IF(SUM(M11:M36)=0,"",IF(COUNTIF(M11:M36,"&gt;=7")=0,0,COUNTIF(M11:M36,"&gt;=7")/D36*100))</f>
        <v>50</v>
      </c>
      <c r="N39" s="4">
        <f>IF(SUM(N11:N36)=0,"",IF(COUNTIF(N11:N36,"&gt;=7")=0,0,COUNTIF(N11:N36,"&gt;=7")/D36*100))</f>
        <v>50</v>
      </c>
      <c r="O39" s="4">
        <f>IF(SUM(O11:O36)=0,"",IF(COUNTIF(O11:O36,"&gt;=7")=0,0,COUNTIF(O11:O36,"&gt;=7")/D36*100))</f>
        <v>30.76923076923077</v>
      </c>
      <c r="P39" s="4">
        <f>IF(SUM(P11:P36)=0,"",IF(COUNTIF(P11:P36,"&gt;=7")=0,0,COUNTIF(P11:P36,"&gt;=7")/D36*100))</f>
        <v>34.615384615384613</v>
      </c>
      <c r="Q39" s="4">
        <f>IF(SUM(Q11:Q36)=0,"",IF(COUNTIF(Q11:Q36,"&gt;=7")=0,0,COUNTIF(Q11:Q36,"&gt;=7")/D36*100))</f>
        <v>42.307692307692307</v>
      </c>
      <c r="R39" s="4">
        <f>IF(SUM(R11:R36)=0,"",IF(COUNTIF(R11:R36,"&gt;=7")=0,0,COUNTIF(R11:R36,"&gt;=7")/D36*100))</f>
        <v>38.461538461538467</v>
      </c>
      <c r="S39" s="4">
        <f>IF(SUM(S11:S36)=0,"",IF(COUNTIF(S11:S36,"&gt;=7")=0,0,COUNTIF(S11:S36,"&gt;=7")/D36*100))</f>
        <v>69.230769230769226</v>
      </c>
      <c r="T39" s="4">
        <f>IF(SUM(T11:T36)=0,"",IF(COUNTIF(T11:T36,"&gt;=7")=0,0,COUNTIF(T11:T36,"&gt;=7")/D36*100))</f>
        <v>76.923076923076934</v>
      </c>
      <c r="U39" s="16"/>
      <c r="V39" s="33"/>
      <c r="W39" s="32"/>
      <c r="X39" s="15"/>
    </row>
    <row r="40" spans="1:24" ht="15" customHeight="1" x14ac:dyDescent="0.25">
      <c r="A40" s="30"/>
      <c r="B40" s="33"/>
      <c r="C40" s="13"/>
      <c r="D40" s="13"/>
      <c r="E40" s="11" t="s">
        <v>10</v>
      </c>
      <c r="F40" s="2">
        <f>IFERROR(AVERAGE(F38:T38),"")</f>
        <v>95.384615384615387</v>
      </c>
      <c r="G40" s="1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6"/>
      <c r="V40" s="33"/>
      <c r="W40" s="32"/>
      <c r="X40" s="15"/>
    </row>
    <row r="41" spans="1:24" ht="15" customHeight="1" x14ac:dyDescent="0.25">
      <c r="A41" s="30"/>
      <c r="B41" s="33"/>
      <c r="C41" s="13"/>
      <c r="D41" s="13"/>
      <c r="E41" s="11" t="s">
        <v>11</v>
      </c>
      <c r="F41" s="2">
        <f>IFERROR(AVERAGE(F39:T39),"")</f>
        <v>57.179487179487175</v>
      </c>
      <c r="G41" s="1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6"/>
      <c r="V41" s="33"/>
      <c r="W41" s="32"/>
      <c r="X41" s="15"/>
    </row>
    <row r="42" spans="1:24" ht="15" customHeight="1" x14ac:dyDescent="0.25">
      <c r="A42" s="30"/>
      <c r="B42" s="33"/>
      <c r="C42" s="13"/>
      <c r="D42" s="13"/>
      <c r="E42" s="11" t="s">
        <v>12</v>
      </c>
      <c r="F42" s="18">
        <f>IF(COUNTIF(C11:C36,"=Б")=0,IF(COUNTIF(C11:C36,"=К")=0,"",0),COUNTIF(C11:C36,"=Б"))</f>
        <v>18</v>
      </c>
      <c r="G42" s="1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6"/>
      <c r="V42" s="33"/>
      <c r="W42" s="32"/>
      <c r="X42" s="15"/>
    </row>
    <row r="43" spans="1:24" ht="15" customHeight="1" x14ac:dyDescent="0.25">
      <c r="A43" s="30"/>
      <c r="B43" s="33"/>
      <c r="C43" s="13"/>
      <c r="D43" s="13"/>
      <c r="E43" s="11" t="s">
        <v>13</v>
      </c>
      <c r="F43" s="18">
        <f>IF(COUNTIF(C11:C36,"=К")=0,IF(COUNTIF(C11:C36,"=Б")=0,"",0),COUNTIF(C11:C36,"=К"))</f>
        <v>8</v>
      </c>
      <c r="G43" s="17"/>
      <c r="H43" s="13"/>
      <c r="I43" s="19" t="s">
        <v>16</v>
      </c>
      <c r="J43" s="13"/>
      <c r="K43" s="13"/>
      <c r="L43" s="13"/>
      <c r="M43" s="13"/>
      <c r="N43" s="13"/>
      <c r="O43" s="13"/>
      <c r="P43" s="5" t="s">
        <v>53</v>
      </c>
      <c r="Q43" s="13"/>
      <c r="R43" s="13"/>
      <c r="S43" s="13"/>
      <c r="T43" s="13"/>
      <c r="U43" s="13"/>
      <c r="V43" s="33"/>
      <c r="W43" s="32"/>
    </row>
    <row r="44" spans="1:24" ht="15" customHeight="1" x14ac:dyDescent="0.25">
      <c r="A44" s="30"/>
      <c r="B44" s="33"/>
      <c r="C44" s="13"/>
      <c r="D44" s="13"/>
      <c r="E44" s="11" t="s">
        <v>14</v>
      </c>
      <c r="F44" s="18">
        <v>1</v>
      </c>
      <c r="G44" s="1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33"/>
      <c r="W44" s="32"/>
    </row>
    <row r="45" spans="1:24" ht="15" customHeight="1" x14ac:dyDescent="0.25">
      <c r="A45" s="30"/>
      <c r="B45" s="33"/>
      <c r="C45" s="13"/>
      <c r="D45" s="13"/>
      <c r="E45" s="11" t="s">
        <v>15</v>
      </c>
      <c r="F45" s="18">
        <v>7</v>
      </c>
      <c r="G45" s="17"/>
      <c r="H45" s="13"/>
      <c r="I45" s="19" t="s">
        <v>17</v>
      </c>
      <c r="J45" s="13"/>
      <c r="K45" s="13"/>
      <c r="L45" s="13"/>
      <c r="M45" s="13"/>
      <c r="N45" s="13"/>
      <c r="O45" s="13"/>
      <c r="P45" s="19" t="s">
        <v>18</v>
      </c>
      <c r="Q45" s="13"/>
      <c r="R45" s="13"/>
      <c r="S45" s="13"/>
      <c r="T45" s="13"/>
      <c r="U45" s="13"/>
      <c r="V45" s="33"/>
      <c r="W45" s="32"/>
    </row>
    <row r="46" spans="1:24" ht="12" customHeight="1" thickBot="1" x14ac:dyDescent="0.3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2"/>
    </row>
    <row r="47" spans="1:24" ht="12" customHeight="1" x14ac:dyDescent="0.2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</sheetData>
  <sheetProtection selectLockedCells="1"/>
  <mergeCells count="18">
    <mergeCell ref="B47:V47"/>
    <mergeCell ref="C7:U7"/>
    <mergeCell ref="C8:U8"/>
    <mergeCell ref="C9:C10"/>
    <mergeCell ref="D9:D10"/>
    <mergeCell ref="E9:E10"/>
    <mergeCell ref="F9:U9"/>
    <mergeCell ref="B1:V1"/>
    <mergeCell ref="A2:A46"/>
    <mergeCell ref="B2:V2"/>
    <mergeCell ref="W2:W46"/>
    <mergeCell ref="B3:B45"/>
    <mergeCell ref="C3:U3"/>
    <mergeCell ref="V3:V45"/>
    <mergeCell ref="C4:U4"/>
    <mergeCell ref="C5:U5"/>
    <mergeCell ref="C6:U6"/>
    <mergeCell ref="B46:V46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1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2" width="11.28515625" style="6" customWidth="1"/>
    <col min="23" max="24" width="2.7109375" style="6" customWidth="1"/>
    <col min="25" max="30" width="14.42578125" style="6" hidden="1" customWidth="1"/>
    <col min="31" max="31" width="14.85546875" style="6" hidden="1" customWidth="1"/>
    <col min="32" max="45" width="3.7109375" style="6" hidden="1" customWidth="1"/>
    <col min="46" max="60" width="5.7109375" style="6" hidden="1" customWidth="1"/>
    <col min="61" max="16384" width="14.42578125" style="6" hidden="1"/>
  </cols>
  <sheetData>
    <row r="1" spans="1:24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4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7" customFormat="1" ht="15" customHeight="1" x14ac:dyDescent="0.25">
      <c r="A3" s="30"/>
      <c r="B3" s="33"/>
      <c r="C3" s="33" t="s">
        <v>67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1"/>
      <c r="W3" s="33"/>
      <c r="X3" s="32"/>
    </row>
    <row r="4" spans="1:24" s="7" customFormat="1" ht="15" customHeight="1" x14ac:dyDescent="0.25">
      <c r="A4" s="30"/>
      <c r="B4" s="33"/>
      <c r="C4" s="33" t="s">
        <v>68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1"/>
      <c r="W4" s="33"/>
      <c r="X4" s="32"/>
    </row>
    <row r="5" spans="1:24" s="8" customFormat="1" ht="15" customHeight="1" x14ac:dyDescent="0.25">
      <c r="A5" s="30"/>
      <c r="B5" s="33"/>
      <c r="C5" s="34" t="s">
        <v>65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3"/>
      <c r="X5" s="32"/>
    </row>
    <row r="6" spans="1:24" s="7" customFormat="1" ht="15" customHeight="1" x14ac:dyDescent="0.25">
      <c r="A6" s="30"/>
      <c r="B6" s="33"/>
      <c r="C6" s="35" t="s">
        <v>70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3"/>
      <c r="X6" s="32"/>
    </row>
    <row r="7" spans="1:24" s="7" customFormat="1" ht="15" customHeight="1" x14ac:dyDescent="0.25">
      <c r="A7" s="30"/>
      <c r="B7" s="33"/>
      <c r="C7" s="35" t="s">
        <v>69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3"/>
      <c r="X7" s="32"/>
    </row>
    <row r="8" spans="1:24" s="7" customFormat="1" ht="15" customHeight="1" x14ac:dyDescent="0.25">
      <c r="A8" s="30"/>
      <c r="B8" s="33"/>
      <c r="C8" s="33" t="s">
        <v>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2"/>
    </row>
    <row r="9" spans="1:24" ht="15" customHeight="1" x14ac:dyDescent="0.25">
      <c r="A9" s="30"/>
      <c r="B9" s="33"/>
      <c r="C9" s="37" t="s">
        <v>0</v>
      </c>
      <c r="D9" s="39" t="s">
        <v>19</v>
      </c>
      <c r="E9" s="39" t="s">
        <v>20</v>
      </c>
      <c r="F9" s="39" t="s">
        <v>62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3"/>
      <c r="X9" s="32"/>
    </row>
    <row r="10" spans="1:24" ht="125.1" customHeight="1" x14ac:dyDescent="0.25">
      <c r="A10" s="30"/>
      <c r="B10" s="33"/>
      <c r="C10" s="38"/>
      <c r="D10" s="38"/>
      <c r="E10" s="38"/>
      <c r="F10" s="3" t="s">
        <v>63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57</v>
      </c>
      <c r="L10" s="3" t="s">
        <v>58</v>
      </c>
      <c r="M10" s="3" t="s">
        <v>49</v>
      </c>
      <c r="N10" s="3" t="s">
        <v>4</v>
      </c>
      <c r="O10" s="3" t="s">
        <v>59</v>
      </c>
      <c r="P10" s="3" t="s">
        <v>60</v>
      </c>
      <c r="Q10" s="3" t="s">
        <v>64</v>
      </c>
      <c r="R10" s="3" t="s">
        <v>50</v>
      </c>
      <c r="S10" s="3" t="s">
        <v>61</v>
      </c>
      <c r="T10" s="3" t="s">
        <v>51</v>
      </c>
      <c r="U10" s="9" t="s">
        <v>6</v>
      </c>
      <c r="V10" s="9" t="s">
        <v>66</v>
      </c>
      <c r="W10" s="33"/>
      <c r="X10" s="32"/>
    </row>
    <row r="11" spans="1:24" ht="15" customHeight="1" x14ac:dyDescent="0.25">
      <c r="A11" s="30"/>
      <c r="B11" s="33"/>
      <c r="C11" s="24" t="s">
        <v>47</v>
      </c>
      <c r="D11" s="24">
        <v>1</v>
      </c>
      <c r="E11" s="25" t="s">
        <v>34</v>
      </c>
      <c r="F11" s="26">
        <v>10</v>
      </c>
      <c r="G11" s="26">
        <v>11</v>
      </c>
      <c r="H11" s="26">
        <v>10</v>
      </c>
      <c r="I11" s="26">
        <v>12</v>
      </c>
      <c r="J11" s="26">
        <v>11</v>
      </c>
      <c r="K11" s="26">
        <v>9</v>
      </c>
      <c r="L11" s="26">
        <v>11</v>
      </c>
      <c r="M11" s="26">
        <v>10</v>
      </c>
      <c r="N11" s="26">
        <v>11</v>
      </c>
      <c r="O11" s="26">
        <v>9</v>
      </c>
      <c r="P11" s="26">
        <v>11</v>
      </c>
      <c r="Q11" s="26">
        <v>10</v>
      </c>
      <c r="R11" s="26">
        <v>8</v>
      </c>
      <c r="S11" s="26">
        <v>10</v>
      </c>
      <c r="T11" s="26">
        <v>11</v>
      </c>
      <c r="U11" s="27">
        <f t="shared" ref="U11:U25" si="0">IF(COUNTIF(F11:T11,"=*")&gt;0,"-",IF(COUNTIF(F11:T11,"&lt;4")&gt;0,"-",(IFERROR(AVERAGE(F11:T11),""))))</f>
        <v>10.266666666666667</v>
      </c>
      <c r="V11" s="27">
        <f t="shared" ref="V11:V25" si="1">U11/12*90</f>
        <v>77</v>
      </c>
      <c r="W11" s="33"/>
      <c r="X11" s="32"/>
    </row>
    <row r="12" spans="1:24" ht="15" customHeight="1" x14ac:dyDescent="0.25">
      <c r="A12" s="30"/>
      <c r="B12" s="33"/>
      <c r="C12" s="24" t="s">
        <v>47</v>
      </c>
      <c r="D12" s="24">
        <v>2</v>
      </c>
      <c r="E12" s="25" t="s">
        <v>22</v>
      </c>
      <c r="F12" s="26">
        <v>10</v>
      </c>
      <c r="G12" s="26">
        <v>10</v>
      </c>
      <c r="H12" s="26">
        <v>10</v>
      </c>
      <c r="I12" s="26">
        <v>12</v>
      </c>
      <c r="J12" s="26">
        <v>11</v>
      </c>
      <c r="K12" s="26">
        <v>9</v>
      </c>
      <c r="L12" s="26">
        <v>10</v>
      </c>
      <c r="M12" s="26">
        <v>9</v>
      </c>
      <c r="N12" s="26">
        <v>10</v>
      </c>
      <c r="O12" s="26">
        <v>8</v>
      </c>
      <c r="P12" s="26">
        <v>11</v>
      </c>
      <c r="Q12" s="26">
        <v>10</v>
      </c>
      <c r="R12" s="26">
        <v>9</v>
      </c>
      <c r="S12" s="26">
        <v>11</v>
      </c>
      <c r="T12" s="26">
        <v>10</v>
      </c>
      <c r="U12" s="27">
        <f t="shared" si="0"/>
        <v>10</v>
      </c>
      <c r="V12" s="27">
        <f t="shared" si="1"/>
        <v>75</v>
      </c>
      <c r="W12" s="33"/>
      <c r="X12" s="32"/>
    </row>
    <row r="13" spans="1:24" ht="15" customHeight="1" x14ac:dyDescent="0.25">
      <c r="A13" s="30"/>
      <c r="B13" s="33"/>
      <c r="C13" s="24" t="s">
        <v>47</v>
      </c>
      <c r="D13" s="24">
        <v>3</v>
      </c>
      <c r="E13" s="25" t="s">
        <v>29</v>
      </c>
      <c r="F13" s="26">
        <v>10</v>
      </c>
      <c r="G13" s="26">
        <v>10</v>
      </c>
      <c r="H13" s="26">
        <v>10</v>
      </c>
      <c r="I13" s="26">
        <v>10</v>
      </c>
      <c r="J13" s="26">
        <v>11</v>
      </c>
      <c r="K13" s="26">
        <v>9</v>
      </c>
      <c r="L13" s="26">
        <v>10</v>
      </c>
      <c r="M13" s="26">
        <v>9</v>
      </c>
      <c r="N13" s="26">
        <v>9</v>
      </c>
      <c r="O13" s="26">
        <v>8</v>
      </c>
      <c r="P13" s="26">
        <v>11</v>
      </c>
      <c r="Q13" s="26">
        <v>10</v>
      </c>
      <c r="R13" s="26">
        <v>9</v>
      </c>
      <c r="S13" s="26">
        <v>10</v>
      </c>
      <c r="T13" s="26">
        <v>8</v>
      </c>
      <c r="U13" s="27">
        <f t="shared" si="0"/>
        <v>9.6</v>
      </c>
      <c r="V13" s="27">
        <f t="shared" si="1"/>
        <v>72</v>
      </c>
      <c r="W13" s="33"/>
      <c r="X13" s="32"/>
    </row>
    <row r="14" spans="1:24" ht="15" customHeight="1" x14ac:dyDescent="0.25">
      <c r="A14" s="30"/>
      <c r="B14" s="33"/>
      <c r="C14" s="24" t="s">
        <v>47</v>
      </c>
      <c r="D14" s="24">
        <v>4</v>
      </c>
      <c r="E14" s="25" t="s">
        <v>28</v>
      </c>
      <c r="F14" s="26">
        <v>10</v>
      </c>
      <c r="G14" s="26">
        <v>9</v>
      </c>
      <c r="H14" s="26">
        <v>10</v>
      </c>
      <c r="I14" s="26">
        <v>10</v>
      </c>
      <c r="J14" s="26">
        <v>9</v>
      </c>
      <c r="K14" s="26">
        <v>10</v>
      </c>
      <c r="L14" s="26">
        <v>8</v>
      </c>
      <c r="M14" s="26">
        <v>9</v>
      </c>
      <c r="N14" s="26">
        <v>9</v>
      </c>
      <c r="O14" s="26">
        <v>11</v>
      </c>
      <c r="P14" s="26">
        <v>9</v>
      </c>
      <c r="Q14" s="26">
        <v>8</v>
      </c>
      <c r="R14" s="26">
        <v>10</v>
      </c>
      <c r="S14" s="26">
        <v>11</v>
      </c>
      <c r="T14" s="26">
        <v>10</v>
      </c>
      <c r="U14" s="27">
        <f t="shared" si="0"/>
        <v>9.5333333333333332</v>
      </c>
      <c r="V14" s="27">
        <f t="shared" si="1"/>
        <v>71.5</v>
      </c>
      <c r="W14" s="33"/>
      <c r="X14" s="32"/>
    </row>
    <row r="15" spans="1:24" ht="15" customHeight="1" x14ac:dyDescent="0.25">
      <c r="A15" s="30"/>
      <c r="B15" s="33"/>
      <c r="C15" s="24" t="s">
        <v>47</v>
      </c>
      <c r="D15" s="24">
        <v>5</v>
      </c>
      <c r="E15" s="25" t="s">
        <v>30</v>
      </c>
      <c r="F15" s="26">
        <v>10</v>
      </c>
      <c r="G15" s="26">
        <v>11</v>
      </c>
      <c r="H15" s="26">
        <v>10</v>
      </c>
      <c r="I15" s="26">
        <v>9</v>
      </c>
      <c r="J15" s="26">
        <v>10</v>
      </c>
      <c r="K15" s="26">
        <v>10</v>
      </c>
      <c r="L15" s="26">
        <v>10</v>
      </c>
      <c r="M15" s="26">
        <v>9</v>
      </c>
      <c r="N15" s="26">
        <v>9</v>
      </c>
      <c r="O15" s="26">
        <v>7</v>
      </c>
      <c r="P15" s="26">
        <v>9</v>
      </c>
      <c r="Q15" s="26">
        <v>9</v>
      </c>
      <c r="R15" s="26">
        <v>8</v>
      </c>
      <c r="S15" s="26">
        <v>11</v>
      </c>
      <c r="T15" s="26">
        <v>8</v>
      </c>
      <c r="U15" s="27">
        <f t="shared" si="0"/>
        <v>9.3333333333333339</v>
      </c>
      <c r="V15" s="27">
        <f t="shared" si="1"/>
        <v>70</v>
      </c>
      <c r="W15" s="33"/>
      <c r="X15" s="32"/>
    </row>
    <row r="16" spans="1:24" ht="15" customHeight="1" x14ac:dyDescent="0.25">
      <c r="A16" s="30"/>
      <c r="B16" s="33"/>
      <c r="C16" s="24" t="s">
        <v>47</v>
      </c>
      <c r="D16" s="24">
        <v>6</v>
      </c>
      <c r="E16" s="25" t="s">
        <v>42</v>
      </c>
      <c r="F16" s="26">
        <v>10</v>
      </c>
      <c r="G16" s="26">
        <v>10</v>
      </c>
      <c r="H16" s="26">
        <v>8</v>
      </c>
      <c r="I16" s="26">
        <v>12</v>
      </c>
      <c r="J16" s="26">
        <v>11</v>
      </c>
      <c r="K16" s="26">
        <v>8</v>
      </c>
      <c r="L16" s="26">
        <v>10</v>
      </c>
      <c r="M16" s="26">
        <v>5</v>
      </c>
      <c r="N16" s="26">
        <v>10</v>
      </c>
      <c r="O16" s="26">
        <v>6</v>
      </c>
      <c r="P16" s="26">
        <v>11</v>
      </c>
      <c r="Q16" s="26">
        <v>10</v>
      </c>
      <c r="R16" s="26">
        <v>8</v>
      </c>
      <c r="S16" s="26">
        <v>9</v>
      </c>
      <c r="T16" s="26">
        <v>8</v>
      </c>
      <c r="U16" s="27">
        <f t="shared" si="0"/>
        <v>9.0666666666666664</v>
      </c>
      <c r="V16" s="27">
        <f t="shared" si="1"/>
        <v>68</v>
      </c>
      <c r="W16" s="33"/>
      <c r="X16" s="32"/>
    </row>
    <row r="17" spans="1:25" ht="15" customHeight="1" x14ac:dyDescent="0.25">
      <c r="A17" s="30"/>
      <c r="B17" s="33"/>
      <c r="C17" s="24" t="s">
        <v>47</v>
      </c>
      <c r="D17" s="24">
        <v>7</v>
      </c>
      <c r="E17" s="25" t="s">
        <v>46</v>
      </c>
      <c r="F17" s="26">
        <v>9</v>
      </c>
      <c r="G17" s="26">
        <v>9</v>
      </c>
      <c r="H17" s="26">
        <v>10</v>
      </c>
      <c r="I17" s="26">
        <v>8</v>
      </c>
      <c r="J17" s="26">
        <v>6</v>
      </c>
      <c r="K17" s="26">
        <v>8</v>
      </c>
      <c r="L17" s="26">
        <v>10</v>
      </c>
      <c r="M17" s="26">
        <v>10</v>
      </c>
      <c r="N17" s="26">
        <v>9</v>
      </c>
      <c r="O17" s="26">
        <v>7</v>
      </c>
      <c r="P17" s="26">
        <v>6</v>
      </c>
      <c r="Q17" s="26">
        <v>7</v>
      </c>
      <c r="R17" s="26">
        <v>9</v>
      </c>
      <c r="S17" s="26">
        <v>11</v>
      </c>
      <c r="T17" s="26">
        <v>10</v>
      </c>
      <c r="U17" s="27">
        <f>IF(COUNTIF(F17:T17,"=*")&gt;0,"-",IF(COUNTIF(F17:T17,"&lt;4")&gt;0,"-",(IFERROR(AVERAGE(F17:T17),""))))</f>
        <v>8.6</v>
      </c>
      <c r="V17" s="27">
        <v>65.5</v>
      </c>
      <c r="W17" s="33"/>
      <c r="X17" s="32"/>
    </row>
    <row r="18" spans="1:25" ht="15" customHeight="1" x14ac:dyDescent="0.25">
      <c r="A18" s="30"/>
      <c r="B18" s="33"/>
      <c r="C18" s="23" t="s">
        <v>47</v>
      </c>
      <c r="D18" s="23">
        <v>8</v>
      </c>
      <c r="E18" s="11" t="s">
        <v>23</v>
      </c>
      <c r="F18" s="12">
        <v>10</v>
      </c>
      <c r="G18" s="12">
        <v>10</v>
      </c>
      <c r="H18" s="12">
        <v>8</v>
      </c>
      <c r="I18" s="12">
        <v>9</v>
      </c>
      <c r="J18" s="12">
        <v>9</v>
      </c>
      <c r="K18" s="12">
        <v>9</v>
      </c>
      <c r="L18" s="12">
        <v>11</v>
      </c>
      <c r="M18" s="12">
        <v>9</v>
      </c>
      <c r="N18" s="12">
        <v>9</v>
      </c>
      <c r="O18" s="12">
        <v>6</v>
      </c>
      <c r="P18" s="12">
        <v>6</v>
      </c>
      <c r="Q18" s="12">
        <v>7</v>
      </c>
      <c r="R18" s="12">
        <v>5</v>
      </c>
      <c r="S18" s="12">
        <v>11</v>
      </c>
      <c r="T18" s="12">
        <v>10</v>
      </c>
      <c r="U18" s="28">
        <f>IF(COUNTIF(F18:T18,"=*")&gt;0,"-",IF(COUNTIF(F18:T18,"&lt;4")&gt;0,"-",(IFERROR(AVERAGE(F18:T18),""))))</f>
        <v>8.6</v>
      </c>
      <c r="V18" s="28">
        <f>U18/12*90</f>
        <v>64.5</v>
      </c>
      <c r="W18" s="33"/>
      <c r="X18" s="32"/>
    </row>
    <row r="19" spans="1:25" ht="15" customHeight="1" x14ac:dyDescent="0.25">
      <c r="A19" s="30"/>
      <c r="B19" s="33"/>
      <c r="C19" s="23" t="s">
        <v>47</v>
      </c>
      <c r="D19" s="23">
        <v>9</v>
      </c>
      <c r="E19" s="11" t="s">
        <v>35</v>
      </c>
      <c r="F19" s="12">
        <v>9</v>
      </c>
      <c r="G19" s="12">
        <v>5</v>
      </c>
      <c r="H19" s="12">
        <v>10</v>
      </c>
      <c r="I19" s="12">
        <v>10</v>
      </c>
      <c r="J19" s="12">
        <v>9</v>
      </c>
      <c r="K19" s="12">
        <v>6</v>
      </c>
      <c r="L19" s="12">
        <v>8</v>
      </c>
      <c r="M19" s="12">
        <v>8</v>
      </c>
      <c r="N19" s="12">
        <v>9</v>
      </c>
      <c r="O19" s="12">
        <v>9</v>
      </c>
      <c r="P19" s="12">
        <v>9</v>
      </c>
      <c r="Q19" s="12">
        <v>8</v>
      </c>
      <c r="R19" s="12">
        <v>7</v>
      </c>
      <c r="S19" s="12">
        <v>10</v>
      </c>
      <c r="T19" s="12">
        <v>10</v>
      </c>
      <c r="U19" s="28">
        <f t="shared" si="0"/>
        <v>8.4666666666666668</v>
      </c>
      <c r="V19" s="28">
        <f t="shared" si="1"/>
        <v>63.500000000000007</v>
      </c>
      <c r="W19" s="33"/>
      <c r="X19" s="32"/>
    </row>
    <row r="20" spans="1:25" ht="15" customHeight="1" x14ac:dyDescent="0.25">
      <c r="A20" s="30"/>
      <c r="B20" s="33"/>
      <c r="C20" s="23" t="s">
        <v>47</v>
      </c>
      <c r="D20" s="23">
        <v>10</v>
      </c>
      <c r="E20" s="11" t="s">
        <v>41</v>
      </c>
      <c r="F20" s="12">
        <v>9</v>
      </c>
      <c r="G20" s="12">
        <v>8</v>
      </c>
      <c r="H20" s="12">
        <v>8</v>
      </c>
      <c r="I20" s="12">
        <v>8</v>
      </c>
      <c r="J20" s="12">
        <v>8</v>
      </c>
      <c r="K20" s="12">
        <v>7</v>
      </c>
      <c r="L20" s="12">
        <v>6</v>
      </c>
      <c r="M20" s="12">
        <v>8</v>
      </c>
      <c r="N20" s="12">
        <v>8</v>
      </c>
      <c r="O20" s="12">
        <v>7</v>
      </c>
      <c r="P20" s="12">
        <v>8</v>
      </c>
      <c r="Q20" s="12">
        <v>8</v>
      </c>
      <c r="R20" s="12">
        <v>7</v>
      </c>
      <c r="S20" s="12">
        <v>7</v>
      </c>
      <c r="T20" s="12">
        <v>7</v>
      </c>
      <c r="U20" s="28">
        <f t="shared" si="0"/>
        <v>7.6</v>
      </c>
      <c r="V20" s="28">
        <f t="shared" si="1"/>
        <v>57</v>
      </c>
      <c r="W20" s="33"/>
      <c r="X20" s="32"/>
    </row>
    <row r="21" spans="1:25" ht="15" customHeight="1" x14ac:dyDescent="0.25">
      <c r="A21" s="30"/>
      <c r="B21" s="33"/>
      <c r="C21" s="23" t="s">
        <v>47</v>
      </c>
      <c r="D21" s="23">
        <v>11</v>
      </c>
      <c r="E21" s="11" t="s">
        <v>36</v>
      </c>
      <c r="F21" s="12">
        <v>9</v>
      </c>
      <c r="G21" s="12">
        <v>10</v>
      </c>
      <c r="H21" s="12">
        <v>9</v>
      </c>
      <c r="I21" s="12">
        <v>8</v>
      </c>
      <c r="J21" s="12">
        <v>4</v>
      </c>
      <c r="K21" s="12">
        <v>7</v>
      </c>
      <c r="L21" s="12">
        <v>7</v>
      </c>
      <c r="M21" s="12">
        <v>5</v>
      </c>
      <c r="N21" s="12">
        <v>6</v>
      </c>
      <c r="O21" s="12">
        <v>4</v>
      </c>
      <c r="P21" s="12">
        <v>4</v>
      </c>
      <c r="Q21" s="12">
        <v>4</v>
      </c>
      <c r="R21" s="12">
        <v>5</v>
      </c>
      <c r="S21" s="12">
        <v>11</v>
      </c>
      <c r="T21" s="12">
        <v>7</v>
      </c>
      <c r="U21" s="28">
        <f t="shared" si="0"/>
        <v>6.666666666666667</v>
      </c>
      <c r="V21" s="28">
        <f t="shared" si="1"/>
        <v>50</v>
      </c>
      <c r="W21" s="33"/>
      <c r="X21" s="32"/>
    </row>
    <row r="22" spans="1:25" ht="15" customHeight="1" x14ac:dyDescent="0.25">
      <c r="A22" s="30"/>
      <c r="B22" s="33"/>
      <c r="C22" s="23" t="s">
        <v>47</v>
      </c>
      <c r="D22" s="23">
        <v>12</v>
      </c>
      <c r="E22" s="11" t="s">
        <v>31</v>
      </c>
      <c r="F22" s="12">
        <v>8</v>
      </c>
      <c r="G22" s="12">
        <v>6</v>
      </c>
      <c r="H22" s="12">
        <v>8</v>
      </c>
      <c r="I22" s="12">
        <v>7</v>
      </c>
      <c r="J22" s="12">
        <v>5</v>
      </c>
      <c r="K22" s="12">
        <v>8</v>
      </c>
      <c r="L22" s="12">
        <v>6</v>
      </c>
      <c r="M22" s="12">
        <v>7</v>
      </c>
      <c r="N22" s="12">
        <v>5</v>
      </c>
      <c r="O22" s="12">
        <v>5</v>
      </c>
      <c r="P22" s="12">
        <v>5</v>
      </c>
      <c r="Q22" s="12">
        <v>4</v>
      </c>
      <c r="R22" s="12">
        <v>4</v>
      </c>
      <c r="S22" s="12">
        <v>10</v>
      </c>
      <c r="T22" s="12">
        <v>5</v>
      </c>
      <c r="U22" s="28">
        <f t="shared" si="0"/>
        <v>6.2</v>
      </c>
      <c r="V22" s="28">
        <f t="shared" si="1"/>
        <v>46.500000000000007</v>
      </c>
      <c r="W22" s="33"/>
      <c r="X22" s="32"/>
    </row>
    <row r="23" spans="1:25" ht="15" customHeight="1" x14ac:dyDescent="0.25">
      <c r="A23" s="30"/>
      <c r="B23" s="33"/>
      <c r="C23" s="23" t="s">
        <v>47</v>
      </c>
      <c r="D23" s="23">
        <v>13</v>
      </c>
      <c r="E23" s="11" t="s">
        <v>39</v>
      </c>
      <c r="F23" s="12">
        <v>9</v>
      </c>
      <c r="G23" s="12">
        <v>5</v>
      </c>
      <c r="H23" s="12">
        <v>7</v>
      </c>
      <c r="I23" s="12">
        <v>8</v>
      </c>
      <c r="J23" s="12">
        <v>5</v>
      </c>
      <c r="K23" s="12">
        <v>7</v>
      </c>
      <c r="L23" s="12">
        <v>5</v>
      </c>
      <c r="M23" s="12">
        <v>6</v>
      </c>
      <c r="N23" s="12">
        <v>7</v>
      </c>
      <c r="O23" s="12">
        <v>4</v>
      </c>
      <c r="P23" s="12">
        <v>4</v>
      </c>
      <c r="Q23" s="12">
        <v>5</v>
      </c>
      <c r="R23" s="12">
        <v>7</v>
      </c>
      <c r="S23" s="12">
        <v>5</v>
      </c>
      <c r="T23" s="12">
        <v>7</v>
      </c>
      <c r="U23" s="28">
        <f t="shared" si="0"/>
        <v>6.0666666666666664</v>
      </c>
      <c r="V23" s="28">
        <f t="shared" si="1"/>
        <v>45.5</v>
      </c>
      <c r="W23" s="33"/>
      <c r="X23" s="32"/>
    </row>
    <row r="24" spans="1:25" ht="15" customHeight="1" x14ac:dyDescent="0.25">
      <c r="A24" s="30"/>
      <c r="B24" s="33"/>
      <c r="C24" s="23" t="s">
        <v>47</v>
      </c>
      <c r="D24" s="23">
        <v>14</v>
      </c>
      <c r="E24" s="11" t="s">
        <v>25</v>
      </c>
      <c r="F24" s="12">
        <v>8</v>
      </c>
      <c r="G24" s="12">
        <v>7</v>
      </c>
      <c r="H24" s="12">
        <v>10</v>
      </c>
      <c r="I24" s="12">
        <v>8</v>
      </c>
      <c r="J24" s="12">
        <v>4</v>
      </c>
      <c r="K24" s="12">
        <v>4</v>
      </c>
      <c r="L24" s="12">
        <v>4</v>
      </c>
      <c r="M24" s="12">
        <v>5</v>
      </c>
      <c r="N24" s="12">
        <v>6</v>
      </c>
      <c r="O24" s="12">
        <v>6</v>
      </c>
      <c r="P24" s="12">
        <v>4</v>
      </c>
      <c r="Q24" s="12">
        <v>4</v>
      </c>
      <c r="R24" s="12">
        <v>5</v>
      </c>
      <c r="S24" s="12">
        <v>5</v>
      </c>
      <c r="T24" s="12">
        <v>8</v>
      </c>
      <c r="U24" s="28">
        <f t="shared" si="0"/>
        <v>5.8666666666666663</v>
      </c>
      <c r="V24" s="28">
        <f t="shared" si="1"/>
        <v>44</v>
      </c>
      <c r="W24" s="33"/>
      <c r="X24" s="32"/>
    </row>
    <row r="25" spans="1:25" ht="15" customHeight="1" x14ac:dyDescent="0.25">
      <c r="A25" s="30"/>
      <c r="B25" s="33"/>
      <c r="C25" s="23" t="s">
        <v>47</v>
      </c>
      <c r="D25" s="23">
        <v>15</v>
      </c>
      <c r="E25" s="11" t="s">
        <v>37</v>
      </c>
      <c r="F25" s="12">
        <v>7</v>
      </c>
      <c r="G25" s="12">
        <v>5</v>
      </c>
      <c r="H25" s="12">
        <v>9</v>
      </c>
      <c r="I25" s="12">
        <v>8</v>
      </c>
      <c r="J25" s="12">
        <v>4</v>
      </c>
      <c r="K25" s="12">
        <v>4</v>
      </c>
      <c r="L25" s="12">
        <v>8</v>
      </c>
      <c r="M25" s="12">
        <v>6</v>
      </c>
      <c r="N25" s="12">
        <v>6</v>
      </c>
      <c r="O25" s="12">
        <v>4</v>
      </c>
      <c r="P25" s="12">
        <v>4</v>
      </c>
      <c r="Q25" s="12">
        <v>4</v>
      </c>
      <c r="R25" s="12">
        <v>4</v>
      </c>
      <c r="S25" s="12">
        <v>5</v>
      </c>
      <c r="T25" s="12">
        <v>5</v>
      </c>
      <c r="U25" s="28">
        <f t="shared" si="0"/>
        <v>5.5333333333333332</v>
      </c>
      <c r="V25" s="28">
        <f t="shared" si="1"/>
        <v>41.5</v>
      </c>
      <c r="W25" s="33"/>
      <c r="X25" s="32"/>
    </row>
    <row r="26" spans="1:25" ht="15" customHeight="1" x14ac:dyDescent="0.25">
      <c r="A26" s="30"/>
      <c r="B26" s="33"/>
      <c r="C26" s="13"/>
      <c r="D26" s="13"/>
      <c r="E26" s="11" t="s">
        <v>12</v>
      </c>
      <c r="F26" s="22">
        <v>18</v>
      </c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20"/>
      <c r="V26" s="20"/>
      <c r="W26" s="33"/>
      <c r="X26" s="32"/>
      <c r="Y26" s="15"/>
    </row>
    <row r="27" spans="1:25" ht="15" customHeight="1" x14ac:dyDescent="0.25">
      <c r="A27" s="30"/>
      <c r="B27" s="33"/>
      <c r="C27" s="13"/>
      <c r="D27" s="13"/>
      <c r="E27" s="11" t="s">
        <v>13</v>
      </c>
      <c r="F27" s="22">
        <v>8</v>
      </c>
      <c r="G27" s="17"/>
      <c r="H27" s="13"/>
      <c r="I27" s="19" t="s">
        <v>16</v>
      </c>
      <c r="J27" s="13"/>
      <c r="K27" s="13"/>
      <c r="L27" s="13"/>
      <c r="M27" s="13"/>
      <c r="N27" s="13"/>
      <c r="O27" s="13"/>
      <c r="P27" s="5" t="s">
        <v>53</v>
      </c>
      <c r="Q27" s="13"/>
      <c r="R27" s="13"/>
      <c r="S27" s="13"/>
      <c r="T27" s="13"/>
      <c r="U27" s="13"/>
      <c r="V27" s="13"/>
      <c r="W27" s="33"/>
      <c r="X27" s="32"/>
    </row>
    <row r="28" spans="1:25" ht="15" customHeight="1" x14ac:dyDescent="0.25">
      <c r="A28" s="30"/>
      <c r="B28" s="33"/>
      <c r="C28" s="13"/>
      <c r="D28" s="13"/>
      <c r="E28" s="11" t="s">
        <v>14</v>
      </c>
      <c r="F28" s="22">
        <v>1</v>
      </c>
      <c r="G28" s="1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33"/>
      <c r="X28" s="32"/>
    </row>
    <row r="29" spans="1:25" ht="15" customHeight="1" x14ac:dyDescent="0.25">
      <c r="A29" s="30"/>
      <c r="B29" s="33"/>
      <c r="C29" s="13"/>
      <c r="D29" s="13"/>
      <c r="E29" s="11" t="s">
        <v>15</v>
      </c>
      <c r="F29" s="22">
        <v>7</v>
      </c>
      <c r="G29" s="17"/>
      <c r="H29" s="13"/>
      <c r="I29" s="19" t="s">
        <v>17</v>
      </c>
      <c r="J29" s="13"/>
      <c r="K29" s="13"/>
      <c r="L29" s="13"/>
      <c r="M29" s="13"/>
      <c r="N29" s="13"/>
      <c r="O29" s="13"/>
      <c r="P29" s="19" t="s">
        <v>18</v>
      </c>
      <c r="Q29" s="13"/>
      <c r="R29" s="13"/>
      <c r="S29" s="13"/>
      <c r="T29" s="13"/>
      <c r="U29" s="13"/>
      <c r="V29" s="13"/>
      <c r="W29" s="33"/>
      <c r="X29" s="32"/>
    </row>
    <row r="30" spans="1:25" ht="12" customHeight="1" thickBo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2"/>
    </row>
    <row r="31" spans="1:25" ht="12" customHeight="1" x14ac:dyDescent="0.2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</sheetData>
  <sheetProtection selectLockedCells="1"/>
  <sortState ref="E17:V18">
    <sortCondition descending="1" ref="E17:E18"/>
  </sortState>
  <mergeCells count="18">
    <mergeCell ref="B1:W1"/>
    <mergeCell ref="A2:A30"/>
    <mergeCell ref="B2:W2"/>
    <mergeCell ref="X2:X30"/>
    <mergeCell ref="B3:B29"/>
    <mergeCell ref="C3:U3"/>
    <mergeCell ref="W3:W29"/>
    <mergeCell ref="C4:U4"/>
    <mergeCell ref="B30:W30"/>
    <mergeCell ref="B31:W31"/>
    <mergeCell ref="C5:V5"/>
    <mergeCell ref="C6:V6"/>
    <mergeCell ref="C7:V7"/>
    <mergeCell ref="C8:V8"/>
    <mergeCell ref="F9:V9"/>
    <mergeCell ref="C9:C10"/>
    <mergeCell ref="D9:D10"/>
    <mergeCell ref="E9:E10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141</vt:lpstr>
      <vt:lpstr>Рейтингова 141</vt:lpstr>
      <vt:lpstr>'Зведена 141'!Область_печати</vt:lpstr>
      <vt:lpstr>'Рейтингова 141'!Область_печати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RePack by Diakov</cp:lastModifiedBy>
  <cp:lastPrinted>2022-12-23T09:39:22Z</cp:lastPrinted>
  <dcterms:created xsi:type="dcterms:W3CDTF">2006-09-28T05:33:49Z</dcterms:created>
  <dcterms:modified xsi:type="dcterms:W3CDTF">2023-06-23T11:54:46Z</dcterms:modified>
</cp:coreProperties>
</file>