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390" yWindow="525" windowWidth="19815" windowHeight="7365"/>
  </bookViews>
  <sheets>
    <sheet name="Зведена 076" sheetId="39" r:id="rId1"/>
    <sheet name="Рейтингова 076" sheetId="40" r:id="rId2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076'!$B$2:$V$51</definedName>
    <definedName name="_xlnm.Print_Area" localSheetId="1">'Рейтингова 076'!$B$2:$W$35</definedName>
    <definedName name="Ф80" localSheetId="0">#REF!</definedName>
    <definedName name="Ф80" localSheetId="1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U28" i="40" l="1"/>
  <c r="V28" i="40" s="1"/>
  <c r="U11" i="40"/>
  <c r="V11" i="40" s="1"/>
  <c r="U16" i="40"/>
  <c r="V16" i="40" s="1"/>
  <c r="U30" i="40"/>
  <c r="V30" i="40" s="1"/>
  <c r="U26" i="40"/>
  <c r="V26" i="40" s="1"/>
  <c r="U23" i="40"/>
  <c r="V23" i="40" s="1"/>
  <c r="U22" i="40"/>
  <c r="V22" i="40" s="1"/>
  <c r="U13" i="40"/>
  <c r="V13" i="40" s="1"/>
  <c r="U14" i="40"/>
  <c r="V14" i="40" s="1"/>
  <c r="U17" i="40"/>
  <c r="V17" i="40" s="1"/>
  <c r="U24" i="40"/>
  <c r="V24" i="40" s="1"/>
  <c r="U20" i="40"/>
  <c r="V20" i="40" s="1"/>
  <c r="U18" i="40"/>
  <c r="V18" i="40" s="1"/>
  <c r="U25" i="40"/>
  <c r="V25" i="40" s="1"/>
  <c r="U21" i="40"/>
  <c r="V21" i="40" s="1"/>
  <c r="U29" i="40"/>
  <c r="V29" i="40" s="1"/>
  <c r="U19" i="40"/>
  <c r="V19" i="40" s="1"/>
  <c r="U15" i="40"/>
  <c r="V15" i="40" s="1"/>
  <c r="U27" i="40"/>
  <c r="V27" i="40" s="1"/>
  <c r="U12" i="40"/>
  <c r="V12" i="40" s="1"/>
  <c r="F34" i="40"/>
  <c r="F33" i="40"/>
  <c r="F32" i="40"/>
  <c r="F31" i="40"/>
  <c r="U41" i="39" l="1"/>
  <c r="U12" i="39"/>
  <c r="U13" i="39"/>
  <c r="U14" i="39"/>
  <c r="U15" i="39"/>
  <c r="U16" i="39"/>
  <c r="U17" i="39"/>
  <c r="U18" i="39"/>
  <c r="U19" i="39"/>
  <c r="U20" i="39"/>
  <c r="U21" i="39"/>
  <c r="U22" i="39"/>
  <c r="U23" i="39"/>
  <c r="U24" i="39"/>
  <c r="U25" i="39"/>
  <c r="U26" i="39"/>
  <c r="U27" i="39"/>
  <c r="U28" i="39"/>
  <c r="U29" i="39"/>
  <c r="U30" i="39"/>
  <c r="U31" i="39"/>
  <c r="U32" i="39"/>
  <c r="U33" i="39"/>
  <c r="U34" i="39"/>
  <c r="U35" i="39"/>
  <c r="U36" i="39"/>
  <c r="U37" i="39"/>
  <c r="U38" i="39"/>
  <c r="U39" i="39"/>
  <c r="U40" i="39"/>
  <c r="F48" i="39"/>
  <c r="F47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T42" i="39"/>
  <c r="S42" i="39"/>
  <c r="R42" i="39"/>
  <c r="Q42" i="39"/>
  <c r="P42" i="39"/>
  <c r="O42" i="39"/>
  <c r="N42" i="39"/>
  <c r="M42" i="39"/>
  <c r="L42" i="39"/>
  <c r="K42" i="39"/>
  <c r="J42" i="39"/>
  <c r="I42" i="39"/>
  <c r="H42" i="39"/>
  <c r="G42" i="39"/>
  <c r="F42" i="39"/>
  <c r="U11" i="39"/>
  <c r="F45" i="39" l="1"/>
  <c r="U42" i="39"/>
  <c r="F46" i="39"/>
</calcChain>
</file>

<file path=xl/sharedStrings.xml><?xml version="1.0" encoding="utf-8"?>
<sst xmlns="http://schemas.openxmlformats.org/spreadsheetml/2006/main" count="189" uniqueCount="75">
  <si>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</si>
  <si>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</si>
  <si>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</si>
  <si>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</si>
  <si>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</si>
  <si>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</si>
  <si>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Зарубіжна література
Пруднікова Я.П.</t>
  </si>
  <si>
    <t>Інформатика
Вівдіч М.І.</t>
  </si>
  <si>
    <t>Історія України
Левчук Т.Г.</t>
  </si>
  <si>
    <t>Фізика
Калюта Н.М.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</si>
  <si>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</si>
  <si>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</si>
  <si>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</si>
  <si>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</si>
  <si>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</si>
  <si>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</si>
  <si>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</si>
  <si>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</si>
  <si>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</si>
  <si>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</si>
  <si>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</si>
  <si>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</si>
  <si>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</si>
  <si>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</si>
  <si>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</si>
  <si>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</si>
  <si>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</si>
  <si>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Базюк Григорій Павлович </t>
  </si>
  <si>
    <t>Бондар Олена Михайлівна </t>
  </si>
  <si>
    <t>Волховський Олег Ігорович </t>
  </si>
  <si>
    <t>Гафурова Софія Махмудівна </t>
  </si>
  <si>
    <t>Голіков Костянтин Анатолійович  </t>
  </si>
  <si>
    <t>Демус Марія Вадимівна </t>
  </si>
  <si>
    <t>Жорняк Олег Сергійович </t>
  </si>
  <si>
    <t>Камушков-Ткач Іван Олександрович </t>
  </si>
  <si>
    <t>Карагуца Кирило Іванович </t>
  </si>
  <si>
    <t>Кіров Денис Анатолійович </t>
  </si>
  <si>
    <t>Когут Віолетта Ігорівна </t>
  </si>
  <si>
    <t>Кожевніков Євген Олександрович  </t>
  </si>
  <si>
    <t>Крайз Анна Станіславівна </t>
  </si>
  <si>
    <t>Кучма Володимир Юрійович </t>
  </si>
  <si>
    <t>Левченко Ольга Вячеславівна </t>
  </si>
  <si>
    <t>Лунгу Артем Андрійович </t>
  </si>
  <si>
    <t>Мойса Ігор Ігорович </t>
  </si>
  <si>
    <t>Недавній Артем Костянтинович </t>
  </si>
  <si>
    <t>Оверко Михайло Романович </t>
  </si>
  <si>
    <t>Оцебрик Віталій Володимирович </t>
  </si>
  <si>
    <t>Піворунас Наталя Євгенівна </t>
  </si>
  <si>
    <t>Сабат Вероніка Русланівна </t>
  </si>
  <si>
    <t>Самех Ахмед Фаріда Ісмаїл </t>
  </si>
  <si>
    <t>Самученко Максим Євгенович </t>
  </si>
  <si>
    <t>Степаненко Віолетта Вікторівна </t>
  </si>
  <si>
    <t>Чебанюк  Дар’я Сергіївна </t>
  </si>
  <si>
    <t>Чеколтан Катерина Олександрівна </t>
  </si>
  <si>
    <t>Черкасцева Софія Вячеславівна </t>
  </si>
  <si>
    <t>Чобан Катерина Вікторівна </t>
  </si>
  <si>
    <t>Шарандак Микола Олександрович </t>
  </si>
  <si>
    <t>Яковлєва Руслана Михайлівна </t>
  </si>
  <si>
    <t>Оксана БОНДАРЕНКО</t>
  </si>
  <si>
    <t>Успішності студентів спеціальності 076 «Підприємництво, торгівля та біржова діяльність»</t>
  </si>
  <si>
    <t>Група 22-2 курс І</t>
  </si>
  <si>
    <t>н/а</t>
  </si>
  <si>
    <t>ЗУ
Лазар В.І.</t>
  </si>
  <si>
    <t>Іноземна мова
Кубова Т.М.</t>
  </si>
  <si>
    <t>Математика
Бондаренко О.С.</t>
  </si>
  <si>
    <t>Українська література
Брітікова М.В.</t>
  </si>
  <si>
    <t>Українська мова
Брітікова М.В.</t>
  </si>
  <si>
    <t>Фізична культура
Мунтянов Л.Б.</t>
  </si>
  <si>
    <t>Підсумкові оцінки дисциплін</t>
  </si>
  <si>
    <t>Астрономія
Наговська Т.С.</t>
  </si>
  <si>
    <t>ФАХОВИЙ КОЛЕДЖ НАФТОГАЗОВИХ ТЕХНОЛОГІЙ, ІНЖЕНЕРІЇ ТА ІНФРАСТРУКТУРИ СЕРВІСУ</t>
  </si>
  <si>
    <t>ОДЕСЬКОГО НАЦІОНАЛЬНОГО ТЕХНОЛОГІЧНОГО УНІВЕРСИТЕТУ</t>
  </si>
  <si>
    <t>За ІI семестр 2022-2023 н.р.</t>
  </si>
  <si>
    <t>РЕЙТИНГОВА ВІДОМІСТЬ</t>
  </si>
  <si>
    <t>Рейтинговий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</si>
</sst>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  <xf numFmtId="0" fontId="8" fillId="0" borderId="1"/>
  </cellStyleXfs>
  <cellXfs count="42">
    <xf numFmtId="0" fontId="0" fillId="0" borderId="0" xfId="0"/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5" fillId="5" borderId="1" xfId="5" applyFont="1" applyFill="1" applyAlignment="1">
      <alignment horizontal="left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8" fillId="5" borderId="1" xfId="28" applyFill="1"/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6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3" fillId="4" borderId="7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8" xfId="5" applyNumberFormat="1" applyFont="1" applyFill="1" applyBorder="1" applyAlignment="1">
      <alignment horizontal="center" vertical="center" wrapText="1"/>
    </xf>
    <xf numFmtId="0" fontId="3" fillId="5" borderId="9" xfId="5" applyNumberFormat="1" applyFont="1" applyFill="1" applyBorder="1" applyAlignment="1">
      <alignment horizontal="center" vertical="center" wrapText="1"/>
    </xf>
    <xf numFmtId="0" fontId="3" fillId="5" borderId="6" xfId="5" applyNumberFormat="1" applyFont="1" applyFill="1" applyBorder="1" applyAlignment="1">
      <alignment horizontal="center" vertical="center" wrapText="1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NumberFormat="1" applyFont="1" applyFill="1" applyBorder="1" applyAlignment="1">
      <alignment horizontal="center" vertical="center" wrapText="1"/>
    </xf>
    <xf numFmtId="0" fontId="3" fillId="7" borderId="2" xfId="5" applyNumberFormat="1" applyFont="1" applyFill="1" applyBorder="1" applyAlignment="1">
      <alignment horizontal="left" vertical="center" wrapText="1"/>
    </xf>
    <xf numFmtId="0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</cellXfs>
  <cellStyles count="29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2 7" xfId="28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52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3" customWidth="1"/>
    <col min="3" max="3" width="4.140625" style="3" customWidth="1"/>
    <col min="4" max="4" width="6.5703125" style="3" customWidth="1"/>
    <col min="5" max="5" width="40.42578125" style="3" customWidth="1"/>
    <col min="6" max="20" width="6.7109375" style="3" customWidth="1"/>
    <col min="21" max="21" width="11.28515625" style="3" customWidth="1"/>
    <col min="22" max="23" width="2.7109375" style="3" customWidth="1"/>
    <col min="24" max="29" width="14.42578125" style="3" hidden="1" customWidth="1"/>
    <col min="30" max="30" width="14.85546875" style="3" hidden="1" customWidth="1"/>
    <col min="31" max="44" width="3.7109375" style="3" hidden="1" customWidth="1"/>
    <col min="45" max="59" width="5.7109375" style="3" hidden="1" customWidth="1"/>
    <col min="60" max="16384" width="14.42578125" style="3" hidden="1"/>
  </cols>
  <sheetData>
    <row r="1" spans="1:23" ht="12" customHeight="1" thickBot="1" x14ac:dyDescent="0.3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3" ht="12" customHeight="1" x14ac:dyDescent="0.25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6"/>
    </row>
    <row r="3" spans="1:23" s="4" customFormat="1" ht="15" customHeight="1" x14ac:dyDescent="0.25">
      <c r="A3" s="24"/>
      <c r="B3" s="27"/>
      <c r="C3" s="27" t="s">
        <v>70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6"/>
    </row>
    <row r="4" spans="1:23" s="4" customFormat="1" ht="15" customHeight="1" x14ac:dyDescent="0.25">
      <c r="A4" s="24"/>
      <c r="B4" s="27"/>
      <c r="C4" s="27" t="s">
        <v>71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6"/>
    </row>
    <row r="5" spans="1:23" s="5" customFormat="1" ht="15" customHeight="1" x14ac:dyDescent="0.25">
      <c r="A5" s="24"/>
      <c r="B5" s="27"/>
      <c r="C5" s="28" t="s">
        <v>26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7"/>
      <c r="W5" s="26"/>
    </row>
    <row r="6" spans="1:23" s="4" customFormat="1" ht="15" customHeight="1" x14ac:dyDescent="0.25">
      <c r="A6" s="24"/>
      <c r="B6" s="27"/>
      <c r="C6" s="29" t="s">
        <v>59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7"/>
      <c r="W6" s="26"/>
    </row>
    <row r="7" spans="1:23" s="4" customFormat="1" ht="15" customHeight="1" x14ac:dyDescent="0.25">
      <c r="A7" s="24"/>
      <c r="B7" s="27"/>
      <c r="C7" s="29" t="s">
        <v>72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7"/>
      <c r="W7" s="26"/>
    </row>
    <row r="8" spans="1:23" s="4" customFormat="1" ht="15" customHeight="1" x14ac:dyDescent="0.25">
      <c r="A8" s="24"/>
      <c r="B8" s="27"/>
      <c r="C8" s="27" t="s">
        <v>60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6"/>
    </row>
    <row r="9" spans="1:23" ht="15" customHeight="1" x14ac:dyDescent="0.25">
      <c r="A9" s="24"/>
      <c r="B9" s="27"/>
      <c r="C9" s="31" t="s">
        <v>0</v>
      </c>
      <c r="D9" s="33" t="s">
        <v>1</v>
      </c>
      <c r="E9" s="33" t="s">
        <v>2</v>
      </c>
      <c r="F9" s="34" t="s">
        <v>68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6"/>
      <c r="V9" s="27"/>
      <c r="W9" s="26"/>
    </row>
    <row r="10" spans="1:23" ht="125.1" customHeight="1" x14ac:dyDescent="0.25">
      <c r="A10" s="24"/>
      <c r="B10" s="27"/>
      <c r="C10" s="32"/>
      <c r="D10" s="32"/>
      <c r="E10" s="32"/>
      <c r="F10" s="14" t="s">
        <v>69</v>
      </c>
      <c r="G10" s="14" t="s">
        <v>3</v>
      </c>
      <c r="H10" s="14" t="s">
        <v>4</v>
      </c>
      <c r="I10" s="14" t="s">
        <v>5</v>
      </c>
      <c r="J10" s="14" t="s">
        <v>6</v>
      </c>
      <c r="K10" s="14" t="s">
        <v>62</v>
      </c>
      <c r="L10" s="14" t="s">
        <v>63</v>
      </c>
      <c r="M10" s="14" t="s">
        <v>7</v>
      </c>
      <c r="N10" s="14" t="s">
        <v>8</v>
      </c>
      <c r="O10" s="14" t="s">
        <v>64</v>
      </c>
      <c r="P10" s="14" t="s">
        <v>65</v>
      </c>
      <c r="Q10" s="14" t="s">
        <v>66</v>
      </c>
      <c r="R10" s="14" t="s">
        <v>9</v>
      </c>
      <c r="S10" s="14" t="s">
        <v>67</v>
      </c>
      <c r="T10" s="14" t="s">
        <v>10</v>
      </c>
      <c r="U10" s="6" t="s">
        <v>11</v>
      </c>
      <c r="V10" s="27"/>
      <c r="W10" s="26"/>
    </row>
    <row r="11" spans="1:23" ht="15" customHeight="1" x14ac:dyDescent="0.25">
      <c r="A11" s="24"/>
      <c r="B11" s="27"/>
      <c r="C11" s="18" t="s">
        <v>12</v>
      </c>
      <c r="D11" s="18">
        <v>1</v>
      </c>
      <c r="E11" s="7" t="s">
        <v>27</v>
      </c>
      <c r="F11" s="8">
        <v>10</v>
      </c>
      <c r="G11" s="8">
        <v>6</v>
      </c>
      <c r="H11" s="8">
        <v>5</v>
      </c>
      <c r="I11" s="8">
        <v>9</v>
      </c>
      <c r="J11" s="8">
        <v>4</v>
      </c>
      <c r="K11" s="8">
        <v>5</v>
      </c>
      <c r="L11" s="8">
        <v>5</v>
      </c>
      <c r="M11" s="8">
        <v>6</v>
      </c>
      <c r="N11" s="8">
        <v>4</v>
      </c>
      <c r="O11" s="8">
        <v>4</v>
      </c>
      <c r="P11" s="8">
        <v>4</v>
      </c>
      <c r="Q11" s="8">
        <v>6</v>
      </c>
      <c r="R11" s="8">
        <v>6</v>
      </c>
      <c r="S11" s="8">
        <v>4</v>
      </c>
      <c r="T11" s="8">
        <v>7</v>
      </c>
      <c r="U11" s="1">
        <f>IF(COUNTIF(F11:T11,"=*")&gt;0,"-",IF(COUNTIF(F11:T11,"&lt;4")&gt;0,"-",(IFERROR(AVERAGE(F11:T11),""))))</f>
        <v>5.666666666666667</v>
      </c>
      <c r="V11" s="27"/>
      <c r="W11" s="26"/>
    </row>
    <row r="12" spans="1:23" ht="15" customHeight="1" x14ac:dyDescent="0.25">
      <c r="A12" s="24"/>
      <c r="B12" s="27"/>
      <c r="C12" s="18" t="s">
        <v>13</v>
      </c>
      <c r="D12" s="18">
        <v>2</v>
      </c>
      <c r="E12" s="7" t="s">
        <v>28</v>
      </c>
      <c r="F12" s="8">
        <v>11</v>
      </c>
      <c r="G12" s="8">
        <v>11</v>
      </c>
      <c r="H12" s="8">
        <v>10</v>
      </c>
      <c r="I12" s="8">
        <v>11</v>
      </c>
      <c r="J12" s="8">
        <v>11</v>
      </c>
      <c r="K12" s="8">
        <v>10</v>
      </c>
      <c r="L12" s="8">
        <v>11</v>
      </c>
      <c r="M12" s="8">
        <v>11</v>
      </c>
      <c r="N12" s="8">
        <v>10</v>
      </c>
      <c r="O12" s="8">
        <v>12</v>
      </c>
      <c r="P12" s="8">
        <v>11</v>
      </c>
      <c r="Q12" s="8">
        <v>11</v>
      </c>
      <c r="R12" s="8">
        <v>10</v>
      </c>
      <c r="S12" s="8">
        <v>10</v>
      </c>
      <c r="T12" s="8">
        <v>11</v>
      </c>
      <c r="U12" s="1">
        <f t="shared" ref="U12:U40" si="0">IF(COUNTIF(F12:T12,"=*")&gt;0,"-",IF(COUNTIF(F12:T12,"&lt;4")&gt;0,"-",(IFERROR(AVERAGE(F12:T12),""))))</f>
        <v>10.733333333333333</v>
      </c>
      <c r="V12" s="27"/>
      <c r="W12" s="26"/>
    </row>
    <row r="13" spans="1:23" ht="15" customHeight="1" x14ac:dyDescent="0.25">
      <c r="A13" s="24"/>
      <c r="B13" s="27"/>
      <c r="C13" s="18" t="s">
        <v>13</v>
      </c>
      <c r="D13" s="18">
        <v>3</v>
      </c>
      <c r="E13" s="7" t="s">
        <v>29</v>
      </c>
      <c r="F13" s="8">
        <v>9</v>
      </c>
      <c r="G13" s="8">
        <v>6</v>
      </c>
      <c r="H13" s="8">
        <v>8</v>
      </c>
      <c r="I13" s="8">
        <v>10</v>
      </c>
      <c r="J13" s="8">
        <v>7</v>
      </c>
      <c r="K13" s="8">
        <v>9</v>
      </c>
      <c r="L13" s="8">
        <v>8</v>
      </c>
      <c r="M13" s="8">
        <v>10</v>
      </c>
      <c r="N13" s="8">
        <v>8</v>
      </c>
      <c r="O13" s="8">
        <v>7</v>
      </c>
      <c r="P13" s="8">
        <v>5</v>
      </c>
      <c r="Q13" s="8">
        <v>5</v>
      </c>
      <c r="R13" s="8">
        <v>6</v>
      </c>
      <c r="S13" s="8">
        <v>7</v>
      </c>
      <c r="T13" s="8">
        <v>8</v>
      </c>
      <c r="U13" s="1">
        <f t="shared" si="0"/>
        <v>7.5333333333333332</v>
      </c>
      <c r="V13" s="27"/>
      <c r="W13" s="26"/>
    </row>
    <row r="14" spans="1:23" ht="15" customHeight="1" x14ac:dyDescent="0.25">
      <c r="A14" s="24"/>
      <c r="B14" s="27"/>
      <c r="C14" s="18" t="s">
        <v>12</v>
      </c>
      <c r="D14" s="18">
        <v>4</v>
      </c>
      <c r="E14" s="7" t="s">
        <v>30</v>
      </c>
      <c r="F14" s="8">
        <v>9</v>
      </c>
      <c r="G14" s="8">
        <v>7</v>
      </c>
      <c r="H14" s="8">
        <v>8</v>
      </c>
      <c r="I14" s="8">
        <v>9</v>
      </c>
      <c r="J14" s="8">
        <v>7</v>
      </c>
      <c r="K14" s="8">
        <v>8</v>
      </c>
      <c r="L14" s="8">
        <v>9</v>
      </c>
      <c r="M14" s="8">
        <v>7</v>
      </c>
      <c r="N14" s="8">
        <v>7</v>
      </c>
      <c r="O14" s="8">
        <v>4</v>
      </c>
      <c r="P14" s="8">
        <v>6</v>
      </c>
      <c r="Q14" s="8">
        <v>6</v>
      </c>
      <c r="R14" s="8">
        <v>6</v>
      </c>
      <c r="S14" s="8">
        <v>5</v>
      </c>
      <c r="T14" s="8">
        <v>7</v>
      </c>
      <c r="U14" s="1">
        <f t="shared" si="0"/>
        <v>7</v>
      </c>
      <c r="V14" s="27"/>
      <c r="W14" s="26"/>
    </row>
    <row r="15" spans="1:23" ht="15" customHeight="1" x14ac:dyDescent="0.25">
      <c r="A15" s="24"/>
      <c r="B15" s="27"/>
      <c r="C15" s="18" t="s">
        <v>12</v>
      </c>
      <c r="D15" s="18">
        <v>5</v>
      </c>
      <c r="E15" s="7" t="s">
        <v>31</v>
      </c>
      <c r="F15" s="8">
        <v>8</v>
      </c>
      <c r="G15" s="8">
        <v>7</v>
      </c>
      <c r="H15" s="8">
        <v>9</v>
      </c>
      <c r="I15" s="8">
        <v>8</v>
      </c>
      <c r="J15" s="8">
        <v>6</v>
      </c>
      <c r="K15" s="8">
        <v>4</v>
      </c>
      <c r="L15" s="8">
        <v>5</v>
      </c>
      <c r="M15" s="8">
        <v>7</v>
      </c>
      <c r="N15" s="8">
        <v>8</v>
      </c>
      <c r="O15" s="8">
        <v>4</v>
      </c>
      <c r="P15" s="8">
        <v>4</v>
      </c>
      <c r="Q15" s="8">
        <v>4</v>
      </c>
      <c r="R15" s="8">
        <v>5</v>
      </c>
      <c r="S15" s="8">
        <v>7</v>
      </c>
      <c r="T15" s="8">
        <v>5</v>
      </c>
      <c r="U15" s="1">
        <f t="shared" si="0"/>
        <v>6.0666666666666664</v>
      </c>
      <c r="V15" s="27"/>
      <c r="W15" s="26"/>
    </row>
    <row r="16" spans="1:23" ht="15" customHeight="1" x14ac:dyDescent="0.25">
      <c r="A16" s="24"/>
      <c r="B16" s="27"/>
      <c r="C16" s="18" t="s">
        <v>13</v>
      </c>
      <c r="D16" s="18">
        <v>6</v>
      </c>
      <c r="E16" s="7" t="s">
        <v>32</v>
      </c>
      <c r="F16" s="8">
        <v>11</v>
      </c>
      <c r="G16" s="8">
        <v>11</v>
      </c>
      <c r="H16" s="8">
        <v>10</v>
      </c>
      <c r="I16" s="8">
        <v>12</v>
      </c>
      <c r="J16" s="8">
        <v>11</v>
      </c>
      <c r="K16" s="8">
        <v>10</v>
      </c>
      <c r="L16" s="8">
        <v>11</v>
      </c>
      <c r="M16" s="8">
        <v>11</v>
      </c>
      <c r="N16" s="8">
        <v>10</v>
      </c>
      <c r="O16" s="8">
        <v>12</v>
      </c>
      <c r="P16" s="8">
        <v>11</v>
      </c>
      <c r="Q16" s="8">
        <v>11</v>
      </c>
      <c r="R16" s="8">
        <v>11</v>
      </c>
      <c r="S16" s="8">
        <v>10</v>
      </c>
      <c r="T16" s="8">
        <v>11</v>
      </c>
      <c r="U16" s="1">
        <f t="shared" si="0"/>
        <v>10.866666666666667</v>
      </c>
      <c r="V16" s="27"/>
      <c r="W16" s="26"/>
    </row>
    <row r="17" spans="1:23" ht="15" customHeight="1" x14ac:dyDescent="0.25">
      <c r="A17" s="24"/>
      <c r="B17" s="27"/>
      <c r="C17" s="18" t="s">
        <v>13</v>
      </c>
      <c r="D17" s="18">
        <v>7</v>
      </c>
      <c r="E17" s="7" t="s">
        <v>33</v>
      </c>
      <c r="F17" s="8">
        <v>11</v>
      </c>
      <c r="G17" s="8">
        <v>11</v>
      </c>
      <c r="H17" s="8">
        <v>10</v>
      </c>
      <c r="I17" s="8">
        <v>10</v>
      </c>
      <c r="J17" s="8">
        <v>11</v>
      </c>
      <c r="K17" s="8">
        <v>12</v>
      </c>
      <c r="L17" s="8">
        <v>11</v>
      </c>
      <c r="M17" s="8">
        <v>11</v>
      </c>
      <c r="N17" s="8">
        <v>9</v>
      </c>
      <c r="O17" s="8">
        <v>10</v>
      </c>
      <c r="P17" s="8">
        <v>10</v>
      </c>
      <c r="Q17" s="8">
        <v>10</v>
      </c>
      <c r="R17" s="8">
        <v>11</v>
      </c>
      <c r="S17" s="8">
        <v>10</v>
      </c>
      <c r="T17" s="8">
        <v>9</v>
      </c>
      <c r="U17" s="1">
        <f t="shared" si="0"/>
        <v>10.4</v>
      </c>
      <c r="V17" s="27"/>
      <c r="W17" s="26"/>
    </row>
    <row r="18" spans="1:23" ht="15" customHeight="1" x14ac:dyDescent="0.25">
      <c r="A18" s="24"/>
      <c r="B18" s="27"/>
      <c r="C18" s="18" t="s">
        <v>13</v>
      </c>
      <c r="D18" s="18">
        <v>8</v>
      </c>
      <c r="E18" s="7" t="s">
        <v>34</v>
      </c>
      <c r="F18" s="8">
        <v>7</v>
      </c>
      <c r="G18" s="8">
        <v>8</v>
      </c>
      <c r="H18" s="8">
        <v>10</v>
      </c>
      <c r="I18" s="8">
        <v>6</v>
      </c>
      <c r="J18" s="8">
        <v>8</v>
      </c>
      <c r="K18" s="8">
        <v>4</v>
      </c>
      <c r="L18" s="8">
        <v>5</v>
      </c>
      <c r="M18" s="8">
        <v>5</v>
      </c>
      <c r="N18" s="8">
        <v>4</v>
      </c>
      <c r="O18" s="8">
        <v>4</v>
      </c>
      <c r="P18" s="8">
        <v>7</v>
      </c>
      <c r="Q18" s="8">
        <v>7</v>
      </c>
      <c r="R18" s="8">
        <v>6</v>
      </c>
      <c r="S18" s="8">
        <v>7</v>
      </c>
      <c r="T18" s="8">
        <v>5</v>
      </c>
      <c r="U18" s="1">
        <f t="shared" si="0"/>
        <v>6.2</v>
      </c>
      <c r="V18" s="27"/>
      <c r="W18" s="26"/>
    </row>
    <row r="19" spans="1:23" ht="15" customHeight="1" x14ac:dyDescent="0.25">
      <c r="A19" s="24"/>
      <c r="B19" s="27"/>
      <c r="C19" s="18" t="s">
        <v>13</v>
      </c>
      <c r="D19" s="18">
        <v>9</v>
      </c>
      <c r="E19" s="7" t="s">
        <v>35</v>
      </c>
      <c r="F19" s="8">
        <v>9</v>
      </c>
      <c r="G19" s="8">
        <v>8</v>
      </c>
      <c r="H19" s="8">
        <v>9</v>
      </c>
      <c r="I19" s="8">
        <v>9</v>
      </c>
      <c r="J19" s="8">
        <v>7</v>
      </c>
      <c r="K19" s="8">
        <v>7</v>
      </c>
      <c r="L19" s="8">
        <v>7</v>
      </c>
      <c r="M19" s="8">
        <v>8</v>
      </c>
      <c r="N19" s="8">
        <v>7</v>
      </c>
      <c r="O19" s="8">
        <v>4</v>
      </c>
      <c r="P19" s="8">
        <v>9</v>
      </c>
      <c r="Q19" s="8">
        <v>9</v>
      </c>
      <c r="R19" s="8">
        <v>5</v>
      </c>
      <c r="S19" s="8">
        <v>9</v>
      </c>
      <c r="T19" s="8">
        <v>7</v>
      </c>
      <c r="U19" s="1">
        <f t="shared" si="0"/>
        <v>7.6</v>
      </c>
      <c r="V19" s="27"/>
      <c r="W19" s="26"/>
    </row>
    <row r="20" spans="1:23" ht="15" customHeight="1" x14ac:dyDescent="0.25">
      <c r="A20" s="24"/>
      <c r="B20" s="27"/>
      <c r="C20" s="18" t="s">
        <v>13</v>
      </c>
      <c r="D20" s="18">
        <v>10</v>
      </c>
      <c r="E20" s="7" t="s">
        <v>36</v>
      </c>
      <c r="F20" s="8">
        <v>10</v>
      </c>
      <c r="G20" s="8">
        <v>7</v>
      </c>
      <c r="H20" s="8">
        <v>9</v>
      </c>
      <c r="I20" s="8">
        <v>9</v>
      </c>
      <c r="J20" s="8">
        <v>8</v>
      </c>
      <c r="K20" s="8">
        <v>8</v>
      </c>
      <c r="L20" s="8">
        <v>7</v>
      </c>
      <c r="M20" s="8">
        <v>9</v>
      </c>
      <c r="N20" s="8">
        <v>7</v>
      </c>
      <c r="O20" s="8">
        <v>8</v>
      </c>
      <c r="P20" s="8">
        <v>9</v>
      </c>
      <c r="Q20" s="8">
        <v>8</v>
      </c>
      <c r="R20" s="8">
        <v>7</v>
      </c>
      <c r="S20" s="8">
        <v>11</v>
      </c>
      <c r="T20" s="8">
        <v>9</v>
      </c>
      <c r="U20" s="1">
        <f t="shared" si="0"/>
        <v>8.4</v>
      </c>
      <c r="V20" s="27"/>
      <c r="W20" s="26"/>
    </row>
    <row r="21" spans="1:23" ht="15" customHeight="1" x14ac:dyDescent="0.25">
      <c r="A21" s="24"/>
      <c r="B21" s="27"/>
      <c r="C21" s="18" t="s">
        <v>13</v>
      </c>
      <c r="D21" s="18">
        <v>11</v>
      </c>
      <c r="E21" s="7" t="s">
        <v>37</v>
      </c>
      <c r="F21" s="8">
        <v>10</v>
      </c>
      <c r="G21" s="8">
        <v>10</v>
      </c>
      <c r="H21" s="8">
        <v>10</v>
      </c>
      <c r="I21" s="8">
        <v>9</v>
      </c>
      <c r="J21" s="8">
        <v>11</v>
      </c>
      <c r="K21" s="8">
        <v>10</v>
      </c>
      <c r="L21" s="8">
        <v>8</v>
      </c>
      <c r="M21" s="8">
        <v>9</v>
      </c>
      <c r="N21" s="8">
        <v>8</v>
      </c>
      <c r="O21" s="8">
        <v>6</v>
      </c>
      <c r="P21" s="8">
        <v>9</v>
      </c>
      <c r="Q21" s="8">
        <v>9</v>
      </c>
      <c r="R21" s="8">
        <v>8</v>
      </c>
      <c r="S21" s="8">
        <v>10</v>
      </c>
      <c r="T21" s="8">
        <v>10</v>
      </c>
      <c r="U21" s="1">
        <f t="shared" si="0"/>
        <v>9.1333333333333329</v>
      </c>
      <c r="V21" s="27"/>
      <c r="W21" s="26"/>
    </row>
    <row r="22" spans="1:23" ht="15" customHeight="1" x14ac:dyDescent="0.25">
      <c r="A22" s="24"/>
      <c r="B22" s="27"/>
      <c r="C22" s="18" t="s">
        <v>12</v>
      </c>
      <c r="D22" s="18">
        <v>12</v>
      </c>
      <c r="E22" s="7" t="s">
        <v>38</v>
      </c>
      <c r="F22" s="8">
        <v>9</v>
      </c>
      <c r="G22" s="8">
        <v>4</v>
      </c>
      <c r="H22" s="8">
        <v>8</v>
      </c>
      <c r="I22" s="8">
        <v>8</v>
      </c>
      <c r="J22" s="8">
        <v>4</v>
      </c>
      <c r="K22" s="8">
        <v>4</v>
      </c>
      <c r="L22" s="8">
        <v>5</v>
      </c>
      <c r="M22" s="8">
        <v>5</v>
      </c>
      <c r="N22" s="8">
        <v>7</v>
      </c>
      <c r="O22" s="8">
        <v>4</v>
      </c>
      <c r="P22" s="8">
        <v>4</v>
      </c>
      <c r="Q22" s="8">
        <v>4</v>
      </c>
      <c r="R22" s="8">
        <v>2</v>
      </c>
      <c r="S22" s="8">
        <v>4</v>
      </c>
      <c r="T22" s="8">
        <v>6</v>
      </c>
      <c r="U22" s="1" t="str">
        <f t="shared" si="0"/>
        <v>-</v>
      </c>
      <c r="V22" s="27"/>
      <c r="W22" s="26"/>
    </row>
    <row r="23" spans="1:23" ht="15" customHeight="1" x14ac:dyDescent="0.25">
      <c r="A23" s="24"/>
      <c r="B23" s="27"/>
      <c r="C23" s="18" t="s">
        <v>13</v>
      </c>
      <c r="D23" s="18">
        <v>13</v>
      </c>
      <c r="E23" s="7" t="s">
        <v>39</v>
      </c>
      <c r="F23" s="8">
        <v>12</v>
      </c>
      <c r="G23" s="8">
        <v>10</v>
      </c>
      <c r="H23" s="8">
        <v>11</v>
      </c>
      <c r="I23" s="8">
        <v>12</v>
      </c>
      <c r="J23" s="8">
        <v>11</v>
      </c>
      <c r="K23" s="8">
        <v>11</v>
      </c>
      <c r="L23" s="8">
        <v>11</v>
      </c>
      <c r="M23" s="8">
        <v>11</v>
      </c>
      <c r="N23" s="8">
        <v>10</v>
      </c>
      <c r="O23" s="8">
        <v>10</v>
      </c>
      <c r="P23" s="8">
        <v>10</v>
      </c>
      <c r="Q23" s="8">
        <v>10</v>
      </c>
      <c r="R23" s="8">
        <v>10</v>
      </c>
      <c r="S23" s="8">
        <v>11</v>
      </c>
      <c r="T23" s="8">
        <v>10</v>
      </c>
      <c r="U23" s="1">
        <f t="shared" si="0"/>
        <v>10.666666666666666</v>
      </c>
      <c r="V23" s="27"/>
      <c r="W23" s="26"/>
    </row>
    <row r="24" spans="1:23" ht="15" customHeight="1" x14ac:dyDescent="0.25">
      <c r="A24" s="24"/>
      <c r="B24" s="27"/>
      <c r="C24" s="18" t="s">
        <v>12</v>
      </c>
      <c r="D24" s="18">
        <v>14</v>
      </c>
      <c r="E24" s="7" t="s">
        <v>40</v>
      </c>
      <c r="F24" s="8">
        <v>10</v>
      </c>
      <c r="G24" s="8">
        <v>5</v>
      </c>
      <c r="H24" s="8">
        <v>7</v>
      </c>
      <c r="I24" s="8">
        <v>10</v>
      </c>
      <c r="J24" s="8">
        <v>6</v>
      </c>
      <c r="K24" s="8">
        <v>5</v>
      </c>
      <c r="L24" s="8">
        <v>6</v>
      </c>
      <c r="M24" s="8">
        <v>7</v>
      </c>
      <c r="N24" s="8">
        <v>8</v>
      </c>
      <c r="O24" s="8">
        <v>4</v>
      </c>
      <c r="P24" s="8">
        <v>6</v>
      </c>
      <c r="Q24" s="8">
        <v>6</v>
      </c>
      <c r="R24" s="8">
        <v>4</v>
      </c>
      <c r="S24" s="8">
        <v>6</v>
      </c>
      <c r="T24" s="8">
        <v>8</v>
      </c>
      <c r="U24" s="1">
        <f t="shared" si="0"/>
        <v>6.5333333333333332</v>
      </c>
      <c r="V24" s="27"/>
      <c r="W24" s="26"/>
    </row>
    <row r="25" spans="1:23" ht="15" customHeight="1" x14ac:dyDescent="0.25">
      <c r="A25" s="24"/>
      <c r="B25" s="27"/>
      <c r="C25" s="18" t="s">
        <v>13</v>
      </c>
      <c r="D25" s="18">
        <v>15</v>
      </c>
      <c r="E25" s="7" t="s">
        <v>41</v>
      </c>
      <c r="F25" s="8">
        <v>12</v>
      </c>
      <c r="G25" s="8">
        <v>10</v>
      </c>
      <c r="H25" s="8">
        <v>11</v>
      </c>
      <c r="I25" s="8">
        <v>12</v>
      </c>
      <c r="J25" s="8">
        <v>11</v>
      </c>
      <c r="K25" s="8">
        <v>11</v>
      </c>
      <c r="L25" s="8">
        <v>10</v>
      </c>
      <c r="M25" s="8">
        <v>11</v>
      </c>
      <c r="N25" s="8">
        <v>10</v>
      </c>
      <c r="O25" s="8">
        <v>10</v>
      </c>
      <c r="P25" s="8">
        <v>10</v>
      </c>
      <c r="Q25" s="8">
        <v>10</v>
      </c>
      <c r="R25" s="8">
        <v>10</v>
      </c>
      <c r="S25" s="8">
        <v>11</v>
      </c>
      <c r="T25" s="8">
        <v>10</v>
      </c>
      <c r="U25" s="1">
        <f t="shared" si="0"/>
        <v>10.6</v>
      </c>
      <c r="V25" s="27"/>
      <c r="W25" s="26"/>
    </row>
    <row r="26" spans="1:23" ht="15" customHeight="1" x14ac:dyDescent="0.25">
      <c r="A26" s="24"/>
      <c r="B26" s="27"/>
      <c r="C26" s="18" t="s">
        <v>12</v>
      </c>
      <c r="D26" s="18">
        <v>16</v>
      </c>
      <c r="E26" s="7" t="s">
        <v>42</v>
      </c>
      <c r="F26" s="8">
        <v>8</v>
      </c>
      <c r="G26" s="8">
        <v>5</v>
      </c>
      <c r="H26" s="8">
        <v>6</v>
      </c>
      <c r="I26" s="8">
        <v>9</v>
      </c>
      <c r="J26" s="8">
        <v>4</v>
      </c>
      <c r="K26" s="8">
        <v>6</v>
      </c>
      <c r="L26" s="8">
        <v>5</v>
      </c>
      <c r="M26" s="8">
        <v>4</v>
      </c>
      <c r="N26" s="8">
        <v>4</v>
      </c>
      <c r="O26" s="8">
        <v>4</v>
      </c>
      <c r="P26" s="8">
        <v>4</v>
      </c>
      <c r="Q26" s="8">
        <v>4</v>
      </c>
      <c r="R26" s="8">
        <v>4</v>
      </c>
      <c r="S26" s="8">
        <v>7</v>
      </c>
      <c r="T26" s="8">
        <v>7</v>
      </c>
      <c r="U26" s="1">
        <f t="shared" si="0"/>
        <v>5.4</v>
      </c>
      <c r="V26" s="27"/>
      <c r="W26" s="26"/>
    </row>
    <row r="27" spans="1:23" ht="15" customHeight="1" x14ac:dyDescent="0.25">
      <c r="A27" s="24"/>
      <c r="B27" s="27"/>
      <c r="C27" s="18" t="s">
        <v>12</v>
      </c>
      <c r="D27" s="18">
        <v>17</v>
      </c>
      <c r="E27" s="7" t="s">
        <v>43</v>
      </c>
      <c r="F27" s="8">
        <v>11</v>
      </c>
      <c r="G27" s="8">
        <v>8</v>
      </c>
      <c r="H27" s="8">
        <v>9</v>
      </c>
      <c r="I27" s="8">
        <v>9</v>
      </c>
      <c r="J27" s="8">
        <v>8</v>
      </c>
      <c r="K27" s="8">
        <v>8</v>
      </c>
      <c r="L27" s="8">
        <v>10</v>
      </c>
      <c r="M27" s="8">
        <v>10</v>
      </c>
      <c r="N27" s="8">
        <v>8</v>
      </c>
      <c r="O27" s="8">
        <v>8</v>
      </c>
      <c r="P27" s="8">
        <v>10</v>
      </c>
      <c r="Q27" s="8">
        <v>10</v>
      </c>
      <c r="R27" s="8">
        <v>8</v>
      </c>
      <c r="S27" s="8">
        <v>8</v>
      </c>
      <c r="T27" s="8">
        <v>8</v>
      </c>
      <c r="U27" s="1">
        <f t="shared" si="0"/>
        <v>8.8666666666666671</v>
      </c>
      <c r="V27" s="27"/>
      <c r="W27" s="26"/>
    </row>
    <row r="28" spans="1:23" ht="15" customHeight="1" x14ac:dyDescent="0.25">
      <c r="A28" s="24"/>
      <c r="B28" s="27"/>
      <c r="C28" s="18" t="s">
        <v>13</v>
      </c>
      <c r="D28" s="18">
        <v>18</v>
      </c>
      <c r="E28" s="7" t="s">
        <v>44</v>
      </c>
      <c r="F28" s="8">
        <v>11</v>
      </c>
      <c r="G28" s="8">
        <v>11</v>
      </c>
      <c r="H28" s="8">
        <v>10</v>
      </c>
      <c r="I28" s="8">
        <v>12</v>
      </c>
      <c r="J28" s="8">
        <v>10</v>
      </c>
      <c r="K28" s="8">
        <v>11</v>
      </c>
      <c r="L28" s="8">
        <v>10</v>
      </c>
      <c r="M28" s="8">
        <v>10</v>
      </c>
      <c r="N28" s="8">
        <v>10</v>
      </c>
      <c r="O28" s="8">
        <v>9</v>
      </c>
      <c r="P28" s="8">
        <v>11</v>
      </c>
      <c r="Q28" s="8">
        <v>10</v>
      </c>
      <c r="R28" s="8">
        <v>9</v>
      </c>
      <c r="S28" s="8">
        <v>11</v>
      </c>
      <c r="T28" s="8">
        <v>11</v>
      </c>
      <c r="U28" s="1">
        <f t="shared" si="0"/>
        <v>10.4</v>
      </c>
      <c r="V28" s="27"/>
      <c r="W28" s="26"/>
    </row>
    <row r="29" spans="1:23" ht="15" customHeight="1" x14ac:dyDescent="0.25">
      <c r="A29" s="24"/>
      <c r="B29" s="27"/>
      <c r="C29" s="18" t="s">
        <v>13</v>
      </c>
      <c r="D29" s="18">
        <v>19</v>
      </c>
      <c r="E29" s="7" t="s">
        <v>45</v>
      </c>
      <c r="F29" s="8">
        <v>9</v>
      </c>
      <c r="G29" s="8">
        <v>8</v>
      </c>
      <c r="H29" s="8">
        <v>10</v>
      </c>
      <c r="I29" s="8">
        <v>8</v>
      </c>
      <c r="J29" s="8">
        <v>8</v>
      </c>
      <c r="K29" s="8">
        <v>7</v>
      </c>
      <c r="L29" s="8">
        <v>8</v>
      </c>
      <c r="M29" s="8">
        <v>8</v>
      </c>
      <c r="N29" s="8">
        <v>7</v>
      </c>
      <c r="O29" s="8">
        <v>9</v>
      </c>
      <c r="P29" s="8">
        <v>9</v>
      </c>
      <c r="Q29" s="8">
        <v>8</v>
      </c>
      <c r="R29" s="8">
        <v>6</v>
      </c>
      <c r="S29" s="8">
        <v>11</v>
      </c>
      <c r="T29" s="8">
        <v>8</v>
      </c>
      <c r="U29" s="1">
        <f t="shared" si="0"/>
        <v>8.2666666666666675</v>
      </c>
      <c r="V29" s="27"/>
      <c r="W29" s="26"/>
    </row>
    <row r="30" spans="1:23" ht="15" customHeight="1" x14ac:dyDescent="0.25">
      <c r="A30" s="24"/>
      <c r="B30" s="27"/>
      <c r="C30" s="18" t="s">
        <v>12</v>
      </c>
      <c r="D30" s="18">
        <v>20</v>
      </c>
      <c r="E30" s="7" t="s">
        <v>46</v>
      </c>
      <c r="F30" s="8">
        <v>4</v>
      </c>
      <c r="G30" s="8">
        <v>7</v>
      </c>
      <c r="H30" s="8">
        <v>7</v>
      </c>
      <c r="I30" s="8">
        <v>4</v>
      </c>
      <c r="J30" s="8">
        <v>5</v>
      </c>
      <c r="K30" s="8">
        <v>4</v>
      </c>
      <c r="L30" s="8">
        <v>6</v>
      </c>
      <c r="M30" s="8">
        <v>7</v>
      </c>
      <c r="N30" s="8">
        <v>6</v>
      </c>
      <c r="O30" s="8">
        <v>4</v>
      </c>
      <c r="P30" s="8">
        <v>4</v>
      </c>
      <c r="Q30" s="8">
        <v>4</v>
      </c>
      <c r="R30" s="8">
        <v>4</v>
      </c>
      <c r="S30" s="8">
        <v>6</v>
      </c>
      <c r="T30" s="8">
        <v>5</v>
      </c>
      <c r="U30" s="1">
        <f t="shared" si="0"/>
        <v>5.1333333333333337</v>
      </c>
      <c r="V30" s="27"/>
      <c r="W30" s="26"/>
    </row>
    <row r="31" spans="1:23" ht="15" customHeight="1" x14ac:dyDescent="0.25">
      <c r="A31" s="24"/>
      <c r="B31" s="27"/>
      <c r="C31" s="18" t="s">
        <v>13</v>
      </c>
      <c r="D31" s="18">
        <v>21</v>
      </c>
      <c r="E31" s="7" t="s">
        <v>47</v>
      </c>
      <c r="F31" s="8">
        <v>10</v>
      </c>
      <c r="G31" s="8">
        <v>10</v>
      </c>
      <c r="H31" s="8">
        <v>10</v>
      </c>
      <c r="I31" s="8">
        <v>11</v>
      </c>
      <c r="J31" s="8">
        <v>10</v>
      </c>
      <c r="K31" s="8">
        <v>11</v>
      </c>
      <c r="L31" s="8">
        <v>10</v>
      </c>
      <c r="M31" s="8">
        <v>10</v>
      </c>
      <c r="N31" s="8">
        <v>8</v>
      </c>
      <c r="O31" s="8">
        <v>7</v>
      </c>
      <c r="P31" s="8">
        <v>9</v>
      </c>
      <c r="Q31" s="8">
        <v>9</v>
      </c>
      <c r="R31" s="8">
        <v>9</v>
      </c>
      <c r="S31" s="8">
        <v>10</v>
      </c>
      <c r="T31" s="8">
        <v>9</v>
      </c>
      <c r="U31" s="1">
        <f t="shared" si="0"/>
        <v>9.5333333333333332</v>
      </c>
      <c r="V31" s="27"/>
      <c r="W31" s="26"/>
    </row>
    <row r="32" spans="1:23" ht="15" customHeight="1" x14ac:dyDescent="0.25">
      <c r="A32" s="24"/>
      <c r="B32" s="27"/>
      <c r="C32" s="18" t="s">
        <v>13</v>
      </c>
      <c r="D32" s="18">
        <v>22</v>
      </c>
      <c r="E32" s="7" t="s">
        <v>48</v>
      </c>
      <c r="F32" s="8">
        <v>11</v>
      </c>
      <c r="G32" s="8">
        <v>10</v>
      </c>
      <c r="H32" s="8">
        <v>10</v>
      </c>
      <c r="I32" s="8">
        <v>11</v>
      </c>
      <c r="J32" s="8">
        <v>10</v>
      </c>
      <c r="K32" s="8">
        <v>10</v>
      </c>
      <c r="L32" s="8">
        <v>10</v>
      </c>
      <c r="M32" s="8">
        <v>11</v>
      </c>
      <c r="N32" s="8">
        <v>9</v>
      </c>
      <c r="O32" s="8">
        <v>10</v>
      </c>
      <c r="P32" s="8">
        <v>10</v>
      </c>
      <c r="Q32" s="8">
        <v>10</v>
      </c>
      <c r="R32" s="8">
        <v>9</v>
      </c>
      <c r="S32" s="8">
        <v>11</v>
      </c>
      <c r="T32" s="8">
        <v>8</v>
      </c>
      <c r="U32" s="1">
        <f t="shared" si="0"/>
        <v>10</v>
      </c>
      <c r="V32" s="27"/>
      <c r="W32" s="26"/>
    </row>
    <row r="33" spans="1:24" ht="15" customHeight="1" x14ac:dyDescent="0.25">
      <c r="A33" s="24"/>
      <c r="B33" s="27"/>
      <c r="C33" s="18" t="s">
        <v>12</v>
      </c>
      <c r="D33" s="18">
        <v>23</v>
      </c>
      <c r="E33" s="7" t="s">
        <v>49</v>
      </c>
      <c r="F33" s="8">
        <v>7</v>
      </c>
      <c r="G33" s="8">
        <v>4</v>
      </c>
      <c r="H33" s="8">
        <v>10</v>
      </c>
      <c r="I33" s="8">
        <v>8</v>
      </c>
      <c r="J33" s="8">
        <v>6</v>
      </c>
      <c r="K33" s="8">
        <v>8</v>
      </c>
      <c r="L33" s="8">
        <v>9</v>
      </c>
      <c r="M33" s="8">
        <v>6</v>
      </c>
      <c r="N33" s="8">
        <v>6</v>
      </c>
      <c r="O33" s="8">
        <v>4</v>
      </c>
      <c r="P33" s="8">
        <v>4</v>
      </c>
      <c r="Q33" s="8">
        <v>5</v>
      </c>
      <c r="R33" s="8">
        <v>4</v>
      </c>
      <c r="S33" s="8">
        <v>5</v>
      </c>
      <c r="T33" s="8">
        <v>5</v>
      </c>
      <c r="U33" s="1">
        <f t="shared" si="0"/>
        <v>6.0666666666666664</v>
      </c>
      <c r="V33" s="27"/>
      <c r="W33" s="26"/>
    </row>
    <row r="34" spans="1:24" ht="15" customHeight="1" x14ac:dyDescent="0.25">
      <c r="A34" s="24"/>
      <c r="B34" s="27"/>
      <c r="C34" s="18" t="s">
        <v>13</v>
      </c>
      <c r="D34" s="18">
        <v>24</v>
      </c>
      <c r="E34" s="7" t="s">
        <v>50</v>
      </c>
      <c r="F34" s="8">
        <v>10</v>
      </c>
      <c r="G34" s="8">
        <v>9</v>
      </c>
      <c r="H34" s="8">
        <v>9</v>
      </c>
      <c r="I34" s="8">
        <v>9</v>
      </c>
      <c r="J34" s="8">
        <v>7</v>
      </c>
      <c r="K34" s="8">
        <v>8</v>
      </c>
      <c r="L34" s="8">
        <v>7</v>
      </c>
      <c r="M34" s="8">
        <v>10</v>
      </c>
      <c r="N34" s="8">
        <v>8</v>
      </c>
      <c r="O34" s="8">
        <v>5</v>
      </c>
      <c r="P34" s="8">
        <v>9</v>
      </c>
      <c r="Q34" s="8">
        <v>7</v>
      </c>
      <c r="R34" s="8">
        <v>7</v>
      </c>
      <c r="S34" s="8">
        <v>7</v>
      </c>
      <c r="T34" s="8">
        <v>9</v>
      </c>
      <c r="U34" s="1">
        <f t="shared" si="0"/>
        <v>8.0666666666666664</v>
      </c>
      <c r="V34" s="27"/>
      <c r="W34" s="26"/>
    </row>
    <row r="35" spans="1:24" ht="15" customHeight="1" x14ac:dyDescent="0.25">
      <c r="A35" s="24"/>
      <c r="B35" s="27"/>
      <c r="C35" s="18" t="s">
        <v>12</v>
      </c>
      <c r="D35" s="18">
        <v>25</v>
      </c>
      <c r="E35" s="7" t="s">
        <v>51</v>
      </c>
      <c r="F35" s="8">
        <v>8</v>
      </c>
      <c r="G35" s="8">
        <v>4</v>
      </c>
      <c r="H35" s="8">
        <v>6</v>
      </c>
      <c r="I35" s="8">
        <v>9</v>
      </c>
      <c r="J35" s="8">
        <v>6</v>
      </c>
      <c r="K35" s="8" t="s">
        <v>61</v>
      </c>
      <c r="L35" s="8" t="s">
        <v>61</v>
      </c>
      <c r="M35" s="8">
        <v>5</v>
      </c>
      <c r="N35" s="8">
        <v>5</v>
      </c>
      <c r="O35" s="8" t="s">
        <v>61</v>
      </c>
      <c r="P35" s="8">
        <v>5</v>
      </c>
      <c r="Q35" s="8" t="s">
        <v>61</v>
      </c>
      <c r="R35" s="8" t="s">
        <v>61</v>
      </c>
      <c r="S35" s="8" t="s">
        <v>61</v>
      </c>
      <c r="T35" s="8">
        <v>6</v>
      </c>
      <c r="U35" s="1" t="str">
        <f t="shared" si="0"/>
        <v>-</v>
      </c>
      <c r="V35" s="27"/>
      <c r="W35" s="26"/>
    </row>
    <row r="36" spans="1:24" ht="15" customHeight="1" x14ac:dyDescent="0.25">
      <c r="A36" s="24"/>
      <c r="B36" s="27"/>
      <c r="C36" s="18" t="s">
        <v>13</v>
      </c>
      <c r="D36" s="18">
        <v>26</v>
      </c>
      <c r="E36" s="7" t="s">
        <v>52</v>
      </c>
      <c r="F36" s="8">
        <v>11</v>
      </c>
      <c r="G36" s="8">
        <v>10</v>
      </c>
      <c r="H36" s="8">
        <v>10</v>
      </c>
      <c r="I36" s="8">
        <v>11</v>
      </c>
      <c r="J36" s="8">
        <v>10</v>
      </c>
      <c r="K36" s="8">
        <v>10</v>
      </c>
      <c r="L36" s="8">
        <v>8</v>
      </c>
      <c r="M36" s="8">
        <v>10</v>
      </c>
      <c r="N36" s="8">
        <v>9</v>
      </c>
      <c r="O36" s="8">
        <v>8</v>
      </c>
      <c r="P36" s="8">
        <v>9</v>
      </c>
      <c r="Q36" s="8">
        <v>8</v>
      </c>
      <c r="R36" s="8">
        <v>9</v>
      </c>
      <c r="S36" s="8">
        <v>9</v>
      </c>
      <c r="T36" s="8">
        <v>10</v>
      </c>
      <c r="U36" s="1">
        <f t="shared" si="0"/>
        <v>9.4666666666666668</v>
      </c>
      <c r="V36" s="27"/>
      <c r="W36" s="26"/>
    </row>
    <row r="37" spans="1:24" ht="15" customHeight="1" x14ac:dyDescent="0.25">
      <c r="A37" s="24"/>
      <c r="B37" s="27"/>
      <c r="C37" s="18" t="s">
        <v>12</v>
      </c>
      <c r="D37" s="18">
        <v>27</v>
      </c>
      <c r="E37" s="7" t="s">
        <v>53</v>
      </c>
      <c r="F37" s="8">
        <v>4</v>
      </c>
      <c r="G37" s="8">
        <v>4</v>
      </c>
      <c r="H37" s="8">
        <v>5</v>
      </c>
      <c r="I37" s="8">
        <v>4</v>
      </c>
      <c r="J37" s="8" t="s">
        <v>61</v>
      </c>
      <c r="K37" s="8" t="s">
        <v>61</v>
      </c>
      <c r="L37" s="8">
        <v>4</v>
      </c>
      <c r="M37" s="8">
        <v>4</v>
      </c>
      <c r="N37" s="8" t="s">
        <v>61</v>
      </c>
      <c r="O37" s="8" t="s">
        <v>61</v>
      </c>
      <c r="P37" s="8" t="s">
        <v>61</v>
      </c>
      <c r="Q37" s="8" t="s">
        <v>61</v>
      </c>
      <c r="R37" s="8">
        <v>4</v>
      </c>
      <c r="S37" s="8" t="s">
        <v>61</v>
      </c>
      <c r="T37" s="8">
        <v>5</v>
      </c>
      <c r="U37" s="1" t="str">
        <f t="shared" si="0"/>
        <v>-</v>
      </c>
      <c r="V37" s="27"/>
      <c r="W37" s="26"/>
    </row>
    <row r="38" spans="1:24" ht="15" customHeight="1" x14ac:dyDescent="0.25">
      <c r="A38" s="24"/>
      <c r="B38" s="27"/>
      <c r="C38" s="18" t="s">
        <v>13</v>
      </c>
      <c r="D38" s="18">
        <v>28</v>
      </c>
      <c r="E38" s="7" t="s">
        <v>54</v>
      </c>
      <c r="F38" s="8">
        <v>10</v>
      </c>
      <c r="G38" s="8">
        <v>8</v>
      </c>
      <c r="H38" s="8">
        <v>10</v>
      </c>
      <c r="I38" s="8">
        <v>9</v>
      </c>
      <c r="J38" s="8">
        <v>7</v>
      </c>
      <c r="K38" s="8">
        <v>7</v>
      </c>
      <c r="L38" s="8">
        <v>7</v>
      </c>
      <c r="M38" s="8">
        <v>9</v>
      </c>
      <c r="N38" s="8">
        <v>8</v>
      </c>
      <c r="O38" s="8">
        <v>6</v>
      </c>
      <c r="P38" s="8">
        <v>5</v>
      </c>
      <c r="Q38" s="8">
        <v>5</v>
      </c>
      <c r="R38" s="8">
        <v>8</v>
      </c>
      <c r="S38" s="8">
        <v>6</v>
      </c>
      <c r="T38" s="8">
        <v>8</v>
      </c>
      <c r="U38" s="1">
        <f t="shared" si="0"/>
        <v>7.5333333333333332</v>
      </c>
      <c r="V38" s="27"/>
      <c r="W38" s="26"/>
    </row>
    <row r="39" spans="1:24" ht="15" customHeight="1" x14ac:dyDescent="0.25">
      <c r="A39" s="24"/>
      <c r="B39" s="27"/>
      <c r="C39" s="18" t="s">
        <v>13</v>
      </c>
      <c r="D39" s="18">
        <v>29</v>
      </c>
      <c r="E39" s="7" t="s">
        <v>55</v>
      </c>
      <c r="F39" s="8">
        <v>10</v>
      </c>
      <c r="G39" s="8">
        <v>9</v>
      </c>
      <c r="H39" s="8">
        <v>10</v>
      </c>
      <c r="I39" s="8">
        <v>11</v>
      </c>
      <c r="J39" s="8">
        <v>10</v>
      </c>
      <c r="K39" s="8">
        <v>10</v>
      </c>
      <c r="L39" s="8">
        <v>10</v>
      </c>
      <c r="M39" s="8">
        <v>10</v>
      </c>
      <c r="N39" s="8">
        <v>9</v>
      </c>
      <c r="O39" s="8">
        <v>10</v>
      </c>
      <c r="P39" s="8">
        <v>10</v>
      </c>
      <c r="Q39" s="8">
        <v>9</v>
      </c>
      <c r="R39" s="8">
        <v>9</v>
      </c>
      <c r="S39" s="8">
        <v>10</v>
      </c>
      <c r="T39" s="8">
        <v>11</v>
      </c>
      <c r="U39" s="1">
        <f t="shared" si="0"/>
        <v>9.8666666666666671</v>
      </c>
      <c r="V39" s="27"/>
      <c r="W39" s="26"/>
    </row>
    <row r="40" spans="1:24" ht="15" customHeight="1" x14ac:dyDescent="0.25">
      <c r="A40" s="24"/>
      <c r="B40" s="27"/>
      <c r="C40" s="18" t="s">
        <v>13</v>
      </c>
      <c r="D40" s="18">
        <v>30</v>
      </c>
      <c r="E40" s="7" t="s">
        <v>56</v>
      </c>
      <c r="F40" s="8">
        <v>11</v>
      </c>
      <c r="G40" s="8">
        <v>11</v>
      </c>
      <c r="H40" s="8">
        <v>10</v>
      </c>
      <c r="I40" s="8">
        <v>11</v>
      </c>
      <c r="J40" s="8">
        <v>11</v>
      </c>
      <c r="K40" s="8">
        <v>11</v>
      </c>
      <c r="L40" s="8">
        <v>11</v>
      </c>
      <c r="M40" s="8">
        <v>11</v>
      </c>
      <c r="N40" s="8">
        <v>10</v>
      </c>
      <c r="O40" s="8">
        <v>10</v>
      </c>
      <c r="P40" s="8">
        <v>11</v>
      </c>
      <c r="Q40" s="8">
        <v>10</v>
      </c>
      <c r="R40" s="8">
        <v>10</v>
      </c>
      <c r="S40" s="8">
        <v>11</v>
      </c>
      <c r="T40" s="8">
        <v>10</v>
      </c>
      <c r="U40" s="1">
        <f t="shared" si="0"/>
        <v>10.6</v>
      </c>
      <c r="V40" s="27"/>
      <c r="W40" s="26"/>
    </row>
    <row r="41" spans="1:24" ht="15" customHeight="1" x14ac:dyDescent="0.25">
      <c r="A41" s="24"/>
      <c r="B41" s="27"/>
      <c r="C41" s="18" t="s">
        <v>13</v>
      </c>
      <c r="D41" s="18">
        <v>31</v>
      </c>
      <c r="E41" s="7" t="s">
        <v>57</v>
      </c>
      <c r="F41" s="8">
        <v>8</v>
      </c>
      <c r="G41" s="8">
        <v>10</v>
      </c>
      <c r="H41" s="8">
        <v>10</v>
      </c>
      <c r="I41" s="8">
        <v>8</v>
      </c>
      <c r="J41" s="8">
        <v>9</v>
      </c>
      <c r="K41" s="8">
        <v>9</v>
      </c>
      <c r="L41" s="8">
        <v>6</v>
      </c>
      <c r="M41" s="8">
        <v>9</v>
      </c>
      <c r="N41" s="8">
        <v>7</v>
      </c>
      <c r="O41" s="8">
        <v>7</v>
      </c>
      <c r="P41" s="8">
        <v>6</v>
      </c>
      <c r="Q41" s="8">
        <v>7</v>
      </c>
      <c r="R41" s="8">
        <v>5</v>
      </c>
      <c r="S41" s="8">
        <v>4</v>
      </c>
      <c r="T41" s="8">
        <v>9</v>
      </c>
      <c r="U41" s="1">
        <f t="shared" ref="U41" si="1">IF(COUNTIF(F41:T41,"=*")&gt;0,"-",IF(COUNTIF(F41:T41,"&lt;4")&gt;0,"-",(IFERROR(AVERAGE(F41:T41),""))))</f>
        <v>7.6</v>
      </c>
      <c r="V41" s="27"/>
      <c r="W41" s="26"/>
    </row>
    <row r="42" spans="1:24" ht="15" customHeight="1" x14ac:dyDescent="0.25">
      <c r="A42" s="24"/>
      <c r="B42" s="27"/>
      <c r="C42" s="9"/>
      <c r="D42" s="9"/>
      <c r="E42" s="7" t="s">
        <v>14</v>
      </c>
      <c r="F42" s="2">
        <f>IF(SUM(F11:F41)=0,"",SUM(F11:F41)/D41)</f>
        <v>9.387096774193548</v>
      </c>
      <c r="G42" s="2">
        <f>IF(SUM(G11:G41)=0,"",SUM(G11:G41)/D41)</f>
        <v>8.0322580645161299</v>
      </c>
      <c r="H42" s="2">
        <f>IF(SUM(H11:H41)=0,"",SUM(H11:H41)/D41)</f>
        <v>8.935483870967742</v>
      </c>
      <c r="I42" s="2">
        <f>IF(SUM(I11:I41)=0,"",SUM(I11:I41)/D41)</f>
        <v>9.2903225806451619</v>
      </c>
      <c r="J42" s="2">
        <f>IF(SUM(J11:J41)=0,"",SUM(J11:J41)/D41)</f>
        <v>7.870967741935484</v>
      </c>
      <c r="K42" s="2">
        <f>IF(SUM(K11:K41)=0,"",SUM(K11:K41)/D41)</f>
        <v>7.67741935483871</v>
      </c>
      <c r="L42" s="2">
        <f>IF(SUM(L11:L41)=0,"",SUM(L11:L41)/D41)</f>
        <v>7.741935483870968</v>
      </c>
      <c r="M42" s="2">
        <f>IF(SUM(M11:M41)=0,"",SUM(M11:M41)/D41)</f>
        <v>8.4516129032258061</v>
      </c>
      <c r="N42" s="2">
        <f>IF(SUM(N11:N41)=0,"",SUM(N11:N41)/D41)</f>
        <v>7.4516129032258061</v>
      </c>
      <c r="O42" s="2">
        <f>IF(SUM(O11:O41)=0,"",SUM(O11:O41)/D41)</f>
        <v>6.580645161290323</v>
      </c>
      <c r="P42" s="2">
        <f>IF(SUM(P11:P41)=0,"",SUM(P11:P41)/D41)</f>
        <v>7.4516129032258061</v>
      </c>
      <c r="Q42" s="2">
        <f>IF(SUM(Q11:Q41)=0,"",SUM(Q11:Q41)/D41)</f>
        <v>7.161290322580645</v>
      </c>
      <c r="R42" s="2">
        <f>IF(SUM(R11:R41)=0,"",SUM(R11:R41)/D41)</f>
        <v>6.838709677419355</v>
      </c>
      <c r="S42" s="2">
        <f>IF(SUM(S11:S41)=0,"",SUM(S11:S41)/D41)</f>
        <v>7.67741935483871</v>
      </c>
      <c r="T42" s="2">
        <f>IF(SUM(T11:T41)=0,"",SUM(T11:T41)/D41)</f>
        <v>8.129032258064516</v>
      </c>
      <c r="U42" s="1">
        <f>IFERROR(AVERAGE(F42:T42),"")</f>
        <v>7.9118279569892467</v>
      </c>
      <c r="V42" s="27"/>
      <c r="W42" s="26"/>
    </row>
    <row r="43" spans="1:24" ht="15" customHeight="1" x14ac:dyDescent="0.25">
      <c r="A43" s="24"/>
      <c r="B43" s="27"/>
      <c r="C43" s="9"/>
      <c r="D43" s="9"/>
      <c r="E43" s="7" t="s">
        <v>15</v>
      </c>
      <c r="F43" s="10">
        <f>IF(SUM(F11:F41)=0,"",IF(COUNTIF(F11:F41,"&gt;=4")=0,0,COUNTIF(F11:F41,"&gt;=4")/D41*100))</f>
        <v>100</v>
      </c>
      <c r="G43" s="10">
        <f>IF(SUM(G11:G41)=0,"",IF(COUNTIF(G11:G41,"&gt;=4")=0,0,COUNTIF(G11:G41,"&gt;=4")/D41*100))</f>
        <v>100</v>
      </c>
      <c r="H43" s="10">
        <f>IF(SUM(H11:H41)=0,"",IF(COUNTIF(H11:H41,"&gt;=4")=0,0,COUNTIF(H11:H41,"&gt;=4")/D41*100))</f>
        <v>100</v>
      </c>
      <c r="I43" s="10">
        <f>IF(SUM(I11:I41)=0,"",IF(COUNTIF(I11:I41,"&gt;=4")=0,0,COUNTIF(I11:I41,"&gt;=4")/D41*100))</f>
        <v>100</v>
      </c>
      <c r="J43" s="10">
        <f>IF(SUM(J11:J41)=0,"",IF(COUNTIF(J11:J41,"&gt;=4")=0,0,COUNTIF(J11:J41,"&gt;=4")/D41*100))</f>
        <v>96.774193548387103</v>
      </c>
      <c r="K43" s="10">
        <f>IF(SUM(K11:K41)=0,"",IF(COUNTIF(K11:K41,"&gt;=4")=0,0,COUNTIF(K11:K41,"&gt;=4")/D41*100))</f>
        <v>93.548387096774192</v>
      </c>
      <c r="L43" s="10">
        <f>IF(SUM(L11:L41)=0,"",IF(COUNTIF(L11:L41,"&gt;=4")=0,0,COUNTIF(L11:L41,"&gt;=4")/D41*100))</f>
        <v>96.774193548387103</v>
      </c>
      <c r="M43" s="10">
        <f>IF(SUM(M11:M41)=0,"",IF(COUNTIF(M11:M41,"&gt;=4")=0,0,COUNTIF(M11:M41,"&gt;=4")/D41*100))</f>
        <v>100</v>
      </c>
      <c r="N43" s="10">
        <f>IF(SUM(N11:N41)=0,"",IF(COUNTIF(N11:N41,"&gt;=4")=0,0,COUNTIF(N11:N41,"&gt;=4")/D41*100))</f>
        <v>96.774193548387103</v>
      </c>
      <c r="O43" s="10">
        <f>IF(SUM(O11:O41)=0,"",IF(COUNTIF(O11:O41,"&gt;=4")=0,0,COUNTIF(O11:O41,"&gt;=4")/D41*100))</f>
        <v>93.548387096774192</v>
      </c>
      <c r="P43" s="10">
        <f>IF(SUM(P11:P41)=0,"",IF(COUNTIF(P11:P41,"&gt;=4")=0,0,COUNTIF(P11:P41,"&gt;=4")/D41*100))</f>
        <v>96.774193548387103</v>
      </c>
      <c r="Q43" s="10">
        <f>IF(SUM(Q11:Q41)=0,"",IF(COUNTIF(Q11:Q41,"&gt;=4")=0,0,COUNTIF(Q11:Q41,"&gt;=4")/D41*100))</f>
        <v>93.548387096774192</v>
      </c>
      <c r="R43" s="10">
        <f>IF(SUM(R11:R41)=0,"",IF(COUNTIF(R11:R41,"&gt;=4")=0,0,COUNTIF(R11:R41,"&gt;=4")/D41*100))</f>
        <v>93.548387096774192</v>
      </c>
      <c r="S43" s="10">
        <f>IF(SUM(S11:S41)=0,"",IF(COUNTIF(S11:S41,"&gt;=4")=0,0,COUNTIF(S11:S41,"&gt;=4")/D41*100))</f>
        <v>93.548387096774192</v>
      </c>
      <c r="T43" s="10">
        <f>IF(SUM(T11:T41)=0,"",IF(COUNTIF(T11:T41,"&gt;=4")=0,0,COUNTIF(T11:T41,"&gt;=4")/D41*100))</f>
        <v>100</v>
      </c>
      <c r="U43" s="11"/>
      <c r="V43" s="27"/>
      <c r="W43" s="26"/>
      <c r="X43" s="12"/>
    </row>
    <row r="44" spans="1:24" ht="15" customHeight="1" x14ac:dyDescent="0.25">
      <c r="A44" s="24"/>
      <c r="B44" s="27"/>
      <c r="C44" s="9"/>
      <c r="D44" s="9"/>
      <c r="E44" s="7" t="s">
        <v>16</v>
      </c>
      <c r="F44" s="10">
        <f>IF(SUM(F11:F41)=0,"",IF(COUNTIF(F11:F41,"&gt;=7")=0,0,COUNTIF(F11:F41,"&gt;=7")/D41*100))</f>
        <v>93.548387096774192</v>
      </c>
      <c r="G44" s="10">
        <f>IF(SUM(G11:G41)=0,"",IF(COUNTIF(G11:G41,"&gt;=7")=0,0,COUNTIF(G11:G41,"&gt;=7")/D41*100))</f>
        <v>74.193548387096769</v>
      </c>
      <c r="H44" s="10">
        <f>IF(SUM(H11:H41)=0,"",IF(COUNTIF(H11:H41,"&gt;=7")=0,0,COUNTIF(H11:H41,"&gt;=7")/D41*100))</f>
        <v>87.096774193548384</v>
      </c>
      <c r="I44" s="10">
        <f>IF(SUM(I11:I41)=0,"",IF(COUNTIF(I11:I41,"&gt;=7")=0,0,COUNTIF(I11:I41,"&gt;=7")/D41*100))</f>
        <v>90.322580645161281</v>
      </c>
      <c r="J44" s="10">
        <f>IF(SUM(J11:J41)=0,"",IF(COUNTIF(J11:J41,"&gt;=7")=0,0,COUNTIF(J11:J41,"&gt;=7")/D41*100))</f>
        <v>70.967741935483872</v>
      </c>
      <c r="K44" s="10">
        <f>IF(SUM(K11:K41)=0,"",IF(COUNTIF(K11:K41,"&gt;=7")=0,0,COUNTIF(K11:K41,"&gt;=7")/D41*100))</f>
        <v>70.967741935483872</v>
      </c>
      <c r="L44" s="10">
        <f>IF(SUM(L11:L41)=0,"",IF(COUNTIF(L11:L41,"&gt;=7")=0,0,COUNTIF(L11:L41,"&gt;=7")/D41*100))</f>
        <v>67.741935483870961</v>
      </c>
      <c r="M44" s="10">
        <f>IF(SUM(M11:M41)=0,"",IF(COUNTIF(M11:M41,"&gt;=7")=0,0,COUNTIF(M11:M41,"&gt;=7")/D41*100))</f>
        <v>77.41935483870968</v>
      </c>
      <c r="N44" s="10">
        <f>IF(SUM(N11:N41)=0,"",IF(COUNTIF(N11:N41,"&gt;=7")=0,0,COUNTIF(N11:N41,"&gt;=7")/D41*100))</f>
        <v>77.41935483870968</v>
      </c>
      <c r="O44" s="10">
        <f>IF(SUM(O11:O41)=0,"",IF(COUNTIF(O11:O41,"&gt;=7")=0,0,COUNTIF(O11:O41,"&gt;=7")/D41*100))</f>
        <v>51.612903225806448</v>
      </c>
      <c r="P44" s="10">
        <f>IF(SUM(P11:P41)=0,"",IF(COUNTIF(P11:P41,"&gt;=7")=0,0,COUNTIF(P11:P41,"&gt;=7")/D41*100))</f>
        <v>58.064516129032263</v>
      </c>
      <c r="Q44" s="10">
        <f>IF(SUM(Q11:Q41)=0,"",IF(COUNTIF(Q11:Q41,"&gt;=7")=0,0,COUNTIF(Q11:Q41,"&gt;=7")/D41*100))</f>
        <v>61.29032258064516</v>
      </c>
      <c r="R44" s="10">
        <f>IF(SUM(R11:R41)=0,"",IF(COUNTIF(R11:R41,"&gt;=7")=0,0,COUNTIF(R11:R41,"&gt;=7")/D41*100))</f>
        <v>51.612903225806448</v>
      </c>
      <c r="S44" s="10">
        <f>IF(SUM(S11:S41)=0,"",IF(COUNTIF(S11:S41,"&gt;=7")=0,0,COUNTIF(S11:S41,"&gt;=7")/D41*100))</f>
        <v>67.741935483870961</v>
      </c>
      <c r="T44" s="10">
        <f>IF(SUM(T11:T41)=0,"",IF(COUNTIF(T11:T41,"&gt;=7")=0,0,COUNTIF(T11:T41,"&gt;=7")/D41*100))</f>
        <v>77.41935483870968</v>
      </c>
      <c r="U44" s="16"/>
      <c r="V44" s="27"/>
      <c r="W44" s="26"/>
      <c r="X44" s="12"/>
    </row>
    <row r="45" spans="1:24" ht="15" customHeight="1" x14ac:dyDescent="0.25">
      <c r="A45" s="24"/>
      <c r="B45" s="27"/>
      <c r="C45" s="9"/>
      <c r="D45" s="9"/>
      <c r="E45" s="7" t="s">
        <v>17</v>
      </c>
      <c r="F45" s="2">
        <f>IFERROR(AVERAGE(F43:T43),"")</f>
        <v>96.989247311827938</v>
      </c>
      <c r="G45" s="1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16"/>
      <c r="V45" s="27"/>
      <c r="W45" s="26"/>
      <c r="X45" s="12"/>
    </row>
    <row r="46" spans="1:24" ht="15" customHeight="1" x14ac:dyDescent="0.25">
      <c r="A46" s="24"/>
      <c r="B46" s="27"/>
      <c r="C46" s="9"/>
      <c r="D46" s="9"/>
      <c r="E46" s="7" t="s">
        <v>18</v>
      </c>
      <c r="F46" s="2">
        <f>IFERROR(AVERAGE(F44:T44),"")</f>
        <v>71.827956989247312</v>
      </c>
      <c r="G46" s="1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16"/>
      <c r="V46" s="27"/>
      <c r="W46" s="26"/>
      <c r="X46" s="12"/>
    </row>
    <row r="47" spans="1:24" ht="15" customHeight="1" x14ac:dyDescent="0.25">
      <c r="A47" s="24"/>
      <c r="B47" s="27"/>
      <c r="C47" s="9"/>
      <c r="D47" s="9"/>
      <c r="E47" s="7" t="s">
        <v>19</v>
      </c>
      <c r="F47" s="17">
        <f>IF(COUNTIF(C11:C41,"=Б")=0,IF(COUNTIF(C11:C41,"=К")=0,"",0),COUNTIF(C11:C41,"=Б"))</f>
        <v>20</v>
      </c>
      <c r="G47" s="1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16"/>
      <c r="V47" s="27"/>
      <c r="W47" s="26"/>
      <c r="X47" s="12"/>
    </row>
    <row r="48" spans="1:24" ht="15" customHeight="1" x14ac:dyDescent="0.25">
      <c r="A48" s="24"/>
      <c r="B48" s="27"/>
      <c r="C48" s="9"/>
      <c r="D48" s="9"/>
      <c r="E48" s="7" t="s">
        <v>20</v>
      </c>
      <c r="F48" s="17">
        <f>IF(COUNTIF(C11:C41,"=К")=0,IF(COUNTIF(C11:C41,"=Б")=0,"",0),COUNTIF(C11:C41,"=К"))</f>
        <v>11</v>
      </c>
      <c r="G48" s="19"/>
      <c r="H48" s="9"/>
      <c r="I48" s="13" t="s">
        <v>21</v>
      </c>
      <c r="J48" s="9"/>
      <c r="K48" s="9"/>
      <c r="L48" s="9"/>
      <c r="M48" s="9"/>
      <c r="N48" s="9"/>
      <c r="O48" s="9"/>
      <c r="P48" s="15" t="s">
        <v>58</v>
      </c>
      <c r="Q48" s="9"/>
      <c r="R48" s="9"/>
      <c r="S48" s="9"/>
      <c r="T48" s="9"/>
      <c r="U48" s="9"/>
      <c r="V48" s="27"/>
      <c r="W48" s="26"/>
    </row>
    <row r="49" spans="1:23" ht="15" customHeight="1" x14ac:dyDescent="0.25">
      <c r="A49" s="24"/>
      <c r="B49" s="27"/>
      <c r="C49" s="9"/>
      <c r="D49" s="9"/>
      <c r="E49" s="7" t="s">
        <v>22</v>
      </c>
      <c r="F49" s="17">
        <v>1</v>
      </c>
      <c r="G49" s="1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27"/>
      <c r="W49" s="26"/>
    </row>
    <row r="50" spans="1:23" ht="15" customHeight="1" x14ac:dyDescent="0.25">
      <c r="A50" s="24"/>
      <c r="B50" s="27"/>
      <c r="C50" s="9"/>
      <c r="D50" s="9"/>
      <c r="E50" s="7" t="s">
        <v>23</v>
      </c>
      <c r="F50" s="17">
        <v>8</v>
      </c>
      <c r="G50" s="19"/>
      <c r="H50" s="9"/>
      <c r="I50" s="13" t="s">
        <v>24</v>
      </c>
      <c r="J50" s="9"/>
      <c r="K50" s="9"/>
      <c r="L50" s="9"/>
      <c r="M50" s="9"/>
      <c r="N50" s="9"/>
      <c r="O50" s="9"/>
      <c r="P50" s="13" t="s">
        <v>25</v>
      </c>
      <c r="Q50" s="9"/>
      <c r="R50" s="9"/>
      <c r="S50" s="9"/>
      <c r="T50" s="9"/>
      <c r="U50" s="9"/>
      <c r="V50" s="27"/>
      <c r="W50" s="26"/>
    </row>
    <row r="51" spans="1:23" ht="12" customHeight="1" thickBot="1" x14ac:dyDescent="0.3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6"/>
    </row>
    <row r="52" spans="1:23" ht="12" customHeight="1" x14ac:dyDescent="0.25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</row>
  </sheetData>
  <sheetProtection selectLockedCells="1"/>
  <mergeCells count="18">
    <mergeCell ref="B52:V52"/>
    <mergeCell ref="C7:U7"/>
    <mergeCell ref="C8:U8"/>
    <mergeCell ref="C9:C10"/>
    <mergeCell ref="D9:D10"/>
    <mergeCell ref="E9:E10"/>
    <mergeCell ref="F9:U9"/>
    <mergeCell ref="B1:V1"/>
    <mergeCell ref="A2:A51"/>
    <mergeCell ref="B2:V2"/>
    <mergeCell ref="W2:W51"/>
    <mergeCell ref="B3:B50"/>
    <mergeCell ref="C3:U3"/>
    <mergeCell ref="V3:V50"/>
    <mergeCell ref="C4:U4"/>
    <mergeCell ref="C5:U5"/>
    <mergeCell ref="C6:U6"/>
    <mergeCell ref="B51:V51"/>
  </mergeCells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36"/>
  <sheetViews>
    <sheetView topLeftCell="A7" zoomScaleNormal="100" workbookViewId="0"/>
  </sheetViews>
  <sheetFormatPr defaultColWidth="0" defaultRowHeight="0" customHeight="1" zeroHeight="1" x14ac:dyDescent="0.25"/>
  <cols>
    <col min="1" max="2" width="2.7109375" style="3" customWidth="1"/>
    <col min="3" max="3" width="4.140625" style="3" customWidth="1"/>
    <col min="4" max="4" width="6.5703125" style="3" customWidth="1"/>
    <col min="5" max="5" width="40.42578125" style="3" customWidth="1"/>
    <col min="6" max="20" width="6.7109375" style="3" customWidth="1"/>
    <col min="21" max="22" width="11.28515625" style="3" customWidth="1"/>
    <col min="23" max="24" width="2.7109375" style="3" customWidth="1"/>
    <col min="25" max="30" width="14.42578125" style="3" hidden="1" customWidth="1"/>
    <col min="31" max="31" width="14.85546875" style="3" hidden="1" customWidth="1"/>
    <col min="32" max="45" width="3.7109375" style="3" hidden="1" customWidth="1"/>
    <col min="46" max="60" width="5.7109375" style="3" hidden="1" customWidth="1"/>
    <col min="61" max="16384" width="14.42578125" style="3" hidden="1"/>
  </cols>
  <sheetData>
    <row r="1" spans="1:24" ht="12" customHeight="1" thickBot="1" x14ac:dyDescent="0.3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4" ht="12" customHeight="1" x14ac:dyDescent="0.25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4" customFormat="1" ht="15" customHeight="1" x14ac:dyDescent="0.25">
      <c r="A3" s="24"/>
      <c r="B3" s="27"/>
      <c r="C3" s="27" t="s">
        <v>70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6"/>
    </row>
    <row r="4" spans="1:24" s="4" customFormat="1" ht="15" customHeight="1" x14ac:dyDescent="0.25">
      <c r="A4" s="24"/>
      <c r="B4" s="27"/>
      <c r="C4" s="27" t="s">
        <v>71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6"/>
    </row>
    <row r="5" spans="1:24" s="5" customFormat="1" ht="15" customHeight="1" x14ac:dyDescent="0.25">
      <c r="A5" s="24"/>
      <c r="B5" s="27"/>
      <c r="C5" s="28" t="s">
        <v>73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7"/>
      <c r="X5" s="26"/>
    </row>
    <row r="6" spans="1:24" s="4" customFormat="1" ht="15" customHeight="1" x14ac:dyDescent="0.25">
      <c r="A6" s="24"/>
      <c r="B6" s="27"/>
      <c r="C6" s="29" t="s">
        <v>59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7"/>
      <c r="X6" s="26"/>
    </row>
    <row r="7" spans="1:24" s="4" customFormat="1" ht="15" customHeight="1" x14ac:dyDescent="0.25">
      <c r="A7" s="24"/>
      <c r="B7" s="27"/>
      <c r="C7" s="29" t="s">
        <v>72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7"/>
      <c r="X7" s="26"/>
    </row>
    <row r="8" spans="1:24" s="4" customFormat="1" ht="15" customHeight="1" x14ac:dyDescent="0.25">
      <c r="A8" s="24"/>
      <c r="B8" s="27"/>
      <c r="C8" s="27" t="s">
        <v>60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6"/>
    </row>
    <row r="9" spans="1:24" ht="15" customHeight="1" x14ac:dyDescent="0.25">
      <c r="A9" s="24"/>
      <c r="B9" s="27"/>
      <c r="C9" s="31" t="s">
        <v>0</v>
      </c>
      <c r="D9" s="33" t="s">
        <v>1</v>
      </c>
      <c r="E9" s="33" t="s">
        <v>2</v>
      </c>
      <c r="F9" s="34" t="s">
        <v>68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6"/>
      <c r="W9" s="27"/>
      <c r="X9" s="26"/>
    </row>
    <row r="10" spans="1:24" ht="125.1" customHeight="1" x14ac:dyDescent="0.25">
      <c r="A10" s="24"/>
      <c r="B10" s="27"/>
      <c r="C10" s="32"/>
      <c r="D10" s="32"/>
      <c r="E10" s="32"/>
      <c r="F10" s="14" t="s">
        <v>69</v>
      </c>
      <c r="G10" s="14" t="s">
        <v>3</v>
      </c>
      <c r="H10" s="14" t="s">
        <v>4</v>
      </c>
      <c r="I10" s="14" t="s">
        <v>5</v>
      </c>
      <c r="J10" s="14" t="s">
        <v>6</v>
      </c>
      <c r="K10" s="14" t="s">
        <v>62</v>
      </c>
      <c r="L10" s="14" t="s">
        <v>63</v>
      </c>
      <c r="M10" s="14" t="s">
        <v>7</v>
      </c>
      <c r="N10" s="14" t="s">
        <v>8</v>
      </c>
      <c r="O10" s="14" t="s">
        <v>64</v>
      </c>
      <c r="P10" s="14" t="s">
        <v>65</v>
      </c>
      <c r="Q10" s="14" t="s">
        <v>66</v>
      </c>
      <c r="R10" s="14" t="s">
        <v>9</v>
      </c>
      <c r="S10" s="14" t="s">
        <v>67</v>
      </c>
      <c r="T10" s="14" t="s">
        <v>10</v>
      </c>
      <c r="U10" s="6" t="s">
        <v>11</v>
      </c>
      <c r="V10" s="6" t="s">
        <v>74</v>
      </c>
      <c r="W10" s="27"/>
      <c r="X10" s="26"/>
    </row>
    <row r="11" spans="1:24" ht="15" customHeight="1" x14ac:dyDescent="0.25">
      <c r="A11" s="24"/>
      <c r="B11" s="27"/>
      <c r="C11" s="38" t="s">
        <v>13</v>
      </c>
      <c r="D11" s="38">
        <v>1</v>
      </c>
      <c r="E11" s="39" t="s">
        <v>32</v>
      </c>
      <c r="F11" s="40">
        <v>11</v>
      </c>
      <c r="G11" s="40">
        <v>11</v>
      </c>
      <c r="H11" s="40">
        <v>10</v>
      </c>
      <c r="I11" s="40">
        <v>12</v>
      </c>
      <c r="J11" s="40">
        <v>11</v>
      </c>
      <c r="K11" s="40">
        <v>10</v>
      </c>
      <c r="L11" s="40">
        <v>11</v>
      </c>
      <c r="M11" s="40">
        <v>11</v>
      </c>
      <c r="N11" s="40">
        <v>10</v>
      </c>
      <c r="O11" s="40">
        <v>12</v>
      </c>
      <c r="P11" s="40">
        <v>11</v>
      </c>
      <c r="Q11" s="40">
        <v>11</v>
      </c>
      <c r="R11" s="40">
        <v>11</v>
      </c>
      <c r="S11" s="40">
        <v>10</v>
      </c>
      <c r="T11" s="40">
        <v>11</v>
      </c>
      <c r="U11" s="41">
        <f>IF(COUNTIF(F11:T11,"=*")&gt;0,"-",IF(COUNTIF(F11:T11,"&lt;4")&gt;0,"-",(IFERROR(AVERAGE(F11:T11),""))))</f>
        <v>10.866666666666667</v>
      </c>
      <c r="V11" s="41">
        <f>U11/12*90</f>
        <v>81.5</v>
      </c>
      <c r="W11" s="27"/>
      <c r="X11" s="26"/>
    </row>
    <row r="12" spans="1:24" ht="15" customHeight="1" x14ac:dyDescent="0.25">
      <c r="A12" s="24"/>
      <c r="B12" s="27"/>
      <c r="C12" s="38" t="s">
        <v>13</v>
      </c>
      <c r="D12" s="38">
        <v>2</v>
      </c>
      <c r="E12" s="39" t="s">
        <v>28</v>
      </c>
      <c r="F12" s="40">
        <v>11</v>
      </c>
      <c r="G12" s="40">
        <v>11</v>
      </c>
      <c r="H12" s="40">
        <v>10</v>
      </c>
      <c r="I12" s="40">
        <v>11</v>
      </c>
      <c r="J12" s="40">
        <v>11</v>
      </c>
      <c r="K12" s="40">
        <v>10</v>
      </c>
      <c r="L12" s="40">
        <v>11</v>
      </c>
      <c r="M12" s="40">
        <v>11</v>
      </c>
      <c r="N12" s="40">
        <v>10</v>
      </c>
      <c r="O12" s="40">
        <v>12</v>
      </c>
      <c r="P12" s="40">
        <v>11</v>
      </c>
      <c r="Q12" s="40">
        <v>11</v>
      </c>
      <c r="R12" s="40">
        <v>10</v>
      </c>
      <c r="S12" s="40">
        <v>10</v>
      </c>
      <c r="T12" s="40">
        <v>11</v>
      </c>
      <c r="U12" s="41">
        <f>IF(COUNTIF(F12:T12,"=*")&gt;0,"-",IF(COUNTIF(F12:T12,"&lt;4")&gt;0,"-",(IFERROR(AVERAGE(F12:T12),""))))</f>
        <v>10.733333333333333</v>
      </c>
      <c r="V12" s="41">
        <f>U12/12*90</f>
        <v>80.5</v>
      </c>
      <c r="W12" s="27"/>
      <c r="X12" s="26"/>
    </row>
    <row r="13" spans="1:24" ht="15" customHeight="1" x14ac:dyDescent="0.25">
      <c r="A13" s="24"/>
      <c r="B13" s="27"/>
      <c r="C13" s="38" t="s">
        <v>13</v>
      </c>
      <c r="D13" s="38">
        <v>3</v>
      </c>
      <c r="E13" s="39" t="s">
        <v>39</v>
      </c>
      <c r="F13" s="40">
        <v>12</v>
      </c>
      <c r="G13" s="40">
        <v>10</v>
      </c>
      <c r="H13" s="40">
        <v>11</v>
      </c>
      <c r="I13" s="40">
        <v>12</v>
      </c>
      <c r="J13" s="40">
        <v>11</v>
      </c>
      <c r="K13" s="40">
        <v>11</v>
      </c>
      <c r="L13" s="40">
        <v>11</v>
      </c>
      <c r="M13" s="40">
        <v>11</v>
      </c>
      <c r="N13" s="40">
        <v>10</v>
      </c>
      <c r="O13" s="40">
        <v>10</v>
      </c>
      <c r="P13" s="40">
        <v>10</v>
      </c>
      <c r="Q13" s="40">
        <v>10</v>
      </c>
      <c r="R13" s="40">
        <v>10</v>
      </c>
      <c r="S13" s="40">
        <v>11</v>
      </c>
      <c r="T13" s="40">
        <v>10</v>
      </c>
      <c r="U13" s="41">
        <f>IF(COUNTIF(F13:T13,"=*")&gt;0,"-",IF(COUNTIF(F13:T13,"&lt;4")&gt;0,"-",(IFERROR(AVERAGE(F13:T13),""))))</f>
        <v>10.666666666666666</v>
      </c>
      <c r="V13" s="41">
        <f>U13/12*90</f>
        <v>80</v>
      </c>
      <c r="W13" s="27"/>
      <c r="X13" s="26"/>
    </row>
    <row r="14" spans="1:24" ht="15" customHeight="1" x14ac:dyDescent="0.25">
      <c r="A14" s="24"/>
      <c r="B14" s="27"/>
      <c r="C14" s="38" t="s">
        <v>13</v>
      </c>
      <c r="D14" s="38">
        <v>4</v>
      </c>
      <c r="E14" s="39" t="s">
        <v>41</v>
      </c>
      <c r="F14" s="40">
        <v>12</v>
      </c>
      <c r="G14" s="40">
        <v>10</v>
      </c>
      <c r="H14" s="40">
        <v>11</v>
      </c>
      <c r="I14" s="40">
        <v>12</v>
      </c>
      <c r="J14" s="40">
        <v>11</v>
      </c>
      <c r="K14" s="40">
        <v>11</v>
      </c>
      <c r="L14" s="40">
        <v>10</v>
      </c>
      <c r="M14" s="40">
        <v>11</v>
      </c>
      <c r="N14" s="40">
        <v>10</v>
      </c>
      <c r="O14" s="40">
        <v>10</v>
      </c>
      <c r="P14" s="40">
        <v>10</v>
      </c>
      <c r="Q14" s="40">
        <v>10</v>
      </c>
      <c r="R14" s="40">
        <v>10</v>
      </c>
      <c r="S14" s="40">
        <v>11</v>
      </c>
      <c r="T14" s="40">
        <v>10</v>
      </c>
      <c r="U14" s="41">
        <f>IF(COUNTIF(F14:T14,"=*")&gt;0,"-",IF(COUNTIF(F14:T14,"&lt;4")&gt;0,"-",(IFERROR(AVERAGE(F14:T14),""))))</f>
        <v>10.6</v>
      </c>
      <c r="V14" s="41">
        <f>U14/12*90</f>
        <v>79.5</v>
      </c>
      <c r="W14" s="27"/>
      <c r="X14" s="26"/>
    </row>
    <row r="15" spans="1:24" ht="15" customHeight="1" x14ac:dyDescent="0.25">
      <c r="A15" s="24"/>
      <c r="B15" s="27"/>
      <c r="C15" s="38" t="s">
        <v>13</v>
      </c>
      <c r="D15" s="38">
        <v>5</v>
      </c>
      <c r="E15" s="39" t="s">
        <v>56</v>
      </c>
      <c r="F15" s="40">
        <v>11</v>
      </c>
      <c r="G15" s="40">
        <v>11</v>
      </c>
      <c r="H15" s="40">
        <v>10</v>
      </c>
      <c r="I15" s="40">
        <v>11</v>
      </c>
      <c r="J15" s="40">
        <v>11</v>
      </c>
      <c r="K15" s="40">
        <v>11</v>
      </c>
      <c r="L15" s="40">
        <v>11</v>
      </c>
      <c r="M15" s="40">
        <v>11</v>
      </c>
      <c r="N15" s="40">
        <v>10</v>
      </c>
      <c r="O15" s="40">
        <v>10</v>
      </c>
      <c r="P15" s="40">
        <v>11</v>
      </c>
      <c r="Q15" s="40">
        <v>10</v>
      </c>
      <c r="R15" s="40">
        <v>10</v>
      </c>
      <c r="S15" s="40">
        <v>11</v>
      </c>
      <c r="T15" s="40">
        <v>10</v>
      </c>
      <c r="U15" s="41">
        <f>IF(COUNTIF(F15:T15,"=*")&gt;0,"-",IF(COUNTIF(F15:T15,"&lt;4")&gt;0,"-",(IFERROR(AVERAGE(F15:T15),""))))</f>
        <v>10.6</v>
      </c>
      <c r="V15" s="41">
        <f>U15/12*90</f>
        <v>79.5</v>
      </c>
      <c r="W15" s="27"/>
      <c r="X15" s="26"/>
    </row>
    <row r="16" spans="1:24" ht="15" customHeight="1" x14ac:dyDescent="0.25">
      <c r="A16" s="24"/>
      <c r="B16" s="27"/>
      <c r="C16" s="38" t="s">
        <v>13</v>
      </c>
      <c r="D16" s="38">
        <v>6</v>
      </c>
      <c r="E16" s="39" t="s">
        <v>33</v>
      </c>
      <c r="F16" s="40">
        <v>11</v>
      </c>
      <c r="G16" s="40">
        <v>11</v>
      </c>
      <c r="H16" s="40">
        <v>10</v>
      </c>
      <c r="I16" s="40">
        <v>10</v>
      </c>
      <c r="J16" s="40">
        <v>11</v>
      </c>
      <c r="K16" s="40">
        <v>12</v>
      </c>
      <c r="L16" s="40">
        <v>11</v>
      </c>
      <c r="M16" s="40">
        <v>11</v>
      </c>
      <c r="N16" s="40">
        <v>9</v>
      </c>
      <c r="O16" s="40">
        <v>10</v>
      </c>
      <c r="P16" s="40">
        <v>10</v>
      </c>
      <c r="Q16" s="40">
        <v>10</v>
      </c>
      <c r="R16" s="40">
        <v>11</v>
      </c>
      <c r="S16" s="40">
        <v>10</v>
      </c>
      <c r="T16" s="40">
        <v>9</v>
      </c>
      <c r="U16" s="41">
        <f>IF(COUNTIF(F16:T16,"=*")&gt;0,"-",IF(COUNTIF(F16:T16,"&lt;4")&gt;0,"-",(IFERROR(AVERAGE(F16:T16),""))))</f>
        <v>10.4</v>
      </c>
      <c r="V16" s="41">
        <f>U16/12*90</f>
        <v>78</v>
      </c>
      <c r="W16" s="27"/>
      <c r="X16" s="26"/>
    </row>
    <row r="17" spans="1:25" ht="15" customHeight="1" x14ac:dyDescent="0.25">
      <c r="A17" s="24"/>
      <c r="B17" s="27"/>
      <c r="C17" s="38" t="s">
        <v>13</v>
      </c>
      <c r="D17" s="38">
        <v>7</v>
      </c>
      <c r="E17" s="39" t="s">
        <v>44</v>
      </c>
      <c r="F17" s="40">
        <v>11</v>
      </c>
      <c r="G17" s="40">
        <v>11</v>
      </c>
      <c r="H17" s="40">
        <v>10</v>
      </c>
      <c r="I17" s="40">
        <v>12</v>
      </c>
      <c r="J17" s="40">
        <v>10</v>
      </c>
      <c r="K17" s="40">
        <v>11</v>
      </c>
      <c r="L17" s="40">
        <v>10</v>
      </c>
      <c r="M17" s="40">
        <v>10</v>
      </c>
      <c r="N17" s="40">
        <v>10</v>
      </c>
      <c r="O17" s="40">
        <v>9</v>
      </c>
      <c r="P17" s="40">
        <v>11</v>
      </c>
      <c r="Q17" s="40">
        <v>10</v>
      </c>
      <c r="R17" s="40">
        <v>9</v>
      </c>
      <c r="S17" s="40">
        <v>11</v>
      </c>
      <c r="T17" s="40">
        <v>11</v>
      </c>
      <c r="U17" s="41">
        <f>IF(COUNTIF(F17:T17,"=*")&gt;0,"-",IF(COUNTIF(F17:T17,"&lt;4")&gt;0,"-",(IFERROR(AVERAGE(F17:T17),""))))</f>
        <v>10.4</v>
      </c>
      <c r="V17" s="41">
        <f>U17/12*90</f>
        <v>78</v>
      </c>
      <c r="W17" s="27"/>
      <c r="X17" s="26"/>
    </row>
    <row r="18" spans="1:25" ht="15" customHeight="1" x14ac:dyDescent="0.25">
      <c r="A18" s="24"/>
      <c r="B18" s="27"/>
      <c r="C18" s="38" t="s">
        <v>13</v>
      </c>
      <c r="D18" s="38">
        <v>8</v>
      </c>
      <c r="E18" s="39" t="s">
        <v>48</v>
      </c>
      <c r="F18" s="40">
        <v>11</v>
      </c>
      <c r="G18" s="40">
        <v>10</v>
      </c>
      <c r="H18" s="40">
        <v>10</v>
      </c>
      <c r="I18" s="40">
        <v>11</v>
      </c>
      <c r="J18" s="40">
        <v>10</v>
      </c>
      <c r="K18" s="40">
        <v>10</v>
      </c>
      <c r="L18" s="40">
        <v>10</v>
      </c>
      <c r="M18" s="40">
        <v>11</v>
      </c>
      <c r="N18" s="40">
        <v>9</v>
      </c>
      <c r="O18" s="40">
        <v>10</v>
      </c>
      <c r="P18" s="40">
        <v>10</v>
      </c>
      <c r="Q18" s="40">
        <v>10</v>
      </c>
      <c r="R18" s="40">
        <v>9</v>
      </c>
      <c r="S18" s="40">
        <v>11</v>
      </c>
      <c r="T18" s="40">
        <v>8</v>
      </c>
      <c r="U18" s="41">
        <f>IF(COUNTIF(F18:T18,"=*")&gt;0,"-",IF(COUNTIF(F18:T18,"&lt;4")&gt;0,"-",(IFERROR(AVERAGE(F18:T18),""))))</f>
        <v>10</v>
      </c>
      <c r="V18" s="41">
        <f>U18/12*90</f>
        <v>75</v>
      </c>
      <c r="W18" s="27"/>
      <c r="X18" s="26"/>
    </row>
    <row r="19" spans="1:25" ht="15" customHeight="1" x14ac:dyDescent="0.25">
      <c r="A19" s="24"/>
      <c r="B19" s="27"/>
      <c r="C19" s="21" t="s">
        <v>13</v>
      </c>
      <c r="D19" s="21">
        <v>9</v>
      </c>
      <c r="E19" s="7" t="s">
        <v>55</v>
      </c>
      <c r="F19" s="8">
        <v>10</v>
      </c>
      <c r="G19" s="8">
        <v>9</v>
      </c>
      <c r="H19" s="8">
        <v>10</v>
      </c>
      <c r="I19" s="8">
        <v>11</v>
      </c>
      <c r="J19" s="8">
        <v>10</v>
      </c>
      <c r="K19" s="8">
        <v>10</v>
      </c>
      <c r="L19" s="8">
        <v>10</v>
      </c>
      <c r="M19" s="8">
        <v>10</v>
      </c>
      <c r="N19" s="8">
        <v>9</v>
      </c>
      <c r="O19" s="8">
        <v>10</v>
      </c>
      <c r="P19" s="8">
        <v>10</v>
      </c>
      <c r="Q19" s="8">
        <v>9</v>
      </c>
      <c r="R19" s="8">
        <v>9</v>
      </c>
      <c r="S19" s="8">
        <v>10</v>
      </c>
      <c r="T19" s="8">
        <v>11</v>
      </c>
      <c r="U19" s="37">
        <f>IF(COUNTIF(F19:T19,"=*")&gt;0,"-",IF(COUNTIF(F19:T19,"&lt;4")&gt;0,"-",(IFERROR(AVERAGE(F19:T19),""))))</f>
        <v>9.8666666666666671</v>
      </c>
      <c r="V19" s="37">
        <f>U19/12*90</f>
        <v>74</v>
      </c>
      <c r="W19" s="27"/>
      <c r="X19" s="26"/>
    </row>
    <row r="20" spans="1:25" ht="15" customHeight="1" x14ac:dyDescent="0.25">
      <c r="A20" s="24"/>
      <c r="B20" s="27"/>
      <c r="C20" s="21" t="s">
        <v>13</v>
      </c>
      <c r="D20" s="21">
        <v>10</v>
      </c>
      <c r="E20" s="7" t="s">
        <v>47</v>
      </c>
      <c r="F20" s="8">
        <v>10</v>
      </c>
      <c r="G20" s="8">
        <v>10</v>
      </c>
      <c r="H20" s="8">
        <v>10</v>
      </c>
      <c r="I20" s="8">
        <v>11</v>
      </c>
      <c r="J20" s="8">
        <v>10</v>
      </c>
      <c r="K20" s="8">
        <v>11</v>
      </c>
      <c r="L20" s="8">
        <v>10</v>
      </c>
      <c r="M20" s="8">
        <v>10</v>
      </c>
      <c r="N20" s="8">
        <v>8</v>
      </c>
      <c r="O20" s="8">
        <v>7</v>
      </c>
      <c r="P20" s="8">
        <v>9</v>
      </c>
      <c r="Q20" s="8">
        <v>9</v>
      </c>
      <c r="R20" s="8">
        <v>9</v>
      </c>
      <c r="S20" s="8">
        <v>10</v>
      </c>
      <c r="T20" s="8">
        <v>9</v>
      </c>
      <c r="U20" s="37">
        <f>IF(COUNTIF(F20:T20,"=*")&gt;0,"-",IF(COUNTIF(F20:T20,"&lt;4")&gt;0,"-",(IFERROR(AVERAGE(F20:T20),""))))</f>
        <v>9.5333333333333332</v>
      </c>
      <c r="V20" s="37">
        <f>U20/12*90</f>
        <v>71.5</v>
      </c>
      <c r="W20" s="27"/>
      <c r="X20" s="26"/>
    </row>
    <row r="21" spans="1:25" ht="15" customHeight="1" x14ac:dyDescent="0.25">
      <c r="A21" s="24"/>
      <c r="B21" s="27"/>
      <c r="C21" s="21" t="s">
        <v>13</v>
      </c>
      <c r="D21" s="21">
        <v>11</v>
      </c>
      <c r="E21" s="7" t="s">
        <v>52</v>
      </c>
      <c r="F21" s="8">
        <v>11</v>
      </c>
      <c r="G21" s="8">
        <v>10</v>
      </c>
      <c r="H21" s="8">
        <v>10</v>
      </c>
      <c r="I21" s="8">
        <v>11</v>
      </c>
      <c r="J21" s="8">
        <v>10</v>
      </c>
      <c r="K21" s="8">
        <v>10</v>
      </c>
      <c r="L21" s="8">
        <v>8</v>
      </c>
      <c r="M21" s="8">
        <v>10</v>
      </c>
      <c r="N21" s="8">
        <v>9</v>
      </c>
      <c r="O21" s="8">
        <v>8</v>
      </c>
      <c r="P21" s="8">
        <v>9</v>
      </c>
      <c r="Q21" s="8">
        <v>8</v>
      </c>
      <c r="R21" s="8">
        <v>9</v>
      </c>
      <c r="S21" s="8">
        <v>9</v>
      </c>
      <c r="T21" s="8">
        <v>10</v>
      </c>
      <c r="U21" s="37">
        <f>IF(COUNTIF(F21:T21,"=*")&gt;0,"-",IF(COUNTIF(F21:T21,"&lt;4")&gt;0,"-",(IFERROR(AVERAGE(F21:T21),""))))</f>
        <v>9.4666666666666668</v>
      </c>
      <c r="V21" s="37">
        <f>U21/12*90</f>
        <v>71</v>
      </c>
      <c r="W21" s="27"/>
      <c r="X21" s="26"/>
    </row>
    <row r="22" spans="1:25" ht="15" customHeight="1" x14ac:dyDescent="0.25">
      <c r="A22" s="24"/>
      <c r="B22" s="27"/>
      <c r="C22" s="21" t="s">
        <v>13</v>
      </c>
      <c r="D22" s="21">
        <v>12</v>
      </c>
      <c r="E22" s="7" t="s">
        <v>37</v>
      </c>
      <c r="F22" s="8">
        <v>10</v>
      </c>
      <c r="G22" s="8">
        <v>10</v>
      </c>
      <c r="H22" s="8">
        <v>10</v>
      </c>
      <c r="I22" s="8">
        <v>9</v>
      </c>
      <c r="J22" s="8">
        <v>11</v>
      </c>
      <c r="K22" s="8">
        <v>10</v>
      </c>
      <c r="L22" s="8">
        <v>8</v>
      </c>
      <c r="M22" s="8">
        <v>9</v>
      </c>
      <c r="N22" s="8">
        <v>8</v>
      </c>
      <c r="O22" s="8">
        <v>6</v>
      </c>
      <c r="P22" s="8">
        <v>9</v>
      </c>
      <c r="Q22" s="8">
        <v>9</v>
      </c>
      <c r="R22" s="8">
        <v>8</v>
      </c>
      <c r="S22" s="8">
        <v>10</v>
      </c>
      <c r="T22" s="8">
        <v>10</v>
      </c>
      <c r="U22" s="37">
        <f>IF(COUNTIF(F22:T22,"=*")&gt;0,"-",IF(COUNTIF(F22:T22,"&lt;4")&gt;0,"-",(IFERROR(AVERAGE(F22:T22),""))))</f>
        <v>9.1333333333333329</v>
      </c>
      <c r="V22" s="37">
        <f>U22/12*90</f>
        <v>68.5</v>
      </c>
      <c r="W22" s="27"/>
      <c r="X22" s="26"/>
    </row>
    <row r="23" spans="1:25" ht="15" customHeight="1" x14ac:dyDescent="0.25">
      <c r="A23" s="24"/>
      <c r="B23" s="27"/>
      <c r="C23" s="21" t="s">
        <v>13</v>
      </c>
      <c r="D23" s="21">
        <v>13</v>
      </c>
      <c r="E23" s="7" t="s">
        <v>36</v>
      </c>
      <c r="F23" s="8">
        <v>10</v>
      </c>
      <c r="G23" s="8">
        <v>7</v>
      </c>
      <c r="H23" s="8">
        <v>9</v>
      </c>
      <c r="I23" s="8">
        <v>9</v>
      </c>
      <c r="J23" s="8">
        <v>8</v>
      </c>
      <c r="K23" s="8">
        <v>8</v>
      </c>
      <c r="L23" s="8">
        <v>7</v>
      </c>
      <c r="M23" s="8">
        <v>9</v>
      </c>
      <c r="N23" s="8">
        <v>7</v>
      </c>
      <c r="O23" s="8">
        <v>8</v>
      </c>
      <c r="P23" s="8">
        <v>9</v>
      </c>
      <c r="Q23" s="8">
        <v>8</v>
      </c>
      <c r="R23" s="8">
        <v>7</v>
      </c>
      <c r="S23" s="8">
        <v>11</v>
      </c>
      <c r="T23" s="8">
        <v>9</v>
      </c>
      <c r="U23" s="37">
        <f>IF(COUNTIF(F23:T23,"=*")&gt;0,"-",IF(COUNTIF(F23:T23,"&lt;4")&gt;0,"-",(IFERROR(AVERAGE(F23:T23),""))))</f>
        <v>8.4</v>
      </c>
      <c r="V23" s="37">
        <f>U23/12*90</f>
        <v>63.000000000000007</v>
      </c>
      <c r="W23" s="27"/>
      <c r="X23" s="26"/>
    </row>
    <row r="24" spans="1:25" ht="15" customHeight="1" x14ac:dyDescent="0.25">
      <c r="A24" s="24"/>
      <c r="B24" s="27"/>
      <c r="C24" s="21" t="s">
        <v>13</v>
      </c>
      <c r="D24" s="21">
        <v>14</v>
      </c>
      <c r="E24" s="7" t="s">
        <v>45</v>
      </c>
      <c r="F24" s="8">
        <v>9</v>
      </c>
      <c r="G24" s="8">
        <v>8</v>
      </c>
      <c r="H24" s="8">
        <v>10</v>
      </c>
      <c r="I24" s="8">
        <v>8</v>
      </c>
      <c r="J24" s="8">
        <v>8</v>
      </c>
      <c r="K24" s="8">
        <v>7</v>
      </c>
      <c r="L24" s="8">
        <v>8</v>
      </c>
      <c r="M24" s="8">
        <v>8</v>
      </c>
      <c r="N24" s="8">
        <v>7</v>
      </c>
      <c r="O24" s="8">
        <v>9</v>
      </c>
      <c r="P24" s="8">
        <v>9</v>
      </c>
      <c r="Q24" s="8">
        <v>8</v>
      </c>
      <c r="R24" s="8">
        <v>6</v>
      </c>
      <c r="S24" s="8">
        <v>11</v>
      </c>
      <c r="T24" s="8">
        <v>8</v>
      </c>
      <c r="U24" s="37">
        <f>IF(COUNTIF(F24:T24,"=*")&gt;0,"-",IF(COUNTIF(F24:T24,"&lt;4")&gt;0,"-",(IFERROR(AVERAGE(F24:T24),""))))</f>
        <v>8.2666666666666675</v>
      </c>
      <c r="V24" s="37">
        <f>U24/12*90</f>
        <v>62.000000000000007</v>
      </c>
      <c r="W24" s="27"/>
      <c r="X24" s="26"/>
    </row>
    <row r="25" spans="1:25" ht="15" customHeight="1" x14ac:dyDescent="0.25">
      <c r="A25" s="24"/>
      <c r="B25" s="27"/>
      <c r="C25" s="21" t="s">
        <v>13</v>
      </c>
      <c r="D25" s="21">
        <v>15</v>
      </c>
      <c r="E25" s="7" t="s">
        <v>50</v>
      </c>
      <c r="F25" s="8">
        <v>10</v>
      </c>
      <c r="G25" s="8">
        <v>9</v>
      </c>
      <c r="H25" s="8">
        <v>9</v>
      </c>
      <c r="I25" s="8">
        <v>9</v>
      </c>
      <c r="J25" s="8">
        <v>7</v>
      </c>
      <c r="K25" s="8">
        <v>8</v>
      </c>
      <c r="L25" s="8">
        <v>7</v>
      </c>
      <c r="M25" s="8">
        <v>10</v>
      </c>
      <c r="N25" s="8">
        <v>8</v>
      </c>
      <c r="O25" s="8">
        <v>5</v>
      </c>
      <c r="P25" s="8">
        <v>9</v>
      </c>
      <c r="Q25" s="8">
        <v>7</v>
      </c>
      <c r="R25" s="8">
        <v>7</v>
      </c>
      <c r="S25" s="8">
        <v>7</v>
      </c>
      <c r="T25" s="8">
        <v>9</v>
      </c>
      <c r="U25" s="37">
        <f>IF(COUNTIF(F25:T25,"=*")&gt;0,"-",IF(COUNTIF(F25:T25,"&lt;4")&gt;0,"-",(IFERROR(AVERAGE(F25:T25),""))))</f>
        <v>8.0666666666666664</v>
      </c>
      <c r="V25" s="37">
        <f>U25/12*90</f>
        <v>60.499999999999993</v>
      </c>
      <c r="W25" s="27"/>
      <c r="X25" s="26"/>
    </row>
    <row r="26" spans="1:25" ht="15" customHeight="1" x14ac:dyDescent="0.25">
      <c r="A26" s="24"/>
      <c r="B26" s="27"/>
      <c r="C26" s="21" t="s">
        <v>13</v>
      </c>
      <c r="D26" s="21">
        <v>16</v>
      </c>
      <c r="E26" s="7" t="s">
        <v>35</v>
      </c>
      <c r="F26" s="8">
        <v>9</v>
      </c>
      <c r="G26" s="8">
        <v>8</v>
      </c>
      <c r="H26" s="8">
        <v>9</v>
      </c>
      <c r="I26" s="8">
        <v>9</v>
      </c>
      <c r="J26" s="8">
        <v>7</v>
      </c>
      <c r="K26" s="8">
        <v>7</v>
      </c>
      <c r="L26" s="8">
        <v>7</v>
      </c>
      <c r="M26" s="8">
        <v>8</v>
      </c>
      <c r="N26" s="8">
        <v>7</v>
      </c>
      <c r="O26" s="8">
        <v>4</v>
      </c>
      <c r="P26" s="8">
        <v>9</v>
      </c>
      <c r="Q26" s="8">
        <v>9</v>
      </c>
      <c r="R26" s="8">
        <v>5</v>
      </c>
      <c r="S26" s="8">
        <v>9</v>
      </c>
      <c r="T26" s="8">
        <v>7</v>
      </c>
      <c r="U26" s="37">
        <f>IF(COUNTIF(F26:T26,"=*")&gt;0,"-",IF(COUNTIF(F26:T26,"&lt;4")&gt;0,"-",(IFERROR(AVERAGE(F26:T26),""))))</f>
        <v>7.6</v>
      </c>
      <c r="V26" s="37">
        <f>U26/12*90</f>
        <v>57</v>
      </c>
      <c r="W26" s="27"/>
      <c r="X26" s="26"/>
    </row>
    <row r="27" spans="1:25" ht="15" customHeight="1" x14ac:dyDescent="0.25">
      <c r="A27" s="24"/>
      <c r="B27" s="27"/>
      <c r="C27" s="21" t="s">
        <v>13</v>
      </c>
      <c r="D27" s="21">
        <v>17</v>
      </c>
      <c r="E27" s="7" t="s">
        <v>57</v>
      </c>
      <c r="F27" s="8">
        <v>8</v>
      </c>
      <c r="G27" s="8">
        <v>10</v>
      </c>
      <c r="H27" s="8">
        <v>10</v>
      </c>
      <c r="I27" s="8">
        <v>8</v>
      </c>
      <c r="J27" s="8">
        <v>9</v>
      </c>
      <c r="K27" s="8">
        <v>9</v>
      </c>
      <c r="L27" s="8">
        <v>6</v>
      </c>
      <c r="M27" s="8">
        <v>9</v>
      </c>
      <c r="N27" s="8">
        <v>7</v>
      </c>
      <c r="O27" s="8">
        <v>7</v>
      </c>
      <c r="P27" s="8">
        <v>6</v>
      </c>
      <c r="Q27" s="8">
        <v>7</v>
      </c>
      <c r="R27" s="8">
        <v>5</v>
      </c>
      <c r="S27" s="8">
        <v>4</v>
      </c>
      <c r="T27" s="8">
        <v>9</v>
      </c>
      <c r="U27" s="37">
        <f>IF(COUNTIF(F27:T27,"=*")&gt;0,"-",IF(COUNTIF(F27:T27,"&lt;4")&gt;0,"-",(IFERROR(AVERAGE(F27:T27),""))))</f>
        <v>7.6</v>
      </c>
      <c r="V27" s="37">
        <f>U27/12*90</f>
        <v>57</v>
      </c>
      <c r="W27" s="27"/>
      <c r="X27" s="26"/>
    </row>
    <row r="28" spans="1:25" ht="15" customHeight="1" x14ac:dyDescent="0.25">
      <c r="A28" s="24"/>
      <c r="B28" s="27"/>
      <c r="C28" s="21" t="s">
        <v>13</v>
      </c>
      <c r="D28" s="21">
        <v>18</v>
      </c>
      <c r="E28" s="7" t="s">
        <v>29</v>
      </c>
      <c r="F28" s="8">
        <v>9</v>
      </c>
      <c r="G28" s="8">
        <v>6</v>
      </c>
      <c r="H28" s="8">
        <v>8</v>
      </c>
      <c r="I28" s="8">
        <v>10</v>
      </c>
      <c r="J28" s="8">
        <v>7</v>
      </c>
      <c r="K28" s="8">
        <v>9</v>
      </c>
      <c r="L28" s="8">
        <v>8</v>
      </c>
      <c r="M28" s="8">
        <v>10</v>
      </c>
      <c r="N28" s="8">
        <v>8</v>
      </c>
      <c r="O28" s="8">
        <v>7</v>
      </c>
      <c r="P28" s="8">
        <v>5</v>
      </c>
      <c r="Q28" s="8">
        <v>5</v>
      </c>
      <c r="R28" s="8">
        <v>6</v>
      </c>
      <c r="S28" s="8">
        <v>7</v>
      </c>
      <c r="T28" s="8">
        <v>8</v>
      </c>
      <c r="U28" s="37">
        <f>IF(COUNTIF(F28:T28,"=*")&gt;0,"-",IF(COUNTIF(F28:T28,"&lt;4")&gt;0,"-",(IFERROR(AVERAGE(F28:T28),""))))</f>
        <v>7.5333333333333332</v>
      </c>
      <c r="V28" s="37">
        <f>U28/12*90</f>
        <v>56.5</v>
      </c>
      <c r="W28" s="27"/>
      <c r="X28" s="26"/>
    </row>
    <row r="29" spans="1:25" ht="15" customHeight="1" x14ac:dyDescent="0.25">
      <c r="A29" s="24"/>
      <c r="B29" s="27"/>
      <c r="C29" s="21" t="s">
        <v>13</v>
      </c>
      <c r="D29" s="21">
        <v>19</v>
      </c>
      <c r="E29" s="7" t="s">
        <v>54</v>
      </c>
      <c r="F29" s="8">
        <v>10</v>
      </c>
      <c r="G29" s="8">
        <v>8</v>
      </c>
      <c r="H29" s="8">
        <v>10</v>
      </c>
      <c r="I29" s="8">
        <v>9</v>
      </c>
      <c r="J29" s="8">
        <v>7</v>
      </c>
      <c r="K29" s="8">
        <v>7</v>
      </c>
      <c r="L29" s="8">
        <v>7</v>
      </c>
      <c r="M29" s="8">
        <v>9</v>
      </c>
      <c r="N29" s="8">
        <v>8</v>
      </c>
      <c r="O29" s="8">
        <v>6</v>
      </c>
      <c r="P29" s="8">
        <v>5</v>
      </c>
      <c r="Q29" s="8">
        <v>5</v>
      </c>
      <c r="R29" s="8">
        <v>8</v>
      </c>
      <c r="S29" s="8">
        <v>6</v>
      </c>
      <c r="T29" s="8">
        <v>8</v>
      </c>
      <c r="U29" s="37">
        <f>IF(COUNTIF(F29:T29,"=*")&gt;0,"-",IF(COUNTIF(F29:T29,"&lt;4")&gt;0,"-",(IFERROR(AVERAGE(F29:T29),""))))</f>
        <v>7.5333333333333332</v>
      </c>
      <c r="V29" s="37">
        <f>U29/12*90</f>
        <v>56.5</v>
      </c>
      <c r="W29" s="27"/>
      <c r="X29" s="26"/>
    </row>
    <row r="30" spans="1:25" ht="15" customHeight="1" x14ac:dyDescent="0.25">
      <c r="A30" s="24"/>
      <c r="B30" s="27"/>
      <c r="C30" s="21" t="s">
        <v>13</v>
      </c>
      <c r="D30" s="21">
        <v>20</v>
      </c>
      <c r="E30" s="7" t="s">
        <v>34</v>
      </c>
      <c r="F30" s="8">
        <v>7</v>
      </c>
      <c r="G30" s="8">
        <v>8</v>
      </c>
      <c r="H30" s="8">
        <v>10</v>
      </c>
      <c r="I30" s="8">
        <v>6</v>
      </c>
      <c r="J30" s="8">
        <v>8</v>
      </c>
      <c r="K30" s="8">
        <v>4</v>
      </c>
      <c r="L30" s="8">
        <v>5</v>
      </c>
      <c r="M30" s="8">
        <v>5</v>
      </c>
      <c r="N30" s="8">
        <v>4</v>
      </c>
      <c r="O30" s="8">
        <v>4</v>
      </c>
      <c r="P30" s="8">
        <v>7</v>
      </c>
      <c r="Q30" s="8">
        <v>7</v>
      </c>
      <c r="R30" s="8">
        <v>6</v>
      </c>
      <c r="S30" s="8">
        <v>7</v>
      </c>
      <c r="T30" s="8">
        <v>5</v>
      </c>
      <c r="U30" s="37">
        <f>IF(COUNTIF(F30:T30,"=*")&gt;0,"-",IF(COUNTIF(F30:T30,"&lt;4")&gt;0,"-",(IFERROR(AVERAGE(F30:T30),""))))</f>
        <v>6.2</v>
      </c>
      <c r="V30" s="37">
        <f>U30/12*90</f>
        <v>46.500000000000007</v>
      </c>
      <c r="W30" s="27"/>
      <c r="X30" s="26"/>
    </row>
    <row r="31" spans="1:25" ht="15" customHeight="1" x14ac:dyDescent="0.25">
      <c r="A31" s="24"/>
      <c r="B31" s="27"/>
      <c r="C31" s="9"/>
      <c r="D31" s="9"/>
      <c r="E31" s="7" t="s">
        <v>19</v>
      </c>
      <c r="F31" s="20">
        <f>'Зведена 076'!F47</f>
        <v>20</v>
      </c>
      <c r="G31" s="1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22"/>
      <c r="V31" s="22"/>
      <c r="W31" s="27"/>
      <c r="X31" s="26"/>
      <c r="Y31" s="12"/>
    </row>
    <row r="32" spans="1:25" ht="15" customHeight="1" x14ac:dyDescent="0.25">
      <c r="A32" s="24"/>
      <c r="B32" s="27"/>
      <c r="C32" s="9"/>
      <c r="D32" s="9"/>
      <c r="E32" s="7" t="s">
        <v>20</v>
      </c>
      <c r="F32" s="20">
        <f>'Зведена 076'!F48</f>
        <v>11</v>
      </c>
      <c r="G32" s="19"/>
      <c r="H32" s="9"/>
      <c r="I32" s="13" t="s">
        <v>21</v>
      </c>
      <c r="J32" s="9"/>
      <c r="K32" s="9"/>
      <c r="L32" s="9"/>
      <c r="M32" s="9"/>
      <c r="N32" s="9"/>
      <c r="O32" s="9"/>
      <c r="P32" s="15" t="s">
        <v>58</v>
      </c>
      <c r="Q32" s="9"/>
      <c r="R32" s="9"/>
      <c r="S32" s="9"/>
      <c r="T32" s="9"/>
      <c r="U32" s="9"/>
      <c r="V32" s="9"/>
      <c r="W32" s="27"/>
      <c r="X32" s="26"/>
    </row>
    <row r="33" spans="1:24" ht="15" customHeight="1" x14ac:dyDescent="0.25">
      <c r="A33" s="24"/>
      <c r="B33" s="27"/>
      <c r="C33" s="9"/>
      <c r="D33" s="9"/>
      <c r="E33" s="7" t="s">
        <v>22</v>
      </c>
      <c r="F33" s="20">
        <f>'Зведена 076'!F49</f>
        <v>1</v>
      </c>
      <c r="G33" s="1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27"/>
      <c r="X33" s="26"/>
    </row>
    <row r="34" spans="1:24" ht="15" customHeight="1" x14ac:dyDescent="0.25">
      <c r="A34" s="24"/>
      <c r="B34" s="27"/>
      <c r="C34" s="9"/>
      <c r="D34" s="9"/>
      <c r="E34" s="7" t="s">
        <v>23</v>
      </c>
      <c r="F34" s="20">
        <f>'Зведена 076'!F50</f>
        <v>8</v>
      </c>
      <c r="G34" s="19"/>
      <c r="H34" s="9"/>
      <c r="I34" s="13" t="s">
        <v>24</v>
      </c>
      <c r="J34" s="9"/>
      <c r="K34" s="9"/>
      <c r="L34" s="9"/>
      <c r="M34" s="9"/>
      <c r="N34" s="9"/>
      <c r="O34" s="9"/>
      <c r="P34" s="13" t="s">
        <v>25</v>
      </c>
      <c r="Q34" s="9"/>
      <c r="R34" s="9"/>
      <c r="S34" s="9"/>
      <c r="T34" s="9"/>
      <c r="U34" s="9"/>
      <c r="V34" s="9"/>
      <c r="W34" s="27"/>
      <c r="X34" s="26"/>
    </row>
    <row r="35" spans="1:24" ht="12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6"/>
    </row>
    <row r="36" spans="1:24" ht="12" customHeight="1" x14ac:dyDescent="0.2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</sheetData>
  <sheetProtection selectLockedCells="1"/>
  <sortState ref="C11:V30">
    <sortCondition descending="1" ref="U11:U30"/>
  </sortState>
  <mergeCells count="18">
    <mergeCell ref="B35:W35"/>
    <mergeCell ref="B36:W36"/>
    <mergeCell ref="C7:V7"/>
    <mergeCell ref="C8:V8"/>
    <mergeCell ref="C9:C10"/>
    <mergeCell ref="D9:D10"/>
    <mergeCell ref="E9:E10"/>
    <mergeCell ref="F9:V9"/>
    <mergeCell ref="B1:W1"/>
    <mergeCell ref="A2:A35"/>
    <mergeCell ref="B2:W2"/>
    <mergeCell ref="X2:X35"/>
    <mergeCell ref="B3:B34"/>
    <mergeCell ref="C3:V3"/>
    <mergeCell ref="W3:W34"/>
    <mergeCell ref="C4:V4"/>
    <mergeCell ref="C5:V5"/>
    <mergeCell ref="C6:V6"/>
  </mergeCells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Зведена 076</vt:lpstr>
      <vt:lpstr>Рейтингова 076</vt:lpstr>
      <vt:lpstr>'Зведена 076'!Область_печати</vt:lpstr>
      <vt:lpstr>'Рейтингова 076'!Область_печати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SURKOV</cp:lastModifiedBy>
  <cp:revision/>
  <cp:lastPrinted>2023-05-09T12:08:03Z</cp:lastPrinted>
  <dcterms:created xsi:type="dcterms:W3CDTF">2006-09-28T05:33:49Z</dcterms:created>
  <dcterms:modified xsi:type="dcterms:W3CDTF">2023-06-21T08:41:44Z</dcterms:modified>
</cp:coreProperties>
</file>