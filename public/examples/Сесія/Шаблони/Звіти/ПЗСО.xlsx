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ЭтаКнига"/>
  <workbookProtection workbookPassword="8428" lockStructure="1"/>
  <bookViews>
    <workbookView xWindow="10905" yWindow="2655" windowWidth="19410" windowHeight="11640"/>
  </bookViews>
  <sheets>
    <sheet name="Дані" sheetId="7" r:id="rId1"/>
    <sheet name="ЗНО" sheetId="3" r:id="rId2"/>
  </sheets>
  <definedNames>
    <definedName name="ЗНО" localSheetId="0">#REF!</definedName>
    <definedName name="ЗНО">ЗНО!$A$1:$H$12</definedName>
    <definedName name="Контингент" localSheetId="0">Дані!$T$1:$W$8</definedName>
    <definedName name="Контингент">#REF!</definedName>
    <definedName name="Семестр" localSheetId="0">Дані!$A$1:$T$34</definedName>
    <definedName name="Семестр">#REF!</definedName>
  </definedNames>
  <calcPr calcId="145621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4" i="7" l="1"/>
  <c r="R34" i="7" s="1"/>
  <c r="J34" i="7"/>
  <c r="C34" i="7"/>
  <c r="P33" i="7"/>
  <c r="K33" i="7"/>
  <c r="Q33" i="7" s="1"/>
  <c r="J33" i="7"/>
  <c r="C33" i="7"/>
  <c r="K32" i="7"/>
  <c r="R32" i="7" s="1"/>
  <c r="J32" i="7"/>
  <c r="C32" i="7"/>
  <c r="R31" i="7"/>
  <c r="P31" i="7"/>
  <c r="K31" i="7"/>
  <c r="Q31" i="7" s="1"/>
  <c r="J31" i="7"/>
  <c r="C31" i="7"/>
  <c r="W31" i="7" s="1"/>
  <c r="K30" i="7"/>
  <c r="R30" i="7" s="1"/>
  <c r="J30" i="7"/>
  <c r="C30" i="7"/>
  <c r="P29" i="7"/>
  <c r="K29" i="7"/>
  <c r="Q29" i="7" s="1"/>
  <c r="J29" i="7"/>
  <c r="C29" i="7"/>
  <c r="K28" i="7"/>
  <c r="R28" i="7" s="1"/>
  <c r="J28" i="7"/>
  <c r="C28" i="7"/>
  <c r="R27" i="7"/>
  <c r="P27" i="7"/>
  <c r="K27" i="7"/>
  <c r="Q27" i="7" s="1"/>
  <c r="J27" i="7"/>
  <c r="C27" i="7"/>
  <c r="K26" i="7"/>
  <c r="R26" i="7" s="1"/>
  <c r="J26" i="7"/>
  <c r="C26" i="7"/>
  <c r="P25" i="7"/>
  <c r="K25" i="7"/>
  <c r="Q25" i="7" s="1"/>
  <c r="J25" i="7"/>
  <c r="C25" i="7"/>
  <c r="K24" i="7"/>
  <c r="R24" i="7" s="1"/>
  <c r="J24" i="7"/>
  <c r="C24" i="7"/>
  <c r="R23" i="7"/>
  <c r="P23" i="7"/>
  <c r="K23" i="7"/>
  <c r="Q23" i="7" s="1"/>
  <c r="J23" i="7"/>
  <c r="C23" i="7"/>
  <c r="K22" i="7"/>
  <c r="R22" i="7" s="1"/>
  <c r="J22" i="7"/>
  <c r="C22" i="7"/>
  <c r="K21" i="7"/>
  <c r="Q21" i="7" s="1"/>
  <c r="J21" i="7"/>
  <c r="C21" i="7"/>
  <c r="K20" i="7"/>
  <c r="R20" i="7" s="1"/>
  <c r="J20" i="7"/>
  <c r="C20" i="7"/>
  <c r="R19" i="7"/>
  <c r="P19" i="7"/>
  <c r="K19" i="7"/>
  <c r="Q19" i="7" s="1"/>
  <c r="J19" i="7"/>
  <c r="C19" i="7"/>
  <c r="W19" i="7" s="1"/>
  <c r="K18" i="7"/>
  <c r="R18" i="7" s="1"/>
  <c r="J18" i="7"/>
  <c r="C18" i="7"/>
  <c r="K17" i="7"/>
  <c r="Q17" i="7" s="1"/>
  <c r="J17" i="7"/>
  <c r="C17" i="7"/>
  <c r="K16" i="7"/>
  <c r="R16" i="7" s="1"/>
  <c r="J16" i="7"/>
  <c r="C16" i="7"/>
  <c r="K15" i="7"/>
  <c r="Q15" i="7" s="1"/>
  <c r="J15" i="7"/>
  <c r="C15" i="7"/>
  <c r="K14" i="7"/>
  <c r="R14" i="7" s="1"/>
  <c r="J14" i="7"/>
  <c r="C14" i="7"/>
  <c r="K13" i="7"/>
  <c r="Q13" i="7" s="1"/>
  <c r="J13" i="7"/>
  <c r="C13" i="7"/>
  <c r="K12" i="7"/>
  <c r="R12" i="7" s="1"/>
  <c r="J12" i="7"/>
  <c r="C12" i="7"/>
  <c r="P11" i="7"/>
  <c r="K11" i="7"/>
  <c r="Q11" i="7" s="1"/>
  <c r="J11" i="7"/>
  <c r="C11" i="7"/>
  <c r="K10" i="7"/>
  <c r="R10" i="7" s="1"/>
  <c r="C10" i="7"/>
  <c r="K9" i="7"/>
  <c r="Q9" i="7" s="1"/>
  <c r="J9" i="7"/>
  <c r="C9" i="7"/>
  <c r="K8" i="7"/>
  <c r="R8" i="7" s="1"/>
  <c r="J8" i="7"/>
  <c r="C8" i="7"/>
  <c r="K7" i="7"/>
  <c r="R7" i="7" s="1"/>
  <c r="J7" i="7"/>
  <c r="C7" i="7"/>
  <c r="V6" i="7"/>
  <c r="K6" i="7"/>
  <c r="R6" i="7" s="1"/>
  <c r="J6" i="7"/>
  <c r="C6" i="7"/>
  <c r="V5" i="7"/>
  <c r="V3" i="7"/>
  <c r="V7" i="7" s="1"/>
  <c r="J10" i="7" l="1"/>
  <c r="P15" i="7"/>
  <c r="W15" i="7" s="1"/>
  <c r="R15" i="7"/>
  <c r="R11" i="7"/>
  <c r="P17" i="7"/>
  <c r="W23" i="7"/>
  <c r="W27" i="7"/>
  <c r="P21" i="7"/>
  <c r="P9" i="7"/>
  <c r="P13" i="7"/>
  <c r="R9" i="7"/>
  <c r="R13" i="7"/>
  <c r="R17" i="7"/>
  <c r="R21" i="7"/>
  <c r="R25" i="7"/>
  <c r="W25" i="7" s="1"/>
  <c r="R29" i="7"/>
  <c r="W29" i="7" s="1"/>
  <c r="Q6" i="7"/>
  <c r="Q8" i="7"/>
  <c r="Q10" i="7"/>
  <c r="Q14" i="7"/>
  <c r="Q16" i="7"/>
  <c r="Q18" i="7"/>
  <c r="Q20" i="7"/>
  <c r="Q22" i="7"/>
  <c r="Q24" i="7"/>
  <c r="Q26" i="7"/>
  <c r="Q28" i="7"/>
  <c r="Q30" i="7"/>
  <c r="Q32" i="7"/>
  <c r="R33" i="7"/>
  <c r="Q34" i="7"/>
  <c r="Q7" i="7"/>
  <c r="Q12" i="7"/>
  <c r="P6" i="7"/>
  <c r="P7" i="7"/>
  <c r="P8" i="7"/>
  <c r="P10" i="7"/>
  <c r="P12" i="7"/>
  <c r="W12" i="7" s="1"/>
  <c r="P14" i="7"/>
  <c r="W14" i="7" s="1"/>
  <c r="P16" i="7"/>
  <c r="W16" i="7" s="1"/>
  <c r="P18" i="7"/>
  <c r="W18" i="7" s="1"/>
  <c r="P20" i="7"/>
  <c r="W20" i="7" s="1"/>
  <c r="P22" i="7"/>
  <c r="W22" i="7" s="1"/>
  <c r="P24" i="7"/>
  <c r="W24" i="7" s="1"/>
  <c r="P26" i="7"/>
  <c r="W26" i="7" s="1"/>
  <c r="P28" i="7"/>
  <c r="W28" i="7" s="1"/>
  <c r="P30" i="7"/>
  <c r="P32" i="7"/>
  <c r="P34" i="7"/>
  <c r="W21" i="7" l="1"/>
  <c r="W17" i="7"/>
  <c r="W13" i="7"/>
  <c r="W7" i="7"/>
  <c r="W8" i="7" s="1"/>
  <c r="W9" i="7" s="1"/>
  <c r="W10" i="7" s="1"/>
  <c r="W11" i="7" s="1"/>
  <c r="W6" i="7"/>
  <c r="W33" i="7"/>
  <c r="W30" i="7"/>
  <c r="W32" i="7"/>
</calcChain>
</file>

<file path=xl/sharedStrings.xml><?xml version="1.0" encoding="utf-8"?>
<sst xmlns="http://schemas.openxmlformats.org/spreadsheetml/2006/main" count="45" uniqueCount="42">
  <si>
    <t>Дані за семестр</t>
  </si>
  <si>
    <t>Розділ</t>
  </si>
  <si>
    <t>Кількість</t>
  </si>
  <si>
    <t>Група</t>
  </si>
  <si>
    <t>Всього</t>
  </si>
  <si>
    <t>Бюджет</t>
  </si>
  <si>
    <t>Контракт</t>
  </si>
  <si>
    <t>Академічна
стипендія</t>
  </si>
  <si>
    <t>Соціальна
стипендія</t>
  </si>
  <si>
    <t>Кількість студентів</t>
  </si>
  <si>
    <t>Рівень навчальних досягнень</t>
  </si>
  <si>
    <t>Кількість
боржників</t>
  </si>
  <si>
    <t>Абсолютна
успішність</t>
  </si>
  <si>
    <t>Якісна
успішність</t>
  </si>
  <si>
    <t>Середній
бал</t>
  </si>
  <si>
    <t>на початок</t>
  </si>
  <si>
    <t>прибуло</t>
  </si>
  <si>
    <t>вибуло</t>
  </si>
  <si>
    <t>на кінець</t>
  </si>
  <si>
    <t>високий
(10-12)</t>
  </si>
  <si>
    <t>достатній
(7-9)</t>
  </si>
  <si>
    <t>середній
(5-6)</t>
  </si>
  <si>
    <t>низький
(1-4)</t>
  </si>
  <si>
    <t>Денна</t>
  </si>
  <si>
    <t>Заочна</t>
  </si>
  <si>
    <t>Предмет</t>
  </si>
  <si>
    <t>Рік</t>
  </si>
  <si>
    <t>Історія України</t>
  </si>
  <si>
    <t>Математика</t>
  </si>
  <si>
    <t>Українська мова</t>
  </si>
  <si>
    <t>Англійська мова</t>
  </si>
  <si>
    <t>Біологія</t>
  </si>
  <si>
    <t>Географія</t>
  </si>
  <si>
    <t>Фізика</t>
  </si>
  <si>
    <t>Хімія</t>
  </si>
  <si>
    <t>+</t>
  </si>
  <si>
    <t>24-1</t>
  </si>
  <si>
    <t>24-2</t>
  </si>
  <si>
    <t>24-3</t>
  </si>
  <si>
    <t>24-4</t>
  </si>
  <si>
    <t>24-5</t>
  </si>
  <si>
    <t>24-6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</si>
</sst>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  <scheme val="minor"/>
    </font>
    <font>
      <b/>
      <sz val="16"/>
      <color theme="1"/>
      <name val="Times New Roman"/>
      <family val="1"/>
      <charset val="204"/>
    </font>
    <font>
      <b/>
      <sz val="15"/>
      <color theme="1"/>
      <name val="Times New Roman"/>
      <family val="1"/>
      <charset val="204"/>
    </font>
    <font>
      <sz val="10"/>
      <color theme="0"/>
      <name val="Arial"/>
      <family val="2"/>
      <charset val="204"/>
      <scheme val="minor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0" tint="-0.249977111117893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9" fillId="0" borderId="5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9" fontId="9" fillId="0" borderId="6" xfId="0" applyNumberFormat="1" applyFont="1" applyBorder="1" applyAlignment="1">
      <alignment horizontal="center" vertical="center"/>
    </xf>
    <xf numFmtId="9" fontId="9" fillId="0" borderId="10" xfId="0" applyNumberFormat="1" applyFont="1" applyBorder="1" applyAlignment="1">
      <alignment horizontal="center" vertical="center"/>
    </xf>
    <xf numFmtId="9" fontId="9" fillId="0" borderId="12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3" fillId="2" borderId="0" xfId="0" applyFont="1" applyFill="1"/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8" fillId="2" borderId="0" xfId="0" applyFont="1" applyFill="1"/>
    <xf numFmtId="0" fontId="8" fillId="2" borderId="0" xfId="0" quotePrefix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 wrapText="1"/>
    </xf>
    <xf numFmtId="0" fontId="11" fillId="0" borderId="36" xfId="0" applyFont="1" applyFill="1" applyBorder="1" applyAlignment="1" applyProtection="1">
      <alignment horizontal="center" vertical="center"/>
      <protection locked="0"/>
    </xf>
    <xf numFmtId="0" fontId="11" fillId="0" borderId="37" xfId="0" applyFont="1" applyFill="1" applyBorder="1" applyAlignment="1" applyProtection="1">
      <alignment horizontal="center" vertical="center"/>
      <protection locked="0"/>
    </xf>
    <xf numFmtId="0" fontId="11" fillId="0" borderId="38" xfId="0" applyFont="1" applyFill="1" applyBorder="1" applyAlignment="1" applyProtection="1">
      <alignment horizontal="center" vertical="center"/>
      <protection locked="0"/>
    </xf>
    <xf numFmtId="0" fontId="11" fillId="0" borderId="17" xfId="0" applyFont="1" applyFill="1" applyBorder="1" applyAlignment="1" applyProtection="1">
      <alignment horizontal="center" vertical="center"/>
      <protection locked="0"/>
    </xf>
    <xf numFmtId="0" fontId="11" fillId="2" borderId="35" xfId="0" applyFont="1" applyFill="1" applyBorder="1" applyAlignment="1">
      <alignment horizontal="center" vertical="center"/>
    </xf>
    <xf numFmtId="0" fontId="0" fillId="2" borderId="35" xfId="0" applyFill="1" applyBorder="1"/>
    <xf numFmtId="0" fontId="8" fillId="2" borderId="35" xfId="0" applyFont="1" applyFill="1" applyBorder="1"/>
    <xf numFmtId="0" fontId="11" fillId="0" borderId="38" xfId="0" applyNumberFormat="1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Alignment="1">
      <alignment horizontal="center" vertical="center"/>
    </xf>
    <xf numFmtId="49" fontId="11" fillId="0" borderId="36" xfId="0" applyNumberFormat="1" applyFont="1" applyFill="1" applyBorder="1" applyAlignment="1" applyProtection="1">
      <alignment horizontal="center" vertical="center"/>
      <protection locked="0"/>
    </xf>
    <xf numFmtId="1" fontId="9" fillId="0" borderId="7" xfId="0" applyNumberFormat="1" applyFont="1" applyBorder="1" applyAlignment="1" applyProtection="1">
      <alignment horizontal="center" vertical="center"/>
      <protection locked="0"/>
    </xf>
    <xf numFmtId="0" fontId="5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9" fillId="2" borderId="16" xfId="0" applyFont="1" applyFill="1" applyBorder="1" applyAlignment="1">
      <alignment horizontal="center" vertical="center"/>
    </xf>
    <xf numFmtId="9" fontId="9" fillId="2" borderId="16" xfId="0" applyNumberFormat="1" applyFont="1" applyFill="1" applyBorder="1" applyAlignment="1">
      <alignment horizontal="center" vertical="center"/>
    </xf>
    <xf numFmtId="9" fontId="9" fillId="2" borderId="0" xfId="0" applyNumberFormat="1" applyFont="1" applyFill="1" applyAlignment="1">
      <alignment horizontal="center" vertical="center"/>
    </xf>
    <xf numFmtId="0" fontId="11" fillId="2" borderId="35" xfId="0" applyFont="1" applyFill="1" applyBorder="1" applyAlignment="1" applyProtection="1">
      <alignment horizontal="center" vertical="center"/>
      <protection hidden="1"/>
    </xf>
    <xf numFmtId="0" fontId="0" fillId="2" borderId="35" xfId="0" applyFill="1" applyBorder="1" applyProtection="1">
      <protection hidden="1"/>
    </xf>
    <xf numFmtId="0" fontId="11" fillId="3" borderId="37" xfId="0" applyFont="1" applyFill="1" applyBorder="1" applyAlignment="1" applyProtection="1">
      <alignment horizontal="center" vertical="center"/>
      <protection hidden="1"/>
    </xf>
    <xf numFmtId="0" fontId="11" fillId="3" borderId="17" xfId="0" applyFont="1" applyFill="1" applyBorder="1" applyAlignment="1" applyProtection="1">
      <alignment horizontal="center" vertical="center"/>
      <protection hidden="1"/>
    </xf>
    <xf numFmtId="10" fontId="11" fillId="3" borderId="36" xfId="0" applyNumberFormat="1" applyFont="1" applyFill="1" applyBorder="1" applyAlignment="1" applyProtection="1">
      <alignment horizontal="center" vertical="center"/>
      <protection hidden="1"/>
    </xf>
    <xf numFmtId="10" fontId="11" fillId="3" borderId="37" xfId="0" applyNumberFormat="1" applyFont="1" applyFill="1" applyBorder="1" applyAlignment="1" applyProtection="1">
      <alignment horizontal="center" vertical="center"/>
      <protection hidden="1"/>
    </xf>
    <xf numFmtId="0" fontId="11" fillId="3" borderId="38" xfId="0" applyFont="1" applyFill="1" applyBorder="1" applyAlignment="1" applyProtection="1">
      <alignment horizontal="center" vertical="center"/>
      <protection hidden="1"/>
    </xf>
    <xf numFmtId="1" fontId="9" fillId="3" borderId="7" xfId="0" applyNumberFormat="1" applyFont="1" applyFill="1" applyBorder="1" applyAlignment="1" applyProtection="1">
      <alignment horizontal="center" vertical="center"/>
      <protection hidden="1"/>
    </xf>
    <xf numFmtId="1" fontId="9" fillId="3" borderId="11" xfId="0" applyNumberFormat="1" applyFont="1" applyFill="1" applyBorder="1" applyAlignment="1" applyProtection="1">
      <alignment horizontal="center" vertical="center"/>
      <protection hidden="1"/>
    </xf>
    <xf numFmtId="9" fontId="9" fillId="0" borderId="8" xfId="0" applyNumberFormat="1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9" fontId="9" fillId="0" borderId="41" xfId="0" applyNumberFormat="1" applyFont="1" applyBorder="1" applyAlignment="1">
      <alignment horizontal="center" vertical="center"/>
    </xf>
    <xf numFmtId="9" fontId="9" fillId="0" borderId="42" xfId="0" applyNumberFormat="1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9" fontId="9" fillId="0" borderId="43" xfId="0" applyNumberFormat="1" applyFont="1" applyBorder="1" applyAlignment="1">
      <alignment horizontal="center" vertical="center"/>
    </xf>
    <xf numFmtId="9" fontId="9" fillId="0" borderId="39" xfId="0" applyNumberFormat="1" applyFont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/>
    <xf numFmtId="0" fontId="7" fillId="0" borderId="22" xfId="0" applyFont="1" applyFill="1" applyBorder="1" applyAlignment="1"/>
    <xf numFmtId="0" fontId="5" fillId="0" borderId="19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7" fillId="0" borderId="27" xfId="0" applyFont="1" applyFill="1" applyBorder="1" applyAlignment="1"/>
    <xf numFmtId="0" fontId="7" fillId="0" borderId="28" xfId="0" applyFont="1" applyFill="1" applyBorder="1" applyAlignment="1"/>
    <xf numFmtId="0" fontId="5" fillId="0" borderId="32" xfId="0" applyFont="1" applyFill="1" applyBorder="1" applyAlignment="1">
      <alignment horizontal="center" vertical="center" wrapText="1"/>
    </xf>
    <xf numFmtId="0" fontId="7" fillId="0" borderId="33" xfId="0" applyFont="1" applyFill="1" applyBorder="1" applyAlignment="1"/>
    <xf numFmtId="0" fontId="7" fillId="0" borderId="34" xfId="0" applyFont="1" applyFill="1" applyBorder="1" applyAlignment="1"/>
    <xf numFmtId="0" fontId="5" fillId="0" borderId="29" xfId="0" applyFont="1" applyFill="1" applyBorder="1" applyAlignment="1">
      <alignment horizontal="center" vertical="center" wrapText="1"/>
    </xf>
    <xf numFmtId="0" fontId="7" fillId="0" borderId="31" xfId="0" applyFont="1" applyFill="1" applyBorder="1" applyAlignment="1"/>
    <xf numFmtId="0" fontId="5" fillId="0" borderId="28" xfId="0" applyFont="1" applyFill="1" applyBorder="1" applyAlignment="1">
      <alignment horizontal="center" vertical="center" wrapText="1"/>
    </xf>
    <xf numFmtId="0" fontId="7" fillId="0" borderId="29" xfId="0" applyFont="1" applyFill="1" applyBorder="1" applyAlignment="1"/>
    <xf numFmtId="0" fontId="5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/>
    <xf numFmtId="0" fontId="7" fillId="0" borderId="34" xfId="0" applyFont="1" applyBorder="1" applyAlignment="1"/>
    <xf numFmtId="0" fontId="5" fillId="0" borderId="20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7" fillId="0" borderId="30" xfId="0" applyFont="1" applyFill="1" applyBorder="1" applyAlignment="1"/>
    <xf numFmtId="0" fontId="9" fillId="0" borderId="1" xfId="0" applyFont="1" applyBorder="1" applyAlignment="1">
      <alignment horizontal="center" vertical="center"/>
    </xf>
    <xf numFmtId="0" fontId="7" fillId="0" borderId="15" xfId="0" applyFont="1" applyBorder="1" applyAlignment="1"/>
    <xf numFmtId="0" fontId="9" fillId="0" borderId="2" xfId="0" applyFont="1" applyBorder="1" applyAlignment="1">
      <alignment horizontal="center" vertical="center"/>
    </xf>
    <xf numFmtId="0" fontId="7" fillId="0" borderId="3" xfId="0" applyFont="1" applyBorder="1" applyAlignment="1"/>
    <xf numFmtId="0" fontId="7" fillId="0" borderId="4" xfId="0" applyFont="1" applyBorder="1" applyAlignment="1"/>
    <xf numFmtId="0" fontId="2" fillId="0" borderId="4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2">
    <dxf>
      <border>
        <bottom style="thin">
          <color auto="1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/>
        <right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3FBC"/>
    <outlinePr summaryBelow="0" summaryRight="0"/>
  </sheetPr>
  <dimension ref="A1:X45"/>
  <sheetViews>
    <sheetView showGridLines="0" tabSelected="1" zoomScale="85" zoomScaleNormal="85" workbookViewId="0"/>
  </sheetViews>
  <sheetFormatPr defaultColWidth="0" defaultRowHeight="0" customHeight="1" zeroHeight="1" thickBottom="1" x14ac:dyDescent="0.25"/>
  <cols>
    <col min="1" max="1" width="1.42578125" style="10" customWidth="1"/>
    <col min="2" max="2" width="8.7109375" style="23" customWidth="1"/>
    <col min="3" max="3" width="8.7109375" style="37" customWidth="1"/>
    <col min="4" max="5" width="9.7109375" style="23" customWidth="1"/>
    <col min="6" max="7" width="11.7109375" style="23" customWidth="1"/>
    <col min="8" max="15" width="9.7109375" style="23" customWidth="1"/>
    <col min="16" max="16" width="10.7109375" style="23" customWidth="1"/>
    <col min="17" max="18" width="11.7109375" style="23" customWidth="1"/>
    <col min="19" max="19" width="10.7109375" style="23" customWidth="1"/>
    <col min="20" max="20" width="1.42578125" style="10" customWidth="1"/>
    <col min="21" max="22" width="15.7109375" style="10" customWidth="1"/>
    <col min="23" max="23" width="1.42578125" style="26" customWidth="1"/>
    <col min="24" max="24" width="2.28515625" style="10" hidden="1" customWidth="1"/>
    <col min="25" max="16384" width="9.140625" style="10" hidden="1"/>
  </cols>
  <sheetData>
    <row r="1" spans="1:24" ht="7.5" customHeight="1" thickBot="1" x14ac:dyDescent="0.25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X1" s="11"/>
    </row>
    <row r="2" spans="1:24" ht="24.95" customHeight="1" thickBot="1" x14ac:dyDescent="0.25">
      <c r="A2" s="8"/>
      <c r="B2" s="82" t="s">
        <v>0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U2" s="12" t="s">
        <v>1</v>
      </c>
      <c r="V2" s="13" t="s">
        <v>2</v>
      </c>
      <c r="X2" s="11"/>
    </row>
    <row r="3" spans="1:24" ht="24.95" customHeight="1" x14ac:dyDescent="0.2">
      <c r="A3" s="14"/>
      <c r="B3" s="52" t="s">
        <v>3</v>
      </c>
      <c r="C3" s="55" t="s">
        <v>4</v>
      </c>
      <c r="D3" s="58" t="s">
        <v>5</v>
      </c>
      <c r="E3" s="55" t="s">
        <v>6</v>
      </c>
      <c r="F3" s="58" t="s">
        <v>7</v>
      </c>
      <c r="G3" s="55" t="s">
        <v>8</v>
      </c>
      <c r="H3" s="61" t="s">
        <v>9</v>
      </c>
      <c r="I3" s="62"/>
      <c r="J3" s="62"/>
      <c r="K3" s="63"/>
      <c r="L3" s="61" t="s">
        <v>10</v>
      </c>
      <c r="M3" s="62"/>
      <c r="N3" s="62"/>
      <c r="O3" s="63"/>
      <c r="P3" s="64" t="s">
        <v>11</v>
      </c>
      <c r="Q3" s="52" t="s">
        <v>12</v>
      </c>
      <c r="R3" s="69" t="s">
        <v>13</v>
      </c>
      <c r="S3" s="71" t="s">
        <v>14</v>
      </c>
      <c r="U3" s="1" t="s">
        <v>4</v>
      </c>
      <c r="V3" s="43">
        <f>IF(COUNTIF(D6:E6,"")=0,SUM(D6:E34),"")</f>
        <v>238</v>
      </c>
      <c r="X3" s="15"/>
    </row>
    <row r="4" spans="1:24" ht="24.95" customHeight="1" x14ac:dyDescent="0.2">
      <c r="A4" s="14"/>
      <c r="B4" s="53"/>
      <c r="C4" s="56"/>
      <c r="D4" s="59"/>
      <c r="E4" s="56"/>
      <c r="F4" s="59"/>
      <c r="G4" s="56"/>
      <c r="H4" s="74" t="s">
        <v>15</v>
      </c>
      <c r="I4" s="75" t="s">
        <v>16</v>
      </c>
      <c r="J4" s="75" t="s">
        <v>17</v>
      </c>
      <c r="K4" s="67" t="s">
        <v>18</v>
      </c>
      <c r="L4" s="74" t="s">
        <v>19</v>
      </c>
      <c r="M4" s="75" t="s">
        <v>20</v>
      </c>
      <c r="N4" s="75" t="s">
        <v>21</v>
      </c>
      <c r="O4" s="67" t="s">
        <v>22</v>
      </c>
      <c r="P4" s="65"/>
      <c r="Q4" s="53"/>
      <c r="R4" s="70"/>
      <c r="S4" s="72"/>
      <c r="U4" s="1" t="s">
        <v>23</v>
      </c>
      <c r="V4" s="28">
        <v>238</v>
      </c>
    </row>
    <row r="5" spans="1:24" ht="24.95" customHeight="1" thickBot="1" x14ac:dyDescent="0.25">
      <c r="A5" s="14"/>
      <c r="B5" s="54"/>
      <c r="C5" s="57"/>
      <c r="D5" s="60"/>
      <c r="E5" s="57"/>
      <c r="F5" s="60"/>
      <c r="G5" s="57"/>
      <c r="H5" s="54"/>
      <c r="I5" s="76"/>
      <c r="J5" s="76"/>
      <c r="K5" s="68"/>
      <c r="L5" s="54"/>
      <c r="M5" s="76"/>
      <c r="N5" s="76"/>
      <c r="O5" s="68"/>
      <c r="P5" s="66"/>
      <c r="Q5" s="54"/>
      <c r="R5" s="68"/>
      <c r="S5" s="73"/>
      <c r="U5" s="1" t="s">
        <v>5</v>
      </c>
      <c r="V5" s="43">
        <f>IF(D6="","",SUM(D6:D34))</f>
        <v>112</v>
      </c>
      <c r="W5" s="26" t="s">
        <v>35</v>
      </c>
      <c r="X5" s="16"/>
    </row>
    <row r="6" spans="1:24" ht="24.95" customHeight="1" thickBot="1" x14ac:dyDescent="0.25">
      <c r="A6" s="17"/>
      <c r="B6" s="27" t="s">
        <v>36</v>
      </c>
      <c r="C6" s="38">
        <f>IF(COUNTIF(D6:E6,"")&gt;0,"",D6+E6)</f>
        <v>40</v>
      </c>
      <c r="D6" s="18">
        <v>18</v>
      </c>
      <c r="E6" s="19">
        <v>22</v>
      </c>
      <c r="F6" s="18">
        <v>7</v>
      </c>
      <c r="G6" s="19">
        <v>4</v>
      </c>
      <c r="H6" s="18">
        <v>40</v>
      </c>
      <c r="I6" s="20">
        <v>0</v>
      </c>
      <c r="J6" s="42">
        <f t="shared" ref="J6:J34" si="0">IF(H6="","",IF(I6="","",IF(K6="","",H6+I6-K6)))</f>
        <v>0</v>
      </c>
      <c r="K6" s="38">
        <f t="shared" ref="K6:K34" si="1">IF(D6="","",IF(E6="","",D6+E6))</f>
        <v>40</v>
      </c>
      <c r="L6" s="18">
        <v>5</v>
      </c>
      <c r="M6" s="20">
        <v>12</v>
      </c>
      <c r="N6" s="20">
        <v>13</v>
      </c>
      <c r="O6" s="19">
        <v>1</v>
      </c>
      <c r="P6" s="39">
        <f t="shared" ref="P6:P34" si="2">IF(COUNTIF(K6:O6,"")&gt;0,"",K6-SUM(L6:O6))</f>
        <v>9</v>
      </c>
      <c r="Q6" s="40">
        <f>IF(COUNTIF(K6:M6,"")&gt;0,"",SUM(L6:O6)/K6)</f>
        <v>0.77500000000000002</v>
      </c>
      <c r="R6" s="41">
        <f>IF(COUNTIF(K6:M6,"")&gt;0,"",SUM(L6:M6)/K6)</f>
        <v>0.42499999999999999</v>
      </c>
      <c r="S6" s="21">
        <v>5.87</v>
      </c>
      <c r="U6" s="1" t="s">
        <v>6</v>
      </c>
      <c r="V6" s="43">
        <f>IF(E6="","",SUM(E6:E34))</f>
        <v>126</v>
      </c>
      <c r="W6" s="26" t="str">
        <f>IF(COUNTIF($B$6:$S$6,"")&gt;0,"",IF(COUNTIF($D$6:$S$6,"=*")&gt;0,"","+"))</f>
        <v>+</v>
      </c>
    </row>
    <row r="7" spans="1:24" ht="24.95" customHeight="1" thickBot="1" x14ac:dyDescent="0.25">
      <c r="A7" s="17"/>
      <c r="B7" s="27" t="s">
        <v>37</v>
      </c>
      <c r="C7" s="38">
        <f t="shared" ref="C7:C34" si="3">IF(COUNTIF(D7:E7,"")&gt;0,"",D7+E7)</f>
        <v>40</v>
      </c>
      <c r="D7" s="18">
        <v>31</v>
      </c>
      <c r="E7" s="19">
        <v>9</v>
      </c>
      <c r="F7" s="18">
        <v>12</v>
      </c>
      <c r="G7" s="19">
        <v>7</v>
      </c>
      <c r="H7" s="18">
        <v>40</v>
      </c>
      <c r="I7" s="20">
        <v>0</v>
      </c>
      <c r="J7" s="42">
        <f t="shared" si="0"/>
        <v>0</v>
      </c>
      <c r="K7" s="38">
        <f t="shared" si="1"/>
        <v>40</v>
      </c>
      <c r="L7" s="18">
        <v>2</v>
      </c>
      <c r="M7" s="20">
        <v>12</v>
      </c>
      <c r="N7" s="25">
        <v>16</v>
      </c>
      <c r="O7" s="19">
        <v>1</v>
      </c>
      <c r="P7" s="39">
        <f t="shared" si="2"/>
        <v>9</v>
      </c>
      <c r="Q7" s="40">
        <f t="shared" ref="Q7:Q34" si="4">IF(COUNTIF(K7:M7,"")&gt;0,"",SUM(L7:O7)/K7)</f>
        <v>0.77500000000000002</v>
      </c>
      <c r="R7" s="41">
        <f t="shared" ref="R7:R34" si="5">IF(COUNTIF(K7:M7,"")&gt;0,"",SUM(L7:M7)/K7)</f>
        <v>0.35</v>
      </c>
      <c r="S7" s="21">
        <v>5.44</v>
      </c>
      <c r="U7" s="2" t="s">
        <v>24</v>
      </c>
      <c r="V7" s="44">
        <f>IF(COUNTIF(V3:V4,"")=0,V3-V4,"")</f>
        <v>0</v>
      </c>
      <c r="W7" s="26" t="str">
        <f>IF(COUNTIF($B$7:$S$7,"")&gt;0,"",IF(COUNTIF($D$7:$S$7,"=*")&gt;0,"",IF(W6="+","+","")))</f>
        <v>+</v>
      </c>
    </row>
    <row r="8" spans="1:24" ht="24.95" customHeight="1" thickBot="1" x14ac:dyDescent="0.25">
      <c r="A8" s="17"/>
      <c r="B8" s="27" t="s">
        <v>38</v>
      </c>
      <c r="C8" s="38">
        <f t="shared" si="3"/>
        <v>39</v>
      </c>
      <c r="D8" s="18">
        <v>24</v>
      </c>
      <c r="E8" s="19">
        <v>15</v>
      </c>
      <c r="F8" s="18">
        <v>6</v>
      </c>
      <c r="G8" s="19">
        <v>6</v>
      </c>
      <c r="H8" s="18">
        <v>39</v>
      </c>
      <c r="I8" s="20">
        <v>0</v>
      </c>
      <c r="J8" s="42">
        <f t="shared" si="0"/>
        <v>0</v>
      </c>
      <c r="K8" s="38">
        <f t="shared" si="1"/>
        <v>39</v>
      </c>
      <c r="L8" s="18">
        <v>1</v>
      </c>
      <c r="M8" s="20">
        <v>19</v>
      </c>
      <c r="N8" s="20">
        <v>14</v>
      </c>
      <c r="O8" s="19">
        <v>0</v>
      </c>
      <c r="P8" s="39">
        <f t="shared" si="2"/>
        <v>5</v>
      </c>
      <c r="Q8" s="40">
        <f t="shared" si="4"/>
        <v>0.87179487179487181</v>
      </c>
      <c r="R8" s="41">
        <f t="shared" si="5"/>
        <v>0.51282051282051277</v>
      </c>
      <c r="S8" s="21">
        <v>6.5</v>
      </c>
      <c r="W8" s="26" t="str">
        <f>IF(COUNTIF($B$8:$S$8,"")&gt;0,"",IF(COUNTIF($D$8:$S$8,"=*")&gt;0,"",IF(W7="+","+","")))</f>
        <v>+</v>
      </c>
    </row>
    <row r="9" spans="1:24" ht="24.95" customHeight="1" thickBot="1" x14ac:dyDescent="0.25">
      <c r="A9" s="17"/>
      <c r="B9" s="27" t="s">
        <v>39</v>
      </c>
      <c r="C9" s="38">
        <f t="shared" si="3"/>
        <v>40</v>
      </c>
      <c r="D9" s="18">
        <v>25</v>
      </c>
      <c r="E9" s="19">
        <v>15</v>
      </c>
      <c r="F9" s="18">
        <v>10</v>
      </c>
      <c r="G9" s="19">
        <v>2</v>
      </c>
      <c r="H9" s="18">
        <v>40</v>
      </c>
      <c r="I9" s="20">
        <v>0</v>
      </c>
      <c r="J9" s="42">
        <f t="shared" si="0"/>
        <v>0</v>
      </c>
      <c r="K9" s="38">
        <f t="shared" si="1"/>
        <v>40</v>
      </c>
      <c r="L9" s="18">
        <v>4</v>
      </c>
      <c r="M9" s="20">
        <v>6</v>
      </c>
      <c r="N9" s="20">
        <v>19</v>
      </c>
      <c r="O9" s="19">
        <v>1</v>
      </c>
      <c r="P9" s="39">
        <f t="shared" si="2"/>
        <v>10</v>
      </c>
      <c r="Q9" s="40">
        <f t="shared" si="4"/>
        <v>0.75</v>
      </c>
      <c r="R9" s="41">
        <f t="shared" si="5"/>
        <v>0.25</v>
      </c>
      <c r="S9" s="21">
        <v>5.32</v>
      </c>
      <c r="W9" s="26" t="str">
        <f>IF(COUNTIF($B$9:$S$9,"")&gt;0,"",IF(COUNTIF($D$9:$S$9,"=*")&gt;0,"",IF(W8="+","+","")))</f>
        <v>+</v>
      </c>
    </row>
    <row r="10" spans="1:24" ht="24.95" customHeight="1" thickBot="1" x14ac:dyDescent="0.25">
      <c r="A10" s="17"/>
      <c r="B10" s="27" t="s">
        <v>40</v>
      </c>
      <c r="C10" s="38">
        <f t="shared" si="3"/>
        <v>40</v>
      </c>
      <c r="D10" s="18">
        <v>14</v>
      </c>
      <c r="E10" s="19">
        <v>26</v>
      </c>
      <c r="F10" s="18">
        <v>6</v>
      </c>
      <c r="G10" s="19">
        <v>0</v>
      </c>
      <c r="H10" s="18">
        <v>40</v>
      </c>
      <c r="I10" s="20">
        <v>0</v>
      </c>
      <c r="J10" s="42">
        <f t="shared" si="0"/>
        <v>0</v>
      </c>
      <c r="K10" s="38">
        <f t="shared" si="1"/>
        <v>40</v>
      </c>
      <c r="L10" s="18">
        <v>3</v>
      </c>
      <c r="M10" s="20">
        <v>18</v>
      </c>
      <c r="N10" s="20">
        <v>13</v>
      </c>
      <c r="O10" s="19">
        <v>0</v>
      </c>
      <c r="P10" s="39">
        <f t="shared" si="2"/>
        <v>6</v>
      </c>
      <c r="Q10" s="40">
        <f t="shared" si="4"/>
        <v>0.85</v>
      </c>
      <c r="R10" s="41">
        <f t="shared" si="5"/>
        <v>0.52500000000000002</v>
      </c>
      <c r="S10" s="21">
        <v>6.27</v>
      </c>
      <c r="W10" s="26" t="str">
        <f>IF(COUNTIF($B$10:$S$10,"")&gt;0,"",IF(COUNTIF($D$10:$S$10,"=*")&gt;0,"",IF(W9="+","+","")))</f>
        <v>+</v>
      </c>
    </row>
    <row r="11" spans="1:24" ht="24.95" customHeight="1" thickBot="1" x14ac:dyDescent="0.25">
      <c r="A11" s="17"/>
      <c r="B11" s="27" t="s">
        <v>41</v>
      </c>
      <c r="C11" s="38">
        <f t="shared" si="3"/>
        <v>39</v>
      </c>
      <c r="D11" s="18">
        <v>0</v>
      </c>
      <c r="E11" s="19">
        <v>39</v>
      </c>
      <c r="F11" s="18">
        <v>0</v>
      </c>
      <c r="G11" s="19">
        <v>0</v>
      </c>
      <c r="H11" s="18">
        <v>39</v>
      </c>
      <c r="I11" s="20">
        <v>0</v>
      </c>
      <c r="J11" s="42">
        <f t="shared" si="0"/>
        <v>0</v>
      </c>
      <c r="K11" s="38">
        <f t="shared" si="1"/>
        <v>39</v>
      </c>
      <c r="L11" s="18">
        <v>0</v>
      </c>
      <c r="M11" s="20">
        <v>12</v>
      </c>
      <c r="N11" s="20">
        <v>10</v>
      </c>
      <c r="O11" s="19">
        <v>0</v>
      </c>
      <c r="P11" s="39">
        <f t="shared" si="2"/>
        <v>17</v>
      </c>
      <c r="Q11" s="40">
        <f t="shared" si="4"/>
        <v>0.5641025641025641</v>
      </c>
      <c r="R11" s="41">
        <f t="shared" si="5"/>
        <v>0.30769230769230771</v>
      </c>
      <c r="S11" s="21">
        <v>4.18</v>
      </c>
      <c r="W11" s="26" t="str">
        <f>IF(COUNTIF($B$11:$S$11,"")&gt;0,"",IF(COUNTIF($D$11:$S$11,"=*")&gt;0,"",IF(W10="+","+","")))</f>
        <v>+</v>
      </c>
    </row>
    <row r="12" spans="1:24" ht="24.95" customHeight="1" thickBot="1" x14ac:dyDescent="0.25">
      <c r="A12" s="17"/>
      <c r="B12" s="27"/>
      <c r="C12" s="38" t="str">
        <f t="shared" si="3"/>
        <v/>
      </c>
      <c r="D12" s="18"/>
      <c r="E12" s="19"/>
      <c r="F12" s="18"/>
      <c r="G12" s="19"/>
      <c r="H12" s="18"/>
      <c r="I12" s="20"/>
      <c r="J12" s="42" t="str">
        <f t="shared" si="0"/>
        <v/>
      </c>
      <c r="K12" s="38" t="str">
        <f t="shared" si="1"/>
        <v/>
      </c>
      <c r="L12" s="18"/>
      <c r="M12" s="20"/>
      <c r="N12" s="20"/>
      <c r="O12" s="19"/>
      <c r="P12" s="39" t="str">
        <f t="shared" si="2"/>
        <v/>
      </c>
      <c r="Q12" s="40" t="str">
        <f t="shared" si="4"/>
        <v/>
      </c>
      <c r="R12" s="41" t="str">
        <f t="shared" si="5"/>
        <v/>
      </c>
      <c r="S12" s="21"/>
      <c r="W12" s="26" t="str">
        <f>IF(COUNTIF($B$12:$S$12,"")&gt;0,"",IF(COUNTIF($D$12:$S$12,"=*")&gt;0,"",IF(W11="+","+","")))</f>
        <v/>
      </c>
    </row>
    <row r="13" spans="1:24" ht="24.95" customHeight="1" thickBot="1" x14ac:dyDescent="0.25">
      <c r="A13" s="17"/>
      <c r="B13" s="27"/>
      <c r="C13" s="38" t="str">
        <f t="shared" si="3"/>
        <v/>
      </c>
      <c r="D13" s="18"/>
      <c r="E13" s="19"/>
      <c r="F13" s="18"/>
      <c r="G13" s="19"/>
      <c r="H13" s="18"/>
      <c r="I13" s="20"/>
      <c r="J13" s="42" t="str">
        <f t="shared" si="0"/>
        <v/>
      </c>
      <c r="K13" s="38" t="str">
        <f t="shared" si="1"/>
        <v/>
      </c>
      <c r="L13" s="18"/>
      <c r="M13" s="20"/>
      <c r="N13" s="20"/>
      <c r="O13" s="19"/>
      <c r="P13" s="39" t="str">
        <f t="shared" si="2"/>
        <v/>
      </c>
      <c r="Q13" s="40" t="str">
        <f t="shared" si="4"/>
        <v/>
      </c>
      <c r="R13" s="41" t="str">
        <f t="shared" si="5"/>
        <v/>
      </c>
      <c r="S13" s="21"/>
      <c r="W13" s="26" t="str">
        <f>IF(COUNTIF($B$13:$S$13,"")&gt;0,"",IF(COUNTIF($D$13:$S$13,"=*")&gt;0,"",IF(W12="+","+","")))</f>
        <v/>
      </c>
    </row>
    <row r="14" spans="1:24" ht="24.95" customHeight="1" thickBot="1" x14ac:dyDescent="0.25">
      <c r="A14" s="17"/>
      <c r="B14" s="27"/>
      <c r="C14" s="38" t="str">
        <f t="shared" si="3"/>
        <v/>
      </c>
      <c r="D14" s="18"/>
      <c r="E14" s="19"/>
      <c r="F14" s="18"/>
      <c r="G14" s="19"/>
      <c r="H14" s="18"/>
      <c r="I14" s="20"/>
      <c r="J14" s="42" t="str">
        <f t="shared" si="0"/>
        <v/>
      </c>
      <c r="K14" s="38" t="str">
        <f>IF(D14="","",IF(E14="","",D14+E14))</f>
        <v/>
      </c>
      <c r="L14" s="18"/>
      <c r="M14" s="20"/>
      <c r="N14" s="20"/>
      <c r="O14" s="19"/>
      <c r="P14" s="39" t="str">
        <f t="shared" si="2"/>
        <v/>
      </c>
      <c r="Q14" s="40" t="str">
        <f t="shared" si="4"/>
        <v/>
      </c>
      <c r="R14" s="41" t="str">
        <f t="shared" si="5"/>
        <v/>
      </c>
      <c r="S14" s="21"/>
      <c r="W14" s="26" t="str">
        <f>IF(COUNTIF($B$14:$S$14,"")&gt;0,"",IF(COUNTIF($D$14:$S$14,"=*")&gt;0,"",IF(W13="+","+","")))</f>
        <v/>
      </c>
    </row>
    <row r="15" spans="1:24" ht="24.95" customHeight="1" thickBot="1" x14ac:dyDescent="0.25">
      <c r="A15" s="17"/>
      <c r="B15" s="27"/>
      <c r="C15" s="38" t="str">
        <f t="shared" si="3"/>
        <v/>
      </c>
      <c r="D15" s="18"/>
      <c r="E15" s="19"/>
      <c r="F15" s="18"/>
      <c r="G15" s="19"/>
      <c r="H15" s="18"/>
      <c r="I15" s="20"/>
      <c r="J15" s="42" t="str">
        <f t="shared" si="0"/>
        <v/>
      </c>
      <c r="K15" s="38" t="str">
        <f t="shared" si="1"/>
        <v/>
      </c>
      <c r="L15" s="18"/>
      <c r="M15" s="20"/>
      <c r="N15" s="20"/>
      <c r="O15" s="19"/>
      <c r="P15" s="39" t="str">
        <f t="shared" si="2"/>
        <v/>
      </c>
      <c r="Q15" s="40" t="str">
        <f t="shared" si="4"/>
        <v/>
      </c>
      <c r="R15" s="41" t="str">
        <f t="shared" si="5"/>
        <v/>
      </c>
      <c r="S15" s="21"/>
      <c r="W15" s="26" t="str">
        <f>IF(COUNTIF($B$15:$S$15,"")&gt;0,"",IF(COUNTIF($D$15:$S$15,"=*")&gt;0,"",IF(W14="+","+","")))</f>
        <v/>
      </c>
    </row>
    <row r="16" spans="1:24" ht="24.95" customHeight="1" thickBot="1" x14ac:dyDescent="0.25">
      <c r="A16" s="17"/>
      <c r="B16" s="27"/>
      <c r="C16" s="38" t="str">
        <f t="shared" si="3"/>
        <v/>
      </c>
      <c r="D16" s="18"/>
      <c r="E16" s="19"/>
      <c r="F16" s="18"/>
      <c r="G16" s="19"/>
      <c r="H16" s="18"/>
      <c r="I16" s="20"/>
      <c r="J16" s="42" t="str">
        <f t="shared" si="0"/>
        <v/>
      </c>
      <c r="K16" s="38" t="str">
        <f t="shared" si="1"/>
        <v/>
      </c>
      <c r="L16" s="18"/>
      <c r="M16" s="20"/>
      <c r="N16" s="20"/>
      <c r="O16" s="19"/>
      <c r="P16" s="39" t="str">
        <f t="shared" si="2"/>
        <v/>
      </c>
      <c r="Q16" s="40" t="str">
        <f t="shared" si="4"/>
        <v/>
      </c>
      <c r="R16" s="41" t="str">
        <f t="shared" si="5"/>
        <v/>
      </c>
      <c r="S16" s="21"/>
      <c r="W16" s="26" t="str">
        <f>IF(COUNTIF($B$16:$S$16,"")&gt;0,"",IF(COUNTIF($D$16:$S$16,"=*")&gt;0,"",IF(W15="+","+","")))</f>
        <v/>
      </c>
    </row>
    <row r="17" spans="1:23" ht="24.95" customHeight="1" thickBot="1" x14ac:dyDescent="0.25">
      <c r="A17" s="17"/>
      <c r="B17" s="27"/>
      <c r="C17" s="38" t="str">
        <f t="shared" si="3"/>
        <v/>
      </c>
      <c r="D17" s="18"/>
      <c r="E17" s="19"/>
      <c r="F17" s="18"/>
      <c r="G17" s="19"/>
      <c r="H17" s="18"/>
      <c r="I17" s="20"/>
      <c r="J17" s="42" t="str">
        <f t="shared" si="0"/>
        <v/>
      </c>
      <c r="K17" s="38" t="str">
        <f t="shared" si="1"/>
        <v/>
      </c>
      <c r="L17" s="18"/>
      <c r="M17" s="20"/>
      <c r="N17" s="20"/>
      <c r="O17" s="19"/>
      <c r="P17" s="39" t="str">
        <f t="shared" si="2"/>
        <v/>
      </c>
      <c r="Q17" s="40" t="str">
        <f t="shared" si="4"/>
        <v/>
      </c>
      <c r="R17" s="41" t="str">
        <f t="shared" si="5"/>
        <v/>
      </c>
      <c r="S17" s="21"/>
      <c r="W17" s="26" t="str">
        <f>IF(COUNTIF($B$17:$S$17,"")&gt;0,"",IF(COUNTIF($D$17:$S$17,"=*")&gt;0,"",IF(W16="+","+","")))</f>
        <v/>
      </c>
    </row>
    <row r="18" spans="1:23" ht="24.95" customHeight="1" thickBot="1" x14ac:dyDescent="0.25">
      <c r="A18" s="17"/>
      <c r="B18" s="27"/>
      <c r="C18" s="38" t="str">
        <f t="shared" si="3"/>
        <v/>
      </c>
      <c r="D18" s="18"/>
      <c r="E18" s="19"/>
      <c r="F18" s="18"/>
      <c r="G18" s="19"/>
      <c r="H18" s="18"/>
      <c r="I18" s="20"/>
      <c r="J18" s="42" t="str">
        <f t="shared" si="0"/>
        <v/>
      </c>
      <c r="K18" s="38" t="str">
        <f t="shared" si="1"/>
        <v/>
      </c>
      <c r="L18" s="18"/>
      <c r="M18" s="20"/>
      <c r="N18" s="20"/>
      <c r="O18" s="19"/>
      <c r="P18" s="39" t="str">
        <f t="shared" si="2"/>
        <v/>
      </c>
      <c r="Q18" s="40" t="str">
        <f t="shared" si="4"/>
        <v/>
      </c>
      <c r="R18" s="41" t="str">
        <f t="shared" si="5"/>
        <v/>
      </c>
      <c r="S18" s="21"/>
      <c r="W18" s="26" t="str">
        <f>IF(COUNTIF($B$18:$S$18,"")&gt;0,"",IF(COUNTIF($D$18:$S$18,"=*")&gt;0,"",IF(W17="+","+","")))</f>
        <v/>
      </c>
    </row>
    <row r="19" spans="1:23" ht="24.95" customHeight="1" thickBot="1" x14ac:dyDescent="0.25">
      <c r="A19" s="17"/>
      <c r="B19" s="27"/>
      <c r="C19" s="38" t="str">
        <f t="shared" si="3"/>
        <v/>
      </c>
      <c r="D19" s="18"/>
      <c r="E19" s="19"/>
      <c r="F19" s="18"/>
      <c r="G19" s="19"/>
      <c r="H19" s="18"/>
      <c r="I19" s="20"/>
      <c r="J19" s="42" t="str">
        <f t="shared" si="0"/>
        <v/>
      </c>
      <c r="K19" s="38" t="str">
        <f t="shared" si="1"/>
        <v/>
      </c>
      <c r="L19" s="18"/>
      <c r="M19" s="20"/>
      <c r="N19" s="20"/>
      <c r="O19" s="19"/>
      <c r="P19" s="39" t="str">
        <f t="shared" si="2"/>
        <v/>
      </c>
      <c r="Q19" s="40" t="str">
        <f t="shared" si="4"/>
        <v/>
      </c>
      <c r="R19" s="41" t="str">
        <f t="shared" si="5"/>
        <v/>
      </c>
      <c r="S19" s="21"/>
      <c r="W19" s="26" t="str">
        <f>IF(COUNTIF($B$19:$S$19,"")&gt;0,"",IF(COUNTIF($D$19:$S$19,"=*")&gt;0,"",IF(W18="+","+","")))</f>
        <v/>
      </c>
    </row>
    <row r="20" spans="1:23" ht="24.95" customHeight="1" thickBot="1" x14ac:dyDescent="0.25">
      <c r="A20" s="17"/>
      <c r="B20" s="27"/>
      <c r="C20" s="38" t="str">
        <f t="shared" si="3"/>
        <v/>
      </c>
      <c r="D20" s="18"/>
      <c r="E20" s="19"/>
      <c r="F20" s="18"/>
      <c r="G20" s="19"/>
      <c r="H20" s="18"/>
      <c r="I20" s="20"/>
      <c r="J20" s="42" t="str">
        <f t="shared" si="0"/>
        <v/>
      </c>
      <c r="K20" s="38" t="str">
        <f t="shared" si="1"/>
        <v/>
      </c>
      <c r="L20" s="18"/>
      <c r="M20" s="20"/>
      <c r="N20" s="20"/>
      <c r="O20" s="19"/>
      <c r="P20" s="39" t="str">
        <f t="shared" si="2"/>
        <v/>
      </c>
      <c r="Q20" s="40" t="str">
        <f t="shared" si="4"/>
        <v/>
      </c>
      <c r="R20" s="41" t="str">
        <f t="shared" si="5"/>
        <v/>
      </c>
      <c r="S20" s="21"/>
      <c r="W20" s="26" t="str">
        <f>IF(COUNTIF($B$20:$S$20,"")&gt;0,"",IF(COUNTIF($D$20:$S$20,"=*")&gt;0,"",IF(W19="+","+","")))</f>
        <v/>
      </c>
    </row>
    <row r="21" spans="1:23" ht="24.95" customHeight="1" thickBot="1" x14ac:dyDescent="0.25">
      <c r="A21" s="17"/>
      <c r="B21" s="27"/>
      <c r="C21" s="38" t="str">
        <f t="shared" si="3"/>
        <v/>
      </c>
      <c r="D21" s="18"/>
      <c r="E21" s="19"/>
      <c r="F21" s="18"/>
      <c r="G21" s="19"/>
      <c r="H21" s="18"/>
      <c r="I21" s="20"/>
      <c r="J21" s="42" t="str">
        <f t="shared" si="0"/>
        <v/>
      </c>
      <c r="K21" s="38" t="str">
        <f t="shared" si="1"/>
        <v/>
      </c>
      <c r="L21" s="18"/>
      <c r="M21" s="20"/>
      <c r="N21" s="20"/>
      <c r="O21" s="19"/>
      <c r="P21" s="39" t="str">
        <f t="shared" si="2"/>
        <v/>
      </c>
      <c r="Q21" s="40" t="str">
        <f t="shared" si="4"/>
        <v/>
      </c>
      <c r="R21" s="41" t="str">
        <f t="shared" si="5"/>
        <v/>
      </c>
      <c r="S21" s="21"/>
      <c r="W21" s="26" t="str">
        <f>IF(COUNTIF($B$21:$S$21,"")&gt;0,"",IF(COUNTIF($D$21:$S$21,"=*")&gt;0,"",IF(W20="+","+","")))</f>
        <v/>
      </c>
    </row>
    <row r="22" spans="1:23" ht="24.95" customHeight="1" thickBot="1" x14ac:dyDescent="0.25">
      <c r="A22" s="17"/>
      <c r="B22" s="27"/>
      <c r="C22" s="38" t="str">
        <f t="shared" si="3"/>
        <v/>
      </c>
      <c r="D22" s="18"/>
      <c r="E22" s="19"/>
      <c r="F22" s="18"/>
      <c r="G22" s="19"/>
      <c r="H22" s="18"/>
      <c r="I22" s="20"/>
      <c r="J22" s="42" t="str">
        <f t="shared" si="0"/>
        <v/>
      </c>
      <c r="K22" s="38" t="str">
        <f t="shared" si="1"/>
        <v/>
      </c>
      <c r="L22" s="18"/>
      <c r="M22" s="20"/>
      <c r="N22" s="20"/>
      <c r="O22" s="19"/>
      <c r="P22" s="39" t="str">
        <f t="shared" si="2"/>
        <v/>
      </c>
      <c r="Q22" s="40" t="str">
        <f t="shared" si="4"/>
        <v/>
      </c>
      <c r="R22" s="41" t="str">
        <f t="shared" si="5"/>
        <v/>
      </c>
      <c r="S22" s="21"/>
      <c r="W22" s="26" t="str">
        <f>IF(COUNTIF($B$22:$S$22,"")&gt;0,"",IF(COUNTIF($D$22:$S$22,"=*")&gt;0,"",IF(W21="+","+","")))</f>
        <v/>
      </c>
    </row>
    <row r="23" spans="1:23" ht="24.95" customHeight="1" thickBot="1" x14ac:dyDescent="0.25">
      <c r="A23" s="17"/>
      <c r="B23" s="27"/>
      <c r="C23" s="38" t="str">
        <f t="shared" si="3"/>
        <v/>
      </c>
      <c r="D23" s="18"/>
      <c r="E23" s="19"/>
      <c r="F23" s="18"/>
      <c r="G23" s="19"/>
      <c r="H23" s="18"/>
      <c r="I23" s="20"/>
      <c r="J23" s="42" t="str">
        <f t="shared" si="0"/>
        <v/>
      </c>
      <c r="K23" s="38" t="str">
        <f t="shared" si="1"/>
        <v/>
      </c>
      <c r="L23" s="18"/>
      <c r="M23" s="20"/>
      <c r="N23" s="20"/>
      <c r="O23" s="19"/>
      <c r="P23" s="39" t="str">
        <f t="shared" si="2"/>
        <v/>
      </c>
      <c r="Q23" s="40" t="str">
        <f t="shared" si="4"/>
        <v/>
      </c>
      <c r="R23" s="41" t="str">
        <f t="shared" si="5"/>
        <v/>
      </c>
      <c r="S23" s="21"/>
      <c r="W23" s="26" t="str">
        <f>IF(COUNTIF($B$23:$S$23,"")&gt;0,"",IF(COUNTIF($D$23:$S$23,"=*")&gt;0,"",IF(W22="+","+","")))</f>
        <v/>
      </c>
    </row>
    <row r="24" spans="1:23" ht="24.95" customHeight="1" thickBot="1" x14ac:dyDescent="0.25">
      <c r="A24" s="17"/>
      <c r="B24" s="27"/>
      <c r="C24" s="38" t="str">
        <f t="shared" si="3"/>
        <v/>
      </c>
      <c r="D24" s="18"/>
      <c r="E24" s="19"/>
      <c r="F24" s="18"/>
      <c r="G24" s="19"/>
      <c r="H24" s="18"/>
      <c r="I24" s="20"/>
      <c r="J24" s="42" t="str">
        <f t="shared" si="0"/>
        <v/>
      </c>
      <c r="K24" s="38" t="str">
        <f t="shared" si="1"/>
        <v/>
      </c>
      <c r="L24" s="18"/>
      <c r="M24" s="20"/>
      <c r="N24" s="20"/>
      <c r="O24" s="19"/>
      <c r="P24" s="39" t="str">
        <f t="shared" si="2"/>
        <v/>
      </c>
      <c r="Q24" s="40" t="str">
        <f t="shared" si="4"/>
        <v/>
      </c>
      <c r="R24" s="41" t="str">
        <f t="shared" si="5"/>
        <v/>
      </c>
      <c r="S24" s="21"/>
      <c r="W24" s="26" t="str">
        <f>IF(COUNTIF($B$24:$S$24,"")&gt;0,"",IF(COUNTIF($D$24:$S$24,"=*")&gt;0,"",IF(W23="+","+","")))</f>
        <v/>
      </c>
    </row>
    <row r="25" spans="1:23" ht="24.95" customHeight="1" thickBot="1" x14ac:dyDescent="0.25">
      <c r="A25" s="17"/>
      <c r="B25" s="27"/>
      <c r="C25" s="38" t="str">
        <f t="shared" si="3"/>
        <v/>
      </c>
      <c r="D25" s="18"/>
      <c r="E25" s="19"/>
      <c r="F25" s="18"/>
      <c r="G25" s="19"/>
      <c r="H25" s="18"/>
      <c r="I25" s="20"/>
      <c r="J25" s="42" t="str">
        <f t="shared" si="0"/>
        <v/>
      </c>
      <c r="K25" s="38" t="str">
        <f t="shared" si="1"/>
        <v/>
      </c>
      <c r="L25" s="18"/>
      <c r="M25" s="20"/>
      <c r="N25" s="20"/>
      <c r="O25" s="19"/>
      <c r="P25" s="39" t="str">
        <f t="shared" si="2"/>
        <v/>
      </c>
      <c r="Q25" s="40" t="str">
        <f t="shared" si="4"/>
        <v/>
      </c>
      <c r="R25" s="41" t="str">
        <f t="shared" si="5"/>
        <v/>
      </c>
      <c r="S25" s="21"/>
      <c r="W25" s="26" t="str">
        <f>IF(COUNTIF($B$25:$S$25,"")&gt;0,"",IF(COUNTIF($D$25:$S$25,"=*")&gt;0,"",IF(W24="+","+","")))</f>
        <v/>
      </c>
    </row>
    <row r="26" spans="1:23" ht="24.95" customHeight="1" thickBot="1" x14ac:dyDescent="0.25">
      <c r="A26" s="17"/>
      <c r="B26" s="27"/>
      <c r="C26" s="38" t="str">
        <f t="shared" si="3"/>
        <v/>
      </c>
      <c r="D26" s="18"/>
      <c r="E26" s="19"/>
      <c r="F26" s="18"/>
      <c r="G26" s="19"/>
      <c r="H26" s="18"/>
      <c r="I26" s="20"/>
      <c r="J26" s="42" t="str">
        <f t="shared" si="0"/>
        <v/>
      </c>
      <c r="K26" s="38" t="str">
        <f t="shared" si="1"/>
        <v/>
      </c>
      <c r="L26" s="18"/>
      <c r="M26" s="20"/>
      <c r="N26" s="20"/>
      <c r="O26" s="19"/>
      <c r="P26" s="39" t="str">
        <f t="shared" si="2"/>
        <v/>
      </c>
      <c r="Q26" s="40" t="str">
        <f t="shared" si="4"/>
        <v/>
      </c>
      <c r="R26" s="41" t="str">
        <f t="shared" si="5"/>
        <v/>
      </c>
      <c r="S26" s="21"/>
      <c r="W26" s="26" t="str">
        <f>IF(COUNTIF($B$26:$S$26,"")&gt;0,"",IF(COUNTIF($D$26:$S$26,"=*")&gt;0,"",IF(W25="+","+","")))</f>
        <v/>
      </c>
    </row>
    <row r="27" spans="1:23" ht="24.95" customHeight="1" thickBot="1" x14ac:dyDescent="0.25">
      <c r="A27" s="17"/>
      <c r="B27" s="27"/>
      <c r="C27" s="38" t="str">
        <f t="shared" si="3"/>
        <v/>
      </c>
      <c r="D27" s="18"/>
      <c r="E27" s="19"/>
      <c r="F27" s="18"/>
      <c r="G27" s="19"/>
      <c r="H27" s="18"/>
      <c r="I27" s="20"/>
      <c r="J27" s="42" t="str">
        <f t="shared" si="0"/>
        <v/>
      </c>
      <c r="K27" s="38" t="str">
        <f t="shared" si="1"/>
        <v/>
      </c>
      <c r="L27" s="18"/>
      <c r="M27" s="20"/>
      <c r="N27" s="20"/>
      <c r="O27" s="19"/>
      <c r="P27" s="39" t="str">
        <f t="shared" si="2"/>
        <v/>
      </c>
      <c r="Q27" s="40" t="str">
        <f t="shared" si="4"/>
        <v/>
      </c>
      <c r="R27" s="41" t="str">
        <f t="shared" si="5"/>
        <v/>
      </c>
      <c r="S27" s="21"/>
      <c r="W27" s="26" t="str">
        <f>IF(COUNTIF($B$27:$S$27,"")&gt;0,"",IF(COUNTIF($D$27:$S$27,"=*")&gt;0,"",IF(W26="+","+","")))</f>
        <v/>
      </c>
    </row>
    <row r="28" spans="1:23" ht="24.95" customHeight="1" thickBot="1" x14ac:dyDescent="0.25">
      <c r="A28" s="17"/>
      <c r="B28" s="27"/>
      <c r="C28" s="38" t="str">
        <f t="shared" si="3"/>
        <v/>
      </c>
      <c r="D28" s="18"/>
      <c r="E28" s="19"/>
      <c r="F28" s="18"/>
      <c r="G28" s="19"/>
      <c r="H28" s="18"/>
      <c r="I28" s="20"/>
      <c r="J28" s="42" t="str">
        <f t="shared" si="0"/>
        <v/>
      </c>
      <c r="K28" s="38" t="str">
        <f t="shared" si="1"/>
        <v/>
      </c>
      <c r="L28" s="18"/>
      <c r="M28" s="20"/>
      <c r="N28" s="20"/>
      <c r="O28" s="19"/>
      <c r="P28" s="39" t="str">
        <f t="shared" si="2"/>
        <v/>
      </c>
      <c r="Q28" s="40" t="str">
        <f t="shared" si="4"/>
        <v/>
      </c>
      <c r="R28" s="41" t="str">
        <f t="shared" si="5"/>
        <v/>
      </c>
      <c r="S28" s="21"/>
      <c r="W28" s="26" t="str">
        <f>IF(COUNTIF($B$28:$S$28,"")&gt;0,"",IF(COUNTIF($D$28:$S$28,"=*")&gt;0,"",IF(W27="+","+","")))</f>
        <v/>
      </c>
    </row>
    <row r="29" spans="1:23" ht="24.95" customHeight="1" thickBot="1" x14ac:dyDescent="0.25">
      <c r="A29" s="17"/>
      <c r="B29" s="27"/>
      <c r="C29" s="38" t="str">
        <f t="shared" si="3"/>
        <v/>
      </c>
      <c r="D29" s="18"/>
      <c r="E29" s="19"/>
      <c r="F29" s="18"/>
      <c r="G29" s="19"/>
      <c r="H29" s="18"/>
      <c r="I29" s="20"/>
      <c r="J29" s="42" t="str">
        <f t="shared" si="0"/>
        <v/>
      </c>
      <c r="K29" s="38" t="str">
        <f t="shared" si="1"/>
        <v/>
      </c>
      <c r="L29" s="18"/>
      <c r="M29" s="20"/>
      <c r="N29" s="20"/>
      <c r="O29" s="19"/>
      <c r="P29" s="39" t="str">
        <f t="shared" si="2"/>
        <v/>
      </c>
      <c r="Q29" s="40" t="str">
        <f t="shared" si="4"/>
        <v/>
      </c>
      <c r="R29" s="41" t="str">
        <f t="shared" si="5"/>
        <v/>
      </c>
      <c r="S29" s="21"/>
      <c r="W29" s="26" t="str">
        <f>IF(COUNTIF($B$29:$S$29,"")&gt;0,"",IF(COUNTIF($D$29:$S$29,"=*")&gt;0,"",IF(W28="+","+","")))</f>
        <v/>
      </c>
    </row>
    <row r="30" spans="1:23" ht="24.95" customHeight="1" thickBot="1" x14ac:dyDescent="0.25">
      <c r="A30" s="17"/>
      <c r="B30" s="27"/>
      <c r="C30" s="38" t="str">
        <f t="shared" si="3"/>
        <v/>
      </c>
      <c r="D30" s="18"/>
      <c r="E30" s="19"/>
      <c r="F30" s="18"/>
      <c r="G30" s="19"/>
      <c r="H30" s="18"/>
      <c r="I30" s="20"/>
      <c r="J30" s="42" t="str">
        <f t="shared" si="0"/>
        <v/>
      </c>
      <c r="K30" s="38" t="str">
        <f t="shared" si="1"/>
        <v/>
      </c>
      <c r="L30" s="18"/>
      <c r="M30" s="20"/>
      <c r="N30" s="20"/>
      <c r="O30" s="19"/>
      <c r="P30" s="39" t="str">
        <f t="shared" si="2"/>
        <v/>
      </c>
      <c r="Q30" s="40" t="str">
        <f t="shared" si="4"/>
        <v/>
      </c>
      <c r="R30" s="41" t="str">
        <f t="shared" si="5"/>
        <v/>
      </c>
      <c r="S30" s="21"/>
      <c r="W30" s="26" t="str">
        <f>IF(COUNTIF($B$30:$S$30,"")&gt;0,"",IF(COUNTIF($D$30:$S$30,"=*")&gt;0,"",IF(W29="+","+","")))</f>
        <v/>
      </c>
    </row>
    <row r="31" spans="1:23" ht="24.95" customHeight="1" thickBot="1" x14ac:dyDescent="0.25">
      <c r="A31" s="17"/>
      <c r="B31" s="27"/>
      <c r="C31" s="38" t="str">
        <f t="shared" si="3"/>
        <v/>
      </c>
      <c r="D31" s="18"/>
      <c r="E31" s="19"/>
      <c r="F31" s="18"/>
      <c r="G31" s="19"/>
      <c r="H31" s="18"/>
      <c r="I31" s="20"/>
      <c r="J31" s="42" t="str">
        <f t="shared" si="0"/>
        <v/>
      </c>
      <c r="K31" s="38" t="str">
        <f t="shared" si="1"/>
        <v/>
      </c>
      <c r="L31" s="18"/>
      <c r="M31" s="20"/>
      <c r="N31" s="20"/>
      <c r="O31" s="19"/>
      <c r="P31" s="39" t="str">
        <f t="shared" si="2"/>
        <v/>
      </c>
      <c r="Q31" s="40" t="str">
        <f t="shared" si="4"/>
        <v/>
      </c>
      <c r="R31" s="41" t="str">
        <f t="shared" si="5"/>
        <v/>
      </c>
      <c r="S31" s="21"/>
      <c r="W31" s="26" t="str">
        <f>IF(COUNTIF($B$31:$S$31,"")&gt;0,"",IF(COUNTIF($D$31:$S$31,"=*")&gt;0,"",IF(W30="+","+","")))</f>
        <v/>
      </c>
    </row>
    <row r="32" spans="1:23" ht="24.95" customHeight="1" thickBot="1" x14ac:dyDescent="0.25">
      <c r="A32" s="17"/>
      <c r="B32" s="27"/>
      <c r="C32" s="38" t="str">
        <f t="shared" si="3"/>
        <v/>
      </c>
      <c r="D32" s="18"/>
      <c r="E32" s="19"/>
      <c r="F32" s="18"/>
      <c r="G32" s="19"/>
      <c r="H32" s="18"/>
      <c r="I32" s="20"/>
      <c r="J32" s="42" t="str">
        <f t="shared" si="0"/>
        <v/>
      </c>
      <c r="K32" s="38" t="str">
        <f t="shared" si="1"/>
        <v/>
      </c>
      <c r="L32" s="18"/>
      <c r="M32" s="20"/>
      <c r="N32" s="20"/>
      <c r="O32" s="19"/>
      <c r="P32" s="39" t="str">
        <f t="shared" si="2"/>
        <v/>
      </c>
      <c r="Q32" s="40" t="str">
        <f t="shared" si="4"/>
        <v/>
      </c>
      <c r="R32" s="41" t="str">
        <f t="shared" si="5"/>
        <v/>
      </c>
      <c r="S32" s="21"/>
      <c r="W32" s="26" t="str">
        <f>IF(COUNTIF($B$32:$S$32,"")&gt;0,"",IF(COUNTIF($D$32:$S$32,"=*")&gt;0,"",IF(W31="+","+","")))</f>
        <v/>
      </c>
    </row>
    <row r="33" spans="2:23" ht="24.95" customHeight="1" thickBot="1" x14ac:dyDescent="0.25">
      <c r="B33" s="27"/>
      <c r="C33" s="38" t="str">
        <f t="shared" si="3"/>
        <v/>
      </c>
      <c r="D33" s="18"/>
      <c r="E33" s="19"/>
      <c r="F33" s="18"/>
      <c r="G33" s="19"/>
      <c r="H33" s="18"/>
      <c r="I33" s="20"/>
      <c r="J33" s="42" t="str">
        <f t="shared" si="0"/>
        <v/>
      </c>
      <c r="K33" s="38" t="str">
        <f t="shared" si="1"/>
        <v/>
      </c>
      <c r="L33" s="18"/>
      <c r="M33" s="20"/>
      <c r="N33" s="20"/>
      <c r="O33" s="19"/>
      <c r="P33" s="39" t="str">
        <f t="shared" si="2"/>
        <v/>
      </c>
      <c r="Q33" s="40" t="str">
        <f t="shared" si="4"/>
        <v/>
      </c>
      <c r="R33" s="41" t="str">
        <f t="shared" si="5"/>
        <v/>
      </c>
      <c r="S33" s="21"/>
      <c r="W33" s="26" t="str">
        <f>IF(COUNTIF($B$32:$S$32,"")&gt;0,"",IF(COUNTIF($D$32:$S$32,"=*")&gt;0,"",IF(W32="+","+","")))</f>
        <v/>
      </c>
    </row>
    <row r="34" spans="2:23" ht="24.95" customHeight="1" thickBot="1" x14ac:dyDescent="0.25">
      <c r="B34" s="27"/>
      <c r="C34" s="38" t="str">
        <f t="shared" si="3"/>
        <v/>
      </c>
      <c r="D34" s="18"/>
      <c r="E34" s="19"/>
      <c r="F34" s="18"/>
      <c r="G34" s="19"/>
      <c r="H34" s="18"/>
      <c r="I34" s="20"/>
      <c r="J34" s="42" t="str">
        <f t="shared" si="0"/>
        <v/>
      </c>
      <c r="K34" s="38" t="str">
        <f t="shared" si="1"/>
        <v/>
      </c>
      <c r="L34" s="18"/>
      <c r="M34" s="20"/>
      <c r="N34" s="20"/>
      <c r="O34" s="19"/>
      <c r="P34" s="39" t="str">
        <f t="shared" si="2"/>
        <v/>
      </c>
      <c r="Q34" s="40" t="str">
        <f t="shared" si="4"/>
        <v/>
      </c>
      <c r="R34" s="41" t="str">
        <f t="shared" si="5"/>
        <v/>
      </c>
      <c r="S34" s="21"/>
    </row>
    <row r="35" spans="2:23" ht="24.95" hidden="1" customHeight="1" x14ac:dyDescent="0.2">
      <c r="B35" s="22"/>
      <c r="C35" s="36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6" spans="2:23" ht="24.95" hidden="1" customHeight="1" x14ac:dyDescent="0.2">
      <c r="B36" s="22"/>
      <c r="C36" s="36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</row>
    <row r="45" spans="2:23" ht="24.95" hidden="1" customHeight="1" x14ac:dyDescent="0.2">
      <c r="O45" s="24"/>
    </row>
  </sheetData>
  <sheetProtection password="8428" sheet="1" objects="1" scenarios="1"/>
  <mergeCells count="21">
    <mergeCell ref="S3:S5"/>
    <mergeCell ref="H4:H5"/>
    <mergeCell ref="I4:I5"/>
    <mergeCell ref="J4:J5"/>
    <mergeCell ref="K4:K5"/>
    <mergeCell ref="L4:L5"/>
    <mergeCell ref="M4:M5"/>
    <mergeCell ref="N4:N5"/>
    <mergeCell ref="B3:B5"/>
    <mergeCell ref="C3:C5"/>
    <mergeCell ref="D3:D5"/>
    <mergeCell ref="E3:E5"/>
    <mergeCell ref="F3:F5"/>
    <mergeCell ref="G3:G5"/>
    <mergeCell ref="H3:K3"/>
    <mergeCell ref="L3:O3"/>
    <mergeCell ref="P3:P5"/>
    <mergeCell ref="O4:O5"/>
    <mergeCell ref="Q3:Q5"/>
    <mergeCell ref="R3:R5"/>
    <mergeCell ref="B2:S2"/>
  </mergeCells>
  <conditionalFormatting sqref="B7:S34">
    <cfRule type="expression" dxfId="1" priority="1">
      <formula>$W6=""</formula>
    </cfRule>
  </conditionalFormatting>
  <conditionalFormatting sqref="B6:S34">
    <cfRule type="expression" dxfId="0" priority="2">
      <formula>$W6="+"</formula>
    </cfRule>
  </conditionalFormatting>
  <dataValidations count="4">
    <dataValidation type="whole" allowBlank="1" showErrorMessage="1" errorTitle="Помилка" error="У цю клітинку потрібно вводити тільки цілі числа." sqref="V4">
      <formula1>1</formula1>
      <formula2>999</formula2>
    </dataValidation>
    <dataValidation type="custom" allowBlank="1" showErrorMessage="1" errorTitle="Помилка" error="Ви не можете почати заповнювати цей рядок оскільки рядок вище містить символ, який не є цифрою (стовпець &quot;Група&quot; та символи &quot;%&quot; та &quot;,&quot; не перевіряються) або рядок вище містить порожню клітинку." sqref="B35:S35">
      <formula1>$W34="+"</formula1>
    </dataValidation>
    <dataValidation type="custom" allowBlank="1" showErrorMessage="1" errorTitle="Помилка" error="Ви не можете почати заповнювати цей рядок оскільки рядок вище містить символ, який не є цифрою (стовпець &quot;Група&quot; та символи &quot;%&quot; та &quot;,&quot; не перевіряються) або рядок вище містить порожню клітинку." sqref="B36:S1048576">
      <formula1>$X35="+"</formula1>
    </dataValidation>
    <dataValidation type="custom" allowBlank="1" showErrorMessage="1" errorTitle="Помилка" error="Ви не можете почати заповнювати цей рядок з однієї з причин:_x000a_    1. Рядок вище містить порожню клітинку;_x000a_    2. Рядок вище містить символ, який не є цифрою._x000a_    (стовпець &quot;Група&quot; і символи &quot;%&quot; та &quot;,&quot; не перевіряються) " sqref="B7:S34">
      <formula1>$W6="+"</formula1>
    </dataValidation>
  </dataValidations>
  <pageMargins left="0" right="0" top="0" bottom="0" header="0" footer="0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rgb="FF003FBC"/>
    <pageSetUpPr fitToPage="1"/>
  </sheetPr>
  <dimension ref="A1:I12"/>
  <sheetViews>
    <sheetView showGridLines="0" workbookViewId="0"/>
  </sheetViews>
  <sheetFormatPr defaultColWidth="0" defaultRowHeight="0" customHeight="1" zeroHeight="1" x14ac:dyDescent="0.2"/>
  <cols>
    <col min="1" max="1" width="1.42578125" customWidth="1"/>
    <col min="2" max="2" width="22.42578125" customWidth="1"/>
    <col min="3" max="3" width="9.42578125" customWidth="1"/>
    <col min="4" max="4" width="11.140625" customWidth="1"/>
    <col min="5" max="7" width="9.42578125" customWidth="1"/>
    <col min="8" max="8" width="1.42578125" customWidth="1"/>
    <col min="9" max="9" width="0" hidden="1" customWidth="1"/>
    <col min="10" max="16384" width="12.5703125" hidden="1"/>
  </cols>
  <sheetData>
    <row r="1" spans="1:8" ht="11.25" customHeight="1" thickBot="1" x14ac:dyDescent="0.25">
      <c r="A1" s="29"/>
      <c r="B1" s="29"/>
      <c r="C1" s="29"/>
      <c r="D1" s="32"/>
      <c r="E1" s="32"/>
      <c r="F1" s="32"/>
      <c r="G1" s="32"/>
      <c r="H1" s="32"/>
    </row>
    <row r="2" spans="1:8" ht="22.5" customHeight="1" x14ac:dyDescent="0.2">
      <c r="A2" s="30"/>
      <c r="B2" s="77" t="s">
        <v>25</v>
      </c>
      <c r="C2" s="79" t="s">
        <v>26</v>
      </c>
      <c r="D2" s="80"/>
      <c r="E2" s="80"/>
      <c r="F2" s="80"/>
      <c r="G2" s="81"/>
      <c r="H2" s="30"/>
    </row>
    <row r="3" spans="1:8" ht="22.5" customHeight="1" x14ac:dyDescent="0.2">
      <c r="A3" s="30"/>
      <c r="B3" s="78"/>
      <c r="C3" s="3">
        <v>2020</v>
      </c>
      <c r="D3" s="3">
        <v>2021</v>
      </c>
      <c r="E3" s="4">
        <v>2022</v>
      </c>
      <c r="F3" s="49">
        <v>2023</v>
      </c>
      <c r="G3" s="46">
        <v>2024</v>
      </c>
      <c r="H3" s="33"/>
    </row>
    <row r="4" spans="1:8" ht="22.5" customHeight="1" x14ac:dyDescent="0.2">
      <c r="A4" s="31"/>
      <c r="B4" s="1" t="s">
        <v>27</v>
      </c>
      <c r="C4" s="5">
        <v>0.88</v>
      </c>
      <c r="D4" s="5">
        <v>0.9</v>
      </c>
      <c r="E4" s="45">
        <v>0.99</v>
      </c>
      <c r="F4" s="50"/>
      <c r="G4" s="47"/>
      <c r="H4" s="34"/>
    </row>
    <row r="5" spans="1:8" ht="22.5" customHeight="1" x14ac:dyDescent="0.2">
      <c r="A5" s="31"/>
      <c r="B5" s="1" t="s">
        <v>28</v>
      </c>
      <c r="C5" s="5">
        <v>0.71</v>
      </c>
      <c r="D5" s="5">
        <v>0.25</v>
      </c>
      <c r="E5" s="45">
        <v>0.99</v>
      </c>
      <c r="F5" s="50"/>
      <c r="G5" s="47"/>
      <c r="H5" s="34"/>
    </row>
    <row r="6" spans="1:8" ht="22.5" customHeight="1" x14ac:dyDescent="0.2">
      <c r="A6" s="31"/>
      <c r="B6" s="1" t="s">
        <v>29</v>
      </c>
      <c r="C6" s="5">
        <v>0.81</v>
      </c>
      <c r="D6" s="5">
        <v>0.7</v>
      </c>
      <c r="E6" s="45">
        <v>1</v>
      </c>
      <c r="F6" s="50"/>
      <c r="G6" s="47"/>
      <c r="H6" s="34"/>
    </row>
    <row r="7" spans="1:8" ht="22.5" customHeight="1" x14ac:dyDescent="0.2">
      <c r="A7" s="31"/>
      <c r="B7" s="1" t="s">
        <v>30</v>
      </c>
      <c r="C7" s="5">
        <v>0.76</v>
      </c>
      <c r="D7" s="5">
        <v>0.65</v>
      </c>
      <c r="E7" s="45"/>
      <c r="F7" s="50"/>
      <c r="G7" s="47"/>
      <c r="H7" s="34"/>
    </row>
    <row r="8" spans="1:8" ht="22.5" customHeight="1" x14ac:dyDescent="0.2">
      <c r="A8" s="31"/>
      <c r="B8" s="1" t="s">
        <v>31</v>
      </c>
      <c r="C8" s="5">
        <v>0.85</v>
      </c>
      <c r="D8" s="5">
        <v>0.75</v>
      </c>
      <c r="E8" s="45"/>
      <c r="F8" s="50"/>
      <c r="G8" s="47"/>
      <c r="H8" s="34"/>
    </row>
    <row r="9" spans="1:8" ht="22.5" customHeight="1" x14ac:dyDescent="0.2">
      <c r="A9" s="31"/>
      <c r="B9" s="1" t="s">
        <v>32</v>
      </c>
      <c r="C9" s="5">
        <v>0.88</v>
      </c>
      <c r="D9" s="5"/>
      <c r="E9" s="45"/>
      <c r="F9" s="50"/>
      <c r="G9" s="47"/>
      <c r="H9" s="34"/>
    </row>
    <row r="10" spans="1:8" ht="22.5" customHeight="1" x14ac:dyDescent="0.2">
      <c r="A10" s="31"/>
      <c r="B10" s="1" t="s">
        <v>33</v>
      </c>
      <c r="C10" s="5">
        <v>0.75</v>
      </c>
      <c r="D10" s="5">
        <v>0.68</v>
      </c>
      <c r="E10" s="45"/>
      <c r="F10" s="50"/>
      <c r="G10" s="47"/>
      <c r="H10" s="34"/>
    </row>
    <row r="11" spans="1:8" ht="22.5" customHeight="1" thickBot="1" x14ac:dyDescent="0.25">
      <c r="A11" s="31"/>
      <c r="B11" s="2" t="s">
        <v>34</v>
      </c>
      <c r="C11" s="6">
        <v>1</v>
      </c>
      <c r="D11" s="6">
        <v>0.28000000000000003</v>
      </c>
      <c r="E11" s="7"/>
      <c r="F11" s="51"/>
      <c r="G11" s="48"/>
      <c r="H11" s="34"/>
    </row>
    <row r="12" spans="1:8" ht="11.25" customHeight="1" x14ac:dyDescent="0.2">
      <c r="A12" s="31"/>
      <c r="B12" s="31"/>
      <c r="C12" s="35"/>
      <c r="D12" s="35"/>
      <c r="E12" s="35"/>
      <c r="F12" s="35"/>
      <c r="G12" s="35"/>
      <c r="H12" s="35"/>
    </row>
  </sheetData>
  <mergeCells count="2">
    <mergeCell ref="B2:B3"/>
    <mergeCell ref="C2:G2"/>
  </mergeCells>
  <printOptions horizontalCentered="1"/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Дані</vt:lpstr>
      <vt:lpstr>ЗНО</vt:lpstr>
      <vt:lpstr>ЗНО</vt:lpstr>
      <vt:lpstr>Дані!Контингент</vt:lpstr>
      <vt:lpstr>Дані!Семестр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Максим</dc:creator>
  <cp:keywords/>
  <dc:description/>
  <cp:lastModifiedBy>SURKOV</cp:lastModifiedBy>
  <cp:revision/>
  <dcterms:created xsi:type="dcterms:W3CDTF">2023-06-27T17:53:26Z</dcterms:created>
  <dcterms:modified xsi:type="dcterms:W3CDTF">2025-06-25T11:12:37Z</dcterms:modified>
  <cp:category/>
  <cp:contentStatus/>
</cp:coreProperties>
</file>