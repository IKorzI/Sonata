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0" windowHeight="11760"/>
  </bookViews>
  <sheets>
    <sheet name="Зведена відомість" sheetId="40" r:id="rId1"/>
    <sheet name="Рейтингова відомість" sheetId="39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відомість'!$B$2:$V$26</definedName>
    <definedName name="_xlnm.Print_Area" localSheetId="1">'Рейтингова відомість'!$B$2:$W$21</definedName>
    <definedName name="Ф80" localSheetId="0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S19" i="40" l="1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G17" i="40"/>
  <c r="F17" i="40"/>
  <c r="F23" i="40"/>
  <c r="F22" i="40"/>
  <c r="T12" i="40" l="1"/>
  <c r="U12" i="39" l="1"/>
  <c r="V12" i="39" s="1"/>
  <c r="U13" i="39"/>
  <c r="U14" i="39"/>
  <c r="T15" i="40" l="1"/>
  <c r="U15" i="40" s="1"/>
  <c r="T16" i="40"/>
  <c r="U16" i="40" s="1"/>
  <c r="V13" i="39"/>
  <c r="V14" i="39"/>
  <c r="U15" i="39"/>
  <c r="V15" i="39" s="1"/>
  <c r="U16" i="39"/>
  <c r="V16" i="39" s="1"/>
  <c r="U12" i="40"/>
  <c r="T13" i="40"/>
  <c r="U13" i="40" s="1"/>
  <c r="T14" i="40"/>
  <c r="P20" i="39"/>
  <c r="P18" i="39"/>
  <c r="H20" i="39"/>
  <c r="H18" i="39"/>
  <c r="D12" i="39"/>
  <c r="D13" i="39" s="1"/>
  <c r="F19" i="39"/>
  <c r="D12" i="40"/>
  <c r="U14" i="40"/>
  <c r="D13" i="40" l="1"/>
  <c r="D14" i="39"/>
  <c r="D15" i="39" s="1"/>
  <c r="D16" i="39" s="1"/>
  <c r="U17" i="40"/>
  <c r="D14" i="40" l="1"/>
  <c r="D15" i="40" s="1"/>
  <c r="D16" i="40" s="1"/>
  <c r="F18" i="39" l="1"/>
  <c r="F17" i="39"/>
  <c r="F25" i="40" l="1"/>
  <c r="F20" i="39" s="1"/>
  <c r="T17" i="40"/>
  <c r="F20" i="40"/>
  <c r="F21" i="40"/>
</calcChain>
</file>

<file path=xl/sharedStrings.xml><?xml version="1.0" encoding="utf-8"?>
<sst xmlns="http://schemas.openxmlformats.org/spreadsheetml/2006/main" count="113" uniqueCount="83">
  <si>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</si>
  <si>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</si>
  <si>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</si>
  <si>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</si>
  <si>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</si>
  <si>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</si>
  <si>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</si>
  <si>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</si>
  <si>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</si>
  <si>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</si>
  <si>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</si>
  <si>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</si>
  <si>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</si>
  <si>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</si>
  <si>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</si>
  <si>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</si>
  <si>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</si>
  <si>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</si>
  <si>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</si>
  <si>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</si>
  <si>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</si>
  <si>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</si>
  <si>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</si>
  <si>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Математика
Бондаренко О.С.</t>
  </si>
  <si>
    <t>Колесник Аріна Сергіївна</t>
  </si>
  <si>
    <t>Котельніков Максим Владиславович</t>
  </si>
  <si>
    <t>Крупін Вадим Вячеславович</t>
  </si>
  <si>
    <t>Міхов Денис Юрійович</t>
  </si>
  <si>
    <t>Чумаченко Данило Олександрович</t>
  </si>
  <si>
    <t>Іноземна мова
Нічик Н.О.</t>
  </si>
  <si>
    <t>Українська література
Антропова Л.І.</t>
  </si>
  <si>
    <t>Українська мова
Антропова Л.І.</t>
  </si>
  <si>
    <t>Наталія КРУПІНА</t>
  </si>
  <si>
    <t>Підсумкові оцінки дисциплін</t>
  </si>
  <si>
    <t>РЕЙТИНГОВА ВІДОМІСТЬ</t>
  </si>
  <si>
    <t>Рейтинговий бал</t>
  </si>
  <si>
    <t>ВІДОКРЕМЛЕНИЙ СТРУКТУРНИЙ ПІДРОЗДІЛ «ФАХОВИЙ КОЛЕДЖ НАФТОГАЗОВИХ ТЕХНОЛОГІЙ,
ІНЖЕНЕРІЇ ТА ІНФРАСТРУКТУРИ СЕРВІСУ</t>
  </si>
  <si>
    <t>Столбец1</t>
  </si>
  <si>
    <t>Столбец10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</si>
  <si>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</si>
  <si>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</si>
  <si>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</si>
  <si>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</si>
  <si>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</si>
  <si>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</si>
  <si>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</si>
  <si>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Столбец11</t>
  </si>
  <si>
    <t>Столбец12</t>
  </si>
  <si>
    <t>Столбец13</t>
  </si>
  <si>
    <t>Столбец14</t>
  </si>
  <si>
    <t>Столбец18</t>
  </si>
  <si>
    <t>'Б/К</t>
  </si>
  <si>
    <t>0</t>
  </si>
  <si>
    <t>Столбец19</t>
  </si>
  <si>
    <t>"Б" и "-"</t>
  </si>
  <si>
    <r>
      <t xml:space="preserve">Успішності студентів спеціальності </t>
    </r>
    <r>
      <rPr>
        <sz val="14"/>
        <color rgb="FFFF0000"/>
        <rFont val="Times New Roman"/>
        <family val="1"/>
        <charset val="204"/>
      </rPr>
      <t>076 «Підприємництво, торгівля та біржова діяльність»</t>
    </r>
  </si>
  <si>
    <r>
      <t xml:space="preserve">За </t>
    </r>
    <r>
      <rPr>
        <sz val="14"/>
        <color rgb="FFFF0000"/>
        <rFont val="Times New Roman"/>
        <family val="1"/>
        <charset val="204"/>
      </rPr>
      <t>I</t>
    </r>
    <r>
      <rPr>
        <sz val="14"/>
        <rFont val="Times New Roman"/>
        <family val="1"/>
        <charset val="204"/>
      </rPr>
      <t xml:space="preserve"> семестр </t>
    </r>
    <r>
      <rPr>
        <sz val="14"/>
        <color rgb="FFFF0000"/>
        <rFont val="Times New Roman"/>
        <family val="1"/>
        <charset val="204"/>
      </rPr>
      <t>2023-2024</t>
    </r>
    <r>
      <rPr>
        <sz val="14"/>
        <rFont val="Times New Roman"/>
        <family val="1"/>
        <charset val="204"/>
      </rPr>
      <t xml:space="preserve"> н.р.</t>
    </r>
  </si>
  <si>
    <r>
      <t xml:space="preserve">Група </t>
    </r>
    <r>
      <rPr>
        <sz val="14"/>
        <color rgb="FFFF0000"/>
        <rFont val="Times New Roman"/>
        <family val="1"/>
        <charset val="204"/>
      </rPr>
      <t>23-2</t>
    </r>
    <r>
      <rPr>
        <sz val="14"/>
        <rFont val="Times New Roman"/>
        <family val="1"/>
        <charset val="204"/>
      </rPr>
      <t xml:space="preserve"> курс </t>
    </r>
    <r>
      <rPr>
        <sz val="14"/>
        <color rgb="FFFF0000"/>
        <rFont val="Times New Roman"/>
        <family val="1"/>
        <charset val="204"/>
      </rPr>
      <t>І</t>
    </r>
  </si>
  <si>
    <r>
      <t xml:space="preserve">Завідувачка відділення </t>
    </r>
    <r>
      <rPr>
        <sz val="14"/>
        <color rgb="FFFF0000"/>
        <rFont val="Times New Roman"/>
        <family val="1"/>
        <charset val="204"/>
      </rPr>
      <t>ПЗСО</t>
    </r>
  </si>
  <si>
    <t>Столбец122</t>
  </si>
  <si>
    <t>Столбец123</t>
  </si>
  <si>
    <t>Столбец124</t>
  </si>
  <si>
    <t>Столбец125</t>
  </si>
  <si>
    <t>Астрономія
Наговська Т.С.</t>
  </si>
  <si>
    <t>Фізика
Калюта Н.М.</t>
  </si>
  <si>
    <t>Хімія
Леонова Д.І.</t>
  </si>
  <si>
    <t>Захист України
Лазар В.І.</t>
  </si>
  <si>
    <t>Фізична культура
Кулатов В.М.</t>
  </si>
  <si>
    <t>Інформатика
Бельдюгіна С.С.</t>
  </si>
  <si>
    <t>1</t>
  </si>
  <si>
    <t>2</t>
  </si>
  <si>
    <t>3</t>
  </si>
  <si>
    <t>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</si>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</sst>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64">
    <xf numFmtId="0" fontId="0" fillId="0" borderId="0" xfId="0"/>
    <xf numFmtId="0" fontId="5" fillId="0" borderId="1" xfId="5" applyFont="1" applyAlignment="1">
      <alignment horizontal="left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>
      <alignment horizontal="left" vertical="center"/>
    </xf>
    <xf numFmtId="0" fontId="3" fillId="7" borderId="2" xfId="5" applyFont="1" applyFill="1" applyBorder="1" applyAlignment="1" applyProtection="1">
      <alignment horizontal="center" vertical="center"/>
      <protection locked="0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4" borderId="5" xfId="5" applyFont="1" applyFill="1" applyBorder="1" applyAlignment="1">
      <alignment vertical="center"/>
    </xf>
    <xf numFmtId="0" fontId="3" fillId="5" borderId="8" xfId="5" applyFont="1" applyFill="1" applyBorder="1" applyAlignment="1">
      <alignment horizontal="center" vertical="center" wrapText="1"/>
    </xf>
    <xf numFmtId="0" fontId="3" fillId="5" borderId="10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0" borderId="8" xfId="5" applyFont="1" applyBorder="1" applyAlignment="1">
      <alignment horizontal="center" textRotation="90" wrapText="1"/>
    </xf>
    <xf numFmtId="0" fontId="4" fillId="5" borderId="11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0" fontId="4" fillId="5" borderId="1" xfId="5" applyFont="1" applyFill="1" applyAlignment="1">
      <alignment horizontal="center" vertical="center" textRotation="90" wrapText="1"/>
    </xf>
    <xf numFmtId="0" fontId="3" fillId="4" borderId="12" xfId="5" applyFont="1" applyFill="1" applyBorder="1" applyAlignment="1">
      <alignment horizontal="center" vertical="center"/>
    </xf>
    <xf numFmtId="0" fontId="3" fillId="4" borderId="13" xfId="5" applyFont="1" applyFill="1" applyBorder="1" applyAlignment="1" applyProtection="1">
      <alignment horizontal="center" vertical="center"/>
      <protection locked="0"/>
    </xf>
    <xf numFmtId="0" fontId="3" fillId="4" borderId="14" xfId="5" applyFont="1" applyFill="1" applyBorder="1" applyAlignment="1" applyProtection="1">
      <alignment horizontal="center" vertical="center"/>
      <protection locked="0"/>
    </xf>
    <xf numFmtId="1" fontId="3" fillId="4" borderId="1" xfId="5" applyNumberFormat="1" applyFont="1" applyFill="1" applyAlignment="1">
      <alignment horizontal="center" vertical="center"/>
    </xf>
    <xf numFmtId="0" fontId="9" fillId="0" borderId="1" xfId="5" applyFont="1" applyAlignment="1">
      <alignment horizontal="left" vertical="center"/>
    </xf>
    <xf numFmtId="0" fontId="9" fillId="5" borderId="1" xfId="5" applyFont="1" applyFill="1" applyAlignment="1">
      <alignment horizontal="left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10" fillId="0" borderId="2" xfId="5" applyFont="1" applyBorder="1" applyAlignment="1" applyProtection="1">
      <alignment horizontal="center" textRotation="90" wrapText="1"/>
      <protection locked="0"/>
    </xf>
    <xf numFmtId="0" fontId="9" fillId="5" borderId="1" xfId="5" applyFont="1" applyFill="1" applyAlignment="1" applyProtection="1">
      <alignment horizontal="left" vertical="center"/>
      <protection locked="0"/>
    </xf>
    <xf numFmtId="0" fontId="5" fillId="5" borderId="1" xfId="5" applyFont="1" applyFill="1" applyAlignment="1" applyProtection="1">
      <alignment horizontal="left" vertical="center"/>
      <protection locked="0"/>
    </xf>
    <xf numFmtId="0" fontId="10" fillId="5" borderId="2" xfId="5" applyFont="1" applyFill="1" applyBorder="1" applyAlignment="1" applyProtection="1">
      <alignment horizontal="center" vertical="center"/>
      <protection locked="0"/>
    </xf>
    <xf numFmtId="0" fontId="3" fillId="7" borderId="2" xfId="5" applyFont="1" applyFill="1" applyBorder="1" applyAlignment="1" applyProtection="1">
      <alignment horizontal="left" vertical="center" wrapText="1"/>
      <protection locked="0"/>
    </xf>
    <xf numFmtId="0" fontId="3" fillId="5" borderId="2" xfId="5" applyFont="1" applyFill="1" applyBorder="1" applyAlignment="1" applyProtection="1">
      <alignment horizontal="left" vertical="center" wrapText="1"/>
      <protection locked="0"/>
    </xf>
    <xf numFmtId="0" fontId="3" fillId="0" borderId="8" xfId="5" applyFont="1" applyBorder="1" applyAlignment="1" applyProtection="1">
      <alignment horizontal="center" textRotation="90" wrapText="1"/>
      <protection locked="0"/>
    </xf>
    <xf numFmtId="0" fontId="4" fillId="5" borderId="8" xfId="5" applyFont="1" applyFill="1" applyBorder="1" applyAlignment="1">
      <alignment horizontal="center" vertical="center" textRotation="90" wrapText="1"/>
    </xf>
    <xf numFmtId="0" fontId="3" fillId="5" borderId="6" xfId="5" applyFont="1" applyFill="1" applyBorder="1" applyAlignment="1" applyProtection="1">
      <alignment horizontal="center" vertical="center" wrapText="1"/>
      <protection locked="0"/>
    </xf>
    <xf numFmtId="0" fontId="3" fillId="5" borderId="2" xfId="5" applyFont="1" applyFill="1" applyBorder="1" applyAlignment="1" applyProtection="1">
      <alignment horizontal="center" vertical="center" wrapText="1"/>
      <protection locked="0"/>
    </xf>
    <xf numFmtId="2" fontId="3" fillId="2" borderId="2" xfId="5" applyNumberFormat="1" applyFont="1" applyFill="1" applyBorder="1" applyAlignment="1" applyProtection="1">
      <alignment horizontal="center" vertical="center"/>
      <protection locked="0"/>
    </xf>
    <xf numFmtId="0" fontId="3" fillId="7" borderId="6" xfId="5" applyFont="1" applyFill="1" applyBorder="1" applyAlignment="1" applyProtection="1">
      <alignment horizontal="center" vertical="center" wrapText="1"/>
      <protection locked="0"/>
    </xf>
    <xf numFmtId="0" fontId="3" fillId="7" borderId="2" xfId="5" applyFont="1" applyFill="1" applyBorder="1" applyAlignment="1" applyProtection="1">
      <alignment horizontal="center" vertical="center" wrapText="1"/>
      <protection locked="0"/>
    </xf>
    <xf numFmtId="2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9" xfId="5" applyNumberFormat="1" applyFont="1" applyFill="1" applyBorder="1" applyAlignment="1" applyProtection="1">
      <alignment horizontal="center" vertical="center"/>
      <protection locked="0"/>
    </xf>
    <xf numFmtId="2" fontId="3" fillId="6" borderId="9" xfId="5" applyNumberFormat="1" applyFont="1" applyFill="1" applyBorder="1" applyAlignment="1" applyProtection="1">
      <alignment horizontal="center" vertical="center"/>
      <protection locked="0"/>
    </xf>
    <xf numFmtId="2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5" fillId="5" borderId="1" xfId="5" applyFont="1" applyFill="1" applyAlignment="1" applyProtection="1">
      <alignment horizontal="center" vertical="center"/>
      <protection locked="0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5" xfId="5" applyFont="1" applyFill="1" applyBorder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6" name="Таблица6" displayName="Таблица6" ref="C11:U16" totalsRowShown="0" headerRowDxfId="54" dataDxfId="52" headerRowBorderDxfId="53" tableBorderDxfId="51" totalsRowBorderDxfId="50" headerRowCellStyle="Обычный 11 2" dataCellStyle="Обычный 11 2">
  <autoFilter ref="C11:U16"/>
  <tableColumns count="19">
    <tableColumn id="1" name="'Б/К" dataDxfId="49" dataCellStyle="Обычный 11 2"/>
    <tableColumn id="2" name="0" dataDxfId="48" dataCellStyle="Обычный 11 2">
      <calculatedColumnFormula>OFFSET(D12,-1,0)+1</calculatedColumnFormula>
    </tableColumn>
    <tableColumn id="3" name="Прізвище, ім’я, по батькові" dataDxfId="47" dataCellStyle="Обычный 11 2"/>
    <tableColumn id="4" name="1" dataDxfId="46" dataCellStyle="Обычный 11 2"/>
    <tableColumn id="6" name="2" dataDxfId="45" dataCellStyle="Обычный 11 2"/>
    <tableColumn id="7" name="3" dataDxfId="44" dataCellStyle="Обычный 11 2"/>
    <tableColumn id="8" name="4" dataDxfId="43" dataCellStyle="Обычный 11 2"/>
    <tableColumn id="9" name="5" dataDxfId="42" dataCellStyle="Обычный 11 2"/>
    <tableColumn id="11" name="6" dataDxfId="41" dataCellStyle="Обычный 11 2"/>
    <tableColumn id="12" name="7" dataDxfId="40" dataCellStyle="Обычный 11 2"/>
    <tableColumn id="13" name="8" dataDxfId="39" dataCellStyle="Обычный 11 2"/>
    <tableColumn id="23" name="9" dataDxfId="38" dataCellStyle="Обычный 11 2"/>
    <tableColumn id="22" name="10" dataDxfId="37" dataCellStyle="Обычный 11 2"/>
    <tableColumn id="21" name="11" dataDxfId="36" dataCellStyle="Обычный 11 2"/>
    <tableColumn id="19" name="12" dataDxfId="35" dataCellStyle="Обычный 11 2"/>
    <tableColumn id="17" name="13" dataDxfId="34" dataCellStyle="Обычный 11 2"/>
    <tableColumn id="14" name="14" dataDxfId="33" dataCellStyle="Обычный 11 2"/>
    <tableColumn id="18" name="Столбец18" dataDxfId="32" dataCellStyle="Обычный 11 2">
      <calculatedColumnFormula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calculatedColumnFormula>
    </tableColumn>
    <tableColumn id="20" name="&quot;Б&quot; и &quot;-&quot;" dataDxfId="31" dataCellStyle="Обычный 11 2">
      <calculatedColumnFormula>IF(Таблица6[[#This Row],[''Б/К]]="Б",IF(Таблица6[[#This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9" name="Таблица9" displayName="Таблица9" ref="C11:V16" totalsRowShown="0" headerRowDxfId="24" dataDxfId="22" headerRowBorderDxfId="23" tableBorderDxfId="21" totalsRowBorderDxfId="20" headerRowCellStyle="Обычный 11 2" dataCellStyle="Обычный 11 2">
  <autoFilter ref="C11:V16"/>
  <tableColumns count="20">
    <tableColumn id="1" name="Столбец1" dataDxfId="19" dataCellStyle="Обычный 11 2">
      <calculatedColumnFormula>"Б"</calculatedColumnFormula>
    </tableColumn>
    <tableColumn id="2" name="0" dataDxfId="18" dataCellStyle="Обычный 11 2">
      <calculatedColumnFormula>OFFSET(D12,-1,0)+1</calculatedColumnFormula>
    </tableColumn>
    <tableColumn id="3" name="Столбец3" dataDxfId="17" dataCellStyle="Обычный 11 2"/>
    <tableColumn id="4" name="Столбец4" dataDxfId="16" dataCellStyle="Обычный 11 2"/>
    <tableColumn id="5" name="Столбец5" dataDxfId="15" dataCellStyle="Обычный 11 2"/>
    <tableColumn id="6" name="Столбец6" dataDxfId="14" dataCellStyle="Обычный 11 2"/>
    <tableColumn id="7" name="Столбец7" dataDxfId="13" dataCellStyle="Обычный 11 2"/>
    <tableColumn id="8" name="Столбец8" dataDxfId="12" dataCellStyle="Обычный 11 2"/>
    <tableColumn id="9" name="Столбец9" dataDxfId="11" dataCellStyle="Обычный 11 2"/>
    <tableColumn id="10" name="Столбец10" dataDxfId="10" dataCellStyle="Обычный 11 2"/>
    <tableColumn id="11" name="Столбец11" dataDxfId="9" dataCellStyle="Обычный 11 2"/>
    <tableColumn id="12" name="Столбец12" dataDxfId="8" dataCellStyle="Обычный 11 2"/>
    <tableColumn id="20" name="Столбец125" dataDxfId="7" dataCellStyle="Обычный 11 2"/>
    <tableColumn id="17" name="Столбец124" dataDxfId="6" dataCellStyle="Обычный 11 2"/>
    <tableColumn id="16" name="Столбец123" dataDxfId="5" dataCellStyle="Обычный 11 2"/>
    <tableColumn id="15" name="Столбец122" dataDxfId="4" dataCellStyle="Обычный 11 2"/>
    <tableColumn id="13" name="Столбец13" dataDxfId="3" dataCellStyle="Обычный 11 2"/>
    <tableColumn id="14" name="Столбец14" dataDxfId="2" dataCellStyle="Обычный 11 2"/>
    <tableColumn id="18" name="Столбец18" dataDxfId="1" dataCellStyle="Обычный 11 2">
      <calculatedColumnFormula>IF(COUNTIF(OFFSET(Таблица9[[#This Row],[Столбец3]],0,1):OFFSET(U12,0,-1),"")=0,AVERAGE(OFFSET(Таблица9[[#This Row],[Столбец3]],0,1):OFFSET(U12,0,-1)),"")</calculatedColumnFormula>
    </tableColumn>
    <tableColumn id="19" name="Столбец19" dataDxfId="0" dataCellStyle="Обычный 11 2">
      <calculatedColumnFormula>IF(Таблица9[[#This Row],[Столбец18]]="","",Таблица9[[#This Row],[Столбец18]]/12*90)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27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2" customWidth="1"/>
    <col min="3" max="3" width="4.140625" style="2" customWidth="1"/>
    <col min="4" max="4" width="6.5703125" style="2" customWidth="1"/>
    <col min="5" max="5" width="40.42578125" style="2" customWidth="1"/>
    <col min="6" max="19" width="6.7109375" style="2" customWidth="1"/>
    <col min="20" max="20" width="11.28515625" style="2" customWidth="1"/>
    <col min="21" max="21" width="11.28515625" style="2" hidden="1" customWidth="1"/>
    <col min="22" max="23" width="2.7109375" style="2" customWidth="1"/>
    <col min="24" max="29" width="14.42578125" style="2" hidden="1" customWidth="1"/>
    <col min="30" max="30" width="14.85546875" style="2" hidden="1" customWidth="1"/>
    <col min="31" max="44" width="3.7109375" style="2" hidden="1" customWidth="1"/>
    <col min="45" max="69" width="5.7109375" style="2" hidden="1" customWidth="1"/>
    <col min="70" max="16384" width="14.42578125" style="2" hidden="1"/>
  </cols>
  <sheetData>
    <row r="1" spans="1:23" ht="12" customHeight="1" thickBot="1" x14ac:dyDescent="0.3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</row>
    <row r="2" spans="1:23" ht="12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16"/>
    </row>
    <row r="3" spans="1:23" s="3" customFormat="1" ht="35.1" customHeight="1" x14ac:dyDescent="0.3">
      <c r="A3" s="54"/>
      <c r="B3" s="52"/>
      <c r="C3" s="56" t="s">
        <v>36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13"/>
      <c r="V3" s="52"/>
      <c r="W3" s="16"/>
    </row>
    <row r="4" spans="1:23" s="3" customFormat="1" ht="15" customHeight="1" x14ac:dyDescent="0.25">
      <c r="A4" s="54"/>
      <c r="B4" s="52"/>
      <c r="C4" s="52" t="s">
        <v>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12"/>
      <c r="V4" s="52"/>
      <c r="W4" s="16"/>
    </row>
    <row r="5" spans="1:23" s="4" customFormat="1" ht="15" customHeight="1" x14ac:dyDescent="0.25">
      <c r="A5" s="54"/>
      <c r="B5" s="52"/>
      <c r="C5" s="58" t="s">
        <v>21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4"/>
      <c r="V5" s="52"/>
      <c r="W5" s="16"/>
    </row>
    <row r="6" spans="1:23" s="3" customFormat="1" ht="15" customHeight="1" x14ac:dyDescent="0.25">
      <c r="A6" s="54"/>
      <c r="B6" s="52"/>
      <c r="C6" s="59" t="s">
        <v>55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12"/>
      <c r="V6" s="52"/>
      <c r="W6" s="16"/>
    </row>
    <row r="7" spans="1:23" s="3" customFormat="1" ht="15" customHeight="1" x14ac:dyDescent="0.25">
      <c r="A7" s="54"/>
      <c r="B7" s="52"/>
      <c r="C7" s="59" t="s">
        <v>56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12"/>
      <c r="V7" s="52"/>
      <c r="W7" s="16"/>
    </row>
    <row r="8" spans="1:23" s="3" customFormat="1" ht="15" customHeight="1" x14ac:dyDescent="0.25">
      <c r="A8" s="54"/>
      <c r="B8" s="52"/>
      <c r="C8" s="59" t="s">
        <v>57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12"/>
      <c r="V8" s="52"/>
      <c r="W8" s="16"/>
    </row>
    <row r="9" spans="1:23" ht="15" customHeight="1" x14ac:dyDescent="0.25">
      <c r="A9" s="54"/>
      <c r="B9" s="52"/>
      <c r="C9" s="60" t="s">
        <v>1</v>
      </c>
      <c r="D9" s="62" t="s">
        <v>2</v>
      </c>
      <c r="E9" s="62" t="s">
        <v>3</v>
      </c>
      <c r="F9" s="61" t="s">
        <v>33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8"/>
      <c r="V9" s="52"/>
      <c r="W9" s="16"/>
    </row>
    <row r="10" spans="1:23" ht="125.1" customHeight="1" x14ac:dyDescent="0.25">
      <c r="A10" s="54"/>
      <c r="B10" s="52"/>
      <c r="C10" s="61"/>
      <c r="D10" s="61"/>
      <c r="E10" s="61"/>
      <c r="F10" s="33" t="s">
        <v>4</v>
      </c>
      <c r="G10" s="33" t="s">
        <v>5</v>
      </c>
      <c r="H10" s="33" t="s">
        <v>6</v>
      </c>
      <c r="I10" s="33" t="s">
        <v>22</v>
      </c>
      <c r="J10" s="33" t="s">
        <v>66</v>
      </c>
      <c r="K10" s="33" t="s">
        <v>29</v>
      </c>
      <c r="L10" s="33" t="s">
        <v>68</v>
      </c>
      <c r="M10" s="33" t="s">
        <v>8</v>
      </c>
      <c r="N10" s="33" t="s">
        <v>23</v>
      </c>
      <c r="O10" s="33" t="s">
        <v>30</v>
      </c>
      <c r="P10" s="33" t="s">
        <v>31</v>
      </c>
      <c r="Q10" s="33" t="s">
        <v>64</v>
      </c>
      <c r="R10" s="33" t="s">
        <v>67</v>
      </c>
      <c r="S10" s="33" t="s">
        <v>65</v>
      </c>
      <c r="T10" s="5" t="s">
        <v>9</v>
      </c>
      <c r="U10" s="24"/>
      <c r="V10" s="52"/>
      <c r="W10" s="16"/>
    </row>
    <row r="11" spans="1:23" ht="50.1" hidden="1" customHeight="1" x14ac:dyDescent="0.25">
      <c r="A11" s="54"/>
      <c r="B11" s="52"/>
      <c r="C11" s="18" t="s">
        <v>51</v>
      </c>
      <c r="D11" s="17" t="s">
        <v>52</v>
      </c>
      <c r="E11" s="19" t="s">
        <v>3</v>
      </c>
      <c r="F11" s="20" t="s">
        <v>69</v>
      </c>
      <c r="G11" s="20" t="s">
        <v>70</v>
      </c>
      <c r="H11" s="20" t="s">
        <v>71</v>
      </c>
      <c r="I11" s="20" t="s">
        <v>73</v>
      </c>
      <c r="J11" s="20" t="s">
        <v>72</v>
      </c>
      <c r="K11" s="20" t="s">
        <v>74</v>
      </c>
      <c r="L11" s="20" t="s">
        <v>75</v>
      </c>
      <c r="M11" s="20" t="s">
        <v>76</v>
      </c>
      <c r="N11" s="20" t="s">
        <v>77</v>
      </c>
      <c r="O11" s="20" t="s">
        <v>78</v>
      </c>
      <c r="P11" s="20" t="s">
        <v>79</v>
      </c>
      <c r="Q11" s="20" t="s">
        <v>80</v>
      </c>
      <c r="R11" s="20" t="s">
        <v>81</v>
      </c>
      <c r="S11" s="20" t="s">
        <v>82</v>
      </c>
      <c r="T11" s="22" t="s">
        <v>50</v>
      </c>
      <c r="U11" s="25" t="s">
        <v>54</v>
      </c>
      <c r="V11" s="52"/>
      <c r="W11" s="16"/>
    </row>
    <row r="12" spans="1:23" ht="15" customHeight="1" x14ac:dyDescent="0.25">
      <c r="A12" s="54"/>
      <c r="B12" s="52"/>
      <c r="C12" s="41"/>
      <c r="D12" s="42">
        <f ca="1">OFFSET(D12,-1,0)+1</f>
        <v>1</v>
      </c>
      <c r="E12" s="3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43" t="str">
        <f ca="1"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f>
        <v/>
      </c>
      <c r="U12" s="26" t="str">
        <f>IF(Таблица6[[#This Row],[''Б/К]]="Б",IF(Таблица6[[#This Row],[Столбец18]]="-","-",""),"")</f>
        <v/>
      </c>
      <c r="V12" s="52"/>
      <c r="W12" s="16"/>
    </row>
    <row r="13" spans="1:23" ht="15" customHeight="1" x14ac:dyDescent="0.25">
      <c r="A13" s="54"/>
      <c r="B13" s="52"/>
      <c r="C13" s="41"/>
      <c r="D13" s="42">
        <f t="shared" ref="D13:D14" ca="1" si="0">OFFSET(D13,-1,0)+1</f>
        <v>2</v>
      </c>
      <c r="E13" s="3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43" t="str">
        <f ca="1">IF(COUNTIF(OFFSET(Таблица6[[#This Row],[Прізвище, ім’я, по батькові]],0,1):OFFSET(T13,0,-1),"=*")&gt;0,"-",IF(COUNTIF(OFFSET(Таблица6[[#This Row],[Прізвище, ім’я, по батькові]],0,1):OFFSET(T13,0,-1),"&lt;4")&gt;0,"-",(IFERROR(AVERAGE(OFFSET(Таблица6[[#This Row],[Прізвище, ім’я, по батькові]],0,1):OFFSET(T13,0,-1)),""))))</f>
        <v/>
      </c>
      <c r="U13" s="27" t="str">
        <f>IF(Таблица6[[#This Row],[''Б/К]]="Б",IF(Таблица6[[#This Row],[Столбец18]]="-","-",""),"")</f>
        <v/>
      </c>
      <c r="V13" s="52"/>
      <c r="W13" s="16"/>
    </row>
    <row r="14" spans="1:23" ht="15" customHeight="1" x14ac:dyDescent="0.25">
      <c r="A14" s="54"/>
      <c r="B14" s="52"/>
      <c r="C14" s="41"/>
      <c r="D14" s="42">
        <f t="shared" ca="1" si="0"/>
        <v>3</v>
      </c>
      <c r="E14" s="3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43" t="str">
        <f ca="1">IF(COUNTIF(OFFSET(Таблица6[[#This Row],[Прізвище, ім’я, по батькові]],0,1):OFFSET(T14,0,-1),"=*")&gt;0,"-",IF(COUNTIF(OFFSET(Таблица6[[#This Row],[Прізвище, ім’я, по батькові]],0,1):OFFSET(T14,0,-1),"&lt;4")&gt;0,"-",(IFERROR(AVERAGE(OFFSET(Таблица6[[#This Row],[Прізвище, ім’я, по батькові]],0,1):OFFSET(T14,0,-1)),""))))</f>
        <v/>
      </c>
      <c r="U14" s="27" t="str">
        <f>IF(Таблица6[[#This Row],[''Б/К]]="Б",IF(Таблица6[[#This Row],[Столбец18]]="-","-",""),"")</f>
        <v/>
      </c>
      <c r="V14" s="52"/>
      <c r="W14" s="16"/>
    </row>
    <row r="15" spans="1:23" ht="15" customHeight="1" x14ac:dyDescent="0.25">
      <c r="A15" s="54"/>
      <c r="B15" s="52"/>
      <c r="C15" s="41"/>
      <c r="D15" s="42">
        <f t="shared" ref="D15:D16" ca="1" si="1">OFFSET(D15,-1,0)+1</f>
        <v>4</v>
      </c>
      <c r="E15" s="3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43" t="str">
        <f ca="1">IF(COUNTIF(OFFSET(Таблица6[[#This Row],[Прізвище, ім’я, по батькові]],0,1):OFFSET(T15,0,-1),"=*")&gt;0,"-",IF(COUNTIF(OFFSET(Таблица6[[#This Row],[Прізвище, ім’я, по батькові]],0,1):OFFSET(T15,0,-1),"&lt;4")&gt;0,"-",(IFERROR(AVERAGE(OFFSET(Таблица6[[#This Row],[Прізвище, ім’я, по батькові]],0,1):OFFSET(T15,0,-1)),""))))</f>
        <v/>
      </c>
      <c r="U15" s="27" t="str">
        <f>IF(Таблица6[[#This Row],[''Б/К]]="Б",IF(Таблица6[[#This Row],[Столбец18]]="-","-",""),"")</f>
        <v/>
      </c>
      <c r="V15" s="52"/>
      <c r="W15" s="16"/>
    </row>
    <row r="16" spans="1:23" ht="15" customHeight="1" x14ac:dyDescent="0.25">
      <c r="A16" s="54"/>
      <c r="B16" s="52"/>
      <c r="C16" s="41"/>
      <c r="D16" s="42">
        <f t="shared" ca="1" si="1"/>
        <v>5</v>
      </c>
      <c r="E16" s="3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43" t="str">
        <f ca="1">IF(COUNTIF(OFFSET(Таблица6[[#This Row],[Прізвище, ім’я, по батькові]],0,1):OFFSET(T16,0,-1),"=*")&gt;0,"-",IF(COUNTIF(OFFSET(Таблица6[[#This Row],[Прізвище, ім’я, по батькові]],0,1):OFFSET(T16,0,-1),"&lt;4")&gt;0,"-",(IFERROR(AVERAGE(OFFSET(Таблица6[[#This Row],[Прізвище, ім’я, по батькові]],0,1):OFFSET(T16,0,-1)),""))))</f>
        <v/>
      </c>
      <c r="U16" s="27" t="str">
        <f>IF(Таблица6[[#This Row],[''Б/К]]="Б",IF(Таблица6[[#This Row],[Столбец18]]="-","-",""),"")</f>
        <v/>
      </c>
      <c r="V16" s="52"/>
      <c r="W16" s="16"/>
    </row>
    <row r="17" spans="1:23" ht="15" customHeight="1" x14ac:dyDescent="0.25">
      <c r="A17" s="54"/>
      <c r="B17" s="52"/>
      <c r="C17" s="8"/>
      <c r="D17" s="8"/>
      <c r="E17" s="6" t="s">
        <v>10</v>
      </c>
      <c r="F17" s="31" t="str">
        <f ca="1">IF(SUM(OFFSET(Таблица6[[#Headers],[1]],1,0):OFFSET(F17, -1, 0))=0,"",SUM(OFFSET(Таблица6[[#Headers],[1]],1,0):OFFSET(F17, -1, 0))/OFFSET($D17, -1, 0))</f>
        <v/>
      </c>
      <c r="G17" s="31" t="str">
        <f ca="1">IF(SUM(OFFSET(Таблица6[[#Headers],[2]],1,0):OFFSET(G17, -1, 0))=0,"",SUM(OFFSET(Таблица6[[#Headers],[2]],1,0):OFFSET(G17, -1, 0))/OFFSET($D17, -1, 0))</f>
        <v/>
      </c>
      <c r="H17" s="31" t="str">
        <f ca="1">IF(SUM(OFFSET(Таблица6[[#Headers],[3]],1,0):OFFSET(H17, -1, 0))=0,"",SUM(OFFSET(Таблица6[[#Headers],[3]],1,0):OFFSET(H17, -1, 0))/OFFSET($D17, -1, 0))</f>
        <v/>
      </c>
      <c r="I17" s="31" t="str">
        <f ca="1">IF(SUM(OFFSET(Таблица6[[#Headers],[4]],1,0):OFFSET(I17, -1, 0))=0,"",SUM(OFFSET(Таблица6[[#Headers],[4]],1,0):OFFSET(I17, -1, 0))/OFFSET($D17, -1, 0))</f>
        <v/>
      </c>
      <c r="J17" s="31" t="str">
        <f ca="1">IF(SUM(OFFSET(Таблица6[[#Headers],[5]],1,0):OFFSET(J17, -1, 0))=0,"",SUM(OFFSET(Таблица6[[#Headers],[5]],1,0):OFFSET(J17, -1, 0))/OFFSET($D17, -1, 0))</f>
        <v/>
      </c>
      <c r="K17" s="31" t="str">
        <f ca="1">IF(SUM(OFFSET(Таблица6[[#Headers],[6]],1,0):OFFSET(K17, -1, 0))=0,"",SUM(OFFSET(Таблица6[[#Headers],[6]],1,0):OFFSET(K17, -1, 0))/OFFSET($D17, -1, 0))</f>
        <v/>
      </c>
      <c r="L17" s="31" t="str">
        <f ca="1">IF(SUM(OFFSET(Таблица6[[#Headers],[7]],1,0):OFFSET(L17, -1, 0))=0,"",SUM(OFFSET(Таблица6[[#Headers],[7]],1,0):OFFSET(L17, -1, 0))/OFFSET($D17, -1, 0))</f>
        <v/>
      </c>
      <c r="M17" s="31" t="str">
        <f ca="1">IF(SUM(OFFSET(Таблица6[[#Headers],[8]],1,0):OFFSET(M17, -1, 0))=0,"",SUM(OFFSET(Таблица6[[#Headers],[8]],1,0):OFFSET(M17, -1, 0))/OFFSET($D17, -1, 0))</f>
        <v/>
      </c>
      <c r="N17" s="31" t="str">
        <f ca="1">IF(SUM(OFFSET(Таблица6[[#Headers],[9]],1,0):OFFSET(N17, -1, 0))=0,"",SUM(OFFSET(Таблица6[[#Headers],[9]],1,0):OFFSET(N17, -1, 0))/OFFSET($D17, -1, 0))</f>
        <v/>
      </c>
      <c r="O17" s="31" t="str">
        <f ca="1">IF(SUM(OFFSET(Таблица6[[#Headers],[10]],1,0):OFFSET(O17, -1, 0))=0,"",SUM(OFFSET(Таблица6[[#Headers],[10]],1,0):OFFSET(O17, -1, 0))/OFFSET($D17, -1, 0))</f>
        <v/>
      </c>
      <c r="P17" s="31" t="str">
        <f ca="1">IF(SUM(OFFSET(Таблица6[[#Headers],[11]],1,0):OFFSET(P17, -1, 0))=0,"",SUM(OFFSET(Таблица6[[#Headers],[11]],1,0):OFFSET(P17, -1, 0))/OFFSET($D17, -1, 0))</f>
        <v/>
      </c>
      <c r="Q17" s="31" t="str">
        <f ca="1">IF(SUM(OFFSET(Таблица6[[#Headers],[12]],1,0):OFFSET(Q17, -1, 0))=0,"",SUM(OFFSET(Таблица6[[#Headers],[12]],1,0):OFFSET(Q17, -1, 0))/OFFSET($D17, -1, 0))</f>
        <v/>
      </c>
      <c r="R17" s="31" t="str">
        <f ca="1">IF(SUM(OFFSET(Таблица6[[#Headers],[13]],1,0):OFFSET(R17, -1, 0))=0,"",SUM(OFFSET(Таблица6[[#Headers],[13]],1,0):OFFSET(R17, -1, 0))/OFFSET($D17, -1, 0))</f>
        <v/>
      </c>
      <c r="S17" s="31" t="str">
        <f ca="1">IF(SUM(OFFSET(Таблица6[[#Headers],[14]],1,0):OFFSET(S17, -1, 0))=0,"",SUM(OFFSET(Таблица6[[#Headers],[14]],1,0):OFFSET(S17, -1, 0))/OFFSET($D17, -1, 0))</f>
        <v/>
      </c>
      <c r="T17" s="23" t="str">
        <f ca="1">IFERROR(AVERAGE(F17:S17),"")</f>
        <v/>
      </c>
      <c r="U17" s="28">
        <f ca="1">COUNTIF(OFFSET(Таблица6[[#Headers],["Б" и "-"]],1,0):OFFSET(U17,-1,0),"-")</f>
        <v>0</v>
      </c>
      <c r="V17" s="52"/>
      <c r="W17" s="16"/>
    </row>
    <row r="18" spans="1:23" ht="15" customHeight="1" x14ac:dyDescent="0.25">
      <c r="A18" s="54"/>
      <c r="B18" s="52"/>
      <c r="C18" s="8"/>
      <c r="D18" s="8"/>
      <c r="E18" s="6" t="s">
        <v>11</v>
      </c>
      <c r="F18" s="32" t="str">
        <f ca="1">IF(SUM(OFFSET(Таблица6[[#Headers],[1]],1,0):OFFSET(F17, -1, 0))=0,"",IF(COUNTIF(OFFSET(Таблица6[[#Headers],[1]],1,0):OFFSET(F17, -1, 0),"&gt;=4")=0,0,COUNTIF(OFFSET(Таблица6[[#Headers],[1]],1,0):OFFSET(F17, -1, 0),"&gt;=4")/OFFSET($D17, -1, 0)*100))</f>
        <v/>
      </c>
      <c r="G18" s="32" t="str">
        <f ca="1">IF(SUM(OFFSET(Таблица6[[#Headers],[2]],1,0):OFFSET(G17, -1, 0))=0,"",IF(COUNTIF(OFFSET(Таблица6[[#Headers],[2]],1,0):OFFSET(G17, -1, 0),"&gt;=4")=0,0,COUNTIF(OFFSET(Таблица6[[#Headers],[2]],1,0):OFFSET(G17, -1, 0),"&gt;=4")/OFFSET($D17, -1, 0)*100))</f>
        <v/>
      </c>
      <c r="H18" s="32" t="str">
        <f ca="1">IF(SUM(OFFSET(Таблица6[[#Headers],[3]],1,0):OFFSET(H17, -1, 0))=0,"",IF(COUNTIF(OFFSET(Таблица6[[#Headers],[3]],1,0):OFFSET(H17, -1, 0),"&gt;=4")=0,0,COUNTIF(OFFSET(Таблица6[[#Headers],[3]],1,0):OFFSET(H17, -1, 0),"&gt;=4")/OFFSET($D17, -1, 0)*100))</f>
        <v/>
      </c>
      <c r="I18" s="32" t="str">
        <f ca="1">IF(SUM(OFFSET(Таблица6[[#Headers],[4]],1,0):OFFSET(I17, -1, 0))=0,"",IF(COUNTIF(OFFSET(Таблица6[[#Headers],[4]],1,0):OFFSET(I17, -1, 0),"&gt;=4")=0,0,COUNTIF(OFFSET(Таблица6[[#Headers],[4]],1,0):OFFSET(I17, -1, 0),"&gt;=4")/OFFSET($D17, -1, 0)*100))</f>
        <v/>
      </c>
      <c r="J18" s="32" t="str">
        <f ca="1">IF(SUM(OFFSET(Таблица6[[#Headers],[5]],1,0):OFFSET(J17, -1, 0))=0,"",IF(COUNTIF(OFFSET(Таблица6[[#Headers],[5]],1,0):OFFSET(J17, -1, 0),"&gt;=4")=0,0,COUNTIF(OFFSET(Таблица6[[#Headers],[5]],1,0):OFFSET(J17, -1, 0),"&gt;=4")/OFFSET($D17, -1, 0)*100))</f>
        <v/>
      </c>
      <c r="K18" s="32" t="str">
        <f ca="1">IF(SUM(OFFSET(Таблица6[[#Headers],[6]],1,0):OFFSET(K17, -1, 0))=0,"",IF(COUNTIF(OFFSET(Таблица6[[#Headers],[6]],1,0):OFFSET(K17, -1, 0),"&gt;=4")=0,0,COUNTIF(OFFSET(Таблица6[[#Headers],[6]],1,0):OFFSET(K17, -1, 0),"&gt;=4")/OFFSET($D17, -1, 0)*100))</f>
        <v/>
      </c>
      <c r="L18" s="32" t="str">
        <f ca="1">IF(SUM(OFFSET(Таблица6[[#Headers],[7]],1,0):OFFSET(L17, -1, 0))=0,"",IF(COUNTIF(OFFSET(Таблица6[[#Headers],[7]],1,0):OFFSET(L17, -1, 0),"&gt;=4")=0,0,COUNTIF(OFFSET(Таблица6[[#Headers],[7]],1,0):OFFSET(L17, -1, 0),"&gt;=4")/OFFSET($D17, -1, 0)*100))</f>
        <v/>
      </c>
      <c r="M18" s="32" t="str">
        <f ca="1">IF(SUM(OFFSET(Таблица6[[#Headers],[8]],1,0):OFFSET(M17, -1, 0))=0,"",IF(COUNTIF(OFFSET(Таблица6[[#Headers],[8]],1,0):OFFSET(M17, -1, 0),"&gt;=4")=0,0,COUNTIF(OFFSET(Таблица6[[#Headers],[8]],1,0):OFFSET(M17, -1, 0),"&gt;=4")/OFFSET($D17, -1, 0)*100))</f>
        <v/>
      </c>
      <c r="N18" s="32" t="str">
        <f ca="1">IF(SUM(OFFSET(Таблица6[[#Headers],[9]],1,0):OFFSET(N17, -1, 0))=0,"",IF(COUNTIF(OFFSET(Таблица6[[#Headers],[9]],1,0):OFFSET(N17, -1, 0),"&gt;=4")=0,0,COUNTIF(OFFSET(Таблица6[[#Headers],[9]],1,0):OFFSET(N17, -1, 0),"&gt;=4")/OFFSET($D17, -1, 0)*100))</f>
        <v/>
      </c>
      <c r="O18" s="32" t="str">
        <f ca="1">IF(SUM(OFFSET(Таблица6[[#Headers],[10]],1,0):OFFSET(O17, -1, 0))=0,"",IF(COUNTIF(OFFSET(Таблица6[[#Headers],[10]],1,0):OFFSET(O17, -1, 0),"&gt;=4")=0,0,COUNTIF(OFFSET(Таблица6[[#Headers],[10]],1,0):OFFSET(O17, -1, 0),"&gt;=4")/OFFSET($D17, -1, 0)*100))</f>
        <v/>
      </c>
      <c r="P18" s="32" t="str">
        <f ca="1">IF(SUM(OFFSET(Таблица6[[#Headers],[11]],1,0):OFFSET(P17, -1, 0))=0,"",IF(COUNTIF(OFFSET(Таблица6[[#Headers],[11]],1,0):OFFSET(P17, -1, 0),"&gt;=4")=0,0,COUNTIF(OFFSET(Таблица6[[#Headers],[11]],1,0):OFFSET(P17, -1, 0),"&gt;=4")/OFFSET($D17, -1, 0)*100))</f>
        <v/>
      </c>
      <c r="Q18" s="32" t="str">
        <f ca="1">IF(SUM(OFFSET(Таблица6[[#Headers],[12]],1,0):OFFSET(Q17, -1, 0))=0,"",IF(COUNTIF(OFFSET(Таблица6[[#Headers],[12]],1,0):OFFSET(Q17, -1, 0),"&gt;=4")=0,0,COUNTIF(OFFSET(Таблица6[[#Headers],[12]],1,0):OFFSET(Q17, -1, 0),"&gt;=4")/OFFSET($D17, -1, 0)*100))</f>
        <v/>
      </c>
      <c r="R18" s="32" t="str">
        <f ca="1">IF(SUM(OFFSET(Таблица6[[#Headers],[13]],1,0):OFFSET(R17, -1, 0))=0,"",IF(COUNTIF(OFFSET(Таблица6[[#Headers],[13]],1,0):OFFSET(R17, -1, 0),"&gt;=4")=0,0,COUNTIF(OFFSET(Таблица6[[#Headers],[13]],1,0):OFFSET(R17, -1, 0),"&gt;=4")/OFFSET($D17, -1, 0)*100))</f>
        <v/>
      </c>
      <c r="S18" s="32" t="str">
        <f ca="1">IF(SUM(OFFSET(Таблица6[[#Headers],[14]],1,0):OFFSET(S17, -1, 0))=0,"",IF(COUNTIF(OFFSET(Таблица6[[#Headers],[14]],1,0):OFFSET(S17, -1, 0),"&gt;=4")=0,0,COUNTIF(OFFSET(Таблица6[[#Headers],[14]],1,0):OFFSET(S17, -1, 0),"&gt;=4")/OFFSET($D17, -1, 0)*100))</f>
        <v/>
      </c>
      <c r="T18" s="9"/>
      <c r="U18" s="9"/>
      <c r="V18" s="52"/>
      <c r="W18" s="16"/>
    </row>
    <row r="19" spans="1:23" ht="15" customHeight="1" x14ac:dyDescent="0.25">
      <c r="A19" s="54"/>
      <c r="B19" s="52"/>
      <c r="C19" s="8"/>
      <c r="D19" s="8"/>
      <c r="E19" s="6" t="s">
        <v>12</v>
      </c>
      <c r="F19" s="32" t="str">
        <f ca="1">IF(SUM(OFFSET(Таблица6[[#Headers],[1]],1,0):OFFSET(F17, -1, 0))=0,"",IF(COUNTIF(OFFSET(Таблица6[[#Headers],[1]],1,0):OFFSET(F17, -1, 0),"&gt;=7")=0,0,COUNTIF(OFFSET(Таблица6[[#Headers],[1]],1,0):OFFSET(F17, -1, 0),"&gt;=7")/OFFSET($D17, -1, 0)*100))</f>
        <v/>
      </c>
      <c r="G19" s="32" t="str">
        <f ca="1">IF(SUM(OFFSET(Таблица6[[#Headers],[2]],1,0):OFFSET(G17, -1, 0))=0,"",IF(COUNTIF(OFFSET(Таблица6[[#Headers],[2]],1,0):OFFSET(G17, -1, 0),"&gt;=7")=0,0,COUNTIF(OFFSET(Таблица6[[#Headers],[2]],1,0):OFFSET(G17, -1, 0),"&gt;=7")/OFFSET($D17, -1, 0)*100))</f>
        <v/>
      </c>
      <c r="H19" s="32" t="str">
        <f ca="1">IF(SUM(OFFSET(Таблица6[[#Headers],[3]],1,0):OFFSET(H17, -1, 0))=0,"",IF(COUNTIF(OFFSET(Таблица6[[#Headers],[3]],1,0):OFFSET(H17, -1, 0),"&gt;=7")=0,0,COUNTIF(OFFSET(Таблица6[[#Headers],[3]],1,0):OFFSET(H17, -1, 0),"&gt;=7")/OFFSET($D17, -1, 0)*100))</f>
        <v/>
      </c>
      <c r="I19" s="32" t="str">
        <f ca="1">IF(SUM(OFFSET(Таблица6[[#Headers],[4]],1,0):OFFSET(I17, -1, 0))=0,"",IF(COUNTIF(OFFSET(Таблица6[[#Headers],[4]],1,0):OFFSET(I17, -1, 0),"&gt;=7")=0,0,COUNTIF(OFFSET(Таблица6[[#Headers],[4]],1,0):OFFSET(I17, -1, 0),"&gt;=7")/OFFSET($D17, -1, 0)*100))</f>
        <v/>
      </c>
      <c r="J19" s="32" t="str">
        <f ca="1">IF(SUM(OFFSET(Таблица6[[#Headers],[5]],1,0):OFFSET(J17, -1, 0))=0,"",IF(COUNTIF(OFFSET(Таблица6[[#Headers],[5]],1,0):OFFSET(J17, -1, 0),"&gt;=7")=0,0,COUNTIF(OFFSET(Таблица6[[#Headers],[5]],1,0):OFFSET(J17, -1, 0),"&gt;=7")/OFFSET($D17, -1, 0)*100))</f>
        <v/>
      </c>
      <c r="K19" s="32" t="str">
        <f ca="1">IF(SUM(OFFSET(Таблица6[[#Headers],[6]],1,0):OFFSET(K17, -1, 0))=0,"",IF(COUNTIF(OFFSET(Таблица6[[#Headers],[6]],1,0):OFFSET(K17, -1, 0),"&gt;=7")=0,0,COUNTIF(OFFSET(Таблица6[[#Headers],[6]],1,0):OFFSET(K17, -1, 0),"&gt;=7")/OFFSET($D17, -1, 0)*100))</f>
        <v/>
      </c>
      <c r="L19" s="32" t="str">
        <f ca="1">IF(SUM(OFFSET(Таблица6[[#Headers],[7]],1,0):OFFSET(L17, -1, 0))=0,"",IF(COUNTIF(OFFSET(Таблица6[[#Headers],[7]],1,0):OFFSET(L17, -1, 0),"&gt;=7")=0,0,COUNTIF(OFFSET(Таблица6[[#Headers],[7]],1,0):OFFSET(L17, -1, 0),"&gt;=7")/OFFSET($D17, -1, 0)*100))</f>
        <v/>
      </c>
      <c r="M19" s="32" t="str">
        <f ca="1">IF(SUM(OFFSET(Таблица6[[#Headers],[8]],1,0):OFFSET(M17, -1, 0))=0,"",IF(COUNTIF(OFFSET(Таблица6[[#Headers],[8]],1,0):OFFSET(M17, -1, 0),"&gt;=7")=0,0,COUNTIF(OFFSET(Таблица6[[#Headers],[8]],1,0):OFFSET(M17, -1, 0),"&gt;=7")/OFFSET($D17, -1, 0)*100))</f>
        <v/>
      </c>
      <c r="N19" s="32" t="str">
        <f ca="1">IF(SUM(OFFSET(Таблица6[[#Headers],[9]],1,0):OFFSET(N17, -1, 0))=0,"",IF(COUNTIF(OFFSET(Таблица6[[#Headers],[9]],1,0):OFFSET(N17, -1, 0),"&gt;=7")=0,0,COUNTIF(OFFSET(Таблица6[[#Headers],[9]],1,0):OFFSET(N17, -1, 0),"&gt;=7")/OFFSET($D17, -1, 0)*100))</f>
        <v/>
      </c>
      <c r="O19" s="32" t="str">
        <f ca="1">IF(SUM(OFFSET(Таблица6[[#Headers],[10]],1,0):OFFSET(O17, -1, 0))=0,"",IF(COUNTIF(OFFSET(Таблица6[[#Headers],[10]],1,0):OFFSET(O17, -1, 0),"&gt;=7")=0,0,COUNTIF(OFFSET(Таблица6[[#Headers],[10]],1,0):OFFSET(O17, -1, 0),"&gt;=7")/OFFSET($D17, -1, 0)*100))</f>
        <v/>
      </c>
      <c r="P19" s="32" t="str">
        <f ca="1">IF(SUM(OFFSET(Таблица6[[#Headers],[11]],1,0):OFFSET(P17, -1, 0))=0,"",IF(COUNTIF(OFFSET(Таблица6[[#Headers],[11]],1,0):OFFSET(P17, -1, 0),"&gt;=7")=0,0,COUNTIF(OFFSET(Таблица6[[#Headers],[11]],1,0):OFFSET(P17, -1, 0),"&gt;=7")/OFFSET($D17, -1, 0)*100))</f>
        <v/>
      </c>
      <c r="Q19" s="32" t="str">
        <f ca="1">IF(SUM(OFFSET(Таблица6[[#Headers],[12]],1,0):OFFSET(Q17, -1, 0))=0,"",IF(COUNTIF(OFFSET(Таблица6[[#Headers],[12]],1,0):OFFSET(Q17, -1, 0),"&gt;=7")=0,0,COUNTIF(OFFSET(Таблица6[[#Headers],[12]],1,0):OFFSET(Q17, -1, 0),"&gt;=7")/OFFSET($D17, -1, 0)*100))</f>
        <v/>
      </c>
      <c r="R19" s="32" t="str">
        <f ca="1">IF(SUM(OFFSET(Таблица6[[#Headers],[13]],1,0):OFFSET(R17, -1, 0))=0,"",IF(COUNTIF(OFFSET(Таблица6[[#Headers],[13]],1,0):OFFSET(R17, -1, 0),"&gt;=7")=0,0,COUNTIF(OFFSET(Таблица6[[#Headers],[13]],1,0):OFFSET(R17, -1, 0),"&gt;=7")/OFFSET($D17, -1, 0)*100))</f>
        <v/>
      </c>
      <c r="S19" s="32" t="str">
        <f ca="1">IF(SUM(OFFSET(Таблица6[[#Headers],[14]],1,0):OFFSET(S17, -1, 0))=0,"",IF(COUNTIF(OFFSET(Таблица6[[#Headers],[14]],1,0):OFFSET(S17, -1, 0),"&gt;=7")=0,0,COUNTIF(OFFSET(Таблица6[[#Headers],[14]],1,0):OFFSET(S17, -1, 0),"&gt;=7")/OFFSET($D17, -1, 0)*100))</f>
        <v/>
      </c>
      <c r="T19" s="8"/>
      <c r="U19" s="8"/>
      <c r="V19" s="52"/>
      <c r="W19" s="16"/>
    </row>
    <row r="20" spans="1:23" ht="15" customHeight="1" x14ac:dyDescent="0.25">
      <c r="A20" s="54"/>
      <c r="B20" s="52"/>
      <c r="C20" s="8"/>
      <c r="D20" s="8"/>
      <c r="E20" s="6" t="s">
        <v>13</v>
      </c>
      <c r="F20" s="31" t="str">
        <f ca="1">IF(COUNT(F18:S18)&lt;14,"",AVERAGE(F18:S18))</f>
        <v/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52"/>
      <c r="W20" s="16"/>
    </row>
    <row r="21" spans="1:23" ht="15" customHeight="1" x14ac:dyDescent="0.25">
      <c r="A21" s="54"/>
      <c r="B21" s="52"/>
      <c r="C21" s="8"/>
      <c r="D21" s="8"/>
      <c r="E21" s="6" t="s">
        <v>14</v>
      </c>
      <c r="F21" s="31" t="str">
        <f ca="1">IF(COUNT(F19:S19)&lt;14,"",AVERAGE(F19:S19))</f>
        <v/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52"/>
      <c r="W21" s="16"/>
    </row>
    <row r="22" spans="1:23" ht="15" customHeight="1" x14ac:dyDescent="0.25">
      <c r="A22" s="54"/>
      <c r="B22" s="52"/>
      <c r="C22" s="8"/>
      <c r="D22" s="8"/>
      <c r="E22" s="6" t="s">
        <v>15</v>
      </c>
      <c r="F22" s="15" t="str">
        <f ca="1">IF(COUNTIF(OFFSET(Таблица6[[#Headers],[''Б/К]],1,0):OFFSET($C17, -1, 0),"=Б")=0,IF(COUNTIF(OFFSET(Таблица6[[#Headers],[''Б/К]],1,0):OFFSET($C17, -1, 0),"=К")=0,"",0),COUNTIF(OFFSET(Таблица6[[#Headers],[''Б/К]],1,0):OFFSET($C17, -1, 0),"=Б"))</f>
        <v/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52"/>
      <c r="W22" s="16"/>
    </row>
    <row r="23" spans="1:23" ht="15" customHeight="1" x14ac:dyDescent="0.25">
      <c r="A23" s="54"/>
      <c r="B23" s="52"/>
      <c r="C23" s="8"/>
      <c r="D23" s="8"/>
      <c r="E23" s="6" t="s">
        <v>16</v>
      </c>
      <c r="F23" s="15" t="str">
        <f ca="1">IF(COUNTIF(OFFSET(Таблица6[[#Headers],[''Б/К]],1,0):OFFSET($C17, -1, 0),"=К")=0,IF(COUNTIF(OFFSET(Таблица6[[#Headers],[''Б/К]],1,0):OFFSET($C17, -1, 0),"=Б")=0,"",0),COUNTIF(OFFSET(Таблица6[[#Headers],[''Б/К]],1,0):OFFSET($C17, -1, 0),"=К"))</f>
        <v/>
      </c>
      <c r="G23" s="50"/>
      <c r="H23" s="10" t="s">
        <v>17</v>
      </c>
      <c r="I23" s="8"/>
      <c r="J23" s="8"/>
      <c r="K23" s="8"/>
      <c r="L23" s="8"/>
      <c r="M23" s="8"/>
      <c r="N23" s="30"/>
      <c r="O23" s="34" t="s">
        <v>32</v>
      </c>
      <c r="P23" s="29"/>
      <c r="Q23" s="30"/>
      <c r="R23" s="29"/>
      <c r="S23" s="8"/>
      <c r="T23" s="8"/>
      <c r="U23" s="8"/>
      <c r="V23" s="52"/>
      <c r="W23" s="16"/>
    </row>
    <row r="24" spans="1:23" ht="15" customHeight="1" x14ac:dyDescent="0.25">
      <c r="A24" s="54"/>
      <c r="B24" s="52"/>
      <c r="C24" s="8"/>
      <c r="D24" s="8"/>
      <c r="E24" s="6" t="s">
        <v>18</v>
      </c>
      <c r="F24" s="36">
        <v>3</v>
      </c>
      <c r="G24" s="5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52"/>
      <c r="W24" s="16"/>
    </row>
    <row r="25" spans="1:23" ht="15" customHeight="1" x14ac:dyDescent="0.25">
      <c r="A25" s="54"/>
      <c r="B25" s="52"/>
      <c r="C25" s="8"/>
      <c r="D25" s="8"/>
      <c r="E25" s="6" t="s">
        <v>19</v>
      </c>
      <c r="F25" s="15" t="str">
        <f ca="1">IF(F22="","",IF(ROUNDDOWN(F22/100*40,0)&lt;F22-U17,ROUNDDOWN(F22/100*40,0),F22-U17))</f>
        <v/>
      </c>
      <c r="G25" s="50"/>
      <c r="H25" s="35" t="s">
        <v>58</v>
      </c>
      <c r="I25" s="8"/>
      <c r="J25" s="8"/>
      <c r="K25" s="8"/>
      <c r="L25" s="8"/>
      <c r="M25" s="8"/>
      <c r="N25" s="30"/>
      <c r="O25" s="34" t="s">
        <v>20</v>
      </c>
      <c r="P25" s="30"/>
      <c r="Q25" s="30"/>
      <c r="R25" s="30"/>
      <c r="S25" s="8"/>
      <c r="T25" s="8"/>
      <c r="U25" s="8"/>
      <c r="V25" s="52"/>
      <c r="W25" s="16"/>
    </row>
    <row r="26" spans="1:23" ht="12" customHeight="1" thickBot="1" x14ac:dyDescent="0.3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16"/>
    </row>
    <row r="27" spans="1:23" ht="12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</row>
  </sheetData>
  <sheetProtection formatCells="0" insertColumns="0" insertRows="0" deleteColumns="0" deleteRows="0" sort="0"/>
  <mergeCells count="17">
    <mergeCell ref="B26:V26"/>
    <mergeCell ref="B27:V27"/>
    <mergeCell ref="V3:V25"/>
    <mergeCell ref="B1:V1"/>
    <mergeCell ref="A2:A26"/>
    <mergeCell ref="B2:V2"/>
    <mergeCell ref="B3:B25"/>
    <mergeCell ref="C3:T3"/>
    <mergeCell ref="C4:T4"/>
    <mergeCell ref="C5:T5"/>
    <mergeCell ref="C6:T6"/>
    <mergeCell ref="C7:T7"/>
    <mergeCell ref="C8:T8"/>
    <mergeCell ref="C9:C10"/>
    <mergeCell ref="D9:D10"/>
    <mergeCell ref="E9:E10"/>
    <mergeCell ref="F9:T9"/>
  </mergeCells>
  <phoneticPr fontId="8" type="noConversion"/>
  <conditionalFormatting sqref="C13 E13:S13">
    <cfRule type="expression" dxfId="58" priority="4">
      <formula>$V$13&lt;&gt;""</formula>
    </cfRule>
  </conditionalFormatting>
  <conditionalFormatting sqref="C14:C16 E14:S16">
    <cfRule type="expression" dxfId="57" priority="5">
      <formula>$V$14&lt;&gt;""</formula>
    </cfRule>
  </conditionalFormatting>
  <conditionalFormatting sqref="D13:D16 C12:S12">
    <cfRule type="expression" dxfId="56" priority="3">
      <formula>$V$12&lt;&gt;""</formula>
    </cfRule>
  </conditionalFormatting>
  <conditionalFormatting sqref="T12:U16">
    <cfRule type="expression" dxfId="55" priority="38">
      <formula>#REF!&lt;&gt;""</formula>
    </cfRule>
  </conditionalFormatting>
  <printOptions horizontalCentered="1"/>
  <pageMargins left="0" right="0" top="0" bottom="0" header="0" footer="0"/>
  <pageSetup paperSize="9" scale="8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M22"/>
  <sheetViews>
    <sheetView zoomScaleNormal="100" workbookViewId="0"/>
  </sheetViews>
  <sheetFormatPr defaultColWidth="0" defaultRowHeight="0" customHeight="1" zeroHeight="1" x14ac:dyDescent="0.25"/>
  <cols>
    <col min="1" max="2" width="2.7109375" style="2" customWidth="1"/>
    <col min="3" max="3" width="4.140625" style="2" customWidth="1"/>
    <col min="4" max="4" width="6.5703125" style="2" customWidth="1"/>
    <col min="5" max="5" width="40.42578125" style="2" customWidth="1"/>
    <col min="6" max="20" width="6.7109375" style="2" customWidth="1"/>
    <col min="21" max="22" width="11.28515625" style="2" customWidth="1"/>
    <col min="23" max="24" width="2.7109375" style="2" customWidth="1"/>
    <col min="25" max="30" width="14.42578125" style="2" hidden="1" customWidth="1"/>
    <col min="31" max="31" width="14.85546875" style="2" hidden="1" customWidth="1"/>
    <col min="32" max="45" width="3.7109375" style="2" hidden="1" customWidth="1"/>
    <col min="46" max="65" width="5.7109375" style="2" hidden="1" customWidth="1"/>
    <col min="66" max="16384" width="14.42578125" style="2" hidden="1"/>
  </cols>
  <sheetData>
    <row r="1" spans="1:24" ht="12" customHeight="1" thickBot="1" x14ac:dyDescent="0.3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4" ht="12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63"/>
    </row>
    <row r="3" spans="1:24" s="3" customFormat="1" ht="35.1" customHeight="1" x14ac:dyDescent="0.3">
      <c r="A3" s="54"/>
      <c r="B3" s="52"/>
      <c r="C3" s="56" t="s">
        <v>36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2"/>
      <c r="X3" s="63"/>
    </row>
    <row r="4" spans="1:24" s="3" customFormat="1" ht="15" customHeight="1" x14ac:dyDescent="0.25">
      <c r="A4" s="54"/>
      <c r="B4" s="52"/>
      <c r="C4" s="52" t="s">
        <v>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63"/>
    </row>
    <row r="5" spans="1:24" s="4" customFormat="1" ht="15" customHeight="1" x14ac:dyDescent="0.25">
      <c r="A5" s="54"/>
      <c r="B5" s="52"/>
      <c r="C5" s="58" t="s">
        <v>34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2"/>
      <c r="X5" s="63"/>
    </row>
    <row r="6" spans="1:24" s="3" customFormat="1" ht="15" customHeight="1" x14ac:dyDescent="0.25">
      <c r="A6" s="54"/>
      <c r="B6" s="52"/>
      <c r="C6" s="59" t="s">
        <v>55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2"/>
      <c r="X6" s="63"/>
    </row>
    <row r="7" spans="1:24" s="3" customFormat="1" ht="15" customHeight="1" x14ac:dyDescent="0.25">
      <c r="A7" s="54"/>
      <c r="B7" s="52"/>
      <c r="C7" s="59" t="s">
        <v>56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2"/>
      <c r="X7" s="63"/>
    </row>
    <row r="8" spans="1:24" s="3" customFormat="1" ht="15" customHeight="1" x14ac:dyDescent="0.25">
      <c r="A8" s="54"/>
      <c r="B8" s="52"/>
      <c r="C8" s="59" t="s">
        <v>57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2"/>
      <c r="X8" s="63"/>
    </row>
    <row r="9" spans="1:24" ht="15" customHeight="1" x14ac:dyDescent="0.25">
      <c r="A9" s="54"/>
      <c r="B9" s="52"/>
      <c r="C9" s="60" t="s">
        <v>1</v>
      </c>
      <c r="D9" s="62" t="s">
        <v>2</v>
      </c>
      <c r="E9" s="62" t="s">
        <v>3</v>
      </c>
      <c r="F9" s="61" t="s">
        <v>33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52"/>
      <c r="X9" s="63"/>
    </row>
    <row r="10" spans="1:24" ht="125.1" customHeight="1" x14ac:dyDescent="0.25">
      <c r="A10" s="54"/>
      <c r="B10" s="52"/>
      <c r="C10" s="61"/>
      <c r="D10" s="61"/>
      <c r="E10" s="61"/>
      <c r="F10" s="33" t="s">
        <v>63</v>
      </c>
      <c r="G10" s="33" t="s">
        <v>4</v>
      </c>
      <c r="H10" s="33" t="s">
        <v>5</v>
      </c>
      <c r="I10" s="33" t="s">
        <v>6</v>
      </c>
      <c r="J10" s="33" t="s">
        <v>22</v>
      </c>
      <c r="K10" s="33" t="s">
        <v>66</v>
      </c>
      <c r="L10" s="33" t="s">
        <v>29</v>
      </c>
      <c r="M10" s="33" t="s">
        <v>7</v>
      </c>
      <c r="N10" s="33" t="s">
        <v>8</v>
      </c>
      <c r="O10" s="33" t="s">
        <v>23</v>
      </c>
      <c r="P10" s="33" t="s">
        <v>30</v>
      </c>
      <c r="Q10" s="33" t="s">
        <v>31</v>
      </c>
      <c r="R10" s="33" t="s">
        <v>64</v>
      </c>
      <c r="S10" s="33" t="s">
        <v>67</v>
      </c>
      <c r="T10" s="33" t="s">
        <v>65</v>
      </c>
      <c r="U10" s="5" t="s">
        <v>9</v>
      </c>
      <c r="V10" s="5" t="s">
        <v>35</v>
      </c>
      <c r="W10" s="52"/>
      <c r="X10" s="63"/>
    </row>
    <row r="11" spans="1:24" ht="50.1" hidden="1" customHeight="1" x14ac:dyDescent="0.25">
      <c r="A11" s="54"/>
      <c r="B11" s="52"/>
      <c r="C11" s="18" t="s">
        <v>37</v>
      </c>
      <c r="D11" s="19" t="s">
        <v>52</v>
      </c>
      <c r="E11" s="19" t="s">
        <v>39</v>
      </c>
      <c r="F11" s="39" t="s">
        <v>40</v>
      </c>
      <c r="G11" s="39" t="s">
        <v>41</v>
      </c>
      <c r="H11" s="39" t="s">
        <v>42</v>
      </c>
      <c r="I11" s="39" t="s">
        <v>43</v>
      </c>
      <c r="J11" s="39" t="s">
        <v>44</v>
      </c>
      <c r="K11" s="39" t="s">
        <v>45</v>
      </c>
      <c r="L11" s="39" t="s">
        <v>38</v>
      </c>
      <c r="M11" s="39" t="s">
        <v>46</v>
      </c>
      <c r="N11" s="39" t="s">
        <v>47</v>
      </c>
      <c r="O11" s="39" t="s">
        <v>62</v>
      </c>
      <c r="P11" s="39" t="s">
        <v>61</v>
      </c>
      <c r="Q11" s="39" t="s">
        <v>60</v>
      </c>
      <c r="R11" s="39" t="s">
        <v>59</v>
      </c>
      <c r="S11" s="39" t="s">
        <v>48</v>
      </c>
      <c r="T11" s="39" t="s">
        <v>49</v>
      </c>
      <c r="U11" s="40" t="s">
        <v>50</v>
      </c>
      <c r="V11" s="21" t="s">
        <v>53</v>
      </c>
      <c r="W11" s="52"/>
      <c r="X11" s="63"/>
    </row>
    <row r="12" spans="1:24" ht="15" customHeight="1" x14ac:dyDescent="0.25">
      <c r="A12" s="54"/>
      <c r="B12" s="52"/>
      <c r="C12" s="44"/>
      <c r="D12" s="45">
        <f ca="1">OFFSET(D12,-1,0)+1</f>
        <v>1</v>
      </c>
      <c r="E12" s="37" t="s">
        <v>26</v>
      </c>
      <c r="F12" s="11">
        <v>10</v>
      </c>
      <c r="G12" s="11">
        <v>10</v>
      </c>
      <c r="H12" s="11">
        <v>10</v>
      </c>
      <c r="I12" s="11">
        <v>10</v>
      </c>
      <c r="J12" s="11">
        <v>10</v>
      </c>
      <c r="K12" s="11">
        <v>10</v>
      </c>
      <c r="L12" s="11">
        <v>11</v>
      </c>
      <c r="M12" s="11">
        <v>10</v>
      </c>
      <c r="N12" s="11">
        <v>9</v>
      </c>
      <c r="O12" s="11">
        <v>10</v>
      </c>
      <c r="P12" s="11">
        <v>11</v>
      </c>
      <c r="Q12" s="11">
        <v>10</v>
      </c>
      <c r="R12" s="11">
        <v>9</v>
      </c>
      <c r="S12" s="11">
        <v>10</v>
      </c>
      <c r="T12" s="11">
        <v>10</v>
      </c>
      <c r="U12" s="46">
        <f ca="1">IF(COUNTIF(OFFSET(Таблица9[[#This Row],[Столбец3]],0,1):OFFSET(U12,0,-1),"")=0,AVERAGE(OFFSET(Таблица9[[#This Row],[Столбец3]],0,1):OFFSET(U12,0,-1)),"")</f>
        <v>10</v>
      </c>
      <c r="V12" s="47">
        <f ca="1">IF(Таблица9[[#This Row],[Столбец18]]="","",Таблица9[[#This Row],[Столбец18]]/12*90)</f>
        <v>75</v>
      </c>
      <c r="W12" s="52"/>
      <c r="X12" s="63"/>
    </row>
    <row r="13" spans="1:24" ht="15" customHeight="1" x14ac:dyDescent="0.25">
      <c r="A13" s="54"/>
      <c r="B13" s="52"/>
      <c r="C13" s="44"/>
      <c r="D13" s="45">
        <f t="shared" ref="D13:D16" ca="1" si="0">OFFSET(D13,-1,0)+1</f>
        <v>2</v>
      </c>
      <c r="E13" s="37" t="s">
        <v>24</v>
      </c>
      <c r="F13" s="11">
        <v>9</v>
      </c>
      <c r="G13" s="11">
        <v>10</v>
      </c>
      <c r="H13" s="11">
        <v>10</v>
      </c>
      <c r="I13" s="11">
        <v>11</v>
      </c>
      <c r="J13" s="11">
        <v>10</v>
      </c>
      <c r="K13" s="11">
        <v>11</v>
      </c>
      <c r="L13" s="11">
        <v>11</v>
      </c>
      <c r="M13" s="11">
        <v>8</v>
      </c>
      <c r="N13" s="11">
        <v>7</v>
      </c>
      <c r="O13" s="11">
        <v>11</v>
      </c>
      <c r="P13" s="11">
        <v>11</v>
      </c>
      <c r="Q13" s="11">
        <v>8</v>
      </c>
      <c r="R13" s="11">
        <v>7</v>
      </c>
      <c r="S13" s="11">
        <v>9</v>
      </c>
      <c r="T13" s="11">
        <v>9</v>
      </c>
      <c r="U13" s="46">
        <f ca="1">IF(COUNTIF(OFFSET(Таблица9[[#This Row],[Столбец3]],0,1):OFFSET(U13,0,-1),"")=0,AVERAGE(OFFSET(Таблица9[[#This Row],[Столбец3]],0,1):OFFSET(U13,0,-1)),"")</f>
        <v>9.4666666666666668</v>
      </c>
      <c r="V13" s="47">
        <f ca="1">IF(Таблица9[[#This Row],[Столбец18]]="","",Таблица9[[#This Row],[Столбец18]]/12*90)</f>
        <v>71</v>
      </c>
      <c r="W13" s="52"/>
      <c r="X13" s="63"/>
    </row>
    <row r="14" spans="1:24" ht="15" customHeight="1" x14ac:dyDescent="0.25">
      <c r="A14" s="54"/>
      <c r="B14" s="52"/>
      <c r="C14" s="41"/>
      <c r="D14" s="42">
        <f t="shared" ca="1" si="0"/>
        <v>3</v>
      </c>
      <c r="E14" s="38" t="s">
        <v>28</v>
      </c>
      <c r="F14" s="7">
        <v>7</v>
      </c>
      <c r="G14" s="7">
        <v>8</v>
      </c>
      <c r="H14" s="7">
        <v>7</v>
      </c>
      <c r="I14" s="7">
        <v>10</v>
      </c>
      <c r="J14" s="7">
        <v>6</v>
      </c>
      <c r="K14" s="7">
        <v>7</v>
      </c>
      <c r="L14" s="7">
        <v>7</v>
      </c>
      <c r="M14" s="7">
        <v>4</v>
      </c>
      <c r="N14" s="7">
        <v>7</v>
      </c>
      <c r="O14" s="7">
        <v>7</v>
      </c>
      <c r="P14" s="7">
        <v>7</v>
      </c>
      <c r="Q14" s="7">
        <v>4</v>
      </c>
      <c r="R14" s="7">
        <v>7</v>
      </c>
      <c r="S14" s="7">
        <v>8</v>
      </c>
      <c r="T14" s="7">
        <v>8</v>
      </c>
      <c r="U14" s="49">
        <f ca="1">IF(COUNTIF(OFFSET(Таблица9[[#This Row],[Столбец3]],0,1):OFFSET(U14,0,-1),"")=0,AVERAGE(OFFSET(Таблица9[[#This Row],[Столбец3]],0,1):OFFSET(U14,0,-1)),"")</f>
        <v>6.9333333333333336</v>
      </c>
      <c r="V14" s="48">
        <f ca="1">IF(Таблица9[[#This Row],[Столбец18]]="","",Таблица9[[#This Row],[Столбец18]]/12*90)</f>
        <v>52.000000000000007</v>
      </c>
      <c r="W14" s="52"/>
      <c r="X14" s="63"/>
    </row>
    <row r="15" spans="1:24" ht="15" customHeight="1" x14ac:dyDescent="0.25">
      <c r="A15" s="54"/>
      <c r="B15" s="52"/>
      <c r="C15" s="41"/>
      <c r="D15" s="42">
        <f t="shared" ca="1" si="0"/>
        <v>4</v>
      </c>
      <c r="E15" s="38" t="s">
        <v>25</v>
      </c>
      <c r="F15" s="7">
        <v>8</v>
      </c>
      <c r="G15" s="7">
        <v>10</v>
      </c>
      <c r="H15" s="7">
        <v>8</v>
      </c>
      <c r="I15" s="7">
        <v>7</v>
      </c>
      <c r="J15" s="7">
        <v>7</v>
      </c>
      <c r="K15" s="7">
        <v>5</v>
      </c>
      <c r="L15" s="7">
        <v>7</v>
      </c>
      <c r="M15" s="7">
        <v>7</v>
      </c>
      <c r="N15" s="7">
        <v>6</v>
      </c>
      <c r="O15" s="7">
        <v>5</v>
      </c>
      <c r="P15" s="7">
        <v>7</v>
      </c>
      <c r="Q15" s="7">
        <v>7</v>
      </c>
      <c r="R15" s="7">
        <v>6</v>
      </c>
      <c r="S15" s="7">
        <v>7</v>
      </c>
      <c r="T15" s="7">
        <v>8</v>
      </c>
      <c r="U15" s="49">
        <f ca="1">IF(COUNTIF(OFFSET(Таблица9[[#This Row],[Столбец3]],0,1):OFFSET(U15,0,-1),"")=0,AVERAGE(OFFSET(Таблица9[[#This Row],[Столбец3]],0,1):OFFSET(U15,0,-1)),"")</f>
        <v>7</v>
      </c>
      <c r="V15" s="48">
        <f ca="1">IF(Таблица9[[#This Row],[Столбец18]]="","",Таблица9[[#This Row],[Столбец18]]/12*90)</f>
        <v>52.5</v>
      </c>
      <c r="W15" s="52"/>
      <c r="X15" s="63"/>
    </row>
    <row r="16" spans="1:24" ht="15" customHeight="1" x14ac:dyDescent="0.25">
      <c r="A16" s="54"/>
      <c r="B16" s="52"/>
      <c r="C16" s="41"/>
      <c r="D16" s="42">
        <f t="shared" ca="1" si="0"/>
        <v>5</v>
      </c>
      <c r="E16" s="38" t="s">
        <v>27</v>
      </c>
      <c r="F16" s="7">
        <v>6</v>
      </c>
      <c r="G16" s="7">
        <v>10</v>
      </c>
      <c r="H16" s="7">
        <v>9</v>
      </c>
      <c r="I16" s="7">
        <v>9</v>
      </c>
      <c r="J16" s="7">
        <v>6</v>
      </c>
      <c r="K16" s="7">
        <v>8</v>
      </c>
      <c r="L16" s="7">
        <v>6</v>
      </c>
      <c r="M16" s="7">
        <v>7</v>
      </c>
      <c r="N16" s="7">
        <v>5</v>
      </c>
      <c r="O16" s="7">
        <v>8</v>
      </c>
      <c r="P16" s="7">
        <v>6</v>
      </c>
      <c r="Q16" s="7">
        <v>7</v>
      </c>
      <c r="R16" s="7">
        <v>5</v>
      </c>
      <c r="S16" s="7">
        <v>8</v>
      </c>
      <c r="T16" s="7">
        <v>8</v>
      </c>
      <c r="U16" s="49">
        <f ca="1">IF(COUNTIF(OFFSET(Таблица9[[#This Row],[Столбец3]],0,1):OFFSET(U16,0,-1),"")=0,AVERAGE(OFFSET(Таблица9[[#This Row],[Столбец3]],0,1):OFFSET(U16,0,-1)),"")</f>
        <v>7.2</v>
      </c>
      <c r="V16" s="48">
        <f ca="1">IF(Таблица9[[#This Row],[Столбец18]]="","",Таблица9[[#This Row],[Столбец18]]/12*90)</f>
        <v>54</v>
      </c>
      <c r="W16" s="52"/>
      <c r="X16" s="63"/>
    </row>
    <row r="17" spans="1:24" ht="15" customHeight="1" x14ac:dyDescent="0.25">
      <c r="A17" s="54"/>
      <c r="B17" s="52"/>
      <c r="C17" s="8"/>
      <c r="D17" s="8"/>
      <c r="E17" s="6" t="s">
        <v>15</v>
      </c>
      <c r="F17" s="15" t="str">
        <f ca="1">'Зведена відомість'!F22</f>
        <v/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52"/>
      <c r="X17" s="63"/>
    </row>
    <row r="18" spans="1:24" ht="15" customHeight="1" x14ac:dyDescent="0.25">
      <c r="A18" s="54"/>
      <c r="B18" s="52"/>
      <c r="C18" s="8"/>
      <c r="D18" s="8"/>
      <c r="E18" s="6" t="s">
        <v>16</v>
      </c>
      <c r="F18" s="15" t="str">
        <f ca="1">'Зведена відомість'!F23</f>
        <v/>
      </c>
      <c r="G18" s="8"/>
      <c r="H18" s="10" t="str">
        <f>'Зведена відомість'!H23</f>
        <v>Класний керівник</v>
      </c>
      <c r="I18" s="8"/>
      <c r="J18" s="8"/>
      <c r="K18" s="8"/>
      <c r="L18" s="8"/>
      <c r="M18" s="8"/>
      <c r="N18" s="8"/>
      <c r="O18" s="8"/>
      <c r="P18" s="1" t="str">
        <f>'Зведена відомість'!O23</f>
        <v>Наталія КРУПІНА</v>
      </c>
      <c r="Q18" s="8"/>
      <c r="R18" s="8"/>
      <c r="S18" s="8"/>
      <c r="T18" s="8"/>
      <c r="U18" s="8"/>
      <c r="V18" s="8"/>
      <c r="W18" s="52"/>
      <c r="X18" s="63"/>
    </row>
    <row r="19" spans="1:24" ht="15" customHeight="1" x14ac:dyDescent="0.25">
      <c r="A19" s="54"/>
      <c r="B19" s="52"/>
      <c r="C19" s="8"/>
      <c r="D19" s="8"/>
      <c r="E19" s="6" t="s">
        <v>18</v>
      </c>
      <c r="F19" s="15">
        <f>'Зведена відомість'!F24</f>
        <v>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52"/>
      <c r="X19" s="63"/>
    </row>
    <row r="20" spans="1:24" ht="15" customHeight="1" x14ac:dyDescent="0.25">
      <c r="A20" s="54"/>
      <c r="B20" s="52"/>
      <c r="C20" s="8"/>
      <c r="D20" s="8"/>
      <c r="E20" s="6" t="s">
        <v>19</v>
      </c>
      <c r="F20" s="15" t="str">
        <f ca="1">'Зведена відомість'!F25</f>
        <v/>
      </c>
      <c r="G20" s="8"/>
      <c r="H20" s="10" t="str">
        <f>'Зведена відомість'!H25</f>
        <v>Завідувачка відділення ПЗСО</v>
      </c>
      <c r="I20" s="8"/>
      <c r="J20" s="8"/>
      <c r="K20" s="8"/>
      <c r="L20" s="8"/>
      <c r="M20" s="8"/>
      <c r="N20" s="8"/>
      <c r="O20" s="8"/>
      <c r="P20" s="10" t="str">
        <f>'Зведена відомість'!O25</f>
        <v>Маргарита БРІТІКОВА</v>
      </c>
      <c r="Q20" s="8"/>
      <c r="R20" s="8"/>
      <c r="S20" s="8"/>
      <c r="T20" s="8"/>
      <c r="U20" s="8"/>
      <c r="V20" s="8"/>
      <c r="W20" s="52"/>
      <c r="X20" s="63"/>
    </row>
    <row r="21" spans="1:24" ht="12" customHeight="1" thickBot="1" x14ac:dyDescent="0.3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63"/>
    </row>
    <row r="22" spans="1:24" ht="12" customHeight="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</row>
  </sheetData>
  <sheetProtection formatCells="0" insertColumns="0" insertRows="0" deleteColumns="0" deleteRows="0" sort="0"/>
  <sortState ref="E12:V28">
    <sortCondition descending="1" ref="U12:U28"/>
  </sortState>
  <mergeCells count="18">
    <mergeCell ref="B1:W1"/>
    <mergeCell ref="A2:A21"/>
    <mergeCell ref="B2:W2"/>
    <mergeCell ref="X2:X21"/>
    <mergeCell ref="B3:B20"/>
    <mergeCell ref="C3:V3"/>
    <mergeCell ref="W3:W20"/>
    <mergeCell ref="C4:V4"/>
    <mergeCell ref="C5:V5"/>
    <mergeCell ref="C6:V6"/>
    <mergeCell ref="B21:W21"/>
    <mergeCell ref="B22:W22"/>
    <mergeCell ref="C7:V7"/>
    <mergeCell ref="C8:V8"/>
    <mergeCell ref="C9:C10"/>
    <mergeCell ref="D9:D10"/>
    <mergeCell ref="E9:E10"/>
    <mergeCell ref="F9:V9"/>
  </mergeCells>
  <phoneticPr fontId="11" type="noConversion"/>
  <conditionalFormatting sqref="C12:T12 C13:D16">
    <cfRule type="expression" dxfId="30" priority="12">
      <formula>$W$12&lt;&gt;""</formula>
    </cfRule>
  </conditionalFormatting>
  <conditionalFormatting sqref="E13:T13">
    <cfRule type="expression" dxfId="29" priority="13">
      <formula>$W$13&lt;&gt;""</formula>
    </cfRule>
  </conditionalFormatting>
  <conditionalFormatting sqref="E14:T14">
    <cfRule type="expression" dxfId="28" priority="32">
      <formula>$W$14&lt;&gt;""</formula>
    </cfRule>
  </conditionalFormatting>
  <conditionalFormatting sqref="E15:T15">
    <cfRule type="expression" dxfId="27" priority="33">
      <formula>$W$15&lt;&gt;""</formula>
    </cfRule>
  </conditionalFormatting>
  <conditionalFormatting sqref="E16:T16">
    <cfRule type="expression" dxfId="26" priority="34">
      <formula>$W$16&lt;&gt;""</formula>
    </cfRule>
  </conditionalFormatting>
  <conditionalFormatting sqref="U12:V16">
    <cfRule type="expression" dxfId="25" priority="41">
      <formula>#REF!&lt;&gt;""</formula>
    </cfRule>
  </conditionalFormatting>
  <printOptions horizontalCentered="1"/>
  <pageMargins left="0" right="0" top="0" bottom="0" header="0" footer="0"/>
  <pageSetup paperSize="9" scale="8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відомість</vt:lpstr>
      <vt:lpstr>Рейтингова відомість</vt:lpstr>
      <vt:lpstr>'Зведена відомість'!Область_печати</vt:lpstr>
      <vt:lpstr>'Рейтингова відомість'!Область_печати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2024-12-04T12:45:21Z</cp:lastPrinted>
  <dcterms:created xsi:type="dcterms:W3CDTF">2006-09-28T05:33:49Z</dcterms:created>
  <dcterms:modified xsi:type="dcterms:W3CDTF">2024-12-18T08:57:38Z</dcterms:modified>
</cp:coreProperties>
</file>