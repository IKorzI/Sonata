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ЭтаКнига"/>
  <bookViews>
    <workbookView xWindow="750" yWindow="555" windowWidth="18780" windowHeight="7110"/>
  </bookViews>
  <sheets>
    <sheet name="Зведена відомість" sheetId="5" r:id="rId1"/>
    <sheet name="Рейтингова відомість" sheetId="4" r:id="rId2"/>
  </sheets>
  <definedNames>
    <definedName name="_xlnm._FilterDatabase" localSheetId="1" hidden="1">'Рейтингова відомість'!$A$11:$AA$120</definedName>
    <definedName name="A1048577">#REF!</definedName>
    <definedName name="Ф80">#REF!</definedName>
  </definedNames>
  <calcPr calcId="125725" calcMode="autoNoTable"/>
  <extLst>
    <ext uri="GoogleSheetsCustomDataVersion1">
      <go:sheetsCustomData xmlns:go="http://customooxmlschemas.google.com/" r:id="" roundtripDataSignature="AMtx7miiM0eaUzisk8Ham/7CPYjKT1nPxw=="/>
    </ext>
  </extLst>
</workbook>
</file>

<file path=xl/calcChain.xml><?xml version="1.0" encoding="utf-8"?>
<calcChain xmlns="http://schemas.openxmlformats.org/spreadsheetml/2006/main">
  <c r="D45" i="5"/>
  <c r="T12" i="4" l="1"/>
  <c r="T13"/>
  <c r="T14"/>
  <c r="T15"/>
  <c r="T16"/>
  <c r="T17"/>
  <c r="T18"/>
  <c r="T19"/>
  <c r="T20"/>
  <c r="S12"/>
  <c r="S13"/>
  <c r="S14"/>
  <c r="S15"/>
  <c r="S16"/>
  <c r="S17"/>
  <c r="S18"/>
  <c r="S19"/>
  <c r="S20"/>
  <c r="T11"/>
  <c r="S11"/>
  <c r="D23"/>
  <c r="S12" i="5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11"/>
  <c r="D43"/>
  <c r="D22" i="4" s="1"/>
  <c r="D42" i="5"/>
  <c r="D21" i="4" s="1"/>
  <c r="R39" i="5"/>
  <c r="Q39"/>
  <c r="P39"/>
  <c r="O39"/>
  <c r="N39"/>
  <c r="M39"/>
  <c r="L39"/>
  <c r="K39"/>
  <c r="J39"/>
  <c r="I39"/>
  <c r="H39"/>
  <c r="G39"/>
  <c r="F39"/>
  <c r="E39"/>
  <c r="D39"/>
  <c r="D41" s="1"/>
  <c r="R38"/>
  <c r="Q38"/>
  <c r="P38"/>
  <c r="O38"/>
  <c r="N38"/>
  <c r="M38"/>
  <c r="L38"/>
  <c r="K38"/>
  <c r="J38"/>
  <c r="I38"/>
  <c r="H38"/>
  <c r="G38"/>
  <c r="F38"/>
  <c r="E38"/>
  <c r="D38"/>
  <c r="R37"/>
  <c r="Q37"/>
  <c r="P37"/>
  <c r="O37"/>
  <c r="N37"/>
  <c r="M37"/>
  <c r="L37"/>
  <c r="K37"/>
  <c r="J37"/>
  <c r="I37"/>
  <c r="H37"/>
  <c r="G37"/>
  <c r="F37"/>
  <c r="E37"/>
  <c r="D37"/>
  <c r="S37" s="1"/>
  <c r="D40" l="1"/>
  <c r="A77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A117" i="4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B119" i="5" l="1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A74"/>
  <c r="A75"/>
  <c r="A76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B74"/>
  <c r="B75"/>
  <c r="B76"/>
  <c r="B77"/>
  <c r="A78"/>
  <c r="A79"/>
  <c r="A80"/>
  <c r="A81"/>
  <c r="A82"/>
  <c r="A83"/>
  <c r="A84"/>
  <c r="A85"/>
  <c r="A86"/>
  <c r="A87"/>
  <c r="A88"/>
  <c r="D76" l="1"/>
  <c r="D93"/>
  <c r="D118"/>
  <c r="D99"/>
  <c r="D110"/>
  <c r="D103"/>
  <c r="D94"/>
  <c r="D114"/>
  <c r="D87" l="1"/>
  <c r="D97"/>
  <c r="D106"/>
  <c r="D111"/>
  <c r="D98"/>
  <c r="D108"/>
  <c r="D92"/>
  <c r="D74"/>
  <c r="D109"/>
  <c r="D89"/>
  <c r="D84"/>
  <c r="D85"/>
  <c r="D117"/>
  <c r="D107"/>
  <c r="D82"/>
  <c r="D91"/>
  <c r="D88"/>
  <c r="D100"/>
  <c r="D80"/>
  <c r="D96"/>
  <c r="D102"/>
  <c r="D75"/>
  <c r="D79"/>
  <c r="D86"/>
  <c r="D90"/>
  <c r="D101"/>
  <c r="D115"/>
  <c r="D112"/>
  <c r="D78"/>
  <c r="D95"/>
  <c r="D116"/>
  <c r="D119"/>
  <c r="D77"/>
  <c r="D81"/>
  <c r="D104"/>
  <c r="D105"/>
  <c r="D113"/>
  <c r="D83"/>
</calcChain>
</file>

<file path=xl/sharedStrings.xml><?xml version="1.0" encoding="utf-8"?>
<sst xmlns="http://schemas.openxmlformats.org/spreadsheetml/2006/main" count="156" uniqueCount="71">
  <si>
    <t xml:space="preserve">ЗВЕДЕНА  ВІДОМІСТЬ  </t>
  </si>
  <si>
    <t>Успішності студентів спеціальності 076 "Підприємництво, торгівля та біржова діяльність"</t>
  </si>
  <si>
    <t>Група 21-2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</si>
  <si>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</si>
  <si>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</si>
  <si>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</si>
  <si>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</si>
  <si>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Пруднікова Я.П.</t>
  </si>
  <si>
    <t>Всесвітня історія
Мельничук С.А.</t>
  </si>
  <si>
    <t>Математика
Земляна Т.М.</t>
  </si>
  <si>
    <t>Хімія
Пономарьов К.М.</t>
  </si>
  <si>
    <t>Інформатика
Вівдіч М.І.</t>
  </si>
  <si>
    <t>Українська мова
Брітікова М.В.</t>
  </si>
  <si>
    <t>Зарубіжна література
Пруднікова Я.П.</t>
  </si>
  <si>
    <t>Біологія
Богданенко О.В.</t>
  </si>
  <si>
    <t>Іноземна мова
Чумаченко О.В.</t>
  </si>
  <si>
    <t>Історія України
Левчук Т.Г.</t>
  </si>
  <si>
    <t>Географія
Наговська Т.С.</t>
  </si>
  <si>
    <t>Середній бал</t>
  </si>
  <si>
    <t>Б</t>
  </si>
  <si>
    <t>Андрієвська Вікторія Олегівна</t>
  </si>
  <si>
    <t>К</t>
  </si>
  <si>
    <t>Гадір Кирило Кірім Гулям</t>
  </si>
  <si>
    <t>Горбенко Олександра Олегівна</t>
  </si>
  <si>
    <t>Горячкун Аліна Віталіївна</t>
  </si>
  <si>
    <t>Греку Данило Володимирович</t>
  </si>
  <si>
    <t>Денисевич Ангеліна Сегіївна</t>
  </si>
  <si>
    <t>Дронік Владислава Олексіївна</t>
  </si>
  <si>
    <t>Золотухіна Анастасія Сергіївна</t>
  </si>
  <si>
    <t>Кірічішина Емілія Вадимівна</t>
  </si>
  <si>
    <t>Книжник Павло Юрійович</t>
  </si>
  <si>
    <t>Коршикова Анастасія Денисівна</t>
  </si>
  <si>
    <t>Костов Дмитро Денисович</t>
  </si>
  <si>
    <t xml:space="preserve">Лікар Тетяна Сергіївна </t>
  </si>
  <si>
    <t>Мешков Дмитро Віталійович</t>
  </si>
  <si>
    <t>Паскалова Христина Іванівна</t>
  </si>
  <si>
    <t>Пєрєвєрзєв Олександр Сергійович</t>
  </si>
  <si>
    <t>Пєрєвєрзєва Сніжана Сергіївна</t>
  </si>
  <si>
    <t>Полонець Ілля Андрійович</t>
  </si>
  <si>
    <t>Попова Антоніна Вікторівна</t>
  </si>
  <si>
    <t>Рабоволенко Володимир Вадимов</t>
  </si>
  <si>
    <t>Радильчук Тетяна Олегівна</t>
  </si>
  <si>
    <t>Римар Анастасія Володимирівна</t>
  </si>
  <si>
    <t>Рудаков Ілля Сергійович</t>
  </si>
  <si>
    <t>Соломаха Богдан Григорійович</t>
  </si>
  <si>
    <t>Швець Нікіта Геннадійович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</si>
  <si>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</si>
  <si>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</si>
  <si>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</si>
  <si>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</si>
  <si>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</si>
  <si>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</si>
  <si>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</si>
  <si>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</si>
  <si>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</si>
  <si>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</si>
  <si>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Наталья ДУРБАЛОВА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</si>
  <si>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</si>
  <si>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</si>
  <si>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</si>
  <si>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</si>
  <si>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</si>
  <si>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Астрономія
Калюта Н.М.</t>
  </si>
  <si>
    <t>Фізика
Швець М.В.</t>
  </si>
  <si>
    <t>ЗВ
Черкашин А.Д.</t>
  </si>
  <si>
    <t>Фізична культура
Галеніна І.С.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</si>
  <si>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</si>
  <si>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</si>
  <si>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ІI семестр 2021-2022 н.р.</t>
  </si>
  <si>
    <t>Ганзіцька Поліна Сергіївна</t>
  </si>
  <si>
    <t>н/а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</si>
</sst>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2" fillId="0" borderId="8"/>
    <xf numFmtId="0" fontId="1" fillId="0" borderId="8"/>
    <xf numFmtId="0" fontId="2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  <xf numFmtId="0" fontId="1" fillId="0" borderId="8"/>
  </cellStyleXfs>
  <cellXfs count="55">
    <xf numFmtId="0" fontId="0" fillId="0" borderId="0" xfId="0" applyFont="1" applyAlignment="1"/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13" xfId="1" applyNumberFormat="1" applyFont="1" applyFill="1" applyBorder="1" applyAlignment="1">
      <alignment horizontal="center" vertical="center"/>
    </xf>
    <xf numFmtId="0" fontId="3" fillId="0" borderId="7" xfId="1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3" fillId="0" borderId="8" xfId="1" applyNumberFormat="1" applyFont="1" applyFill="1" applyAlignment="1">
      <alignment horizontal="center" vertical="center"/>
    </xf>
    <xf numFmtId="0" fontId="3" fillId="0" borderId="8" xfId="1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left" vertical="center" wrapText="1"/>
    </xf>
    <xf numFmtId="0" fontId="3" fillId="0" borderId="3" xfId="1" applyNumberFormat="1" applyFont="1" applyFill="1" applyBorder="1" applyAlignment="1">
      <alignment horizontal="left" vertical="center" wrapText="1"/>
    </xf>
    <xf numFmtId="0" fontId="3" fillId="0" borderId="6" xfId="1" applyNumberFormat="1" applyFont="1" applyFill="1" applyBorder="1" applyAlignment="1">
      <alignment horizontal="left" vertical="center" wrapText="1"/>
    </xf>
    <xf numFmtId="164" fontId="3" fillId="3" borderId="3" xfId="1" applyNumberFormat="1" applyFont="1" applyFill="1" applyBorder="1" applyAlignment="1">
      <alignment horizontal="center" vertical="center"/>
    </xf>
    <xf numFmtId="164" fontId="3" fillId="3" borderId="4" xfId="1" applyNumberFormat="1" applyFont="1" applyFill="1" applyBorder="1" applyAlignment="1">
      <alignment horizontal="center" vertical="center"/>
    </xf>
    <xf numFmtId="164" fontId="3" fillId="3" borderId="9" xfId="1" applyNumberFormat="1" applyFont="1" applyFill="1" applyBorder="1" applyAlignment="1">
      <alignment horizontal="center" vertical="center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12" xfId="1" applyNumberFormat="1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2" fontId="3" fillId="3" borderId="13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Alignment="1">
      <alignment horizontal="left" vertical="center"/>
    </xf>
    <xf numFmtId="0" fontId="3" fillId="0" borderId="14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13" xfId="1" applyNumberFormat="1" applyFont="1" applyFill="1" applyBorder="1" applyAlignment="1">
      <alignment horizontal="center" vertical="center"/>
    </xf>
    <xf numFmtId="0" fontId="3" fillId="2" borderId="3" xfId="1" applyNumberFormat="1" applyFont="1" applyFill="1" applyBorder="1" applyAlignment="1">
      <alignment horizontal="center" vertical="center"/>
    </xf>
    <xf numFmtId="2" fontId="3" fillId="2" borderId="14" xfId="2" applyNumberFormat="1" applyFont="1" applyFill="1" applyBorder="1" applyAlignment="1">
      <alignment horizontal="center" vertical="center"/>
    </xf>
    <xf numFmtId="0" fontId="3" fillId="2" borderId="7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left" vertical="center" wrapText="1"/>
    </xf>
    <xf numFmtId="0" fontId="3" fillId="0" borderId="14" xfId="1" applyNumberFormat="1" applyFont="1" applyFill="1" applyBorder="1" applyAlignment="1">
      <alignment horizontal="left" vertical="center" wrapText="1"/>
    </xf>
    <xf numFmtId="0" fontId="6" fillId="0" borderId="8" xfId="1" applyNumberFormat="1" applyFont="1" applyFill="1" applyAlignment="1">
      <alignment horizontal="center" vertical="center"/>
    </xf>
    <xf numFmtId="0" fontId="5" fillId="0" borderId="8" xfId="1" applyNumberFormat="1" applyFont="1" applyFill="1" applyAlignment="1">
      <alignment horizontal="center" vertical="center"/>
    </xf>
    <xf numFmtId="0" fontId="3" fillId="0" borderId="3" xfId="1" applyNumberFormat="1" applyFont="1" applyFill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0" fontId="3" fillId="0" borderId="16" xfId="1" applyNumberFormat="1" applyFont="1" applyFill="1" applyBorder="1" applyAlignment="1">
      <alignment horizontal="center" textRotation="90" wrapText="1"/>
    </xf>
    <xf numFmtId="0" fontId="3" fillId="0" borderId="17" xfId="1" applyNumberFormat="1" applyFont="1" applyFill="1" applyBorder="1" applyAlignment="1">
      <alignment horizontal="center" textRotation="90" wrapText="1"/>
    </xf>
    <xf numFmtId="0" fontId="3" fillId="0" borderId="18" xfId="1" applyNumberFormat="1" applyFont="1" applyFill="1" applyBorder="1" applyAlignment="1">
      <alignment horizontal="center" textRotation="90" wrapText="1"/>
    </xf>
    <xf numFmtId="0" fontId="3" fillId="0" borderId="5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 wrapText="1"/>
    </xf>
    <xf numFmtId="0" fontId="3" fillId="0" borderId="15" xfId="1" applyNumberFormat="1" applyFont="1" applyFill="1" applyBorder="1" applyAlignment="1">
      <alignment horizontal="center" vertical="center"/>
    </xf>
    <xf numFmtId="0" fontId="3" fillId="0" borderId="10" xfId="1" applyNumberFormat="1" applyFont="1" applyFill="1" applyBorder="1" applyAlignment="1">
      <alignment horizontal="center" vertical="center"/>
    </xf>
    <xf numFmtId="0" fontId="3" fillId="0" borderId="11" xfId="1" applyNumberFormat="1" applyFont="1" applyFill="1" applyBorder="1" applyAlignment="1">
      <alignment horizontal="center" vertical="center"/>
    </xf>
    <xf numFmtId="0" fontId="3" fillId="0" borderId="12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 textRotation="90" wrapText="1"/>
    </xf>
    <xf numFmtId="0" fontId="4" fillId="0" borderId="17" xfId="1" applyNumberFormat="1" applyFont="1" applyFill="1" applyBorder="1" applyAlignment="1">
      <alignment horizontal="center" vertical="center" textRotation="90" wrapText="1"/>
    </xf>
    <xf numFmtId="0" fontId="4" fillId="0" borderId="18" xfId="1" applyNumberFormat="1" applyFont="1" applyFill="1" applyBorder="1" applyAlignment="1">
      <alignment horizontal="center" vertical="center" textRotation="90" wrapText="1"/>
    </xf>
    <xf numFmtId="0" fontId="5" fillId="0" borderId="9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6" fillId="0" borderId="8" xfId="1" applyNumberFormat="1" applyFont="1" applyFill="1" applyAlignment="1">
      <alignment horizontal="center" vertical="center"/>
    </xf>
    <xf numFmtId="0" fontId="5" fillId="0" borderId="8" xfId="1" applyNumberFormat="1" applyFont="1" applyFill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 textRotation="90" wrapText="1"/>
    </xf>
    <xf numFmtId="0" fontId="4" fillId="0" borderId="8" xfId="1" applyNumberFormat="1" applyFont="1" applyFill="1" applyBorder="1" applyAlignment="1">
      <alignment horizontal="center" vertical="center" textRotation="90"/>
    </xf>
    <xf numFmtId="0" fontId="4" fillId="0" borderId="9" xfId="1" applyNumberFormat="1" applyFont="1" applyFill="1" applyBorder="1" applyAlignment="1">
      <alignment horizontal="center" vertical="center" textRotation="90"/>
    </xf>
    <xf numFmtId="0" fontId="4" fillId="0" borderId="14" xfId="1" applyNumberFormat="1" applyFont="1" applyFill="1" applyBorder="1" applyAlignment="1">
      <alignment horizontal="center" vertical="center" textRotation="90" wrapText="1"/>
    </xf>
    <xf numFmtId="0" fontId="4" fillId="0" borderId="14" xfId="1" applyNumberFormat="1" applyFont="1" applyFill="1" applyBorder="1" applyAlignment="1">
      <alignment horizontal="center" vertical="center" textRotation="90"/>
    </xf>
    <xf numFmtId="0" fontId="3" fillId="0" borderId="3" xfId="1" applyNumberFormat="1" applyFont="1" applyFill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99"/>
  <sheetViews>
    <sheetView tabSelected="1" topLeftCell="A30" workbookViewId="0">
      <selection activeCell="C45" sqref="C45:D45"/>
    </sheetView>
  </sheetViews>
  <sheetFormatPr defaultColWidth="14.42578125" defaultRowHeight="15" customHeight="1"/>
  <cols>
    <col min="1" max="1" width="4.85546875" style="5" customWidth="1"/>
    <col min="2" max="2" width="6.5703125" style="5" customWidth="1"/>
    <col min="3" max="3" width="40.42578125" style="5" customWidth="1"/>
    <col min="4" max="18" width="6.7109375" style="5" customWidth="1"/>
    <col min="19" max="19" width="11.28515625" style="5" customWidth="1"/>
    <col min="20" max="16384" width="14.42578125" style="5"/>
  </cols>
  <sheetData>
    <row r="1" spans="1:19" s="29" customFormat="1" ht="15" customHeight="1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s="29" customFormat="1" ht="15" customHeight="1">
      <c r="A2" s="46" t="s">
        <v>67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19" s="28" customFormat="1" ht="15" customHeight="1">
      <c r="A3" s="47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s="29" customFormat="1" ht="15" customHeight="1">
      <c r="A4" s="48" t="s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</row>
    <row r="5" spans="1:19" s="29" customFormat="1" ht="15" customHeight="1">
      <c r="A5" s="48" t="s">
        <v>68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 spans="1:19" s="29" customFormat="1" ht="15" customHeight="1">
      <c r="A6" s="45" t="s">
        <v>2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</row>
    <row r="7" spans="1:19" ht="15" customHeight="1">
      <c r="A7" s="35" t="s">
        <v>3</v>
      </c>
      <c r="B7" s="37" t="s">
        <v>4</v>
      </c>
      <c r="C7" s="37" t="s">
        <v>5</v>
      </c>
      <c r="D7" s="39" t="s">
        <v>6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</row>
    <row r="8" spans="1:19" ht="15" customHeight="1">
      <c r="A8" s="36"/>
      <c r="B8" s="36"/>
      <c r="C8" s="38"/>
      <c r="D8" s="32" t="s">
        <v>62</v>
      </c>
      <c r="E8" s="32" t="s">
        <v>14</v>
      </c>
      <c r="F8" s="32" t="s">
        <v>8</v>
      </c>
      <c r="G8" s="32" t="s">
        <v>17</v>
      </c>
      <c r="H8" s="32" t="s">
        <v>13</v>
      </c>
      <c r="I8" s="32" t="s">
        <v>64</v>
      </c>
      <c r="J8" s="32" t="s">
        <v>15</v>
      </c>
      <c r="K8" s="32" t="s">
        <v>11</v>
      </c>
      <c r="L8" s="32" t="s">
        <v>16</v>
      </c>
      <c r="M8" s="32" t="s">
        <v>9</v>
      </c>
      <c r="N8" s="32" t="s">
        <v>7</v>
      </c>
      <c r="O8" s="32" t="s">
        <v>12</v>
      </c>
      <c r="P8" s="32" t="s">
        <v>63</v>
      </c>
      <c r="Q8" s="32" t="s">
        <v>65</v>
      </c>
      <c r="R8" s="32" t="s">
        <v>10</v>
      </c>
      <c r="S8" s="42" t="s">
        <v>18</v>
      </c>
    </row>
    <row r="9" spans="1:19" ht="15" customHeight="1">
      <c r="A9" s="36"/>
      <c r="B9" s="36"/>
      <c r="C9" s="38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43"/>
    </row>
    <row r="10" spans="1:19" ht="99.75" customHeight="1">
      <c r="A10" s="36"/>
      <c r="B10" s="36"/>
      <c r="C10" s="38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4"/>
    </row>
    <row r="11" spans="1:19" ht="15" customHeight="1">
      <c r="A11" s="1" t="s">
        <v>19</v>
      </c>
      <c r="B11" s="1">
        <v>1</v>
      </c>
      <c r="C11" s="7" t="s">
        <v>20</v>
      </c>
      <c r="D11" s="2">
        <v>10</v>
      </c>
      <c r="E11" s="30">
        <v>9</v>
      </c>
      <c r="F11" s="30">
        <v>10</v>
      </c>
      <c r="G11" s="30">
        <v>10</v>
      </c>
      <c r="H11" s="30">
        <v>8</v>
      </c>
      <c r="I11" s="30">
        <v>10</v>
      </c>
      <c r="J11" s="30">
        <v>11</v>
      </c>
      <c r="K11" s="30">
        <v>11</v>
      </c>
      <c r="L11" s="30">
        <v>8</v>
      </c>
      <c r="M11" s="30">
        <v>9</v>
      </c>
      <c r="N11" s="30">
        <v>8</v>
      </c>
      <c r="O11" s="30">
        <v>11</v>
      </c>
      <c r="P11" s="30">
        <v>9</v>
      </c>
      <c r="Q11" s="30">
        <v>10</v>
      </c>
      <c r="R11" s="2">
        <v>10</v>
      </c>
      <c r="S11" s="17">
        <f>IF(COUNTIF(D11:R11,"=*")&gt;0,"-",(AVERAGE(D11:R11)))</f>
        <v>9.6</v>
      </c>
    </row>
    <row r="12" spans="1:19" ht="15" customHeight="1">
      <c r="A12" s="1" t="s">
        <v>21</v>
      </c>
      <c r="B12" s="1">
        <v>2</v>
      </c>
      <c r="C12" s="7" t="s">
        <v>22</v>
      </c>
      <c r="D12" s="3">
        <v>7</v>
      </c>
      <c r="E12" s="4">
        <v>8</v>
      </c>
      <c r="F12" s="4">
        <v>10</v>
      </c>
      <c r="G12" s="4">
        <v>9</v>
      </c>
      <c r="H12" s="4">
        <v>8</v>
      </c>
      <c r="I12" s="4">
        <v>7</v>
      </c>
      <c r="J12" s="4">
        <v>11</v>
      </c>
      <c r="K12" s="4">
        <v>7</v>
      </c>
      <c r="L12" s="4">
        <v>9</v>
      </c>
      <c r="M12" s="4">
        <v>6</v>
      </c>
      <c r="N12" s="4">
        <v>8</v>
      </c>
      <c r="O12" s="4">
        <v>8</v>
      </c>
      <c r="P12" s="4">
        <v>7</v>
      </c>
      <c r="Q12" s="4">
        <v>10</v>
      </c>
      <c r="R12" s="2">
        <v>8</v>
      </c>
      <c r="S12" s="17">
        <f t="shared" ref="S12:S37" si="0">IF(COUNTIF(D12:R12,"=*")&gt;0,"-",(AVERAGE(D12:R12)))</f>
        <v>8.1999999999999993</v>
      </c>
    </row>
    <row r="13" spans="1:19" ht="15" customHeight="1">
      <c r="A13" s="1" t="s">
        <v>21</v>
      </c>
      <c r="B13" s="1">
        <v>3</v>
      </c>
      <c r="C13" s="7" t="s">
        <v>69</v>
      </c>
      <c r="D13" s="3">
        <v>5</v>
      </c>
      <c r="E13" s="4">
        <v>8</v>
      </c>
      <c r="F13" s="4">
        <v>10</v>
      </c>
      <c r="G13" s="4">
        <v>7</v>
      </c>
      <c r="H13" s="4">
        <v>6</v>
      </c>
      <c r="I13" s="4">
        <v>7</v>
      </c>
      <c r="J13" s="4">
        <v>7</v>
      </c>
      <c r="K13" s="4">
        <v>5</v>
      </c>
      <c r="L13" s="4">
        <v>7</v>
      </c>
      <c r="M13" s="4">
        <v>4</v>
      </c>
      <c r="N13" s="4">
        <v>5</v>
      </c>
      <c r="O13" s="4">
        <v>4</v>
      </c>
      <c r="P13" s="4">
        <v>6</v>
      </c>
      <c r="Q13" s="4">
        <v>7</v>
      </c>
      <c r="R13" s="2">
        <v>4</v>
      </c>
      <c r="S13" s="17">
        <f t="shared" si="0"/>
        <v>6.1333333333333337</v>
      </c>
    </row>
    <row r="14" spans="1:19" ht="15" customHeight="1">
      <c r="A14" s="1" t="s">
        <v>21</v>
      </c>
      <c r="B14" s="1">
        <v>4</v>
      </c>
      <c r="C14" s="7" t="s">
        <v>23</v>
      </c>
      <c r="D14" s="3">
        <v>7</v>
      </c>
      <c r="E14" s="4">
        <v>9</v>
      </c>
      <c r="F14" s="4">
        <v>10</v>
      </c>
      <c r="G14" s="4">
        <v>7</v>
      </c>
      <c r="H14" s="4">
        <v>8</v>
      </c>
      <c r="I14" s="4">
        <v>6</v>
      </c>
      <c r="J14" s="4">
        <v>7</v>
      </c>
      <c r="K14" s="4">
        <v>7</v>
      </c>
      <c r="L14" s="4">
        <v>7</v>
      </c>
      <c r="M14" s="4">
        <v>4</v>
      </c>
      <c r="N14" s="4">
        <v>7</v>
      </c>
      <c r="O14" s="4">
        <v>7</v>
      </c>
      <c r="P14" s="4">
        <v>6</v>
      </c>
      <c r="Q14" s="4">
        <v>7</v>
      </c>
      <c r="R14" s="2">
        <v>8</v>
      </c>
      <c r="S14" s="17">
        <f t="shared" si="0"/>
        <v>7.1333333333333337</v>
      </c>
    </row>
    <row r="15" spans="1:19" ht="15" customHeight="1">
      <c r="A15" s="1" t="s">
        <v>19</v>
      </c>
      <c r="B15" s="1">
        <v>5</v>
      </c>
      <c r="C15" s="7" t="s">
        <v>24</v>
      </c>
      <c r="D15" s="3">
        <v>6</v>
      </c>
      <c r="E15" s="4">
        <v>8</v>
      </c>
      <c r="F15" s="4">
        <v>10</v>
      </c>
      <c r="G15" s="4">
        <v>8</v>
      </c>
      <c r="H15" s="4">
        <v>6</v>
      </c>
      <c r="I15" s="4">
        <v>8</v>
      </c>
      <c r="J15" s="4">
        <v>6</v>
      </c>
      <c r="K15" s="4">
        <v>5</v>
      </c>
      <c r="L15" s="4">
        <v>7</v>
      </c>
      <c r="M15" s="4">
        <v>4</v>
      </c>
      <c r="N15" s="4">
        <v>5</v>
      </c>
      <c r="O15" s="4">
        <v>9</v>
      </c>
      <c r="P15" s="4">
        <v>6</v>
      </c>
      <c r="Q15" s="4">
        <v>8</v>
      </c>
      <c r="R15" s="2">
        <v>6</v>
      </c>
      <c r="S15" s="17">
        <f t="shared" si="0"/>
        <v>6.8</v>
      </c>
    </row>
    <row r="16" spans="1:19" ht="15" customHeight="1">
      <c r="A16" s="1" t="s">
        <v>21</v>
      </c>
      <c r="B16" s="1">
        <v>6</v>
      </c>
      <c r="C16" s="7" t="s">
        <v>25</v>
      </c>
      <c r="D16" s="3">
        <v>4</v>
      </c>
      <c r="E16" s="4">
        <v>4</v>
      </c>
      <c r="F16" s="4">
        <v>8</v>
      </c>
      <c r="G16" s="4">
        <v>7</v>
      </c>
      <c r="H16" s="4">
        <v>4</v>
      </c>
      <c r="I16" s="4" t="s">
        <v>70</v>
      </c>
      <c r="J16" s="4">
        <v>5</v>
      </c>
      <c r="K16" s="4">
        <v>4</v>
      </c>
      <c r="L16" s="4">
        <v>4</v>
      </c>
      <c r="M16" s="4">
        <v>4</v>
      </c>
      <c r="N16" s="4">
        <v>4</v>
      </c>
      <c r="O16" s="4">
        <v>5</v>
      </c>
      <c r="P16" s="4">
        <v>4</v>
      </c>
      <c r="Q16" s="4">
        <v>5</v>
      </c>
      <c r="R16" s="2">
        <v>4</v>
      </c>
      <c r="S16" s="17" t="str">
        <f t="shared" si="0"/>
        <v>-</v>
      </c>
    </row>
    <row r="17" spans="1:19" ht="15" customHeight="1">
      <c r="A17" s="1" t="s">
        <v>19</v>
      </c>
      <c r="B17" s="1">
        <v>7</v>
      </c>
      <c r="C17" s="7" t="s">
        <v>26</v>
      </c>
      <c r="D17" s="3">
        <v>3</v>
      </c>
      <c r="E17" s="4">
        <v>9</v>
      </c>
      <c r="F17" s="4">
        <v>10</v>
      </c>
      <c r="G17" s="4">
        <v>6</v>
      </c>
      <c r="H17" s="4">
        <v>7</v>
      </c>
      <c r="I17" s="4">
        <v>7</v>
      </c>
      <c r="J17" s="4">
        <v>4</v>
      </c>
      <c r="K17" s="4">
        <v>7</v>
      </c>
      <c r="L17" s="4">
        <v>7</v>
      </c>
      <c r="M17" s="4">
        <v>4</v>
      </c>
      <c r="N17" s="4">
        <v>7</v>
      </c>
      <c r="O17" s="4">
        <v>8</v>
      </c>
      <c r="P17" s="4">
        <v>6</v>
      </c>
      <c r="Q17" s="4">
        <v>7</v>
      </c>
      <c r="R17" s="2">
        <v>6</v>
      </c>
      <c r="S17" s="17">
        <f t="shared" si="0"/>
        <v>6.5333333333333332</v>
      </c>
    </row>
    <row r="18" spans="1:19" ht="15" customHeight="1">
      <c r="A18" s="1" t="s">
        <v>19</v>
      </c>
      <c r="B18" s="1">
        <v>8</v>
      </c>
      <c r="C18" s="7" t="s">
        <v>27</v>
      </c>
      <c r="D18" s="3">
        <v>6</v>
      </c>
      <c r="E18" s="4">
        <v>8</v>
      </c>
      <c r="F18" s="4">
        <v>9</v>
      </c>
      <c r="G18" s="4">
        <v>8</v>
      </c>
      <c r="H18" s="4">
        <v>8</v>
      </c>
      <c r="I18" s="4">
        <v>8</v>
      </c>
      <c r="J18" s="4">
        <v>9</v>
      </c>
      <c r="K18" s="4">
        <v>10</v>
      </c>
      <c r="L18" s="4">
        <v>8</v>
      </c>
      <c r="M18" s="4">
        <v>6</v>
      </c>
      <c r="N18" s="4">
        <v>8</v>
      </c>
      <c r="O18" s="4">
        <v>10</v>
      </c>
      <c r="P18" s="4">
        <v>8</v>
      </c>
      <c r="Q18" s="4">
        <v>8</v>
      </c>
      <c r="R18" s="2">
        <v>8</v>
      </c>
      <c r="S18" s="17">
        <f t="shared" si="0"/>
        <v>8.1333333333333329</v>
      </c>
    </row>
    <row r="19" spans="1:19" ht="15" customHeight="1">
      <c r="A19" s="1" t="s">
        <v>19</v>
      </c>
      <c r="B19" s="1">
        <v>9</v>
      </c>
      <c r="C19" s="7" t="s">
        <v>28</v>
      </c>
      <c r="D19" s="3">
        <v>2</v>
      </c>
      <c r="E19" s="4">
        <v>7</v>
      </c>
      <c r="F19" s="4">
        <v>10</v>
      </c>
      <c r="G19" s="4">
        <v>8</v>
      </c>
      <c r="H19" s="4">
        <v>6</v>
      </c>
      <c r="I19" s="4" t="s">
        <v>70</v>
      </c>
      <c r="J19" s="4">
        <v>4</v>
      </c>
      <c r="K19" s="4">
        <v>5</v>
      </c>
      <c r="L19" s="4">
        <v>5</v>
      </c>
      <c r="M19" s="4" t="s">
        <v>70</v>
      </c>
      <c r="N19" s="4">
        <v>5</v>
      </c>
      <c r="O19" s="4">
        <v>6</v>
      </c>
      <c r="P19" s="4">
        <v>6</v>
      </c>
      <c r="Q19" s="4">
        <v>7</v>
      </c>
      <c r="R19" s="2">
        <v>5</v>
      </c>
      <c r="S19" s="17" t="str">
        <f t="shared" si="0"/>
        <v>-</v>
      </c>
    </row>
    <row r="20" spans="1:19" ht="15.75" customHeight="1">
      <c r="A20" s="1" t="s">
        <v>19</v>
      </c>
      <c r="B20" s="1">
        <v>10</v>
      </c>
      <c r="C20" s="7" t="s">
        <v>29</v>
      </c>
      <c r="D20" s="3">
        <v>9</v>
      </c>
      <c r="E20" s="4">
        <v>8</v>
      </c>
      <c r="F20" s="4">
        <v>10</v>
      </c>
      <c r="G20" s="4">
        <v>10</v>
      </c>
      <c r="H20" s="4">
        <v>9</v>
      </c>
      <c r="I20" s="4">
        <v>9</v>
      </c>
      <c r="J20" s="4">
        <v>9</v>
      </c>
      <c r="K20" s="4">
        <v>10</v>
      </c>
      <c r="L20" s="4">
        <v>9</v>
      </c>
      <c r="M20" s="4">
        <v>8</v>
      </c>
      <c r="N20" s="4">
        <v>8</v>
      </c>
      <c r="O20" s="4">
        <v>9</v>
      </c>
      <c r="P20" s="4">
        <v>8</v>
      </c>
      <c r="Q20" s="4">
        <v>7</v>
      </c>
      <c r="R20" s="2">
        <v>9</v>
      </c>
      <c r="S20" s="17">
        <f t="shared" si="0"/>
        <v>8.8000000000000007</v>
      </c>
    </row>
    <row r="21" spans="1:19" ht="15.75" customHeight="1">
      <c r="A21" s="1" t="s">
        <v>21</v>
      </c>
      <c r="B21" s="1">
        <v>11</v>
      </c>
      <c r="C21" s="7" t="s">
        <v>30</v>
      </c>
      <c r="D21" s="3">
        <v>4</v>
      </c>
      <c r="E21" s="4">
        <v>7</v>
      </c>
      <c r="F21" s="4">
        <v>10</v>
      </c>
      <c r="G21" s="4">
        <v>8</v>
      </c>
      <c r="H21" s="4">
        <v>6</v>
      </c>
      <c r="I21" s="4">
        <v>5</v>
      </c>
      <c r="J21" s="4">
        <v>6</v>
      </c>
      <c r="K21" s="4">
        <v>6</v>
      </c>
      <c r="L21" s="4">
        <v>6</v>
      </c>
      <c r="M21" s="4">
        <v>4</v>
      </c>
      <c r="N21" s="4">
        <v>5</v>
      </c>
      <c r="O21" s="4">
        <v>5</v>
      </c>
      <c r="P21" s="4">
        <v>7</v>
      </c>
      <c r="Q21" s="4">
        <v>6</v>
      </c>
      <c r="R21" s="2">
        <v>4</v>
      </c>
      <c r="S21" s="17">
        <f t="shared" si="0"/>
        <v>5.9333333333333336</v>
      </c>
    </row>
    <row r="22" spans="1:19" ht="15.75" customHeight="1">
      <c r="A22" s="1" t="s">
        <v>21</v>
      </c>
      <c r="B22" s="1">
        <v>12</v>
      </c>
      <c r="C22" s="7" t="s">
        <v>31</v>
      </c>
      <c r="D22" s="3">
        <v>7</v>
      </c>
      <c r="E22" s="4">
        <v>9</v>
      </c>
      <c r="F22" s="4">
        <v>10</v>
      </c>
      <c r="G22" s="4">
        <v>10</v>
      </c>
      <c r="H22" s="4">
        <v>9</v>
      </c>
      <c r="I22" s="4">
        <v>9</v>
      </c>
      <c r="J22" s="4">
        <v>6</v>
      </c>
      <c r="K22" s="4">
        <v>9</v>
      </c>
      <c r="L22" s="4">
        <v>8</v>
      </c>
      <c r="M22" s="4">
        <v>7</v>
      </c>
      <c r="N22" s="4">
        <v>8</v>
      </c>
      <c r="O22" s="4">
        <v>9</v>
      </c>
      <c r="P22" s="4">
        <v>7</v>
      </c>
      <c r="Q22" s="4">
        <v>8</v>
      </c>
      <c r="R22" s="2">
        <v>8</v>
      </c>
      <c r="S22" s="17">
        <f t="shared" si="0"/>
        <v>8.2666666666666675</v>
      </c>
    </row>
    <row r="23" spans="1:19" ht="15.75" customHeight="1">
      <c r="A23" s="1" t="s">
        <v>19</v>
      </c>
      <c r="B23" s="1">
        <v>13</v>
      </c>
      <c r="C23" s="7" t="s">
        <v>32</v>
      </c>
      <c r="D23" s="3">
        <v>4</v>
      </c>
      <c r="E23" s="4">
        <v>4</v>
      </c>
      <c r="F23" s="4">
        <v>10</v>
      </c>
      <c r="G23" s="4">
        <v>8</v>
      </c>
      <c r="H23" s="4">
        <v>5</v>
      </c>
      <c r="I23" s="4">
        <v>6</v>
      </c>
      <c r="J23" s="4">
        <v>7</v>
      </c>
      <c r="K23" s="4">
        <v>5</v>
      </c>
      <c r="L23" s="4">
        <v>6</v>
      </c>
      <c r="M23" s="4">
        <v>4</v>
      </c>
      <c r="N23" s="4">
        <v>5</v>
      </c>
      <c r="O23" s="4">
        <v>5</v>
      </c>
      <c r="P23" s="4">
        <v>5</v>
      </c>
      <c r="Q23" s="4">
        <v>6</v>
      </c>
      <c r="R23" s="2">
        <v>4</v>
      </c>
      <c r="S23" s="17">
        <f t="shared" si="0"/>
        <v>5.6</v>
      </c>
    </row>
    <row r="24" spans="1:19" ht="15.75" customHeight="1">
      <c r="A24" s="1" t="s">
        <v>21</v>
      </c>
      <c r="B24" s="1">
        <v>14</v>
      </c>
      <c r="C24" s="7" t="s">
        <v>33</v>
      </c>
      <c r="D24" s="3">
        <v>10</v>
      </c>
      <c r="E24" s="4">
        <v>10</v>
      </c>
      <c r="F24" s="4">
        <v>10</v>
      </c>
      <c r="G24" s="4">
        <v>10</v>
      </c>
      <c r="H24" s="4">
        <v>9</v>
      </c>
      <c r="I24" s="4">
        <v>10</v>
      </c>
      <c r="J24" s="4">
        <v>8</v>
      </c>
      <c r="K24" s="4">
        <v>10</v>
      </c>
      <c r="L24" s="4">
        <v>9</v>
      </c>
      <c r="M24" s="4">
        <v>9</v>
      </c>
      <c r="N24" s="4">
        <v>9</v>
      </c>
      <c r="O24" s="4">
        <v>9</v>
      </c>
      <c r="P24" s="4">
        <v>10</v>
      </c>
      <c r="Q24" s="4">
        <v>11</v>
      </c>
      <c r="R24" s="2">
        <v>9</v>
      </c>
      <c r="S24" s="17">
        <f t="shared" si="0"/>
        <v>9.5333333333333332</v>
      </c>
    </row>
    <row r="25" spans="1:19" ht="15.75" customHeight="1">
      <c r="A25" s="1" t="s">
        <v>21</v>
      </c>
      <c r="B25" s="1">
        <v>15</v>
      </c>
      <c r="C25" s="7" t="s">
        <v>34</v>
      </c>
      <c r="D25" s="3" t="s">
        <v>70</v>
      </c>
      <c r="E25" s="4">
        <v>4</v>
      </c>
      <c r="F25" s="4">
        <v>7</v>
      </c>
      <c r="G25" s="4">
        <v>7</v>
      </c>
      <c r="H25" s="4">
        <v>4</v>
      </c>
      <c r="I25" s="4" t="s">
        <v>70</v>
      </c>
      <c r="J25" s="4">
        <v>6</v>
      </c>
      <c r="K25" s="4">
        <v>4</v>
      </c>
      <c r="L25" s="4">
        <v>5</v>
      </c>
      <c r="M25" s="4">
        <v>4</v>
      </c>
      <c r="N25" s="4">
        <v>4</v>
      </c>
      <c r="O25" s="4">
        <v>6</v>
      </c>
      <c r="P25" s="4">
        <v>4</v>
      </c>
      <c r="Q25" s="4">
        <v>5</v>
      </c>
      <c r="R25" s="2">
        <v>5</v>
      </c>
      <c r="S25" s="17" t="str">
        <f t="shared" si="0"/>
        <v>-</v>
      </c>
    </row>
    <row r="26" spans="1:19" ht="15.75" customHeight="1">
      <c r="A26" s="1" t="s">
        <v>19</v>
      </c>
      <c r="B26" s="1">
        <v>16</v>
      </c>
      <c r="C26" s="7" t="s">
        <v>35</v>
      </c>
      <c r="D26" s="3">
        <v>11</v>
      </c>
      <c r="E26" s="4">
        <v>10</v>
      </c>
      <c r="F26" s="4">
        <v>10</v>
      </c>
      <c r="G26" s="4">
        <v>10</v>
      </c>
      <c r="H26" s="4">
        <v>11</v>
      </c>
      <c r="I26" s="4">
        <v>9</v>
      </c>
      <c r="J26" s="4">
        <v>11</v>
      </c>
      <c r="K26" s="4">
        <v>11</v>
      </c>
      <c r="L26" s="4">
        <v>9</v>
      </c>
      <c r="M26" s="4">
        <v>9</v>
      </c>
      <c r="N26" s="4">
        <v>11</v>
      </c>
      <c r="O26" s="4">
        <v>11</v>
      </c>
      <c r="P26" s="4">
        <v>10</v>
      </c>
      <c r="Q26" s="4">
        <v>11</v>
      </c>
      <c r="R26" s="2">
        <v>9</v>
      </c>
      <c r="S26" s="17">
        <f t="shared" si="0"/>
        <v>10.199999999999999</v>
      </c>
    </row>
    <row r="27" spans="1:19" ht="15.75" customHeight="1">
      <c r="A27" s="1" t="s">
        <v>19</v>
      </c>
      <c r="B27" s="1">
        <v>17</v>
      </c>
      <c r="C27" s="7" t="s">
        <v>36</v>
      </c>
      <c r="D27" s="3">
        <v>5</v>
      </c>
      <c r="E27" s="4">
        <v>8</v>
      </c>
      <c r="F27" s="4">
        <v>10</v>
      </c>
      <c r="G27" s="4">
        <v>8</v>
      </c>
      <c r="H27" s="4">
        <v>6</v>
      </c>
      <c r="I27" s="4">
        <v>7</v>
      </c>
      <c r="J27" s="4">
        <v>7</v>
      </c>
      <c r="K27" s="4">
        <v>6</v>
      </c>
      <c r="L27" s="4">
        <v>5</v>
      </c>
      <c r="M27" s="4">
        <v>4</v>
      </c>
      <c r="N27" s="4">
        <v>6</v>
      </c>
      <c r="O27" s="4">
        <v>5</v>
      </c>
      <c r="P27" s="4">
        <v>6</v>
      </c>
      <c r="Q27" s="4">
        <v>7</v>
      </c>
      <c r="R27" s="2">
        <v>4</v>
      </c>
      <c r="S27" s="17">
        <f t="shared" si="0"/>
        <v>6.2666666666666666</v>
      </c>
    </row>
    <row r="28" spans="1:19" ht="15.75" customHeight="1">
      <c r="A28" s="1" t="s">
        <v>19</v>
      </c>
      <c r="B28" s="1">
        <v>18</v>
      </c>
      <c r="C28" s="7" t="s">
        <v>37</v>
      </c>
      <c r="D28" s="3">
        <v>8</v>
      </c>
      <c r="E28" s="4">
        <v>8</v>
      </c>
      <c r="F28" s="4">
        <v>9</v>
      </c>
      <c r="G28" s="4">
        <v>9</v>
      </c>
      <c r="H28" s="4">
        <v>6</v>
      </c>
      <c r="I28" s="4">
        <v>7</v>
      </c>
      <c r="J28" s="4">
        <v>7</v>
      </c>
      <c r="K28" s="4">
        <v>6</v>
      </c>
      <c r="L28" s="4">
        <v>6</v>
      </c>
      <c r="M28" s="4">
        <v>4</v>
      </c>
      <c r="N28" s="4">
        <v>6</v>
      </c>
      <c r="O28" s="4">
        <v>7</v>
      </c>
      <c r="P28" s="4">
        <v>6</v>
      </c>
      <c r="Q28" s="4">
        <v>8</v>
      </c>
      <c r="R28" s="2">
        <v>4</v>
      </c>
      <c r="S28" s="17">
        <f t="shared" si="0"/>
        <v>6.7333333333333334</v>
      </c>
    </row>
    <row r="29" spans="1:19" ht="15.75" customHeight="1">
      <c r="A29" s="1" t="s">
        <v>21</v>
      </c>
      <c r="B29" s="1">
        <v>19</v>
      </c>
      <c r="C29" s="7" t="s">
        <v>38</v>
      </c>
      <c r="D29" s="3">
        <v>4</v>
      </c>
      <c r="E29" s="4">
        <v>7</v>
      </c>
      <c r="F29" s="4">
        <v>7</v>
      </c>
      <c r="G29" s="4">
        <v>5</v>
      </c>
      <c r="H29" s="4">
        <v>6</v>
      </c>
      <c r="I29" s="4" t="s">
        <v>70</v>
      </c>
      <c r="J29" s="4">
        <v>6</v>
      </c>
      <c r="K29" s="4">
        <v>6</v>
      </c>
      <c r="L29" s="4">
        <v>5</v>
      </c>
      <c r="M29" s="4" t="s">
        <v>70</v>
      </c>
      <c r="N29" s="4">
        <v>5</v>
      </c>
      <c r="O29" s="4">
        <v>4</v>
      </c>
      <c r="P29" s="4">
        <v>5</v>
      </c>
      <c r="Q29" s="4">
        <v>4</v>
      </c>
      <c r="R29" s="2">
        <v>7</v>
      </c>
      <c r="S29" s="17" t="str">
        <f t="shared" si="0"/>
        <v>-</v>
      </c>
    </row>
    <row r="30" spans="1:19" ht="15.75" customHeight="1">
      <c r="A30" s="1" t="s">
        <v>19</v>
      </c>
      <c r="B30" s="1">
        <v>20</v>
      </c>
      <c r="C30" s="7" t="s">
        <v>39</v>
      </c>
      <c r="D30" s="3">
        <v>9</v>
      </c>
      <c r="E30" s="4">
        <v>9</v>
      </c>
      <c r="F30" s="4">
        <v>10</v>
      </c>
      <c r="G30" s="4">
        <v>10</v>
      </c>
      <c r="H30" s="4">
        <v>10</v>
      </c>
      <c r="I30" s="4">
        <v>8</v>
      </c>
      <c r="J30" s="4">
        <v>11</v>
      </c>
      <c r="K30" s="4">
        <v>11</v>
      </c>
      <c r="L30" s="4">
        <v>9</v>
      </c>
      <c r="M30" s="4">
        <v>7</v>
      </c>
      <c r="N30" s="4">
        <v>11</v>
      </c>
      <c r="O30" s="4">
        <v>10</v>
      </c>
      <c r="P30" s="4">
        <v>10</v>
      </c>
      <c r="Q30" s="4">
        <v>9</v>
      </c>
      <c r="R30" s="2">
        <v>8</v>
      </c>
      <c r="S30" s="17">
        <f t="shared" si="0"/>
        <v>9.4666666666666668</v>
      </c>
    </row>
    <row r="31" spans="1:19" ht="15.75" customHeight="1">
      <c r="A31" s="1" t="s">
        <v>19</v>
      </c>
      <c r="B31" s="1">
        <v>21</v>
      </c>
      <c r="C31" s="7" t="s">
        <v>40</v>
      </c>
      <c r="D31" s="3">
        <v>2</v>
      </c>
      <c r="E31" s="4">
        <v>4</v>
      </c>
      <c r="F31" s="4">
        <v>8</v>
      </c>
      <c r="G31" s="4">
        <v>7</v>
      </c>
      <c r="H31" s="4">
        <v>5</v>
      </c>
      <c r="I31" s="4" t="s">
        <v>70</v>
      </c>
      <c r="J31" s="4">
        <v>6</v>
      </c>
      <c r="K31" s="4">
        <v>5</v>
      </c>
      <c r="L31" s="4">
        <v>7</v>
      </c>
      <c r="M31" s="4">
        <v>4</v>
      </c>
      <c r="N31" s="4">
        <v>5</v>
      </c>
      <c r="O31" s="4">
        <v>5</v>
      </c>
      <c r="P31" s="4">
        <v>5</v>
      </c>
      <c r="Q31" s="4">
        <v>9</v>
      </c>
      <c r="R31" s="2">
        <v>7</v>
      </c>
      <c r="S31" s="17" t="str">
        <f t="shared" si="0"/>
        <v>-</v>
      </c>
    </row>
    <row r="32" spans="1:19" ht="15.75" customHeight="1">
      <c r="A32" s="1" t="s">
        <v>19</v>
      </c>
      <c r="B32" s="1">
        <v>22</v>
      </c>
      <c r="C32" s="7" t="s">
        <v>41</v>
      </c>
      <c r="D32" s="3">
        <v>10</v>
      </c>
      <c r="E32" s="4">
        <v>10</v>
      </c>
      <c r="F32" s="4">
        <v>10</v>
      </c>
      <c r="G32" s="4">
        <v>10</v>
      </c>
      <c r="H32" s="4">
        <v>10</v>
      </c>
      <c r="I32" s="4">
        <v>9</v>
      </c>
      <c r="J32" s="4">
        <v>9</v>
      </c>
      <c r="K32" s="4">
        <v>10</v>
      </c>
      <c r="L32" s="4">
        <v>9</v>
      </c>
      <c r="M32" s="4">
        <v>9</v>
      </c>
      <c r="N32" s="4">
        <v>11</v>
      </c>
      <c r="O32" s="4">
        <v>10</v>
      </c>
      <c r="P32" s="4">
        <v>10</v>
      </c>
      <c r="Q32" s="4">
        <v>10</v>
      </c>
      <c r="R32" s="2">
        <v>9</v>
      </c>
      <c r="S32" s="17">
        <f t="shared" si="0"/>
        <v>9.7333333333333325</v>
      </c>
    </row>
    <row r="33" spans="1:22" ht="15.75" customHeight="1">
      <c r="A33" s="1" t="s">
        <v>21</v>
      </c>
      <c r="B33" s="1">
        <v>23</v>
      </c>
      <c r="C33" s="7" t="s">
        <v>42</v>
      </c>
      <c r="D33" s="3">
        <v>9</v>
      </c>
      <c r="E33" s="4">
        <v>9</v>
      </c>
      <c r="F33" s="4">
        <v>10</v>
      </c>
      <c r="G33" s="4">
        <v>10</v>
      </c>
      <c r="H33" s="4">
        <v>8</v>
      </c>
      <c r="I33" s="4">
        <v>9</v>
      </c>
      <c r="J33" s="4">
        <v>9</v>
      </c>
      <c r="K33" s="4">
        <v>10</v>
      </c>
      <c r="L33" s="4">
        <v>8</v>
      </c>
      <c r="M33" s="4">
        <v>8</v>
      </c>
      <c r="N33" s="4">
        <v>8</v>
      </c>
      <c r="O33" s="4">
        <v>10</v>
      </c>
      <c r="P33" s="4">
        <v>9</v>
      </c>
      <c r="Q33" s="4">
        <v>7</v>
      </c>
      <c r="R33" s="2">
        <v>8</v>
      </c>
      <c r="S33" s="17">
        <f t="shared" si="0"/>
        <v>8.8000000000000007</v>
      </c>
    </row>
    <row r="34" spans="1:22" ht="15.75" customHeight="1">
      <c r="A34" s="1" t="s">
        <v>21</v>
      </c>
      <c r="B34" s="1">
        <v>24</v>
      </c>
      <c r="C34" s="7" t="s">
        <v>43</v>
      </c>
      <c r="D34" s="3">
        <v>6</v>
      </c>
      <c r="E34" s="4">
        <v>8</v>
      </c>
      <c r="F34" s="4">
        <v>8</v>
      </c>
      <c r="G34" s="4">
        <v>8</v>
      </c>
      <c r="H34" s="4">
        <v>6</v>
      </c>
      <c r="I34" s="4">
        <v>7</v>
      </c>
      <c r="J34" s="4">
        <v>7</v>
      </c>
      <c r="K34" s="4">
        <v>7</v>
      </c>
      <c r="L34" s="4">
        <v>6</v>
      </c>
      <c r="M34" s="4">
        <v>4</v>
      </c>
      <c r="N34" s="4">
        <v>6</v>
      </c>
      <c r="O34" s="4">
        <v>8</v>
      </c>
      <c r="P34" s="4">
        <v>6</v>
      </c>
      <c r="Q34" s="4">
        <v>11</v>
      </c>
      <c r="R34" s="2">
        <v>6</v>
      </c>
      <c r="S34" s="17">
        <f t="shared" si="0"/>
        <v>6.9333333333333336</v>
      </c>
    </row>
    <row r="35" spans="1:22" ht="15.75" customHeight="1">
      <c r="A35" s="1" t="s">
        <v>21</v>
      </c>
      <c r="B35" s="1">
        <v>25</v>
      </c>
      <c r="C35" s="7" t="s">
        <v>44</v>
      </c>
      <c r="D35" s="3">
        <v>4</v>
      </c>
      <c r="E35" s="4">
        <v>4</v>
      </c>
      <c r="F35" s="4">
        <v>10</v>
      </c>
      <c r="G35" s="4">
        <v>5</v>
      </c>
      <c r="H35" s="4">
        <v>4</v>
      </c>
      <c r="I35" s="4" t="s">
        <v>70</v>
      </c>
      <c r="J35" s="4">
        <v>6</v>
      </c>
      <c r="K35" s="4">
        <v>4</v>
      </c>
      <c r="L35" s="4">
        <v>4</v>
      </c>
      <c r="M35" s="4">
        <v>4</v>
      </c>
      <c r="N35" s="4">
        <v>4</v>
      </c>
      <c r="O35" s="4">
        <v>5</v>
      </c>
      <c r="P35" s="4">
        <v>6</v>
      </c>
      <c r="Q35" s="4">
        <v>4</v>
      </c>
      <c r="R35" s="2">
        <v>3</v>
      </c>
      <c r="S35" s="17" t="str">
        <f t="shared" si="0"/>
        <v>-</v>
      </c>
    </row>
    <row r="36" spans="1:22" ht="15.75" customHeight="1">
      <c r="A36" s="1" t="s">
        <v>19</v>
      </c>
      <c r="B36" s="1">
        <v>26</v>
      </c>
      <c r="C36" s="7" t="s">
        <v>45</v>
      </c>
      <c r="D36" s="3">
        <v>5</v>
      </c>
      <c r="E36" s="4">
        <v>5</v>
      </c>
      <c r="F36" s="4">
        <v>10</v>
      </c>
      <c r="G36" s="4">
        <v>7</v>
      </c>
      <c r="H36" s="4">
        <v>4</v>
      </c>
      <c r="I36" s="4" t="s">
        <v>70</v>
      </c>
      <c r="J36" s="4">
        <v>4</v>
      </c>
      <c r="K36" s="4">
        <v>4</v>
      </c>
      <c r="L36" s="4">
        <v>6</v>
      </c>
      <c r="M36" s="4">
        <v>4</v>
      </c>
      <c r="N36" s="4">
        <v>4</v>
      </c>
      <c r="O36" s="4">
        <v>6</v>
      </c>
      <c r="P36" s="4">
        <v>7</v>
      </c>
      <c r="Q36" s="4">
        <v>5</v>
      </c>
      <c r="R36" s="2">
        <v>7</v>
      </c>
      <c r="S36" s="17" t="str">
        <f t="shared" si="0"/>
        <v>-</v>
      </c>
    </row>
    <row r="37" spans="1:22" ht="15.75" customHeight="1">
      <c r="C37" s="8" t="s">
        <v>46</v>
      </c>
      <c r="D37" s="10">
        <f>SUM(D11:D36)/B36</f>
        <v>6.0384615384615383</v>
      </c>
      <c r="E37" s="10">
        <f>SUM(E11:E36)/B36</f>
        <v>7.4615384615384617</v>
      </c>
      <c r="F37" s="10">
        <f>SUM(F11:F36)/B36</f>
        <v>9.4615384615384617</v>
      </c>
      <c r="G37" s="10">
        <f>SUM(G11:G36)/B36</f>
        <v>8.1538461538461533</v>
      </c>
      <c r="H37" s="10">
        <f>SUM(H11:H36)/B36</f>
        <v>6.884615384615385</v>
      </c>
      <c r="I37" s="10">
        <f>SUM(I11:I36)/B36</f>
        <v>5.6923076923076925</v>
      </c>
      <c r="J37" s="10">
        <f>SUM(J11:J36)/B36</f>
        <v>7.2692307692307692</v>
      </c>
      <c r="K37" s="10">
        <f>SUM(K11:K36)/B36</f>
        <v>7.115384615384615</v>
      </c>
      <c r="L37" s="10">
        <f>SUM(L11:L36)/B36</f>
        <v>6.884615384615385</v>
      </c>
      <c r="M37" s="11">
        <f>SUM(M11:M36)/B36</f>
        <v>5.1538461538461542</v>
      </c>
      <c r="N37" s="11">
        <f>SUM(N11:N36)/B36</f>
        <v>6.6538461538461542</v>
      </c>
      <c r="O37" s="10">
        <f>SUM(O11:O36)/B36</f>
        <v>7.384615384615385</v>
      </c>
      <c r="P37" s="12">
        <f>SUM(P11:P36)/B36</f>
        <v>6.884615384615385</v>
      </c>
      <c r="Q37" s="10">
        <f>SUM(Q11:Q36)/B36</f>
        <v>7.5769230769230766</v>
      </c>
      <c r="R37" s="10">
        <f>SUM(R11:R36)/B36</f>
        <v>6.5384615384615383</v>
      </c>
      <c r="S37" s="17">
        <f t="shared" si="0"/>
        <v>7.0102564102564111</v>
      </c>
    </row>
    <row r="38" spans="1:22" ht="15.75" customHeight="1">
      <c r="C38" s="7" t="s">
        <v>47</v>
      </c>
      <c r="D38" s="13">
        <f>(COUNT(D11:D36))/B36*100</f>
        <v>96.15384615384616</v>
      </c>
      <c r="E38" s="13">
        <f>(COUNT(E11:E36))/B36*100</f>
        <v>100</v>
      </c>
      <c r="F38" s="13">
        <f>(COUNT(F11:F36))/B36*100</f>
        <v>100</v>
      </c>
      <c r="G38" s="13">
        <f>(COUNT(G11:G36))/B36*100</f>
        <v>100</v>
      </c>
      <c r="H38" s="13">
        <f>(COUNT(H11:H36))/B36*100</f>
        <v>100</v>
      </c>
      <c r="I38" s="13">
        <f>(COUNT(I11:I36))/B36*100</f>
        <v>73.076923076923066</v>
      </c>
      <c r="J38" s="13">
        <f>(COUNT(J11:J36))/B36*100</f>
        <v>100</v>
      </c>
      <c r="K38" s="13">
        <f>(COUNT(K11:K36))/B36*100</f>
        <v>100</v>
      </c>
      <c r="L38" s="13">
        <f>(COUNT(L11:L36))/B36*100</f>
        <v>100</v>
      </c>
      <c r="M38" s="13">
        <f>(COUNT(M11:M36))/B36*100</f>
        <v>92.307692307692307</v>
      </c>
      <c r="N38" s="13">
        <f>(COUNT(N11:N36))/B36*100</f>
        <v>100</v>
      </c>
      <c r="O38" s="13">
        <f>(COUNT(O11:O36))/B36*100</f>
        <v>100</v>
      </c>
      <c r="P38" s="13">
        <f>(COUNT(P11:P36))/B36*100</f>
        <v>100</v>
      </c>
      <c r="Q38" s="13">
        <f>(COUNT(Q11:Q36))/B36*100</f>
        <v>100</v>
      </c>
      <c r="R38" s="14">
        <f>(COUNT(R11:R36))/B36*100</f>
        <v>100</v>
      </c>
      <c r="S38" s="6"/>
      <c r="T38" s="6"/>
      <c r="U38" s="6"/>
      <c r="V38" s="6"/>
    </row>
    <row r="39" spans="1:22" ht="15.75" customHeight="1">
      <c r="C39" s="9" t="s">
        <v>48</v>
      </c>
      <c r="D39" s="15">
        <f>(COUNTIF(D11:D36,"&gt;=7"))/B36*100</f>
        <v>42.307692307692307</v>
      </c>
      <c r="E39" s="15">
        <f>(COUNTIF(E11:E36,"&gt;=7"))/B36*100</f>
        <v>76.923076923076934</v>
      </c>
      <c r="F39" s="15">
        <f>(COUNTIF(F11:F36,"&gt;=7"))/B36*100</f>
        <v>100</v>
      </c>
      <c r="G39" s="15">
        <f>(COUNTIF(G11:G36,"&gt;=7"))/B36*100</f>
        <v>88.461538461538453</v>
      </c>
      <c r="H39" s="15">
        <f>(COUNTIF(H11:H36,"&gt;=7"))/B36*100</f>
        <v>46.153846153846153</v>
      </c>
      <c r="I39" s="15">
        <f>(COUNTIF(I11:I36,"&gt;=7"))/B36*100</f>
        <v>61.53846153846154</v>
      </c>
      <c r="J39" s="15">
        <f>(COUNTIF(J11:J36,"&gt;=7"))/B36*100</f>
        <v>57.692307692307686</v>
      </c>
      <c r="K39" s="15">
        <f>(COUNTIF(K11:K36,"&gt;=7"))/B36*100</f>
        <v>50</v>
      </c>
      <c r="L39" s="15">
        <f>(COUNTIF(L11:L36,"&gt;=7"))/B36*100</f>
        <v>57.692307692307686</v>
      </c>
      <c r="M39" s="15">
        <f>(COUNTIF(M11:M36,"&gt;=7"))/B36*100</f>
        <v>30.76923076923077</v>
      </c>
      <c r="N39" s="15">
        <f>(COUNTIF(N11:N36,"&gt;=7"))/B36*100</f>
        <v>46.153846153846153</v>
      </c>
      <c r="O39" s="15">
        <f>(COUNTIF(O11:O36,"&gt;=7"))/B36*100</f>
        <v>57.692307692307686</v>
      </c>
      <c r="P39" s="15">
        <f>(COUNTIF(P11:P36,"&gt;=7"))/B36*100</f>
        <v>46.153846153846153</v>
      </c>
      <c r="Q39" s="15">
        <f>(COUNTIF(Q11:Q36,"&gt;=7"))/B36*100</f>
        <v>73.076923076923066</v>
      </c>
      <c r="R39" s="16">
        <f>(COUNTIF(R11:R36,"&gt;=7"))/B36*100</f>
        <v>53.846153846153847</v>
      </c>
      <c r="S39" s="6"/>
      <c r="T39" s="6"/>
      <c r="U39" s="6"/>
      <c r="V39" s="6"/>
    </row>
    <row r="40" spans="1:22" ht="15.75" customHeight="1">
      <c r="C40" s="9" t="s">
        <v>49</v>
      </c>
      <c r="D40" s="10">
        <f>AVERAGE(D38:R38)</f>
        <v>97.435897435897431</v>
      </c>
      <c r="S40" s="6"/>
      <c r="T40" s="6"/>
      <c r="U40" s="6"/>
      <c r="V40" s="6"/>
    </row>
    <row r="41" spans="1:22" ht="15.75" customHeight="1">
      <c r="C41" s="9" t="s">
        <v>50</v>
      </c>
      <c r="D41" s="10">
        <f>AVERAGE(D39:R39)</f>
        <v>59.230769230769241</v>
      </c>
      <c r="S41" s="6"/>
      <c r="T41" s="6"/>
      <c r="U41" s="6"/>
      <c r="V41" s="6"/>
    </row>
    <row r="42" spans="1:22" ht="15.75" customHeight="1">
      <c r="C42" s="9" t="s">
        <v>51</v>
      </c>
      <c r="D42" s="30">
        <f>COUNTIF(A11:A36,"=Б")</f>
        <v>14</v>
      </c>
      <c r="S42" s="6"/>
      <c r="T42" s="6"/>
      <c r="U42" s="6"/>
      <c r="V42" s="6"/>
    </row>
    <row r="43" spans="1:22" ht="15.75" customHeight="1">
      <c r="C43" s="9" t="s">
        <v>52</v>
      </c>
      <c r="D43" s="30">
        <f>COUNTIF(A11:A36,"=К")</f>
        <v>12</v>
      </c>
      <c r="G43" s="18" t="s">
        <v>55</v>
      </c>
      <c r="N43" s="18" t="s">
        <v>56</v>
      </c>
    </row>
    <row r="44" spans="1:22" ht="15.75" customHeight="1">
      <c r="C44" s="9" t="s">
        <v>53</v>
      </c>
      <c r="D44" s="30">
        <v>2</v>
      </c>
    </row>
    <row r="45" spans="1:22" ht="15.75" customHeight="1">
      <c r="C45" s="9" t="s">
        <v>54</v>
      </c>
      <c r="D45" s="30">
        <f>'Рейтингова відомість'!D24</f>
        <v>5</v>
      </c>
      <c r="G45" s="18" t="s">
        <v>57</v>
      </c>
      <c r="N45" s="18" t="s">
        <v>58</v>
      </c>
    </row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>
      <c r="A74" s="5">
        <f>D42</f>
        <v>14</v>
      </c>
      <c r="B74" s="5">
        <f>D43</f>
        <v>12</v>
      </c>
      <c r="C74" s="5">
        <f>D44</f>
        <v>2</v>
      </c>
      <c r="D74" s="5">
        <f>D45</f>
        <v>5</v>
      </c>
    </row>
    <row r="75" spans="1:4" ht="15.75" customHeight="1">
      <c r="A75" s="5">
        <f>D42</f>
        <v>14</v>
      </c>
      <c r="B75" s="5">
        <f>D43</f>
        <v>12</v>
      </c>
      <c r="C75" s="5">
        <f>D44</f>
        <v>2</v>
      </c>
      <c r="D75" s="5">
        <f>D45</f>
        <v>5</v>
      </c>
    </row>
    <row r="76" spans="1:4" ht="15.75" customHeight="1">
      <c r="A76" s="5">
        <f>D42</f>
        <v>14</v>
      </c>
      <c r="B76" s="5">
        <f>D43</f>
        <v>12</v>
      </c>
      <c r="C76" s="5">
        <f>D44</f>
        <v>2</v>
      </c>
      <c r="D76" s="5">
        <f>D45</f>
        <v>5</v>
      </c>
    </row>
    <row r="77" spans="1:4" ht="15.75" customHeight="1">
      <c r="A77" s="5">
        <f>D42</f>
        <v>14</v>
      </c>
      <c r="B77" s="5">
        <f>D43</f>
        <v>12</v>
      </c>
      <c r="C77" s="5">
        <f>D44</f>
        <v>2</v>
      </c>
      <c r="D77" s="5">
        <f>D45</f>
        <v>5</v>
      </c>
    </row>
    <row r="78" spans="1:4" ht="15.75" customHeight="1">
      <c r="A78" s="5">
        <f>D42</f>
        <v>14</v>
      </c>
      <c r="B78" s="5">
        <f>D43</f>
        <v>12</v>
      </c>
      <c r="C78" s="5">
        <f>D44</f>
        <v>2</v>
      </c>
      <c r="D78" s="5">
        <f>D45</f>
        <v>5</v>
      </c>
    </row>
    <row r="79" spans="1:4" ht="15.75" customHeight="1">
      <c r="A79" s="5">
        <f>D42</f>
        <v>14</v>
      </c>
      <c r="B79" s="5">
        <f>D43</f>
        <v>12</v>
      </c>
      <c r="C79" s="5">
        <f>D44</f>
        <v>2</v>
      </c>
      <c r="D79" s="5">
        <f>D45</f>
        <v>5</v>
      </c>
    </row>
    <row r="80" spans="1:4" ht="15.75" customHeight="1">
      <c r="A80" s="5">
        <f>D42</f>
        <v>14</v>
      </c>
      <c r="B80" s="5">
        <f>D43</f>
        <v>12</v>
      </c>
      <c r="C80" s="5">
        <f>D44</f>
        <v>2</v>
      </c>
      <c r="D80" s="5">
        <f>D45</f>
        <v>5</v>
      </c>
    </row>
    <row r="81" spans="1:4" ht="15.75" customHeight="1">
      <c r="A81" s="5">
        <f>D42</f>
        <v>14</v>
      </c>
      <c r="B81" s="5">
        <f>D43</f>
        <v>12</v>
      </c>
      <c r="C81" s="5">
        <f>D44</f>
        <v>2</v>
      </c>
      <c r="D81" s="5">
        <f>D45</f>
        <v>5</v>
      </c>
    </row>
    <row r="82" spans="1:4" ht="15.75" customHeight="1">
      <c r="A82" s="5">
        <f>D42</f>
        <v>14</v>
      </c>
      <c r="B82" s="5">
        <f>D43</f>
        <v>12</v>
      </c>
      <c r="C82" s="5">
        <f>D44</f>
        <v>2</v>
      </c>
      <c r="D82" s="5">
        <f>D45</f>
        <v>5</v>
      </c>
    </row>
    <row r="83" spans="1:4" ht="15.75" customHeight="1">
      <c r="A83" s="5">
        <f>D42</f>
        <v>14</v>
      </c>
      <c r="B83" s="5">
        <f>D43</f>
        <v>12</v>
      </c>
      <c r="C83" s="5">
        <f>D44</f>
        <v>2</v>
      </c>
      <c r="D83" s="5">
        <f>D45</f>
        <v>5</v>
      </c>
    </row>
    <row r="84" spans="1:4" ht="15.75" customHeight="1">
      <c r="A84" s="5">
        <f>D42</f>
        <v>14</v>
      </c>
      <c r="B84" s="5">
        <f>D43</f>
        <v>12</v>
      </c>
      <c r="C84" s="5">
        <f>D44</f>
        <v>2</v>
      </c>
      <c r="D84" s="5">
        <f>D45</f>
        <v>5</v>
      </c>
    </row>
    <row r="85" spans="1:4" ht="15.75" customHeight="1">
      <c r="A85" s="5">
        <f>D42</f>
        <v>14</v>
      </c>
      <c r="B85" s="5">
        <f>D43</f>
        <v>12</v>
      </c>
      <c r="C85" s="5">
        <f>D44</f>
        <v>2</v>
      </c>
      <c r="D85" s="5">
        <f>D45</f>
        <v>5</v>
      </c>
    </row>
    <row r="86" spans="1:4" ht="15.75" customHeight="1">
      <c r="A86" s="5">
        <f>D42</f>
        <v>14</v>
      </c>
      <c r="B86" s="5">
        <f>D43</f>
        <v>12</v>
      </c>
      <c r="C86" s="5">
        <f>D44</f>
        <v>2</v>
      </c>
      <c r="D86" s="5">
        <f>D45</f>
        <v>5</v>
      </c>
    </row>
    <row r="87" spans="1:4" ht="15.75" customHeight="1">
      <c r="A87" s="5">
        <f>D42</f>
        <v>14</v>
      </c>
      <c r="B87" s="5">
        <f>D43</f>
        <v>12</v>
      </c>
      <c r="C87" s="5">
        <f>D44</f>
        <v>2</v>
      </c>
      <c r="D87" s="5">
        <f>D45</f>
        <v>5</v>
      </c>
    </row>
    <row r="88" spans="1:4" ht="15.75" customHeight="1">
      <c r="A88" s="5">
        <f>D42</f>
        <v>14</v>
      </c>
      <c r="B88" s="5">
        <f>D43</f>
        <v>12</v>
      </c>
      <c r="C88" s="5">
        <f>D44</f>
        <v>2</v>
      </c>
      <c r="D88" s="5">
        <f>D45</f>
        <v>5</v>
      </c>
    </row>
    <row r="89" spans="1:4" ht="15.75" customHeight="1">
      <c r="A89" s="5">
        <f>D42</f>
        <v>14</v>
      </c>
      <c r="B89" s="5">
        <f>D43</f>
        <v>12</v>
      </c>
      <c r="C89" s="5">
        <f>D44</f>
        <v>2</v>
      </c>
      <c r="D89" s="5">
        <f>D45</f>
        <v>5</v>
      </c>
    </row>
    <row r="90" spans="1:4" ht="15.75" customHeight="1">
      <c r="A90" s="5">
        <f>D42</f>
        <v>14</v>
      </c>
      <c r="B90" s="5">
        <f>D43</f>
        <v>12</v>
      </c>
      <c r="C90" s="5">
        <f>D44</f>
        <v>2</v>
      </c>
      <c r="D90" s="5">
        <f>D45</f>
        <v>5</v>
      </c>
    </row>
    <row r="91" spans="1:4" ht="15.75" customHeight="1">
      <c r="A91" s="5">
        <f>D42</f>
        <v>14</v>
      </c>
      <c r="B91" s="5">
        <f>D43</f>
        <v>12</v>
      </c>
      <c r="C91" s="5">
        <f>D44</f>
        <v>2</v>
      </c>
      <c r="D91" s="5">
        <f>D45</f>
        <v>5</v>
      </c>
    </row>
    <row r="92" spans="1:4" ht="15.75" customHeight="1">
      <c r="A92" s="5">
        <f>D42</f>
        <v>14</v>
      </c>
      <c r="B92" s="5">
        <f>D43</f>
        <v>12</v>
      </c>
      <c r="C92" s="5">
        <f>D44</f>
        <v>2</v>
      </c>
      <c r="D92" s="5">
        <f>D45</f>
        <v>5</v>
      </c>
    </row>
    <row r="93" spans="1:4" ht="15.75" customHeight="1">
      <c r="A93" s="5">
        <f>D42</f>
        <v>14</v>
      </c>
      <c r="B93" s="5">
        <f>D43</f>
        <v>12</v>
      </c>
      <c r="C93" s="5">
        <f>D44</f>
        <v>2</v>
      </c>
      <c r="D93" s="5">
        <f>D45</f>
        <v>5</v>
      </c>
    </row>
    <row r="94" spans="1:4" ht="15.75" customHeight="1">
      <c r="A94" s="5">
        <f>D42</f>
        <v>14</v>
      </c>
      <c r="B94" s="5">
        <f>D43</f>
        <v>12</v>
      </c>
      <c r="C94" s="5">
        <f>D44</f>
        <v>2</v>
      </c>
      <c r="D94" s="5">
        <f>D45</f>
        <v>5</v>
      </c>
    </row>
    <row r="95" spans="1:4" ht="15.75" customHeight="1">
      <c r="A95" s="5">
        <f>D42</f>
        <v>14</v>
      </c>
      <c r="B95" s="5">
        <f>D43</f>
        <v>12</v>
      </c>
      <c r="C95" s="5">
        <f>D44</f>
        <v>2</v>
      </c>
      <c r="D95" s="5">
        <f>D45</f>
        <v>5</v>
      </c>
    </row>
    <row r="96" spans="1:4" ht="15.75" customHeight="1">
      <c r="A96" s="5">
        <f>D42</f>
        <v>14</v>
      </c>
      <c r="B96" s="5">
        <f>D43</f>
        <v>12</v>
      </c>
      <c r="C96" s="5">
        <f>D44</f>
        <v>2</v>
      </c>
      <c r="D96" s="5">
        <f>D45</f>
        <v>5</v>
      </c>
    </row>
    <row r="97" spans="1:4" ht="15.75" customHeight="1">
      <c r="A97" s="5">
        <f>D42</f>
        <v>14</v>
      </c>
      <c r="B97" s="5">
        <f>D43</f>
        <v>12</v>
      </c>
      <c r="C97" s="5">
        <f>D44</f>
        <v>2</v>
      </c>
      <c r="D97" s="5">
        <f>D45</f>
        <v>5</v>
      </c>
    </row>
    <row r="98" spans="1:4" ht="15.75" customHeight="1">
      <c r="A98" s="5">
        <f>D42</f>
        <v>14</v>
      </c>
      <c r="B98" s="5">
        <f>D43</f>
        <v>12</v>
      </c>
      <c r="C98" s="5">
        <f>D44</f>
        <v>2</v>
      </c>
      <c r="D98" s="5">
        <f>D45</f>
        <v>5</v>
      </c>
    </row>
    <row r="99" spans="1:4" ht="15.75" customHeight="1">
      <c r="A99" s="5">
        <f>D42</f>
        <v>14</v>
      </c>
      <c r="B99" s="5">
        <f>D43</f>
        <v>12</v>
      </c>
      <c r="C99" s="5">
        <f>D44</f>
        <v>2</v>
      </c>
      <c r="D99" s="5">
        <f>D45</f>
        <v>5</v>
      </c>
    </row>
    <row r="100" spans="1:4" ht="15.75" customHeight="1">
      <c r="A100" s="5">
        <f>D42</f>
        <v>14</v>
      </c>
      <c r="B100" s="5">
        <f>D43</f>
        <v>12</v>
      </c>
      <c r="C100" s="5">
        <f>D44</f>
        <v>2</v>
      </c>
      <c r="D100" s="5">
        <f>D45</f>
        <v>5</v>
      </c>
    </row>
    <row r="101" spans="1:4" ht="15.75" customHeight="1">
      <c r="A101" s="5">
        <f>D42</f>
        <v>14</v>
      </c>
      <c r="B101" s="5">
        <f>D43</f>
        <v>12</v>
      </c>
      <c r="C101" s="5">
        <f>D44</f>
        <v>2</v>
      </c>
      <c r="D101" s="5">
        <f>D45</f>
        <v>5</v>
      </c>
    </row>
    <row r="102" spans="1:4" ht="15.75" customHeight="1">
      <c r="A102" s="5">
        <f>D42</f>
        <v>14</v>
      </c>
      <c r="B102" s="5">
        <f>D43</f>
        <v>12</v>
      </c>
      <c r="C102" s="5">
        <f>D44</f>
        <v>2</v>
      </c>
      <c r="D102" s="5">
        <f>D45</f>
        <v>5</v>
      </c>
    </row>
    <row r="103" spans="1:4" ht="15.75" customHeight="1">
      <c r="A103" s="5">
        <f>D42</f>
        <v>14</v>
      </c>
      <c r="B103" s="5">
        <f>D43</f>
        <v>12</v>
      </c>
      <c r="C103" s="5">
        <f>D44</f>
        <v>2</v>
      </c>
      <c r="D103" s="5">
        <f>D45</f>
        <v>5</v>
      </c>
    </row>
    <row r="104" spans="1:4" ht="15.75" customHeight="1">
      <c r="A104" s="5">
        <f>D42</f>
        <v>14</v>
      </c>
      <c r="B104" s="5">
        <f>D43</f>
        <v>12</v>
      </c>
      <c r="C104" s="5">
        <f>D44</f>
        <v>2</v>
      </c>
      <c r="D104" s="5">
        <f>D45</f>
        <v>5</v>
      </c>
    </row>
    <row r="105" spans="1:4" ht="15.75" customHeight="1">
      <c r="A105" s="5">
        <f>D42</f>
        <v>14</v>
      </c>
      <c r="B105" s="5">
        <f>D43</f>
        <v>12</v>
      </c>
      <c r="C105" s="5">
        <f>D44</f>
        <v>2</v>
      </c>
      <c r="D105" s="5">
        <f>D45</f>
        <v>5</v>
      </c>
    </row>
    <row r="106" spans="1:4" ht="15.75" customHeight="1">
      <c r="A106" s="5">
        <f>D42</f>
        <v>14</v>
      </c>
      <c r="B106" s="5">
        <f>D43</f>
        <v>12</v>
      </c>
      <c r="C106" s="5">
        <f>D44</f>
        <v>2</v>
      </c>
      <c r="D106" s="5">
        <f>D45</f>
        <v>5</v>
      </c>
    </row>
    <row r="107" spans="1:4" ht="15.75" customHeight="1">
      <c r="A107" s="5">
        <f>D42</f>
        <v>14</v>
      </c>
      <c r="B107" s="5">
        <f>D43</f>
        <v>12</v>
      </c>
      <c r="C107" s="5">
        <f>D44</f>
        <v>2</v>
      </c>
      <c r="D107" s="5">
        <f>D45</f>
        <v>5</v>
      </c>
    </row>
    <row r="108" spans="1:4" ht="15.75" customHeight="1">
      <c r="A108" s="5">
        <f>D42</f>
        <v>14</v>
      </c>
      <c r="B108" s="5">
        <f>D43</f>
        <v>12</v>
      </c>
      <c r="C108" s="5">
        <f>D44</f>
        <v>2</v>
      </c>
      <c r="D108" s="5">
        <f>D45</f>
        <v>5</v>
      </c>
    </row>
    <row r="109" spans="1:4" ht="15.75" customHeight="1">
      <c r="A109" s="5">
        <f>D42</f>
        <v>14</v>
      </c>
      <c r="B109" s="5">
        <f>D43</f>
        <v>12</v>
      </c>
      <c r="C109" s="5">
        <f>D44</f>
        <v>2</v>
      </c>
      <c r="D109" s="5">
        <f>D45</f>
        <v>5</v>
      </c>
    </row>
    <row r="110" spans="1:4" ht="15.75" customHeight="1">
      <c r="A110" s="5">
        <f>D42</f>
        <v>14</v>
      </c>
      <c r="B110" s="5">
        <f>D43</f>
        <v>12</v>
      </c>
      <c r="C110" s="5">
        <f>D44</f>
        <v>2</v>
      </c>
      <c r="D110" s="5">
        <f>D45</f>
        <v>5</v>
      </c>
    </row>
    <row r="111" spans="1:4" ht="15.75" customHeight="1">
      <c r="A111" s="5">
        <f>D42</f>
        <v>14</v>
      </c>
      <c r="B111" s="5">
        <f>D43</f>
        <v>12</v>
      </c>
      <c r="C111" s="5">
        <f>D44</f>
        <v>2</v>
      </c>
      <c r="D111" s="5">
        <f>D45</f>
        <v>5</v>
      </c>
    </row>
    <row r="112" spans="1:4" ht="15.75" customHeight="1">
      <c r="A112" s="5">
        <f>D42</f>
        <v>14</v>
      </c>
      <c r="B112" s="5">
        <f>D43</f>
        <v>12</v>
      </c>
      <c r="C112" s="5">
        <f>D44</f>
        <v>2</v>
      </c>
      <c r="D112" s="5">
        <f>D45</f>
        <v>5</v>
      </c>
    </row>
    <row r="113" spans="1:4" ht="15.75" customHeight="1">
      <c r="A113" s="5">
        <f>D42</f>
        <v>14</v>
      </c>
      <c r="B113" s="5">
        <f>D43</f>
        <v>12</v>
      </c>
      <c r="C113" s="5">
        <f>D44</f>
        <v>2</v>
      </c>
      <c r="D113" s="5">
        <f>D45</f>
        <v>5</v>
      </c>
    </row>
    <row r="114" spans="1:4" ht="15.75" customHeight="1">
      <c r="A114" s="5">
        <f>D42</f>
        <v>14</v>
      </c>
      <c r="B114" s="5">
        <f>D43</f>
        <v>12</v>
      </c>
      <c r="C114" s="5">
        <f>D44</f>
        <v>2</v>
      </c>
      <c r="D114" s="5">
        <f>D45</f>
        <v>5</v>
      </c>
    </row>
    <row r="115" spans="1:4" ht="15.75" customHeight="1">
      <c r="A115" s="5">
        <f>D42</f>
        <v>14</v>
      </c>
      <c r="B115" s="5">
        <f>D43</f>
        <v>12</v>
      </c>
      <c r="C115" s="5">
        <f>D44</f>
        <v>2</v>
      </c>
      <c r="D115" s="5">
        <f>D45</f>
        <v>5</v>
      </c>
    </row>
    <row r="116" spans="1:4" ht="15.75" customHeight="1">
      <c r="A116" s="5">
        <f>D42</f>
        <v>14</v>
      </c>
      <c r="B116" s="5">
        <f>D43</f>
        <v>12</v>
      </c>
      <c r="C116" s="5">
        <f>D44</f>
        <v>2</v>
      </c>
      <c r="D116" s="5">
        <f>D45</f>
        <v>5</v>
      </c>
    </row>
    <row r="117" spans="1:4" ht="15.75" customHeight="1">
      <c r="A117" s="5">
        <f>D42</f>
        <v>14</v>
      </c>
      <c r="B117" s="5">
        <f>D43</f>
        <v>12</v>
      </c>
      <c r="C117" s="5">
        <f>D44</f>
        <v>2</v>
      </c>
      <c r="D117" s="5">
        <f>D45</f>
        <v>5</v>
      </c>
    </row>
    <row r="118" spans="1:4" ht="15.75" customHeight="1">
      <c r="A118" s="5">
        <f>D42</f>
        <v>14</v>
      </c>
      <c r="B118" s="5">
        <f>D43</f>
        <v>12</v>
      </c>
      <c r="C118" s="5">
        <f>D44</f>
        <v>2</v>
      </c>
      <c r="D118" s="5">
        <f>D45</f>
        <v>5</v>
      </c>
    </row>
    <row r="119" spans="1:4" ht="15.75" customHeight="1">
      <c r="A119" s="5">
        <f>D42</f>
        <v>14</v>
      </c>
      <c r="B119" s="5">
        <f>D43</f>
        <v>12</v>
      </c>
      <c r="C119" s="5">
        <f>D44</f>
        <v>2</v>
      </c>
      <c r="D119" s="5">
        <f>D45</f>
        <v>5</v>
      </c>
    </row>
    <row r="120" spans="1:4" ht="15.75" customHeight="1"/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A1:S1"/>
    <mergeCell ref="A2:S2"/>
    <mergeCell ref="A3:S3"/>
    <mergeCell ref="A4:S4"/>
    <mergeCell ref="A5:S5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ageMargins left="0.7" right="0.7" top="0.75" bottom="0.75" header="0" footer="0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0"/>
  <sheetViews>
    <sheetView zoomScaleNormal="100" workbookViewId="0">
      <selection sqref="A1:T1"/>
    </sheetView>
  </sheetViews>
  <sheetFormatPr defaultColWidth="14.42578125" defaultRowHeight="15" customHeight="1"/>
  <cols>
    <col min="1" max="1" width="4.140625" style="5" customWidth="1"/>
    <col min="2" max="2" width="6.5703125" style="5" customWidth="1"/>
    <col min="3" max="3" width="40.42578125" style="5" customWidth="1"/>
    <col min="4" max="18" width="6.7109375" style="5" customWidth="1"/>
    <col min="19" max="19" width="8.85546875" style="5" customWidth="1"/>
    <col min="20" max="20" width="11.28515625" style="5" customWidth="1"/>
    <col min="21" max="16384" width="14.42578125" style="5"/>
  </cols>
  <sheetData>
    <row r="1" spans="1:20" s="29" customFormat="1" ht="15" customHeight="1">
      <c r="A1" s="48" t="s">
        <v>66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s="29" customFormat="1" ht="15" customHeight="1">
      <c r="A2" s="48" t="s">
        <v>67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</row>
    <row r="3" spans="1:20" s="28" customFormat="1" ht="15" customHeight="1">
      <c r="A3" s="47" t="s">
        <v>59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1:20" s="29" customFormat="1" ht="15" customHeight="1">
      <c r="A4" s="48" t="s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0" s="29" customFormat="1" ht="15" customHeight="1">
      <c r="A5" s="48" t="s">
        <v>68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r="6" spans="1:20" s="29" customFormat="1" ht="15" customHeight="1">
      <c r="A6" s="45" t="s">
        <v>2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</row>
    <row r="7" spans="1:20" ht="15" customHeight="1">
      <c r="A7" s="35" t="s">
        <v>3</v>
      </c>
      <c r="B7" s="37" t="s">
        <v>4</v>
      </c>
      <c r="C7" s="37" t="s">
        <v>5</v>
      </c>
      <c r="D7" s="39" t="s">
        <v>6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1"/>
    </row>
    <row r="8" spans="1:20" ht="15" customHeight="1">
      <c r="A8" s="36"/>
      <c r="B8" s="36"/>
      <c r="C8" s="36"/>
      <c r="D8" s="32" t="s">
        <v>62</v>
      </c>
      <c r="E8" s="32" t="s">
        <v>14</v>
      </c>
      <c r="F8" s="32" t="s">
        <v>8</v>
      </c>
      <c r="G8" s="32" t="s">
        <v>17</v>
      </c>
      <c r="H8" s="32" t="s">
        <v>13</v>
      </c>
      <c r="I8" s="32" t="s">
        <v>64</v>
      </c>
      <c r="J8" s="32" t="s">
        <v>15</v>
      </c>
      <c r="K8" s="32" t="s">
        <v>11</v>
      </c>
      <c r="L8" s="32" t="s">
        <v>16</v>
      </c>
      <c r="M8" s="32" t="s">
        <v>9</v>
      </c>
      <c r="N8" s="32" t="s">
        <v>7</v>
      </c>
      <c r="O8" s="32" t="s">
        <v>12</v>
      </c>
      <c r="P8" s="32" t="s">
        <v>63</v>
      </c>
      <c r="Q8" s="32" t="s">
        <v>65</v>
      </c>
      <c r="R8" s="32" t="s">
        <v>10</v>
      </c>
      <c r="S8" s="49" t="s">
        <v>60</v>
      </c>
      <c r="T8" s="52" t="s">
        <v>61</v>
      </c>
    </row>
    <row r="9" spans="1:20" ht="15" customHeight="1">
      <c r="A9" s="36"/>
      <c r="B9" s="36"/>
      <c r="C9" s="36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50"/>
      <c r="T9" s="53"/>
    </row>
    <row r="10" spans="1:20" ht="71.25" customHeight="1">
      <c r="A10" s="54"/>
      <c r="B10" s="54"/>
      <c r="C10" s="36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51"/>
      <c r="T10" s="53"/>
    </row>
    <row r="11" spans="1:20" ht="15.75">
      <c r="A11" s="20" t="s">
        <v>19</v>
      </c>
      <c r="B11" s="20">
        <v>1</v>
      </c>
      <c r="C11" s="26" t="s">
        <v>35</v>
      </c>
      <c r="D11" s="21">
        <v>11</v>
      </c>
      <c r="E11" s="22">
        <v>10</v>
      </c>
      <c r="F11" s="22">
        <v>10</v>
      </c>
      <c r="G11" s="22">
        <v>10</v>
      </c>
      <c r="H11" s="22">
        <v>11</v>
      </c>
      <c r="I11" s="22">
        <v>9</v>
      </c>
      <c r="J11" s="22">
        <v>11</v>
      </c>
      <c r="K11" s="22">
        <v>11</v>
      </c>
      <c r="L11" s="22">
        <v>9</v>
      </c>
      <c r="M11" s="22">
        <v>9</v>
      </c>
      <c r="N11" s="22">
        <v>11</v>
      </c>
      <c r="O11" s="22">
        <v>11</v>
      </c>
      <c r="P11" s="22">
        <v>10</v>
      </c>
      <c r="Q11" s="22">
        <v>11</v>
      </c>
      <c r="R11" s="21">
        <v>9</v>
      </c>
      <c r="S11" s="23">
        <f>AVERAGE(D11:R11)</f>
        <v>10.199999999999999</v>
      </c>
      <c r="T11" s="23">
        <f>S11*90/12</f>
        <v>76.499999999999986</v>
      </c>
    </row>
    <row r="12" spans="1:20" ht="15.75">
      <c r="A12" s="20" t="s">
        <v>19</v>
      </c>
      <c r="B12" s="20">
        <v>2</v>
      </c>
      <c r="C12" s="26" t="s">
        <v>41</v>
      </c>
      <c r="D12" s="24">
        <v>10</v>
      </c>
      <c r="E12" s="25">
        <v>10</v>
      </c>
      <c r="F12" s="25">
        <v>10</v>
      </c>
      <c r="G12" s="25">
        <v>10</v>
      </c>
      <c r="H12" s="25">
        <v>10</v>
      </c>
      <c r="I12" s="25">
        <v>9</v>
      </c>
      <c r="J12" s="25">
        <v>9</v>
      </c>
      <c r="K12" s="25">
        <v>10</v>
      </c>
      <c r="L12" s="25">
        <v>9</v>
      </c>
      <c r="M12" s="25">
        <v>9</v>
      </c>
      <c r="N12" s="25">
        <v>11</v>
      </c>
      <c r="O12" s="25">
        <v>10</v>
      </c>
      <c r="P12" s="25">
        <v>10</v>
      </c>
      <c r="Q12" s="25">
        <v>10</v>
      </c>
      <c r="R12" s="21">
        <v>9</v>
      </c>
      <c r="S12" s="23">
        <f t="shared" ref="S12:S20" si="0">AVERAGE(D12:R12)</f>
        <v>9.7333333333333325</v>
      </c>
      <c r="T12" s="23">
        <f t="shared" ref="T12:T20" si="1">S12*90/12</f>
        <v>72.999999999999986</v>
      </c>
    </row>
    <row r="13" spans="1:20" ht="15.75">
      <c r="A13" s="20" t="s">
        <v>19</v>
      </c>
      <c r="B13" s="20">
        <v>3</v>
      </c>
      <c r="C13" s="26" t="s">
        <v>20</v>
      </c>
      <c r="D13" s="24">
        <v>10</v>
      </c>
      <c r="E13" s="25">
        <v>9</v>
      </c>
      <c r="F13" s="25">
        <v>10</v>
      </c>
      <c r="G13" s="25">
        <v>10</v>
      </c>
      <c r="H13" s="25">
        <v>8</v>
      </c>
      <c r="I13" s="25">
        <v>10</v>
      </c>
      <c r="J13" s="25">
        <v>11</v>
      </c>
      <c r="K13" s="25">
        <v>11</v>
      </c>
      <c r="L13" s="25">
        <v>8</v>
      </c>
      <c r="M13" s="25">
        <v>9</v>
      </c>
      <c r="N13" s="25">
        <v>8</v>
      </c>
      <c r="O13" s="25">
        <v>11</v>
      </c>
      <c r="P13" s="25">
        <v>9</v>
      </c>
      <c r="Q13" s="25">
        <v>10</v>
      </c>
      <c r="R13" s="21">
        <v>10</v>
      </c>
      <c r="S13" s="23">
        <f t="shared" si="0"/>
        <v>9.6</v>
      </c>
      <c r="T13" s="23">
        <f t="shared" si="1"/>
        <v>72</v>
      </c>
    </row>
    <row r="14" spans="1:20" ht="15.75">
      <c r="A14" s="20" t="s">
        <v>19</v>
      </c>
      <c r="B14" s="20">
        <v>4</v>
      </c>
      <c r="C14" s="26" t="s">
        <v>39</v>
      </c>
      <c r="D14" s="24">
        <v>9</v>
      </c>
      <c r="E14" s="25">
        <v>9</v>
      </c>
      <c r="F14" s="25">
        <v>10</v>
      </c>
      <c r="G14" s="25">
        <v>10</v>
      </c>
      <c r="H14" s="25">
        <v>10</v>
      </c>
      <c r="I14" s="25">
        <v>8</v>
      </c>
      <c r="J14" s="25">
        <v>11</v>
      </c>
      <c r="K14" s="25">
        <v>11</v>
      </c>
      <c r="L14" s="25">
        <v>9</v>
      </c>
      <c r="M14" s="25">
        <v>7</v>
      </c>
      <c r="N14" s="25">
        <v>11</v>
      </c>
      <c r="O14" s="25">
        <v>10</v>
      </c>
      <c r="P14" s="25">
        <v>10</v>
      </c>
      <c r="Q14" s="25">
        <v>9</v>
      </c>
      <c r="R14" s="21">
        <v>8</v>
      </c>
      <c r="S14" s="23">
        <f t="shared" si="0"/>
        <v>9.4666666666666668</v>
      </c>
      <c r="T14" s="23">
        <f t="shared" si="1"/>
        <v>71</v>
      </c>
    </row>
    <row r="15" spans="1:20" ht="15.75">
      <c r="A15" s="20" t="s">
        <v>19</v>
      </c>
      <c r="B15" s="20">
        <v>5</v>
      </c>
      <c r="C15" s="26" t="s">
        <v>29</v>
      </c>
      <c r="D15" s="24">
        <v>9</v>
      </c>
      <c r="E15" s="25">
        <v>8</v>
      </c>
      <c r="F15" s="25">
        <v>10</v>
      </c>
      <c r="G15" s="25">
        <v>10</v>
      </c>
      <c r="H15" s="25">
        <v>9</v>
      </c>
      <c r="I15" s="25">
        <v>9</v>
      </c>
      <c r="J15" s="25">
        <v>9</v>
      </c>
      <c r="K15" s="25">
        <v>10</v>
      </c>
      <c r="L15" s="25">
        <v>9</v>
      </c>
      <c r="M15" s="25">
        <v>8</v>
      </c>
      <c r="N15" s="25">
        <v>8</v>
      </c>
      <c r="O15" s="25">
        <v>9</v>
      </c>
      <c r="P15" s="25">
        <v>8</v>
      </c>
      <c r="Q15" s="25">
        <v>7</v>
      </c>
      <c r="R15" s="21">
        <v>9</v>
      </c>
      <c r="S15" s="23">
        <f t="shared" si="0"/>
        <v>8.8000000000000007</v>
      </c>
      <c r="T15" s="23">
        <f t="shared" si="1"/>
        <v>66.000000000000014</v>
      </c>
    </row>
    <row r="16" spans="1:20" ht="15.75">
      <c r="A16" s="1" t="s">
        <v>19</v>
      </c>
      <c r="B16" s="1">
        <v>6</v>
      </c>
      <c r="C16" s="7" t="s">
        <v>27</v>
      </c>
      <c r="D16" s="3">
        <v>6</v>
      </c>
      <c r="E16" s="4">
        <v>8</v>
      </c>
      <c r="F16" s="4">
        <v>9</v>
      </c>
      <c r="G16" s="4">
        <v>8</v>
      </c>
      <c r="H16" s="4">
        <v>8</v>
      </c>
      <c r="I16" s="4">
        <v>8</v>
      </c>
      <c r="J16" s="4">
        <v>9</v>
      </c>
      <c r="K16" s="4">
        <v>10</v>
      </c>
      <c r="L16" s="4">
        <v>8</v>
      </c>
      <c r="M16" s="4">
        <v>6</v>
      </c>
      <c r="N16" s="4">
        <v>8</v>
      </c>
      <c r="O16" s="4">
        <v>10</v>
      </c>
      <c r="P16" s="4">
        <v>8</v>
      </c>
      <c r="Q16" s="4">
        <v>8</v>
      </c>
      <c r="R16" s="2">
        <v>8</v>
      </c>
      <c r="S16" s="31">
        <f t="shared" si="0"/>
        <v>8.1333333333333329</v>
      </c>
      <c r="T16" s="31">
        <f t="shared" si="1"/>
        <v>61</v>
      </c>
    </row>
    <row r="17" spans="1:20" ht="15.75">
      <c r="A17" s="1" t="s">
        <v>19</v>
      </c>
      <c r="B17" s="1">
        <v>7</v>
      </c>
      <c r="C17" s="7" t="s">
        <v>24</v>
      </c>
      <c r="D17" s="3">
        <v>6</v>
      </c>
      <c r="E17" s="4">
        <v>8</v>
      </c>
      <c r="F17" s="4">
        <v>10</v>
      </c>
      <c r="G17" s="4">
        <v>8</v>
      </c>
      <c r="H17" s="4">
        <v>6</v>
      </c>
      <c r="I17" s="4">
        <v>8</v>
      </c>
      <c r="J17" s="4">
        <v>6</v>
      </c>
      <c r="K17" s="4">
        <v>5</v>
      </c>
      <c r="L17" s="4">
        <v>7</v>
      </c>
      <c r="M17" s="4">
        <v>4</v>
      </c>
      <c r="N17" s="4">
        <v>5</v>
      </c>
      <c r="O17" s="4">
        <v>9</v>
      </c>
      <c r="P17" s="4">
        <v>6</v>
      </c>
      <c r="Q17" s="4">
        <v>8</v>
      </c>
      <c r="R17" s="2">
        <v>6</v>
      </c>
      <c r="S17" s="31">
        <f t="shared" si="0"/>
        <v>6.8</v>
      </c>
      <c r="T17" s="31">
        <f t="shared" si="1"/>
        <v>51</v>
      </c>
    </row>
    <row r="18" spans="1:20" ht="15.75">
      <c r="A18" s="1" t="s">
        <v>19</v>
      </c>
      <c r="B18" s="1">
        <v>8</v>
      </c>
      <c r="C18" s="7" t="s">
        <v>37</v>
      </c>
      <c r="D18" s="3">
        <v>8</v>
      </c>
      <c r="E18" s="4">
        <v>8</v>
      </c>
      <c r="F18" s="4">
        <v>9</v>
      </c>
      <c r="G18" s="4">
        <v>9</v>
      </c>
      <c r="H18" s="4">
        <v>6</v>
      </c>
      <c r="I18" s="4">
        <v>7</v>
      </c>
      <c r="J18" s="4">
        <v>7</v>
      </c>
      <c r="K18" s="4">
        <v>6</v>
      </c>
      <c r="L18" s="4">
        <v>6</v>
      </c>
      <c r="M18" s="4">
        <v>4</v>
      </c>
      <c r="N18" s="4">
        <v>6</v>
      </c>
      <c r="O18" s="4">
        <v>7</v>
      </c>
      <c r="P18" s="4">
        <v>6</v>
      </c>
      <c r="Q18" s="4">
        <v>8</v>
      </c>
      <c r="R18" s="2">
        <v>4</v>
      </c>
      <c r="S18" s="31">
        <f t="shared" si="0"/>
        <v>6.7333333333333334</v>
      </c>
      <c r="T18" s="31">
        <f t="shared" si="1"/>
        <v>50.5</v>
      </c>
    </row>
    <row r="19" spans="1:20" ht="15.75">
      <c r="A19" s="1" t="s">
        <v>19</v>
      </c>
      <c r="B19" s="1">
        <v>9</v>
      </c>
      <c r="C19" s="7" t="s">
        <v>36</v>
      </c>
      <c r="D19" s="3">
        <v>5</v>
      </c>
      <c r="E19" s="4">
        <v>8</v>
      </c>
      <c r="F19" s="4">
        <v>10</v>
      </c>
      <c r="G19" s="4">
        <v>8</v>
      </c>
      <c r="H19" s="4">
        <v>6</v>
      </c>
      <c r="I19" s="4">
        <v>7</v>
      </c>
      <c r="J19" s="4">
        <v>7</v>
      </c>
      <c r="K19" s="4">
        <v>6</v>
      </c>
      <c r="L19" s="4">
        <v>5</v>
      </c>
      <c r="M19" s="4">
        <v>4</v>
      </c>
      <c r="N19" s="4">
        <v>6</v>
      </c>
      <c r="O19" s="4">
        <v>5</v>
      </c>
      <c r="P19" s="4">
        <v>6</v>
      </c>
      <c r="Q19" s="4">
        <v>7</v>
      </c>
      <c r="R19" s="2">
        <v>4</v>
      </c>
      <c r="S19" s="31">
        <f t="shared" si="0"/>
        <v>6.2666666666666666</v>
      </c>
      <c r="T19" s="31">
        <f t="shared" si="1"/>
        <v>47</v>
      </c>
    </row>
    <row r="20" spans="1:20" ht="15.75">
      <c r="A20" s="1" t="s">
        <v>19</v>
      </c>
      <c r="B20" s="1">
        <v>10</v>
      </c>
      <c r="C20" s="7" t="s">
        <v>32</v>
      </c>
      <c r="D20" s="3">
        <v>4</v>
      </c>
      <c r="E20" s="4">
        <v>4</v>
      </c>
      <c r="F20" s="4">
        <v>10</v>
      </c>
      <c r="G20" s="4">
        <v>8</v>
      </c>
      <c r="H20" s="4">
        <v>5</v>
      </c>
      <c r="I20" s="4">
        <v>6</v>
      </c>
      <c r="J20" s="4">
        <v>7</v>
      </c>
      <c r="K20" s="4">
        <v>5</v>
      </c>
      <c r="L20" s="4">
        <v>6</v>
      </c>
      <c r="M20" s="4">
        <v>4</v>
      </c>
      <c r="N20" s="4">
        <v>5</v>
      </c>
      <c r="O20" s="4">
        <v>5</v>
      </c>
      <c r="P20" s="4">
        <v>5</v>
      </c>
      <c r="Q20" s="4">
        <v>6</v>
      </c>
      <c r="R20" s="2">
        <v>4</v>
      </c>
      <c r="S20" s="31">
        <f t="shared" si="0"/>
        <v>5.6</v>
      </c>
      <c r="T20" s="31">
        <f t="shared" si="1"/>
        <v>41.999999999999993</v>
      </c>
    </row>
    <row r="21" spans="1:20" ht="15.75">
      <c r="C21" s="27" t="s">
        <v>51</v>
      </c>
      <c r="D21" s="19">
        <f>'Зведена відомість'!D42</f>
        <v>14</v>
      </c>
    </row>
    <row r="22" spans="1:20" ht="15.75">
      <c r="C22" s="27" t="s">
        <v>52</v>
      </c>
      <c r="D22" s="19">
        <f>'Зведена відомість'!D43</f>
        <v>12</v>
      </c>
    </row>
    <row r="23" spans="1:20" ht="15.75">
      <c r="C23" s="27" t="s">
        <v>53</v>
      </c>
      <c r="D23" s="19">
        <f>'Зведена відомість'!D44</f>
        <v>2</v>
      </c>
    </row>
    <row r="24" spans="1:20" ht="18.75">
      <c r="C24" s="27" t="s">
        <v>54</v>
      </c>
      <c r="D24" s="19">
        <v>5</v>
      </c>
      <c r="G24" s="18" t="s">
        <v>55</v>
      </c>
      <c r="N24" s="18" t="s">
        <v>56</v>
      </c>
    </row>
    <row r="25" spans="1:20" ht="15.75"/>
    <row r="26" spans="1:20" ht="18.75">
      <c r="G26" s="18" t="s">
        <v>57</v>
      </c>
      <c r="N26" s="18" t="s">
        <v>58</v>
      </c>
    </row>
    <row r="27" spans="1:20" ht="15.75"/>
    <row r="28" spans="1:20" ht="15.75"/>
    <row r="29" spans="1:20" ht="15.75"/>
    <row r="30" spans="1:20" ht="15.75"/>
    <row r="31" spans="1:20" ht="15.75"/>
    <row r="32" spans="1:20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spans="1:1" ht="15.75"/>
    <row r="66" spans="1:1" ht="15.75"/>
    <row r="67" spans="1:1" ht="15.75"/>
    <row r="68" spans="1:1" ht="15.75"/>
    <row r="69" spans="1:1" ht="15.75"/>
    <row r="70" spans="1:1" ht="15.75"/>
    <row r="71" spans="1:1" ht="15.75"/>
    <row r="72" spans="1:1" ht="15.75"/>
    <row r="73" spans="1:1" ht="15.75"/>
    <row r="74" spans="1:1" ht="15.75" customHeight="1"/>
    <row r="75" spans="1:1" ht="15.75" customHeight="1"/>
    <row r="76" spans="1:1" ht="15.75" customHeight="1"/>
    <row r="77" spans="1:1" ht="15.75" customHeight="1">
      <c r="A77" s="5">
        <f>COUNTIF(A21:A37,"=Б")</f>
        <v>0</v>
      </c>
    </row>
    <row r="78" spans="1:1" ht="15.75" customHeight="1">
      <c r="A78" s="5">
        <f>COUNTIF(A21:A37,"=Б")</f>
        <v>0</v>
      </c>
    </row>
    <row r="79" spans="1:1" ht="15.75" customHeight="1">
      <c r="A79" s="5">
        <f>COUNTIF(A21:A37,"=Б")</f>
        <v>0</v>
      </c>
    </row>
    <row r="80" spans="1:1" ht="15.75" customHeight="1">
      <c r="A80" s="5">
        <f>COUNTIF(A21:A37,"=Б")</f>
        <v>0</v>
      </c>
    </row>
    <row r="81" spans="1:1" ht="15.75" customHeight="1">
      <c r="A81" s="5">
        <f>COUNTIF(A21:A37,"=Б")</f>
        <v>0</v>
      </c>
    </row>
    <row r="82" spans="1:1" ht="15.75" customHeight="1">
      <c r="A82" s="5">
        <f>COUNTIF(A21:A37,"=Б")</f>
        <v>0</v>
      </c>
    </row>
    <row r="83" spans="1:1" ht="15.75" customHeight="1">
      <c r="A83" s="5">
        <f>COUNTIF(A21:A37,"=Б")</f>
        <v>0</v>
      </c>
    </row>
    <row r="84" spans="1:1" ht="15.75" customHeight="1">
      <c r="A84" s="5">
        <f>COUNTIF(A21:A37,"=Б")</f>
        <v>0</v>
      </c>
    </row>
    <row r="85" spans="1:1" ht="15.75" customHeight="1">
      <c r="A85" s="5">
        <f>COUNTIF(A21:A37,"=Б")</f>
        <v>0</v>
      </c>
    </row>
    <row r="86" spans="1:1" ht="15.75" customHeight="1">
      <c r="A86" s="5">
        <f>COUNTIF(A21:A37,"=Б")</f>
        <v>0</v>
      </c>
    </row>
    <row r="87" spans="1:1" ht="15.75" customHeight="1">
      <c r="A87" s="5">
        <f>COUNTIF(A21:A37,"=Б")</f>
        <v>0</v>
      </c>
    </row>
    <row r="88" spans="1:1" ht="15.75" customHeight="1">
      <c r="A88" s="5">
        <f>COUNTIF(A21:A37,"=Б")</f>
        <v>0</v>
      </c>
    </row>
    <row r="89" spans="1:1" ht="15.75" customHeight="1">
      <c r="A89" s="5">
        <f>COUNTIF(A21:A37,"=Б")</f>
        <v>0</v>
      </c>
    </row>
    <row r="90" spans="1:1" ht="15.75" customHeight="1">
      <c r="A90" s="5">
        <f>COUNTIF(A21:A37,"=Б")</f>
        <v>0</v>
      </c>
    </row>
    <row r="91" spans="1:1" ht="15.75" customHeight="1">
      <c r="A91" s="5">
        <f>COUNTIF(A21:A37,"=Б")</f>
        <v>0</v>
      </c>
    </row>
    <row r="92" spans="1:1" ht="15.75" customHeight="1">
      <c r="A92" s="5">
        <f>COUNTIF(A21:A37,"=Б")</f>
        <v>0</v>
      </c>
    </row>
    <row r="93" spans="1:1" ht="15.75" customHeight="1">
      <c r="A93" s="5">
        <f>COUNTIF(A21:A37,"=Б")</f>
        <v>0</v>
      </c>
    </row>
    <row r="94" spans="1:1" ht="15.75" customHeight="1">
      <c r="A94" s="5">
        <f>COUNTIF(A21:A37,"=Б")</f>
        <v>0</v>
      </c>
    </row>
    <row r="95" spans="1:1" ht="15.75" customHeight="1">
      <c r="A95" s="5">
        <f>COUNTIF(A21:A37,"=Б")</f>
        <v>0</v>
      </c>
    </row>
    <row r="96" spans="1:1" ht="15.75" customHeight="1">
      <c r="A96" s="5">
        <f>COUNTIF(A21:A37,"=Б")</f>
        <v>0</v>
      </c>
    </row>
    <row r="97" spans="1:1" ht="15.75" customHeight="1">
      <c r="A97" s="5">
        <f>COUNTIF(A21:A37,"=Б")</f>
        <v>0</v>
      </c>
    </row>
    <row r="98" spans="1:1" ht="15.75" customHeight="1">
      <c r="A98" s="5">
        <f>COUNTIF(A21:A37,"=Б")</f>
        <v>0</v>
      </c>
    </row>
    <row r="99" spans="1:1" ht="15.75" customHeight="1">
      <c r="A99" s="5">
        <f>COUNTIF(A21:A37,"=Б")</f>
        <v>0</v>
      </c>
    </row>
    <row r="100" spans="1:1" ht="15.75" customHeight="1">
      <c r="A100" s="5">
        <f>COUNTIF(A21:A37,"=Б")</f>
        <v>0</v>
      </c>
    </row>
    <row r="101" spans="1:1" ht="15.75" customHeight="1">
      <c r="A101" s="5">
        <f>COUNTIF(A21:A37,"=Б")</f>
        <v>0</v>
      </c>
    </row>
    <row r="102" spans="1:1" ht="15.75" customHeight="1">
      <c r="A102" s="5">
        <f>COUNTIF(A21:A37,"=Б")</f>
        <v>0</v>
      </c>
    </row>
    <row r="103" spans="1:1" ht="15.75" customHeight="1">
      <c r="A103" s="5">
        <f>COUNTIF(A21:A37,"=Б")</f>
        <v>0</v>
      </c>
    </row>
    <row r="104" spans="1:1" ht="15.75" customHeight="1">
      <c r="A104" s="5">
        <f>COUNTIF(A21:A37,"=Б")</f>
        <v>0</v>
      </c>
    </row>
    <row r="105" spans="1:1" ht="15.75" customHeight="1">
      <c r="A105" s="5">
        <f>COUNTIF(A21:A37,"=Б")</f>
        <v>0</v>
      </c>
    </row>
    <row r="106" spans="1:1" ht="15.75" customHeight="1">
      <c r="A106" s="5">
        <f>COUNTIF(A21:A37,"=Б")</f>
        <v>0</v>
      </c>
    </row>
    <row r="107" spans="1:1" ht="15.75" customHeight="1">
      <c r="A107" s="5">
        <f>COUNTIF(A21:A37,"=Б")</f>
        <v>0</v>
      </c>
    </row>
    <row r="108" spans="1:1" ht="15.75" customHeight="1">
      <c r="A108" s="5">
        <f>COUNTIF(A21:A37,"=Б")</f>
        <v>0</v>
      </c>
    </row>
    <row r="109" spans="1:1" ht="15.75" customHeight="1">
      <c r="A109" s="5">
        <f>COUNTIF(A21:A37,"=Б")</f>
        <v>0</v>
      </c>
    </row>
    <row r="110" spans="1:1" ht="15.75" customHeight="1">
      <c r="A110" s="5">
        <f>COUNTIF(A21:A37,"=Б")</f>
        <v>0</v>
      </c>
    </row>
    <row r="111" spans="1:1" ht="15.75" customHeight="1">
      <c r="A111" s="5">
        <f>COUNTIF(A21:A37,"=Б")</f>
        <v>0</v>
      </c>
    </row>
    <row r="112" spans="1:1" ht="15.75" customHeight="1">
      <c r="A112" s="5">
        <f>COUNTIF(A21:A37,"=Б")</f>
        <v>0</v>
      </c>
    </row>
    <row r="113" spans="1:1" ht="15.75" customHeight="1">
      <c r="A113" s="5">
        <f>COUNTIF(A21:A37,"=Б")</f>
        <v>0</v>
      </c>
    </row>
    <row r="114" spans="1:1" ht="15.75" customHeight="1">
      <c r="A114" s="5">
        <f>COUNTIF(A21:A37,"=Б")</f>
        <v>0</v>
      </c>
    </row>
    <row r="115" spans="1:1" ht="15.75" customHeight="1">
      <c r="A115" s="5">
        <f>COUNTIF(A21:A37,"=Б")</f>
        <v>0</v>
      </c>
    </row>
    <row r="116" spans="1:1" ht="15.75" customHeight="1">
      <c r="A116" s="5">
        <f>COUNTIF(A21:A37,"=Б")</f>
        <v>0</v>
      </c>
    </row>
    <row r="117" spans="1:1" ht="15.75" customHeight="1">
      <c r="A117" s="5">
        <f>COUNTIF(A21:A37,"=Б")</f>
        <v>0</v>
      </c>
    </row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6:T6"/>
    <mergeCell ref="A1:T1"/>
    <mergeCell ref="A2:T2"/>
    <mergeCell ref="A3:T3"/>
    <mergeCell ref="A4:T4"/>
    <mergeCell ref="A5:T5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P8:P10"/>
    <mergeCell ref="Q8:Q10"/>
    <mergeCell ref="R8:R10"/>
    <mergeCell ref="S8:S10"/>
    <mergeCell ref="T8:T10"/>
  </mergeCells>
  <pageMargins left="0.7" right="0.7" top="0.75" bottom="0.75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SURKOV</cp:lastModifiedBy>
  <dcterms:created xsi:type="dcterms:W3CDTF">2020-12-19T20:29:55Z</dcterms:created>
  <dcterms:modified xsi:type="dcterms:W3CDTF">2022-09-05T09:48:16Z</dcterms:modified>
</cp:coreProperties>
</file>