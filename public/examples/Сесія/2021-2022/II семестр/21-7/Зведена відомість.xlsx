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750" yWindow="555" windowWidth="18780" windowHeight="7110" activeTab="1"/>
  </bookViews>
  <sheets>
    <sheet name="Зведена відомість 172" sheetId="14" r:id="rId1"/>
    <sheet name="Зведена відомість 185" sheetId="13" r:id="rId2"/>
    <sheet name="Рейтингова відомість 172" sheetId="12" r:id="rId3"/>
    <sheet name="Рейтингова відомість 185" sheetId="11" r:id="rId4"/>
  </sheets>
  <definedNames>
    <definedName name="_xlnm._FilterDatabase" localSheetId="2" hidden="1">'Рейтингова відомість 172'!$A$11:$AA$120</definedName>
    <definedName name="_xlnm._FilterDatabase" localSheetId="3" hidden="1">'Рейтингова відомість 185'!$A$11:$AA$120</definedName>
    <definedName name="A1048577">#REF!</definedName>
    <definedName name="Ф80">#REF!</definedName>
  </definedNames>
  <calcPr calcId="145621"/>
  <extLst>
    <ext uri="GoogleSheetsCustomDataVersion1">
      <go:sheetsCustomData xmlns:go="http://customooxmlschemas.google.com/" r:id="" roundtripDataSignature="AMtx7mhq/ElzPOHdHW2dJ1mbsmHfV98PVQ=="/>
    </ext>
  </extLst>
</workbook>
</file>

<file path=xl/calcChain.xml><?xml version="1.0" encoding="utf-8"?>
<calcChain xmlns="http://schemas.openxmlformats.org/spreadsheetml/2006/main">
  <c r="S12" i="11" l="1"/>
  <c r="T12" i="11" s="1"/>
  <c r="S13" i="11"/>
  <c r="T13" i="11" s="1"/>
  <c r="S11" i="11"/>
  <c r="T11" i="11" s="1"/>
  <c r="D16" i="11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11" i="13"/>
  <c r="D31" i="13"/>
  <c r="D15" i="11" s="1"/>
  <c r="D30" i="13"/>
  <c r="D14" i="11" s="1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D29" i="13" s="1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S25" i="13" s="1"/>
  <c r="T13" i="12"/>
  <c r="S12" i="12"/>
  <c r="T12" i="12" s="1"/>
  <c r="S13" i="12"/>
  <c r="S14" i="12"/>
  <c r="T14" i="12" s="1"/>
  <c r="S11" i="12"/>
  <c r="T11" i="12" s="1"/>
  <c r="D17" i="12"/>
  <c r="S12" i="14"/>
  <c r="S13" i="14"/>
  <c r="S14" i="14"/>
  <c r="S15" i="14"/>
  <c r="S16" i="14"/>
  <c r="S17" i="14"/>
  <c r="S18" i="14"/>
  <c r="S19" i="14"/>
  <c r="S20" i="14"/>
  <c r="S21" i="14"/>
  <c r="S11" i="14"/>
  <c r="D28" i="14"/>
  <c r="D16" i="12" s="1"/>
  <c r="D27" i="14"/>
  <c r="D30" i="14" s="1"/>
  <c r="D18" i="12" s="1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D28" i="13" l="1"/>
  <c r="S22" i="14"/>
  <c r="D33" i="13"/>
  <c r="D17" i="11" s="1"/>
  <c r="D26" i="14"/>
  <c r="D25" i="14"/>
  <c r="D15" i="12"/>
</calcChain>
</file>

<file path=xl/sharedStrings.xml><?xml version="1.0" encoding="utf-8"?>
<sst xmlns="http://schemas.openxmlformats.org/spreadsheetml/2006/main" count="252" uniqueCount="72">
  <si>
    <t xml:space="preserve">ЗВЕДЕНА  ВІДОМІСТЬ  </t>
  </si>
  <si>
    <t>Група 21-7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</si>
  <si>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</si>
  <si>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</si>
  <si>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</si>
  <si>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</si>
  <si>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</si>
  <si>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</si>
  <si>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Земляна Т.М.</t>
  </si>
  <si>
    <t>Фізика
Швець М.В.</t>
  </si>
  <si>
    <t>Інформатика
Охримчук В.С.</t>
  </si>
  <si>
    <t>Українська мова
Нестеренко А.О.</t>
  </si>
  <si>
    <t>Зарубіжна література
Пруднікова Я.П.</t>
  </si>
  <si>
    <t>Іноземна мова
Нічик Н.О.</t>
  </si>
  <si>
    <t>Історія України
Левчук Т.Г.</t>
  </si>
  <si>
    <t>Географія
Наговська Т.С.</t>
  </si>
  <si>
    <t>Середній бал</t>
  </si>
  <si>
    <t>Б</t>
  </si>
  <si>
    <t>Аль-Фарра Давід Баширович</t>
  </si>
  <si>
    <t xml:space="preserve">Бакланов Михайло Віталійович </t>
  </si>
  <si>
    <t>Бальжик Даніель Сергійович</t>
  </si>
  <si>
    <t>Бурлака Михайло Аркадійович</t>
  </si>
  <si>
    <t>К</t>
  </si>
  <si>
    <t>Волошина Віолета Миколаївна</t>
  </si>
  <si>
    <t>Джасімов Масуд Оскарович</t>
  </si>
  <si>
    <t>Єнчев Денис Сергійович</t>
  </si>
  <si>
    <t>Ільясов Ільяс Азерович</t>
  </si>
  <si>
    <t xml:space="preserve">Колосов Ілля Олександрович </t>
  </si>
  <si>
    <t>Лисейко Іван Богданович</t>
  </si>
  <si>
    <t>Любченко Ірина Володимирів.</t>
  </si>
  <si>
    <t>Нікольська Діана Геннадіївна</t>
  </si>
  <si>
    <t>Новік Олексій Олексійович</t>
  </si>
  <si>
    <t>Паскалов Микола Миколайов.</t>
  </si>
  <si>
    <t>Післарь Валерія Віталіївна</t>
  </si>
  <si>
    <t>Попов Максим Данилович</t>
  </si>
  <si>
    <t>Трушковська Анастасія Юріїв.</t>
  </si>
  <si>
    <t>Туриця Дарія Олексіївна</t>
  </si>
  <si>
    <t>Фенько Михайло Олександров.</t>
  </si>
  <si>
    <t>Фурик Дарія Василівна</t>
  </si>
  <si>
    <t>Чебан Максим Павлович</t>
  </si>
  <si>
    <t>Чернов Владислав Олексійович</t>
  </si>
  <si>
    <t>Чумак Мар’я Владиславівна</t>
  </si>
  <si>
    <t>Шевченко Олександр Володим.</t>
  </si>
  <si>
    <t>Ярмолович Данило Олегович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</si>
  <si>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</si>
  <si>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</si>
  <si>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</si>
  <si>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</si>
  <si>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</si>
  <si>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</si>
  <si>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</si>
  <si>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</si>
  <si>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</si>
  <si>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</si>
  <si>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Марія ЖУРАВЛЬОВА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</si>
  <si>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</si>
  <si>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</si>
  <si>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</si>
  <si>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</si>
  <si>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</si>
  <si>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Фізична культура
Акрабова О.Г.</t>
  </si>
  <si>
    <t>Астрономія
Калюта Н.М.</t>
  </si>
  <si>
    <t>Біологія
Леонова Д.І.</t>
  </si>
  <si>
    <t>ЗВ
Черкашин А.Д.</t>
  </si>
  <si>
    <t>Хімія
Леонова Д.І.</t>
  </si>
  <si>
    <t>Успішності студентів спеціальності 172 «Телекомунікації та радіотехніка»</t>
  </si>
  <si>
    <t>Успішності студентів спеціальності 185 «Нафтогазова інженерія та технологі»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</si>
  <si>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</si>
  <si>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</si>
  <si>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IІ семестр 2021-2022 н.р.</t>
  </si>
  <si>
    <t>н/а</t>
  </si>
  <si>
    <t>Успішності студентів спеціальності 185 «Нафтогазова інженерія та технології»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</si>
</sst>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2" fillId="0" borderId="13"/>
    <xf numFmtId="0" fontId="1" fillId="0" borderId="13"/>
    <xf numFmtId="0" fontId="2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</cellStyleXfs>
  <cellXfs count="71">
    <xf numFmtId="0" fontId="0" fillId="0" borderId="0" xfId="0" applyFont="1" applyAlignment="1"/>
    <xf numFmtId="2" fontId="3" fillId="2" borderId="16" xfId="2" applyNumberFormat="1" applyFont="1" applyFill="1" applyBorder="1" applyAlignment="1">
      <alignment horizontal="center" vertical="center"/>
    </xf>
    <xf numFmtId="0" fontId="5" fillId="0" borderId="13" xfId="5" applyNumberFormat="1" applyFont="1" applyFill="1" applyAlignment="1">
      <alignment horizontal="center" vertical="center"/>
    </xf>
    <xf numFmtId="0" fontId="6" fillId="0" borderId="13" xfId="5" applyNumberFormat="1" applyFont="1" applyFill="1" applyAlignment="1">
      <alignment horizontal="center" vertical="center"/>
    </xf>
    <xf numFmtId="0" fontId="3" fillId="0" borderId="13" xfId="5" applyNumberFormat="1" applyFont="1" applyFill="1" applyAlignment="1">
      <alignment horizontal="center" vertical="center"/>
    </xf>
    <xf numFmtId="0" fontId="3" fillId="2" borderId="4" xfId="5" applyNumberFormat="1" applyFont="1" applyFill="1" applyBorder="1" applyAlignment="1">
      <alignment horizontal="center" vertical="center" wrapText="1"/>
    </xf>
    <xf numFmtId="0" fontId="3" fillId="2" borderId="9" xfId="5" applyNumberFormat="1" applyFont="1" applyFill="1" applyBorder="1" applyAlignment="1">
      <alignment horizontal="center" vertical="center" wrapText="1"/>
    </xf>
    <xf numFmtId="0" fontId="3" fillId="2" borderId="16" xfId="5" applyNumberFormat="1" applyFont="1" applyFill="1" applyBorder="1" applyAlignment="1">
      <alignment horizontal="left" vertical="center" wrapText="1"/>
    </xf>
    <xf numFmtId="0" fontId="3" fillId="2" borderId="12" xfId="5" applyNumberFormat="1" applyFont="1" applyFill="1" applyBorder="1" applyAlignment="1">
      <alignment horizontal="center" vertical="center" wrapText="1"/>
    </xf>
    <xf numFmtId="0" fontId="3" fillId="2" borderId="6" xfId="5" applyNumberFormat="1" applyFont="1" applyFill="1" applyBorder="1" applyAlignment="1">
      <alignment horizontal="center" vertical="center" wrapText="1"/>
    </xf>
    <xf numFmtId="0" fontId="3" fillId="2" borderId="4" xfId="5" applyNumberFormat="1" applyFont="1" applyFill="1" applyBorder="1" applyAlignment="1">
      <alignment horizontal="center" vertical="center"/>
    </xf>
    <xf numFmtId="0" fontId="3" fillId="2" borderId="9" xfId="5" applyNumberFormat="1" applyFont="1" applyFill="1" applyBorder="1" applyAlignment="1">
      <alignment horizontal="center" vertical="center"/>
    </xf>
    <xf numFmtId="0" fontId="3" fillId="2" borderId="7" xfId="5" quotePrefix="1" applyNumberFormat="1" applyFont="1" applyFill="1" applyBorder="1" applyAlignment="1">
      <alignment horizontal="center" vertical="center" wrapText="1"/>
    </xf>
    <xf numFmtId="0" fontId="3" fillId="2" borderId="7" xfId="5" applyNumberFormat="1" applyFont="1" applyFill="1" applyBorder="1" applyAlignment="1">
      <alignment horizontal="center" vertical="center" wrapText="1"/>
    </xf>
    <xf numFmtId="0" fontId="3" fillId="0" borderId="16" xfId="5" applyNumberFormat="1" applyFont="1" applyFill="1" applyBorder="1" applyAlignment="1">
      <alignment horizontal="left" vertical="center" wrapText="1"/>
    </xf>
    <xf numFmtId="0" fontId="3" fillId="0" borderId="16" xfId="5" applyNumberFormat="1" applyFont="1" applyFill="1" applyBorder="1" applyAlignment="1">
      <alignment horizontal="center" vertical="center"/>
    </xf>
    <xf numFmtId="0" fontId="5" fillId="0" borderId="13" xfId="5" applyNumberFormat="1" applyFont="1" applyFill="1" applyAlignment="1">
      <alignment horizontal="left" vertical="center"/>
    </xf>
    <xf numFmtId="0" fontId="3" fillId="2" borderId="5" xfId="5" applyNumberFormat="1" applyFont="1" applyFill="1" applyBorder="1" applyAlignment="1">
      <alignment horizontal="center" vertical="center" wrapText="1"/>
    </xf>
    <xf numFmtId="0" fontId="3" fillId="2" borderId="8" xfId="5" applyNumberFormat="1" applyFont="1" applyFill="1" applyBorder="1" applyAlignment="1">
      <alignment horizontal="center" vertical="center" wrapText="1"/>
    </xf>
    <xf numFmtId="0" fontId="3" fillId="2" borderId="6" xfId="5" applyNumberFormat="1" applyFont="1" applyFill="1" applyBorder="1" applyAlignment="1">
      <alignment horizontal="center" vertical="center"/>
    </xf>
    <xf numFmtId="0" fontId="3" fillId="2" borderId="8" xfId="5" applyNumberFormat="1" applyFont="1" applyFill="1" applyBorder="1" applyAlignment="1">
      <alignment horizontal="center" vertical="center"/>
    </xf>
    <xf numFmtId="0" fontId="3" fillId="2" borderId="10" xfId="5" applyNumberFormat="1" applyFont="1" applyFill="1" applyBorder="1" applyAlignment="1">
      <alignment horizontal="center" vertical="center" wrapText="1"/>
    </xf>
    <xf numFmtId="0" fontId="3" fillId="0" borderId="4" xfId="5" applyNumberFormat="1" applyFont="1" applyFill="1" applyBorder="1" applyAlignment="1">
      <alignment horizontal="center" vertical="center" wrapText="1"/>
    </xf>
    <xf numFmtId="0" fontId="3" fillId="0" borderId="9" xfId="5" applyNumberFormat="1" applyFont="1" applyFill="1" applyBorder="1" applyAlignment="1">
      <alignment horizontal="center" vertical="center" wrapText="1"/>
    </xf>
    <xf numFmtId="0" fontId="3" fillId="0" borderId="12" xfId="5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center" vertical="center" wrapText="1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9" xfId="5" applyNumberFormat="1" applyFont="1" applyFill="1" applyBorder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 wrapText="1"/>
    </xf>
    <xf numFmtId="0" fontId="3" fillId="0" borderId="5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8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vertical="center" wrapText="1"/>
    </xf>
    <xf numFmtId="2" fontId="3" fillId="3" borderId="6" xfId="5" applyNumberFormat="1" applyFont="1" applyFill="1" applyBorder="1" applyAlignment="1">
      <alignment horizontal="center" vertical="center"/>
    </xf>
    <xf numFmtId="0" fontId="3" fillId="0" borderId="7" xfId="5" quotePrefix="1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left" vertical="center" wrapText="1"/>
    </xf>
    <xf numFmtId="164" fontId="3" fillId="3" borderId="6" xfId="5" applyNumberFormat="1" applyFont="1" applyFill="1" applyBorder="1" applyAlignment="1">
      <alignment horizontal="center" vertical="center"/>
    </xf>
    <xf numFmtId="164" fontId="3" fillId="3" borderId="8" xfId="5" applyNumberFormat="1" applyFont="1" applyFill="1" applyBorder="1" applyAlignment="1">
      <alignment horizontal="center" vertical="center"/>
    </xf>
    <xf numFmtId="164" fontId="3" fillId="3" borderId="9" xfId="5" applyNumberFormat="1" applyFont="1" applyFill="1" applyBorder="1" applyAlignment="1">
      <alignment horizontal="center" vertical="center"/>
    </xf>
    <xf numFmtId="164" fontId="3" fillId="3" borderId="4" xfId="5" applyNumberFormat="1" applyFont="1" applyFill="1" applyBorder="1" applyAlignment="1">
      <alignment horizontal="center" vertical="center"/>
    </xf>
    <xf numFmtId="164" fontId="3" fillId="3" borderId="10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left" vertical="center" wrapText="1"/>
    </xf>
    <xf numFmtId="164" fontId="3" fillId="4" borderId="11" xfId="5" applyNumberFormat="1" applyFont="1" applyFill="1" applyBorder="1" applyAlignment="1">
      <alignment horizontal="center" vertical="center"/>
    </xf>
    <xf numFmtId="164" fontId="3" fillId="4" borderId="2" xfId="5" applyNumberFormat="1" applyFont="1" applyFill="1" applyBorder="1" applyAlignment="1">
      <alignment horizontal="center" vertical="center"/>
    </xf>
    <xf numFmtId="0" fontId="3" fillId="0" borderId="13" xfId="5" applyNumberFormat="1" applyFont="1" applyFill="1" applyBorder="1" applyAlignment="1">
      <alignment horizontal="center" vertical="center"/>
    </xf>
    <xf numFmtId="0" fontId="3" fillId="0" borderId="9" xfId="5" applyNumberFormat="1" applyFont="1" applyFill="1" applyBorder="1" applyAlignment="1">
      <alignment horizontal="left" vertical="center" wrapText="1"/>
    </xf>
    <xf numFmtId="164" fontId="3" fillId="4" borderId="4" xfId="5" applyNumberFormat="1" applyFont="1" applyFill="1" applyBorder="1" applyAlignment="1">
      <alignment horizontal="center" vertical="center"/>
    </xf>
    <xf numFmtId="164" fontId="3" fillId="4" borderId="12" xfId="5" applyNumberFormat="1" applyFont="1" applyFill="1" applyBorder="1" applyAlignment="1">
      <alignment horizontal="center" vertical="center"/>
    </xf>
    <xf numFmtId="2" fontId="3" fillId="0" borderId="16" xfId="2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textRotation="90" wrapText="1"/>
    </xf>
    <xf numFmtId="0" fontId="3" fillId="0" borderId="3" xfId="5" applyNumberFormat="1" applyFont="1" applyFill="1" applyBorder="1" applyAlignment="1">
      <alignment horizontal="center" textRotation="90"/>
    </xf>
    <xf numFmtId="0" fontId="3" fillId="0" borderId="6" xfId="5" applyNumberFormat="1" applyFont="1" applyFill="1" applyBorder="1" applyAlignment="1">
      <alignment horizontal="center" textRotation="90"/>
    </xf>
    <xf numFmtId="0" fontId="3" fillId="0" borderId="11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vertical="center" wrapText="1"/>
    </xf>
    <xf numFmtId="0" fontId="3" fillId="0" borderId="14" xfId="5" applyNumberFormat="1" applyFont="1" applyFill="1" applyBorder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textRotation="90" wrapText="1"/>
    </xf>
    <xf numFmtId="0" fontId="3" fillId="0" borderId="6" xfId="5" applyNumberFormat="1" applyFont="1" applyFill="1" applyBorder="1" applyAlignment="1">
      <alignment horizontal="center" textRotation="90" wrapText="1"/>
    </xf>
    <xf numFmtId="0" fontId="4" fillId="0" borderId="11" xfId="5" applyNumberFormat="1" applyFont="1" applyFill="1" applyBorder="1" applyAlignment="1">
      <alignment horizontal="center" vertical="center" textRotation="90" wrapText="1"/>
    </xf>
    <xf numFmtId="0" fontId="4" fillId="0" borderId="3" xfId="5" applyNumberFormat="1" applyFont="1" applyFill="1" applyBorder="1" applyAlignment="1">
      <alignment horizontal="center" vertical="center" textRotation="90"/>
    </xf>
    <xf numFmtId="0" fontId="4" fillId="0" borderId="6" xfId="5" applyNumberFormat="1" applyFont="1" applyFill="1" applyBorder="1" applyAlignment="1">
      <alignment horizontal="center" vertical="center" textRotation="90"/>
    </xf>
    <xf numFmtId="0" fontId="5" fillId="0" borderId="10" xfId="5" applyNumberFormat="1" applyFont="1" applyFill="1" applyBorder="1" applyAlignment="1">
      <alignment horizontal="center" vertical="center"/>
    </xf>
    <xf numFmtId="0" fontId="5" fillId="0" borderId="13" xfId="5" applyNumberFormat="1" applyFont="1" applyFill="1" applyBorder="1" applyAlignment="1">
      <alignment horizontal="center" vertical="center"/>
    </xf>
    <xf numFmtId="0" fontId="6" fillId="0" borderId="13" xfId="5" applyNumberFormat="1" applyFont="1" applyFill="1" applyAlignment="1">
      <alignment horizontal="center" vertical="center"/>
    </xf>
    <xf numFmtId="0" fontId="5" fillId="0" borderId="13" xfId="5" applyNumberFormat="1" applyFont="1" applyFill="1" applyAlignment="1">
      <alignment horizontal="center" vertical="center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14" xfId="5" applyNumberFormat="1" applyFont="1" applyFill="1" applyBorder="1" applyAlignment="1">
      <alignment horizontal="center" vertical="center" wrapText="1"/>
    </xf>
    <xf numFmtId="0" fontId="3" fillId="0" borderId="15" xfId="5" applyNumberFormat="1" applyFont="1" applyFill="1" applyBorder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selection sqref="A1:S1"/>
    </sheetView>
  </sheetViews>
  <sheetFormatPr defaultColWidth="14.42578125" defaultRowHeight="15" customHeight="1" x14ac:dyDescent="0.25"/>
  <cols>
    <col min="1" max="1" width="4.140625" style="4" customWidth="1"/>
    <col min="2" max="2" width="6.5703125" style="4" customWidth="1"/>
    <col min="3" max="3" width="40.42578125" style="4" customWidth="1"/>
    <col min="4" max="18" width="6.7109375" style="4" customWidth="1"/>
    <col min="19" max="19" width="11.28515625" style="4" customWidth="1"/>
    <col min="20" max="16384" width="14.42578125" style="4"/>
  </cols>
  <sheetData>
    <row r="1" spans="1:19" s="2" customFormat="1" ht="15" customHeight="1" x14ac:dyDescent="0.25">
      <c r="A1" s="65" t="s">
        <v>67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s="2" customFormat="1" ht="15" customHeight="1" x14ac:dyDescent="0.25">
      <c r="A2" s="65" t="s">
        <v>68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19" s="3" customFormat="1" ht="15" customHeight="1" x14ac:dyDescent="0.25">
      <c r="A3" s="66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19" s="2" customFormat="1" ht="15" customHeight="1" x14ac:dyDescent="0.25">
      <c r="A4" s="67" t="s">
        <v>65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spans="1:19" s="2" customFormat="1" ht="15" customHeight="1" x14ac:dyDescent="0.25">
      <c r="A5" s="67" t="s">
        <v>69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</row>
    <row r="6" spans="1:19" s="2" customFormat="1" ht="15" customHeight="1" x14ac:dyDescent="0.25">
      <c r="A6" s="64" t="s">
        <v>1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</row>
    <row r="7" spans="1:19" ht="15" customHeight="1" x14ac:dyDescent="0.25">
      <c r="A7" s="53" t="s">
        <v>2</v>
      </c>
      <c r="B7" s="55" t="s">
        <v>3</v>
      </c>
      <c r="C7" s="55" t="s">
        <v>4</v>
      </c>
      <c r="D7" s="56" t="s">
        <v>5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8"/>
    </row>
    <row r="8" spans="1:19" ht="15" customHeight="1" x14ac:dyDescent="0.25">
      <c r="A8" s="54"/>
      <c r="B8" s="54"/>
      <c r="C8" s="54"/>
      <c r="D8" s="50" t="s">
        <v>61</v>
      </c>
      <c r="E8" s="50" t="s">
        <v>62</v>
      </c>
      <c r="F8" s="50" t="s">
        <v>7</v>
      </c>
      <c r="G8" s="50" t="s">
        <v>15</v>
      </c>
      <c r="H8" s="50" t="s">
        <v>12</v>
      </c>
      <c r="I8" s="50" t="s">
        <v>63</v>
      </c>
      <c r="J8" s="50" t="s">
        <v>13</v>
      </c>
      <c r="K8" s="50" t="s">
        <v>10</v>
      </c>
      <c r="L8" s="50" t="s">
        <v>14</v>
      </c>
      <c r="M8" s="50" t="s">
        <v>8</v>
      </c>
      <c r="N8" s="50" t="s">
        <v>6</v>
      </c>
      <c r="O8" s="50" t="s">
        <v>11</v>
      </c>
      <c r="P8" s="50" t="s">
        <v>9</v>
      </c>
      <c r="Q8" s="50" t="s">
        <v>60</v>
      </c>
      <c r="R8" s="50" t="s">
        <v>64</v>
      </c>
      <c r="S8" s="61" t="s">
        <v>16</v>
      </c>
    </row>
    <row r="9" spans="1:19" ht="15" customHeight="1" x14ac:dyDescent="0.25">
      <c r="A9" s="54"/>
      <c r="B9" s="54"/>
      <c r="C9" s="54"/>
      <c r="D9" s="59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62"/>
    </row>
    <row r="10" spans="1:19" ht="102" customHeight="1" x14ac:dyDescent="0.25">
      <c r="A10" s="54"/>
      <c r="B10" s="54"/>
      <c r="C10" s="54"/>
      <c r="D10" s="6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3"/>
    </row>
    <row r="11" spans="1:19" ht="15" customHeight="1" x14ac:dyDescent="0.25">
      <c r="A11" s="22" t="s">
        <v>17</v>
      </c>
      <c r="B11" s="23">
        <v>1</v>
      </c>
      <c r="C11" s="14" t="s">
        <v>20</v>
      </c>
      <c r="D11" s="29">
        <v>8</v>
      </c>
      <c r="E11" s="25">
        <v>8</v>
      </c>
      <c r="F11" s="25">
        <v>7</v>
      </c>
      <c r="G11" s="30">
        <v>8</v>
      </c>
      <c r="H11" s="25">
        <v>5</v>
      </c>
      <c r="I11" s="29">
        <v>7</v>
      </c>
      <c r="J11" s="25">
        <v>10</v>
      </c>
      <c r="K11" s="25">
        <v>9</v>
      </c>
      <c r="L11" s="31">
        <v>8</v>
      </c>
      <c r="M11" s="32">
        <v>4</v>
      </c>
      <c r="N11" s="30">
        <v>9</v>
      </c>
      <c r="O11" s="25">
        <v>8</v>
      </c>
      <c r="P11" s="33">
        <v>5</v>
      </c>
      <c r="Q11" s="25">
        <v>10</v>
      </c>
      <c r="R11" s="25">
        <v>8</v>
      </c>
      <c r="S11" s="34">
        <f>IF(COUNTIF(D11:R11,"=*")&gt;0,"-",(AVERAGE(D11:R11)))</f>
        <v>7.6</v>
      </c>
    </row>
    <row r="12" spans="1:19" ht="15" customHeight="1" x14ac:dyDescent="0.25">
      <c r="A12" s="22" t="s">
        <v>17</v>
      </c>
      <c r="B12" s="23">
        <v>2</v>
      </c>
      <c r="C12" s="14" t="s">
        <v>21</v>
      </c>
      <c r="D12" s="24">
        <v>6</v>
      </c>
      <c r="E12" s="25">
        <v>7</v>
      </c>
      <c r="F12" s="22">
        <v>10</v>
      </c>
      <c r="G12" s="23">
        <v>8</v>
      </c>
      <c r="H12" s="22">
        <v>4</v>
      </c>
      <c r="I12" s="24">
        <v>9</v>
      </c>
      <c r="J12" s="22">
        <v>7</v>
      </c>
      <c r="K12" s="22">
        <v>9</v>
      </c>
      <c r="L12" s="26">
        <v>7</v>
      </c>
      <c r="M12" s="27">
        <v>5</v>
      </c>
      <c r="N12" s="23">
        <v>5</v>
      </c>
      <c r="O12" s="22">
        <v>6</v>
      </c>
      <c r="P12" s="28">
        <v>6</v>
      </c>
      <c r="Q12" s="22">
        <v>10</v>
      </c>
      <c r="R12" s="25">
        <v>8</v>
      </c>
      <c r="S12" s="34">
        <f t="shared" ref="S12:S22" si="0">IF(COUNTIF(D12:R12,"=*")&gt;0,"-",(AVERAGE(D12:R12)))</f>
        <v>7.1333333333333337</v>
      </c>
    </row>
    <row r="13" spans="1:19" ht="15" customHeight="1" x14ac:dyDescent="0.25">
      <c r="A13" s="22" t="s">
        <v>17</v>
      </c>
      <c r="B13" s="23">
        <v>3</v>
      </c>
      <c r="C13" s="14" t="s">
        <v>25</v>
      </c>
      <c r="D13" s="24">
        <v>8</v>
      </c>
      <c r="E13" s="25">
        <v>10</v>
      </c>
      <c r="F13" s="22">
        <v>10</v>
      </c>
      <c r="G13" s="22">
        <v>9</v>
      </c>
      <c r="H13" s="25">
        <v>7</v>
      </c>
      <c r="I13" s="24">
        <v>8</v>
      </c>
      <c r="J13" s="22">
        <v>11</v>
      </c>
      <c r="K13" s="22">
        <v>8</v>
      </c>
      <c r="L13" s="26">
        <v>8</v>
      </c>
      <c r="M13" s="27">
        <v>7</v>
      </c>
      <c r="N13" s="23">
        <v>8</v>
      </c>
      <c r="O13" s="22">
        <v>6</v>
      </c>
      <c r="P13" s="28">
        <v>7</v>
      </c>
      <c r="Q13" s="22">
        <v>8</v>
      </c>
      <c r="R13" s="25">
        <v>8</v>
      </c>
      <c r="S13" s="34">
        <f t="shared" si="0"/>
        <v>8.1999999999999993</v>
      </c>
    </row>
    <row r="14" spans="1:19" ht="15" customHeight="1" x14ac:dyDescent="0.25">
      <c r="A14" s="22" t="s">
        <v>17</v>
      </c>
      <c r="B14" s="23">
        <v>4</v>
      </c>
      <c r="C14" s="14" t="s">
        <v>29</v>
      </c>
      <c r="D14" s="24">
        <v>4</v>
      </c>
      <c r="E14" s="25">
        <v>6</v>
      </c>
      <c r="F14" s="22">
        <v>7</v>
      </c>
      <c r="G14" s="22">
        <v>8</v>
      </c>
      <c r="H14" s="22">
        <v>4</v>
      </c>
      <c r="I14" s="24">
        <v>5</v>
      </c>
      <c r="J14" s="22">
        <v>4</v>
      </c>
      <c r="K14" s="22">
        <v>6</v>
      </c>
      <c r="L14" s="26">
        <v>6</v>
      </c>
      <c r="M14" s="27" t="s">
        <v>70</v>
      </c>
      <c r="N14" s="23">
        <v>8</v>
      </c>
      <c r="O14" s="22">
        <v>9</v>
      </c>
      <c r="P14" s="28">
        <v>7</v>
      </c>
      <c r="Q14" s="22">
        <v>9</v>
      </c>
      <c r="R14" s="25">
        <v>7</v>
      </c>
      <c r="S14" s="34" t="str">
        <f t="shared" si="0"/>
        <v>-</v>
      </c>
    </row>
    <row r="15" spans="1:19" ht="15" customHeight="1" x14ac:dyDescent="0.25">
      <c r="A15" s="22" t="s">
        <v>22</v>
      </c>
      <c r="B15" s="23">
        <v>5</v>
      </c>
      <c r="C15" s="14" t="s">
        <v>30</v>
      </c>
      <c r="D15" s="24">
        <v>4</v>
      </c>
      <c r="E15" s="25">
        <v>7</v>
      </c>
      <c r="F15" s="22">
        <v>10</v>
      </c>
      <c r="G15" s="22">
        <v>4</v>
      </c>
      <c r="H15" s="22">
        <v>4</v>
      </c>
      <c r="I15" s="24">
        <v>6</v>
      </c>
      <c r="J15" s="22">
        <v>4</v>
      </c>
      <c r="K15" s="22">
        <v>4</v>
      </c>
      <c r="L15" s="26">
        <v>7</v>
      </c>
      <c r="M15" s="27">
        <v>4</v>
      </c>
      <c r="N15" s="23">
        <v>7</v>
      </c>
      <c r="O15" s="22">
        <v>8</v>
      </c>
      <c r="P15" s="28">
        <v>5</v>
      </c>
      <c r="Q15" s="22">
        <v>10</v>
      </c>
      <c r="R15" s="25">
        <v>6</v>
      </c>
      <c r="S15" s="34">
        <f t="shared" si="0"/>
        <v>6</v>
      </c>
    </row>
    <row r="16" spans="1:19" ht="15" customHeight="1" x14ac:dyDescent="0.25">
      <c r="A16" s="22" t="s">
        <v>22</v>
      </c>
      <c r="B16" s="23">
        <v>6</v>
      </c>
      <c r="C16" s="14" t="s">
        <v>33</v>
      </c>
      <c r="D16" s="24">
        <v>4</v>
      </c>
      <c r="E16" s="25">
        <v>6</v>
      </c>
      <c r="F16" s="22">
        <v>10</v>
      </c>
      <c r="G16" s="22">
        <v>4</v>
      </c>
      <c r="H16" s="22">
        <v>5</v>
      </c>
      <c r="I16" s="24">
        <v>6</v>
      </c>
      <c r="J16" s="22">
        <v>4</v>
      </c>
      <c r="K16" s="22">
        <v>6</v>
      </c>
      <c r="L16" s="26">
        <v>7</v>
      </c>
      <c r="M16" s="27">
        <v>4</v>
      </c>
      <c r="N16" s="23">
        <v>5</v>
      </c>
      <c r="O16" s="22">
        <v>7</v>
      </c>
      <c r="P16" s="28">
        <v>6</v>
      </c>
      <c r="Q16" s="22">
        <v>6</v>
      </c>
      <c r="R16" s="25">
        <v>7</v>
      </c>
      <c r="S16" s="34">
        <f t="shared" si="0"/>
        <v>5.8</v>
      </c>
    </row>
    <row r="17" spans="1:22" ht="15" customHeight="1" x14ac:dyDescent="0.25">
      <c r="A17" s="22" t="s">
        <v>17</v>
      </c>
      <c r="B17" s="23">
        <v>7</v>
      </c>
      <c r="C17" s="14" t="s">
        <v>35</v>
      </c>
      <c r="D17" s="24">
        <v>4</v>
      </c>
      <c r="E17" s="25">
        <v>5</v>
      </c>
      <c r="F17" s="22">
        <v>10</v>
      </c>
      <c r="G17" s="22">
        <v>8</v>
      </c>
      <c r="H17" s="22">
        <v>4</v>
      </c>
      <c r="I17" s="24" t="s">
        <v>70</v>
      </c>
      <c r="J17" s="22">
        <v>4</v>
      </c>
      <c r="K17" s="22">
        <v>8</v>
      </c>
      <c r="L17" s="26">
        <v>6</v>
      </c>
      <c r="M17" s="27">
        <v>4</v>
      </c>
      <c r="N17" s="23">
        <v>5</v>
      </c>
      <c r="O17" s="22">
        <v>7</v>
      </c>
      <c r="P17" s="28">
        <v>6</v>
      </c>
      <c r="Q17" s="22">
        <v>6</v>
      </c>
      <c r="R17" s="25">
        <v>6</v>
      </c>
      <c r="S17" s="34" t="str">
        <f t="shared" si="0"/>
        <v>-</v>
      </c>
    </row>
    <row r="18" spans="1:22" ht="15" customHeight="1" x14ac:dyDescent="0.25">
      <c r="A18" s="22" t="s">
        <v>17</v>
      </c>
      <c r="B18" s="23">
        <v>8</v>
      </c>
      <c r="C18" s="14" t="s">
        <v>36</v>
      </c>
      <c r="D18" s="24">
        <v>11</v>
      </c>
      <c r="E18" s="25">
        <v>11</v>
      </c>
      <c r="F18" s="22">
        <v>10</v>
      </c>
      <c r="G18" s="22">
        <v>10</v>
      </c>
      <c r="H18" s="22">
        <v>10</v>
      </c>
      <c r="I18" s="24">
        <v>9</v>
      </c>
      <c r="J18" s="22">
        <v>8</v>
      </c>
      <c r="K18" s="22">
        <v>8</v>
      </c>
      <c r="L18" s="26">
        <v>8</v>
      </c>
      <c r="M18" s="27">
        <v>7</v>
      </c>
      <c r="N18" s="23">
        <v>10</v>
      </c>
      <c r="O18" s="22">
        <v>9</v>
      </c>
      <c r="P18" s="28">
        <v>10</v>
      </c>
      <c r="Q18" s="22">
        <v>10</v>
      </c>
      <c r="R18" s="25">
        <v>10</v>
      </c>
      <c r="S18" s="34">
        <f t="shared" si="0"/>
        <v>9.4</v>
      </c>
    </row>
    <row r="19" spans="1:22" ht="15" customHeight="1" x14ac:dyDescent="0.25">
      <c r="A19" s="22" t="s">
        <v>17</v>
      </c>
      <c r="B19" s="23">
        <v>9</v>
      </c>
      <c r="C19" s="14" t="s">
        <v>37</v>
      </c>
      <c r="D19" s="24" t="s">
        <v>70</v>
      </c>
      <c r="E19" s="25">
        <v>4</v>
      </c>
      <c r="F19" s="22">
        <v>9</v>
      </c>
      <c r="G19" s="22">
        <v>5</v>
      </c>
      <c r="H19" s="22">
        <v>4</v>
      </c>
      <c r="I19" s="24" t="s">
        <v>70</v>
      </c>
      <c r="J19" s="22">
        <v>4</v>
      </c>
      <c r="K19" s="22">
        <v>4</v>
      </c>
      <c r="L19" s="26" t="s">
        <v>70</v>
      </c>
      <c r="M19" s="27" t="s">
        <v>70</v>
      </c>
      <c r="N19" s="23">
        <v>8</v>
      </c>
      <c r="O19" s="22">
        <v>4</v>
      </c>
      <c r="P19" s="28">
        <v>5</v>
      </c>
      <c r="Q19" s="22">
        <v>5</v>
      </c>
      <c r="R19" s="25">
        <v>4</v>
      </c>
      <c r="S19" s="34" t="str">
        <f t="shared" si="0"/>
        <v>-</v>
      </c>
    </row>
    <row r="20" spans="1:22" ht="15" customHeight="1" x14ac:dyDescent="0.25">
      <c r="A20" s="22" t="s">
        <v>17</v>
      </c>
      <c r="B20" s="23">
        <v>10</v>
      </c>
      <c r="C20" s="14" t="s">
        <v>38</v>
      </c>
      <c r="D20" s="24">
        <v>7</v>
      </c>
      <c r="E20" s="25">
        <v>6</v>
      </c>
      <c r="F20" s="22">
        <v>10</v>
      </c>
      <c r="G20" s="22">
        <v>9</v>
      </c>
      <c r="H20" s="22">
        <v>5</v>
      </c>
      <c r="I20" s="24">
        <v>7</v>
      </c>
      <c r="J20" s="22">
        <v>7</v>
      </c>
      <c r="K20" s="22">
        <v>5</v>
      </c>
      <c r="L20" s="26">
        <v>7</v>
      </c>
      <c r="M20" s="27" t="s">
        <v>70</v>
      </c>
      <c r="N20" s="23">
        <v>7</v>
      </c>
      <c r="O20" s="22">
        <v>7</v>
      </c>
      <c r="P20" s="28">
        <v>6</v>
      </c>
      <c r="Q20" s="22">
        <v>6</v>
      </c>
      <c r="R20" s="25">
        <v>6</v>
      </c>
      <c r="S20" s="34" t="str">
        <f t="shared" si="0"/>
        <v>-</v>
      </c>
    </row>
    <row r="21" spans="1:22" ht="15" customHeight="1" x14ac:dyDescent="0.25">
      <c r="A21" s="22" t="s">
        <v>17</v>
      </c>
      <c r="B21" s="23">
        <v>11</v>
      </c>
      <c r="C21" s="14" t="s">
        <v>40</v>
      </c>
      <c r="D21" s="24">
        <v>5</v>
      </c>
      <c r="E21" s="22">
        <v>5</v>
      </c>
      <c r="F21" s="22">
        <v>10</v>
      </c>
      <c r="G21" s="22">
        <v>8</v>
      </c>
      <c r="H21" s="22">
        <v>5</v>
      </c>
      <c r="I21" s="24">
        <v>8</v>
      </c>
      <c r="J21" s="22">
        <v>4</v>
      </c>
      <c r="K21" s="22">
        <v>4</v>
      </c>
      <c r="L21" s="26">
        <v>4</v>
      </c>
      <c r="M21" s="27" t="s">
        <v>70</v>
      </c>
      <c r="N21" s="23">
        <v>7</v>
      </c>
      <c r="O21" s="22">
        <v>7</v>
      </c>
      <c r="P21" s="28">
        <v>5</v>
      </c>
      <c r="Q21" s="22">
        <v>6</v>
      </c>
      <c r="R21" s="25">
        <v>6</v>
      </c>
      <c r="S21" s="34" t="str">
        <f t="shared" si="0"/>
        <v>-</v>
      </c>
    </row>
    <row r="22" spans="1:22" ht="15.75" customHeight="1" x14ac:dyDescent="0.25">
      <c r="C22" s="36" t="s">
        <v>44</v>
      </c>
      <c r="D22" s="37">
        <f t="shared" ref="D22:R22" si="1">AVERAGE(D11:D21)</f>
        <v>6.1</v>
      </c>
      <c r="E22" s="37">
        <f t="shared" si="1"/>
        <v>6.8181818181818183</v>
      </c>
      <c r="F22" s="37">
        <f t="shared" si="1"/>
        <v>9.3636363636363633</v>
      </c>
      <c r="G22" s="37">
        <f t="shared" si="1"/>
        <v>7.3636363636363633</v>
      </c>
      <c r="H22" s="37">
        <f t="shared" si="1"/>
        <v>5.1818181818181817</v>
      </c>
      <c r="I22" s="37">
        <f t="shared" si="1"/>
        <v>7.2222222222222223</v>
      </c>
      <c r="J22" s="37">
        <f t="shared" si="1"/>
        <v>6.0909090909090908</v>
      </c>
      <c r="K22" s="37">
        <f t="shared" si="1"/>
        <v>6.4545454545454541</v>
      </c>
      <c r="L22" s="37">
        <f t="shared" si="1"/>
        <v>6.8</v>
      </c>
      <c r="M22" s="38">
        <f t="shared" si="1"/>
        <v>5</v>
      </c>
      <c r="N22" s="39">
        <f t="shared" si="1"/>
        <v>7.1818181818181817</v>
      </c>
      <c r="O22" s="40">
        <f t="shared" si="1"/>
        <v>7.0909090909090908</v>
      </c>
      <c r="P22" s="41">
        <f t="shared" si="1"/>
        <v>6.1818181818181817</v>
      </c>
      <c r="Q22" s="40">
        <f t="shared" si="1"/>
        <v>7.8181818181818183</v>
      </c>
      <c r="R22" s="37">
        <f t="shared" si="1"/>
        <v>6.9090909090909092</v>
      </c>
      <c r="S22" s="34">
        <f t="shared" si="0"/>
        <v>6.7717845117845119</v>
      </c>
    </row>
    <row r="23" spans="1:22" ht="15.75" customHeight="1" x14ac:dyDescent="0.25">
      <c r="C23" s="42" t="s">
        <v>45</v>
      </c>
      <c r="D23" s="43">
        <f>(COUNT(D11:D21))/(COUNT(B11:B21))*100</f>
        <v>90.909090909090907</v>
      </c>
      <c r="E23" s="43">
        <f>(COUNT(E11:E21))/(COUNT(B11:B21))*100</f>
        <v>100</v>
      </c>
      <c r="F23" s="43">
        <f>(COUNT(F11:F21))/(COUNT(B11:B21))*100</f>
        <v>100</v>
      </c>
      <c r="G23" s="43">
        <f>(COUNT(G11:G21))/(COUNT(B11:B21))*100</f>
        <v>100</v>
      </c>
      <c r="H23" s="43">
        <f>(COUNT(H11:H21))/(COUNT(B11:B21))*100</f>
        <v>100</v>
      </c>
      <c r="I23" s="43">
        <f>(COUNT(I11:I21))/(COUNT(B11:B21))*100</f>
        <v>81.818181818181827</v>
      </c>
      <c r="J23" s="43">
        <f>(COUNT(J11:J21))/(COUNT(B11:B21))*100</f>
        <v>100</v>
      </c>
      <c r="K23" s="43">
        <f>(COUNT(K11:K21))/(COUNT(B11:B21))*100</f>
        <v>100</v>
      </c>
      <c r="L23" s="43">
        <f>(COUNT(L11:L21))/(COUNT(B11:B21))*100</f>
        <v>90.909090909090907</v>
      </c>
      <c r="M23" s="43">
        <f>(COUNT(M11:M21))/(COUNT(B11:B21))*100</f>
        <v>63.636363636363633</v>
      </c>
      <c r="N23" s="43">
        <f>(COUNT(N11:N21))/(COUNT(B11:B21))*100</f>
        <v>100</v>
      </c>
      <c r="O23" s="43">
        <f>(COUNT(O11:O21))/(COUNT(B11:B21))*100</f>
        <v>100</v>
      </c>
      <c r="P23" s="43">
        <f>(COUNT(P11:P21))/(COUNT(B11:B21))*100</f>
        <v>100</v>
      </c>
      <c r="Q23" s="43">
        <f>(COUNT(Q11:Q21))/(COUNT(B11:B21))*100</f>
        <v>100</v>
      </c>
      <c r="R23" s="44">
        <f>(COUNT(R11:R21))/(COUNT(B11:B21))*100</f>
        <v>100</v>
      </c>
      <c r="S23" s="45"/>
      <c r="T23" s="45"/>
      <c r="U23" s="45"/>
      <c r="V23" s="45"/>
    </row>
    <row r="24" spans="1:22" ht="15.75" customHeight="1" x14ac:dyDescent="0.25">
      <c r="C24" s="46" t="s">
        <v>46</v>
      </c>
      <c r="D24" s="47">
        <f>(COUNTIF(D11:D21,"&gt;=7"))/(COUNT(B11:B21))*100</f>
        <v>36.363636363636367</v>
      </c>
      <c r="E24" s="47">
        <f>(COUNTIF(E11:E21,"&gt;=7"))/(COUNT(B11:B21))*100</f>
        <v>45.454545454545453</v>
      </c>
      <c r="F24" s="47">
        <f>(COUNTIF(F11:F21,"&gt;=7"))/(COUNT(B11:B21))*100</f>
        <v>100</v>
      </c>
      <c r="G24" s="47">
        <f>(COUNTIF(G11:G21,"&gt;=7"))/(COUNT(B11:B21))*100</f>
        <v>72.727272727272734</v>
      </c>
      <c r="H24" s="47">
        <f>(COUNTIF(H11:H21,"&gt;=7"))/(COUNT(B11:B21))*100</f>
        <v>18.181818181818183</v>
      </c>
      <c r="I24" s="47">
        <f>(COUNTIF(I11:I21,"&gt;=7"))/(COUNT(B11:B21))*100</f>
        <v>54.54545454545454</v>
      </c>
      <c r="J24" s="47">
        <f>(COUNTIF(J11:J21,"&gt;=7"))/(COUNT(B11:B21))*100</f>
        <v>45.454545454545453</v>
      </c>
      <c r="K24" s="47">
        <f>(COUNTIF(K11:K21,"&gt;=7"))/(COUNT(B11:B21))*100</f>
        <v>45.454545454545453</v>
      </c>
      <c r="L24" s="47">
        <f>(COUNTIF(L11:L21,"&gt;=7"))/(COUNT(B11:B21))*100</f>
        <v>63.636363636363633</v>
      </c>
      <c r="M24" s="47">
        <f>(COUNTIF(M11:M21,"&gt;=7"))/(COUNT(B11:B21))*100</f>
        <v>18.181818181818183</v>
      </c>
      <c r="N24" s="47">
        <f>(COUNTIF(N11:N21,"&gt;=7"))/(COUNT(B11:B21))*100</f>
        <v>72.727272727272734</v>
      </c>
      <c r="O24" s="47">
        <f>(COUNTIF(O11:O21,"&gt;=7"))/(COUNT(B11:B21))*100</f>
        <v>72.727272727272734</v>
      </c>
      <c r="P24" s="47">
        <f>(COUNTIF(P11:P21,"&gt;=7"))/(COUNT(B11:B21))*100</f>
        <v>27.27272727272727</v>
      </c>
      <c r="Q24" s="47">
        <f>(COUNTIF(Q11:Q21,"&gt;=7"))/(COUNT(B11:B21))*100</f>
        <v>54.54545454545454</v>
      </c>
      <c r="R24" s="48">
        <f>(COUNTIF(R11:R21,"&gt;=7"))/(COUNT(B11:B21))*100</f>
        <v>54.54545454545454</v>
      </c>
      <c r="S24" s="45"/>
      <c r="T24" s="45"/>
      <c r="U24" s="45"/>
      <c r="V24" s="45"/>
    </row>
    <row r="25" spans="1:22" ht="15.75" customHeight="1" x14ac:dyDescent="0.25">
      <c r="C25" s="46" t="s">
        <v>47</v>
      </c>
      <c r="D25" s="37">
        <f>AVERAGE(D23:R23)</f>
        <v>95.151515151515156</v>
      </c>
      <c r="S25" s="45"/>
      <c r="T25" s="45"/>
      <c r="U25" s="45"/>
      <c r="V25" s="45"/>
    </row>
    <row r="26" spans="1:22" ht="15.75" customHeight="1" x14ac:dyDescent="0.25">
      <c r="C26" s="46" t="s">
        <v>48</v>
      </c>
      <c r="D26" s="37">
        <f>AVERAGE(D24:R24)</f>
        <v>52.121212121212118</v>
      </c>
      <c r="S26" s="45"/>
      <c r="T26" s="45"/>
      <c r="U26" s="45"/>
      <c r="V26" s="45"/>
    </row>
    <row r="27" spans="1:22" ht="15.75" customHeight="1" x14ac:dyDescent="0.25">
      <c r="C27" s="46" t="s">
        <v>49</v>
      </c>
      <c r="D27" s="31">
        <f>COUNTIF(A11:A21,"=Б")</f>
        <v>9</v>
      </c>
      <c r="S27" s="45"/>
      <c r="T27" s="45"/>
      <c r="U27" s="45"/>
      <c r="V27" s="45"/>
    </row>
    <row r="28" spans="1:22" ht="15.75" customHeight="1" x14ac:dyDescent="0.25">
      <c r="C28" s="46" t="s">
        <v>50</v>
      </c>
      <c r="D28" s="31">
        <f>COUNTIF(A11:A21,"=К")</f>
        <v>2</v>
      </c>
      <c r="G28" s="16" t="s">
        <v>53</v>
      </c>
      <c r="N28" s="16" t="s">
        <v>54</v>
      </c>
    </row>
    <row r="29" spans="1:22" ht="15.75" customHeight="1" x14ac:dyDescent="0.25">
      <c r="C29" s="46" t="s">
        <v>51</v>
      </c>
      <c r="D29" s="31">
        <v>1</v>
      </c>
    </row>
    <row r="30" spans="1:22" ht="15.75" customHeight="1" x14ac:dyDescent="0.25">
      <c r="C30" s="46" t="s">
        <v>52</v>
      </c>
      <c r="D30" s="31">
        <f>INT(D27/100*40)</f>
        <v>3</v>
      </c>
      <c r="G30" s="16" t="s">
        <v>55</v>
      </c>
      <c r="N30" s="16" t="s">
        <v>56</v>
      </c>
    </row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A1:S1"/>
    <mergeCell ref="A2:S2"/>
    <mergeCell ref="A3:S3"/>
    <mergeCell ref="A4:S4"/>
    <mergeCell ref="A5:S5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rintOptions horizontalCentered="1" verticalCentered="1"/>
  <pageMargins left="0.70866141732283472" right="0.70866141732283472" top="0" bottom="0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3"/>
  <sheetViews>
    <sheetView tabSelected="1" topLeftCell="A13" workbookViewId="0">
      <selection activeCell="T25" sqref="T25"/>
    </sheetView>
  </sheetViews>
  <sheetFormatPr defaultColWidth="14.42578125" defaultRowHeight="15" customHeight="1" x14ac:dyDescent="0.25"/>
  <cols>
    <col min="1" max="1" width="4.140625" style="4" customWidth="1"/>
    <col min="2" max="2" width="6.5703125" style="4" customWidth="1"/>
    <col min="3" max="3" width="40.42578125" style="4" customWidth="1"/>
    <col min="4" max="18" width="6.7109375" style="4" customWidth="1"/>
    <col min="19" max="19" width="11.28515625" style="4" customWidth="1"/>
    <col min="20" max="16384" width="14.42578125" style="4"/>
  </cols>
  <sheetData>
    <row r="1" spans="1:19" s="2" customFormat="1" ht="15" customHeight="1" x14ac:dyDescent="0.25">
      <c r="A1" s="67" t="s">
        <v>67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19" s="2" customFormat="1" ht="15" customHeight="1" x14ac:dyDescent="0.25">
      <c r="A2" s="67" t="s">
        <v>68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s="3" customFormat="1" ht="15" customHeight="1" x14ac:dyDescent="0.25">
      <c r="A3" s="66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19" s="2" customFormat="1" ht="15" customHeight="1" x14ac:dyDescent="0.25">
      <c r="A4" s="67" t="s">
        <v>71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spans="1:19" s="2" customFormat="1" ht="15" customHeight="1" x14ac:dyDescent="0.25">
      <c r="A5" s="67" t="s">
        <v>69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</row>
    <row r="6" spans="1:19" s="2" customFormat="1" ht="15" customHeight="1" x14ac:dyDescent="0.25">
      <c r="A6" s="64" t="s">
        <v>1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</row>
    <row r="7" spans="1:19" ht="15" customHeight="1" x14ac:dyDescent="0.25">
      <c r="A7" s="53" t="s">
        <v>2</v>
      </c>
      <c r="B7" s="55" t="s">
        <v>3</v>
      </c>
      <c r="C7" s="55" t="s">
        <v>4</v>
      </c>
      <c r="D7" s="56" t="s">
        <v>5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8"/>
    </row>
    <row r="8" spans="1:19" ht="15" customHeight="1" x14ac:dyDescent="0.25">
      <c r="A8" s="54"/>
      <c r="B8" s="54"/>
      <c r="C8" s="54"/>
      <c r="D8" s="50" t="s">
        <v>61</v>
      </c>
      <c r="E8" s="50" t="s">
        <v>62</v>
      </c>
      <c r="F8" s="50" t="s">
        <v>7</v>
      </c>
      <c r="G8" s="50" t="s">
        <v>15</v>
      </c>
      <c r="H8" s="50" t="s">
        <v>12</v>
      </c>
      <c r="I8" s="50" t="s">
        <v>63</v>
      </c>
      <c r="J8" s="50" t="s">
        <v>13</v>
      </c>
      <c r="K8" s="50" t="s">
        <v>10</v>
      </c>
      <c r="L8" s="50" t="s">
        <v>14</v>
      </c>
      <c r="M8" s="50" t="s">
        <v>8</v>
      </c>
      <c r="N8" s="50" t="s">
        <v>6</v>
      </c>
      <c r="O8" s="50" t="s">
        <v>11</v>
      </c>
      <c r="P8" s="50" t="s">
        <v>9</v>
      </c>
      <c r="Q8" s="50" t="s">
        <v>60</v>
      </c>
      <c r="R8" s="50" t="s">
        <v>64</v>
      </c>
      <c r="S8" s="61" t="s">
        <v>16</v>
      </c>
    </row>
    <row r="9" spans="1:19" ht="15" customHeight="1" x14ac:dyDescent="0.25">
      <c r="A9" s="54"/>
      <c r="B9" s="54"/>
      <c r="C9" s="54"/>
      <c r="D9" s="59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62"/>
    </row>
    <row r="10" spans="1:19" ht="102" customHeight="1" x14ac:dyDescent="0.25">
      <c r="A10" s="54"/>
      <c r="B10" s="54"/>
      <c r="C10" s="54"/>
      <c r="D10" s="6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3"/>
    </row>
    <row r="11" spans="1:19" ht="15" customHeight="1" x14ac:dyDescent="0.25">
      <c r="A11" s="22" t="s">
        <v>17</v>
      </c>
      <c r="B11" s="23">
        <v>1</v>
      </c>
      <c r="C11" s="14" t="s">
        <v>18</v>
      </c>
      <c r="D11" s="29">
        <v>4</v>
      </c>
      <c r="E11" s="25">
        <v>4</v>
      </c>
      <c r="F11" s="25">
        <v>4</v>
      </c>
      <c r="G11" s="30">
        <v>4</v>
      </c>
      <c r="H11" s="25">
        <v>4</v>
      </c>
      <c r="I11" s="29" t="s">
        <v>70</v>
      </c>
      <c r="J11" s="25">
        <v>4</v>
      </c>
      <c r="K11" s="25">
        <v>5</v>
      </c>
      <c r="L11" s="31">
        <v>4</v>
      </c>
      <c r="M11" s="32">
        <v>4</v>
      </c>
      <c r="N11" s="30">
        <v>4</v>
      </c>
      <c r="O11" s="25">
        <v>5</v>
      </c>
      <c r="P11" s="33">
        <v>4</v>
      </c>
      <c r="Q11" s="25" t="s">
        <v>70</v>
      </c>
      <c r="R11" s="25">
        <v>4</v>
      </c>
      <c r="S11" s="34" t="str">
        <f>IF(COUNTIF(D11:R11,"=*")&gt;0,"-",(AVERAGE(D11:R11)))</f>
        <v>-</v>
      </c>
    </row>
    <row r="12" spans="1:19" ht="15" customHeight="1" x14ac:dyDescent="0.25">
      <c r="A12" s="22" t="s">
        <v>17</v>
      </c>
      <c r="B12" s="23">
        <v>2</v>
      </c>
      <c r="C12" s="14" t="s">
        <v>19</v>
      </c>
      <c r="D12" s="24" t="s">
        <v>70</v>
      </c>
      <c r="E12" s="25">
        <v>4</v>
      </c>
      <c r="F12" s="22">
        <v>5</v>
      </c>
      <c r="G12" s="23">
        <v>4</v>
      </c>
      <c r="H12" s="22">
        <v>4</v>
      </c>
      <c r="I12" s="24" t="s">
        <v>70</v>
      </c>
      <c r="J12" s="22">
        <v>4</v>
      </c>
      <c r="K12" s="22">
        <v>4</v>
      </c>
      <c r="L12" s="26" t="s">
        <v>70</v>
      </c>
      <c r="M12" s="27" t="s">
        <v>70</v>
      </c>
      <c r="N12" s="23">
        <v>4</v>
      </c>
      <c r="O12" s="22">
        <v>5</v>
      </c>
      <c r="P12" s="28">
        <v>5</v>
      </c>
      <c r="Q12" s="22">
        <v>4</v>
      </c>
      <c r="R12" s="25">
        <v>5</v>
      </c>
      <c r="S12" s="34" t="str">
        <f t="shared" ref="S12:S25" si="0">IF(COUNTIF(D12:R12,"=*")&gt;0,"-",(AVERAGE(D12:R12)))</f>
        <v>-</v>
      </c>
    </row>
    <row r="13" spans="1:19" ht="15" customHeight="1" x14ac:dyDescent="0.25">
      <c r="A13" s="22" t="s">
        <v>17</v>
      </c>
      <c r="B13" s="23">
        <v>3</v>
      </c>
      <c r="C13" s="14" t="s">
        <v>23</v>
      </c>
      <c r="D13" s="24">
        <v>5</v>
      </c>
      <c r="E13" s="25">
        <v>5</v>
      </c>
      <c r="F13" s="22">
        <v>9</v>
      </c>
      <c r="G13" s="22">
        <v>7</v>
      </c>
      <c r="H13" s="25">
        <v>4</v>
      </c>
      <c r="I13" s="24">
        <v>9</v>
      </c>
      <c r="J13" s="22">
        <v>4</v>
      </c>
      <c r="K13" s="22">
        <v>6</v>
      </c>
      <c r="L13" s="26" t="s">
        <v>70</v>
      </c>
      <c r="M13" s="27">
        <v>4</v>
      </c>
      <c r="N13" s="23">
        <v>5</v>
      </c>
      <c r="O13" s="22">
        <v>5</v>
      </c>
      <c r="P13" s="28">
        <v>5</v>
      </c>
      <c r="Q13" s="22">
        <v>6</v>
      </c>
      <c r="R13" s="25">
        <v>5</v>
      </c>
      <c r="S13" s="34" t="str">
        <f t="shared" si="0"/>
        <v>-</v>
      </c>
    </row>
    <row r="14" spans="1:19" ht="15" customHeight="1" x14ac:dyDescent="0.25">
      <c r="A14" s="22" t="s">
        <v>17</v>
      </c>
      <c r="B14" s="23">
        <v>4</v>
      </c>
      <c r="C14" s="14" t="s">
        <v>24</v>
      </c>
      <c r="D14" s="24">
        <v>4</v>
      </c>
      <c r="E14" s="25">
        <v>4</v>
      </c>
      <c r="F14" s="22">
        <v>4</v>
      </c>
      <c r="G14" s="22">
        <v>7</v>
      </c>
      <c r="H14" s="22">
        <v>4</v>
      </c>
      <c r="I14" s="24">
        <v>9</v>
      </c>
      <c r="J14" s="22">
        <v>4</v>
      </c>
      <c r="K14" s="22">
        <v>5</v>
      </c>
      <c r="L14" s="26" t="s">
        <v>70</v>
      </c>
      <c r="M14" s="27">
        <v>4</v>
      </c>
      <c r="N14" s="23">
        <v>4</v>
      </c>
      <c r="O14" s="22">
        <v>4</v>
      </c>
      <c r="P14" s="28">
        <v>5</v>
      </c>
      <c r="Q14" s="22">
        <v>6</v>
      </c>
      <c r="R14" s="25">
        <v>4</v>
      </c>
      <c r="S14" s="34" t="str">
        <f t="shared" si="0"/>
        <v>-</v>
      </c>
    </row>
    <row r="15" spans="1:19" ht="15" customHeight="1" x14ac:dyDescent="0.25">
      <c r="A15" s="22" t="s">
        <v>22</v>
      </c>
      <c r="B15" s="23">
        <v>5</v>
      </c>
      <c r="C15" s="14" t="s">
        <v>26</v>
      </c>
      <c r="D15" s="24" t="s">
        <v>70</v>
      </c>
      <c r="E15" s="25">
        <v>4</v>
      </c>
      <c r="F15" s="22">
        <v>4</v>
      </c>
      <c r="G15" s="22">
        <v>4</v>
      </c>
      <c r="H15" s="22">
        <v>4</v>
      </c>
      <c r="I15" s="24" t="s">
        <v>70</v>
      </c>
      <c r="J15" s="22">
        <v>4</v>
      </c>
      <c r="K15" s="22" t="s">
        <v>70</v>
      </c>
      <c r="L15" s="26" t="s">
        <v>70</v>
      </c>
      <c r="M15" s="27" t="s">
        <v>70</v>
      </c>
      <c r="N15" s="23">
        <v>4</v>
      </c>
      <c r="O15" s="22">
        <v>4</v>
      </c>
      <c r="P15" s="28">
        <v>4</v>
      </c>
      <c r="Q15" s="22" t="s">
        <v>70</v>
      </c>
      <c r="R15" s="25">
        <v>4</v>
      </c>
      <c r="S15" s="34" t="str">
        <f t="shared" si="0"/>
        <v>-</v>
      </c>
    </row>
    <row r="16" spans="1:19" ht="15" customHeight="1" x14ac:dyDescent="0.25">
      <c r="A16" s="22" t="s">
        <v>22</v>
      </c>
      <c r="B16" s="23">
        <v>6</v>
      </c>
      <c r="C16" s="14" t="s">
        <v>27</v>
      </c>
      <c r="D16" s="24">
        <v>9</v>
      </c>
      <c r="E16" s="25">
        <v>10</v>
      </c>
      <c r="F16" s="22">
        <v>10</v>
      </c>
      <c r="G16" s="22">
        <v>9</v>
      </c>
      <c r="H16" s="22">
        <v>5</v>
      </c>
      <c r="I16" s="24">
        <v>7</v>
      </c>
      <c r="J16" s="22">
        <v>9</v>
      </c>
      <c r="K16" s="22">
        <v>6</v>
      </c>
      <c r="L16" s="26">
        <v>8</v>
      </c>
      <c r="M16" s="27">
        <v>8</v>
      </c>
      <c r="N16" s="23">
        <v>7</v>
      </c>
      <c r="O16" s="22">
        <v>7</v>
      </c>
      <c r="P16" s="28">
        <v>10</v>
      </c>
      <c r="Q16" s="22">
        <v>9</v>
      </c>
      <c r="R16" s="25">
        <v>10</v>
      </c>
      <c r="S16" s="34">
        <f t="shared" si="0"/>
        <v>8.2666666666666675</v>
      </c>
    </row>
    <row r="17" spans="1:22" ht="15" customHeight="1" x14ac:dyDescent="0.25">
      <c r="A17" s="22" t="s">
        <v>17</v>
      </c>
      <c r="B17" s="23">
        <v>7</v>
      </c>
      <c r="C17" s="14" t="s">
        <v>28</v>
      </c>
      <c r="D17" s="24">
        <v>10</v>
      </c>
      <c r="E17" s="25">
        <v>9</v>
      </c>
      <c r="F17" s="22">
        <v>10</v>
      </c>
      <c r="G17" s="22">
        <v>10</v>
      </c>
      <c r="H17" s="22">
        <v>10</v>
      </c>
      <c r="I17" s="24">
        <v>9</v>
      </c>
      <c r="J17" s="22">
        <v>9</v>
      </c>
      <c r="K17" s="22">
        <v>10</v>
      </c>
      <c r="L17" s="26">
        <v>8</v>
      </c>
      <c r="M17" s="27">
        <v>7</v>
      </c>
      <c r="N17" s="23">
        <v>9</v>
      </c>
      <c r="O17" s="22">
        <v>9</v>
      </c>
      <c r="P17" s="35">
        <v>10</v>
      </c>
      <c r="Q17" s="22">
        <v>9</v>
      </c>
      <c r="R17" s="25">
        <v>9</v>
      </c>
      <c r="S17" s="34">
        <f t="shared" si="0"/>
        <v>9.1999999999999993</v>
      </c>
    </row>
    <row r="18" spans="1:22" ht="15" customHeight="1" x14ac:dyDescent="0.25">
      <c r="A18" s="22" t="s">
        <v>17</v>
      </c>
      <c r="B18" s="23">
        <v>8</v>
      </c>
      <c r="C18" s="14" t="s">
        <v>31</v>
      </c>
      <c r="D18" s="24">
        <v>9</v>
      </c>
      <c r="E18" s="25">
        <v>10</v>
      </c>
      <c r="F18" s="22">
        <v>10</v>
      </c>
      <c r="G18" s="22">
        <v>9</v>
      </c>
      <c r="H18" s="22">
        <v>9</v>
      </c>
      <c r="I18" s="24">
        <v>9</v>
      </c>
      <c r="J18" s="22">
        <v>9</v>
      </c>
      <c r="K18" s="22">
        <v>7</v>
      </c>
      <c r="L18" s="26">
        <v>8</v>
      </c>
      <c r="M18" s="27">
        <v>6</v>
      </c>
      <c r="N18" s="23">
        <v>8</v>
      </c>
      <c r="O18" s="22">
        <v>9</v>
      </c>
      <c r="P18" s="28">
        <v>9</v>
      </c>
      <c r="Q18" s="22">
        <v>10</v>
      </c>
      <c r="R18" s="25">
        <v>8</v>
      </c>
      <c r="S18" s="34">
        <f t="shared" si="0"/>
        <v>8.6666666666666661</v>
      </c>
    </row>
    <row r="19" spans="1:22" ht="15" customHeight="1" x14ac:dyDescent="0.25">
      <c r="A19" s="22" t="s">
        <v>17</v>
      </c>
      <c r="B19" s="23">
        <v>9</v>
      </c>
      <c r="C19" s="14" t="s">
        <v>32</v>
      </c>
      <c r="D19" s="24">
        <v>4</v>
      </c>
      <c r="E19" s="25">
        <v>5</v>
      </c>
      <c r="F19" s="22">
        <v>7</v>
      </c>
      <c r="G19" s="22">
        <v>8</v>
      </c>
      <c r="H19" s="22">
        <v>4</v>
      </c>
      <c r="I19" s="24">
        <v>4</v>
      </c>
      <c r="J19" s="22">
        <v>4</v>
      </c>
      <c r="K19" s="22" t="s">
        <v>70</v>
      </c>
      <c r="L19" s="26" t="s">
        <v>70</v>
      </c>
      <c r="M19" s="27">
        <v>4</v>
      </c>
      <c r="N19" s="23">
        <v>4</v>
      </c>
      <c r="O19" s="22">
        <v>5</v>
      </c>
      <c r="P19" s="28">
        <v>5</v>
      </c>
      <c r="Q19" s="22">
        <v>4</v>
      </c>
      <c r="R19" s="25">
        <v>5</v>
      </c>
      <c r="S19" s="34" t="str">
        <f t="shared" si="0"/>
        <v>-</v>
      </c>
    </row>
    <row r="20" spans="1:22" ht="15" customHeight="1" x14ac:dyDescent="0.25">
      <c r="A20" s="22" t="s">
        <v>22</v>
      </c>
      <c r="B20" s="23">
        <v>10</v>
      </c>
      <c r="C20" s="14" t="s">
        <v>34</v>
      </c>
      <c r="D20" s="24">
        <v>5</v>
      </c>
      <c r="E20" s="25">
        <v>7</v>
      </c>
      <c r="F20" s="22">
        <v>9</v>
      </c>
      <c r="G20" s="22">
        <v>6</v>
      </c>
      <c r="H20" s="22">
        <v>4</v>
      </c>
      <c r="I20" s="24">
        <v>4</v>
      </c>
      <c r="J20" s="22">
        <v>4</v>
      </c>
      <c r="K20" s="22">
        <v>4</v>
      </c>
      <c r="L20" s="26">
        <v>4</v>
      </c>
      <c r="M20" s="27">
        <v>4</v>
      </c>
      <c r="N20" s="23">
        <v>8</v>
      </c>
      <c r="O20" s="22">
        <v>9</v>
      </c>
      <c r="P20" s="28">
        <v>7</v>
      </c>
      <c r="Q20" s="22">
        <v>6</v>
      </c>
      <c r="R20" s="25">
        <v>6</v>
      </c>
      <c r="S20" s="34">
        <f t="shared" si="0"/>
        <v>5.8</v>
      </c>
    </row>
    <row r="21" spans="1:22" ht="15" customHeight="1" x14ac:dyDescent="0.25">
      <c r="A21" s="22" t="s">
        <v>17</v>
      </c>
      <c r="B21" s="23">
        <v>11</v>
      </c>
      <c r="C21" s="14" t="s">
        <v>39</v>
      </c>
      <c r="D21" s="24">
        <v>4</v>
      </c>
      <c r="E21" s="25">
        <v>5</v>
      </c>
      <c r="F21" s="22">
        <v>9</v>
      </c>
      <c r="G21" s="22">
        <v>7</v>
      </c>
      <c r="H21" s="22">
        <v>4</v>
      </c>
      <c r="I21" s="24" t="s">
        <v>70</v>
      </c>
      <c r="J21" s="22">
        <v>4</v>
      </c>
      <c r="K21" s="22">
        <v>4</v>
      </c>
      <c r="L21" s="26">
        <v>5</v>
      </c>
      <c r="M21" s="27">
        <v>4</v>
      </c>
      <c r="N21" s="23">
        <v>6</v>
      </c>
      <c r="O21" s="22">
        <v>6</v>
      </c>
      <c r="P21" s="28">
        <v>4</v>
      </c>
      <c r="Q21" s="22">
        <v>7</v>
      </c>
      <c r="R21" s="25">
        <v>4</v>
      </c>
      <c r="S21" s="34" t="str">
        <f t="shared" si="0"/>
        <v>-</v>
      </c>
    </row>
    <row r="22" spans="1:22" ht="15" customHeight="1" x14ac:dyDescent="0.25">
      <c r="A22" s="22" t="s">
        <v>17</v>
      </c>
      <c r="B22" s="23">
        <v>12</v>
      </c>
      <c r="C22" s="14" t="s">
        <v>41</v>
      </c>
      <c r="D22" s="29" t="s">
        <v>70</v>
      </c>
      <c r="E22" s="25">
        <v>6</v>
      </c>
      <c r="F22" s="25">
        <v>9</v>
      </c>
      <c r="G22" s="30">
        <v>4</v>
      </c>
      <c r="H22" s="25">
        <v>4</v>
      </c>
      <c r="I22" s="29" t="s">
        <v>70</v>
      </c>
      <c r="J22" s="25">
        <v>4</v>
      </c>
      <c r="K22" s="25">
        <v>4</v>
      </c>
      <c r="L22" s="31" t="s">
        <v>70</v>
      </c>
      <c r="M22" s="32" t="s">
        <v>70</v>
      </c>
      <c r="N22" s="30">
        <v>5</v>
      </c>
      <c r="O22" s="25">
        <v>6</v>
      </c>
      <c r="P22" s="33">
        <v>4</v>
      </c>
      <c r="Q22" s="25" t="s">
        <v>70</v>
      </c>
      <c r="R22" s="25">
        <v>5</v>
      </c>
      <c r="S22" s="34" t="str">
        <f t="shared" si="0"/>
        <v>-</v>
      </c>
    </row>
    <row r="23" spans="1:22" ht="15" customHeight="1" x14ac:dyDescent="0.25">
      <c r="A23" s="22" t="s">
        <v>17</v>
      </c>
      <c r="B23" s="23">
        <v>13</v>
      </c>
      <c r="C23" s="14" t="s">
        <v>42</v>
      </c>
      <c r="D23" s="24" t="s">
        <v>70</v>
      </c>
      <c r="E23" s="25" t="s">
        <v>70</v>
      </c>
      <c r="F23" s="22">
        <v>4</v>
      </c>
      <c r="G23" s="23">
        <v>4</v>
      </c>
      <c r="H23" s="22">
        <v>4</v>
      </c>
      <c r="I23" s="24" t="s">
        <v>70</v>
      </c>
      <c r="J23" s="22">
        <v>4</v>
      </c>
      <c r="K23" s="22" t="s">
        <v>70</v>
      </c>
      <c r="L23" s="26" t="s">
        <v>70</v>
      </c>
      <c r="M23" s="27" t="s">
        <v>70</v>
      </c>
      <c r="N23" s="23" t="s">
        <v>70</v>
      </c>
      <c r="O23" s="22" t="s">
        <v>70</v>
      </c>
      <c r="P23" s="28">
        <v>4</v>
      </c>
      <c r="Q23" s="22" t="s">
        <v>70</v>
      </c>
      <c r="R23" s="25" t="s">
        <v>70</v>
      </c>
      <c r="S23" s="34" t="str">
        <f t="shared" si="0"/>
        <v>-</v>
      </c>
    </row>
    <row r="24" spans="1:22" ht="15" customHeight="1" x14ac:dyDescent="0.25">
      <c r="A24" s="22" t="s">
        <v>17</v>
      </c>
      <c r="B24" s="23">
        <v>14</v>
      </c>
      <c r="C24" s="14" t="s">
        <v>43</v>
      </c>
      <c r="D24" s="24">
        <v>4</v>
      </c>
      <c r="E24" s="25">
        <v>8</v>
      </c>
      <c r="F24" s="22">
        <v>10</v>
      </c>
      <c r="G24" s="22">
        <v>7</v>
      </c>
      <c r="H24" s="25">
        <v>4</v>
      </c>
      <c r="I24" s="24">
        <v>6</v>
      </c>
      <c r="J24" s="22">
        <v>4</v>
      </c>
      <c r="K24" s="22">
        <v>4</v>
      </c>
      <c r="L24" s="26">
        <v>6</v>
      </c>
      <c r="M24" s="27">
        <v>4</v>
      </c>
      <c r="N24" s="23">
        <v>8</v>
      </c>
      <c r="O24" s="22">
        <v>7</v>
      </c>
      <c r="P24" s="28">
        <v>7</v>
      </c>
      <c r="Q24" s="22">
        <v>6</v>
      </c>
      <c r="R24" s="25">
        <v>5</v>
      </c>
      <c r="S24" s="34">
        <f t="shared" si="0"/>
        <v>6</v>
      </c>
    </row>
    <row r="25" spans="1:22" ht="15.75" customHeight="1" x14ac:dyDescent="0.25">
      <c r="C25" s="36" t="s">
        <v>44</v>
      </c>
      <c r="D25" s="37">
        <f t="shared" ref="D25:R25" si="1">AVERAGE(D11:D24)</f>
        <v>5.8</v>
      </c>
      <c r="E25" s="37">
        <f t="shared" si="1"/>
        <v>6.2307692307692308</v>
      </c>
      <c r="F25" s="37">
        <f t="shared" si="1"/>
        <v>7.4285714285714288</v>
      </c>
      <c r="G25" s="37">
        <f t="shared" si="1"/>
        <v>6.4285714285714288</v>
      </c>
      <c r="H25" s="37">
        <f t="shared" si="1"/>
        <v>4.8571428571428568</v>
      </c>
      <c r="I25" s="37">
        <f t="shared" si="1"/>
        <v>7.125</v>
      </c>
      <c r="J25" s="37">
        <f t="shared" si="1"/>
        <v>5.0714285714285712</v>
      </c>
      <c r="K25" s="37">
        <f t="shared" si="1"/>
        <v>5.3636363636363633</v>
      </c>
      <c r="L25" s="37">
        <f t="shared" si="1"/>
        <v>6.1428571428571432</v>
      </c>
      <c r="M25" s="38">
        <f t="shared" si="1"/>
        <v>4.9000000000000004</v>
      </c>
      <c r="N25" s="39">
        <f t="shared" si="1"/>
        <v>5.8461538461538458</v>
      </c>
      <c r="O25" s="40">
        <f t="shared" si="1"/>
        <v>6.2307692307692308</v>
      </c>
      <c r="P25" s="41">
        <f t="shared" si="1"/>
        <v>5.9285714285714288</v>
      </c>
      <c r="Q25" s="40">
        <f t="shared" si="1"/>
        <v>6.7</v>
      </c>
      <c r="R25" s="37">
        <f t="shared" si="1"/>
        <v>5.6923076923076925</v>
      </c>
      <c r="S25" s="34">
        <f t="shared" si="0"/>
        <v>5.9830519480519477</v>
      </c>
    </row>
    <row r="26" spans="1:22" ht="15.75" customHeight="1" x14ac:dyDescent="0.25">
      <c r="C26" s="42" t="s">
        <v>45</v>
      </c>
      <c r="D26" s="43">
        <f>(COUNT(D11:D24))/(COUNT(B11:B24))*100</f>
        <v>71.428571428571431</v>
      </c>
      <c r="E26" s="43">
        <f>(COUNT(E11:E24))/(COUNT(B11:B24))*100</f>
        <v>92.857142857142861</v>
      </c>
      <c r="F26" s="43">
        <f>(COUNT(F11:F24))/(COUNT(B11:B24))*100</f>
        <v>100</v>
      </c>
      <c r="G26" s="43">
        <f>(COUNT(G11:G24))/(COUNT(B11:B24))*100</f>
        <v>100</v>
      </c>
      <c r="H26" s="43">
        <f>(COUNT(H11:H24))/(COUNT(B11:B24))*100</f>
        <v>100</v>
      </c>
      <c r="I26" s="43">
        <f>(COUNT(I11:I24))/(COUNT(B11:B24))*100</f>
        <v>57.142857142857139</v>
      </c>
      <c r="J26" s="43">
        <f>(COUNT(J11:J24))/(COUNT(B11:B24))*100</f>
        <v>100</v>
      </c>
      <c r="K26" s="43">
        <f>(COUNT(K11:K24))/(COUNT(B11:B24))*100</f>
        <v>78.571428571428569</v>
      </c>
      <c r="L26" s="43">
        <f>(COUNT(L11:L24))/(COUNT(B11:B24))*100</f>
        <v>50</v>
      </c>
      <c r="M26" s="43">
        <f>(COUNT(M11:M24))/(COUNT(B11:B24))*100</f>
        <v>71.428571428571431</v>
      </c>
      <c r="N26" s="43">
        <f>(COUNT(N11:N24))/(COUNT(B11:B24))*100</f>
        <v>92.857142857142861</v>
      </c>
      <c r="O26" s="43">
        <f>(COUNT(O11:O24))/(COUNT(B11:B24))*100</f>
        <v>92.857142857142861</v>
      </c>
      <c r="P26" s="43">
        <f>(COUNT(P11:P24))/(COUNT(B11:B24))*100</f>
        <v>100</v>
      </c>
      <c r="Q26" s="43">
        <f>(COUNT(Q11:Q24))/(COUNT(B11:B24))*100</f>
        <v>71.428571428571431</v>
      </c>
      <c r="R26" s="44">
        <f>(COUNT(R11:R24))/(COUNT(B11:B24))*100</f>
        <v>92.857142857142861</v>
      </c>
      <c r="S26" s="45"/>
      <c r="T26" s="45"/>
      <c r="U26" s="45"/>
      <c r="V26" s="45"/>
    </row>
    <row r="27" spans="1:22" ht="15.75" customHeight="1" x14ac:dyDescent="0.25">
      <c r="C27" s="46" t="s">
        <v>46</v>
      </c>
      <c r="D27" s="47">
        <f>(COUNTIF(D11:D24,"&gt;=7"))/(COUNT(B11:B24))*100</f>
        <v>21.428571428571427</v>
      </c>
      <c r="E27" s="47">
        <f>(COUNTIF(E11:E24,"&gt;=7"))/(COUNT(B11:B24))*100</f>
        <v>35.714285714285715</v>
      </c>
      <c r="F27" s="47">
        <f>(COUNTIF(F11:F24,"&gt;=7"))/(COUNT(B11:B24))*100</f>
        <v>64.285714285714292</v>
      </c>
      <c r="G27" s="47">
        <f>(COUNTIF(G11:G24,"&gt;=7"))/(COUNT(B11:B24))*100</f>
        <v>57.142857142857139</v>
      </c>
      <c r="H27" s="47">
        <f>(COUNTIF(H11:H24,"&gt;=7"))/(COUNT(B11:B24))*100</f>
        <v>14.285714285714285</v>
      </c>
      <c r="I27" s="47">
        <f>(COUNTIF(I11:I24,"&gt;=7"))/(COUNT(B11:B24))*100</f>
        <v>35.714285714285715</v>
      </c>
      <c r="J27" s="47">
        <f>(COUNTIF(J11:J24,"&gt;=7"))/(COUNT(B11:B24))*100</f>
        <v>21.428571428571427</v>
      </c>
      <c r="K27" s="47">
        <f>(COUNTIF(K11:K24,"&gt;=7"))/(COUNT(B11:B24))*100</f>
        <v>14.285714285714285</v>
      </c>
      <c r="L27" s="47">
        <f>(COUNTIF(L11:L24,"&gt;=7"))/(COUNT(B11:B24))*100</f>
        <v>21.428571428571427</v>
      </c>
      <c r="M27" s="47">
        <f>(COUNTIF(M11:M24,"&gt;=7"))/(COUNT(B11:B24))*100</f>
        <v>14.285714285714285</v>
      </c>
      <c r="N27" s="47">
        <f>(COUNTIF(N11:N24,"&gt;=7"))/(COUNT(B11:B24))*100</f>
        <v>35.714285714285715</v>
      </c>
      <c r="O27" s="47">
        <f>(COUNTIF(O11:O24,"&gt;=7"))/(COUNT(B11:B24))*100</f>
        <v>35.714285714285715</v>
      </c>
      <c r="P27" s="47">
        <f>(COUNTIF(P11:P24,"&gt;=7"))/(COUNT(B11:B24))*100</f>
        <v>35.714285714285715</v>
      </c>
      <c r="Q27" s="47">
        <f>(COUNTIF(Q11:Q24,"&gt;=7"))/(COUNT(B11:B24))*100</f>
        <v>28.571428571428569</v>
      </c>
      <c r="R27" s="48">
        <f>(COUNTIF(R11:R24,"&gt;=7"))/(COUNT(B11:B24))*100</f>
        <v>21.428571428571427</v>
      </c>
      <c r="S27" s="45"/>
      <c r="T27" s="45"/>
      <c r="U27" s="45"/>
      <c r="V27" s="45"/>
    </row>
    <row r="28" spans="1:22" ht="15.75" customHeight="1" x14ac:dyDescent="0.25">
      <c r="C28" s="46" t="s">
        <v>47</v>
      </c>
      <c r="D28" s="37">
        <f>AVERAGE(D26:R26)</f>
        <v>84.761904761904773</v>
      </c>
      <c r="S28" s="45"/>
      <c r="T28" s="45"/>
      <c r="U28" s="45"/>
      <c r="V28" s="45"/>
    </row>
    <row r="29" spans="1:22" ht="15.75" customHeight="1" x14ac:dyDescent="0.25">
      <c r="C29" s="46" t="s">
        <v>48</v>
      </c>
      <c r="D29" s="37">
        <f>AVERAGE(D27:R27)</f>
        <v>30.476190476190478</v>
      </c>
      <c r="S29" s="45"/>
      <c r="T29" s="45"/>
      <c r="U29" s="45"/>
      <c r="V29" s="45"/>
    </row>
    <row r="30" spans="1:22" ht="15.75" customHeight="1" x14ac:dyDescent="0.25">
      <c r="C30" s="46" t="s">
        <v>49</v>
      </c>
      <c r="D30" s="31">
        <f>COUNTIF(A11:A24,"=Б")</f>
        <v>11</v>
      </c>
      <c r="S30" s="45"/>
      <c r="T30" s="45"/>
      <c r="U30" s="45"/>
      <c r="V30" s="45"/>
    </row>
    <row r="31" spans="1:22" ht="15.75" customHeight="1" x14ac:dyDescent="0.25">
      <c r="C31" s="46" t="s">
        <v>50</v>
      </c>
      <c r="D31" s="31">
        <f>COUNTIF(A11:A24,"=К")</f>
        <v>3</v>
      </c>
      <c r="G31" s="16" t="s">
        <v>53</v>
      </c>
      <c r="N31" s="16" t="s">
        <v>54</v>
      </c>
    </row>
    <row r="32" spans="1:22" ht="15.75" customHeight="1" x14ac:dyDescent="0.25">
      <c r="C32" s="46" t="s">
        <v>51</v>
      </c>
      <c r="D32" s="31">
        <v>1</v>
      </c>
    </row>
    <row r="33" spans="3:14" ht="15.75" customHeight="1" x14ac:dyDescent="0.25">
      <c r="C33" s="46" t="s">
        <v>52</v>
      </c>
      <c r="D33" s="31">
        <f>INT(D30/100*40)</f>
        <v>4</v>
      </c>
      <c r="G33" s="16" t="s">
        <v>55</v>
      </c>
      <c r="N33" s="16" t="s">
        <v>56</v>
      </c>
    </row>
    <row r="34" spans="3:14" ht="15.75" customHeight="1" x14ac:dyDescent="0.25"/>
    <row r="35" spans="3:14" ht="15.75" customHeight="1" x14ac:dyDescent="0.25"/>
    <row r="36" spans="3:14" ht="15.75" customHeight="1" x14ac:dyDescent="0.25"/>
    <row r="37" spans="3:14" ht="15.75" customHeight="1" x14ac:dyDescent="0.25"/>
    <row r="38" spans="3:14" ht="15.75" customHeight="1" x14ac:dyDescent="0.25"/>
    <row r="39" spans="3:14" ht="15.75" customHeight="1" x14ac:dyDescent="0.25"/>
    <row r="40" spans="3:14" ht="15.75" customHeight="1" x14ac:dyDescent="0.25"/>
    <row r="41" spans="3:14" ht="15.75" customHeight="1" x14ac:dyDescent="0.25"/>
    <row r="42" spans="3:14" ht="15.75" customHeight="1" x14ac:dyDescent="0.25"/>
    <row r="43" spans="3:14" ht="15.75" customHeight="1" x14ac:dyDescent="0.25"/>
    <row r="44" spans="3:14" ht="15.75" customHeight="1" x14ac:dyDescent="0.25"/>
    <row r="45" spans="3:14" ht="15.75" customHeight="1" x14ac:dyDescent="0.25"/>
    <row r="46" spans="3:14" ht="15.75" customHeight="1" x14ac:dyDescent="0.25"/>
    <row r="47" spans="3:14" ht="15.75" customHeight="1" x14ac:dyDescent="0.25"/>
    <row r="48" spans="3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6">
    <mergeCell ref="A1:S1"/>
    <mergeCell ref="A2:S2"/>
    <mergeCell ref="A3:S3"/>
    <mergeCell ref="A4:S4"/>
    <mergeCell ref="A5:S5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rintOptions horizontalCentered="1" verticalCentered="1"/>
  <pageMargins left="0.70866141732283472" right="0.70866141732283472" top="0" bottom="0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7"/>
  <sheetViews>
    <sheetView topLeftCell="A4" workbookViewId="0">
      <selection sqref="A1:T1"/>
    </sheetView>
  </sheetViews>
  <sheetFormatPr defaultColWidth="14.42578125" defaultRowHeight="15" customHeight="1" x14ac:dyDescent="0.25"/>
  <cols>
    <col min="1" max="1" width="4.140625" style="4" customWidth="1"/>
    <col min="2" max="2" width="6.5703125" style="4" customWidth="1"/>
    <col min="3" max="3" width="40.42578125" style="4" customWidth="1"/>
    <col min="4" max="14" width="6.7109375" style="4" customWidth="1"/>
    <col min="15" max="15" width="12.7109375" style="4" customWidth="1"/>
    <col min="16" max="18" width="6.7109375" style="4" customWidth="1"/>
    <col min="19" max="19" width="8.85546875" style="4" customWidth="1"/>
    <col min="20" max="20" width="11.28515625" style="4" customWidth="1"/>
    <col min="21" max="16384" width="14.42578125" style="4"/>
  </cols>
  <sheetData>
    <row r="1" spans="1:20" s="2" customFormat="1" ht="15" customHeight="1" x14ac:dyDescent="0.25">
      <c r="A1" s="67" t="s">
        <v>67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</row>
    <row r="2" spans="1:20" s="2" customFormat="1" ht="15" customHeight="1" x14ac:dyDescent="0.25">
      <c r="A2" s="67" t="s">
        <v>68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</row>
    <row r="3" spans="1:20" s="3" customFormat="1" ht="15" customHeight="1" x14ac:dyDescent="0.25">
      <c r="A3" s="66" t="s">
        <v>57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</row>
    <row r="4" spans="1:20" s="2" customFormat="1" ht="15" customHeight="1" x14ac:dyDescent="0.25">
      <c r="A4" s="67" t="s">
        <v>65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0" s="2" customFormat="1" ht="15" customHeight="1" x14ac:dyDescent="0.25">
      <c r="A5" s="67" t="s">
        <v>69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</row>
    <row r="6" spans="1:20" s="2" customFormat="1" ht="15" customHeight="1" x14ac:dyDescent="0.25">
      <c r="A6" s="64" t="s">
        <v>1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</row>
    <row r="7" spans="1:20" ht="15" customHeight="1" x14ac:dyDescent="0.25">
      <c r="A7" s="53" t="s">
        <v>2</v>
      </c>
      <c r="B7" s="55" t="s">
        <v>3</v>
      </c>
      <c r="C7" s="69" t="s">
        <v>4</v>
      </c>
      <c r="D7" s="56" t="s">
        <v>5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8"/>
    </row>
    <row r="8" spans="1:20" ht="15" customHeight="1" x14ac:dyDescent="0.25">
      <c r="A8" s="54"/>
      <c r="B8" s="54"/>
      <c r="C8" s="70"/>
      <c r="D8" s="50" t="s">
        <v>61</v>
      </c>
      <c r="E8" s="50" t="s">
        <v>62</v>
      </c>
      <c r="F8" s="50" t="s">
        <v>7</v>
      </c>
      <c r="G8" s="50" t="s">
        <v>15</v>
      </c>
      <c r="H8" s="50" t="s">
        <v>12</v>
      </c>
      <c r="I8" s="50" t="s">
        <v>63</v>
      </c>
      <c r="J8" s="50" t="s">
        <v>13</v>
      </c>
      <c r="K8" s="50" t="s">
        <v>10</v>
      </c>
      <c r="L8" s="50" t="s">
        <v>14</v>
      </c>
      <c r="M8" s="50" t="s">
        <v>8</v>
      </c>
      <c r="N8" s="50" t="s">
        <v>6</v>
      </c>
      <c r="O8" s="50" t="s">
        <v>11</v>
      </c>
      <c r="P8" s="50" t="s">
        <v>9</v>
      </c>
      <c r="Q8" s="50" t="s">
        <v>60</v>
      </c>
      <c r="R8" s="50" t="s">
        <v>64</v>
      </c>
      <c r="S8" s="61" t="s">
        <v>58</v>
      </c>
      <c r="T8" s="61" t="s">
        <v>59</v>
      </c>
    </row>
    <row r="9" spans="1:20" ht="15" customHeight="1" x14ac:dyDescent="0.25">
      <c r="A9" s="54"/>
      <c r="B9" s="54"/>
      <c r="C9" s="70"/>
      <c r="D9" s="59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62"/>
      <c r="T9" s="62"/>
    </row>
    <row r="10" spans="1:20" ht="98.25" customHeight="1" x14ac:dyDescent="0.25">
      <c r="A10" s="68"/>
      <c r="B10" s="68"/>
      <c r="C10" s="70"/>
      <c r="D10" s="6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3"/>
      <c r="T10" s="63"/>
    </row>
    <row r="11" spans="1:20" ht="15.75" x14ac:dyDescent="0.25">
      <c r="A11" s="5" t="s">
        <v>17</v>
      </c>
      <c r="B11" s="6">
        <v>1</v>
      </c>
      <c r="C11" s="7" t="s">
        <v>36</v>
      </c>
      <c r="D11" s="17">
        <v>11</v>
      </c>
      <c r="E11" s="9">
        <v>11</v>
      </c>
      <c r="F11" s="9">
        <v>10</v>
      </c>
      <c r="G11" s="18">
        <v>10</v>
      </c>
      <c r="H11" s="9">
        <v>10</v>
      </c>
      <c r="I11" s="17">
        <v>9</v>
      </c>
      <c r="J11" s="9">
        <v>8</v>
      </c>
      <c r="K11" s="9">
        <v>8</v>
      </c>
      <c r="L11" s="19">
        <v>8</v>
      </c>
      <c r="M11" s="20">
        <v>7</v>
      </c>
      <c r="N11" s="18">
        <v>10</v>
      </c>
      <c r="O11" s="9">
        <v>9</v>
      </c>
      <c r="P11" s="21">
        <v>10</v>
      </c>
      <c r="Q11" s="9">
        <v>10</v>
      </c>
      <c r="R11" s="9">
        <v>10</v>
      </c>
      <c r="S11" s="1">
        <f>AVERAGE(D11:R11)</f>
        <v>9.4</v>
      </c>
      <c r="T11" s="1">
        <f>S11*90/12</f>
        <v>70.5</v>
      </c>
    </row>
    <row r="12" spans="1:20" ht="15.75" x14ac:dyDescent="0.25">
      <c r="A12" s="5" t="s">
        <v>17</v>
      </c>
      <c r="B12" s="6">
        <v>2</v>
      </c>
      <c r="C12" s="7" t="s">
        <v>25</v>
      </c>
      <c r="D12" s="8">
        <v>8</v>
      </c>
      <c r="E12" s="9">
        <v>10</v>
      </c>
      <c r="F12" s="5">
        <v>10</v>
      </c>
      <c r="G12" s="6">
        <v>9</v>
      </c>
      <c r="H12" s="5">
        <v>7</v>
      </c>
      <c r="I12" s="8">
        <v>8</v>
      </c>
      <c r="J12" s="5">
        <v>11</v>
      </c>
      <c r="K12" s="5">
        <v>8</v>
      </c>
      <c r="L12" s="10">
        <v>8</v>
      </c>
      <c r="M12" s="11">
        <v>7</v>
      </c>
      <c r="N12" s="6">
        <v>8</v>
      </c>
      <c r="O12" s="5">
        <v>6</v>
      </c>
      <c r="P12" s="13">
        <v>7</v>
      </c>
      <c r="Q12" s="5">
        <v>8</v>
      </c>
      <c r="R12" s="9">
        <v>8</v>
      </c>
      <c r="S12" s="1">
        <f t="shared" ref="S12:S14" si="0">AVERAGE(D12:R12)</f>
        <v>8.1999999999999993</v>
      </c>
      <c r="T12" s="1">
        <f t="shared" ref="T12:T14" si="1">S12*90/12</f>
        <v>61.499999999999993</v>
      </c>
    </row>
    <row r="13" spans="1:20" ht="15.75" x14ac:dyDescent="0.25">
      <c r="A13" s="5" t="s">
        <v>17</v>
      </c>
      <c r="B13" s="6">
        <v>3</v>
      </c>
      <c r="C13" s="7" t="s">
        <v>20</v>
      </c>
      <c r="D13" s="8">
        <v>8</v>
      </c>
      <c r="E13" s="9">
        <v>8</v>
      </c>
      <c r="F13" s="5">
        <v>7</v>
      </c>
      <c r="G13" s="5">
        <v>8</v>
      </c>
      <c r="H13" s="9">
        <v>5</v>
      </c>
      <c r="I13" s="8">
        <v>7</v>
      </c>
      <c r="J13" s="5">
        <v>10</v>
      </c>
      <c r="K13" s="5">
        <v>9</v>
      </c>
      <c r="L13" s="10">
        <v>8</v>
      </c>
      <c r="M13" s="11">
        <v>4</v>
      </c>
      <c r="N13" s="6">
        <v>9</v>
      </c>
      <c r="O13" s="5">
        <v>8</v>
      </c>
      <c r="P13" s="13">
        <v>5</v>
      </c>
      <c r="Q13" s="5">
        <v>10</v>
      </c>
      <c r="R13" s="9">
        <v>8</v>
      </c>
      <c r="S13" s="1">
        <f t="shared" si="0"/>
        <v>7.6</v>
      </c>
      <c r="T13" s="1">
        <f t="shared" si="1"/>
        <v>57</v>
      </c>
    </row>
    <row r="14" spans="1:20" ht="15.75" x14ac:dyDescent="0.25">
      <c r="A14" s="22" t="s">
        <v>17</v>
      </c>
      <c r="B14" s="23">
        <v>4</v>
      </c>
      <c r="C14" s="14" t="s">
        <v>21</v>
      </c>
      <c r="D14" s="24">
        <v>6</v>
      </c>
      <c r="E14" s="25">
        <v>7</v>
      </c>
      <c r="F14" s="22">
        <v>10</v>
      </c>
      <c r="G14" s="22">
        <v>8</v>
      </c>
      <c r="H14" s="22">
        <v>4</v>
      </c>
      <c r="I14" s="24">
        <v>9</v>
      </c>
      <c r="J14" s="22">
        <v>7</v>
      </c>
      <c r="K14" s="22">
        <v>9</v>
      </c>
      <c r="L14" s="26">
        <v>7</v>
      </c>
      <c r="M14" s="27">
        <v>5</v>
      </c>
      <c r="N14" s="23">
        <v>5</v>
      </c>
      <c r="O14" s="22">
        <v>6</v>
      </c>
      <c r="P14" s="28">
        <v>6</v>
      </c>
      <c r="Q14" s="22">
        <v>10</v>
      </c>
      <c r="R14" s="25">
        <v>8</v>
      </c>
      <c r="S14" s="49">
        <f t="shared" si="0"/>
        <v>7.1333333333333337</v>
      </c>
      <c r="T14" s="49">
        <f t="shared" si="1"/>
        <v>53.5</v>
      </c>
    </row>
    <row r="15" spans="1:20" ht="15.75" x14ac:dyDescent="0.25">
      <c r="C15" s="14" t="s">
        <v>49</v>
      </c>
      <c r="D15" s="15">
        <f>'Зведена відомість 172'!D27</f>
        <v>9</v>
      </c>
    </row>
    <row r="16" spans="1:20" ht="15.75" x14ac:dyDescent="0.25">
      <c r="C16" s="14" t="s">
        <v>50</v>
      </c>
      <c r="D16" s="15">
        <f>'Зведена відомість 172'!D28</f>
        <v>2</v>
      </c>
    </row>
    <row r="17" spans="3:14" ht="15.75" x14ac:dyDescent="0.25">
      <c r="C17" s="14" t="s">
        <v>51</v>
      </c>
      <c r="D17" s="15">
        <f>'Зведена відомість 172'!D29</f>
        <v>1</v>
      </c>
    </row>
    <row r="18" spans="3:14" ht="18.75" x14ac:dyDescent="0.25">
      <c r="C18" s="14" t="s">
        <v>52</v>
      </c>
      <c r="D18" s="15">
        <f>'Зведена відомість 172'!D30</f>
        <v>3</v>
      </c>
      <c r="G18" s="16" t="s">
        <v>53</v>
      </c>
      <c r="N18" s="16" t="s">
        <v>54</v>
      </c>
    </row>
    <row r="19" spans="3:14" ht="15.75" x14ac:dyDescent="0.25"/>
    <row r="20" spans="3:14" ht="18.75" x14ac:dyDescent="0.25">
      <c r="G20" s="16" t="s">
        <v>55</v>
      </c>
      <c r="N20" s="16" t="s">
        <v>56</v>
      </c>
    </row>
    <row r="21" spans="3:14" ht="15.75" x14ac:dyDescent="0.25"/>
    <row r="22" spans="3:14" ht="15.75" x14ac:dyDescent="0.25"/>
    <row r="23" spans="3:14" ht="15.75" x14ac:dyDescent="0.25"/>
    <row r="24" spans="3:14" ht="15.75" x14ac:dyDescent="0.25"/>
    <row r="25" spans="3:14" ht="15.75" x14ac:dyDescent="0.25"/>
    <row r="26" spans="3:14" ht="15.75" x14ac:dyDescent="0.25"/>
    <row r="27" spans="3:14" ht="15.75" x14ac:dyDescent="0.25"/>
    <row r="28" spans="3:14" ht="15.75" x14ac:dyDescent="0.25"/>
    <row r="29" spans="3:14" ht="15.75" x14ac:dyDescent="0.25"/>
    <row r="30" spans="3:14" ht="15.75" x14ac:dyDescent="0.25"/>
    <row r="31" spans="3:14" ht="15.75" x14ac:dyDescent="0.25"/>
    <row r="32" spans="3:14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spans="1:1" ht="15.75" x14ac:dyDescent="0.25"/>
    <row r="66" spans="1:1" ht="15.75" x14ac:dyDescent="0.25"/>
    <row r="67" spans="1:1" ht="15.75" x14ac:dyDescent="0.25"/>
    <row r="68" spans="1:1" ht="15.75" x14ac:dyDescent="0.25"/>
    <row r="69" spans="1:1" ht="15.75" x14ac:dyDescent="0.25">
      <c r="A69" s="4">
        <f>COUNTIF(A15:A29,"=Б")</f>
        <v>0</v>
      </c>
    </row>
    <row r="70" spans="1:1" ht="15.75" x14ac:dyDescent="0.25">
      <c r="A70" s="4">
        <f>COUNTIF(A15:A29,"=Б")</f>
        <v>0</v>
      </c>
    </row>
    <row r="71" spans="1:1" ht="15.75" x14ac:dyDescent="0.25">
      <c r="A71" s="4">
        <f>COUNTIF(A15:A29,"=Б")</f>
        <v>0</v>
      </c>
    </row>
    <row r="72" spans="1:1" ht="15.75" x14ac:dyDescent="0.25">
      <c r="A72" s="4">
        <f>COUNTIF(A15:A29,"=Б")</f>
        <v>0</v>
      </c>
    </row>
    <row r="73" spans="1:1" ht="15.75" x14ac:dyDescent="0.25">
      <c r="A73" s="4">
        <f>COUNTIF(A15:A29,"=Б")</f>
        <v>0</v>
      </c>
    </row>
    <row r="74" spans="1:1" ht="15.75" x14ac:dyDescent="0.25">
      <c r="A74" s="4">
        <f>COUNTIF(A15:A29,"=Б")</f>
        <v>0</v>
      </c>
    </row>
    <row r="75" spans="1:1" ht="15.75" x14ac:dyDescent="0.25">
      <c r="A75" s="4">
        <f>COUNTIF(A15:A29,"=Б")</f>
        <v>0</v>
      </c>
    </row>
    <row r="76" spans="1:1" ht="15.75" customHeight="1" x14ac:dyDescent="0.25">
      <c r="A76" s="4">
        <f>COUNTIF(A15:A29,"=Б")</f>
        <v>0</v>
      </c>
    </row>
    <row r="77" spans="1:1" ht="15.75" customHeight="1" x14ac:dyDescent="0.25">
      <c r="A77" s="4">
        <f>COUNTIF(A15:A29,"=Б")</f>
        <v>0</v>
      </c>
    </row>
    <row r="78" spans="1:1" ht="15.75" customHeight="1" x14ac:dyDescent="0.25">
      <c r="A78" s="4">
        <f>COUNTIF(A15:A29,"=Б")</f>
        <v>0</v>
      </c>
    </row>
    <row r="79" spans="1:1" ht="15.75" customHeight="1" x14ac:dyDescent="0.25">
      <c r="A79" s="4">
        <f>COUNTIF(A15:A29,"=Б")</f>
        <v>0</v>
      </c>
    </row>
    <row r="80" spans="1:1" ht="15.75" customHeight="1" x14ac:dyDescent="0.25">
      <c r="A80" s="4">
        <f>COUNTIF(A15:A29,"=Б")</f>
        <v>0</v>
      </c>
    </row>
    <row r="81" spans="1:1" ht="15.75" customHeight="1" x14ac:dyDescent="0.25">
      <c r="A81" s="4">
        <f>COUNTIF(A15:A29,"=Б")</f>
        <v>0</v>
      </c>
    </row>
    <row r="82" spans="1:1" ht="15.75" customHeight="1" x14ac:dyDescent="0.25">
      <c r="A82" s="4">
        <f>COUNTIF(A15:A29,"=Б")</f>
        <v>0</v>
      </c>
    </row>
    <row r="83" spans="1:1" ht="15.75" customHeight="1" x14ac:dyDescent="0.25">
      <c r="A83" s="4">
        <f>COUNTIF(A15:A29,"=Б")</f>
        <v>0</v>
      </c>
    </row>
    <row r="84" spans="1:1" ht="15.75" customHeight="1" x14ac:dyDescent="0.25">
      <c r="A84" s="4">
        <f>COUNTIF(A15:A29,"=Б")</f>
        <v>0</v>
      </c>
    </row>
    <row r="85" spans="1:1" ht="15.75" customHeight="1" x14ac:dyDescent="0.25">
      <c r="A85" s="4">
        <f>COUNTIF(A15:A29,"=Б")</f>
        <v>0</v>
      </c>
    </row>
    <row r="86" spans="1:1" ht="15.75" customHeight="1" x14ac:dyDescent="0.25">
      <c r="A86" s="4">
        <f>COUNTIF(A15:A29,"=Б")</f>
        <v>0</v>
      </c>
    </row>
    <row r="87" spans="1:1" ht="15.75" customHeight="1" x14ac:dyDescent="0.25">
      <c r="A87" s="4">
        <f>COUNTIF(A15:A29,"=Б")</f>
        <v>0</v>
      </c>
    </row>
    <row r="88" spans="1:1" ht="15.75" customHeight="1" x14ac:dyDescent="0.25">
      <c r="A88" s="4">
        <f>COUNTIF(A15:A29,"=Б")</f>
        <v>0</v>
      </c>
    </row>
    <row r="89" spans="1:1" ht="15.75" customHeight="1" x14ac:dyDescent="0.25">
      <c r="A89" s="4">
        <f>COUNTIF(A15:A29,"=Б")</f>
        <v>0</v>
      </c>
    </row>
    <row r="90" spans="1:1" ht="15.75" customHeight="1" x14ac:dyDescent="0.25">
      <c r="A90" s="4">
        <f>COUNTIF(A15:A29,"=Б")</f>
        <v>0</v>
      </c>
    </row>
    <row r="91" spans="1:1" ht="15.75" customHeight="1" x14ac:dyDescent="0.25">
      <c r="A91" s="4">
        <f>COUNTIF(A15:A29,"=Б")</f>
        <v>0</v>
      </c>
    </row>
    <row r="92" spans="1:1" ht="15.75" customHeight="1" x14ac:dyDescent="0.25">
      <c r="A92" s="4">
        <f>COUNTIF(A15:A29,"=Б")</f>
        <v>0</v>
      </c>
    </row>
    <row r="93" spans="1:1" ht="15.75" customHeight="1" x14ac:dyDescent="0.25">
      <c r="A93" s="4">
        <f>COUNTIF(A15:A29,"=Б")</f>
        <v>0</v>
      </c>
    </row>
    <row r="94" spans="1:1" ht="15.75" customHeight="1" x14ac:dyDescent="0.25">
      <c r="A94" s="4">
        <f>COUNTIF(A15:A29,"=Б")</f>
        <v>0</v>
      </c>
    </row>
    <row r="95" spans="1:1" ht="15.75" customHeight="1" x14ac:dyDescent="0.25">
      <c r="A95" s="4">
        <f>COUNTIF(A15:A29,"=Б")</f>
        <v>0</v>
      </c>
    </row>
    <row r="96" spans="1:1" ht="15.75" customHeight="1" x14ac:dyDescent="0.25">
      <c r="A96" s="4">
        <f>COUNTIF(A15:A29,"=Б")</f>
        <v>0</v>
      </c>
    </row>
    <row r="97" spans="1:1" ht="15.75" customHeight="1" x14ac:dyDescent="0.25">
      <c r="A97" s="4">
        <f>COUNTIF(A15:A29,"=Б")</f>
        <v>0</v>
      </c>
    </row>
    <row r="98" spans="1:1" ht="15.75" customHeight="1" x14ac:dyDescent="0.25">
      <c r="A98" s="4">
        <f>COUNTIF(A15:A29,"=Б")</f>
        <v>0</v>
      </c>
    </row>
    <row r="99" spans="1:1" ht="15.75" customHeight="1" x14ac:dyDescent="0.25">
      <c r="A99" s="4">
        <f>COUNTIF(A15:A29,"=Б")</f>
        <v>0</v>
      </c>
    </row>
    <row r="100" spans="1:1" ht="15.75" customHeight="1" x14ac:dyDescent="0.25">
      <c r="A100" s="4">
        <f>COUNTIF(A15:A29,"=Б")</f>
        <v>0</v>
      </c>
    </row>
    <row r="101" spans="1:1" ht="15.75" customHeight="1" x14ac:dyDescent="0.25">
      <c r="A101" s="4">
        <f>COUNTIF(A15:A29,"=Б")</f>
        <v>0</v>
      </c>
    </row>
    <row r="102" spans="1:1" ht="15.75" customHeight="1" x14ac:dyDescent="0.25">
      <c r="A102" s="4">
        <f>COUNTIF(A15:A29,"=Б")</f>
        <v>0</v>
      </c>
    </row>
    <row r="103" spans="1:1" ht="15.75" customHeight="1" x14ac:dyDescent="0.25">
      <c r="A103" s="4">
        <f>COUNTIF(A15:A29,"=Б")</f>
        <v>0</v>
      </c>
    </row>
    <row r="104" spans="1:1" ht="15.75" customHeight="1" x14ac:dyDescent="0.25">
      <c r="A104" s="4">
        <f>COUNTIF(A15:A29,"=Б")</f>
        <v>0</v>
      </c>
    </row>
    <row r="105" spans="1:1" ht="15.75" customHeight="1" x14ac:dyDescent="0.25">
      <c r="A105" s="4">
        <f>COUNTIF(A15:A29,"=Б")</f>
        <v>0</v>
      </c>
    </row>
    <row r="106" spans="1:1" ht="15.75" customHeight="1" x14ac:dyDescent="0.25">
      <c r="A106" s="4">
        <f>COUNTIF(A15:A29,"=Б")</f>
        <v>0</v>
      </c>
    </row>
    <row r="107" spans="1:1" ht="15.75" customHeight="1" x14ac:dyDescent="0.25">
      <c r="A107" s="4">
        <f>COUNTIF(A15:A29,"=Б")</f>
        <v>0</v>
      </c>
    </row>
    <row r="108" spans="1:1" ht="15.75" customHeight="1" x14ac:dyDescent="0.25">
      <c r="A108" s="4">
        <f>COUNTIF(A15:A29,"=Б")</f>
        <v>0</v>
      </c>
    </row>
    <row r="109" spans="1:1" ht="15.75" customHeight="1" x14ac:dyDescent="0.25">
      <c r="A109" s="4">
        <f>COUNTIF(A15:A29,"=Б")</f>
        <v>0</v>
      </c>
    </row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27">
    <mergeCell ref="A6:T6"/>
    <mergeCell ref="A1:T1"/>
    <mergeCell ref="A2:T2"/>
    <mergeCell ref="A3:T3"/>
    <mergeCell ref="A4:T4"/>
    <mergeCell ref="A5:T5"/>
    <mergeCell ref="O8:O10"/>
    <mergeCell ref="A7:A10"/>
    <mergeCell ref="B7:B10"/>
    <mergeCell ref="C7:C10"/>
    <mergeCell ref="D7:T7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P8:P10"/>
    <mergeCell ref="Q8:Q10"/>
    <mergeCell ref="R8:R10"/>
    <mergeCell ref="S8:S10"/>
    <mergeCell ref="T8:T10"/>
  </mergeCells>
  <printOptions horizontalCentered="1" verticalCentered="1"/>
  <pageMargins left="0.59055118110236227" right="0" top="0.78740157480314965" bottom="0" header="0" footer="0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7"/>
  <sheetViews>
    <sheetView workbookViewId="0">
      <selection sqref="A1:T1"/>
    </sheetView>
  </sheetViews>
  <sheetFormatPr defaultColWidth="14.42578125" defaultRowHeight="15" customHeight="1" x14ac:dyDescent="0.25"/>
  <cols>
    <col min="1" max="1" width="4.140625" style="4" customWidth="1"/>
    <col min="2" max="2" width="6.5703125" style="4" customWidth="1"/>
    <col min="3" max="3" width="40.42578125" style="4" customWidth="1"/>
    <col min="4" max="14" width="6.7109375" style="4" customWidth="1"/>
    <col min="15" max="15" width="12.7109375" style="4" customWidth="1"/>
    <col min="16" max="18" width="6.7109375" style="4" customWidth="1"/>
    <col min="19" max="19" width="8.85546875" style="4" customWidth="1"/>
    <col min="20" max="20" width="11.28515625" style="4" customWidth="1"/>
    <col min="21" max="16384" width="14.42578125" style="4"/>
  </cols>
  <sheetData>
    <row r="1" spans="1:20" s="2" customFormat="1" ht="15" customHeight="1" x14ac:dyDescent="0.25">
      <c r="A1" s="67" t="s">
        <v>67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</row>
    <row r="2" spans="1:20" s="2" customFormat="1" ht="15" customHeight="1" x14ac:dyDescent="0.25">
      <c r="A2" s="67" t="s">
        <v>68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</row>
    <row r="3" spans="1:20" s="3" customFormat="1" ht="15" customHeight="1" x14ac:dyDescent="0.25">
      <c r="A3" s="66" t="s">
        <v>57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</row>
    <row r="4" spans="1:20" s="2" customFormat="1" ht="15" customHeight="1" x14ac:dyDescent="0.25">
      <c r="A4" s="67" t="s">
        <v>66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0" s="2" customFormat="1" ht="15" customHeight="1" x14ac:dyDescent="0.25">
      <c r="A5" s="67" t="s">
        <v>69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</row>
    <row r="6" spans="1:20" s="2" customFormat="1" ht="15" customHeight="1" x14ac:dyDescent="0.25">
      <c r="A6" s="64" t="s">
        <v>1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</row>
    <row r="7" spans="1:20" ht="15" customHeight="1" x14ac:dyDescent="0.25">
      <c r="A7" s="53" t="s">
        <v>2</v>
      </c>
      <c r="B7" s="55" t="s">
        <v>3</v>
      </c>
      <c r="C7" s="69" t="s">
        <v>4</v>
      </c>
      <c r="D7" s="56" t="s">
        <v>5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8"/>
    </row>
    <row r="8" spans="1:20" ht="15" customHeight="1" x14ac:dyDescent="0.25">
      <c r="A8" s="54"/>
      <c r="B8" s="54"/>
      <c r="C8" s="70"/>
      <c r="D8" s="50" t="s">
        <v>61</v>
      </c>
      <c r="E8" s="50" t="s">
        <v>62</v>
      </c>
      <c r="F8" s="50" t="s">
        <v>7</v>
      </c>
      <c r="G8" s="50" t="s">
        <v>15</v>
      </c>
      <c r="H8" s="50" t="s">
        <v>12</v>
      </c>
      <c r="I8" s="50" t="s">
        <v>63</v>
      </c>
      <c r="J8" s="50" t="s">
        <v>13</v>
      </c>
      <c r="K8" s="50" t="s">
        <v>10</v>
      </c>
      <c r="L8" s="50" t="s">
        <v>14</v>
      </c>
      <c r="M8" s="50" t="s">
        <v>8</v>
      </c>
      <c r="N8" s="50" t="s">
        <v>6</v>
      </c>
      <c r="O8" s="50" t="s">
        <v>11</v>
      </c>
      <c r="P8" s="50" t="s">
        <v>9</v>
      </c>
      <c r="Q8" s="50" t="s">
        <v>60</v>
      </c>
      <c r="R8" s="50" t="s">
        <v>64</v>
      </c>
      <c r="S8" s="61" t="s">
        <v>58</v>
      </c>
      <c r="T8" s="61" t="s">
        <v>59</v>
      </c>
    </row>
    <row r="9" spans="1:20" ht="15" customHeight="1" x14ac:dyDescent="0.25">
      <c r="A9" s="54"/>
      <c r="B9" s="54"/>
      <c r="C9" s="70"/>
      <c r="D9" s="59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62"/>
      <c r="T9" s="62"/>
    </row>
    <row r="10" spans="1:20" ht="98.25" customHeight="1" x14ac:dyDescent="0.25">
      <c r="A10" s="68"/>
      <c r="B10" s="68"/>
      <c r="C10" s="70"/>
      <c r="D10" s="6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3"/>
      <c r="T10" s="63"/>
    </row>
    <row r="11" spans="1:20" ht="15.75" x14ac:dyDescent="0.25">
      <c r="A11" s="5" t="s">
        <v>17</v>
      </c>
      <c r="B11" s="6">
        <v>1</v>
      </c>
      <c r="C11" s="7" t="s">
        <v>28</v>
      </c>
      <c r="D11" s="8">
        <v>10</v>
      </c>
      <c r="E11" s="9">
        <v>9</v>
      </c>
      <c r="F11" s="5">
        <v>10</v>
      </c>
      <c r="G11" s="5">
        <v>10</v>
      </c>
      <c r="H11" s="5">
        <v>10</v>
      </c>
      <c r="I11" s="8">
        <v>9</v>
      </c>
      <c r="J11" s="5">
        <v>9</v>
      </c>
      <c r="K11" s="5">
        <v>10</v>
      </c>
      <c r="L11" s="10">
        <v>8</v>
      </c>
      <c r="M11" s="11">
        <v>7</v>
      </c>
      <c r="N11" s="6">
        <v>9</v>
      </c>
      <c r="O11" s="5">
        <v>9</v>
      </c>
      <c r="P11" s="12">
        <v>10</v>
      </c>
      <c r="Q11" s="5">
        <v>9</v>
      </c>
      <c r="R11" s="9">
        <v>9</v>
      </c>
      <c r="S11" s="1">
        <f>AVERAGE(D11:R11)</f>
        <v>9.1999999999999993</v>
      </c>
      <c r="T11" s="1">
        <f>S11*90/12</f>
        <v>68.999999999999986</v>
      </c>
    </row>
    <row r="12" spans="1:20" ht="15.75" x14ac:dyDescent="0.25">
      <c r="A12" s="5" t="s">
        <v>17</v>
      </c>
      <c r="B12" s="6">
        <v>2</v>
      </c>
      <c r="C12" s="7" t="s">
        <v>31</v>
      </c>
      <c r="D12" s="8">
        <v>9</v>
      </c>
      <c r="E12" s="9">
        <v>10</v>
      </c>
      <c r="F12" s="5">
        <v>10</v>
      </c>
      <c r="G12" s="5">
        <v>9</v>
      </c>
      <c r="H12" s="5">
        <v>9</v>
      </c>
      <c r="I12" s="8">
        <v>9</v>
      </c>
      <c r="J12" s="5">
        <v>9</v>
      </c>
      <c r="K12" s="5">
        <v>7</v>
      </c>
      <c r="L12" s="10">
        <v>8</v>
      </c>
      <c r="M12" s="11">
        <v>6</v>
      </c>
      <c r="N12" s="6">
        <v>8</v>
      </c>
      <c r="O12" s="5">
        <v>9</v>
      </c>
      <c r="P12" s="13">
        <v>9</v>
      </c>
      <c r="Q12" s="5">
        <v>10</v>
      </c>
      <c r="R12" s="9">
        <v>8</v>
      </c>
      <c r="S12" s="1">
        <f t="shared" ref="S12:S13" si="0">AVERAGE(D12:R12)</f>
        <v>8.6666666666666661</v>
      </c>
      <c r="T12" s="1">
        <f t="shared" ref="T12:T13" si="1">S12*90/12</f>
        <v>65</v>
      </c>
    </row>
    <row r="13" spans="1:20" ht="15.75" x14ac:dyDescent="0.25">
      <c r="A13" s="5" t="s">
        <v>17</v>
      </c>
      <c r="B13" s="6">
        <v>3</v>
      </c>
      <c r="C13" s="7" t="s">
        <v>43</v>
      </c>
      <c r="D13" s="8">
        <v>4</v>
      </c>
      <c r="E13" s="9">
        <v>8</v>
      </c>
      <c r="F13" s="5">
        <v>10</v>
      </c>
      <c r="G13" s="5">
        <v>7</v>
      </c>
      <c r="H13" s="9">
        <v>4</v>
      </c>
      <c r="I13" s="8">
        <v>6</v>
      </c>
      <c r="J13" s="5">
        <v>4</v>
      </c>
      <c r="K13" s="5">
        <v>4</v>
      </c>
      <c r="L13" s="10">
        <v>6</v>
      </c>
      <c r="M13" s="11">
        <v>4</v>
      </c>
      <c r="N13" s="6">
        <v>8</v>
      </c>
      <c r="O13" s="5">
        <v>7</v>
      </c>
      <c r="P13" s="13">
        <v>7</v>
      </c>
      <c r="Q13" s="5">
        <v>6</v>
      </c>
      <c r="R13" s="9">
        <v>5</v>
      </c>
      <c r="S13" s="1">
        <f t="shared" si="0"/>
        <v>6</v>
      </c>
      <c r="T13" s="1">
        <f t="shared" si="1"/>
        <v>45</v>
      </c>
    </row>
    <row r="14" spans="1:20" ht="15.75" x14ac:dyDescent="0.25">
      <c r="C14" s="14" t="s">
        <v>49</v>
      </c>
      <c r="D14" s="15">
        <f>'Зведена відомість 185'!D30</f>
        <v>11</v>
      </c>
    </row>
    <row r="15" spans="1:20" ht="15.75" x14ac:dyDescent="0.25">
      <c r="C15" s="14" t="s">
        <v>50</v>
      </c>
      <c r="D15" s="15">
        <f>'Зведена відомість 185'!D31</f>
        <v>3</v>
      </c>
    </row>
    <row r="16" spans="1:20" ht="15.75" x14ac:dyDescent="0.25">
      <c r="C16" s="14" t="s">
        <v>51</v>
      </c>
      <c r="D16" s="15">
        <f>'Зведена відомість 185'!D32</f>
        <v>1</v>
      </c>
    </row>
    <row r="17" spans="3:14" ht="18.75" x14ac:dyDescent="0.25">
      <c r="C17" s="14" t="s">
        <v>52</v>
      </c>
      <c r="D17" s="15">
        <f>'Зведена відомість 185'!D33</f>
        <v>4</v>
      </c>
      <c r="G17" s="16" t="s">
        <v>53</v>
      </c>
      <c r="N17" s="16" t="s">
        <v>54</v>
      </c>
    </row>
    <row r="18" spans="3:14" ht="15.75" x14ac:dyDescent="0.25"/>
    <row r="19" spans="3:14" ht="18.75" x14ac:dyDescent="0.25">
      <c r="G19" s="16" t="s">
        <v>55</v>
      </c>
      <c r="N19" s="16" t="s">
        <v>56</v>
      </c>
    </row>
    <row r="20" spans="3:14" ht="15.75" x14ac:dyDescent="0.25"/>
    <row r="21" spans="3:14" ht="15.75" x14ac:dyDescent="0.25"/>
    <row r="22" spans="3:14" ht="15.75" x14ac:dyDescent="0.25"/>
    <row r="23" spans="3:14" ht="15.75" x14ac:dyDescent="0.25"/>
    <row r="24" spans="3:14" ht="15.75" x14ac:dyDescent="0.25"/>
    <row r="25" spans="3:14" ht="15.75" x14ac:dyDescent="0.25"/>
    <row r="26" spans="3:14" ht="15.75" x14ac:dyDescent="0.25"/>
    <row r="27" spans="3:14" ht="15.75" x14ac:dyDescent="0.25"/>
    <row r="28" spans="3:14" ht="15.75" x14ac:dyDescent="0.25"/>
    <row r="29" spans="3:14" ht="15.75" x14ac:dyDescent="0.25"/>
    <row r="30" spans="3:14" ht="15.75" x14ac:dyDescent="0.25"/>
    <row r="31" spans="3:14" ht="15.75" x14ac:dyDescent="0.25"/>
    <row r="32" spans="3:14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68" spans="1:1" ht="15" customHeight="1" x14ac:dyDescent="0.25">
      <c r="A68" s="4">
        <f>COUNTIF(A14:A28,"=Б")</f>
        <v>0</v>
      </c>
    </row>
    <row r="69" spans="1:1" ht="15" customHeight="1" x14ac:dyDescent="0.25">
      <c r="A69" s="4">
        <f>COUNTIF(A14:A28,"=Б")</f>
        <v>0</v>
      </c>
    </row>
    <row r="70" spans="1:1" ht="15" customHeight="1" x14ac:dyDescent="0.25">
      <c r="A70" s="4">
        <f>COUNTIF(A14:A28,"=Б")</f>
        <v>0</v>
      </c>
    </row>
    <row r="71" spans="1:1" ht="15" customHeight="1" x14ac:dyDescent="0.25">
      <c r="A71" s="4">
        <f>COUNTIF(A14:A28,"=Б")</f>
        <v>0</v>
      </c>
    </row>
    <row r="72" spans="1:1" ht="15" customHeight="1" x14ac:dyDescent="0.25">
      <c r="A72" s="4">
        <f>COUNTIF(A14:A28,"=Б")</f>
        <v>0</v>
      </c>
    </row>
    <row r="73" spans="1:1" ht="15" customHeight="1" x14ac:dyDescent="0.25">
      <c r="A73" s="4">
        <f>COUNTIF(A14:A28,"=Б")</f>
        <v>0</v>
      </c>
    </row>
    <row r="74" spans="1:1" ht="15" customHeight="1" x14ac:dyDescent="0.25">
      <c r="A74" s="4">
        <f>COUNTIF(A14:A28,"=Б")</f>
        <v>0</v>
      </c>
    </row>
    <row r="75" spans="1:1" ht="15" customHeight="1" x14ac:dyDescent="0.25">
      <c r="A75" s="4">
        <f>COUNTIF(A14:A28,"=Б")</f>
        <v>0</v>
      </c>
    </row>
    <row r="76" spans="1:1" ht="15.75" customHeight="1" x14ac:dyDescent="0.25">
      <c r="A76" s="4">
        <f>COUNTIF(A14:A28,"=Б")</f>
        <v>0</v>
      </c>
    </row>
    <row r="77" spans="1:1" ht="15.75" customHeight="1" x14ac:dyDescent="0.25">
      <c r="A77" s="4">
        <f>COUNTIF(A14:A28,"=Б")</f>
        <v>0</v>
      </c>
    </row>
    <row r="78" spans="1:1" ht="15.75" customHeight="1" x14ac:dyDescent="0.25">
      <c r="A78" s="4">
        <f>COUNTIF(A14:A28,"=Б")</f>
        <v>0</v>
      </c>
    </row>
    <row r="79" spans="1:1" ht="15.75" customHeight="1" x14ac:dyDescent="0.25">
      <c r="A79" s="4">
        <f>COUNTIF(A14:A28,"=Б")</f>
        <v>0</v>
      </c>
    </row>
    <row r="80" spans="1:1" ht="15.75" customHeight="1" x14ac:dyDescent="0.25">
      <c r="A80" s="4">
        <f>COUNTIF(A14:A28,"=Б")</f>
        <v>0</v>
      </c>
    </row>
    <row r="81" spans="1:1" ht="15.75" customHeight="1" x14ac:dyDescent="0.25">
      <c r="A81" s="4">
        <f>COUNTIF(A14:A28,"=Б")</f>
        <v>0</v>
      </c>
    </row>
    <row r="82" spans="1:1" ht="15.75" customHeight="1" x14ac:dyDescent="0.25">
      <c r="A82" s="4">
        <f>COUNTIF(A14:A28,"=Б")</f>
        <v>0</v>
      </c>
    </row>
    <row r="83" spans="1:1" ht="15.75" customHeight="1" x14ac:dyDescent="0.25">
      <c r="A83" s="4">
        <f>COUNTIF(A14:A28,"=Б")</f>
        <v>0</v>
      </c>
    </row>
    <row r="84" spans="1:1" ht="15.75" customHeight="1" x14ac:dyDescent="0.25">
      <c r="A84" s="4">
        <f>COUNTIF(A14:A28,"=Б")</f>
        <v>0</v>
      </c>
    </row>
    <row r="85" spans="1:1" ht="15.75" customHeight="1" x14ac:dyDescent="0.25">
      <c r="A85" s="4">
        <f>COUNTIF(A14:A28,"=Б")</f>
        <v>0</v>
      </c>
    </row>
    <row r="86" spans="1:1" ht="15.75" customHeight="1" x14ac:dyDescent="0.25">
      <c r="A86" s="4">
        <f>COUNTIF(A14:A28,"=Б")</f>
        <v>0</v>
      </c>
    </row>
    <row r="87" spans="1:1" ht="15.75" customHeight="1" x14ac:dyDescent="0.25">
      <c r="A87" s="4">
        <f>COUNTIF(A14:A28,"=Б")</f>
        <v>0</v>
      </c>
    </row>
    <row r="88" spans="1:1" ht="15.75" customHeight="1" x14ac:dyDescent="0.25">
      <c r="A88" s="4">
        <f>COUNTIF(A14:A28,"=Б")</f>
        <v>0</v>
      </c>
    </row>
    <row r="89" spans="1:1" ht="15.75" customHeight="1" x14ac:dyDescent="0.25">
      <c r="A89" s="4">
        <f>COUNTIF(A14:A28,"=Б")</f>
        <v>0</v>
      </c>
    </row>
    <row r="90" spans="1:1" ht="15.75" customHeight="1" x14ac:dyDescent="0.25">
      <c r="A90" s="4">
        <f>COUNTIF(A14:A28,"=Б")</f>
        <v>0</v>
      </c>
    </row>
    <row r="91" spans="1:1" ht="15.75" customHeight="1" x14ac:dyDescent="0.25">
      <c r="A91" s="4">
        <f>COUNTIF(A14:A28,"=Б")</f>
        <v>0</v>
      </c>
    </row>
    <row r="92" spans="1:1" ht="15.75" customHeight="1" x14ac:dyDescent="0.25">
      <c r="A92" s="4">
        <f>COUNTIF(A14:A28,"=Б")</f>
        <v>0</v>
      </c>
    </row>
    <row r="93" spans="1:1" ht="15.75" customHeight="1" x14ac:dyDescent="0.25">
      <c r="A93" s="4">
        <f>COUNTIF(A14:A28,"=Б")</f>
        <v>0</v>
      </c>
    </row>
    <row r="94" spans="1:1" ht="15.75" customHeight="1" x14ac:dyDescent="0.25">
      <c r="A94" s="4">
        <f>COUNTIF(A14:A28,"=Б")</f>
        <v>0</v>
      </c>
    </row>
    <row r="95" spans="1:1" ht="15.75" customHeight="1" x14ac:dyDescent="0.25">
      <c r="A95" s="4">
        <f>COUNTIF(A14:A28,"=Б")</f>
        <v>0</v>
      </c>
    </row>
    <row r="96" spans="1:1" ht="15.75" customHeight="1" x14ac:dyDescent="0.25">
      <c r="A96" s="4">
        <f>COUNTIF(A14:A28,"=Б")</f>
        <v>0</v>
      </c>
    </row>
    <row r="97" spans="1:1" ht="15.75" customHeight="1" x14ac:dyDescent="0.25">
      <c r="A97" s="4">
        <f>COUNTIF(A14:A28,"=Б")</f>
        <v>0</v>
      </c>
    </row>
    <row r="98" spans="1:1" ht="15.75" customHeight="1" x14ac:dyDescent="0.25">
      <c r="A98" s="4">
        <f>COUNTIF(A14:A28,"=Б")</f>
        <v>0</v>
      </c>
    </row>
    <row r="99" spans="1:1" ht="15.75" customHeight="1" x14ac:dyDescent="0.25">
      <c r="A99" s="4">
        <f>COUNTIF(A14:A28,"=Б")</f>
        <v>0</v>
      </c>
    </row>
    <row r="100" spans="1:1" ht="15.75" customHeight="1" x14ac:dyDescent="0.25">
      <c r="A100" s="4">
        <f>COUNTIF(A14:A28,"=Б")</f>
        <v>0</v>
      </c>
    </row>
    <row r="101" spans="1:1" ht="15.75" customHeight="1" x14ac:dyDescent="0.25">
      <c r="A101" s="4">
        <f>COUNTIF(A14:A28,"=Б")</f>
        <v>0</v>
      </c>
    </row>
    <row r="102" spans="1:1" ht="15.75" customHeight="1" x14ac:dyDescent="0.25">
      <c r="A102" s="4">
        <f>COUNTIF(A14:A28,"=Б")</f>
        <v>0</v>
      </c>
    </row>
    <row r="103" spans="1:1" ht="15.75" customHeight="1" x14ac:dyDescent="0.25">
      <c r="A103" s="4">
        <f>COUNTIF(A14:A28,"=Б")</f>
        <v>0</v>
      </c>
    </row>
    <row r="104" spans="1:1" ht="15.75" customHeight="1" x14ac:dyDescent="0.25">
      <c r="A104" s="4">
        <f>COUNTIF(A14:A28,"=Б")</f>
        <v>0</v>
      </c>
    </row>
    <row r="105" spans="1:1" ht="15.75" customHeight="1" x14ac:dyDescent="0.25">
      <c r="A105" s="4">
        <f>COUNTIF(A14:A28,"=Б")</f>
        <v>0</v>
      </c>
    </row>
    <row r="106" spans="1:1" ht="15.75" customHeight="1" x14ac:dyDescent="0.25">
      <c r="A106" s="4">
        <f>COUNTIF(A14:A28,"=Б")</f>
        <v>0</v>
      </c>
    </row>
    <row r="107" spans="1:1" ht="15.75" customHeight="1" x14ac:dyDescent="0.25">
      <c r="A107" s="4">
        <f>COUNTIF(A14:A28,"=Б")</f>
        <v>0</v>
      </c>
    </row>
    <row r="108" spans="1:1" ht="15.75" customHeight="1" x14ac:dyDescent="0.25">
      <c r="A108" s="4">
        <f>COUNTIF(A14:A28,"=Б")</f>
        <v>0</v>
      </c>
    </row>
    <row r="109" spans="1:1" ht="15.75" customHeight="1" x14ac:dyDescent="0.25"/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27">
    <mergeCell ref="A6:T6"/>
    <mergeCell ref="A1:T1"/>
    <mergeCell ref="A2:T2"/>
    <mergeCell ref="A3:T3"/>
    <mergeCell ref="A4:T4"/>
    <mergeCell ref="A5:T5"/>
    <mergeCell ref="O8:O10"/>
    <mergeCell ref="A7:A10"/>
    <mergeCell ref="B7:B10"/>
    <mergeCell ref="C7:C10"/>
    <mergeCell ref="D7:T7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P8:P10"/>
    <mergeCell ref="Q8:Q10"/>
    <mergeCell ref="R8:R10"/>
    <mergeCell ref="S8:S10"/>
    <mergeCell ref="T8:T10"/>
  </mergeCells>
  <printOptions horizontalCentered="1" verticalCentered="1"/>
  <pageMargins left="0.59055118110236227" right="0" top="0.78740157480314965" bottom="0" header="0" footer="0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Зведена відомість 172</vt:lpstr>
      <vt:lpstr>Зведена відомість 185</vt:lpstr>
      <vt:lpstr>Рейтингова відомість 172</vt:lpstr>
      <vt:lpstr>Рейтингова відомість 185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BONDARENKO</cp:lastModifiedBy>
  <cp:lastPrinted>2021-12-29T08:44:36Z</cp:lastPrinted>
  <dcterms:created xsi:type="dcterms:W3CDTF">2006-09-28T05:33:49Z</dcterms:created>
  <dcterms:modified xsi:type="dcterms:W3CDTF">2022-08-29T09:21:37Z</dcterms:modified>
</cp:coreProperties>
</file>