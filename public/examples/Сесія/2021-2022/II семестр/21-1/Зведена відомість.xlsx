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/>
  <bookViews>
    <workbookView xWindow="270" yWindow="645" windowWidth="19980" windowHeight="7110"/>
  </bookViews>
  <sheets>
    <sheet name="Зведена відомість" sheetId="11" r:id="rId1"/>
    <sheet name="Рейтингова відомість" sheetId="10" r:id="rId2"/>
  </sheets>
  <definedNames>
    <definedName name="_xlnm._FilterDatabase" localSheetId="1" hidden="1">'Рейтингова відомість'!$A$25:$T$121</definedName>
    <definedName name="A1048577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gOPsm6FEJDIGCEJTby++OVfUJwtg=="/>
    </ext>
  </extLst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T19" i="10"/>
  <c r="T20" i="10"/>
  <c r="T21" i="10"/>
  <c r="T22" i="10"/>
  <c r="T23" i="10"/>
  <c r="T24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T11" i="10"/>
  <c r="S11" i="10"/>
  <c r="D27" i="10"/>
  <c r="D26" i="10"/>
  <c r="D25" i="10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11" i="11"/>
  <c r="D44" i="11"/>
  <c r="D43" i="11"/>
  <c r="D42" i="11"/>
  <c r="D41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B78" i="11" l="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B75" i="11" l="1"/>
  <c r="B76" i="11"/>
  <c r="B77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79" i="11"/>
  <c r="A80" i="11"/>
  <c r="A81" i="11"/>
  <c r="A82" i="11"/>
  <c r="A83" i="11"/>
  <c r="A84" i="11"/>
  <c r="A85" i="11"/>
  <c r="A86" i="11"/>
  <c r="A87" i="11"/>
  <c r="A88" i="11"/>
  <c r="A89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A75" i="11"/>
  <c r="A76" i="11"/>
  <c r="A77" i="11"/>
  <c r="A78" i="11"/>
  <c r="D46" i="11" l="1"/>
  <c r="D83" i="11" s="1"/>
  <c r="D103" i="11" l="1"/>
  <c r="D118" i="11"/>
  <c r="D116" i="11"/>
  <c r="D110" i="11"/>
  <c r="D102" i="11"/>
  <c r="D82" i="11"/>
  <c r="D86" i="11"/>
  <c r="D107" i="11"/>
  <c r="D120" i="11"/>
  <c r="D112" i="11"/>
  <c r="D111" i="11"/>
  <c r="D78" i="11"/>
  <c r="D94" i="11"/>
  <c r="D105" i="11"/>
  <c r="D75" i="11"/>
  <c r="D77" i="11"/>
  <c r="D113" i="11"/>
  <c r="D117" i="11"/>
  <c r="D90" i="11"/>
  <c r="D92" i="11"/>
  <c r="D81" i="11"/>
  <c r="D104" i="11"/>
  <c r="D115" i="11"/>
  <c r="D106" i="11"/>
  <c r="D87" i="11"/>
  <c r="D80" i="11"/>
  <c r="D91" i="11"/>
  <c r="D100" i="11"/>
  <c r="D119" i="11"/>
  <c r="D89" i="11"/>
  <c r="D95" i="11"/>
  <c r="D99" i="11"/>
  <c r="D101" i="11"/>
  <c r="D79" i="11"/>
  <c r="D108" i="11"/>
  <c r="D85" i="11"/>
  <c r="D97" i="11"/>
  <c r="D93" i="11"/>
  <c r="D88" i="11"/>
  <c r="D98" i="11"/>
  <c r="D76" i="11"/>
  <c r="D109" i="11"/>
  <c r="D114" i="11"/>
  <c r="D84" i="11"/>
  <c r="D96" i="11"/>
</calcChain>
</file>

<file path=xl/sharedStrings.xml><?xml version="1.0" encoding="utf-8"?>
<sst xmlns="http://schemas.openxmlformats.org/spreadsheetml/2006/main" count="168" uniqueCount="72">
  <si>
    <t xml:space="preserve">ЗВЕДЕНА  ВІДОМІСТЬ  </t>
  </si>
  <si>
    <t>Успішності студентів спеціальності 075 "Маркетинг"</t>
  </si>
  <si>
    <t>Група 21-1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</si>
  <si>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</si>
  <si>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</si>
  <si>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</si>
  <si>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</si>
  <si>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Грубіна О.П.</t>
  </si>
  <si>
    <t>Всесвітня історія
Мельничук С.А.</t>
  </si>
  <si>
    <t>Математика
Ромчук В.В.</t>
  </si>
  <si>
    <t>Хімія
Сахно Н.О.</t>
  </si>
  <si>
    <t>Інформатика
Вівдіч М.І.</t>
  </si>
  <si>
    <t>Українська мова
Грубіна О.П.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</si>
  <si>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</si>
  <si>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</si>
  <si>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</si>
  <si>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</si>
  <si>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</si>
  <si>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</si>
  <si>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Б</t>
  </si>
  <si>
    <t>Антонов Гліб Артемович</t>
  </si>
  <si>
    <t>Бузіян Анастасія Володимирівна</t>
  </si>
  <si>
    <t>Гілка Анна Вадимівна</t>
  </si>
  <si>
    <t>Городецька Олена Сергіївна</t>
  </si>
  <si>
    <t>К</t>
  </si>
  <si>
    <t>Демченко Анастасія Вадимівна</t>
  </si>
  <si>
    <t>Звєркова Анастасія Олександрів.</t>
  </si>
  <si>
    <t>Кірнична Вероніка Сергіївна</t>
  </si>
  <si>
    <t>Котанчян Поліна Тігранівна</t>
  </si>
  <si>
    <t>Кулик Дар’я Вікторівна</t>
  </si>
  <si>
    <t>Мельниченко Поліна Олександрів</t>
  </si>
  <si>
    <t>Михалкевич Валерія Олексіївна</t>
  </si>
  <si>
    <t>Панкова Марія Олегівна</t>
  </si>
  <si>
    <t>Панчев Бариш Сахібович</t>
  </si>
  <si>
    <t>Плем’яник Крістіна Ігорівна</t>
  </si>
  <si>
    <t>Поліщук  Дар’я Ігорівна</t>
  </si>
  <si>
    <t>Сарафанова Крістіна Ігорівна</t>
  </si>
  <si>
    <t>Семенюк Даніїл Дмитрович</t>
  </si>
  <si>
    <t>Скок Марія Олегівна</t>
  </si>
  <si>
    <t>Соломатіна Поліна Андріївна</t>
  </si>
  <si>
    <t>Тареліна Ульяна Іванівна</t>
  </si>
  <si>
    <t>Тарусова Кіра Юріївна</t>
  </si>
  <si>
    <t>Татаренко Даяна Андріївна</t>
  </si>
  <si>
    <t>Телефанько Діана Ігорівна</t>
  </si>
  <si>
    <t>Тітєнькін Павло Юрійович</t>
  </si>
  <si>
    <t>Троїцька Катерина Олександрівна</t>
  </si>
  <si>
    <t>Хаджи Анна Георгіївна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</si>
  <si>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</si>
  <si>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</si>
  <si>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</si>
  <si>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</si>
  <si>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</si>
  <si>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</si>
  <si>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</si>
  <si>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</si>
  <si>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</si>
  <si>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</si>
  <si>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Майя ВІВДІЧ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</si>
  <si>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</si>
  <si>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</si>
  <si>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</si>
  <si>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</si>
  <si>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</si>
  <si>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Смислова Валерія Русланївна</t>
  </si>
  <si>
    <t>Астрономія
Калюта Н.М.</t>
  </si>
  <si>
    <t>Фізика
Швець М.В.</t>
  </si>
  <si>
    <t>Фізичне культура
Галеніна І.С.</t>
  </si>
  <si>
    <t>ЗВ
Черкашин А.Д.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</si>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</sst>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2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3" fillId="0" borderId="5"/>
    <xf numFmtId="0" fontId="2" fillId="0" borderId="5"/>
    <xf numFmtId="0" fontId="3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  <xf numFmtId="0" fontId="2" fillId="0" borderId="5"/>
  </cellStyleXfs>
  <cellXfs count="74">
    <xf numFmtId="0" fontId="0" fillId="0" borderId="0" xfId="0" applyFont="1" applyAlignment="1"/>
    <xf numFmtId="0" fontId="1" fillId="0" borderId="6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horizontal="center" vertical="center" wrapText="1"/>
    </xf>
    <xf numFmtId="0" fontId="1" fillId="0" borderId="13" xfId="1" applyNumberFormat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 wrapText="1"/>
    </xf>
    <xf numFmtId="0" fontId="1" fillId="0" borderId="5" xfId="1" applyNumberFormat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left" vertical="center" wrapText="1"/>
    </xf>
    <xf numFmtId="0" fontId="1" fillId="0" borderId="9" xfId="1" applyNumberFormat="1" applyFont="1" applyFill="1" applyBorder="1" applyAlignment="1">
      <alignment horizontal="center" vertical="center" wrapText="1"/>
    </xf>
    <xf numFmtId="0" fontId="1" fillId="0" borderId="11" xfId="1" applyNumberFormat="1" applyFont="1" applyFill="1" applyBorder="1" applyAlignment="1">
      <alignment horizontal="center" vertical="center" wrapText="1"/>
    </xf>
    <xf numFmtId="0" fontId="1" fillId="0" borderId="8" xfId="1" applyNumberFormat="1" applyFont="1" applyFill="1" applyBorder="1" applyAlignment="1">
      <alignment horizontal="center" vertical="center" wrapText="1"/>
    </xf>
    <xf numFmtId="0" fontId="1" fillId="0" borderId="10" xfId="1" applyNumberFormat="1" applyFont="1" applyFill="1" applyBorder="1" applyAlignment="1">
      <alignment horizontal="center" vertical="center" wrapText="1"/>
    </xf>
    <xf numFmtId="0" fontId="1" fillId="0" borderId="2" xfId="1" applyNumberFormat="1" applyFont="1" applyFill="1" applyBorder="1" applyAlignment="1">
      <alignment horizontal="center" vertical="center" wrapText="1"/>
    </xf>
    <xf numFmtId="0" fontId="1" fillId="0" borderId="9" xfId="1" applyNumberFormat="1" applyFont="1" applyFill="1" applyBorder="1" applyAlignment="1">
      <alignment horizontal="center" vertical="center"/>
    </xf>
    <xf numFmtId="0" fontId="1" fillId="0" borderId="16" xfId="1" applyNumberFormat="1" applyFont="1" applyFill="1" applyBorder="1" applyAlignment="1">
      <alignment horizontal="center" vertical="center"/>
    </xf>
    <xf numFmtId="0" fontId="1" fillId="0" borderId="10" xfId="1" applyNumberFormat="1" applyFont="1" applyFill="1" applyBorder="1" applyAlignment="1">
      <alignment horizontal="center" vertical="center"/>
    </xf>
    <xf numFmtId="0" fontId="1" fillId="0" borderId="4" xfId="1" applyNumberFormat="1" applyFont="1" applyFill="1" applyBorder="1" applyAlignment="1">
      <alignment horizontal="center" vertical="center"/>
    </xf>
    <xf numFmtId="0" fontId="1" fillId="0" borderId="5" xfId="1" applyNumberFormat="1" applyFont="1" applyFill="1" applyAlignment="1">
      <alignment horizontal="center" vertical="center"/>
    </xf>
    <xf numFmtId="0" fontId="1" fillId="0" borderId="5" xfId="1" applyNumberFormat="1" applyFont="1" applyFill="1" applyBorder="1" applyAlignment="1">
      <alignment horizontal="center" vertical="center"/>
    </xf>
    <xf numFmtId="0" fontId="1" fillId="0" borderId="7" xfId="1" applyNumberFormat="1" applyFont="1" applyFill="1" applyBorder="1" applyAlignment="1">
      <alignment horizontal="left" vertical="center" wrapText="1"/>
    </xf>
    <xf numFmtId="0" fontId="1" fillId="0" borderId="10" xfId="1" applyNumberFormat="1" applyFont="1" applyFill="1" applyBorder="1" applyAlignment="1">
      <alignment horizontal="left" vertical="center" wrapText="1"/>
    </xf>
    <xf numFmtId="164" fontId="1" fillId="3" borderId="7" xfId="1" applyNumberFormat="1" applyFont="1" applyFill="1" applyBorder="1" applyAlignment="1">
      <alignment horizontal="center" vertical="center"/>
    </xf>
    <xf numFmtId="164" fontId="1" fillId="3" borderId="9" xfId="1" applyNumberFormat="1" applyFont="1" applyFill="1" applyBorder="1" applyAlignment="1">
      <alignment horizontal="center" vertical="center"/>
    </xf>
    <xf numFmtId="164" fontId="1" fillId="3" borderId="16" xfId="1" applyNumberFormat="1" applyFont="1" applyFill="1" applyBorder="1" applyAlignment="1">
      <alignment horizontal="center" vertical="center"/>
    </xf>
    <xf numFmtId="164" fontId="1" fillId="3" borderId="6" xfId="1" applyNumberFormat="1" applyFont="1" applyFill="1" applyBorder="1" applyAlignment="1">
      <alignment horizontal="center" vertical="center"/>
    </xf>
    <xf numFmtId="164" fontId="1" fillId="3" borderId="10" xfId="1" applyNumberFormat="1" applyFont="1" applyFill="1" applyBorder="1" applyAlignment="1">
      <alignment horizontal="center" vertical="center"/>
    </xf>
    <xf numFmtId="164" fontId="1" fillId="3" borderId="4" xfId="1" applyNumberFormat="1" applyFont="1" applyFill="1" applyBorder="1" applyAlignment="1">
      <alignment horizontal="center" vertical="center"/>
    </xf>
    <xf numFmtId="164" fontId="1" fillId="3" borderId="11" xfId="1" applyNumberFormat="1" applyFont="1" applyFill="1" applyBorder="1" applyAlignment="1">
      <alignment horizontal="center" vertical="center"/>
    </xf>
    <xf numFmtId="164" fontId="1" fillId="4" borderId="12" xfId="1" applyNumberFormat="1" applyFont="1" applyFill="1" applyBorder="1" applyAlignment="1">
      <alignment horizontal="center" vertical="center"/>
    </xf>
    <xf numFmtId="164" fontId="1" fillId="4" borderId="3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2" fontId="1" fillId="3" borderId="7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Alignment="1">
      <alignment horizontal="left" vertical="center"/>
    </xf>
    <xf numFmtId="0" fontId="1" fillId="2" borderId="6" xfId="1" applyNumberFormat="1" applyFont="1" applyFill="1" applyBorder="1" applyAlignment="1">
      <alignment horizontal="center" vertical="center" wrapText="1"/>
    </xf>
    <xf numFmtId="0" fontId="1" fillId="2" borderId="7" xfId="1" applyNumberFormat="1" applyFont="1" applyFill="1" applyBorder="1" applyAlignment="1">
      <alignment horizontal="center" vertical="center" wrapText="1"/>
    </xf>
    <xf numFmtId="0" fontId="1" fillId="2" borderId="1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5" fillId="0" borderId="5" xfId="1" applyNumberFormat="1" applyFont="1" applyFill="1" applyBorder="1" applyAlignment="1">
      <alignment horizontal="center" vertical="center"/>
    </xf>
    <xf numFmtId="0" fontId="1" fillId="2" borderId="5" xfId="1" applyNumberFormat="1" applyFont="1" applyFill="1" applyBorder="1" applyAlignment="1">
      <alignment horizontal="center" vertical="center" wrapText="1"/>
    </xf>
    <xf numFmtId="0" fontId="1" fillId="2" borderId="9" xfId="1" applyNumberFormat="1" applyFont="1" applyFill="1" applyBorder="1" applyAlignment="1">
      <alignment horizontal="center" vertical="center" wrapText="1"/>
    </xf>
    <xf numFmtId="0" fontId="1" fillId="2" borderId="7" xfId="1" applyNumberFormat="1" applyFont="1" applyFill="1" applyBorder="1" applyAlignment="1">
      <alignment horizontal="center" vertical="center"/>
    </xf>
    <xf numFmtId="0" fontId="1" fillId="2" borderId="9" xfId="1" applyNumberFormat="1" applyFont="1" applyFill="1" applyBorder="1" applyAlignment="1">
      <alignment horizontal="center" vertical="center"/>
    </xf>
    <xf numFmtId="0" fontId="1" fillId="2" borderId="11" xfId="1" applyNumberFormat="1" applyFont="1" applyFill="1" applyBorder="1" applyAlignment="1">
      <alignment horizontal="center" vertical="center" wrapText="1"/>
    </xf>
    <xf numFmtId="2" fontId="1" fillId="2" borderId="16" xfId="2" applyNumberFormat="1" applyFont="1" applyFill="1" applyBorder="1" applyAlignment="1">
      <alignment horizontal="center" vertical="center"/>
    </xf>
    <xf numFmtId="0" fontId="1" fillId="2" borderId="8" xfId="1" applyNumberFormat="1" applyFont="1" applyFill="1" applyBorder="1" applyAlignment="1">
      <alignment horizontal="center" vertical="center" wrapText="1"/>
    </xf>
    <xf numFmtId="0" fontId="1" fillId="2" borderId="10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/>
    </xf>
    <xf numFmtId="0" fontId="1" fillId="2" borderId="10" xfId="1" applyNumberFormat="1" applyFont="1" applyFill="1" applyBorder="1" applyAlignment="1">
      <alignment horizontal="center" vertical="center"/>
    </xf>
    <xf numFmtId="0" fontId="1" fillId="2" borderId="4" xfId="1" applyNumberFormat="1" applyFont="1" applyFill="1" applyBorder="1" applyAlignment="1">
      <alignment horizontal="left" vertical="center" wrapText="1"/>
    </xf>
    <xf numFmtId="0" fontId="1" fillId="0" borderId="16" xfId="1" applyNumberFormat="1" applyFont="1" applyFill="1" applyBorder="1" applyAlignment="1">
      <alignment horizontal="left" vertical="center" wrapText="1"/>
    </xf>
    <xf numFmtId="0" fontId="1" fillId="0" borderId="16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Alignment="1">
      <alignment horizontal="center" vertical="center"/>
    </xf>
    <xf numFmtId="0" fontId="6" fillId="0" borderId="5" xfId="1" applyNumberFormat="1" applyFont="1" applyFill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Alignment="1">
      <alignment horizontal="center" vertical="center"/>
    </xf>
    <xf numFmtId="0" fontId="6" fillId="0" borderId="5" xfId="1" applyNumberFormat="1" applyFont="1" applyFill="1" applyAlignment="1">
      <alignment horizontal="center" vertical="center"/>
    </xf>
    <xf numFmtId="0" fontId="1" fillId="0" borderId="12" xfId="1" applyNumberFormat="1" applyFont="1" applyFill="1" applyBorder="1" applyAlignment="1">
      <alignment horizontal="center" vertical="center"/>
    </xf>
    <xf numFmtId="0" fontId="1" fillId="0" borderId="3" xfId="1" applyNumberFormat="1" applyFont="1" applyFill="1" applyBorder="1" applyAlignment="1">
      <alignment horizontal="center" vertical="center"/>
    </xf>
    <xf numFmtId="0" fontId="1" fillId="0" borderId="12" xfId="1" applyNumberFormat="1" applyFont="1" applyFill="1" applyBorder="1" applyAlignment="1">
      <alignment horizontal="center" vertical="center" wrapText="1"/>
    </xf>
    <xf numFmtId="0" fontId="1" fillId="0" borderId="7" xfId="1" applyNumberFormat="1" applyFont="1" applyFill="1" applyBorder="1" applyAlignment="1">
      <alignment horizontal="center" vertical="center"/>
    </xf>
    <xf numFmtId="0" fontId="1" fillId="0" borderId="14" xfId="1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0" fontId="1" fillId="0" borderId="12" xfId="1" applyNumberFormat="1" applyFont="1" applyFill="1" applyBorder="1" applyAlignment="1">
      <alignment horizontal="center" textRotation="90" wrapText="1"/>
    </xf>
    <xf numFmtId="0" fontId="1" fillId="0" borderId="3" xfId="1" applyNumberFormat="1" applyFont="1" applyFill="1" applyBorder="1" applyAlignment="1">
      <alignment horizontal="center" textRotation="90" wrapText="1"/>
    </xf>
    <xf numFmtId="0" fontId="1" fillId="0" borderId="7" xfId="1" applyNumberFormat="1" applyFont="1" applyFill="1" applyBorder="1" applyAlignment="1">
      <alignment horizontal="center" textRotation="90" wrapText="1"/>
    </xf>
    <xf numFmtId="0" fontId="1" fillId="0" borderId="3" xfId="1" applyNumberFormat="1" applyFont="1" applyFill="1" applyBorder="1" applyAlignment="1">
      <alignment horizontal="center" textRotation="90"/>
    </xf>
    <xf numFmtId="0" fontId="1" fillId="0" borderId="7" xfId="1" applyNumberFormat="1" applyFont="1" applyFill="1" applyBorder="1" applyAlignment="1">
      <alignment horizontal="center" textRotation="90"/>
    </xf>
    <xf numFmtId="0" fontId="4" fillId="0" borderId="12" xfId="1" applyNumberFormat="1" applyFont="1" applyFill="1" applyBorder="1" applyAlignment="1">
      <alignment horizontal="center" vertical="center" textRotation="90" wrapText="1"/>
    </xf>
    <xf numFmtId="0" fontId="4" fillId="0" borderId="3" xfId="1" applyNumberFormat="1" applyFont="1" applyFill="1" applyBorder="1" applyAlignment="1">
      <alignment horizontal="center" vertical="center" textRotation="90"/>
    </xf>
    <xf numFmtId="0" fontId="4" fillId="0" borderId="7" xfId="1" applyNumberFormat="1" applyFont="1" applyFill="1" applyBorder="1" applyAlignment="1">
      <alignment horizontal="center" vertical="center" textRotation="90"/>
    </xf>
    <xf numFmtId="0" fontId="1" fillId="0" borderId="14" xfId="1" applyNumberFormat="1" applyFont="1" applyFill="1" applyBorder="1" applyAlignment="1">
      <alignment horizontal="center" vertical="center" wrapText="1"/>
    </xf>
    <xf numFmtId="0" fontId="1" fillId="0" borderId="15" xfId="1" applyNumberFormat="1" applyFont="1" applyFill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1"/>
    <cellStyle name="Обычный 11" xfId="4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topLeftCell="A19" workbookViewId="0">
      <selection sqref="A1:S1"/>
    </sheetView>
  </sheetViews>
  <sheetFormatPr defaultColWidth="14.42578125" defaultRowHeight="15" customHeight="1" x14ac:dyDescent="0.25"/>
  <cols>
    <col min="1" max="1" width="5.140625" style="16" customWidth="1"/>
    <col min="2" max="2" width="6.5703125" style="16" customWidth="1"/>
    <col min="3" max="3" width="40.42578125" style="16" customWidth="1"/>
    <col min="4" max="4" width="6.140625" style="16" customWidth="1"/>
    <col min="5" max="18" width="6.7109375" style="16" customWidth="1"/>
    <col min="19" max="19" width="11.28515625" style="16" customWidth="1"/>
    <col min="20" max="16384" width="14.42578125" style="16"/>
  </cols>
  <sheetData>
    <row r="1" spans="1:19" s="51" customFormat="1" ht="15" customHeight="1" x14ac:dyDescent="0.25">
      <c r="A1" s="54" t="s">
        <v>68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s="51" customFormat="1" ht="15" customHeight="1" x14ac:dyDescent="0.25">
      <c r="A2" s="54" t="s">
        <v>69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s="52" customFormat="1" ht="15" customHeight="1" x14ac:dyDescent="0.25">
      <c r="A3" s="55" t="s">
        <v>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51" customFormat="1" ht="15" customHeight="1" x14ac:dyDescent="0.25">
      <c r="A4" s="54" t="s">
        <v>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 s="51" customFormat="1" ht="15" customHeight="1" x14ac:dyDescent="0.25">
      <c r="A5" s="54" t="s">
        <v>70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spans="1:19" s="51" customFormat="1" ht="15" customHeight="1" x14ac:dyDescent="0.25">
      <c r="A6" s="53" t="s">
        <v>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</row>
    <row r="7" spans="1:19" ht="15" customHeight="1" x14ac:dyDescent="0.25">
      <c r="A7" s="56" t="s">
        <v>3</v>
      </c>
      <c r="B7" s="58" t="s">
        <v>4</v>
      </c>
      <c r="C7" s="58" t="s">
        <v>5</v>
      </c>
      <c r="D7" s="60" t="s">
        <v>6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2"/>
    </row>
    <row r="8" spans="1:19" ht="15" customHeight="1" x14ac:dyDescent="0.25">
      <c r="A8" s="57"/>
      <c r="B8" s="57"/>
      <c r="C8" s="57"/>
      <c r="D8" s="63" t="s">
        <v>64</v>
      </c>
      <c r="E8" s="63" t="s">
        <v>14</v>
      </c>
      <c r="F8" s="63" t="s">
        <v>8</v>
      </c>
      <c r="G8" s="63" t="s">
        <v>17</v>
      </c>
      <c r="H8" s="63" t="s">
        <v>13</v>
      </c>
      <c r="I8" s="63" t="s">
        <v>67</v>
      </c>
      <c r="J8" s="63" t="s">
        <v>15</v>
      </c>
      <c r="K8" s="63" t="s">
        <v>11</v>
      </c>
      <c r="L8" s="63" t="s">
        <v>16</v>
      </c>
      <c r="M8" s="63" t="s">
        <v>9</v>
      </c>
      <c r="N8" s="63" t="s">
        <v>7</v>
      </c>
      <c r="O8" s="63" t="s">
        <v>12</v>
      </c>
      <c r="P8" s="63" t="s">
        <v>65</v>
      </c>
      <c r="Q8" s="63" t="s">
        <v>66</v>
      </c>
      <c r="R8" s="63" t="s">
        <v>10</v>
      </c>
      <c r="S8" s="68" t="s">
        <v>18</v>
      </c>
    </row>
    <row r="9" spans="1:19" ht="15" customHeight="1" x14ac:dyDescent="0.25">
      <c r="A9" s="57"/>
      <c r="B9" s="57"/>
      <c r="C9" s="57"/>
      <c r="D9" s="64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9"/>
    </row>
    <row r="10" spans="1:19" ht="101.25" customHeight="1" x14ac:dyDescent="0.25">
      <c r="A10" s="57"/>
      <c r="B10" s="59"/>
      <c r="C10" s="57"/>
      <c r="D10" s="65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0"/>
    </row>
    <row r="11" spans="1:19" ht="15" customHeight="1" x14ac:dyDescent="0.25">
      <c r="A11" s="4" t="s">
        <v>19</v>
      </c>
      <c r="B11" s="5">
        <v>1</v>
      </c>
      <c r="C11" s="6" t="s">
        <v>20</v>
      </c>
      <c r="D11" s="1">
        <v>8</v>
      </c>
      <c r="E11" s="2">
        <v>6</v>
      </c>
      <c r="F11" s="2">
        <v>10</v>
      </c>
      <c r="G11" s="7">
        <v>9</v>
      </c>
      <c r="H11" s="2">
        <v>8</v>
      </c>
      <c r="I11" s="1">
        <v>8</v>
      </c>
      <c r="J11" s="2">
        <v>4</v>
      </c>
      <c r="K11" s="2">
        <v>8</v>
      </c>
      <c r="L11" s="50">
        <v>7</v>
      </c>
      <c r="M11" s="12">
        <v>7</v>
      </c>
      <c r="N11" s="7">
        <v>5</v>
      </c>
      <c r="O11" s="2">
        <v>6</v>
      </c>
      <c r="P11" s="8">
        <v>9</v>
      </c>
      <c r="Q11" s="2">
        <v>8</v>
      </c>
      <c r="R11" s="2">
        <v>7</v>
      </c>
      <c r="S11" s="30">
        <f>IF(COUNTIF(D11:R11,"=*")&gt;0,"-",(AVERAGE(D11:R11)))</f>
        <v>7.333333333333333</v>
      </c>
    </row>
    <row r="12" spans="1:19" ht="15" customHeight="1" x14ac:dyDescent="0.25">
      <c r="A12" s="4" t="s">
        <v>19</v>
      </c>
      <c r="B12" s="9">
        <v>2</v>
      </c>
      <c r="C12" s="6" t="s">
        <v>21</v>
      </c>
      <c r="D12" s="3">
        <v>9</v>
      </c>
      <c r="E12" s="4">
        <v>10</v>
      </c>
      <c r="F12" s="4">
        <v>10</v>
      </c>
      <c r="G12" s="10">
        <v>10</v>
      </c>
      <c r="H12" s="4">
        <v>9</v>
      </c>
      <c r="I12" s="3">
        <v>8</v>
      </c>
      <c r="J12" s="4">
        <v>8</v>
      </c>
      <c r="K12" s="4">
        <v>10</v>
      </c>
      <c r="L12" s="15">
        <v>8</v>
      </c>
      <c r="M12" s="14">
        <v>10</v>
      </c>
      <c r="N12" s="10">
        <v>8</v>
      </c>
      <c r="O12" s="4">
        <v>7</v>
      </c>
      <c r="P12" s="9">
        <v>8</v>
      </c>
      <c r="Q12" s="4">
        <v>11</v>
      </c>
      <c r="R12" s="2">
        <v>7</v>
      </c>
      <c r="S12" s="30">
        <f t="shared" ref="S12:S38" si="0">IF(COUNTIF(D12:R12,"=*")&gt;0,"-",(AVERAGE(D12:R12)))</f>
        <v>8.8666666666666671</v>
      </c>
    </row>
    <row r="13" spans="1:19" ht="15" customHeight="1" x14ac:dyDescent="0.25">
      <c r="A13" s="4" t="s">
        <v>19</v>
      </c>
      <c r="B13" s="9">
        <v>3</v>
      </c>
      <c r="C13" s="6" t="s">
        <v>22</v>
      </c>
      <c r="D13" s="3">
        <v>8</v>
      </c>
      <c r="E13" s="4">
        <v>7</v>
      </c>
      <c r="F13" s="4">
        <v>10</v>
      </c>
      <c r="G13" s="4">
        <v>10</v>
      </c>
      <c r="H13" s="2">
        <v>9</v>
      </c>
      <c r="I13" s="3">
        <v>10</v>
      </c>
      <c r="J13" s="4">
        <v>9</v>
      </c>
      <c r="K13" s="4">
        <v>10</v>
      </c>
      <c r="L13" s="15">
        <v>7</v>
      </c>
      <c r="M13" s="14">
        <v>8</v>
      </c>
      <c r="N13" s="10">
        <v>8</v>
      </c>
      <c r="O13" s="4">
        <v>8</v>
      </c>
      <c r="P13" s="9">
        <v>8</v>
      </c>
      <c r="Q13" s="4">
        <v>9</v>
      </c>
      <c r="R13" s="2">
        <v>8</v>
      </c>
      <c r="S13" s="30">
        <f t="shared" si="0"/>
        <v>8.6</v>
      </c>
    </row>
    <row r="14" spans="1:19" ht="15" customHeight="1" x14ac:dyDescent="0.25">
      <c r="A14" s="4" t="s">
        <v>19</v>
      </c>
      <c r="B14" s="9">
        <v>4</v>
      </c>
      <c r="C14" s="6" t="s">
        <v>23</v>
      </c>
      <c r="D14" s="3">
        <v>10</v>
      </c>
      <c r="E14" s="4">
        <v>10</v>
      </c>
      <c r="F14" s="4">
        <v>10</v>
      </c>
      <c r="G14" s="4">
        <v>10</v>
      </c>
      <c r="H14" s="4">
        <v>10</v>
      </c>
      <c r="I14" s="3">
        <v>10</v>
      </c>
      <c r="J14" s="4">
        <v>10</v>
      </c>
      <c r="K14" s="4">
        <v>11</v>
      </c>
      <c r="L14" s="15">
        <v>9</v>
      </c>
      <c r="M14" s="14">
        <v>10</v>
      </c>
      <c r="N14" s="10">
        <v>9</v>
      </c>
      <c r="O14" s="4">
        <v>9</v>
      </c>
      <c r="P14" s="9">
        <v>9</v>
      </c>
      <c r="Q14" s="4">
        <v>11</v>
      </c>
      <c r="R14" s="2">
        <v>8</v>
      </c>
      <c r="S14" s="30">
        <f t="shared" si="0"/>
        <v>9.7333333333333325</v>
      </c>
    </row>
    <row r="15" spans="1:19" ht="15" customHeight="1" x14ac:dyDescent="0.25">
      <c r="A15" s="4" t="s">
        <v>24</v>
      </c>
      <c r="B15" s="9">
        <v>5</v>
      </c>
      <c r="C15" s="6" t="s">
        <v>25</v>
      </c>
      <c r="D15" s="3">
        <v>8</v>
      </c>
      <c r="E15" s="4">
        <v>9</v>
      </c>
      <c r="F15" s="4">
        <v>10</v>
      </c>
      <c r="G15" s="4">
        <v>9</v>
      </c>
      <c r="H15" s="4">
        <v>9</v>
      </c>
      <c r="I15" s="3">
        <v>10</v>
      </c>
      <c r="J15" s="4">
        <v>11</v>
      </c>
      <c r="K15" s="4">
        <v>10</v>
      </c>
      <c r="L15" s="15">
        <v>8</v>
      </c>
      <c r="M15" s="14">
        <v>7</v>
      </c>
      <c r="N15" s="10">
        <v>7</v>
      </c>
      <c r="O15" s="4">
        <v>7</v>
      </c>
      <c r="P15" s="9">
        <v>8</v>
      </c>
      <c r="Q15" s="4">
        <v>9</v>
      </c>
      <c r="R15" s="2">
        <v>8</v>
      </c>
      <c r="S15" s="30">
        <f t="shared" si="0"/>
        <v>8.6666666666666661</v>
      </c>
    </row>
    <row r="16" spans="1:19" ht="15" customHeight="1" x14ac:dyDescent="0.25">
      <c r="A16" s="4" t="s">
        <v>19</v>
      </c>
      <c r="B16" s="9">
        <v>6</v>
      </c>
      <c r="C16" s="6" t="s">
        <v>26</v>
      </c>
      <c r="D16" s="3">
        <v>11</v>
      </c>
      <c r="E16" s="4">
        <v>9</v>
      </c>
      <c r="F16" s="4">
        <v>10</v>
      </c>
      <c r="G16" s="4">
        <v>10</v>
      </c>
      <c r="H16" s="4">
        <v>10</v>
      </c>
      <c r="I16" s="3">
        <v>10</v>
      </c>
      <c r="J16" s="4">
        <v>9</v>
      </c>
      <c r="K16" s="4">
        <v>10</v>
      </c>
      <c r="L16" s="15">
        <v>10</v>
      </c>
      <c r="M16" s="14">
        <v>10</v>
      </c>
      <c r="N16" s="10">
        <v>9</v>
      </c>
      <c r="O16" s="4">
        <v>10</v>
      </c>
      <c r="P16" s="9">
        <v>10</v>
      </c>
      <c r="Q16" s="4">
        <v>11</v>
      </c>
      <c r="R16" s="2">
        <v>9</v>
      </c>
      <c r="S16" s="30">
        <f t="shared" si="0"/>
        <v>9.8666666666666671</v>
      </c>
    </row>
    <row r="17" spans="1:19" ht="15" customHeight="1" x14ac:dyDescent="0.25">
      <c r="A17" s="4" t="s">
        <v>19</v>
      </c>
      <c r="B17" s="9">
        <v>7</v>
      </c>
      <c r="C17" s="6" t="s">
        <v>27</v>
      </c>
      <c r="D17" s="3">
        <v>4</v>
      </c>
      <c r="E17" s="4">
        <v>6</v>
      </c>
      <c r="F17" s="4">
        <v>10</v>
      </c>
      <c r="G17" s="4">
        <v>7</v>
      </c>
      <c r="H17" s="4">
        <v>6</v>
      </c>
      <c r="I17" s="3">
        <v>7</v>
      </c>
      <c r="J17" s="4">
        <v>5</v>
      </c>
      <c r="K17" s="4">
        <v>7</v>
      </c>
      <c r="L17" s="15">
        <v>4</v>
      </c>
      <c r="M17" s="14">
        <v>7</v>
      </c>
      <c r="N17" s="10">
        <v>4</v>
      </c>
      <c r="O17" s="4">
        <v>4</v>
      </c>
      <c r="P17" s="9">
        <v>8</v>
      </c>
      <c r="Q17" s="4">
        <v>8</v>
      </c>
      <c r="R17" s="2">
        <v>4</v>
      </c>
      <c r="S17" s="30">
        <f t="shared" si="0"/>
        <v>6.0666666666666664</v>
      </c>
    </row>
    <row r="18" spans="1:19" ht="15" customHeight="1" x14ac:dyDescent="0.25">
      <c r="A18" s="4" t="s">
        <v>24</v>
      </c>
      <c r="B18" s="9">
        <v>8</v>
      </c>
      <c r="C18" s="6" t="s">
        <v>28</v>
      </c>
      <c r="D18" s="3" t="s">
        <v>71</v>
      </c>
      <c r="E18" s="4" t="s">
        <v>71</v>
      </c>
      <c r="F18" s="4">
        <v>7</v>
      </c>
      <c r="G18" s="4">
        <v>4</v>
      </c>
      <c r="H18" s="4" t="s">
        <v>71</v>
      </c>
      <c r="I18" s="3" t="s">
        <v>71</v>
      </c>
      <c r="J18" s="15" t="s">
        <v>71</v>
      </c>
      <c r="K18" s="15">
        <v>4</v>
      </c>
      <c r="L18" s="15" t="s">
        <v>71</v>
      </c>
      <c r="M18" s="15">
        <v>6</v>
      </c>
      <c r="N18" s="10">
        <v>4</v>
      </c>
      <c r="O18" s="4" t="s">
        <v>71</v>
      </c>
      <c r="P18" s="9">
        <v>4</v>
      </c>
      <c r="Q18" s="4">
        <v>4</v>
      </c>
      <c r="R18" s="2">
        <v>4</v>
      </c>
      <c r="S18" s="30" t="str">
        <f t="shared" si="0"/>
        <v>-</v>
      </c>
    </row>
    <row r="19" spans="1:19" ht="15" customHeight="1" x14ac:dyDescent="0.25">
      <c r="A19" s="4" t="s">
        <v>19</v>
      </c>
      <c r="B19" s="9">
        <v>9</v>
      </c>
      <c r="C19" s="6" t="s">
        <v>29</v>
      </c>
      <c r="D19" s="3">
        <v>4</v>
      </c>
      <c r="E19" s="4">
        <v>7</v>
      </c>
      <c r="F19" s="4">
        <v>8</v>
      </c>
      <c r="G19" s="4">
        <v>8</v>
      </c>
      <c r="H19" s="4">
        <v>4</v>
      </c>
      <c r="I19" s="3">
        <v>7</v>
      </c>
      <c r="J19" s="4">
        <v>4</v>
      </c>
      <c r="K19" s="4">
        <v>6</v>
      </c>
      <c r="L19" s="15">
        <v>7</v>
      </c>
      <c r="M19" s="15">
        <v>7</v>
      </c>
      <c r="N19" s="15">
        <v>6</v>
      </c>
      <c r="O19" s="4">
        <v>5</v>
      </c>
      <c r="P19" s="9">
        <v>7</v>
      </c>
      <c r="Q19" s="4">
        <v>7</v>
      </c>
      <c r="R19" s="2">
        <v>6</v>
      </c>
      <c r="S19" s="30">
        <f t="shared" si="0"/>
        <v>6.2</v>
      </c>
    </row>
    <row r="20" spans="1:19" ht="15.75" customHeight="1" x14ac:dyDescent="0.25">
      <c r="A20" s="4" t="s">
        <v>24</v>
      </c>
      <c r="B20" s="9">
        <v>10</v>
      </c>
      <c r="C20" s="6" t="s">
        <v>30</v>
      </c>
      <c r="D20" s="3">
        <v>8</v>
      </c>
      <c r="E20" s="4">
        <v>8</v>
      </c>
      <c r="F20" s="4">
        <v>10</v>
      </c>
      <c r="G20" s="4">
        <v>9</v>
      </c>
      <c r="H20" s="4">
        <v>6</v>
      </c>
      <c r="I20" s="3">
        <v>8</v>
      </c>
      <c r="J20" s="4">
        <v>7</v>
      </c>
      <c r="K20" s="4">
        <v>9</v>
      </c>
      <c r="L20" s="15">
        <v>7</v>
      </c>
      <c r="M20" s="14">
        <v>5</v>
      </c>
      <c r="N20" s="10">
        <v>6</v>
      </c>
      <c r="O20" s="4">
        <v>6</v>
      </c>
      <c r="P20" s="9">
        <v>9</v>
      </c>
      <c r="Q20" s="4">
        <v>8</v>
      </c>
      <c r="R20" s="2">
        <v>8</v>
      </c>
      <c r="S20" s="30">
        <f t="shared" si="0"/>
        <v>7.6</v>
      </c>
    </row>
    <row r="21" spans="1:19" ht="15.75" customHeight="1" x14ac:dyDescent="0.25">
      <c r="A21" s="4" t="s">
        <v>19</v>
      </c>
      <c r="B21" s="9">
        <v>11</v>
      </c>
      <c r="C21" s="6" t="s">
        <v>31</v>
      </c>
      <c r="D21" s="3">
        <v>8</v>
      </c>
      <c r="E21" s="4">
        <v>7</v>
      </c>
      <c r="F21" s="4">
        <v>10</v>
      </c>
      <c r="G21" s="4">
        <v>9</v>
      </c>
      <c r="H21" s="4">
        <v>7</v>
      </c>
      <c r="I21" s="3">
        <v>8</v>
      </c>
      <c r="J21" s="4">
        <v>7</v>
      </c>
      <c r="K21" s="4">
        <v>9</v>
      </c>
      <c r="L21" s="15">
        <v>8</v>
      </c>
      <c r="M21" s="14">
        <v>10</v>
      </c>
      <c r="N21" s="10">
        <v>7</v>
      </c>
      <c r="O21" s="4">
        <v>7</v>
      </c>
      <c r="P21" s="9">
        <v>8</v>
      </c>
      <c r="Q21" s="4">
        <v>10</v>
      </c>
      <c r="R21" s="2">
        <v>8</v>
      </c>
      <c r="S21" s="30">
        <f t="shared" si="0"/>
        <v>8.1999999999999993</v>
      </c>
    </row>
    <row r="22" spans="1:19" ht="15.75" customHeight="1" x14ac:dyDescent="0.25">
      <c r="A22" s="4" t="s">
        <v>24</v>
      </c>
      <c r="B22" s="9">
        <v>12</v>
      </c>
      <c r="C22" s="6" t="s">
        <v>32</v>
      </c>
      <c r="D22" s="3">
        <v>9</v>
      </c>
      <c r="E22" s="4">
        <v>8</v>
      </c>
      <c r="F22" s="4">
        <v>10</v>
      </c>
      <c r="G22" s="4">
        <v>10</v>
      </c>
      <c r="H22" s="4">
        <v>8</v>
      </c>
      <c r="I22" s="3">
        <v>10</v>
      </c>
      <c r="J22" s="4">
        <v>8</v>
      </c>
      <c r="K22" s="4">
        <v>9</v>
      </c>
      <c r="L22" s="15">
        <v>9</v>
      </c>
      <c r="M22" s="14">
        <v>10</v>
      </c>
      <c r="N22" s="10">
        <v>9</v>
      </c>
      <c r="O22" s="4">
        <v>8</v>
      </c>
      <c r="P22" s="9">
        <v>10</v>
      </c>
      <c r="Q22" s="4">
        <v>7</v>
      </c>
      <c r="R22" s="2">
        <v>8</v>
      </c>
      <c r="S22" s="30">
        <f t="shared" si="0"/>
        <v>8.8666666666666671</v>
      </c>
    </row>
    <row r="23" spans="1:19" ht="15.75" customHeight="1" x14ac:dyDescent="0.25">
      <c r="A23" s="4" t="s">
        <v>24</v>
      </c>
      <c r="B23" s="9">
        <v>13</v>
      </c>
      <c r="C23" s="6" t="s">
        <v>33</v>
      </c>
      <c r="D23" s="3" t="s">
        <v>71</v>
      </c>
      <c r="E23" s="4">
        <v>4</v>
      </c>
      <c r="F23" s="4">
        <v>7</v>
      </c>
      <c r="G23" s="4">
        <v>4</v>
      </c>
      <c r="H23" s="4">
        <v>7</v>
      </c>
      <c r="I23" s="11" t="s">
        <v>71</v>
      </c>
      <c r="J23" s="4">
        <v>4</v>
      </c>
      <c r="K23" s="4">
        <v>5</v>
      </c>
      <c r="L23" s="15">
        <v>5</v>
      </c>
      <c r="M23" s="14">
        <v>5</v>
      </c>
      <c r="N23" s="10">
        <v>4</v>
      </c>
      <c r="O23" s="4">
        <v>4</v>
      </c>
      <c r="P23" s="9">
        <v>5</v>
      </c>
      <c r="Q23" s="4">
        <v>7</v>
      </c>
      <c r="R23" s="2">
        <v>4</v>
      </c>
      <c r="S23" s="30" t="str">
        <f t="shared" si="0"/>
        <v>-</v>
      </c>
    </row>
    <row r="24" spans="1:19" ht="15.75" customHeight="1" x14ac:dyDescent="0.25">
      <c r="A24" s="4" t="s">
        <v>19</v>
      </c>
      <c r="B24" s="9">
        <v>14</v>
      </c>
      <c r="C24" s="6" t="s">
        <v>34</v>
      </c>
      <c r="D24" s="3">
        <v>5</v>
      </c>
      <c r="E24" s="4">
        <v>8</v>
      </c>
      <c r="F24" s="4">
        <v>10</v>
      </c>
      <c r="G24" s="4">
        <v>10</v>
      </c>
      <c r="H24" s="4">
        <v>7</v>
      </c>
      <c r="I24" s="11">
        <v>9</v>
      </c>
      <c r="J24" s="4">
        <v>6</v>
      </c>
      <c r="K24" s="4">
        <v>10</v>
      </c>
      <c r="L24" s="15">
        <v>6</v>
      </c>
      <c r="M24" s="14">
        <v>8</v>
      </c>
      <c r="N24" s="10">
        <v>7</v>
      </c>
      <c r="O24" s="4">
        <v>5</v>
      </c>
      <c r="P24" s="9">
        <v>8</v>
      </c>
      <c r="Q24" s="4">
        <v>8</v>
      </c>
      <c r="R24" s="2">
        <v>7</v>
      </c>
      <c r="S24" s="30">
        <f t="shared" si="0"/>
        <v>7.6</v>
      </c>
    </row>
    <row r="25" spans="1:19" ht="15.75" customHeight="1" x14ac:dyDescent="0.25">
      <c r="A25" s="4" t="s">
        <v>24</v>
      </c>
      <c r="B25" s="9">
        <v>15</v>
      </c>
      <c r="C25" s="6" t="s">
        <v>35</v>
      </c>
      <c r="D25" s="3" t="s">
        <v>71</v>
      </c>
      <c r="E25" s="4">
        <v>8</v>
      </c>
      <c r="F25" s="4">
        <v>10</v>
      </c>
      <c r="G25" s="4">
        <v>4</v>
      </c>
      <c r="H25" s="4">
        <v>5</v>
      </c>
      <c r="I25" s="11" t="s">
        <v>71</v>
      </c>
      <c r="J25" s="4">
        <v>7</v>
      </c>
      <c r="K25" s="4">
        <v>6</v>
      </c>
      <c r="L25" s="15">
        <v>6</v>
      </c>
      <c r="M25" s="14">
        <v>7</v>
      </c>
      <c r="N25" s="10">
        <v>4</v>
      </c>
      <c r="O25" s="4">
        <v>4</v>
      </c>
      <c r="P25" s="9">
        <v>7</v>
      </c>
      <c r="Q25" s="4">
        <v>6</v>
      </c>
      <c r="R25" s="2">
        <v>4</v>
      </c>
      <c r="S25" s="30" t="str">
        <f t="shared" si="0"/>
        <v>-</v>
      </c>
    </row>
    <row r="26" spans="1:19" ht="15.75" customHeight="1" x14ac:dyDescent="0.25">
      <c r="A26" s="4" t="s">
        <v>24</v>
      </c>
      <c r="B26" s="9">
        <v>16</v>
      </c>
      <c r="C26" s="6" t="s">
        <v>36</v>
      </c>
      <c r="D26" s="3">
        <v>4</v>
      </c>
      <c r="E26" s="4">
        <v>6</v>
      </c>
      <c r="F26" s="4">
        <v>9</v>
      </c>
      <c r="G26" s="4">
        <v>4</v>
      </c>
      <c r="H26" s="4">
        <v>7</v>
      </c>
      <c r="I26" s="11" t="s">
        <v>71</v>
      </c>
      <c r="J26" s="4">
        <v>5</v>
      </c>
      <c r="K26" s="4">
        <v>6</v>
      </c>
      <c r="L26" s="15">
        <v>5</v>
      </c>
      <c r="M26" s="14">
        <v>6</v>
      </c>
      <c r="N26" s="10">
        <v>4</v>
      </c>
      <c r="O26" s="4">
        <v>4</v>
      </c>
      <c r="P26" s="9">
        <v>7</v>
      </c>
      <c r="Q26" s="4">
        <v>5</v>
      </c>
      <c r="R26" s="2">
        <v>4</v>
      </c>
      <c r="S26" s="30" t="str">
        <f t="shared" si="0"/>
        <v>-</v>
      </c>
    </row>
    <row r="27" spans="1:19" ht="15.75" customHeight="1" x14ac:dyDescent="0.25">
      <c r="A27" s="4" t="s">
        <v>24</v>
      </c>
      <c r="B27" s="9">
        <v>17</v>
      </c>
      <c r="C27" s="6" t="s">
        <v>37</v>
      </c>
      <c r="D27" s="3">
        <v>5</v>
      </c>
      <c r="E27" s="4">
        <v>6</v>
      </c>
      <c r="F27" s="4">
        <v>9</v>
      </c>
      <c r="G27" s="4">
        <v>8</v>
      </c>
      <c r="H27" s="4">
        <v>7</v>
      </c>
      <c r="I27" s="11">
        <v>6</v>
      </c>
      <c r="J27" s="4">
        <v>7</v>
      </c>
      <c r="K27" s="4">
        <v>6</v>
      </c>
      <c r="L27" s="15">
        <v>7</v>
      </c>
      <c r="M27" s="14">
        <v>6</v>
      </c>
      <c r="N27" s="10">
        <v>5</v>
      </c>
      <c r="O27" s="4">
        <v>5</v>
      </c>
      <c r="P27" s="9">
        <v>7</v>
      </c>
      <c r="Q27" s="4">
        <v>9</v>
      </c>
      <c r="R27" s="2">
        <v>6</v>
      </c>
      <c r="S27" s="30">
        <f t="shared" si="0"/>
        <v>6.6</v>
      </c>
    </row>
    <row r="28" spans="1:19" ht="15.75" customHeight="1" x14ac:dyDescent="0.25">
      <c r="A28" s="4" t="s">
        <v>24</v>
      </c>
      <c r="B28" s="9">
        <v>18</v>
      </c>
      <c r="C28" s="6" t="s">
        <v>38</v>
      </c>
      <c r="D28" s="3">
        <v>8</v>
      </c>
      <c r="E28" s="4">
        <v>8</v>
      </c>
      <c r="F28" s="4">
        <v>10</v>
      </c>
      <c r="G28" s="4">
        <v>9</v>
      </c>
      <c r="H28" s="4">
        <v>9</v>
      </c>
      <c r="I28" s="11">
        <v>8</v>
      </c>
      <c r="J28" s="4">
        <v>9</v>
      </c>
      <c r="K28" s="4">
        <v>7</v>
      </c>
      <c r="L28" s="15">
        <v>8</v>
      </c>
      <c r="M28" s="14">
        <v>6</v>
      </c>
      <c r="N28" s="10">
        <v>7</v>
      </c>
      <c r="O28" s="4">
        <v>7</v>
      </c>
      <c r="P28" s="9">
        <v>9</v>
      </c>
      <c r="Q28" s="4">
        <v>11</v>
      </c>
      <c r="R28" s="2">
        <v>7</v>
      </c>
      <c r="S28" s="30">
        <f t="shared" si="0"/>
        <v>8.1999999999999993</v>
      </c>
    </row>
    <row r="29" spans="1:19" ht="15.75" customHeight="1" x14ac:dyDescent="0.25">
      <c r="A29" s="4" t="s">
        <v>19</v>
      </c>
      <c r="B29" s="9">
        <v>19</v>
      </c>
      <c r="C29" s="6" t="s">
        <v>63</v>
      </c>
      <c r="D29" s="3">
        <v>10</v>
      </c>
      <c r="E29" s="4">
        <v>10</v>
      </c>
      <c r="F29" s="4">
        <v>10</v>
      </c>
      <c r="G29" s="4">
        <v>10</v>
      </c>
      <c r="H29" s="4">
        <v>10</v>
      </c>
      <c r="I29" s="11">
        <v>10</v>
      </c>
      <c r="J29" s="4">
        <v>11</v>
      </c>
      <c r="K29" s="4">
        <v>11</v>
      </c>
      <c r="L29" s="15">
        <v>10</v>
      </c>
      <c r="M29" s="14">
        <v>10</v>
      </c>
      <c r="N29" s="10">
        <v>10</v>
      </c>
      <c r="O29" s="4">
        <v>10</v>
      </c>
      <c r="P29" s="9">
        <v>10</v>
      </c>
      <c r="Q29" s="4">
        <v>11</v>
      </c>
      <c r="R29" s="2">
        <v>8</v>
      </c>
      <c r="S29" s="30">
        <f t="shared" si="0"/>
        <v>10.066666666666666</v>
      </c>
    </row>
    <row r="30" spans="1:19" ht="15.75" customHeight="1" x14ac:dyDescent="0.25">
      <c r="A30" s="4" t="s">
        <v>19</v>
      </c>
      <c r="B30" s="9">
        <v>20</v>
      </c>
      <c r="C30" s="6" t="s">
        <v>39</v>
      </c>
      <c r="D30" s="3">
        <v>9</v>
      </c>
      <c r="E30" s="4">
        <v>10</v>
      </c>
      <c r="F30" s="4">
        <v>10</v>
      </c>
      <c r="G30" s="4">
        <v>10</v>
      </c>
      <c r="H30" s="4">
        <v>11</v>
      </c>
      <c r="I30" s="11">
        <v>10</v>
      </c>
      <c r="J30" s="4">
        <v>10</v>
      </c>
      <c r="K30" s="4">
        <v>11</v>
      </c>
      <c r="L30" s="15">
        <v>9</v>
      </c>
      <c r="M30" s="14">
        <v>10</v>
      </c>
      <c r="N30" s="10">
        <v>10</v>
      </c>
      <c r="O30" s="4">
        <v>9</v>
      </c>
      <c r="P30" s="9">
        <v>10</v>
      </c>
      <c r="Q30" s="4">
        <v>11</v>
      </c>
      <c r="R30" s="2">
        <v>8</v>
      </c>
      <c r="S30" s="30">
        <f t="shared" si="0"/>
        <v>9.8666666666666671</v>
      </c>
    </row>
    <row r="31" spans="1:19" ht="15.75" customHeight="1" x14ac:dyDescent="0.25">
      <c r="A31" s="4" t="s">
        <v>24</v>
      </c>
      <c r="B31" s="9">
        <v>21</v>
      </c>
      <c r="C31" s="6" t="s">
        <v>40</v>
      </c>
      <c r="D31" s="3">
        <v>6</v>
      </c>
      <c r="E31" s="4">
        <v>7</v>
      </c>
      <c r="F31" s="4">
        <v>8</v>
      </c>
      <c r="G31" s="4">
        <v>8</v>
      </c>
      <c r="H31" s="4">
        <v>7</v>
      </c>
      <c r="I31" s="11">
        <v>7</v>
      </c>
      <c r="J31" s="4">
        <v>5</v>
      </c>
      <c r="K31" s="4">
        <v>8</v>
      </c>
      <c r="L31" s="15">
        <v>5</v>
      </c>
      <c r="M31" s="14">
        <v>5</v>
      </c>
      <c r="N31" s="10">
        <v>4</v>
      </c>
      <c r="O31" s="4">
        <v>4</v>
      </c>
      <c r="P31" s="9">
        <v>6</v>
      </c>
      <c r="Q31" s="4">
        <v>8</v>
      </c>
      <c r="R31" s="2">
        <v>6</v>
      </c>
      <c r="S31" s="30">
        <f t="shared" si="0"/>
        <v>6.2666666666666666</v>
      </c>
    </row>
    <row r="32" spans="1:19" ht="15.75" customHeight="1" x14ac:dyDescent="0.25">
      <c r="A32" s="4" t="s">
        <v>24</v>
      </c>
      <c r="B32" s="9">
        <v>22</v>
      </c>
      <c r="C32" s="6" t="s">
        <v>41</v>
      </c>
      <c r="D32" s="3">
        <v>3</v>
      </c>
      <c r="E32" s="4">
        <v>7</v>
      </c>
      <c r="F32" s="4">
        <v>9</v>
      </c>
      <c r="G32" s="4">
        <v>7</v>
      </c>
      <c r="H32" s="4">
        <v>7</v>
      </c>
      <c r="I32" s="11">
        <v>8</v>
      </c>
      <c r="J32" s="4">
        <v>10</v>
      </c>
      <c r="K32" s="4">
        <v>8</v>
      </c>
      <c r="L32" s="15">
        <v>7</v>
      </c>
      <c r="M32" s="14">
        <v>5</v>
      </c>
      <c r="N32" s="10">
        <v>4</v>
      </c>
      <c r="O32" s="4">
        <v>4</v>
      </c>
      <c r="P32" s="9">
        <v>7</v>
      </c>
      <c r="Q32" s="4">
        <v>8</v>
      </c>
      <c r="R32" s="2">
        <v>4</v>
      </c>
      <c r="S32" s="30">
        <f t="shared" si="0"/>
        <v>6.5333333333333332</v>
      </c>
    </row>
    <row r="33" spans="1:22" ht="15.75" customHeight="1" x14ac:dyDescent="0.25">
      <c r="A33" s="4" t="s">
        <v>19</v>
      </c>
      <c r="B33" s="9">
        <v>23</v>
      </c>
      <c r="C33" s="6" t="s">
        <v>42</v>
      </c>
      <c r="D33" s="3">
        <v>6</v>
      </c>
      <c r="E33" s="4">
        <v>4</v>
      </c>
      <c r="F33" s="4">
        <v>10</v>
      </c>
      <c r="G33" s="4">
        <v>8</v>
      </c>
      <c r="H33" s="4">
        <v>5</v>
      </c>
      <c r="I33" s="11">
        <v>8</v>
      </c>
      <c r="J33" s="4">
        <v>5</v>
      </c>
      <c r="K33" s="4">
        <v>7</v>
      </c>
      <c r="L33" s="15">
        <v>5</v>
      </c>
      <c r="M33" s="14">
        <v>5</v>
      </c>
      <c r="N33" s="10">
        <v>5</v>
      </c>
      <c r="O33" s="4">
        <v>6</v>
      </c>
      <c r="P33" s="9">
        <v>6</v>
      </c>
      <c r="Q33" s="4">
        <v>11</v>
      </c>
      <c r="R33" s="2">
        <v>7</v>
      </c>
      <c r="S33" s="30">
        <f t="shared" si="0"/>
        <v>6.5333333333333332</v>
      </c>
    </row>
    <row r="34" spans="1:22" ht="15.75" customHeight="1" x14ac:dyDescent="0.25">
      <c r="A34" s="4" t="s">
        <v>24</v>
      </c>
      <c r="B34" s="9">
        <v>24</v>
      </c>
      <c r="C34" s="6" t="s">
        <v>43</v>
      </c>
      <c r="D34" s="3">
        <v>5</v>
      </c>
      <c r="E34" s="4">
        <v>5</v>
      </c>
      <c r="F34" s="4">
        <v>8</v>
      </c>
      <c r="G34" s="4">
        <v>8</v>
      </c>
      <c r="H34" s="4">
        <v>6</v>
      </c>
      <c r="I34" s="11">
        <v>4</v>
      </c>
      <c r="J34" s="4">
        <v>4</v>
      </c>
      <c r="K34" s="4">
        <v>7</v>
      </c>
      <c r="L34" s="15">
        <v>6</v>
      </c>
      <c r="M34" s="14">
        <v>6</v>
      </c>
      <c r="N34" s="10">
        <v>5</v>
      </c>
      <c r="O34" s="4">
        <v>4</v>
      </c>
      <c r="P34" s="9">
        <v>6</v>
      </c>
      <c r="Q34" s="4">
        <v>7</v>
      </c>
      <c r="R34" s="2">
        <v>7</v>
      </c>
      <c r="S34" s="30">
        <f t="shared" si="0"/>
        <v>5.8666666666666663</v>
      </c>
    </row>
    <row r="35" spans="1:22" ht="15.75" customHeight="1" x14ac:dyDescent="0.25">
      <c r="A35" s="4" t="s">
        <v>19</v>
      </c>
      <c r="B35" s="9">
        <v>25</v>
      </c>
      <c r="C35" s="6" t="s">
        <v>44</v>
      </c>
      <c r="D35" s="3">
        <v>4</v>
      </c>
      <c r="E35" s="4">
        <v>5</v>
      </c>
      <c r="F35" s="4">
        <v>10</v>
      </c>
      <c r="G35" s="4">
        <v>7</v>
      </c>
      <c r="H35" s="4">
        <v>6</v>
      </c>
      <c r="I35" s="11">
        <v>6</v>
      </c>
      <c r="J35" s="4">
        <v>5</v>
      </c>
      <c r="K35" s="4">
        <v>6</v>
      </c>
      <c r="L35" s="15">
        <v>6</v>
      </c>
      <c r="M35" s="14">
        <v>4</v>
      </c>
      <c r="N35" s="10">
        <v>5</v>
      </c>
      <c r="O35" s="4">
        <v>5</v>
      </c>
      <c r="P35" s="9">
        <v>6</v>
      </c>
      <c r="Q35" s="4">
        <v>7</v>
      </c>
      <c r="R35" s="2">
        <v>4</v>
      </c>
      <c r="S35" s="30">
        <f t="shared" si="0"/>
        <v>5.7333333333333334</v>
      </c>
    </row>
    <row r="36" spans="1:22" ht="15.75" customHeight="1" x14ac:dyDescent="0.25">
      <c r="A36" s="4" t="s">
        <v>19</v>
      </c>
      <c r="B36" s="9">
        <v>26</v>
      </c>
      <c r="C36" s="6" t="s">
        <v>45</v>
      </c>
      <c r="D36" s="3">
        <v>8</v>
      </c>
      <c r="E36" s="4">
        <v>10</v>
      </c>
      <c r="F36" s="4">
        <v>9</v>
      </c>
      <c r="G36" s="4">
        <v>8</v>
      </c>
      <c r="H36" s="4">
        <v>6</v>
      </c>
      <c r="I36" s="11">
        <v>8</v>
      </c>
      <c r="J36" s="4">
        <v>9</v>
      </c>
      <c r="K36" s="4">
        <v>8</v>
      </c>
      <c r="L36" s="15">
        <v>6</v>
      </c>
      <c r="M36" s="14">
        <v>7</v>
      </c>
      <c r="N36" s="10">
        <v>8</v>
      </c>
      <c r="O36" s="4">
        <v>8</v>
      </c>
      <c r="P36" s="9">
        <v>6</v>
      </c>
      <c r="Q36" s="4">
        <v>10</v>
      </c>
      <c r="R36" s="2">
        <v>7</v>
      </c>
      <c r="S36" s="30">
        <f t="shared" si="0"/>
        <v>7.8666666666666663</v>
      </c>
    </row>
    <row r="37" spans="1:22" ht="15.75" customHeight="1" x14ac:dyDescent="0.25">
      <c r="A37" s="4" t="s">
        <v>24</v>
      </c>
      <c r="B37" s="9">
        <v>27</v>
      </c>
      <c r="C37" s="6" t="s">
        <v>46</v>
      </c>
      <c r="D37" s="3">
        <v>10</v>
      </c>
      <c r="E37" s="4">
        <v>10</v>
      </c>
      <c r="F37" s="4">
        <v>10</v>
      </c>
      <c r="G37" s="4">
        <v>10</v>
      </c>
      <c r="H37" s="4">
        <v>10</v>
      </c>
      <c r="I37" s="11">
        <v>10</v>
      </c>
      <c r="J37" s="4">
        <v>9</v>
      </c>
      <c r="K37" s="4">
        <v>11</v>
      </c>
      <c r="L37" s="15">
        <v>10</v>
      </c>
      <c r="M37" s="14">
        <v>10</v>
      </c>
      <c r="N37" s="10">
        <v>9</v>
      </c>
      <c r="O37" s="4">
        <v>9</v>
      </c>
      <c r="P37" s="9">
        <v>10</v>
      </c>
      <c r="Q37" s="4">
        <v>11</v>
      </c>
      <c r="R37" s="2">
        <v>9</v>
      </c>
      <c r="S37" s="30">
        <f t="shared" si="0"/>
        <v>9.8666666666666671</v>
      </c>
    </row>
    <row r="38" spans="1:22" ht="15.75" customHeight="1" x14ac:dyDescent="0.25">
      <c r="C38" s="18" t="s">
        <v>47</v>
      </c>
      <c r="D38" s="20">
        <f>SUM(D11:D37)/B37</f>
        <v>6.2962962962962967</v>
      </c>
      <c r="E38" s="20">
        <f>SUM(E11:E37)/B37</f>
        <v>7.2222222222222223</v>
      </c>
      <c r="F38" s="20">
        <f>SUM(F11:F37)/B37</f>
        <v>9.4074074074074066</v>
      </c>
      <c r="G38" s="20">
        <f>SUM(G11:G37)/B37</f>
        <v>8.1481481481481488</v>
      </c>
      <c r="H38" s="21">
        <f>SUM(H11:H37)/B37</f>
        <v>7.2592592592592595</v>
      </c>
      <c r="I38" s="22">
        <f>SUM(I11:I37)/B37</f>
        <v>7.0370370370370372</v>
      </c>
      <c r="J38" s="23">
        <f>SUM(J11:J37)/B37</f>
        <v>6.9629629629629628</v>
      </c>
      <c r="K38" s="20">
        <f>SUM(K11:K37)/B37</f>
        <v>8.1481481481481488</v>
      </c>
      <c r="L38" s="20">
        <f>SUM(L11:L37)/B37</f>
        <v>6.8518518518518521</v>
      </c>
      <c r="M38" s="21">
        <f>SUM(M11:M37)/B37</f>
        <v>7.2962962962962967</v>
      </c>
      <c r="N38" s="24">
        <f>SUM(N11:N37)/B37</f>
        <v>6.4074074074074074</v>
      </c>
      <c r="O38" s="25">
        <f>SUM(O11:O37)/B37</f>
        <v>6.1111111111111107</v>
      </c>
      <c r="P38" s="26">
        <f>SUM(P11:P37)/B37</f>
        <v>7.7037037037037033</v>
      </c>
      <c r="Q38" s="25">
        <f>SUM(Q11:Q37)/B37</f>
        <v>8.6296296296296298</v>
      </c>
      <c r="R38" s="25">
        <f>SUM(R11:R37)/B37</f>
        <v>6.5555555555555554</v>
      </c>
      <c r="S38" s="30">
        <f t="shared" si="0"/>
        <v>7.3358024691358024</v>
      </c>
    </row>
    <row r="39" spans="1:22" ht="15.75" customHeight="1" x14ac:dyDescent="0.25">
      <c r="C39" s="6" t="s">
        <v>48</v>
      </c>
      <c r="D39" s="27">
        <f>(COUNT(D11:D37))/B37*100</f>
        <v>88.888888888888886</v>
      </c>
      <c r="E39" s="27">
        <f>(COUNT(E11:E37))/B37*100</f>
        <v>96.296296296296291</v>
      </c>
      <c r="F39" s="27">
        <f>(COUNT(F11:F37))/B37*100</f>
        <v>100</v>
      </c>
      <c r="G39" s="27">
        <f>(COUNT(G11:G37))/B37*100</f>
        <v>100</v>
      </c>
      <c r="H39" s="27">
        <f>(COUNT(H11:H37))/B37*100</f>
        <v>96.296296296296291</v>
      </c>
      <c r="I39" s="28">
        <f>(COUNT(I11:I37))/B37*100</f>
        <v>85.18518518518519</v>
      </c>
      <c r="J39" s="27">
        <f>(COUNT(J11:J37))/B37*100</f>
        <v>96.296296296296291</v>
      </c>
      <c r="K39" s="27">
        <f>(COUNT(K11:K37))/B37*100</f>
        <v>100</v>
      </c>
      <c r="L39" s="27">
        <f>(COUNT(L11:L37))/B37*100</f>
        <v>96.296296296296291</v>
      </c>
      <c r="M39" s="27">
        <f>(COUNT(M11:M37))/B37*100</f>
        <v>100</v>
      </c>
      <c r="N39" s="27">
        <f>(COUNT(N11:N37))/B37*100</f>
        <v>100</v>
      </c>
      <c r="O39" s="27">
        <f>(COUNT(O11:O37))/B37*100</f>
        <v>96.296296296296291</v>
      </c>
      <c r="P39" s="27">
        <f>(COUNT(P11:P37))/B37*100</f>
        <v>100</v>
      </c>
      <c r="Q39" s="27">
        <f>(COUNT(Q11:Q37))/B37*100</f>
        <v>100</v>
      </c>
      <c r="R39" s="27">
        <f>(COUNT(R11:R37))/B37*100</f>
        <v>100</v>
      </c>
      <c r="S39" s="17"/>
      <c r="T39" s="17"/>
      <c r="U39" s="17"/>
      <c r="V39" s="17"/>
    </row>
    <row r="40" spans="1:22" ht="15.75" customHeight="1" x14ac:dyDescent="0.25">
      <c r="C40" s="19" t="s">
        <v>49</v>
      </c>
      <c r="D40" s="29">
        <f>(COUNTIF(D11:D37,"&gt;=7"))/B37*100</f>
        <v>51.851851851851848</v>
      </c>
      <c r="E40" s="29">
        <f>(COUNTIF(E11:E37,"&gt;=7"))/B37*100</f>
        <v>66.666666666666657</v>
      </c>
      <c r="F40" s="29">
        <f>(COUNTIF(F11:F37,"&gt;=7"))/B37*100</f>
        <v>100</v>
      </c>
      <c r="G40" s="29">
        <f>(COUNTIF(G11:G37,"&gt;=7"))/B37*100</f>
        <v>85.18518518518519</v>
      </c>
      <c r="H40" s="29">
        <f>(COUNTIF(H11:H37,"&gt;=7"))/B37*100</f>
        <v>66.666666666666657</v>
      </c>
      <c r="I40" s="29">
        <f>(COUNTIF(I11:I37,"&gt;=7"))/B37*100</f>
        <v>74.074074074074076</v>
      </c>
      <c r="J40" s="29">
        <f>(COUNTIF(J11:J37,"&gt;=7"))/B37*100</f>
        <v>59.259259259259252</v>
      </c>
      <c r="K40" s="29">
        <f>(COUNTIF(K11:K37,"&gt;=7"))/B37*100</f>
        <v>74.074074074074076</v>
      </c>
      <c r="L40" s="29">
        <f>(COUNTIF(L11:L37,"&gt;=7"))/B37*100</f>
        <v>59.259259259259252</v>
      </c>
      <c r="M40" s="29">
        <f>(COUNTIF(M11:M37,"&gt;=7"))/B37*100</f>
        <v>59.259259259259252</v>
      </c>
      <c r="N40" s="29">
        <f>(COUNTIF(N11:N37,"&gt;=7"))/B37*100</f>
        <v>48.148148148148145</v>
      </c>
      <c r="O40" s="29">
        <f>(COUNTIF(O11:O37,"&gt;=7"))/B37*100</f>
        <v>44.444444444444443</v>
      </c>
      <c r="P40" s="29">
        <f>(COUNTIF(P11:P37,"&gt;=7"))/B37*100</f>
        <v>74.074074074074076</v>
      </c>
      <c r="Q40" s="29">
        <f>(COUNTIF(Q11:Q37,"&gt;=7"))/B37*100</f>
        <v>88.888888888888886</v>
      </c>
      <c r="R40" s="29">
        <f>(COUNTIF(R11:R37,"&gt;=7"))/B37*100</f>
        <v>62.962962962962962</v>
      </c>
      <c r="S40" s="17"/>
      <c r="T40" s="17"/>
      <c r="U40" s="17"/>
      <c r="V40" s="17"/>
    </row>
    <row r="41" spans="1:22" ht="15.75" customHeight="1" x14ac:dyDescent="0.25">
      <c r="C41" s="19" t="s">
        <v>50</v>
      </c>
      <c r="D41" s="20">
        <f>AVERAGE(D39:R39)</f>
        <v>97.037037037037024</v>
      </c>
      <c r="S41" s="17"/>
      <c r="T41" s="17"/>
      <c r="U41" s="17"/>
      <c r="V41" s="17"/>
    </row>
    <row r="42" spans="1:22" ht="15.75" customHeight="1" x14ac:dyDescent="0.25">
      <c r="C42" s="19" t="s">
        <v>51</v>
      </c>
      <c r="D42" s="20">
        <f>AVERAGE(D40:R40)</f>
        <v>67.654320987654316</v>
      </c>
      <c r="S42" s="17"/>
      <c r="T42" s="17"/>
      <c r="U42" s="17"/>
      <c r="V42" s="17"/>
    </row>
    <row r="43" spans="1:22" ht="15.75" customHeight="1" x14ac:dyDescent="0.25">
      <c r="C43" s="19" t="s">
        <v>52</v>
      </c>
      <c r="D43" s="50">
        <f>COUNTIF(A11:A37,"=Б")</f>
        <v>14</v>
      </c>
      <c r="S43" s="17"/>
      <c r="T43" s="17"/>
      <c r="U43" s="17"/>
      <c r="V43" s="17"/>
    </row>
    <row r="44" spans="1:22" ht="15.75" customHeight="1" x14ac:dyDescent="0.25">
      <c r="C44" s="19" t="s">
        <v>53</v>
      </c>
      <c r="D44" s="50">
        <f>COUNTIF(A11:A37,"=К")</f>
        <v>13</v>
      </c>
      <c r="G44" s="31" t="s">
        <v>56</v>
      </c>
      <c r="N44" s="31" t="s">
        <v>57</v>
      </c>
    </row>
    <row r="45" spans="1:22" ht="15.75" customHeight="1" x14ac:dyDescent="0.25">
      <c r="C45" s="19" t="s">
        <v>54</v>
      </c>
      <c r="D45" s="50">
        <v>2</v>
      </c>
    </row>
    <row r="46" spans="1:22" ht="15.75" customHeight="1" x14ac:dyDescent="0.25">
      <c r="C46" s="19" t="s">
        <v>55</v>
      </c>
      <c r="D46" s="50">
        <f>'Рейтингова відомість'!D28</f>
        <v>5</v>
      </c>
      <c r="G46" s="31" t="s">
        <v>58</v>
      </c>
      <c r="N46" s="31" t="s">
        <v>59</v>
      </c>
    </row>
    <row r="47" spans="1:22" ht="15.75" customHeight="1" x14ac:dyDescent="0.25"/>
    <row r="48" spans="1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1:4" ht="15.75" customHeight="1" x14ac:dyDescent="0.25"/>
    <row r="66" spans="1:4" ht="15.75" customHeight="1" x14ac:dyDescent="0.25"/>
    <row r="67" spans="1:4" ht="15.75" customHeight="1" x14ac:dyDescent="0.25"/>
    <row r="68" spans="1:4" ht="15.75" customHeight="1" x14ac:dyDescent="0.25"/>
    <row r="69" spans="1:4" ht="15.75" customHeight="1" x14ac:dyDescent="0.25"/>
    <row r="70" spans="1:4" ht="15.75" customHeight="1" x14ac:dyDescent="0.25"/>
    <row r="71" spans="1:4" ht="15.75" customHeight="1" x14ac:dyDescent="0.25"/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>
      <c r="A75" s="16">
        <f>D43</f>
        <v>14</v>
      </c>
      <c r="B75" s="16">
        <f>D44</f>
        <v>13</v>
      </c>
      <c r="C75" s="16">
        <f>D45</f>
        <v>2</v>
      </c>
      <c r="D75" s="16">
        <f>D46</f>
        <v>5</v>
      </c>
    </row>
    <row r="76" spans="1:4" ht="15.75" customHeight="1" x14ac:dyDescent="0.25">
      <c r="A76" s="16">
        <f>D43</f>
        <v>14</v>
      </c>
      <c r="B76" s="16">
        <f>D44</f>
        <v>13</v>
      </c>
      <c r="C76" s="16">
        <f>D45</f>
        <v>2</v>
      </c>
      <c r="D76" s="16">
        <f>D46</f>
        <v>5</v>
      </c>
    </row>
    <row r="77" spans="1:4" ht="15.75" customHeight="1" x14ac:dyDescent="0.25">
      <c r="A77" s="16">
        <f>D43</f>
        <v>14</v>
      </c>
      <c r="B77" s="16">
        <f>D44</f>
        <v>13</v>
      </c>
      <c r="C77" s="16">
        <f>D45</f>
        <v>2</v>
      </c>
      <c r="D77" s="16">
        <f>D46</f>
        <v>5</v>
      </c>
    </row>
    <row r="78" spans="1:4" ht="15.75" customHeight="1" x14ac:dyDescent="0.25">
      <c r="A78" s="16">
        <f>D43</f>
        <v>14</v>
      </c>
      <c r="B78" s="16">
        <f>D44</f>
        <v>13</v>
      </c>
      <c r="C78" s="16">
        <f>D45</f>
        <v>2</v>
      </c>
      <c r="D78" s="16">
        <f>D46</f>
        <v>5</v>
      </c>
    </row>
    <row r="79" spans="1:4" ht="15.75" customHeight="1" x14ac:dyDescent="0.25">
      <c r="A79" s="16">
        <f>D43</f>
        <v>14</v>
      </c>
      <c r="B79" s="16">
        <f>D44</f>
        <v>13</v>
      </c>
      <c r="C79" s="16">
        <f>D45</f>
        <v>2</v>
      </c>
      <c r="D79" s="16">
        <f>D46</f>
        <v>5</v>
      </c>
    </row>
    <row r="80" spans="1:4" ht="15.75" customHeight="1" x14ac:dyDescent="0.25">
      <c r="A80" s="16">
        <f>D43</f>
        <v>14</v>
      </c>
      <c r="B80" s="16">
        <f>D44</f>
        <v>13</v>
      </c>
      <c r="C80" s="16">
        <f>D45</f>
        <v>2</v>
      </c>
      <c r="D80" s="16">
        <f>D46</f>
        <v>5</v>
      </c>
    </row>
    <row r="81" spans="1:4" ht="15.75" customHeight="1" x14ac:dyDescent="0.25">
      <c r="A81" s="16">
        <f>D43</f>
        <v>14</v>
      </c>
      <c r="B81" s="16">
        <f>D44</f>
        <v>13</v>
      </c>
      <c r="C81" s="16">
        <f>D45</f>
        <v>2</v>
      </c>
      <c r="D81" s="16">
        <f>D46</f>
        <v>5</v>
      </c>
    </row>
    <row r="82" spans="1:4" ht="15.75" customHeight="1" x14ac:dyDescent="0.25">
      <c r="A82" s="16">
        <f>D43</f>
        <v>14</v>
      </c>
      <c r="B82" s="16">
        <f>D44</f>
        <v>13</v>
      </c>
      <c r="C82" s="16">
        <f>D45</f>
        <v>2</v>
      </c>
      <c r="D82" s="16">
        <f>D46</f>
        <v>5</v>
      </c>
    </row>
    <row r="83" spans="1:4" ht="15.75" customHeight="1" x14ac:dyDescent="0.25">
      <c r="A83" s="16">
        <f>D43</f>
        <v>14</v>
      </c>
      <c r="B83" s="16">
        <f>D44</f>
        <v>13</v>
      </c>
      <c r="C83" s="16">
        <f>D45</f>
        <v>2</v>
      </c>
      <c r="D83" s="16">
        <f>D46</f>
        <v>5</v>
      </c>
    </row>
    <row r="84" spans="1:4" ht="15.75" customHeight="1" x14ac:dyDescent="0.25">
      <c r="A84" s="16">
        <f>D43</f>
        <v>14</v>
      </c>
      <c r="B84" s="16">
        <f>D44</f>
        <v>13</v>
      </c>
      <c r="C84" s="16">
        <f>D45</f>
        <v>2</v>
      </c>
      <c r="D84" s="16">
        <f>D46</f>
        <v>5</v>
      </c>
    </row>
    <row r="85" spans="1:4" ht="15.75" customHeight="1" x14ac:dyDescent="0.25">
      <c r="A85" s="16">
        <f>D43</f>
        <v>14</v>
      </c>
      <c r="B85" s="16">
        <f>D44</f>
        <v>13</v>
      </c>
      <c r="C85" s="16">
        <f>D45</f>
        <v>2</v>
      </c>
      <c r="D85" s="16">
        <f>D46</f>
        <v>5</v>
      </c>
    </row>
    <row r="86" spans="1:4" ht="15.75" customHeight="1" x14ac:dyDescent="0.25">
      <c r="A86" s="16">
        <f>D43</f>
        <v>14</v>
      </c>
      <c r="B86" s="16">
        <f>D44</f>
        <v>13</v>
      </c>
      <c r="C86" s="16">
        <f>D45</f>
        <v>2</v>
      </c>
      <c r="D86" s="16">
        <f>D46</f>
        <v>5</v>
      </c>
    </row>
    <row r="87" spans="1:4" ht="15.75" customHeight="1" x14ac:dyDescent="0.25">
      <c r="A87" s="16">
        <f>D43</f>
        <v>14</v>
      </c>
      <c r="B87" s="16">
        <f>D44</f>
        <v>13</v>
      </c>
      <c r="C87" s="16">
        <f>D45</f>
        <v>2</v>
      </c>
      <c r="D87" s="16">
        <f>D46</f>
        <v>5</v>
      </c>
    </row>
    <row r="88" spans="1:4" ht="15.75" customHeight="1" x14ac:dyDescent="0.25">
      <c r="A88" s="16">
        <f>D43</f>
        <v>14</v>
      </c>
      <c r="B88" s="16">
        <f>D44</f>
        <v>13</v>
      </c>
      <c r="C88" s="16">
        <f>D45</f>
        <v>2</v>
      </c>
      <c r="D88" s="16">
        <f>D46</f>
        <v>5</v>
      </c>
    </row>
    <row r="89" spans="1:4" ht="15.75" customHeight="1" x14ac:dyDescent="0.25">
      <c r="A89" s="16">
        <f>D43</f>
        <v>14</v>
      </c>
      <c r="B89" s="16">
        <f>D44</f>
        <v>13</v>
      </c>
      <c r="C89" s="16">
        <f>D45</f>
        <v>2</v>
      </c>
      <c r="D89" s="16">
        <f>D46</f>
        <v>5</v>
      </c>
    </row>
    <row r="90" spans="1:4" ht="15.75" customHeight="1" x14ac:dyDescent="0.25">
      <c r="A90" s="16">
        <f>D43</f>
        <v>14</v>
      </c>
      <c r="B90" s="16">
        <f>D44</f>
        <v>13</v>
      </c>
      <c r="C90" s="16">
        <f>D45</f>
        <v>2</v>
      </c>
      <c r="D90" s="16">
        <f>D46</f>
        <v>5</v>
      </c>
    </row>
    <row r="91" spans="1:4" ht="15.75" customHeight="1" x14ac:dyDescent="0.25">
      <c r="A91" s="16">
        <f>D43</f>
        <v>14</v>
      </c>
      <c r="B91" s="16">
        <f>D44</f>
        <v>13</v>
      </c>
      <c r="C91" s="16">
        <f>D45</f>
        <v>2</v>
      </c>
      <c r="D91" s="16">
        <f>D46</f>
        <v>5</v>
      </c>
    </row>
    <row r="92" spans="1:4" ht="15.75" customHeight="1" x14ac:dyDescent="0.25">
      <c r="A92" s="16">
        <f>D43</f>
        <v>14</v>
      </c>
      <c r="B92" s="16">
        <f>D44</f>
        <v>13</v>
      </c>
      <c r="C92" s="16">
        <f>D45</f>
        <v>2</v>
      </c>
      <c r="D92" s="16">
        <f>D46</f>
        <v>5</v>
      </c>
    </row>
    <row r="93" spans="1:4" ht="15.75" customHeight="1" x14ac:dyDescent="0.25">
      <c r="A93" s="16">
        <f>D43</f>
        <v>14</v>
      </c>
      <c r="B93" s="16">
        <f>D44</f>
        <v>13</v>
      </c>
      <c r="C93" s="16">
        <f>D45</f>
        <v>2</v>
      </c>
      <c r="D93" s="16">
        <f>D46</f>
        <v>5</v>
      </c>
    </row>
    <row r="94" spans="1:4" ht="15.75" customHeight="1" x14ac:dyDescent="0.25">
      <c r="A94" s="16">
        <f>D43</f>
        <v>14</v>
      </c>
      <c r="B94" s="16">
        <f>D44</f>
        <v>13</v>
      </c>
      <c r="C94" s="16">
        <f>D45</f>
        <v>2</v>
      </c>
      <c r="D94" s="16">
        <f>D46</f>
        <v>5</v>
      </c>
    </row>
    <row r="95" spans="1:4" ht="15.75" customHeight="1" x14ac:dyDescent="0.25">
      <c r="A95" s="16">
        <f>D43</f>
        <v>14</v>
      </c>
      <c r="B95" s="16">
        <f>D44</f>
        <v>13</v>
      </c>
      <c r="C95" s="16">
        <f>D45</f>
        <v>2</v>
      </c>
      <c r="D95" s="16">
        <f>D46</f>
        <v>5</v>
      </c>
    </row>
    <row r="96" spans="1:4" ht="15.75" customHeight="1" x14ac:dyDescent="0.25">
      <c r="A96" s="16">
        <f>D43</f>
        <v>14</v>
      </c>
      <c r="B96" s="16">
        <f>D44</f>
        <v>13</v>
      </c>
      <c r="C96" s="16">
        <f>D45</f>
        <v>2</v>
      </c>
      <c r="D96" s="16">
        <f>D46</f>
        <v>5</v>
      </c>
    </row>
    <row r="97" spans="1:4" ht="15.75" customHeight="1" x14ac:dyDescent="0.25">
      <c r="A97" s="16">
        <f>D43</f>
        <v>14</v>
      </c>
      <c r="B97" s="16">
        <f>D44</f>
        <v>13</v>
      </c>
      <c r="C97" s="16">
        <f>D45</f>
        <v>2</v>
      </c>
      <c r="D97" s="16">
        <f>D46</f>
        <v>5</v>
      </c>
    </row>
    <row r="98" spans="1:4" ht="15.75" customHeight="1" x14ac:dyDescent="0.25">
      <c r="A98" s="16">
        <f>D43</f>
        <v>14</v>
      </c>
      <c r="B98" s="16">
        <f>D44</f>
        <v>13</v>
      </c>
      <c r="C98" s="16">
        <f>D45</f>
        <v>2</v>
      </c>
      <c r="D98" s="16">
        <f>D46</f>
        <v>5</v>
      </c>
    </row>
    <row r="99" spans="1:4" ht="15.75" customHeight="1" x14ac:dyDescent="0.25">
      <c r="A99" s="16">
        <f>D43</f>
        <v>14</v>
      </c>
      <c r="B99" s="16">
        <f>D44</f>
        <v>13</v>
      </c>
      <c r="C99" s="16">
        <f>D45</f>
        <v>2</v>
      </c>
      <c r="D99" s="16">
        <f>D46</f>
        <v>5</v>
      </c>
    </row>
    <row r="100" spans="1:4" ht="15.75" customHeight="1" x14ac:dyDescent="0.25">
      <c r="A100" s="16">
        <f>D43</f>
        <v>14</v>
      </c>
      <c r="B100" s="16">
        <f>D44</f>
        <v>13</v>
      </c>
      <c r="C100" s="16">
        <f>D45</f>
        <v>2</v>
      </c>
      <c r="D100" s="16">
        <f>D46</f>
        <v>5</v>
      </c>
    </row>
    <row r="101" spans="1:4" ht="15.75" customHeight="1" x14ac:dyDescent="0.25">
      <c r="A101" s="16">
        <f>D43</f>
        <v>14</v>
      </c>
      <c r="B101" s="16">
        <f>D44</f>
        <v>13</v>
      </c>
      <c r="C101" s="16">
        <f>D45</f>
        <v>2</v>
      </c>
      <c r="D101" s="16">
        <f>D46</f>
        <v>5</v>
      </c>
    </row>
    <row r="102" spans="1:4" ht="15.75" customHeight="1" x14ac:dyDescent="0.25">
      <c r="A102" s="16">
        <f>D43</f>
        <v>14</v>
      </c>
      <c r="B102" s="16">
        <f>D44</f>
        <v>13</v>
      </c>
      <c r="C102" s="16">
        <f>D45</f>
        <v>2</v>
      </c>
      <c r="D102" s="16">
        <f>D46</f>
        <v>5</v>
      </c>
    </row>
    <row r="103" spans="1:4" ht="15.75" customHeight="1" x14ac:dyDescent="0.25">
      <c r="A103" s="16">
        <f>D43</f>
        <v>14</v>
      </c>
      <c r="B103" s="16">
        <f>D44</f>
        <v>13</v>
      </c>
      <c r="C103" s="16">
        <f>D45</f>
        <v>2</v>
      </c>
      <c r="D103" s="16">
        <f>D46</f>
        <v>5</v>
      </c>
    </row>
    <row r="104" spans="1:4" ht="15.75" customHeight="1" x14ac:dyDescent="0.25">
      <c r="A104" s="16">
        <f>D43</f>
        <v>14</v>
      </c>
      <c r="B104" s="16">
        <f>D44</f>
        <v>13</v>
      </c>
      <c r="C104" s="16">
        <f>D45</f>
        <v>2</v>
      </c>
      <c r="D104" s="16">
        <f>D46</f>
        <v>5</v>
      </c>
    </row>
    <row r="105" spans="1:4" ht="15.75" customHeight="1" x14ac:dyDescent="0.25">
      <c r="A105" s="16">
        <f>D43</f>
        <v>14</v>
      </c>
      <c r="B105" s="16">
        <f>D44</f>
        <v>13</v>
      </c>
      <c r="C105" s="16">
        <f>D45</f>
        <v>2</v>
      </c>
      <c r="D105" s="16">
        <f>D46</f>
        <v>5</v>
      </c>
    </row>
    <row r="106" spans="1:4" ht="15.75" customHeight="1" x14ac:dyDescent="0.25">
      <c r="A106" s="16">
        <f>D43</f>
        <v>14</v>
      </c>
      <c r="B106" s="16">
        <f>D44</f>
        <v>13</v>
      </c>
      <c r="C106" s="16">
        <f>D45</f>
        <v>2</v>
      </c>
      <c r="D106" s="16">
        <f>D46</f>
        <v>5</v>
      </c>
    </row>
    <row r="107" spans="1:4" ht="15.75" customHeight="1" x14ac:dyDescent="0.25">
      <c r="A107" s="16">
        <f>D43</f>
        <v>14</v>
      </c>
      <c r="B107" s="16">
        <f>D44</f>
        <v>13</v>
      </c>
      <c r="C107" s="16">
        <f>D45</f>
        <v>2</v>
      </c>
      <c r="D107" s="16">
        <f>D46</f>
        <v>5</v>
      </c>
    </row>
    <row r="108" spans="1:4" ht="15.75" customHeight="1" x14ac:dyDescent="0.25">
      <c r="A108" s="16">
        <f>D43</f>
        <v>14</v>
      </c>
      <c r="B108" s="16">
        <f>D44</f>
        <v>13</v>
      </c>
      <c r="C108" s="16">
        <f>D45</f>
        <v>2</v>
      </c>
      <c r="D108" s="16">
        <f>D46</f>
        <v>5</v>
      </c>
    </row>
    <row r="109" spans="1:4" ht="15.75" customHeight="1" x14ac:dyDescent="0.25">
      <c r="A109" s="16">
        <f>D43</f>
        <v>14</v>
      </c>
      <c r="B109" s="16">
        <f>D44</f>
        <v>13</v>
      </c>
      <c r="C109" s="16">
        <f>D45</f>
        <v>2</v>
      </c>
      <c r="D109" s="16">
        <f>D46</f>
        <v>5</v>
      </c>
    </row>
    <row r="110" spans="1:4" ht="15.75" customHeight="1" x14ac:dyDescent="0.25">
      <c r="A110" s="16">
        <f>D43</f>
        <v>14</v>
      </c>
      <c r="B110" s="16">
        <f>D44</f>
        <v>13</v>
      </c>
      <c r="C110" s="16">
        <f>D45</f>
        <v>2</v>
      </c>
      <c r="D110" s="16">
        <f>D46</f>
        <v>5</v>
      </c>
    </row>
    <row r="111" spans="1:4" ht="15.75" customHeight="1" x14ac:dyDescent="0.25">
      <c r="A111" s="16">
        <f>D43</f>
        <v>14</v>
      </c>
      <c r="B111" s="16">
        <f>D44</f>
        <v>13</v>
      </c>
      <c r="C111" s="16">
        <f>D45</f>
        <v>2</v>
      </c>
      <c r="D111" s="16">
        <f>D46</f>
        <v>5</v>
      </c>
    </row>
    <row r="112" spans="1:4" ht="15.75" customHeight="1" x14ac:dyDescent="0.25">
      <c r="A112" s="16">
        <f>D43</f>
        <v>14</v>
      </c>
      <c r="B112" s="16">
        <f>D44</f>
        <v>13</v>
      </c>
      <c r="C112" s="16">
        <f>D45</f>
        <v>2</v>
      </c>
      <c r="D112" s="16">
        <f>D46</f>
        <v>5</v>
      </c>
    </row>
    <row r="113" spans="1:4" ht="15.75" customHeight="1" x14ac:dyDescent="0.25">
      <c r="A113" s="16">
        <f>D43</f>
        <v>14</v>
      </c>
      <c r="B113" s="16">
        <f>D44</f>
        <v>13</v>
      </c>
      <c r="C113" s="16">
        <f>D45</f>
        <v>2</v>
      </c>
      <c r="D113" s="16">
        <f>D46</f>
        <v>5</v>
      </c>
    </row>
    <row r="114" spans="1:4" ht="15.75" customHeight="1" x14ac:dyDescent="0.25">
      <c r="A114" s="16">
        <f>D43</f>
        <v>14</v>
      </c>
      <c r="B114" s="16">
        <f>D44</f>
        <v>13</v>
      </c>
      <c r="C114" s="16">
        <f>D45</f>
        <v>2</v>
      </c>
      <c r="D114" s="16">
        <f>D46</f>
        <v>5</v>
      </c>
    </row>
    <row r="115" spans="1:4" ht="15.75" customHeight="1" x14ac:dyDescent="0.25">
      <c r="A115" s="16">
        <f>D43</f>
        <v>14</v>
      </c>
      <c r="B115" s="16">
        <f>D44</f>
        <v>13</v>
      </c>
      <c r="C115" s="16">
        <f>D45</f>
        <v>2</v>
      </c>
      <c r="D115" s="16">
        <f>D46</f>
        <v>5</v>
      </c>
    </row>
    <row r="116" spans="1:4" ht="15.75" customHeight="1" x14ac:dyDescent="0.25">
      <c r="A116" s="16">
        <f>D43</f>
        <v>14</v>
      </c>
      <c r="B116" s="16">
        <f>D44</f>
        <v>13</v>
      </c>
      <c r="C116" s="16">
        <f>D45</f>
        <v>2</v>
      </c>
      <c r="D116" s="16">
        <f>D46</f>
        <v>5</v>
      </c>
    </row>
    <row r="117" spans="1:4" ht="15.75" customHeight="1" x14ac:dyDescent="0.25">
      <c r="A117" s="16">
        <f>D43</f>
        <v>14</v>
      </c>
      <c r="B117" s="16">
        <f>D44</f>
        <v>13</v>
      </c>
      <c r="C117" s="16">
        <f>D45</f>
        <v>2</v>
      </c>
      <c r="D117" s="16">
        <f>D46</f>
        <v>5</v>
      </c>
    </row>
    <row r="118" spans="1:4" ht="15.75" customHeight="1" x14ac:dyDescent="0.25">
      <c r="A118" s="16">
        <f>D43</f>
        <v>14</v>
      </c>
      <c r="B118" s="16">
        <f>D44</f>
        <v>13</v>
      </c>
      <c r="C118" s="16">
        <f>D45</f>
        <v>2</v>
      </c>
      <c r="D118" s="16">
        <f>D46</f>
        <v>5</v>
      </c>
    </row>
    <row r="119" spans="1:4" ht="15.75" customHeight="1" x14ac:dyDescent="0.25">
      <c r="A119" s="16">
        <f>D43</f>
        <v>14</v>
      </c>
      <c r="B119" s="16">
        <f>D44</f>
        <v>13</v>
      </c>
      <c r="C119" s="16">
        <f>D45</f>
        <v>2</v>
      </c>
      <c r="D119" s="16">
        <f>D46</f>
        <v>5</v>
      </c>
    </row>
    <row r="120" spans="1:4" ht="15.75" customHeight="1" x14ac:dyDescent="0.25">
      <c r="A120" s="16">
        <f>D43</f>
        <v>14</v>
      </c>
      <c r="B120" s="16">
        <f>D44</f>
        <v>13</v>
      </c>
      <c r="C120" s="16">
        <f>D45</f>
        <v>2</v>
      </c>
      <c r="D120" s="16">
        <f>D46</f>
        <v>5</v>
      </c>
    </row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A1:S1"/>
    <mergeCell ref="A2:S2"/>
    <mergeCell ref="A3:S3"/>
    <mergeCell ref="A4:S4"/>
    <mergeCell ref="A5:S5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>
      <selection sqref="A1:T1"/>
    </sheetView>
  </sheetViews>
  <sheetFormatPr defaultColWidth="14.42578125" defaultRowHeight="15" customHeight="1" x14ac:dyDescent="0.25"/>
  <cols>
    <col min="1" max="1" width="4.140625" style="16" customWidth="1"/>
    <col min="2" max="2" width="6.5703125" style="16" customWidth="1"/>
    <col min="3" max="3" width="40.42578125" style="16" customWidth="1"/>
    <col min="4" max="18" width="6.7109375" style="16" customWidth="1"/>
    <col min="19" max="19" width="8.85546875" style="16" customWidth="1"/>
    <col min="20" max="20" width="11.28515625" style="16" customWidth="1"/>
    <col min="21" max="16384" width="14.42578125" style="16"/>
  </cols>
  <sheetData>
    <row r="1" spans="1:21" s="51" customFormat="1" ht="15" customHeight="1" x14ac:dyDescent="0.25">
      <c r="A1" s="54" t="s">
        <v>68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1" s="51" customFormat="1" ht="15" customHeight="1" x14ac:dyDescent="0.25">
      <c r="A2" s="54" t="s">
        <v>69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1" s="52" customFormat="1" ht="15" customHeight="1" x14ac:dyDescent="0.25">
      <c r="A3" s="55" t="s">
        <v>60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1" s="51" customFormat="1" ht="15" customHeight="1" x14ac:dyDescent="0.25">
      <c r="A4" s="54" t="s">
        <v>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s="51" customFormat="1" ht="15" customHeight="1" x14ac:dyDescent="0.25">
      <c r="A5" s="54" t="s">
        <v>70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1" s="51" customFormat="1" ht="15" customHeight="1" x14ac:dyDescent="0.25">
      <c r="A6" s="53" t="s">
        <v>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36"/>
    </row>
    <row r="7" spans="1:21" ht="15" customHeight="1" x14ac:dyDescent="0.25">
      <c r="A7" s="56" t="s">
        <v>3</v>
      </c>
      <c r="B7" s="58" t="s">
        <v>4</v>
      </c>
      <c r="C7" s="71" t="s">
        <v>5</v>
      </c>
      <c r="D7" s="60" t="s">
        <v>6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2"/>
    </row>
    <row r="8" spans="1:21" ht="15" customHeight="1" x14ac:dyDescent="0.25">
      <c r="A8" s="57"/>
      <c r="B8" s="57"/>
      <c r="C8" s="72"/>
      <c r="D8" s="63" t="s">
        <v>64</v>
      </c>
      <c r="E8" s="63" t="s">
        <v>14</v>
      </c>
      <c r="F8" s="63" t="s">
        <v>8</v>
      </c>
      <c r="G8" s="63" t="s">
        <v>17</v>
      </c>
      <c r="H8" s="63" t="s">
        <v>13</v>
      </c>
      <c r="I8" s="63" t="s">
        <v>67</v>
      </c>
      <c r="J8" s="63" t="s">
        <v>15</v>
      </c>
      <c r="K8" s="63" t="s">
        <v>11</v>
      </c>
      <c r="L8" s="63" t="s">
        <v>16</v>
      </c>
      <c r="M8" s="63" t="s">
        <v>9</v>
      </c>
      <c r="N8" s="63" t="s">
        <v>7</v>
      </c>
      <c r="O8" s="63" t="s">
        <v>12</v>
      </c>
      <c r="P8" s="63" t="s">
        <v>65</v>
      </c>
      <c r="Q8" s="63" t="s">
        <v>66</v>
      </c>
      <c r="R8" s="63" t="s">
        <v>10</v>
      </c>
      <c r="S8" s="68" t="s">
        <v>61</v>
      </c>
      <c r="T8" s="68" t="s">
        <v>62</v>
      </c>
    </row>
    <row r="9" spans="1:21" ht="15" customHeight="1" x14ac:dyDescent="0.25">
      <c r="A9" s="57"/>
      <c r="B9" s="57"/>
      <c r="C9" s="72"/>
      <c r="D9" s="64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9"/>
      <c r="T9" s="69"/>
    </row>
    <row r="10" spans="1:21" ht="99.75" customHeight="1" x14ac:dyDescent="0.25">
      <c r="A10" s="59"/>
      <c r="B10" s="59"/>
      <c r="C10" s="72"/>
      <c r="D10" s="65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0"/>
      <c r="T10" s="70"/>
    </row>
    <row r="11" spans="1:21" ht="15.75" x14ac:dyDescent="0.25">
      <c r="A11" s="35" t="s">
        <v>19</v>
      </c>
      <c r="B11" s="37">
        <v>1</v>
      </c>
      <c r="C11" s="47" t="s">
        <v>63</v>
      </c>
      <c r="D11" s="32">
        <v>10</v>
      </c>
      <c r="E11" s="33">
        <v>10</v>
      </c>
      <c r="F11" s="33">
        <v>10</v>
      </c>
      <c r="G11" s="38">
        <v>10</v>
      </c>
      <c r="H11" s="33">
        <v>10</v>
      </c>
      <c r="I11" s="32">
        <v>10</v>
      </c>
      <c r="J11" s="33">
        <v>11</v>
      </c>
      <c r="K11" s="33">
        <v>11</v>
      </c>
      <c r="L11" s="39">
        <v>10</v>
      </c>
      <c r="M11" s="40">
        <v>10</v>
      </c>
      <c r="N11" s="38">
        <v>10</v>
      </c>
      <c r="O11" s="33">
        <v>10</v>
      </c>
      <c r="P11" s="41">
        <v>10</v>
      </c>
      <c r="Q11" s="33">
        <v>11</v>
      </c>
      <c r="R11" s="33">
        <v>8</v>
      </c>
      <c r="S11" s="42">
        <f>AVERAGE(D11:R11)</f>
        <v>10.066666666666666</v>
      </c>
      <c r="T11" s="42">
        <f>S11*90/12</f>
        <v>75.5</v>
      </c>
    </row>
    <row r="12" spans="1:21" ht="15.75" x14ac:dyDescent="0.25">
      <c r="A12" s="35" t="s">
        <v>19</v>
      </c>
      <c r="B12" s="43">
        <v>2</v>
      </c>
      <c r="C12" s="47" t="s">
        <v>26</v>
      </c>
      <c r="D12" s="34">
        <v>11</v>
      </c>
      <c r="E12" s="35">
        <v>9</v>
      </c>
      <c r="F12" s="35">
        <v>10</v>
      </c>
      <c r="G12" s="44">
        <v>10</v>
      </c>
      <c r="H12" s="35">
        <v>10</v>
      </c>
      <c r="I12" s="34">
        <v>10</v>
      </c>
      <c r="J12" s="35">
        <v>9</v>
      </c>
      <c r="K12" s="35">
        <v>10</v>
      </c>
      <c r="L12" s="45">
        <v>10</v>
      </c>
      <c r="M12" s="46">
        <v>10</v>
      </c>
      <c r="N12" s="44">
        <v>9</v>
      </c>
      <c r="O12" s="35">
        <v>10</v>
      </c>
      <c r="P12" s="43">
        <v>10</v>
      </c>
      <c r="Q12" s="35">
        <v>11</v>
      </c>
      <c r="R12" s="33">
        <v>9</v>
      </c>
      <c r="S12" s="42">
        <f t="shared" ref="S12:S24" si="0">AVERAGE(D12:R12)</f>
        <v>9.8666666666666671</v>
      </c>
      <c r="T12" s="42">
        <f t="shared" ref="T12:T24" si="1">S12*90/12</f>
        <v>74</v>
      </c>
    </row>
    <row r="13" spans="1:21" ht="15.75" x14ac:dyDescent="0.25">
      <c r="A13" s="35" t="s">
        <v>19</v>
      </c>
      <c r="B13" s="37">
        <v>3</v>
      </c>
      <c r="C13" s="47" t="s">
        <v>39</v>
      </c>
      <c r="D13" s="34">
        <v>9</v>
      </c>
      <c r="E13" s="35">
        <v>10</v>
      </c>
      <c r="F13" s="35">
        <v>10</v>
      </c>
      <c r="G13" s="35">
        <v>10</v>
      </c>
      <c r="H13" s="33">
        <v>11</v>
      </c>
      <c r="I13" s="34">
        <v>10</v>
      </c>
      <c r="J13" s="35">
        <v>10</v>
      </c>
      <c r="K13" s="35">
        <v>11</v>
      </c>
      <c r="L13" s="45">
        <v>9</v>
      </c>
      <c r="M13" s="46">
        <v>10</v>
      </c>
      <c r="N13" s="44">
        <v>10</v>
      </c>
      <c r="O13" s="35">
        <v>9</v>
      </c>
      <c r="P13" s="43">
        <v>10</v>
      </c>
      <c r="Q13" s="35">
        <v>11</v>
      </c>
      <c r="R13" s="33">
        <v>8</v>
      </c>
      <c r="S13" s="42">
        <f t="shared" si="0"/>
        <v>9.8666666666666671</v>
      </c>
      <c r="T13" s="42">
        <f t="shared" si="1"/>
        <v>74</v>
      </c>
    </row>
    <row r="14" spans="1:21" ht="15.75" x14ac:dyDescent="0.25">
      <c r="A14" s="35" t="s">
        <v>19</v>
      </c>
      <c r="B14" s="43">
        <v>4</v>
      </c>
      <c r="C14" s="47" t="s">
        <v>23</v>
      </c>
      <c r="D14" s="34">
        <v>10</v>
      </c>
      <c r="E14" s="35">
        <v>10</v>
      </c>
      <c r="F14" s="35">
        <v>10</v>
      </c>
      <c r="G14" s="35">
        <v>10</v>
      </c>
      <c r="H14" s="35">
        <v>10</v>
      </c>
      <c r="I14" s="34">
        <v>10</v>
      </c>
      <c r="J14" s="35">
        <v>10</v>
      </c>
      <c r="K14" s="35">
        <v>11</v>
      </c>
      <c r="L14" s="45">
        <v>9</v>
      </c>
      <c r="M14" s="46">
        <v>10</v>
      </c>
      <c r="N14" s="44">
        <v>9</v>
      </c>
      <c r="O14" s="35">
        <v>9</v>
      </c>
      <c r="P14" s="43">
        <v>9</v>
      </c>
      <c r="Q14" s="35">
        <v>11</v>
      </c>
      <c r="R14" s="33">
        <v>8</v>
      </c>
      <c r="S14" s="42">
        <f t="shared" si="0"/>
        <v>9.7333333333333325</v>
      </c>
      <c r="T14" s="42">
        <f t="shared" si="1"/>
        <v>72.999999999999986</v>
      </c>
    </row>
    <row r="15" spans="1:21" ht="15.75" x14ac:dyDescent="0.25">
      <c r="A15" s="35" t="s">
        <v>19</v>
      </c>
      <c r="B15" s="37">
        <v>5</v>
      </c>
      <c r="C15" s="47" t="s">
        <v>21</v>
      </c>
      <c r="D15" s="34">
        <v>9</v>
      </c>
      <c r="E15" s="35">
        <v>10</v>
      </c>
      <c r="F15" s="35">
        <v>10</v>
      </c>
      <c r="G15" s="35">
        <v>10</v>
      </c>
      <c r="H15" s="35">
        <v>9</v>
      </c>
      <c r="I15" s="34">
        <v>8</v>
      </c>
      <c r="J15" s="35">
        <v>8</v>
      </c>
      <c r="K15" s="35">
        <v>10</v>
      </c>
      <c r="L15" s="45">
        <v>8</v>
      </c>
      <c r="M15" s="46">
        <v>10</v>
      </c>
      <c r="N15" s="44">
        <v>8</v>
      </c>
      <c r="O15" s="35">
        <v>7</v>
      </c>
      <c r="P15" s="43">
        <v>8</v>
      </c>
      <c r="Q15" s="35">
        <v>11</v>
      </c>
      <c r="R15" s="33">
        <v>7</v>
      </c>
      <c r="S15" s="42">
        <f t="shared" si="0"/>
        <v>8.8666666666666671</v>
      </c>
      <c r="T15" s="42">
        <f t="shared" si="1"/>
        <v>66.5</v>
      </c>
    </row>
    <row r="16" spans="1:21" ht="15.75" x14ac:dyDescent="0.25">
      <c r="A16" s="4" t="s">
        <v>19</v>
      </c>
      <c r="B16" s="9">
        <v>6</v>
      </c>
      <c r="C16" s="6" t="s">
        <v>22</v>
      </c>
      <c r="D16" s="3">
        <v>8</v>
      </c>
      <c r="E16" s="4">
        <v>7</v>
      </c>
      <c r="F16" s="4">
        <v>10</v>
      </c>
      <c r="G16" s="4">
        <v>10</v>
      </c>
      <c r="H16" s="4">
        <v>9</v>
      </c>
      <c r="I16" s="3">
        <v>10</v>
      </c>
      <c r="J16" s="4">
        <v>9</v>
      </c>
      <c r="K16" s="4">
        <v>10</v>
      </c>
      <c r="L16" s="15">
        <v>7</v>
      </c>
      <c r="M16" s="14">
        <v>8</v>
      </c>
      <c r="N16" s="10">
        <v>8</v>
      </c>
      <c r="O16" s="4">
        <v>8</v>
      </c>
      <c r="P16" s="9">
        <v>8</v>
      </c>
      <c r="Q16" s="4">
        <v>9</v>
      </c>
      <c r="R16" s="2">
        <v>8</v>
      </c>
      <c r="S16" s="73">
        <f t="shared" si="0"/>
        <v>8.6</v>
      </c>
      <c r="T16" s="73">
        <f t="shared" si="1"/>
        <v>64.5</v>
      </c>
    </row>
    <row r="17" spans="1:20" ht="15.75" x14ac:dyDescent="0.25">
      <c r="A17" s="4" t="s">
        <v>19</v>
      </c>
      <c r="B17" s="5">
        <v>7</v>
      </c>
      <c r="C17" s="6" t="s">
        <v>31</v>
      </c>
      <c r="D17" s="3">
        <v>8</v>
      </c>
      <c r="E17" s="4">
        <v>7</v>
      </c>
      <c r="F17" s="4">
        <v>10</v>
      </c>
      <c r="G17" s="4">
        <v>9</v>
      </c>
      <c r="H17" s="4">
        <v>7</v>
      </c>
      <c r="I17" s="3">
        <v>8</v>
      </c>
      <c r="J17" s="4">
        <v>7</v>
      </c>
      <c r="K17" s="4">
        <v>9</v>
      </c>
      <c r="L17" s="15">
        <v>8</v>
      </c>
      <c r="M17" s="15">
        <v>10</v>
      </c>
      <c r="N17" s="4">
        <v>7</v>
      </c>
      <c r="O17" s="4">
        <v>7</v>
      </c>
      <c r="P17" s="9">
        <v>8</v>
      </c>
      <c r="Q17" s="4">
        <v>10</v>
      </c>
      <c r="R17" s="2">
        <v>8</v>
      </c>
      <c r="S17" s="73">
        <f t="shared" si="0"/>
        <v>8.1999999999999993</v>
      </c>
      <c r="T17" s="73">
        <f t="shared" si="1"/>
        <v>61.499999999999993</v>
      </c>
    </row>
    <row r="18" spans="1:20" ht="15.75" x14ac:dyDescent="0.25">
      <c r="A18" s="4" t="s">
        <v>19</v>
      </c>
      <c r="B18" s="9">
        <v>8</v>
      </c>
      <c r="C18" s="6" t="s">
        <v>45</v>
      </c>
      <c r="D18" s="3">
        <v>8</v>
      </c>
      <c r="E18" s="4">
        <v>10</v>
      </c>
      <c r="F18" s="4">
        <v>9</v>
      </c>
      <c r="G18" s="4">
        <v>8</v>
      </c>
      <c r="H18" s="4">
        <v>6</v>
      </c>
      <c r="I18" s="3">
        <v>8</v>
      </c>
      <c r="J18" s="4">
        <v>9</v>
      </c>
      <c r="K18" s="4">
        <v>8</v>
      </c>
      <c r="L18" s="15">
        <v>6</v>
      </c>
      <c r="M18" s="14">
        <v>7</v>
      </c>
      <c r="N18" s="10">
        <v>8</v>
      </c>
      <c r="O18" s="4">
        <v>8</v>
      </c>
      <c r="P18" s="9">
        <v>6</v>
      </c>
      <c r="Q18" s="4">
        <v>10</v>
      </c>
      <c r="R18" s="2">
        <v>7</v>
      </c>
      <c r="S18" s="73">
        <f t="shared" si="0"/>
        <v>7.8666666666666663</v>
      </c>
      <c r="T18" s="73">
        <f t="shared" si="1"/>
        <v>59</v>
      </c>
    </row>
    <row r="19" spans="1:20" ht="15.75" x14ac:dyDescent="0.25">
      <c r="A19" s="4" t="s">
        <v>19</v>
      </c>
      <c r="B19" s="5">
        <v>9</v>
      </c>
      <c r="C19" s="6" t="s">
        <v>34</v>
      </c>
      <c r="D19" s="3">
        <v>5</v>
      </c>
      <c r="E19" s="4">
        <v>8</v>
      </c>
      <c r="F19" s="4">
        <v>10</v>
      </c>
      <c r="G19" s="4">
        <v>10</v>
      </c>
      <c r="H19" s="4">
        <v>7</v>
      </c>
      <c r="I19" s="11">
        <v>9</v>
      </c>
      <c r="J19" s="4">
        <v>6</v>
      </c>
      <c r="K19" s="4">
        <v>10</v>
      </c>
      <c r="L19" s="15">
        <v>6</v>
      </c>
      <c r="M19" s="14">
        <v>8</v>
      </c>
      <c r="N19" s="10">
        <v>7</v>
      </c>
      <c r="O19" s="4">
        <v>5</v>
      </c>
      <c r="P19" s="9">
        <v>8</v>
      </c>
      <c r="Q19" s="4">
        <v>8</v>
      </c>
      <c r="R19" s="2">
        <v>7</v>
      </c>
      <c r="S19" s="73">
        <f t="shared" si="0"/>
        <v>7.6</v>
      </c>
      <c r="T19" s="73">
        <f t="shared" si="1"/>
        <v>57</v>
      </c>
    </row>
    <row r="20" spans="1:20" ht="15.75" x14ac:dyDescent="0.25">
      <c r="A20" s="4" t="s">
        <v>19</v>
      </c>
      <c r="B20" s="9">
        <v>10</v>
      </c>
      <c r="C20" s="6" t="s">
        <v>20</v>
      </c>
      <c r="D20" s="3">
        <v>8</v>
      </c>
      <c r="E20" s="4">
        <v>6</v>
      </c>
      <c r="F20" s="4">
        <v>10</v>
      </c>
      <c r="G20" s="4">
        <v>9</v>
      </c>
      <c r="H20" s="4">
        <v>8</v>
      </c>
      <c r="I20" s="11">
        <v>8</v>
      </c>
      <c r="J20" s="4">
        <v>4</v>
      </c>
      <c r="K20" s="4">
        <v>8</v>
      </c>
      <c r="L20" s="15">
        <v>7</v>
      </c>
      <c r="M20" s="14">
        <v>7</v>
      </c>
      <c r="N20" s="10">
        <v>5</v>
      </c>
      <c r="O20" s="4">
        <v>6</v>
      </c>
      <c r="P20" s="9">
        <v>9</v>
      </c>
      <c r="Q20" s="4">
        <v>8</v>
      </c>
      <c r="R20" s="2">
        <v>7</v>
      </c>
      <c r="S20" s="73">
        <f t="shared" si="0"/>
        <v>7.333333333333333</v>
      </c>
      <c r="T20" s="73">
        <f t="shared" si="1"/>
        <v>55</v>
      </c>
    </row>
    <row r="21" spans="1:20" ht="15.75" x14ac:dyDescent="0.25">
      <c r="A21" s="4" t="s">
        <v>19</v>
      </c>
      <c r="B21" s="5">
        <v>11</v>
      </c>
      <c r="C21" s="6" t="s">
        <v>42</v>
      </c>
      <c r="D21" s="3">
        <v>6</v>
      </c>
      <c r="E21" s="4">
        <v>4</v>
      </c>
      <c r="F21" s="4">
        <v>10</v>
      </c>
      <c r="G21" s="4">
        <v>8</v>
      </c>
      <c r="H21" s="4">
        <v>5</v>
      </c>
      <c r="I21" s="11">
        <v>8</v>
      </c>
      <c r="J21" s="4">
        <v>5</v>
      </c>
      <c r="K21" s="4">
        <v>7</v>
      </c>
      <c r="L21" s="15">
        <v>5</v>
      </c>
      <c r="M21" s="14">
        <v>5</v>
      </c>
      <c r="N21" s="10">
        <v>5</v>
      </c>
      <c r="O21" s="4">
        <v>6</v>
      </c>
      <c r="P21" s="9">
        <v>6</v>
      </c>
      <c r="Q21" s="4">
        <v>11</v>
      </c>
      <c r="R21" s="2">
        <v>7</v>
      </c>
      <c r="S21" s="73">
        <f t="shared" si="0"/>
        <v>6.5333333333333332</v>
      </c>
      <c r="T21" s="73">
        <f t="shared" si="1"/>
        <v>49</v>
      </c>
    </row>
    <row r="22" spans="1:20" ht="15.75" x14ac:dyDescent="0.25">
      <c r="A22" s="4" t="s">
        <v>19</v>
      </c>
      <c r="B22" s="9">
        <v>12</v>
      </c>
      <c r="C22" s="6" t="s">
        <v>29</v>
      </c>
      <c r="D22" s="3">
        <v>4</v>
      </c>
      <c r="E22" s="4">
        <v>7</v>
      </c>
      <c r="F22" s="4">
        <v>8</v>
      </c>
      <c r="G22" s="4">
        <v>8</v>
      </c>
      <c r="H22" s="4">
        <v>4</v>
      </c>
      <c r="I22" s="11">
        <v>7</v>
      </c>
      <c r="J22" s="4">
        <v>4</v>
      </c>
      <c r="K22" s="4">
        <v>6</v>
      </c>
      <c r="L22" s="15">
        <v>7</v>
      </c>
      <c r="M22" s="14">
        <v>7</v>
      </c>
      <c r="N22" s="14">
        <v>6</v>
      </c>
      <c r="O22" s="4">
        <v>5</v>
      </c>
      <c r="P22" s="9">
        <v>7</v>
      </c>
      <c r="Q22" s="4">
        <v>7</v>
      </c>
      <c r="R22" s="2">
        <v>6</v>
      </c>
      <c r="S22" s="73">
        <f t="shared" si="0"/>
        <v>6.2</v>
      </c>
      <c r="T22" s="73">
        <f t="shared" si="1"/>
        <v>46.5</v>
      </c>
    </row>
    <row r="23" spans="1:20" ht="15.75" x14ac:dyDescent="0.25">
      <c r="A23" s="4" t="s">
        <v>19</v>
      </c>
      <c r="B23" s="5">
        <v>13</v>
      </c>
      <c r="C23" s="6" t="s">
        <v>27</v>
      </c>
      <c r="D23" s="3">
        <v>4</v>
      </c>
      <c r="E23" s="4">
        <v>6</v>
      </c>
      <c r="F23" s="4">
        <v>10</v>
      </c>
      <c r="G23" s="4">
        <v>7</v>
      </c>
      <c r="H23" s="4">
        <v>6</v>
      </c>
      <c r="I23" s="11">
        <v>7</v>
      </c>
      <c r="J23" s="4">
        <v>5</v>
      </c>
      <c r="K23" s="4">
        <v>7</v>
      </c>
      <c r="L23" s="15">
        <v>4</v>
      </c>
      <c r="M23" s="14">
        <v>7</v>
      </c>
      <c r="N23" s="10">
        <v>4</v>
      </c>
      <c r="O23" s="4">
        <v>4</v>
      </c>
      <c r="P23" s="9">
        <v>8</v>
      </c>
      <c r="Q23" s="4">
        <v>8</v>
      </c>
      <c r="R23" s="2">
        <v>4</v>
      </c>
      <c r="S23" s="73">
        <f t="shared" si="0"/>
        <v>6.0666666666666664</v>
      </c>
      <c r="T23" s="73">
        <f t="shared" si="1"/>
        <v>45.5</v>
      </c>
    </row>
    <row r="24" spans="1:20" ht="15.75" x14ac:dyDescent="0.25">
      <c r="A24" s="4" t="s">
        <v>19</v>
      </c>
      <c r="B24" s="9">
        <v>14</v>
      </c>
      <c r="C24" s="6" t="s">
        <v>44</v>
      </c>
      <c r="D24" s="3">
        <v>4</v>
      </c>
      <c r="E24" s="4">
        <v>5</v>
      </c>
      <c r="F24" s="4">
        <v>10</v>
      </c>
      <c r="G24" s="4">
        <v>7</v>
      </c>
      <c r="H24" s="10">
        <v>6</v>
      </c>
      <c r="I24" s="49">
        <v>6</v>
      </c>
      <c r="J24" s="3">
        <v>5</v>
      </c>
      <c r="K24" s="4">
        <v>6</v>
      </c>
      <c r="L24" s="15">
        <v>6</v>
      </c>
      <c r="M24" s="14">
        <v>4</v>
      </c>
      <c r="N24" s="10">
        <v>5</v>
      </c>
      <c r="O24" s="4">
        <v>5</v>
      </c>
      <c r="P24" s="9">
        <v>6</v>
      </c>
      <c r="Q24" s="4">
        <v>7</v>
      </c>
      <c r="R24" s="2">
        <v>4</v>
      </c>
      <c r="S24" s="73">
        <f t="shared" si="0"/>
        <v>5.7333333333333334</v>
      </c>
      <c r="T24" s="73">
        <f t="shared" si="1"/>
        <v>43</v>
      </c>
    </row>
    <row r="25" spans="1:20" ht="15.75" x14ac:dyDescent="0.25">
      <c r="C25" s="48" t="s">
        <v>52</v>
      </c>
      <c r="D25" s="13">
        <f>'Зведена відомість'!D43</f>
        <v>14</v>
      </c>
    </row>
    <row r="26" spans="1:20" ht="15.75" x14ac:dyDescent="0.25">
      <c r="C26" s="48" t="s">
        <v>53</v>
      </c>
      <c r="D26" s="13">
        <f>'Зведена відомість'!D44</f>
        <v>13</v>
      </c>
    </row>
    <row r="27" spans="1:20" ht="15.75" x14ac:dyDescent="0.25">
      <c r="C27" s="48" t="s">
        <v>54</v>
      </c>
      <c r="D27" s="13">
        <f>'Зведена відомість'!D45</f>
        <v>2</v>
      </c>
    </row>
    <row r="28" spans="1:20" ht="18.75" x14ac:dyDescent="0.25">
      <c r="C28" s="48" t="s">
        <v>55</v>
      </c>
      <c r="D28" s="13">
        <v>5</v>
      </c>
      <c r="G28" s="31" t="s">
        <v>56</v>
      </c>
      <c r="N28" s="31" t="s">
        <v>57</v>
      </c>
    </row>
    <row r="30" spans="1:20" ht="15" customHeight="1" x14ac:dyDescent="0.25">
      <c r="G30" s="31" t="s">
        <v>58</v>
      </c>
      <c r="N30" s="31" t="s">
        <v>59</v>
      </c>
    </row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1:1" ht="15.75" customHeight="1" x14ac:dyDescent="0.25">
      <c r="A81" s="16">
        <f>COUNTIF(A25:A41,"=Б")</f>
        <v>0</v>
      </c>
    </row>
    <row r="82" spans="1:1" ht="15.75" customHeight="1" x14ac:dyDescent="0.25">
      <c r="A82" s="16">
        <f>COUNTIF(A25:A41,"=Б")</f>
        <v>0</v>
      </c>
    </row>
    <row r="83" spans="1:1" ht="15.75" customHeight="1" x14ac:dyDescent="0.25">
      <c r="A83" s="16">
        <f>COUNTIF(A25:A41,"=Б")</f>
        <v>0</v>
      </c>
    </row>
    <row r="84" spans="1:1" ht="15.75" customHeight="1" x14ac:dyDescent="0.25">
      <c r="A84" s="16">
        <f>COUNTIF(A25:A41,"=Б")</f>
        <v>0</v>
      </c>
    </row>
    <row r="85" spans="1:1" ht="15.75" customHeight="1" x14ac:dyDescent="0.25">
      <c r="A85" s="16">
        <f>COUNTIF(A25:A41,"=Б")</f>
        <v>0</v>
      </c>
    </row>
    <row r="86" spans="1:1" ht="15.75" customHeight="1" x14ac:dyDescent="0.25">
      <c r="A86" s="16">
        <f>COUNTIF(A25:A41,"=Б")</f>
        <v>0</v>
      </c>
    </row>
    <row r="87" spans="1:1" ht="15.75" customHeight="1" x14ac:dyDescent="0.25">
      <c r="A87" s="16">
        <f>COUNTIF(A25:A41,"=Б")</f>
        <v>0</v>
      </c>
    </row>
    <row r="88" spans="1:1" ht="15.75" customHeight="1" x14ac:dyDescent="0.25">
      <c r="A88" s="16">
        <f>COUNTIF(A25:A41,"=Б")</f>
        <v>0</v>
      </c>
    </row>
    <row r="89" spans="1:1" ht="15.75" customHeight="1" x14ac:dyDescent="0.25">
      <c r="A89" s="16">
        <f>COUNTIF(A25:A41,"=Б")</f>
        <v>0</v>
      </c>
    </row>
    <row r="90" spans="1:1" ht="15.75" customHeight="1" x14ac:dyDescent="0.25">
      <c r="A90" s="16">
        <f>COUNTIF(A25:A41,"=Б")</f>
        <v>0</v>
      </c>
    </row>
    <row r="91" spans="1:1" ht="15.75" customHeight="1" x14ac:dyDescent="0.25">
      <c r="A91" s="16">
        <f>COUNTIF(A25:A41,"=Б")</f>
        <v>0</v>
      </c>
    </row>
    <row r="92" spans="1:1" ht="15.75" customHeight="1" x14ac:dyDescent="0.25">
      <c r="A92" s="16">
        <f>COUNTIF(A25:A41,"=Б")</f>
        <v>0</v>
      </c>
    </row>
    <row r="93" spans="1:1" ht="15.75" customHeight="1" x14ac:dyDescent="0.25">
      <c r="A93" s="16">
        <f>COUNTIF(A25:A41,"=Б")</f>
        <v>0</v>
      </c>
    </row>
    <row r="94" spans="1:1" ht="15.75" customHeight="1" x14ac:dyDescent="0.25">
      <c r="A94" s="16">
        <f>COUNTIF(A25:A41,"=Б")</f>
        <v>0</v>
      </c>
    </row>
    <row r="95" spans="1:1" ht="15.75" customHeight="1" x14ac:dyDescent="0.25">
      <c r="A95" s="16">
        <f>COUNTIF(A25:A41,"=Б")</f>
        <v>0</v>
      </c>
    </row>
    <row r="96" spans="1:1" ht="15.75" customHeight="1" x14ac:dyDescent="0.25">
      <c r="A96" s="16">
        <f>COUNTIF(A25:A41,"=Б")</f>
        <v>0</v>
      </c>
    </row>
    <row r="97" spans="1:1" ht="15.75" customHeight="1" x14ac:dyDescent="0.25">
      <c r="A97" s="16">
        <f>COUNTIF(A25:A41,"=Б")</f>
        <v>0</v>
      </c>
    </row>
    <row r="98" spans="1:1" ht="15.75" customHeight="1" x14ac:dyDescent="0.25">
      <c r="A98" s="16">
        <f>COUNTIF(A25:A41,"=Б")</f>
        <v>0</v>
      </c>
    </row>
    <row r="99" spans="1:1" ht="15.75" customHeight="1" x14ac:dyDescent="0.25">
      <c r="A99" s="16">
        <f>COUNTIF(A25:A41,"=Б")</f>
        <v>0</v>
      </c>
    </row>
    <row r="100" spans="1:1" ht="15.75" customHeight="1" x14ac:dyDescent="0.25">
      <c r="A100" s="16">
        <f>COUNTIF(A25:A41,"=Б")</f>
        <v>0</v>
      </c>
    </row>
    <row r="101" spans="1:1" ht="15.75" customHeight="1" x14ac:dyDescent="0.25">
      <c r="A101" s="16">
        <f>COUNTIF(A25:A41,"=Б")</f>
        <v>0</v>
      </c>
    </row>
    <row r="102" spans="1:1" ht="15.75" customHeight="1" x14ac:dyDescent="0.25">
      <c r="A102" s="16">
        <f>COUNTIF(A25:A41,"=Б")</f>
        <v>0</v>
      </c>
    </row>
    <row r="103" spans="1:1" ht="15.75" customHeight="1" x14ac:dyDescent="0.25">
      <c r="A103" s="16">
        <f>COUNTIF(A25:A41,"=Б")</f>
        <v>0</v>
      </c>
    </row>
    <row r="104" spans="1:1" ht="15.75" customHeight="1" x14ac:dyDescent="0.25">
      <c r="A104" s="16">
        <f>COUNTIF(A25:A41,"=Б")</f>
        <v>0</v>
      </c>
    </row>
    <row r="105" spans="1:1" ht="15.75" customHeight="1" x14ac:dyDescent="0.25">
      <c r="A105" s="16">
        <f>COUNTIF(A25:A41,"=Б")</f>
        <v>0</v>
      </c>
    </row>
    <row r="106" spans="1:1" ht="15.75" customHeight="1" x14ac:dyDescent="0.25">
      <c r="A106" s="16">
        <f>COUNTIF(A25:A41,"=Б")</f>
        <v>0</v>
      </c>
    </row>
    <row r="107" spans="1:1" ht="15.75" customHeight="1" x14ac:dyDescent="0.25">
      <c r="A107" s="16">
        <f>COUNTIF(A25:A41,"=Б")</f>
        <v>0</v>
      </c>
    </row>
    <row r="108" spans="1:1" ht="15.75" customHeight="1" x14ac:dyDescent="0.25">
      <c r="A108" s="16">
        <f>COUNTIF(A25:A41,"=Б")</f>
        <v>0</v>
      </c>
    </row>
    <row r="109" spans="1:1" ht="15.75" customHeight="1" x14ac:dyDescent="0.25">
      <c r="A109" s="16">
        <f>COUNTIF(A25:A41,"=Б")</f>
        <v>0</v>
      </c>
    </row>
    <row r="110" spans="1:1" ht="15.75" customHeight="1" x14ac:dyDescent="0.25">
      <c r="A110" s="16">
        <f>COUNTIF(A25:A41,"=Б")</f>
        <v>0</v>
      </c>
    </row>
    <row r="111" spans="1:1" ht="15.75" customHeight="1" x14ac:dyDescent="0.25">
      <c r="A111" s="16">
        <f>COUNTIF(A25:A41,"=Б")</f>
        <v>0</v>
      </c>
    </row>
    <row r="112" spans="1:1" ht="15.75" customHeight="1" x14ac:dyDescent="0.25">
      <c r="A112" s="16">
        <f>COUNTIF(A25:A41,"=Б")</f>
        <v>0</v>
      </c>
    </row>
    <row r="113" spans="1:1" ht="15.75" customHeight="1" x14ac:dyDescent="0.25">
      <c r="A113" s="16">
        <f>COUNTIF(A25:A41,"=Б")</f>
        <v>0</v>
      </c>
    </row>
    <row r="114" spans="1:1" ht="15.75" customHeight="1" x14ac:dyDescent="0.25">
      <c r="A114" s="16">
        <f>COUNTIF(A25:A41,"=Б")</f>
        <v>0</v>
      </c>
    </row>
    <row r="115" spans="1:1" ht="15.75" customHeight="1" x14ac:dyDescent="0.25">
      <c r="A115" s="16">
        <f>COUNTIF(A25:A41,"=Б")</f>
        <v>0</v>
      </c>
    </row>
    <row r="116" spans="1:1" ht="15.75" customHeight="1" x14ac:dyDescent="0.25">
      <c r="A116" s="16">
        <f>COUNTIF(A25:A41,"=Б")</f>
        <v>0</v>
      </c>
    </row>
    <row r="117" spans="1:1" ht="15.75" customHeight="1" x14ac:dyDescent="0.25">
      <c r="A117" s="16">
        <f>COUNTIF(A25:A41,"=Б")</f>
        <v>0</v>
      </c>
    </row>
    <row r="118" spans="1:1" ht="15.75" customHeight="1" x14ac:dyDescent="0.25">
      <c r="A118" s="16">
        <f>COUNTIF(A25:A41,"=Б")</f>
        <v>0</v>
      </c>
    </row>
    <row r="119" spans="1:1" ht="15.75" customHeight="1" x14ac:dyDescent="0.25">
      <c r="A119" s="16">
        <f>COUNTIF(A25:A41,"=Б")</f>
        <v>0</v>
      </c>
    </row>
    <row r="120" spans="1:1" ht="15.75" customHeight="1" x14ac:dyDescent="0.25">
      <c r="A120" s="16">
        <f>COUNTIF(A25:A41,"=Б")</f>
        <v>0</v>
      </c>
    </row>
    <row r="121" spans="1:1" ht="15.75" customHeight="1" x14ac:dyDescent="0.25">
      <c r="A121" s="16">
        <f>COUNTIF(A25:A41,"=Б")</f>
        <v>0</v>
      </c>
    </row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P8:P10"/>
    <mergeCell ref="Q8:Q10"/>
    <mergeCell ref="R8:R10"/>
    <mergeCell ref="S8:S10"/>
    <mergeCell ref="T8:T10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A6:T6"/>
    <mergeCell ref="A1:T1"/>
    <mergeCell ref="A2:T2"/>
    <mergeCell ref="A3:T3"/>
    <mergeCell ref="A4:T4"/>
    <mergeCell ref="A5:T5"/>
  </mergeCells>
  <printOptions horizontalCentered="1" verticalCentered="1"/>
  <pageMargins left="0" right="0" top="0.94488188976377963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2021-12-30T10:47:48Z</cp:lastPrinted>
  <dcterms:created xsi:type="dcterms:W3CDTF">2006-09-28T05:33:49Z</dcterms:created>
  <dcterms:modified xsi:type="dcterms:W3CDTF">2022-06-24T08:49:20Z</dcterms:modified>
</cp:coreProperties>
</file>