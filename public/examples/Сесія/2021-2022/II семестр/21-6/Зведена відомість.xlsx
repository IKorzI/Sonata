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750" yWindow="555" windowWidth="18780" windowHeight="7110"/>
  </bookViews>
  <sheets>
    <sheet name="Зведена відомість" sheetId="17" r:id="rId1"/>
    <sheet name="Рейтингова відомість" sheetId="16" r:id="rId2"/>
  </sheets>
  <definedNames>
    <definedName name="_xlnm._FilterDatabase" localSheetId="1" hidden="1">'Рейтингова відомість'!$A$24:$T$116</definedName>
    <definedName name="A1048577">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g5zNYRtK9p5AiRj4w2tLhYbVPwAg=="/>
    </ext>
  </extLst>
</workbook>
</file>

<file path=xl/calcChain.xml><?xml version="1.0" encoding="utf-8"?>
<calcChain xmlns="http://schemas.openxmlformats.org/spreadsheetml/2006/main">
  <c r="T12" i="16" l="1"/>
  <c r="T13" i="16"/>
  <c r="T14" i="16"/>
  <c r="T15" i="16"/>
  <c r="T16" i="16"/>
  <c r="T17" i="16"/>
  <c r="T18" i="16"/>
  <c r="T19" i="16"/>
  <c r="T20" i="16"/>
  <c r="T21" i="16"/>
  <c r="T22" i="16"/>
  <c r="T23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T11" i="16"/>
  <c r="S11" i="16"/>
  <c r="D26" i="16"/>
  <c r="D25" i="16"/>
  <c r="D24" i="16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11" i="17"/>
  <c r="D46" i="17"/>
  <c r="D45" i="17"/>
  <c r="D44" i="17"/>
  <c r="D43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A116" i="16" l="1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D48" i="17" l="1"/>
</calcChain>
</file>

<file path=xl/sharedStrings.xml><?xml version="1.0" encoding="utf-8"?>
<sst xmlns="http://schemas.openxmlformats.org/spreadsheetml/2006/main" count="194" uniqueCount="75">
  <si>
    <t xml:space="preserve">ЗВЕДЕНА  ВІДОМІСТЬ  </t>
  </si>
  <si>
    <t>Успішності студентів спеціальності 151 «Автоматизація та комп'ютерно-інтегровані технології»</t>
  </si>
  <si>
    <t>Група 21-6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</si>
  <si>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</si>
  <si>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</si>
  <si>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</si>
  <si>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</si>
  <si>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</si>
  <si>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</si>
  <si>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Бондаренко О.С.</t>
  </si>
  <si>
    <t>Фізика
Швець М.В.</t>
  </si>
  <si>
    <t>Інформатика
Охримчук В.С.</t>
  </si>
  <si>
    <t>Українська мова
Нестеренко А.О.</t>
  </si>
  <si>
    <t>Зарубіжна література
Пруднікова Я.П.</t>
  </si>
  <si>
    <t>Біологія
Богданенко О.В.</t>
  </si>
  <si>
    <t>Іноземна мова
Кубова Т.М.</t>
  </si>
  <si>
    <t>Історія України
Левчук Т.Г.</t>
  </si>
  <si>
    <t>Географія
Наговська Т.С.</t>
  </si>
  <si>
    <t>Середній бал</t>
  </si>
  <si>
    <t>Б</t>
  </si>
  <si>
    <t>Білий Максим Олександрович</t>
  </si>
  <si>
    <t>Боханцев Вадим Сергійович</t>
  </si>
  <si>
    <t>Васильєв Владислав Віталійович</t>
  </si>
  <si>
    <t>Гущін Микола Сергійович</t>
  </si>
  <si>
    <t>Діденко Єгор Ігорович</t>
  </si>
  <si>
    <t>К</t>
  </si>
  <si>
    <t>Дмитришин Сергій Сергійович</t>
  </si>
  <si>
    <t>Дмитрієв Микита Сергійович</t>
  </si>
  <si>
    <t>Єлохов Микита Андрійович</t>
  </si>
  <si>
    <t>Жосан Андрій Вікторович</t>
  </si>
  <si>
    <t>Заборей Кирило Юрійович</t>
  </si>
  <si>
    <t>Іванченко Олександр Станіславович</t>
  </si>
  <si>
    <t>Курмашова Надія Святослав.</t>
  </si>
  <si>
    <t>Лопушанський Владислав Денисович</t>
  </si>
  <si>
    <t>Люцевич Дмитро Вікторович</t>
  </si>
  <si>
    <t>Лялін Вадим Вячеславович</t>
  </si>
  <si>
    <t xml:space="preserve">Макух Данііл Костянтинович </t>
  </si>
  <si>
    <t>Мозговий Андрій Володимирович</t>
  </si>
  <si>
    <t xml:space="preserve">Мороз Михайло Сергійович </t>
  </si>
  <si>
    <t>Нікітін Леонід Вячеславович</t>
  </si>
  <si>
    <t>Овчарик Олександр Андрійович</t>
  </si>
  <si>
    <t>Пастух Дмитро Сергійович</t>
  </si>
  <si>
    <t>Пелевін Олег Максимович</t>
  </si>
  <si>
    <t>Поперечний Юрій Олегович</t>
  </si>
  <si>
    <t>Продан Артем Іванович</t>
  </si>
  <si>
    <t>Руденко Роман Олександрович</t>
  </si>
  <si>
    <t>Русавський Роман Петрович</t>
  </si>
  <si>
    <t>Слюсаренко Андрій Андрійович</t>
  </si>
  <si>
    <t>Степанов Костянтин Євгенович</t>
  </si>
  <si>
    <t>Халепов Іван Сергійович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</si>
  <si>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</si>
  <si>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</si>
  <si>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</si>
  <si>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</si>
  <si>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</si>
  <si>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</si>
  <si>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</si>
  <si>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</si>
  <si>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</si>
  <si>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</si>
  <si>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Олександра АКРАБОВА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</si>
  <si>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</si>
  <si>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</si>
  <si>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</si>
  <si>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</si>
  <si>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</si>
  <si>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№ з/п</t>
  </si>
  <si>
    <t>Астрономія
Калюта Н.М.</t>
  </si>
  <si>
    <t>ЗВ
Лазар В.І.</t>
  </si>
  <si>
    <t>Хімія
Леонова Д.І.</t>
  </si>
  <si>
    <t>Фізична культура
Акрабова О.Г.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</si>
  <si>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</si>
  <si>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</si>
  <si>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IІ семестр 2021-2022 н.р.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</si>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</sst>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2" fillId="0" borderId="8"/>
    <xf numFmtId="0" fontId="1" fillId="0" borderId="8"/>
    <xf numFmtId="0" fontId="2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</cellStyleXfs>
  <cellXfs count="59">
    <xf numFmtId="0" fontId="0" fillId="0" borderId="0" xfId="0" applyFont="1" applyAlignment="1"/>
    <xf numFmtId="2" fontId="3" fillId="2" borderId="16" xfId="2" applyNumberFormat="1" applyFont="1" applyFill="1" applyBorder="1" applyAlignment="1">
      <alignment horizontal="center" vertical="center"/>
    </xf>
    <xf numFmtId="0" fontId="3" fillId="0" borderId="8" xfId="5" applyNumberFormat="1" applyFont="1" applyFill="1" applyAlignment="1">
      <alignment horizontal="center" vertical="center"/>
    </xf>
    <xf numFmtId="0" fontId="3" fillId="2" borderId="1" xfId="5" applyNumberFormat="1" applyFont="1" applyFill="1" applyBorder="1" applyAlignment="1">
      <alignment horizontal="center" vertical="center" wrapText="1"/>
    </xf>
    <xf numFmtId="0" fontId="3" fillId="2" borderId="2" xfId="5" applyNumberFormat="1" applyFont="1" applyFill="1" applyBorder="1" applyAlignment="1">
      <alignment horizontal="center" vertical="center" wrapText="1"/>
    </xf>
    <xf numFmtId="0" fontId="3" fillId="2" borderId="1" xfId="5" applyNumberFormat="1" applyFont="1" applyFill="1" applyBorder="1" applyAlignment="1">
      <alignment horizontal="left" vertical="center" wrapText="1"/>
    </xf>
    <xf numFmtId="0" fontId="3" fillId="2" borderId="7" xfId="5" applyNumberFormat="1" applyFont="1" applyFill="1" applyBorder="1" applyAlignment="1">
      <alignment horizontal="center" vertical="center"/>
    </xf>
    <xf numFmtId="0" fontId="3" fillId="2" borderId="1" xfId="5" applyNumberFormat="1" applyFont="1" applyFill="1" applyBorder="1" applyAlignment="1">
      <alignment horizontal="center" vertical="center"/>
    </xf>
    <xf numFmtId="0" fontId="3" fillId="2" borderId="6" xfId="5" applyNumberFormat="1" applyFont="1" applyFill="1" applyBorder="1" applyAlignment="1">
      <alignment horizontal="center" vertical="center"/>
    </xf>
    <xf numFmtId="0" fontId="3" fillId="2" borderId="16" xfId="5" applyNumberFormat="1" applyFont="1" applyFill="1" applyBorder="1" applyAlignment="1">
      <alignment horizontal="center" vertical="center"/>
    </xf>
    <xf numFmtId="0" fontId="3" fillId="2" borderId="17" xfId="5" applyNumberFormat="1" applyFont="1" applyFill="1" applyBorder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1" xfId="5" applyNumberFormat="1" applyFont="1" applyFill="1" applyBorder="1" applyAlignment="1">
      <alignment horizontal="left" vertical="center" wrapText="1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16" xfId="5" applyNumberFormat="1" applyFont="1" applyFill="1" applyBorder="1" applyAlignment="1">
      <alignment horizontal="center" vertical="center"/>
    </xf>
    <xf numFmtId="0" fontId="3" fillId="0" borderId="17" xfId="5" applyNumberFormat="1" applyFont="1" applyFill="1" applyBorder="1" applyAlignment="1">
      <alignment horizontal="center" vertical="center"/>
    </xf>
    <xf numFmtId="0" fontId="3" fillId="0" borderId="16" xfId="5" applyNumberFormat="1" applyFont="1" applyFill="1" applyBorder="1" applyAlignment="1">
      <alignment horizontal="left" vertical="center" wrapText="1"/>
    </xf>
    <xf numFmtId="0" fontId="5" fillId="0" borderId="8" xfId="5" applyNumberFormat="1" applyFont="1" applyFill="1" applyAlignment="1">
      <alignment horizontal="left" vertical="center"/>
    </xf>
    <xf numFmtId="2" fontId="3" fillId="3" borderId="3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left" vertical="center" wrapText="1"/>
    </xf>
    <xf numFmtId="164" fontId="3" fillId="3" borderId="4" xfId="5" applyNumberFormat="1" applyFont="1" applyFill="1" applyBorder="1" applyAlignment="1">
      <alignment horizontal="center" vertical="center"/>
    </xf>
    <xf numFmtId="164" fontId="3" fillId="4" borderId="5" xfId="5" applyNumberFormat="1" applyFont="1" applyFill="1" applyBorder="1" applyAlignment="1">
      <alignment horizontal="center" vertical="center"/>
    </xf>
    <xf numFmtId="164" fontId="3" fillId="4" borderId="12" xfId="5" applyNumberFormat="1" applyFont="1" applyFill="1" applyBorder="1" applyAlignment="1">
      <alignment horizontal="center" vertical="center"/>
    </xf>
    <xf numFmtId="0" fontId="3" fillId="0" borderId="8" xfId="5" applyNumberFormat="1" applyFont="1" applyFill="1" applyBorder="1" applyAlignment="1">
      <alignment horizontal="center" vertical="center"/>
    </xf>
    <xf numFmtId="0" fontId="3" fillId="0" borderId="6" xfId="5" applyNumberFormat="1" applyFont="1" applyFill="1" applyBorder="1" applyAlignment="1">
      <alignment horizontal="left" vertical="center" wrapText="1"/>
    </xf>
    <xf numFmtId="164" fontId="3" fillId="4" borderId="1" xfId="5" applyNumberFormat="1" applyFont="1" applyFill="1" applyBorder="1" applyAlignment="1">
      <alignment horizontal="center" vertical="center"/>
    </xf>
    <xf numFmtId="164" fontId="3" fillId="4" borderId="7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/>
    </xf>
    <xf numFmtId="0" fontId="6" fillId="0" borderId="8" xfId="5" applyNumberFormat="1" applyFont="1" applyFill="1" applyAlignment="1">
      <alignment horizontal="center" vertical="center"/>
    </xf>
    <xf numFmtId="0" fontId="5" fillId="0" borderId="8" xfId="5" applyNumberFormat="1" applyFont="1" applyFill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0" fontId="5" fillId="0" borderId="8" xfId="5" applyNumberFormat="1" applyFont="1" applyFill="1" applyBorder="1" applyAlignment="1">
      <alignment horizontal="center" vertical="center"/>
    </xf>
    <xf numFmtId="0" fontId="6" fillId="0" borderId="8" xfId="5" applyNumberFormat="1" applyFont="1" applyFill="1" applyAlignment="1">
      <alignment horizontal="center" vertical="center"/>
    </xf>
    <xf numFmtId="0" fontId="5" fillId="0" borderId="8" xfId="5" applyNumberFormat="1" applyFont="1" applyFill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textRotation="90" wrapText="1"/>
    </xf>
    <xf numFmtId="0" fontId="3" fillId="0" borderId="14" xfId="5" applyNumberFormat="1" applyFont="1" applyFill="1" applyBorder="1" applyAlignment="1">
      <alignment horizontal="center" textRotation="90"/>
    </xf>
    <xf numFmtId="0" fontId="4" fillId="0" borderId="5" xfId="5" applyNumberFormat="1" applyFont="1" applyFill="1" applyBorder="1" applyAlignment="1">
      <alignment horizontal="center" vertical="center" textRotation="90" wrapText="1"/>
    </xf>
    <xf numFmtId="0" fontId="4" fillId="0" borderId="14" xfId="5" applyNumberFormat="1" applyFont="1" applyFill="1" applyBorder="1" applyAlignment="1">
      <alignment horizontal="center" vertical="center" textRotation="90"/>
    </xf>
    <xf numFmtId="0" fontId="4" fillId="0" borderId="4" xfId="5" applyNumberFormat="1" applyFont="1" applyFill="1" applyBorder="1" applyAlignment="1">
      <alignment horizontal="center" vertical="center" textRotation="90"/>
    </xf>
    <xf numFmtId="0" fontId="3" fillId="0" borderId="4" xfId="5" applyNumberFormat="1" applyFont="1" applyFill="1" applyBorder="1" applyAlignment="1">
      <alignment horizontal="center" textRotation="90"/>
    </xf>
    <xf numFmtId="0" fontId="5" fillId="0" borderId="9" xfId="5" applyNumberFormat="1" applyFont="1" applyFill="1" applyBorder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vertical="center"/>
    </xf>
    <xf numFmtId="0" fontId="3" fillId="0" borderId="14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/>
    </xf>
    <xf numFmtId="0" fontId="3" fillId="0" borderId="14" xfId="5" applyNumberFormat="1" applyFont="1" applyFill="1" applyBorder="1" applyAlignment="1">
      <alignment horizontal="center" textRotation="90" wrapText="1"/>
    </xf>
    <xf numFmtId="0" fontId="3" fillId="0" borderId="4" xfId="5" applyNumberFormat="1" applyFont="1" applyFill="1" applyBorder="1" applyAlignment="1">
      <alignment horizontal="center" textRotation="90" wrapText="1"/>
    </xf>
    <xf numFmtId="0" fontId="3" fillId="0" borderId="10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/>
    </xf>
    <xf numFmtId="0" fontId="4" fillId="0" borderId="10" xfId="5" applyNumberFormat="1" applyFont="1" applyFill="1" applyBorder="1" applyAlignment="1">
      <alignment horizontal="center" vertical="center" textRotation="90" wrapText="1"/>
    </xf>
    <xf numFmtId="0" fontId="4" fillId="0" borderId="13" xfId="5" applyNumberFormat="1" applyFont="1" applyFill="1" applyBorder="1" applyAlignment="1">
      <alignment horizontal="center" vertical="center" textRotation="90"/>
    </xf>
    <xf numFmtId="0" fontId="4" fillId="0" borderId="15" xfId="5" applyNumberFormat="1" applyFont="1" applyFill="1" applyBorder="1" applyAlignment="1">
      <alignment horizontal="center" vertical="center" textRotation="90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00"/>
  <sheetViews>
    <sheetView tabSelected="1" topLeftCell="A28" zoomScale="80" zoomScaleNormal="80" workbookViewId="0">
      <selection activeCell="V46" sqref="V46"/>
    </sheetView>
  </sheetViews>
  <sheetFormatPr defaultColWidth="14.42578125" defaultRowHeight="15" customHeight="1" x14ac:dyDescent="0.25"/>
  <cols>
    <col min="1" max="1" width="4.28515625" style="2" customWidth="1"/>
    <col min="2" max="2" width="6.5703125" style="2" customWidth="1"/>
    <col min="3" max="3" width="40.42578125" style="2" customWidth="1"/>
    <col min="4" max="18" width="6.7109375" style="2" customWidth="1"/>
    <col min="19" max="19" width="11.28515625" style="2" customWidth="1"/>
    <col min="20" max="16384" width="14.42578125" style="2"/>
  </cols>
  <sheetData>
    <row r="1" spans="1:19" s="32" customFormat="1" ht="15" customHeight="1" x14ac:dyDescent="0.25">
      <c r="A1" s="34" t="s">
        <v>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s="32" customFormat="1" ht="15" customHeight="1" x14ac:dyDescent="0.25">
      <c r="A2" s="34" t="s">
        <v>72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s="31" customFormat="1" ht="15" customHeight="1" x14ac:dyDescent="0.2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1:19" s="32" customFormat="1" ht="15" customHeight="1" x14ac:dyDescent="0.25">
      <c r="A4" s="36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19" s="32" customFormat="1" ht="15" customHeight="1" x14ac:dyDescent="0.25">
      <c r="A5" s="36" t="s">
        <v>73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6" spans="1:19" s="32" customFormat="1" ht="15" customHeight="1" x14ac:dyDescent="0.25">
      <c r="A6" s="43" t="s">
        <v>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</row>
    <row r="7" spans="1:19" ht="15" customHeight="1" x14ac:dyDescent="0.25">
      <c r="A7" s="44" t="s">
        <v>3</v>
      </c>
      <c r="B7" s="47" t="s">
        <v>4</v>
      </c>
      <c r="C7" s="47" t="s">
        <v>5</v>
      </c>
      <c r="D7" s="48" t="s">
        <v>6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50"/>
    </row>
    <row r="8" spans="1:19" ht="15" customHeight="1" x14ac:dyDescent="0.25">
      <c r="A8" s="45"/>
      <c r="B8" s="45"/>
      <c r="C8" s="45"/>
      <c r="D8" s="37" t="s">
        <v>67</v>
      </c>
      <c r="E8" s="37" t="s">
        <v>14</v>
      </c>
      <c r="F8" s="37" t="s">
        <v>8</v>
      </c>
      <c r="G8" s="37" t="s">
        <v>17</v>
      </c>
      <c r="H8" s="37" t="s">
        <v>13</v>
      </c>
      <c r="I8" s="37" t="s">
        <v>68</v>
      </c>
      <c r="J8" s="37" t="s">
        <v>15</v>
      </c>
      <c r="K8" s="37" t="s">
        <v>11</v>
      </c>
      <c r="L8" s="37" t="s">
        <v>16</v>
      </c>
      <c r="M8" s="37" t="s">
        <v>9</v>
      </c>
      <c r="N8" s="37" t="s">
        <v>7</v>
      </c>
      <c r="O8" s="37" t="s">
        <v>12</v>
      </c>
      <c r="P8" s="37" t="s">
        <v>10</v>
      </c>
      <c r="Q8" s="37" t="s">
        <v>70</v>
      </c>
      <c r="R8" s="37" t="s">
        <v>69</v>
      </c>
      <c r="S8" s="39" t="s">
        <v>18</v>
      </c>
    </row>
    <row r="9" spans="1:19" ht="15" customHeight="1" x14ac:dyDescent="0.25">
      <c r="A9" s="45"/>
      <c r="B9" s="45"/>
      <c r="C9" s="45"/>
      <c r="D9" s="51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40"/>
    </row>
    <row r="10" spans="1:19" ht="99.75" customHeight="1" x14ac:dyDescent="0.25">
      <c r="A10" s="46"/>
      <c r="B10" s="46"/>
      <c r="C10" s="46"/>
      <c r="D10" s="5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38"/>
      <c r="S10" s="41"/>
    </row>
    <row r="11" spans="1:19" ht="15" customHeight="1" x14ac:dyDescent="0.25">
      <c r="A11" s="11" t="s">
        <v>19</v>
      </c>
      <c r="B11" s="12">
        <v>1</v>
      </c>
      <c r="C11" s="13" t="s">
        <v>20</v>
      </c>
      <c r="D11" s="30" t="s">
        <v>74</v>
      </c>
      <c r="E11" s="14">
        <v>4</v>
      </c>
      <c r="F11" s="14">
        <v>8</v>
      </c>
      <c r="G11" s="14">
        <v>6</v>
      </c>
      <c r="H11" s="14">
        <v>4</v>
      </c>
      <c r="I11" s="14" t="s">
        <v>74</v>
      </c>
      <c r="J11" s="14">
        <v>4</v>
      </c>
      <c r="K11" s="14">
        <v>7</v>
      </c>
      <c r="L11" s="14">
        <v>4</v>
      </c>
      <c r="M11" s="14" t="s">
        <v>74</v>
      </c>
      <c r="N11" s="14">
        <v>4</v>
      </c>
      <c r="O11" s="14">
        <v>4</v>
      </c>
      <c r="P11" s="14">
        <v>5</v>
      </c>
      <c r="Q11" s="29">
        <v>4</v>
      </c>
      <c r="R11" s="15">
        <v>5</v>
      </c>
      <c r="S11" s="19" t="str">
        <f>IF(COUNTIF(D11:R11,"=*")&gt;0,"-",(AVERAGE(D11:R11)))</f>
        <v>-</v>
      </c>
    </row>
    <row r="12" spans="1:19" ht="15" customHeight="1" x14ac:dyDescent="0.25">
      <c r="A12" s="11" t="s">
        <v>19</v>
      </c>
      <c r="B12" s="12">
        <v>2</v>
      </c>
      <c r="C12" s="13" t="s">
        <v>21</v>
      </c>
      <c r="D12" s="30">
        <v>10</v>
      </c>
      <c r="E12" s="14">
        <v>10</v>
      </c>
      <c r="F12" s="14">
        <v>10</v>
      </c>
      <c r="G12" s="14">
        <v>10</v>
      </c>
      <c r="H12" s="14">
        <v>10</v>
      </c>
      <c r="I12" s="14">
        <v>10</v>
      </c>
      <c r="J12" s="14">
        <v>9</v>
      </c>
      <c r="K12" s="14">
        <v>10</v>
      </c>
      <c r="L12" s="14">
        <v>8</v>
      </c>
      <c r="M12" s="14">
        <v>10</v>
      </c>
      <c r="N12" s="14">
        <v>11</v>
      </c>
      <c r="O12" s="14">
        <v>11</v>
      </c>
      <c r="P12" s="14">
        <v>10</v>
      </c>
      <c r="Q12" s="29">
        <v>10</v>
      </c>
      <c r="R12" s="15">
        <v>10</v>
      </c>
      <c r="S12" s="19">
        <f t="shared" ref="S12:S40" si="0">IF(COUNTIF(D12:R12,"=*")&gt;0,"-",(AVERAGE(D12:R12)))</f>
        <v>9.9333333333333336</v>
      </c>
    </row>
    <row r="13" spans="1:19" ht="15" customHeight="1" x14ac:dyDescent="0.25">
      <c r="A13" s="11" t="s">
        <v>19</v>
      </c>
      <c r="B13" s="12">
        <v>3</v>
      </c>
      <c r="C13" s="13" t="s">
        <v>22</v>
      </c>
      <c r="D13" s="30" t="s">
        <v>74</v>
      </c>
      <c r="E13" s="14">
        <v>5</v>
      </c>
      <c r="F13" s="14">
        <v>10</v>
      </c>
      <c r="G13" s="14">
        <v>5</v>
      </c>
      <c r="H13" s="14">
        <v>5</v>
      </c>
      <c r="I13" s="14" t="s">
        <v>74</v>
      </c>
      <c r="J13" s="14">
        <v>7</v>
      </c>
      <c r="K13" s="14">
        <v>5</v>
      </c>
      <c r="L13" s="14" t="s">
        <v>74</v>
      </c>
      <c r="M13" s="14">
        <v>4</v>
      </c>
      <c r="N13" s="14">
        <v>4</v>
      </c>
      <c r="O13" s="14">
        <v>4</v>
      </c>
      <c r="P13" s="14">
        <v>7</v>
      </c>
      <c r="Q13" s="29">
        <v>6</v>
      </c>
      <c r="R13" s="15">
        <v>4</v>
      </c>
      <c r="S13" s="19" t="str">
        <f t="shared" si="0"/>
        <v>-</v>
      </c>
    </row>
    <row r="14" spans="1:19" ht="15" customHeight="1" x14ac:dyDescent="0.25">
      <c r="A14" s="11" t="s">
        <v>19</v>
      </c>
      <c r="B14" s="12">
        <v>4</v>
      </c>
      <c r="C14" s="13" t="s">
        <v>23</v>
      </c>
      <c r="D14" s="15">
        <v>10</v>
      </c>
      <c r="E14" s="15">
        <v>7</v>
      </c>
      <c r="F14" s="15">
        <v>10</v>
      </c>
      <c r="G14" s="15">
        <v>9</v>
      </c>
      <c r="H14" s="15">
        <v>6</v>
      </c>
      <c r="I14" s="15">
        <v>10</v>
      </c>
      <c r="J14" s="15">
        <v>5</v>
      </c>
      <c r="K14" s="15">
        <v>9</v>
      </c>
      <c r="L14" s="15">
        <v>7</v>
      </c>
      <c r="M14" s="15">
        <v>5</v>
      </c>
      <c r="N14" s="15">
        <v>10</v>
      </c>
      <c r="O14" s="15">
        <v>10</v>
      </c>
      <c r="P14" s="15">
        <v>9</v>
      </c>
      <c r="Q14" s="16">
        <v>7</v>
      </c>
      <c r="R14" s="15">
        <v>8</v>
      </c>
      <c r="S14" s="19">
        <f t="shared" si="0"/>
        <v>8.1333333333333329</v>
      </c>
    </row>
    <row r="15" spans="1:19" ht="15" customHeight="1" x14ac:dyDescent="0.25">
      <c r="A15" s="11" t="s">
        <v>19</v>
      </c>
      <c r="B15" s="12">
        <v>5</v>
      </c>
      <c r="C15" s="13" t="s">
        <v>24</v>
      </c>
      <c r="D15" s="15">
        <v>8</v>
      </c>
      <c r="E15" s="15">
        <v>8</v>
      </c>
      <c r="F15" s="15">
        <v>10</v>
      </c>
      <c r="G15" s="15">
        <v>9</v>
      </c>
      <c r="H15" s="15">
        <v>10</v>
      </c>
      <c r="I15" s="15">
        <v>10</v>
      </c>
      <c r="J15" s="15">
        <v>10</v>
      </c>
      <c r="K15" s="15">
        <v>8</v>
      </c>
      <c r="L15" s="15">
        <v>8</v>
      </c>
      <c r="M15" s="15">
        <v>8</v>
      </c>
      <c r="N15" s="15">
        <v>10</v>
      </c>
      <c r="O15" s="15">
        <v>10</v>
      </c>
      <c r="P15" s="15">
        <v>10</v>
      </c>
      <c r="Q15" s="16">
        <v>10</v>
      </c>
      <c r="R15" s="15">
        <v>10</v>
      </c>
      <c r="S15" s="19">
        <f t="shared" si="0"/>
        <v>9.2666666666666675</v>
      </c>
    </row>
    <row r="16" spans="1:19" ht="15" customHeight="1" x14ac:dyDescent="0.25">
      <c r="A16" s="11" t="s">
        <v>25</v>
      </c>
      <c r="B16" s="12">
        <v>6</v>
      </c>
      <c r="C16" s="13" t="s">
        <v>26</v>
      </c>
      <c r="D16" s="30">
        <v>4</v>
      </c>
      <c r="E16" s="14">
        <v>5</v>
      </c>
      <c r="F16" s="14">
        <v>8</v>
      </c>
      <c r="G16" s="14">
        <v>7</v>
      </c>
      <c r="H16" s="14">
        <v>4</v>
      </c>
      <c r="I16" s="14">
        <v>4</v>
      </c>
      <c r="J16" s="14">
        <v>6</v>
      </c>
      <c r="K16" s="14">
        <v>7</v>
      </c>
      <c r="L16" s="14">
        <v>6</v>
      </c>
      <c r="M16" s="14" t="s">
        <v>74</v>
      </c>
      <c r="N16" s="14" t="s">
        <v>74</v>
      </c>
      <c r="O16" s="14" t="s">
        <v>74</v>
      </c>
      <c r="P16" s="14">
        <v>5</v>
      </c>
      <c r="Q16" s="29">
        <v>4</v>
      </c>
      <c r="R16" s="15">
        <v>7</v>
      </c>
      <c r="S16" s="19" t="str">
        <f t="shared" si="0"/>
        <v>-</v>
      </c>
    </row>
    <row r="17" spans="1:19" ht="15" customHeight="1" x14ac:dyDescent="0.25">
      <c r="A17" s="11" t="s">
        <v>19</v>
      </c>
      <c r="B17" s="12">
        <v>7</v>
      </c>
      <c r="C17" s="13" t="s">
        <v>27</v>
      </c>
      <c r="D17" s="15">
        <v>7</v>
      </c>
      <c r="E17" s="15">
        <v>9</v>
      </c>
      <c r="F17" s="15">
        <v>10</v>
      </c>
      <c r="G17" s="15">
        <v>8</v>
      </c>
      <c r="H17" s="15">
        <v>10</v>
      </c>
      <c r="I17" s="15">
        <v>9</v>
      </c>
      <c r="J17" s="15">
        <v>10</v>
      </c>
      <c r="K17" s="15">
        <v>8</v>
      </c>
      <c r="L17" s="15">
        <v>8</v>
      </c>
      <c r="M17" s="15">
        <v>7</v>
      </c>
      <c r="N17" s="15">
        <v>8</v>
      </c>
      <c r="O17" s="15">
        <v>7</v>
      </c>
      <c r="P17" s="15">
        <v>10</v>
      </c>
      <c r="Q17" s="16">
        <v>10</v>
      </c>
      <c r="R17" s="15">
        <v>8</v>
      </c>
      <c r="S17" s="19">
        <f t="shared" si="0"/>
        <v>8.6</v>
      </c>
    </row>
    <row r="18" spans="1:19" ht="15" customHeight="1" x14ac:dyDescent="0.25">
      <c r="A18" s="11" t="s">
        <v>19</v>
      </c>
      <c r="B18" s="12">
        <v>8</v>
      </c>
      <c r="C18" s="13" t="s">
        <v>28</v>
      </c>
      <c r="D18" s="30">
        <v>10</v>
      </c>
      <c r="E18" s="14">
        <v>10</v>
      </c>
      <c r="F18" s="14">
        <v>10</v>
      </c>
      <c r="G18" s="14">
        <v>10</v>
      </c>
      <c r="H18" s="14">
        <v>10</v>
      </c>
      <c r="I18" s="14">
        <v>10</v>
      </c>
      <c r="J18" s="14">
        <v>10</v>
      </c>
      <c r="K18" s="14">
        <v>10</v>
      </c>
      <c r="L18" s="14">
        <v>10</v>
      </c>
      <c r="M18" s="14">
        <v>10</v>
      </c>
      <c r="N18" s="14">
        <v>11</v>
      </c>
      <c r="O18" s="14">
        <v>10</v>
      </c>
      <c r="P18" s="14">
        <v>10</v>
      </c>
      <c r="Q18" s="29">
        <v>11</v>
      </c>
      <c r="R18" s="15">
        <v>10</v>
      </c>
      <c r="S18" s="19">
        <f t="shared" si="0"/>
        <v>10.133333333333333</v>
      </c>
    </row>
    <row r="19" spans="1:19" ht="15" customHeight="1" x14ac:dyDescent="0.25">
      <c r="A19" s="11" t="s">
        <v>25</v>
      </c>
      <c r="B19" s="12">
        <v>9</v>
      </c>
      <c r="C19" s="13" t="s">
        <v>29</v>
      </c>
      <c r="D19" s="30" t="s">
        <v>74</v>
      </c>
      <c r="E19" s="14">
        <v>4</v>
      </c>
      <c r="F19" s="14">
        <v>6</v>
      </c>
      <c r="G19" s="14">
        <v>5</v>
      </c>
      <c r="H19" s="14">
        <v>4</v>
      </c>
      <c r="I19" s="14" t="s">
        <v>74</v>
      </c>
      <c r="J19" s="14">
        <v>4</v>
      </c>
      <c r="K19" s="14" t="s">
        <v>74</v>
      </c>
      <c r="L19" s="14" t="s">
        <v>74</v>
      </c>
      <c r="M19" s="14" t="s">
        <v>74</v>
      </c>
      <c r="N19" s="14">
        <v>4</v>
      </c>
      <c r="O19" s="14">
        <v>4</v>
      </c>
      <c r="P19" s="14">
        <v>4</v>
      </c>
      <c r="Q19" s="29">
        <v>4</v>
      </c>
      <c r="R19" s="15">
        <v>4</v>
      </c>
      <c r="S19" s="19" t="str">
        <f t="shared" si="0"/>
        <v>-</v>
      </c>
    </row>
    <row r="20" spans="1:19" ht="15" customHeight="1" x14ac:dyDescent="0.25">
      <c r="A20" s="11" t="s">
        <v>19</v>
      </c>
      <c r="B20" s="12">
        <v>10</v>
      </c>
      <c r="C20" s="13" t="s">
        <v>30</v>
      </c>
      <c r="D20" s="30">
        <v>10</v>
      </c>
      <c r="E20" s="14">
        <v>10</v>
      </c>
      <c r="F20" s="14">
        <v>10</v>
      </c>
      <c r="G20" s="14">
        <v>9</v>
      </c>
      <c r="H20" s="14">
        <v>8</v>
      </c>
      <c r="I20" s="14">
        <v>10</v>
      </c>
      <c r="J20" s="14">
        <v>8</v>
      </c>
      <c r="K20" s="14">
        <v>9</v>
      </c>
      <c r="L20" s="14">
        <v>7</v>
      </c>
      <c r="M20" s="14">
        <v>8</v>
      </c>
      <c r="N20" s="14">
        <v>10</v>
      </c>
      <c r="O20" s="14">
        <v>10</v>
      </c>
      <c r="P20" s="14">
        <v>8</v>
      </c>
      <c r="Q20" s="29">
        <v>10</v>
      </c>
      <c r="R20" s="15">
        <v>10</v>
      </c>
      <c r="S20" s="19">
        <f t="shared" si="0"/>
        <v>9.1333333333333329</v>
      </c>
    </row>
    <row r="21" spans="1:19" ht="15" customHeight="1" x14ac:dyDescent="0.25">
      <c r="A21" s="11" t="s">
        <v>25</v>
      </c>
      <c r="B21" s="12">
        <v>11</v>
      </c>
      <c r="C21" s="13" t="s">
        <v>31</v>
      </c>
      <c r="D21" s="30">
        <v>5</v>
      </c>
      <c r="E21" s="14">
        <v>8</v>
      </c>
      <c r="F21" s="14">
        <v>6</v>
      </c>
      <c r="G21" s="14">
        <v>8</v>
      </c>
      <c r="H21" s="14">
        <v>7</v>
      </c>
      <c r="I21" s="14">
        <v>7</v>
      </c>
      <c r="J21" s="14">
        <v>8</v>
      </c>
      <c r="K21" s="14">
        <v>6</v>
      </c>
      <c r="L21" s="14">
        <v>7</v>
      </c>
      <c r="M21" s="14">
        <v>4</v>
      </c>
      <c r="N21" s="14">
        <v>9</v>
      </c>
      <c r="O21" s="14">
        <v>8</v>
      </c>
      <c r="P21" s="14">
        <v>6</v>
      </c>
      <c r="Q21" s="29">
        <v>8</v>
      </c>
      <c r="R21" s="15">
        <v>8</v>
      </c>
      <c r="S21" s="19">
        <f t="shared" si="0"/>
        <v>7</v>
      </c>
    </row>
    <row r="22" spans="1:19" ht="15" customHeight="1" x14ac:dyDescent="0.25">
      <c r="A22" s="11" t="s">
        <v>19</v>
      </c>
      <c r="B22" s="12">
        <v>12</v>
      </c>
      <c r="C22" s="13" t="s">
        <v>32</v>
      </c>
      <c r="D22" s="15">
        <v>6</v>
      </c>
      <c r="E22" s="15">
        <v>8</v>
      </c>
      <c r="F22" s="15">
        <v>9</v>
      </c>
      <c r="G22" s="15">
        <v>7</v>
      </c>
      <c r="H22" s="15">
        <v>4</v>
      </c>
      <c r="I22" s="15">
        <v>8</v>
      </c>
      <c r="J22" s="15">
        <v>7</v>
      </c>
      <c r="K22" s="15">
        <v>5</v>
      </c>
      <c r="L22" s="15">
        <v>7</v>
      </c>
      <c r="M22" s="15">
        <v>4</v>
      </c>
      <c r="N22" s="15" t="s">
        <v>74</v>
      </c>
      <c r="O22" s="15" t="s">
        <v>74</v>
      </c>
      <c r="P22" s="15">
        <v>5</v>
      </c>
      <c r="Q22" s="16">
        <v>6</v>
      </c>
      <c r="R22" s="15">
        <v>5</v>
      </c>
      <c r="S22" s="19" t="str">
        <f t="shared" si="0"/>
        <v>-</v>
      </c>
    </row>
    <row r="23" spans="1:19" ht="15" customHeight="1" x14ac:dyDescent="0.25">
      <c r="A23" s="11" t="s">
        <v>19</v>
      </c>
      <c r="B23" s="12">
        <v>13</v>
      </c>
      <c r="C23" s="13" t="s">
        <v>33</v>
      </c>
      <c r="D23" s="30">
        <v>10</v>
      </c>
      <c r="E23" s="14">
        <v>9</v>
      </c>
      <c r="F23" s="14">
        <v>10</v>
      </c>
      <c r="G23" s="14">
        <v>10</v>
      </c>
      <c r="H23" s="14">
        <v>9</v>
      </c>
      <c r="I23" s="14">
        <v>10</v>
      </c>
      <c r="J23" s="14">
        <v>8</v>
      </c>
      <c r="K23" s="14">
        <v>10</v>
      </c>
      <c r="L23" s="14">
        <v>8</v>
      </c>
      <c r="M23" s="14">
        <v>8</v>
      </c>
      <c r="N23" s="14">
        <v>10</v>
      </c>
      <c r="O23" s="14">
        <v>10</v>
      </c>
      <c r="P23" s="14">
        <v>8</v>
      </c>
      <c r="Q23" s="29">
        <v>11</v>
      </c>
      <c r="R23" s="15">
        <v>10</v>
      </c>
      <c r="S23" s="19">
        <f t="shared" si="0"/>
        <v>9.4</v>
      </c>
    </row>
    <row r="24" spans="1:19" ht="15" customHeight="1" x14ac:dyDescent="0.25">
      <c r="A24" s="11" t="s">
        <v>19</v>
      </c>
      <c r="B24" s="12">
        <v>14</v>
      </c>
      <c r="C24" s="13" t="s">
        <v>34</v>
      </c>
      <c r="D24" s="15">
        <v>9</v>
      </c>
      <c r="E24" s="15">
        <v>8</v>
      </c>
      <c r="F24" s="15">
        <v>10</v>
      </c>
      <c r="G24" s="15">
        <v>10</v>
      </c>
      <c r="H24" s="15">
        <v>5</v>
      </c>
      <c r="I24" s="15">
        <v>10</v>
      </c>
      <c r="J24" s="15">
        <v>9</v>
      </c>
      <c r="K24" s="15">
        <v>9</v>
      </c>
      <c r="L24" s="15">
        <v>8</v>
      </c>
      <c r="M24" s="15" t="s">
        <v>74</v>
      </c>
      <c r="N24" s="15">
        <v>8</v>
      </c>
      <c r="O24" s="15">
        <v>9</v>
      </c>
      <c r="P24" s="15">
        <v>8</v>
      </c>
      <c r="Q24" s="16">
        <v>9</v>
      </c>
      <c r="R24" s="15">
        <v>9</v>
      </c>
      <c r="S24" s="19" t="str">
        <f t="shared" si="0"/>
        <v>-</v>
      </c>
    </row>
    <row r="25" spans="1:19" ht="15" customHeight="1" x14ac:dyDescent="0.25">
      <c r="A25" s="11" t="s">
        <v>19</v>
      </c>
      <c r="B25" s="12">
        <v>15</v>
      </c>
      <c r="C25" s="13" t="s">
        <v>35</v>
      </c>
      <c r="D25" s="30">
        <v>10</v>
      </c>
      <c r="E25" s="14">
        <v>10</v>
      </c>
      <c r="F25" s="14">
        <v>10</v>
      </c>
      <c r="G25" s="14">
        <v>10</v>
      </c>
      <c r="H25" s="14">
        <v>10</v>
      </c>
      <c r="I25" s="14">
        <v>11</v>
      </c>
      <c r="J25" s="14">
        <v>10</v>
      </c>
      <c r="K25" s="14">
        <v>10</v>
      </c>
      <c r="L25" s="14">
        <v>10</v>
      </c>
      <c r="M25" s="14">
        <v>10</v>
      </c>
      <c r="N25" s="14">
        <v>10</v>
      </c>
      <c r="O25" s="14">
        <v>10</v>
      </c>
      <c r="P25" s="14">
        <v>10</v>
      </c>
      <c r="Q25" s="29">
        <v>11</v>
      </c>
      <c r="R25" s="15">
        <v>11</v>
      </c>
      <c r="S25" s="19">
        <f t="shared" si="0"/>
        <v>10.199999999999999</v>
      </c>
    </row>
    <row r="26" spans="1:19" ht="15" customHeight="1" x14ac:dyDescent="0.25">
      <c r="A26" s="11" t="s">
        <v>25</v>
      </c>
      <c r="B26" s="12">
        <v>16</v>
      </c>
      <c r="C26" s="13" t="s">
        <v>36</v>
      </c>
      <c r="D26" s="30">
        <v>4</v>
      </c>
      <c r="E26" s="14">
        <v>8</v>
      </c>
      <c r="F26" s="14">
        <v>10</v>
      </c>
      <c r="G26" s="14">
        <v>7</v>
      </c>
      <c r="H26" s="14">
        <v>4</v>
      </c>
      <c r="I26" s="14">
        <v>4</v>
      </c>
      <c r="J26" s="14">
        <v>8</v>
      </c>
      <c r="K26" s="14">
        <v>7</v>
      </c>
      <c r="L26" s="14">
        <v>6</v>
      </c>
      <c r="M26" s="14">
        <v>4</v>
      </c>
      <c r="N26" s="14">
        <v>6</v>
      </c>
      <c r="O26" s="14">
        <v>6</v>
      </c>
      <c r="P26" s="14">
        <v>6</v>
      </c>
      <c r="Q26" s="29">
        <v>8</v>
      </c>
      <c r="R26" s="15">
        <v>6</v>
      </c>
      <c r="S26" s="19">
        <f t="shared" si="0"/>
        <v>6.2666666666666666</v>
      </c>
    </row>
    <row r="27" spans="1:19" ht="15" customHeight="1" x14ac:dyDescent="0.25">
      <c r="A27" s="11" t="s">
        <v>25</v>
      </c>
      <c r="B27" s="12">
        <v>17</v>
      </c>
      <c r="C27" s="13" t="s">
        <v>37</v>
      </c>
      <c r="D27" s="30">
        <v>8</v>
      </c>
      <c r="E27" s="14">
        <v>6</v>
      </c>
      <c r="F27" s="14">
        <v>7</v>
      </c>
      <c r="G27" s="14">
        <v>7</v>
      </c>
      <c r="H27" s="14">
        <v>5</v>
      </c>
      <c r="I27" s="14">
        <v>4</v>
      </c>
      <c r="J27" s="14">
        <v>5</v>
      </c>
      <c r="K27" s="14">
        <v>6</v>
      </c>
      <c r="L27" s="14">
        <v>6</v>
      </c>
      <c r="M27" s="14" t="s">
        <v>74</v>
      </c>
      <c r="N27" s="14">
        <v>5</v>
      </c>
      <c r="O27" s="14">
        <v>5</v>
      </c>
      <c r="P27" s="14">
        <v>8</v>
      </c>
      <c r="Q27" s="29">
        <v>8</v>
      </c>
      <c r="R27" s="15">
        <v>6</v>
      </c>
      <c r="S27" s="19" t="str">
        <f t="shared" si="0"/>
        <v>-</v>
      </c>
    </row>
    <row r="28" spans="1:19" ht="15" customHeight="1" x14ac:dyDescent="0.25">
      <c r="A28" s="11" t="s">
        <v>19</v>
      </c>
      <c r="B28" s="12">
        <v>18</v>
      </c>
      <c r="C28" s="13" t="s">
        <v>38</v>
      </c>
      <c r="D28" s="30">
        <v>10</v>
      </c>
      <c r="E28" s="14">
        <v>10</v>
      </c>
      <c r="F28" s="14">
        <v>10</v>
      </c>
      <c r="G28" s="14">
        <v>10</v>
      </c>
      <c r="H28" s="14">
        <v>9</v>
      </c>
      <c r="I28" s="14">
        <v>10</v>
      </c>
      <c r="J28" s="14">
        <v>9</v>
      </c>
      <c r="K28" s="14">
        <v>9</v>
      </c>
      <c r="L28" s="14">
        <v>8</v>
      </c>
      <c r="M28" s="14">
        <v>8</v>
      </c>
      <c r="N28" s="14">
        <v>10</v>
      </c>
      <c r="O28" s="14">
        <v>10</v>
      </c>
      <c r="P28" s="14">
        <v>9</v>
      </c>
      <c r="Q28" s="29">
        <v>9</v>
      </c>
      <c r="R28" s="15">
        <v>9</v>
      </c>
      <c r="S28" s="19">
        <f t="shared" si="0"/>
        <v>9.3333333333333339</v>
      </c>
    </row>
    <row r="29" spans="1:19" ht="15" customHeight="1" x14ac:dyDescent="0.25">
      <c r="A29" s="11" t="s">
        <v>19</v>
      </c>
      <c r="B29" s="12">
        <v>19</v>
      </c>
      <c r="C29" s="13" t="s">
        <v>39</v>
      </c>
      <c r="D29" s="15">
        <v>8</v>
      </c>
      <c r="E29" s="15">
        <v>8</v>
      </c>
      <c r="F29" s="15">
        <v>7</v>
      </c>
      <c r="G29" s="15">
        <v>10</v>
      </c>
      <c r="H29" s="15">
        <v>7</v>
      </c>
      <c r="I29" s="15">
        <v>9</v>
      </c>
      <c r="J29" s="15">
        <v>10</v>
      </c>
      <c r="K29" s="15">
        <v>9</v>
      </c>
      <c r="L29" s="15">
        <v>7</v>
      </c>
      <c r="M29" s="15">
        <v>5</v>
      </c>
      <c r="N29" s="15">
        <v>7</v>
      </c>
      <c r="O29" s="15">
        <v>7</v>
      </c>
      <c r="P29" s="15">
        <v>8</v>
      </c>
      <c r="Q29" s="16">
        <v>9</v>
      </c>
      <c r="R29" s="15">
        <v>8</v>
      </c>
      <c r="S29" s="19">
        <f t="shared" si="0"/>
        <v>7.9333333333333336</v>
      </c>
    </row>
    <row r="30" spans="1:19" ht="15" customHeight="1" x14ac:dyDescent="0.25">
      <c r="A30" s="11" t="s">
        <v>25</v>
      </c>
      <c r="B30" s="12">
        <v>20</v>
      </c>
      <c r="C30" s="13" t="s">
        <v>40</v>
      </c>
      <c r="D30" s="30">
        <v>4</v>
      </c>
      <c r="E30" s="14">
        <v>4</v>
      </c>
      <c r="F30" s="14">
        <v>9</v>
      </c>
      <c r="G30" s="14">
        <v>6</v>
      </c>
      <c r="H30" s="14">
        <v>7</v>
      </c>
      <c r="I30" s="14">
        <v>4</v>
      </c>
      <c r="J30" s="14">
        <v>5</v>
      </c>
      <c r="K30" s="14">
        <v>5</v>
      </c>
      <c r="L30" s="14">
        <v>5</v>
      </c>
      <c r="M30" s="14">
        <v>4</v>
      </c>
      <c r="N30" s="14">
        <v>6</v>
      </c>
      <c r="O30" s="14">
        <v>6</v>
      </c>
      <c r="P30" s="14">
        <v>6</v>
      </c>
      <c r="Q30" s="29">
        <v>8</v>
      </c>
      <c r="R30" s="15">
        <v>7</v>
      </c>
      <c r="S30" s="19">
        <f t="shared" si="0"/>
        <v>5.7333333333333334</v>
      </c>
    </row>
    <row r="31" spans="1:19" ht="15" customHeight="1" x14ac:dyDescent="0.25">
      <c r="A31" s="11" t="s">
        <v>25</v>
      </c>
      <c r="B31" s="12">
        <v>21</v>
      </c>
      <c r="C31" s="13" t="s">
        <v>41</v>
      </c>
      <c r="D31" s="30">
        <v>4</v>
      </c>
      <c r="E31" s="14">
        <v>4</v>
      </c>
      <c r="F31" s="14">
        <v>8</v>
      </c>
      <c r="G31" s="14">
        <v>7</v>
      </c>
      <c r="H31" s="14">
        <v>4</v>
      </c>
      <c r="I31" s="14" t="s">
        <v>74</v>
      </c>
      <c r="J31" s="14">
        <v>4</v>
      </c>
      <c r="K31" s="14">
        <v>5</v>
      </c>
      <c r="L31" s="14">
        <v>6</v>
      </c>
      <c r="M31" s="14" t="s">
        <v>74</v>
      </c>
      <c r="N31" s="14">
        <v>8</v>
      </c>
      <c r="O31" s="14">
        <v>8</v>
      </c>
      <c r="P31" s="14">
        <v>4</v>
      </c>
      <c r="Q31" s="29">
        <v>6</v>
      </c>
      <c r="R31" s="15">
        <v>5</v>
      </c>
      <c r="S31" s="19" t="str">
        <f t="shared" si="0"/>
        <v>-</v>
      </c>
    </row>
    <row r="32" spans="1:19" ht="15" customHeight="1" x14ac:dyDescent="0.25">
      <c r="A32" s="11" t="s">
        <v>19</v>
      </c>
      <c r="B32" s="12">
        <v>22</v>
      </c>
      <c r="C32" s="13" t="s">
        <v>42</v>
      </c>
      <c r="D32" s="30" t="s">
        <v>74</v>
      </c>
      <c r="E32" s="14">
        <v>4</v>
      </c>
      <c r="F32" s="14">
        <v>8</v>
      </c>
      <c r="G32" s="14">
        <v>6</v>
      </c>
      <c r="H32" s="14">
        <v>4</v>
      </c>
      <c r="I32" s="14">
        <v>4</v>
      </c>
      <c r="J32" s="14">
        <v>4</v>
      </c>
      <c r="K32" s="14" t="s">
        <v>74</v>
      </c>
      <c r="L32" s="14">
        <v>4</v>
      </c>
      <c r="M32" s="14" t="s">
        <v>74</v>
      </c>
      <c r="N32" s="14">
        <v>6</v>
      </c>
      <c r="O32" s="14">
        <v>4</v>
      </c>
      <c r="P32" s="14">
        <v>4</v>
      </c>
      <c r="Q32" s="29">
        <v>4</v>
      </c>
      <c r="R32" s="15">
        <v>5</v>
      </c>
      <c r="S32" s="19" t="str">
        <f t="shared" si="0"/>
        <v>-</v>
      </c>
    </row>
    <row r="33" spans="1:22" ht="15" customHeight="1" x14ac:dyDescent="0.25">
      <c r="A33" s="11" t="s">
        <v>25</v>
      </c>
      <c r="B33" s="12">
        <v>23</v>
      </c>
      <c r="C33" s="13" t="s">
        <v>43</v>
      </c>
      <c r="D33" s="30">
        <v>4</v>
      </c>
      <c r="E33" s="14">
        <v>4</v>
      </c>
      <c r="F33" s="14">
        <v>6</v>
      </c>
      <c r="G33" s="14">
        <v>6</v>
      </c>
      <c r="H33" s="14">
        <v>4</v>
      </c>
      <c r="I33" s="14" t="s">
        <v>74</v>
      </c>
      <c r="J33" s="14">
        <v>4</v>
      </c>
      <c r="K33" s="14">
        <v>6</v>
      </c>
      <c r="L33" s="14" t="s">
        <v>74</v>
      </c>
      <c r="M33" s="14" t="s">
        <v>74</v>
      </c>
      <c r="N33" s="14">
        <v>4</v>
      </c>
      <c r="O33" s="14" t="s">
        <v>74</v>
      </c>
      <c r="P33" s="14">
        <v>5</v>
      </c>
      <c r="Q33" s="29">
        <v>4</v>
      </c>
      <c r="R33" s="15">
        <v>5</v>
      </c>
      <c r="S33" s="19" t="str">
        <f t="shared" si="0"/>
        <v>-</v>
      </c>
    </row>
    <row r="34" spans="1:22" ht="15" customHeight="1" x14ac:dyDescent="0.25">
      <c r="A34" s="11" t="s">
        <v>19</v>
      </c>
      <c r="B34" s="12">
        <v>24</v>
      </c>
      <c r="C34" s="13" t="s">
        <v>44</v>
      </c>
      <c r="D34" s="15">
        <v>4</v>
      </c>
      <c r="E34" s="15">
        <v>6</v>
      </c>
      <c r="F34" s="15">
        <v>10</v>
      </c>
      <c r="G34" s="15">
        <v>8</v>
      </c>
      <c r="H34" s="15">
        <v>4</v>
      </c>
      <c r="I34" s="15">
        <v>8</v>
      </c>
      <c r="J34" s="15">
        <v>4</v>
      </c>
      <c r="K34" s="15" t="s">
        <v>74</v>
      </c>
      <c r="L34" s="15">
        <v>4</v>
      </c>
      <c r="M34" s="15" t="s">
        <v>74</v>
      </c>
      <c r="N34" s="15">
        <v>6</v>
      </c>
      <c r="O34" s="15">
        <v>4</v>
      </c>
      <c r="P34" s="15">
        <v>4</v>
      </c>
      <c r="Q34" s="16">
        <v>4</v>
      </c>
      <c r="R34" s="15">
        <v>5</v>
      </c>
      <c r="S34" s="19" t="str">
        <f t="shared" si="0"/>
        <v>-</v>
      </c>
    </row>
    <row r="35" spans="1:22" ht="15.75" customHeight="1" x14ac:dyDescent="0.25">
      <c r="A35" s="11" t="s">
        <v>19</v>
      </c>
      <c r="B35" s="12">
        <v>25</v>
      </c>
      <c r="C35" s="13" t="s">
        <v>45</v>
      </c>
      <c r="D35" s="30">
        <v>10</v>
      </c>
      <c r="E35" s="14">
        <v>9</v>
      </c>
      <c r="F35" s="14">
        <v>10</v>
      </c>
      <c r="G35" s="14">
        <v>9</v>
      </c>
      <c r="H35" s="14">
        <v>8</v>
      </c>
      <c r="I35" s="14">
        <v>10</v>
      </c>
      <c r="J35" s="14">
        <v>8</v>
      </c>
      <c r="K35" s="14">
        <v>10</v>
      </c>
      <c r="L35" s="14">
        <v>7</v>
      </c>
      <c r="M35" s="14">
        <v>8</v>
      </c>
      <c r="N35" s="14">
        <v>10</v>
      </c>
      <c r="O35" s="14">
        <v>10</v>
      </c>
      <c r="P35" s="14">
        <v>8</v>
      </c>
      <c r="Q35" s="29">
        <v>10</v>
      </c>
      <c r="R35" s="15">
        <v>9</v>
      </c>
      <c r="S35" s="19">
        <f t="shared" si="0"/>
        <v>9.0666666666666664</v>
      </c>
    </row>
    <row r="36" spans="1:22" ht="15.75" customHeight="1" x14ac:dyDescent="0.25">
      <c r="A36" s="11" t="s">
        <v>19</v>
      </c>
      <c r="B36" s="12">
        <v>26</v>
      </c>
      <c r="C36" s="13" t="s">
        <v>46</v>
      </c>
      <c r="D36" s="15">
        <v>6</v>
      </c>
      <c r="E36" s="15">
        <v>8</v>
      </c>
      <c r="F36" s="15">
        <v>9</v>
      </c>
      <c r="G36" s="15">
        <v>8</v>
      </c>
      <c r="H36" s="15">
        <v>5</v>
      </c>
      <c r="I36" s="15">
        <v>8</v>
      </c>
      <c r="J36" s="15">
        <v>6</v>
      </c>
      <c r="K36" s="15">
        <v>9</v>
      </c>
      <c r="L36" s="15">
        <v>7</v>
      </c>
      <c r="M36" s="15">
        <v>4</v>
      </c>
      <c r="N36" s="15">
        <v>8</v>
      </c>
      <c r="O36" s="15">
        <v>8</v>
      </c>
      <c r="P36" s="15">
        <v>8</v>
      </c>
      <c r="Q36" s="16">
        <v>8</v>
      </c>
      <c r="R36" s="15">
        <v>6</v>
      </c>
      <c r="S36" s="19">
        <f t="shared" si="0"/>
        <v>7.2</v>
      </c>
    </row>
    <row r="37" spans="1:22" ht="15.75" customHeight="1" x14ac:dyDescent="0.25">
      <c r="A37" s="11" t="s">
        <v>25</v>
      </c>
      <c r="B37" s="12">
        <v>27</v>
      </c>
      <c r="C37" s="13" t="s">
        <v>47</v>
      </c>
      <c r="D37" s="30" t="s">
        <v>74</v>
      </c>
      <c r="E37" s="14">
        <v>4</v>
      </c>
      <c r="F37" s="14">
        <v>6</v>
      </c>
      <c r="G37" s="14">
        <v>5</v>
      </c>
      <c r="H37" s="14">
        <v>4</v>
      </c>
      <c r="I37" s="14" t="s">
        <v>74</v>
      </c>
      <c r="J37" s="14">
        <v>7</v>
      </c>
      <c r="K37" s="14" t="s">
        <v>74</v>
      </c>
      <c r="L37" s="14">
        <v>4</v>
      </c>
      <c r="M37" s="14" t="s">
        <v>74</v>
      </c>
      <c r="N37" s="14" t="s">
        <v>74</v>
      </c>
      <c r="O37" s="14" t="s">
        <v>74</v>
      </c>
      <c r="P37" s="14">
        <v>4</v>
      </c>
      <c r="Q37" s="29">
        <v>6</v>
      </c>
      <c r="R37" s="15">
        <v>4</v>
      </c>
      <c r="S37" s="19" t="str">
        <f t="shared" si="0"/>
        <v>-</v>
      </c>
    </row>
    <row r="38" spans="1:22" ht="15.75" customHeight="1" x14ac:dyDescent="0.25">
      <c r="A38" s="11" t="s">
        <v>19</v>
      </c>
      <c r="B38" s="12">
        <v>28</v>
      </c>
      <c r="C38" s="13" t="s">
        <v>48</v>
      </c>
      <c r="D38" s="30">
        <v>10</v>
      </c>
      <c r="E38" s="14">
        <v>9</v>
      </c>
      <c r="F38" s="14">
        <v>10</v>
      </c>
      <c r="G38" s="14">
        <v>10</v>
      </c>
      <c r="H38" s="14">
        <v>9</v>
      </c>
      <c r="I38" s="14">
        <v>10</v>
      </c>
      <c r="J38" s="14">
        <v>8</v>
      </c>
      <c r="K38" s="14">
        <v>10</v>
      </c>
      <c r="L38" s="14">
        <v>8</v>
      </c>
      <c r="M38" s="14">
        <v>9</v>
      </c>
      <c r="N38" s="14">
        <v>10</v>
      </c>
      <c r="O38" s="14">
        <v>10</v>
      </c>
      <c r="P38" s="14">
        <v>8</v>
      </c>
      <c r="Q38" s="29">
        <v>11</v>
      </c>
      <c r="R38" s="15">
        <v>10</v>
      </c>
      <c r="S38" s="19">
        <f t="shared" si="0"/>
        <v>9.4666666666666668</v>
      </c>
    </row>
    <row r="39" spans="1:22" ht="15.75" customHeight="1" x14ac:dyDescent="0.25">
      <c r="A39" s="11" t="s">
        <v>25</v>
      </c>
      <c r="B39" s="12">
        <v>29</v>
      </c>
      <c r="C39" s="13" t="s">
        <v>49</v>
      </c>
      <c r="D39" s="30">
        <v>4</v>
      </c>
      <c r="E39" s="14">
        <v>4</v>
      </c>
      <c r="F39" s="14">
        <v>8</v>
      </c>
      <c r="G39" s="14">
        <v>5</v>
      </c>
      <c r="H39" s="14">
        <v>4</v>
      </c>
      <c r="I39" s="14">
        <v>8</v>
      </c>
      <c r="J39" s="14">
        <v>4</v>
      </c>
      <c r="K39" s="14">
        <v>4</v>
      </c>
      <c r="L39" s="14">
        <v>6</v>
      </c>
      <c r="M39" s="14" t="s">
        <v>74</v>
      </c>
      <c r="N39" s="14">
        <v>8</v>
      </c>
      <c r="O39" s="14">
        <v>8</v>
      </c>
      <c r="P39" s="14">
        <v>4</v>
      </c>
      <c r="Q39" s="29">
        <v>8</v>
      </c>
      <c r="R39" s="15">
        <v>4</v>
      </c>
      <c r="S39" s="19" t="str">
        <f t="shared" si="0"/>
        <v>-</v>
      </c>
    </row>
    <row r="40" spans="1:22" ht="15.75" customHeight="1" x14ac:dyDescent="0.25">
      <c r="C40" s="20" t="s">
        <v>50</v>
      </c>
      <c r="D40" s="21">
        <f>SUM(D11:D39)/B39</f>
        <v>6.0344827586206895</v>
      </c>
      <c r="E40" s="21">
        <f>SUM(E11:E39)/B39</f>
        <v>7</v>
      </c>
      <c r="F40" s="21">
        <f>SUM(F11:F39)/B39</f>
        <v>8.7931034482758612</v>
      </c>
      <c r="G40" s="21">
        <f>SUM(G11:G39)/B39</f>
        <v>7.8275862068965516</v>
      </c>
      <c r="H40" s="21">
        <f>SUM(H11:H39)/B39</f>
        <v>6.3448275862068968</v>
      </c>
      <c r="I40" s="21">
        <f>SUM(I11:I39)/B39</f>
        <v>6.4827586206896548</v>
      </c>
      <c r="J40" s="21">
        <f>SUM(J11:J39)/B39</f>
        <v>6.931034482758621</v>
      </c>
      <c r="K40" s="21">
        <f>SUM(K11:K39)/B39</f>
        <v>6.6551724137931032</v>
      </c>
      <c r="L40" s="21">
        <f>SUM(L11:L39)/B39</f>
        <v>6.068965517241379</v>
      </c>
      <c r="M40" s="21">
        <f>SUM(M11:M39)/B39</f>
        <v>4.1379310344827589</v>
      </c>
      <c r="N40" s="21">
        <f>SUM(N11:N39)/B39</f>
        <v>7</v>
      </c>
      <c r="O40" s="21">
        <f>SUM(O11:O39)/B39</f>
        <v>6.6551724137931032</v>
      </c>
      <c r="P40" s="21">
        <f>SUM(P11:P39)/B39</f>
        <v>6.931034482758621</v>
      </c>
      <c r="Q40" s="21">
        <f>SUM(Q11:Q39)/B39</f>
        <v>7.7241379310344831</v>
      </c>
      <c r="R40" s="21">
        <f>SUM(R11:R39)/B39</f>
        <v>7.1724137931034484</v>
      </c>
      <c r="S40" s="19">
        <f t="shared" si="0"/>
        <v>6.78390804597701</v>
      </c>
    </row>
    <row r="41" spans="1:22" ht="15.75" customHeight="1" x14ac:dyDescent="0.25">
      <c r="C41" s="13" t="s">
        <v>51</v>
      </c>
      <c r="D41" s="22">
        <f>(COUNT(D11:D39))/B39*100</f>
        <v>82.758620689655174</v>
      </c>
      <c r="E41" s="22">
        <f>(COUNT(E11:E39))/B39*100</f>
        <v>100</v>
      </c>
      <c r="F41" s="22">
        <f>(COUNT(F11:F39))/B39*100</f>
        <v>100</v>
      </c>
      <c r="G41" s="22">
        <f>(COUNT(G11:G39))/B39*100</f>
        <v>100</v>
      </c>
      <c r="H41" s="22">
        <f>(COUNT(H11:H39))/B39*100</f>
        <v>100</v>
      </c>
      <c r="I41" s="22">
        <f>(COUNT(I11:I39))/B39*100</f>
        <v>79.310344827586206</v>
      </c>
      <c r="J41" s="22">
        <f>(COUNT(J11:J39))/B39*100</f>
        <v>100</v>
      </c>
      <c r="K41" s="22">
        <f>(COUNT(K11:K39))/B39*100</f>
        <v>86.206896551724128</v>
      </c>
      <c r="L41" s="22">
        <f>(COUNT(L11:L39))/B39*100</f>
        <v>89.65517241379311</v>
      </c>
      <c r="M41" s="22">
        <f>(COUNT(M11:M39))/B39*100</f>
        <v>62.068965517241381</v>
      </c>
      <c r="N41" s="22">
        <f>(COUNT(N11:N39))/B39*100</f>
        <v>89.65517241379311</v>
      </c>
      <c r="O41" s="22">
        <f>(COUNT(O11:O39))/B39*100</f>
        <v>86.206896551724128</v>
      </c>
      <c r="P41" s="22">
        <f>(COUNT(P11:P39))/B39*100</f>
        <v>100</v>
      </c>
      <c r="Q41" s="22">
        <f>(COUNT(Q11:Q39))/B39*100</f>
        <v>100</v>
      </c>
      <c r="R41" s="23">
        <f>(COUNT(R11:R39))/B39*100</f>
        <v>100</v>
      </c>
      <c r="S41" s="24"/>
      <c r="T41" s="24"/>
      <c r="U41" s="24"/>
      <c r="V41" s="24"/>
    </row>
    <row r="42" spans="1:22" ht="15.75" customHeight="1" x14ac:dyDescent="0.25">
      <c r="C42" s="25" t="s">
        <v>52</v>
      </c>
      <c r="D42" s="26">
        <f>(COUNTIF(D11:D39,"&gt;=7"))/B39*100</f>
        <v>48.275862068965516</v>
      </c>
      <c r="E42" s="26">
        <f>(COUNTIF(E11:E39,"&gt;=7"))/B39*100</f>
        <v>58.620689655172406</v>
      </c>
      <c r="F42" s="26">
        <f>(COUNTIF(F11:F39,"&gt;=7"))/B39*100</f>
        <v>86.206896551724128</v>
      </c>
      <c r="G42" s="26">
        <f>(COUNTIF(G11:G39,"&gt;=7"))/B39*100</f>
        <v>72.41379310344827</v>
      </c>
      <c r="H42" s="26">
        <f>(COUNTIF(H11:H39,"&gt;=7"))/B39*100</f>
        <v>44.827586206896555</v>
      </c>
      <c r="I42" s="26">
        <f>(COUNTIF(I11:I39,"&gt;=7"))/B39*100</f>
        <v>62.068965517241381</v>
      </c>
      <c r="J42" s="26">
        <f>(COUNTIF(J11:J39,"&gt;=7"))/B39*100</f>
        <v>58.620689655172406</v>
      </c>
      <c r="K42" s="26">
        <f>(COUNTIF(K11:K39,"&gt;=7"))/B39*100</f>
        <v>58.620689655172406</v>
      </c>
      <c r="L42" s="26">
        <f>(COUNTIF(L11:L39,"&gt;=7"))/B39*100</f>
        <v>55.172413793103445</v>
      </c>
      <c r="M42" s="26">
        <f>(COUNTIF(M11:M39,"&gt;=7"))/B39*100</f>
        <v>34.482758620689658</v>
      </c>
      <c r="N42" s="26">
        <f>(COUNTIF(N11:N39,"&gt;=7"))/B39*100</f>
        <v>58.620689655172406</v>
      </c>
      <c r="O42" s="26">
        <f>(COUNTIF(O11:O39,"&gt;=7"))/B39*100</f>
        <v>58.620689655172406</v>
      </c>
      <c r="P42" s="26">
        <f>(COUNTIF(P11:P39,"&gt;=7"))/B39*100</f>
        <v>55.172413793103445</v>
      </c>
      <c r="Q42" s="26">
        <f>(COUNTIF(Q11:Q39,"&gt;=7"))/B39*100</f>
        <v>65.517241379310349</v>
      </c>
      <c r="R42" s="27">
        <f>(COUNTIF(R11:R39,"&gt;=7"))/B39*100</f>
        <v>55.172413793103445</v>
      </c>
      <c r="S42" s="24"/>
      <c r="T42" s="24"/>
      <c r="U42" s="24"/>
      <c r="V42" s="24"/>
    </row>
    <row r="43" spans="1:22" ht="15.75" customHeight="1" x14ac:dyDescent="0.25">
      <c r="C43" s="25" t="s">
        <v>53</v>
      </c>
      <c r="D43" s="21">
        <f>AVERAGE(D41:R41)</f>
        <v>91.724137931034491</v>
      </c>
      <c r="S43" s="24"/>
      <c r="T43" s="24"/>
      <c r="U43" s="24"/>
      <c r="V43" s="24"/>
    </row>
    <row r="44" spans="1:22" ht="15.75" customHeight="1" x14ac:dyDescent="0.25">
      <c r="C44" s="25" t="s">
        <v>54</v>
      </c>
      <c r="D44" s="21">
        <f>AVERAGE(D42:R42)</f>
        <v>58.160919540229891</v>
      </c>
      <c r="S44" s="24"/>
      <c r="T44" s="24"/>
      <c r="U44" s="24"/>
      <c r="V44" s="24"/>
    </row>
    <row r="45" spans="1:22" ht="15.75" customHeight="1" x14ac:dyDescent="0.25">
      <c r="C45" s="25" t="s">
        <v>55</v>
      </c>
      <c r="D45" s="28">
        <f>COUNTIF(A11:A39,"=Б")</f>
        <v>19</v>
      </c>
      <c r="S45" s="24"/>
      <c r="T45" s="24"/>
      <c r="U45" s="24"/>
      <c r="V45" s="24"/>
    </row>
    <row r="46" spans="1:22" ht="15.75" customHeight="1" x14ac:dyDescent="0.25">
      <c r="C46" s="25" t="s">
        <v>56</v>
      </c>
      <c r="D46" s="28">
        <f>COUNTIF(A11:A39,"=К")</f>
        <v>10</v>
      </c>
      <c r="G46" s="18" t="s">
        <v>59</v>
      </c>
      <c r="N46" s="18" t="s">
        <v>60</v>
      </c>
    </row>
    <row r="47" spans="1:22" ht="15.75" customHeight="1" x14ac:dyDescent="0.25">
      <c r="C47" s="25" t="s">
        <v>57</v>
      </c>
      <c r="D47" s="28">
        <v>2</v>
      </c>
    </row>
    <row r="48" spans="1:22" ht="15.75" customHeight="1" x14ac:dyDescent="0.25">
      <c r="C48" s="25" t="s">
        <v>58</v>
      </c>
      <c r="D48" s="28">
        <f>'Рейтингова відомість'!D27</f>
        <v>7</v>
      </c>
      <c r="G48" s="18" t="s">
        <v>61</v>
      </c>
      <c r="N48" s="18" t="s">
        <v>62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A1:S1"/>
    <mergeCell ref="A2:S2"/>
    <mergeCell ref="A3:S3"/>
    <mergeCell ref="A4:S4"/>
    <mergeCell ref="A5:S5"/>
  </mergeCells>
  <printOptions horizontalCentered="1" verticalCentered="1"/>
  <pageMargins left="0.25" right="0.25" top="0.75" bottom="0.75" header="0.3" footer="0.3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000"/>
  <sheetViews>
    <sheetView zoomScale="70" zoomScaleNormal="70" workbookViewId="0">
      <selection sqref="A1:T1"/>
    </sheetView>
  </sheetViews>
  <sheetFormatPr defaultColWidth="14.42578125" defaultRowHeight="15" customHeight="1" x14ac:dyDescent="0.25"/>
  <cols>
    <col min="1" max="1" width="4.28515625" style="2" customWidth="1"/>
    <col min="2" max="2" width="6.5703125" style="2" customWidth="1"/>
    <col min="3" max="3" width="40.42578125" style="2" customWidth="1"/>
    <col min="4" max="18" width="6.7109375" style="2" customWidth="1"/>
    <col min="19" max="19" width="8.7109375" style="2" customWidth="1"/>
    <col min="20" max="20" width="11.28515625" style="2" customWidth="1"/>
    <col min="21" max="27" width="8.7109375" style="2" customWidth="1"/>
    <col min="28" max="16384" width="14.42578125" style="2"/>
  </cols>
  <sheetData>
    <row r="1" spans="1:20" s="32" customFormat="1" ht="15" customHeight="1" x14ac:dyDescent="0.25">
      <c r="A1" s="36" t="s">
        <v>71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s="32" customFormat="1" ht="15" customHeight="1" x14ac:dyDescent="0.25">
      <c r="A2" s="36" t="s">
        <v>72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0" s="31" customFormat="1" ht="15" customHeight="1" x14ac:dyDescent="0.25">
      <c r="A3" s="35" t="s">
        <v>63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0" s="32" customFormat="1" ht="15" customHeight="1" x14ac:dyDescent="0.25">
      <c r="A4" s="36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 s="32" customFormat="1" ht="15" customHeight="1" x14ac:dyDescent="0.25">
      <c r="A5" s="36" t="s">
        <v>73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s="32" customFormat="1" ht="15" customHeight="1" x14ac:dyDescent="0.25">
      <c r="A6" s="43" t="s">
        <v>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ht="15.75" x14ac:dyDescent="0.25">
      <c r="A7" s="44" t="s">
        <v>3</v>
      </c>
      <c r="B7" s="47" t="s">
        <v>66</v>
      </c>
      <c r="C7" s="47" t="s">
        <v>5</v>
      </c>
      <c r="D7" s="53" t="s">
        <v>6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5"/>
    </row>
    <row r="8" spans="1:20" ht="14.25" customHeight="1" x14ac:dyDescent="0.25">
      <c r="A8" s="45"/>
      <c r="B8" s="45"/>
      <c r="C8" s="45"/>
      <c r="D8" s="37" t="s">
        <v>67</v>
      </c>
      <c r="E8" s="37" t="s">
        <v>14</v>
      </c>
      <c r="F8" s="37" t="s">
        <v>8</v>
      </c>
      <c r="G8" s="37" t="s">
        <v>17</v>
      </c>
      <c r="H8" s="37" t="s">
        <v>13</v>
      </c>
      <c r="I8" s="37" t="s">
        <v>68</v>
      </c>
      <c r="J8" s="37" t="s">
        <v>15</v>
      </c>
      <c r="K8" s="37" t="s">
        <v>11</v>
      </c>
      <c r="L8" s="37" t="s">
        <v>16</v>
      </c>
      <c r="M8" s="37" t="s">
        <v>9</v>
      </c>
      <c r="N8" s="37" t="s">
        <v>7</v>
      </c>
      <c r="O8" s="37" t="s">
        <v>12</v>
      </c>
      <c r="P8" s="37" t="s">
        <v>10</v>
      </c>
      <c r="Q8" s="37" t="s">
        <v>70</v>
      </c>
      <c r="R8" s="37" t="s">
        <v>69</v>
      </c>
      <c r="S8" s="56" t="s">
        <v>64</v>
      </c>
      <c r="T8" s="39" t="s">
        <v>65</v>
      </c>
    </row>
    <row r="9" spans="1:20" ht="15.75" x14ac:dyDescent="0.25">
      <c r="A9" s="45"/>
      <c r="B9" s="45"/>
      <c r="C9" s="45"/>
      <c r="D9" s="51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57"/>
      <c r="T9" s="40"/>
    </row>
    <row r="10" spans="1:20" ht="89.25" customHeight="1" x14ac:dyDescent="0.25">
      <c r="A10" s="46"/>
      <c r="B10" s="46"/>
      <c r="C10" s="45"/>
      <c r="D10" s="5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38"/>
      <c r="S10" s="58"/>
      <c r="T10" s="41"/>
    </row>
    <row r="11" spans="1:20" ht="15.75" x14ac:dyDescent="0.25">
      <c r="A11" s="3" t="s">
        <v>19</v>
      </c>
      <c r="B11" s="4">
        <v>1</v>
      </c>
      <c r="C11" s="5" t="s">
        <v>35</v>
      </c>
      <c r="D11" s="6">
        <v>10</v>
      </c>
      <c r="E11" s="7">
        <v>10</v>
      </c>
      <c r="F11" s="7">
        <v>10</v>
      </c>
      <c r="G11" s="7">
        <v>10</v>
      </c>
      <c r="H11" s="7">
        <v>10</v>
      </c>
      <c r="I11" s="7">
        <v>11</v>
      </c>
      <c r="J11" s="7">
        <v>10</v>
      </c>
      <c r="K11" s="7">
        <v>10</v>
      </c>
      <c r="L11" s="7">
        <v>10</v>
      </c>
      <c r="M11" s="7">
        <v>10</v>
      </c>
      <c r="N11" s="7">
        <v>10</v>
      </c>
      <c r="O11" s="7">
        <v>10</v>
      </c>
      <c r="P11" s="7">
        <v>10</v>
      </c>
      <c r="Q11" s="8">
        <v>11</v>
      </c>
      <c r="R11" s="9">
        <v>11</v>
      </c>
      <c r="S11" s="1">
        <f>AVERAGE(D11:R11)</f>
        <v>10.199999999999999</v>
      </c>
      <c r="T11" s="1">
        <f>S11*90/12</f>
        <v>76.499999999999986</v>
      </c>
    </row>
    <row r="12" spans="1:20" ht="15.75" x14ac:dyDescent="0.25">
      <c r="A12" s="3" t="s">
        <v>19</v>
      </c>
      <c r="B12" s="4">
        <v>2</v>
      </c>
      <c r="C12" s="5" t="s">
        <v>28</v>
      </c>
      <c r="D12" s="9">
        <v>10</v>
      </c>
      <c r="E12" s="9">
        <v>10</v>
      </c>
      <c r="F12" s="9">
        <v>10</v>
      </c>
      <c r="G12" s="9">
        <v>10</v>
      </c>
      <c r="H12" s="9">
        <v>10</v>
      </c>
      <c r="I12" s="9">
        <v>10</v>
      </c>
      <c r="J12" s="9">
        <v>10</v>
      </c>
      <c r="K12" s="9">
        <v>10</v>
      </c>
      <c r="L12" s="9">
        <v>10</v>
      </c>
      <c r="M12" s="9">
        <v>10</v>
      </c>
      <c r="N12" s="9">
        <v>11</v>
      </c>
      <c r="O12" s="9">
        <v>10</v>
      </c>
      <c r="P12" s="9">
        <v>10</v>
      </c>
      <c r="Q12" s="10">
        <v>11</v>
      </c>
      <c r="R12" s="9">
        <v>10</v>
      </c>
      <c r="S12" s="1">
        <f t="shared" ref="S12:S23" si="0">AVERAGE(D12:R12)</f>
        <v>10.133333333333333</v>
      </c>
      <c r="T12" s="1">
        <f t="shared" ref="T12:T23" si="1">S12*90/12</f>
        <v>76</v>
      </c>
    </row>
    <row r="13" spans="1:20" ht="15.75" x14ac:dyDescent="0.25">
      <c r="A13" s="3" t="s">
        <v>19</v>
      </c>
      <c r="B13" s="4">
        <v>3</v>
      </c>
      <c r="C13" s="5" t="s">
        <v>21</v>
      </c>
      <c r="D13" s="9">
        <v>10</v>
      </c>
      <c r="E13" s="9">
        <v>10</v>
      </c>
      <c r="F13" s="9">
        <v>10</v>
      </c>
      <c r="G13" s="9">
        <v>10</v>
      </c>
      <c r="H13" s="9">
        <v>10</v>
      </c>
      <c r="I13" s="9">
        <v>10</v>
      </c>
      <c r="J13" s="9">
        <v>9</v>
      </c>
      <c r="K13" s="9">
        <v>10</v>
      </c>
      <c r="L13" s="9">
        <v>8</v>
      </c>
      <c r="M13" s="9">
        <v>10</v>
      </c>
      <c r="N13" s="9">
        <v>11</v>
      </c>
      <c r="O13" s="9">
        <v>11</v>
      </c>
      <c r="P13" s="9">
        <v>10</v>
      </c>
      <c r="Q13" s="10">
        <v>10</v>
      </c>
      <c r="R13" s="9">
        <v>10</v>
      </c>
      <c r="S13" s="1">
        <f t="shared" si="0"/>
        <v>9.9333333333333336</v>
      </c>
      <c r="T13" s="1">
        <f t="shared" si="1"/>
        <v>74.5</v>
      </c>
    </row>
    <row r="14" spans="1:20" ht="15.75" x14ac:dyDescent="0.25">
      <c r="A14" s="3" t="s">
        <v>19</v>
      </c>
      <c r="B14" s="4">
        <v>4</v>
      </c>
      <c r="C14" s="5" t="s">
        <v>48</v>
      </c>
      <c r="D14" s="9">
        <v>10</v>
      </c>
      <c r="E14" s="9">
        <v>9</v>
      </c>
      <c r="F14" s="9">
        <v>10</v>
      </c>
      <c r="G14" s="9">
        <v>10</v>
      </c>
      <c r="H14" s="9">
        <v>9</v>
      </c>
      <c r="I14" s="9">
        <v>10</v>
      </c>
      <c r="J14" s="9">
        <v>8</v>
      </c>
      <c r="K14" s="9">
        <v>10</v>
      </c>
      <c r="L14" s="9">
        <v>8</v>
      </c>
      <c r="M14" s="9">
        <v>9</v>
      </c>
      <c r="N14" s="9">
        <v>10</v>
      </c>
      <c r="O14" s="9">
        <v>10</v>
      </c>
      <c r="P14" s="9">
        <v>8</v>
      </c>
      <c r="Q14" s="10">
        <v>11</v>
      </c>
      <c r="R14" s="9">
        <v>10</v>
      </c>
      <c r="S14" s="1">
        <f t="shared" si="0"/>
        <v>9.4666666666666668</v>
      </c>
      <c r="T14" s="1">
        <f t="shared" si="1"/>
        <v>71</v>
      </c>
    </row>
    <row r="15" spans="1:20" ht="15.75" x14ac:dyDescent="0.25">
      <c r="A15" s="3" t="s">
        <v>19</v>
      </c>
      <c r="B15" s="4">
        <v>5</v>
      </c>
      <c r="C15" s="5" t="s">
        <v>33</v>
      </c>
      <c r="D15" s="6">
        <v>10</v>
      </c>
      <c r="E15" s="7">
        <v>9</v>
      </c>
      <c r="F15" s="7">
        <v>10</v>
      </c>
      <c r="G15" s="7">
        <v>10</v>
      </c>
      <c r="H15" s="7">
        <v>9</v>
      </c>
      <c r="I15" s="7">
        <v>10</v>
      </c>
      <c r="J15" s="7">
        <v>8</v>
      </c>
      <c r="K15" s="7">
        <v>10</v>
      </c>
      <c r="L15" s="7">
        <v>8</v>
      </c>
      <c r="M15" s="7">
        <v>8</v>
      </c>
      <c r="N15" s="7">
        <v>10</v>
      </c>
      <c r="O15" s="7">
        <v>10</v>
      </c>
      <c r="P15" s="7">
        <v>8</v>
      </c>
      <c r="Q15" s="8">
        <v>11</v>
      </c>
      <c r="R15" s="9">
        <v>10</v>
      </c>
      <c r="S15" s="1">
        <f t="shared" si="0"/>
        <v>9.4</v>
      </c>
      <c r="T15" s="1">
        <f t="shared" si="1"/>
        <v>70.5</v>
      </c>
    </row>
    <row r="16" spans="1:20" ht="15.75" x14ac:dyDescent="0.25">
      <c r="A16" s="3" t="s">
        <v>19</v>
      </c>
      <c r="B16" s="4">
        <v>6</v>
      </c>
      <c r="C16" s="5" t="s">
        <v>38</v>
      </c>
      <c r="D16" s="6">
        <v>10</v>
      </c>
      <c r="E16" s="7">
        <v>10</v>
      </c>
      <c r="F16" s="7">
        <v>10</v>
      </c>
      <c r="G16" s="7">
        <v>10</v>
      </c>
      <c r="H16" s="7">
        <v>9</v>
      </c>
      <c r="I16" s="7">
        <v>10</v>
      </c>
      <c r="J16" s="7">
        <v>9</v>
      </c>
      <c r="K16" s="7">
        <v>9</v>
      </c>
      <c r="L16" s="7">
        <v>8</v>
      </c>
      <c r="M16" s="7">
        <v>8</v>
      </c>
      <c r="N16" s="7">
        <v>10</v>
      </c>
      <c r="O16" s="7">
        <v>10</v>
      </c>
      <c r="P16" s="7">
        <v>9</v>
      </c>
      <c r="Q16" s="8">
        <v>9</v>
      </c>
      <c r="R16" s="9">
        <v>9</v>
      </c>
      <c r="S16" s="1">
        <f t="shared" si="0"/>
        <v>9.3333333333333339</v>
      </c>
      <c r="T16" s="1">
        <f t="shared" si="1"/>
        <v>70</v>
      </c>
    </row>
    <row r="17" spans="1:20" ht="15.75" x14ac:dyDescent="0.25">
      <c r="A17" s="3" t="s">
        <v>19</v>
      </c>
      <c r="B17" s="4">
        <v>7</v>
      </c>
      <c r="C17" s="5" t="s">
        <v>24</v>
      </c>
      <c r="D17" s="6">
        <v>8</v>
      </c>
      <c r="E17" s="7">
        <v>8</v>
      </c>
      <c r="F17" s="7">
        <v>10</v>
      </c>
      <c r="G17" s="7">
        <v>9</v>
      </c>
      <c r="H17" s="7">
        <v>10</v>
      </c>
      <c r="I17" s="7">
        <v>10</v>
      </c>
      <c r="J17" s="7">
        <v>10</v>
      </c>
      <c r="K17" s="7">
        <v>8</v>
      </c>
      <c r="L17" s="7">
        <v>8</v>
      </c>
      <c r="M17" s="7">
        <v>8</v>
      </c>
      <c r="N17" s="7">
        <v>10</v>
      </c>
      <c r="O17" s="7">
        <v>10</v>
      </c>
      <c r="P17" s="7">
        <v>10</v>
      </c>
      <c r="Q17" s="8">
        <v>10</v>
      </c>
      <c r="R17" s="9">
        <v>10</v>
      </c>
      <c r="S17" s="1">
        <f t="shared" si="0"/>
        <v>9.2666666666666675</v>
      </c>
      <c r="T17" s="1">
        <f t="shared" si="1"/>
        <v>69.500000000000014</v>
      </c>
    </row>
    <row r="18" spans="1:20" ht="15.75" x14ac:dyDescent="0.25">
      <c r="A18" s="11" t="s">
        <v>19</v>
      </c>
      <c r="B18" s="12">
        <v>8</v>
      </c>
      <c r="C18" s="13" t="s">
        <v>30</v>
      </c>
      <c r="D18" s="30">
        <v>10</v>
      </c>
      <c r="E18" s="14">
        <v>10</v>
      </c>
      <c r="F18" s="14">
        <v>10</v>
      </c>
      <c r="G18" s="14">
        <v>9</v>
      </c>
      <c r="H18" s="14">
        <v>8</v>
      </c>
      <c r="I18" s="14">
        <v>10</v>
      </c>
      <c r="J18" s="14">
        <v>8</v>
      </c>
      <c r="K18" s="14">
        <v>9</v>
      </c>
      <c r="L18" s="14">
        <v>7</v>
      </c>
      <c r="M18" s="14">
        <v>8</v>
      </c>
      <c r="N18" s="14">
        <v>10</v>
      </c>
      <c r="O18" s="14">
        <v>10</v>
      </c>
      <c r="P18" s="14">
        <v>8</v>
      </c>
      <c r="Q18" s="29">
        <v>10</v>
      </c>
      <c r="R18" s="15">
        <v>10</v>
      </c>
      <c r="S18" s="33">
        <f t="shared" si="0"/>
        <v>9.1333333333333329</v>
      </c>
      <c r="T18" s="33">
        <f t="shared" si="1"/>
        <v>68.5</v>
      </c>
    </row>
    <row r="19" spans="1:20" ht="15.75" x14ac:dyDescent="0.25">
      <c r="A19" s="11" t="s">
        <v>19</v>
      </c>
      <c r="B19" s="12">
        <v>9</v>
      </c>
      <c r="C19" s="13" t="s">
        <v>45</v>
      </c>
      <c r="D19" s="30">
        <v>10</v>
      </c>
      <c r="E19" s="14">
        <v>9</v>
      </c>
      <c r="F19" s="14">
        <v>10</v>
      </c>
      <c r="G19" s="14">
        <v>9</v>
      </c>
      <c r="H19" s="14">
        <v>8</v>
      </c>
      <c r="I19" s="14">
        <v>10</v>
      </c>
      <c r="J19" s="14">
        <v>8</v>
      </c>
      <c r="K19" s="14">
        <v>10</v>
      </c>
      <c r="L19" s="14">
        <v>7</v>
      </c>
      <c r="M19" s="14">
        <v>8</v>
      </c>
      <c r="N19" s="14">
        <v>10</v>
      </c>
      <c r="O19" s="14">
        <v>10</v>
      </c>
      <c r="P19" s="14">
        <v>8</v>
      </c>
      <c r="Q19" s="29">
        <v>10</v>
      </c>
      <c r="R19" s="15">
        <v>9</v>
      </c>
      <c r="S19" s="33">
        <f t="shared" si="0"/>
        <v>9.0666666666666664</v>
      </c>
      <c r="T19" s="33">
        <f t="shared" si="1"/>
        <v>68</v>
      </c>
    </row>
    <row r="20" spans="1:20" ht="15.75" x14ac:dyDescent="0.25">
      <c r="A20" s="11" t="s">
        <v>19</v>
      </c>
      <c r="B20" s="12">
        <v>10</v>
      </c>
      <c r="C20" s="13" t="s">
        <v>27</v>
      </c>
      <c r="D20" s="15">
        <v>7</v>
      </c>
      <c r="E20" s="15">
        <v>9</v>
      </c>
      <c r="F20" s="15">
        <v>10</v>
      </c>
      <c r="G20" s="15">
        <v>8</v>
      </c>
      <c r="H20" s="15">
        <v>10</v>
      </c>
      <c r="I20" s="15">
        <v>9</v>
      </c>
      <c r="J20" s="15">
        <v>10</v>
      </c>
      <c r="K20" s="15">
        <v>8</v>
      </c>
      <c r="L20" s="15">
        <v>8</v>
      </c>
      <c r="M20" s="15">
        <v>7</v>
      </c>
      <c r="N20" s="15">
        <v>8</v>
      </c>
      <c r="O20" s="15">
        <v>7</v>
      </c>
      <c r="P20" s="15">
        <v>10</v>
      </c>
      <c r="Q20" s="16">
        <v>10</v>
      </c>
      <c r="R20" s="15">
        <v>8</v>
      </c>
      <c r="S20" s="33">
        <f t="shared" si="0"/>
        <v>8.6</v>
      </c>
      <c r="T20" s="33">
        <f t="shared" si="1"/>
        <v>64.5</v>
      </c>
    </row>
    <row r="21" spans="1:20" ht="15.75" x14ac:dyDescent="0.25">
      <c r="A21" s="11" t="s">
        <v>19</v>
      </c>
      <c r="B21" s="12">
        <v>11</v>
      </c>
      <c r="C21" s="13" t="s">
        <v>23</v>
      </c>
      <c r="D21" s="30">
        <v>10</v>
      </c>
      <c r="E21" s="14">
        <v>7</v>
      </c>
      <c r="F21" s="14">
        <v>10</v>
      </c>
      <c r="G21" s="14">
        <v>9</v>
      </c>
      <c r="H21" s="14">
        <v>6</v>
      </c>
      <c r="I21" s="14">
        <v>10</v>
      </c>
      <c r="J21" s="14">
        <v>5</v>
      </c>
      <c r="K21" s="14">
        <v>9</v>
      </c>
      <c r="L21" s="14">
        <v>7</v>
      </c>
      <c r="M21" s="14">
        <v>5</v>
      </c>
      <c r="N21" s="14">
        <v>10</v>
      </c>
      <c r="O21" s="14">
        <v>10</v>
      </c>
      <c r="P21" s="14">
        <v>9</v>
      </c>
      <c r="Q21" s="29">
        <v>7</v>
      </c>
      <c r="R21" s="15">
        <v>8</v>
      </c>
      <c r="S21" s="33">
        <f t="shared" si="0"/>
        <v>8.1333333333333329</v>
      </c>
      <c r="T21" s="33">
        <f t="shared" si="1"/>
        <v>61</v>
      </c>
    </row>
    <row r="22" spans="1:20" ht="15.75" x14ac:dyDescent="0.25">
      <c r="A22" s="11" t="s">
        <v>19</v>
      </c>
      <c r="B22" s="12">
        <v>12</v>
      </c>
      <c r="C22" s="13" t="s">
        <v>39</v>
      </c>
      <c r="D22" s="15">
        <v>8</v>
      </c>
      <c r="E22" s="15">
        <v>8</v>
      </c>
      <c r="F22" s="15">
        <v>7</v>
      </c>
      <c r="G22" s="15">
        <v>10</v>
      </c>
      <c r="H22" s="15">
        <v>7</v>
      </c>
      <c r="I22" s="15">
        <v>9</v>
      </c>
      <c r="J22" s="15">
        <v>10</v>
      </c>
      <c r="K22" s="15">
        <v>9</v>
      </c>
      <c r="L22" s="15">
        <v>7</v>
      </c>
      <c r="M22" s="15">
        <v>5</v>
      </c>
      <c r="N22" s="15">
        <v>7</v>
      </c>
      <c r="O22" s="15">
        <v>7</v>
      </c>
      <c r="P22" s="15">
        <v>8</v>
      </c>
      <c r="Q22" s="16">
        <v>9</v>
      </c>
      <c r="R22" s="15">
        <v>8</v>
      </c>
      <c r="S22" s="33">
        <f t="shared" si="0"/>
        <v>7.9333333333333336</v>
      </c>
      <c r="T22" s="33">
        <f t="shared" si="1"/>
        <v>59.5</v>
      </c>
    </row>
    <row r="23" spans="1:20" ht="15.75" x14ac:dyDescent="0.25">
      <c r="A23" s="11" t="s">
        <v>19</v>
      </c>
      <c r="B23" s="12">
        <v>13</v>
      </c>
      <c r="C23" s="13" t="s">
        <v>46</v>
      </c>
      <c r="D23" s="30">
        <v>6</v>
      </c>
      <c r="E23" s="14">
        <v>8</v>
      </c>
      <c r="F23" s="14">
        <v>9</v>
      </c>
      <c r="G23" s="14">
        <v>8</v>
      </c>
      <c r="H23" s="14">
        <v>5</v>
      </c>
      <c r="I23" s="14">
        <v>8</v>
      </c>
      <c r="J23" s="14">
        <v>6</v>
      </c>
      <c r="K23" s="14">
        <v>9</v>
      </c>
      <c r="L23" s="14">
        <v>7</v>
      </c>
      <c r="M23" s="14">
        <v>4</v>
      </c>
      <c r="N23" s="14">
        <v>8</v>
      </c>
      <c r="O23" s="14">
        <v>8</v>
      </c>
      <c r="P23" s="14">
        <v>8</v>
      </c>
      <c r="Q23" s="29">
        <v>8</v>
      </c>
      <c r="R23" s="15">
        <v>6</v>
      </c>
      <c r="S23" s="33">
        <f t="shared" si="0"/>
        <v>7.2</v>
      </c>
      <c r="T23" s="33">
        <f t="shared" si="1"/>
        <v>54</v>
      </c>
    </row>
    <row r="24" spans="1:20" ht="15.75" x14ac:dyDescent="0.25">
      <c r="C24" s="17" t="s">
        <v>55</v>
      </c>
      <c r="D24" s="15">
        <f>'Зведена відомість'!D45</f>
        <v>19</v>
      </c>
    </row>
    <row r="25" spans="1:20" ht="18.75" x14ac:dyDescent="0.25">
      <c r="C25" s="17" t="s">
        <v>56</v>
      </c>
      <c r="D25" s="15">
        <f>'Зведена відомість'!D46</f>
        <v>10</v>
      </c>
      <c r="G25" s="18" t="s">
        <v>59</v>
      </c>
      <c r="N25" s="18" t="s">
        <v>60</v>
      </c>
    </row>
    <row r="26" spans="1:20" ht="15.75" x14ac:dyDescent="0.25">
      <c r="C26" s="17" t="s">
        <v>57</v>
      </c>
      <c r="D26" s="15">
        <f>'Зведена відомість'!D47</f>
        <v>2</v>
      </c>
    </row>
    <row r="27" spans="1:20" ht="18.75" x14ac:dyDescent="0.25">
      <c r="C27" s="17" t="s">
        <v>58</v>
      </c>
      <c r="D27" s="15">
        <v>7</v>
      </c>
      <c r="G27" s="18" t="s">
        <v>61</v>
      </c>
      <c r="N27" s="18" t="s">
        <v>62</v>
      </c>
    </row>
    <row r="28" spans="1:20" ht="15.75" x14ac:dyDescent="0.25"/>
    <row r="29" spans="1:20" ht="15.75" x14ac:dyDescent="0.25"/>
    <row r="30" spans="1:20" ht="15.75" x14ac:dyDescent="0.25"/>
    <row r="31" spans="1:20" ht="15.75" x14ac:dyDescent="0.25"/>
    <row r="32" spans="1:20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spans="1:1" ht="15.75" x14ac:dyDescent="0.25"/>
    <row r="66" spans="1:1" ht="15.75" x14ac:dyDescent="0.25"/>
    <row r="67" spans="1:1" ht="15.75" x14ac:dyDescent="0.25"/>
    <row r="68" spans="1:1" ht="15.75" x14ac:dyDescent="0.25"/>
    <row r="69" spans="1:1" ht="15.75" x14ac:dyDescent="0.25"/>
    <row r="70" spans="1:1" ht="15.75" x14ac:dyDescent="0.25"/>
    <row r="71" spans="1:1" ht="15.75" x14ac:dyDescent="0.25"/>
    <row r="72" spans="1:1" ht="15.75" x14ac:dyDescent="0.25"/>
    <row r="73" spans="1:1" ht="15.75" x14ac:dyDescent="0.25"/>
    <row r="74" spans="1:1" ht="15.75" x14ac:dyDescent="0.25"/>
    <row r="75" spans="1:1" ht="15.75" x14ac:dyDescent="0.25"/>
    <row r="76" spans="1:1" ht="15.75" x14ac:dyDescent="0.25">
      <c r="A76" s="2">
        <f>COUNTIF(A24:A36,"=Б")</f>
        <v>0</v>
      </c>
    </row>
    <row r="77" spans="1:1" ht="15.75" x14ac:dyDescent="0.25">
      <c r="A77" s="2">
        <f>COUNTIF(A24:A36,"=Б")</f>
        <v>0</v>
      </c>
    </row>
    <row r="78" spans="1:1" ht="15.75" customHeight="1" x14ac:dyDescent="0.25">
      <c r="A78" s="2">
        <f>COUNTIF(A24:A36,"=Б")</f>
        <v>0</v>
      </c>
    </row>
    <row r="79" spans="1:1" ht="15.75" customHeight="1" x14ac:dyDescent="0.25">
      <c r="A79" s="2">
        <f>COUNTIF(A24:A36,"=Б")</f>
        <v>0</v>
      </c>
    </row>
    <row r="80" spans="1:1" ht="15.75" customHeight="1" x14ac:dyDescent="0.25">
      <c r="A80" s="2">
        <f>COUNTIF(A24:A36,"=Б")</f>
        <v>0</v>
      </c>
    </row>
    <row r="81" spans="1:1" ht="15.75" customHeight="1" x14ac:dyDescent="0.25">
      <c r="A81" s="2">
        <f>COUNTIF(A24:A36,"=Б")</f>
        <v>0</v>
      </c>
    </row>
    <row r="82" spans="1:1" ht="15.75" customHeight="1" x14ac:dyDescent="0.25">
      <c r="A82" s="2">
        <f>COUNTIF(A24:A36,"=Б")</f>
        <v>0</v>
      </c>
    </row>
    <row r="83" spans="1:1" ht="15.75" customHeight="1" x14ac:dyDescent="0.25">
      <c r="A83" s="2">
        <f>COUNTIF(A24:A36,"=Б")</f>
        <v>0</v>
      </c>
    </row>
    <row r="84" spans="1:1" ht="15.75" customHeight="1" x14ac:dyDescent="0.25">
      <c r="A84" s="2">
        <f>COUNTIF(A24:A36,"=Б")</f>
        <v>0</v>
      </c>
    </row>
    <row r="85" spans="1:1" ht="15.75" customHeight="1" x14ac:dyDescent="0.25">
      <c r="A85" s="2">
        <f>COUNTIF(A24:A36,"=Б")</f>
        <v>0</v>
      </c>
    </row>
    <row r="86" spans="1:1" ht="15.75" customHeight="1" x14ac:dyDescent="0.25">
      <c r="A86" s="2">
        <f>COUNTIF(A24:A36,"=Б")</f>
        <v>0</v>
      </c>
    </row>
    <row r="87" spans="1:1" ht="15.75" customHeight="1" x14ac:dyDescent="0.25">
      <c r="A87" s="2">
        <f>COUNTIF(A24:A36,"=Б")</f>
        <v>0</v>
      </c>
    </row>
    <row r="88" spans="1:1" ht="15.75" customHeight="1" x14ac:dyDescent="0.25">
      <c r="A88" s="2">
        <f>COUNTIF(A24:A36,"=Б")</f>
        <v>0</v>
      </c>
    </row>
    <row r="89" spans="1:1" ht="15.75" customHeight="1" x14ac:dyDescent="0.25">
      <c r="A89" s="2">
        <f>COUNTIF(A24:A36,"=Б")</f>
        <v>0</v>
      </c>
    </row>
    <row r="90" spans="1:1" ht="15.75" customHeight="1" x14ac:dyDescent="0.25">
      <c r="A90" s="2">
        <f>COUNTIF(A24:A36,"=Б")</f>
        <v>0</v>
      </c>
    </row>
    <row r="91" spans="1:1" ht="15.75" customHeight="1" x14ac:dyDescent="0.25">
      <c r="A91" s="2">
        <f>COUNTIF(A24:A36,"=Б")</f>
        <v>0</v>
      </c>
    </row>
    <row r="92" spans="1:1" ht="15.75" customHeight="1" x14ac:dyDescent="0.25">
      <c r="A92" s="2">
        <f>COUNTIF(A24:A36,"=Б")</f>
        <v>0</v>
      </c>
    </row>
    <row r="93" spans="1:1" ht="15.75" customHeight="1" x14ac:dyDescent="0.25">
      <c r="A93" s="2">
        <f>COUNTIF(A24:A36,"=Б")</f>
        <v>0</v>
      </c>
    </row>
    <row r="94" spans="1:1" ht="15.75" customHeight="1" x14ac:dyDescent="0.25">
      <c r="A94" s="2">
        <f>COUNTIF(A24:A36,"=Б")</f>
        <v>0</v>
      </c>
    </row>
    <row r="95" spans="1:1" ht="15.75" customHeight="1" x14ac:dyDescent="0.25">
      <c r="A95" s="2">
        <f>COUNTIF(A24:A36,"=Б")</f>
        <v>0</v>
      </c>
    </row>
    <row r="96" spans="1:1" ht="15.75" customHeight="1" x14ac:dyDescent="0.25">
      <c r="A96" s="2">
        <f>COUNTIF(A24:A36,"=Б")</f>
        <v>0</v>
      </c>
    </row>
    <row r="97" spans="1:1" ht="15.75" customHeight="1" x14ac:dyDescent="0.25">
      <c r="A97" s="2">
        <f>COUNTIF(A24:A36,"=Б")</f>
        <v>0</v>
      </c>
    </row>
    <row r="98" spans="1:1" ht="15.75" customHeight="1" x14ac:dyDescent="0.25">
      <c r="A98" s="2">
        <f>COUNTIF(A24:A36,"=Б")</f>
        <v>0</v>
      </c>
    </row>
    <row r="99" spans="1:1" ht="15.75" customHeight="1" x14ac:dyDescent="0.25">
      <c r="A99" s="2">
        <f>COUNTIF(A24:A36,"=Б")</f>
        <v>0</v>
      </c>
    </row>
    <row r="100" spans="1:1" ht="15.75" customHeight="1" x14ac:dyDescent="0.25">
      <c r="A100" s="2">
        <f>COUNTIF(A24:A36,"=Б")</f>
        <v>0</v>
      </c>
    </row>
    <row r="101" spans="1:1" ht="15.75" customHeight="1" x14ac:dyDescent="0.25">
      <c r="A101" s="2">
        <f>COUNTIF(A24:A36,"=Б")</f>
        <v>0</v>
      </c>
    </row>
    <row r="102" spans="1:1" ht="15.75" customHeight="1" x14ac:dyDescent="0.25">
      <c r="A102" s="2">
        <f>COUNTIF(A24:A36,"=Б")</f>
        <v>0</v>
      </c>
    </row>
    <row r="103" spans="1:1" ht="15.75" customHeight="1" x14ac:dyDescent="0.25">
      <c r="A103" s="2">
        <f>COUNTIF(A24:A36,"=Б")</f>
        <v>0</v>
      </c>
    </row>
    <row r="104" spans="1:1" ht="15.75" customHeight="1" x14ac:dyDescent="0.25">
      <c r="A104" s="2">
        <f>COUNTIF(A24:A36,"=Б")</f>
        <v>0</v>
      </c>
    </row>
    <row r="105" spans="1:1" ht="15.75" customHeight="1" x14ac:dyDescent="0.25">
      <c r="A105" s="2">
        <f>COUNTIF(A24:A36,"=Б")</f>
        <v>0</v>
      </c>
    </row>
    <row r="106" spans="1:1" ht="15.75" customHeight="1" x14ac:dyDescent="0.25">
      <c r="A106" s="2">
        <f>COUNTIF(A24:A36,"=Б")</f>
        <v>0</v>
      </c>
    </row>
    <row r="107" spans="1:1" ht="15.75" customHeight="1" x14ac:dyDescent="0.25">
      <c r="A107" s="2">
        <f>COUNTIF(A24:A36,"=Б")</f>
        <v>0</v>
      </c>
    </row>
    <row r="108" spans="1:1" ht="15.75" customHeight="1" x14ac:dyDescent="0.25">
      <c r="A108" s="2">
        <f>COUNTIF(A24:A36,"=Б")</f>
        <v>0</v>
      </c>
    </row>
    <row r="109" spans="1:1" ht="15.75" customHeight="1" x14ac:dyDescent="0.25">
      <c r="A109" s="2">
        <f>COUNTIF(A24:A36,"=Б")</f>
        <v>0</v>
      </c>
    </row>
    <row r="110" spans="1:1" ht="15.75" customHeight="1" x14ac:dyDescent="0.25">
      <c r="A110" s="2">
        <f>COUNTIF(A24:A36,"=Б")</f>
        <v>0</v>
      </c>
    </row>
    <row r="111" spans="1:1" ht="15.75" customHeight="1" x14ac:dyDescent="0.25">
      <c r="A111" s="2">
        <f>COUNTIF(A24:A36,"=Б")</f>
        <v>0</v>
      </c>
    </row>
    <row r="112" spans="1:1" ht="15.75" customHeight="1" x14ac:dyDescent="0.25">
      <c r="A112" s="2">
        <f>COUNTIF(A24:A36,"=Б")</f>
        <v>0</v>
      </c>
    </row>
    <row r="113" spans="1:1" ht="15.75" customHeight="1" x14ac:dyDescent="0.25">
      <c r="A113" s="2">
        <f>COUNTIF(A24:A36,"=Б")</f>
        <v>0</v>
      </c>
    </row>
    <row r="114" spans="1:1" ht="15.75" customHeight="1" x14ac:dyDescent="0.25">
      <c r="A114" s="2">
        <f>COUNTIF(A24:A36,"=Б")</f>
        <v>0</v>
      </c>
    </row>
    <row r="115" spans="1:1" ht="15.75" customHeight="1" x14ac:dyDescent="0.25">
      <c r="A115" s="2">
        <f>COUNTIF(A24:A36,"=Б")</f>
        <v>0</v>
      </c>
    </row>
    <row r="116" spans="1:1" ht="15.75" customHeight="1" x14ac:dyDescent="0.25">
      <c r="A116" s="2">
        <f>COUNTIF(A24:A36,"=Б")</f>
        <v>0</v>
      </c>
    </row>
    <row r="117" spans="1:1" ht="15.75" customHeight="1" x14ac:dyDescent="0.25"/>
    <row r="118" spans="1:1" ht="15.75" customHeight="1" x14ac:dyDescent="0.25"/>
    <row r="119" spans="1:1" ht="15.75" customHeight="1" x14ac:dyDescent="0.25"/>
    <row r="120" spans="1:1" ht="15.75" customHeight="1" x14ac:dyDescent="0.25"/>
    <row r="121" spans="1:1" ht="15.75" customHeight="1" x14ac:dyDescent="0.25"/>
    <row r="122" spans="1:1" ht="15.75" customHeight="1" x14ac:dyDescent="0.25"/>
    <row r="123" spans="1:1" ht="15.75" customHeight="1" x14ac:dyDescent="0.25"/>
    <row r="124" spans="1:1" ht="15.75" customHeight="1" x14ac:dyDescent="0.25"/>
    <row r="125" spans="1:1" ht="15.75" customHeight="1" x14ac:dyDescent="0.25"/>
    <row r="126" spans="1:1" ht="15.75" customHeight="1" x14ac:dyDescent="0.25"/>
    <row r="127" spans="1:1" ht="15.75" customHeight="1" x14ac:dyDescent="0.25"/>
    <row r="128" spans="1: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P8:P10"/>
    <mergeCell ref="Q8:Q10"/>
    <mergeCell ref="R8:R10"/>
    <mergeCell ref="S8:S10"/>
    <mergeCell ref="T8:T10"/>
    <mergeCell ref="O8:O10"/>
    <mergeCell ref="A7:A10"/>
    <mergeCell ref="B7:B10"/>
    <mergeCell ref="C7:C10"/>
    <mergeCell ref="D7:T7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A6:T6"/>
    <mergeCell ref="A1:T1"/>
    <mergeCell ref="A2:T2"/>
    <mergeCell ref="A3:T3"/>
    <mergeCell ref="A4:T4"/>
    <mergeCell ref="A5:T5"/>
  </mergeCells>
  <printOptions horizontalCentered="1" verticalCentered="1"/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cp:lastPrinted>2022-06-17T10:37:20Z</cp:lastPrinted>
  <dcterms:created xsi:type="dcterms:W3CDTF">2006-09-28T05:33:49Z</dcterms:created>
  <dcterms:modified xsi:type="dcterms:W3CDTF">2022-09-06T06:53:47Z</dcterms:modified>
</cp:coreProperties>
</file>