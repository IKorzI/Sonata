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 activeTab="1"/>
  </bookViews>
  <sheets>
    <sheet name="Зведена відомість 101" sheetId="14" r:id="rId1"/>
    <sheet name="Зведена відомість 161" sheetId="13" r:id="rId2"/>
    <sheet name="Рейтингова відомість 101" sheetId="12" r:id="rId3"/>
    <sheet name="Рейтингова відомість 161" sheetId="11" r:id="rId4"/>
  </sheets>
  <definedNames>
    <definedName name="_xlnm._FilterDatabase" localSheetId="2" hidden="1">'Рейтингова відомість 101'!$A$11:$AA$120</definedName>
    <definedName name="_xlnm._FilterDatabase" localSheetId="3" hidden="1">'Рейтингова відомість 161'!$A$11:$AA$120</definedName>
    <definedName name="A1048577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ghx6taQuHc7uS4SJCONmedY8yUGQ=="/>
    </ext>
  </extLst>
</workbook>
</file>

<file path=xl/calcChain.xml><?xml version="1.0" encoding="utf-8"?>
<calcChain xmlns="http://schemas.openxmlformats.org/spreadsheetml/2006/main">
  <c r="T12" i="11" l="1"/>
  <c r="T13" i="11"/>
  <c r="S12" i="11"/>
  <c r="S13" i="11"/>
  <c r="T11" i="11"/>
  <c r="S11" i="11"/>
  <c r="D16" i="11"/>
  <c r="D14" i="11"/>
  <c r="S12" i="13"/>
  <c r="S13" i="13"/>
  <c r="S14" i="13"/>
  <c r="S15" i="13"/>
  <c r="S16" i="13"/>
  <c r="S17" i="13"/>
  <c r="S18" i="13"/>
  <c r="S19" i="13"/>
  <c r="S20" i="13"/>
  <c r="S21" i="13"/>
  <c r="S11" i="13"/>
  <c r="D28" i="13"/>
  <c r="D15" i="11" s="1"/>
  <c r="D27" i="13"/>
  <c r="D30" i="13" s="1"/>
  <c r="D17" i="11" s="1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D26" i="13" s="1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D25" i="13" s="1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S22" i="13" s="1"/>
  <c r="T12" i="12"/>
  <c r="T13" i="12"/>
  <c r="T14" i="12"/>
  <c r="T15" i="12"/>
  <c r="T16" i="12"/>
  <c r="T17" i="12"/>
  <c r="T18" i="12"/>
  <c r="T19" i="12"/>
  <c r="S12" i="12"/>
  <c r="S13" i="12"/>
  <c r="S14" i="12"/>
  <c r="S15" i="12"/>
  <c r="S16" i="12"/>
  <c r="S17" i="12"/>
  <c r="S18" i="12"/>
  <c r="S19" i="12"/>
  <c r="T11" i="12"/>
  <c r="S11" i="12"/>
  <c r="D22" i="12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11" i="14"/>
  <c r="D32" i="14"/>
  <c r="D21" i="12" s="1"/>
  <c r="D31" i="14"/>
  <c r="D34" i="14" s="1"/>
  <c r="D23" i="12" s="1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D30" i="14" s="1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D29" i="14" s="1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S26" i="14" s="1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D20" i="12" l="1"/>
</calcChain>
</file>

<file path=xl/sharedStrings.xml><?xml version="1.0" encoding="utf-8"?>
<sst xmlns="http://schemas.openxmlformats.org/spreadsheetml/2006/main" count="271" uniqueCount="72">
  <si>
    <t xml:space="preserve">ЗВЕДЕНА  ВІДОМІСТЬ  </t>
  </si>
  <si>
    <t>Успішності студентів спеціальності 101 «Екологія»</t>
  </si>
  <si>
    <t>Група 21-4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</si>
  <si>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</si>
  <si>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</si>
  <si>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</si>
  <si>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</si>
  <si>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Грубіна О.П.</t>
  </si>
  <si>
    <t>Всесвітня історія
Мельничук С.А.</t>
  </si>
  <si>
    <t>Математика
Земляна Т.М.</t>
  </si>
  <si>
    <t>Фізика
Калюта Н.М.</t>
  </si>
  <si>
    <t>Хімія
Сахно Н.О.</t>
  </si>
  <si>
    <t>Інформатика
Охримчук В.С.</t>
  </si>
  <si>
    <t>Українська мова
Грубіна О.П.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</si>
  <si>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</si>
  <si>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</si>
  <si>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</si>
  <si>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</si>
  <si>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</si>
  <si>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</si>
  <si>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К</t>
  </si>
  <si>
    <t>Б</t>
  </si>
  <si>
    <t>н/а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</si>
  <si>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</si>
  <si>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</si>
  <si>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</si>
  <si>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</si>
  <si>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</si>
  <si>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контрактників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</si>
  <si>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</si>
  <si>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</si>
  <si>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</si>
  <si>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</si>
  <si>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Ярослава ПРУДНІКОВА</t>
  </si>
  <si>
    <t>Завідувач відділення ПЗСО</t>
  </si>
  <si>
    <t>Маргарита БРІТІКОВА</t>
  </si>
  <si>
    <t xml:space="preserve">РЕЙТИНГОВА  ВІДОМІСТЬ  </t>
  </si>
  <si>
    <t>Успішності студентів спеціальності 161 «Хімічні технології та інженерія»</t>
  </si>
  <si>
    <t xml:space="preserve">Середній бал    </t>
  </si>
  <si>
    <t>Рейтинг</t>
  </si>
  <si>
    <t>Беспалько В’ячеслав Геннадійович</t>
  </si>
  <si>
    <t>Білий Ніл Олександрович</t>
  </si>
  <si>
    <t>Будко Володимир Володимирович</t>
  </si>
  <si>
    <t>Гайдаржи Олександр Микол.</t>
  </si>
  <si>
    <t>Дімітрова Василіка Віталіївна</t>
  </si>
  <si>
    <t>Казанджій Богдан Миколайович</t>
  </si>
  <si>
    <t xml:space="preserve">Калінку Дарія Андріївна </t>
  </si>
  <si>
    <t>Мешкова Вікторія Ігорівна</t>
  </si>
  <si>
    <t>Пасічник Артем Сергійович</t>
  </si>
  <si>
    <t xml:space="preserve">Салтанова Катерина Ігорівна </t>
  </si>
  <si>
    <t>Цуканов Іван Павлович</t>
  </si>
  <si>
    <t>Абабіна Ірина Олександрівна</t>
  </si>
  <si>
    <t>Варьоха Вероніка Андріївна</t>
  </si>
  <si>
    <t>Дорошук Олена Володимирівна</t>
  </si>
  <si>
    <t>Жуковська Олександра Олександрівна</t>
  </si>
  <si>
    <t>Карпенко Анна Сергіївна</t>
  </si>
  <si>
    <t>Катуніна Валерія Євгенівна</t>
  </si>
  <si>
    <t>Ковальов Максим Олегович</t>
  </si>
  <si>
    <t>Козуб Станіслав Валентинович</t>
  </si>
  <si>
    <t>Максимова Віолетта Олександрівна</t>
  </si>
  <si>
    <t>Михайленко Марія Вячесавівн</t>
  </si>
  <si>
    <t>Нєдов Ярослав Васильович</t>
  </si>
  <si>
    <t xml:space="preserve">Петренко Софія Сергіївна </t>
  </si>
  <si>
    <t>Ротар Софія Василівна</t>
  </si>
  <si>
    <t>Хемій Мирослава Василівна</t>
  </si>
  <si>
    <t>Храмченкова Єва Сергіївна</t>
  </si>
  <si>
    <t>Астрономія
Калюта Н.М.</t>
  </si>
  <si>
    <t>Фізична культура
Галеніна І.С.</t>
  </si>
  <si>
    <t>ЗВ
Черкашин А.Д.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</si>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</sst>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2">
    <xf numFmtId="0" fontId="0" fillId="0" borderId="0"/>
    <xf numFmtId="0" fontId="2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3" fillId="0" borderId="7"/>
    <xf numFmtId="0" fontId="1" fillId="0" borderId="7"/>
    <xf numFmtId="0" fontId="3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  <xf numFmtId="0" fontId="1" fillId="0" borderId="7"/>
  </cellStyleXfs>
  <cellXfs count="98">
    <xf numFmtId="0" fontId="0" fillId="0" borderId="0" xfId="0" applyFont="1" applyAlignment="1"/>
    <xf numFmtId="0" fontId="4" fillId="0" borderId="5" xfId="3" applyNumberFormat="1" applyFont="1" applyFill="1" applyBorder="1" applyAlignment="1">
      <alignment horizontal="center" vertical="center" wrapText="1"/>
    </xf>
    <xf numFmtId="0" fontId="4" fillId="0" borderId="5" xfId="3" applyNumberFormat="1" applyFont="1" applyFill="1" applyBorder="1" applyAlignment="1">
      <alignment horizontal="left" vertical="center" wrapText="1"/>
    </xf>
    <xf numFmtId="0" fontId="4" fillId="0" borderId="5" xfId="3" applyNumberFormat="1" applyFont="1" applyFill="1" applyBorder="1" applyAlignment="1">
      <alignment horizontal="center" vertical="center"/>
    </xf>
    <xf numFmtId="0" fontId="4" fillId="0" borderId="14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Alignment="1">
      <alignment horizontal="center" vertical="center"/>
    </xf>
    <xf numFmtId="0" fontId="4" fillId="0" borderId="6" xfId="3" applyNumberFormat="1" applyFont="1" applyFill="1" applyBorder="1" applyAlignment="1">
      <alignment horizontal="left" vertical="center" wrapText="1"/>
    </xf>
    <xf numFmtId="164" fontId="4" fillId="3" borderId="14" xfId="3" applyNumberFormat="1" applyFont="1" applyFill="1" applyBorder="1" applyAlignment="1">
      <alignment horizontal="center" vertical="center"/>
    </xf>
    <xf numFmtId="164" fontId="4" fillId="3" borderId="7" xfId="3" applyNumberFormat="1" applyFont="1" applyFill="1" applyBorder="1" applyAlignment="1">
      <alignment horizontal="center" vertical="center"/>
    </xf>
    <xf numFmtId="164" fontId="4" fillId="4" borderId="1" xfId="3" applyNumberFormat="1" applyFont="1" applyFill="1" applyBorder="1" applyAlignment="1">
      <alignment horizontal="center" vertical="center"/>
    </xf>
    <xf numFmtId="164" fontId="4" fillId="4" borderId="14" xfId="3" applyNumberFormat="1" applyFont="1" applyFill="1" applyBorder="1" applyAlignment="1">
      <alignment horizontal="center" vertical="center"/>
    </xf>
    <xf numFmtId="2" fontId="4" fillId="3" borderId="5" xfId="3" applyNumberFormat="1" applyFont="1" applyFill="1" applyBorder="1" applyAlignment="1">
      <alignment horizontal="center" vertical="center"/>
    </xf>
    <xf numFmtId="0" fontId="6" fillId="0" borderId="7" xfId="3" applyNumberFormat="1" applyFont="1" applyFill="1" applyAlignment="1">
      <alignment horizontal="left" vertical="center"/>
    </xf>
    <xf numFmtId="2" fontId="4" fillId="0" borderId="14" xfId="3" applyNumberFormat="1" applyFont="1" applyFill="1" applyBorder="1" applyAlignment="1">
      <alignment horizontal="center" vertical="center"/>
    </xf>
    <xf numFmtId="0" fontId="4" fillId="2" borderId="5" xfId="3" applyNumberFormat="1" applyFont="1" applyFill="1" applyBorder="1" applyAlignment="1">
      <alignment horizontal="center" vertical="center" wrapText="1"/>
    </xf>
    <xf numFmtId="0" fontId="4" fillId="2" borderId="5" xfId="3" applyNumberFormat="1" applyFont="1" applyFill="1" applyBorder="1" applyAlignment="1">
      <alignment horizontal="center" vertical="center"/>
    </xf>
    <xf numFmtId="2" fontId="4" fillId="2" borderId="14" xfId="3" applyNumberFormat="1" applyFont="1" applyFill="1" applyBorder="1" applyAlignment="1">
      <alignment horizontal="center" vertical="center"/>
    </xf>
    <xf numFmtId="0" fontId="4" fillId="2" borderId="5" xfId="3" applyNumberFormat="1" applyFont="1" applyFill="1" applyBorder="1" applyAlignment="1">
      <alignment horizontal="left" vertical="center" wrapText="1"/>
    </xf>
    <xf numFmtId="0" fontId="4" fillId="0" borderId="14" xfId="3" applyNumberFormat="1" applyFont="1" applyFill="1" applyBorder="1" applyAlignment="1">
      <alignment horizontal="left" vertical="center" wrapText="1"/>
    </xf>
    <xf numFmtId="0" fontId="7" fillId="0" borderId="7" xfId="3" applyNumberFormat="1" applyFont="1" applyFill="1" applyAlignment="1">
      <alignment horizontal="center" vertical="center"/>
    </xf>
    <xf numFmtId="0" fontId="6" fillId="0" borderId="7" xfId="3" applyNumberFormat="1" applyFont="1" applyFill="1" applyAlignment="1">
      <alignment horizontal="center" vertical="center"/>
    </xf>
    <xf numFmtId="0" fontId="4" fillId="0" borderId="6" xfId="3" applyNumberFormat="1" applyFont="1" applyFill="1" applyBorder="1" applyAlignment="1">
      <alignment horizontal="center" vertical="center"/>
    </xf>
    <xf numFmtId="0" fontId="6" fillId="0" borderId="7" xfId="6" applyNumberFormat="1" applyFont="1" applyFill="1" applyAlignment="1">
      <alignment horizontal="center" vertical="center"/>
    </xf>
    <xf numFmtId="0" fontId="7" fillId="0" borderId="7" xfId="6" applyNumberFormat="1" applyFont="1" applyFill="1" applyAlignment="1">
      <alignment horizontal="center" vertical="center"/>
    </xf>
    <xf numFmtId="0" fontId="4" fillId="0" borderId="7" xfId="6" applyNumberFormat="1" applyFont="1" applyFill="1" applyAlignment="1">
      <alignment horizontal="center" vertical="center"/>
    </xf>
    <xf numFmtId="0" fontId="4" fillId="2" borderId="5" xfId="6" applyNumberFormat="1" applyFont="1" applyFill="1" applyBorder="1" applyAlignment="1">
      <alignment horizontal="center" vertical="center" wrapText="1"/>
    </xf>
    <xf numFmtId="0" fontId="4" fillId="2" borderId="5" xfId="6" applyNumberFormat="1" applyFont="1" applyFill="1" applyBorder="1" applyAlignment="1">
      <alignment horizontal="left" vertical="center" wrapText="1"/>
    </xf>
    <xf numFmtId="0" fontId="4" fillId="2" borderId="5" xfId="6" applyNumberFormat="1" applyFont="1" applyFill="1" applyBorder="1" applyAlignment="1">
      <alignment horizontal="center" vertical="center"/>
    </xf>
    <xf numFmtId="0" fontId="4" fillId="0" borderId="14" xfId="6" applyNumberFormat="1" applyFont="1" applyFill="1" applyBorder="1" applyAlignment="1">
      <alignment horizontal="left" vertical="center" wrapText="1"/>
    </xf>
    <xf numFmtId="0" fontId="4" fillId="0" borderId="14" xfId="6" applyNumberFormat="1" applyFont="1" applyFill="1" applyBorder="1" applyAlignment="1">
      <alignment horizontal="center" vertical="center"/>
    </xf>
    <xf numFmtId="0" fontId="6" fillId="0" borderId="7" xfId="6" applyNumberFormat="1" applyFont="1" applyFill="1" applyAlignment="1">
      <alignment horizontal="left" vertical="center"/>
    </xf>
    <xf numFmtId="0" fontId="4" fillId="0" borderId="5" xfId="6" applyNumberFormat="1" applyFont="1" applyFill="1" applyBorder="1" applyAlignment="1">
      <alignment horizontal="center" vertical="center" wrapText="1"/>
    </xf>
    <xf numFmtId="0" fontId="4" fillId="0" borderId="5" xfId="6" applyNumberFormat="1" applyFont="1" applyFill="1" applyBorder="1" applyAlignment="1">
      <alignment horizontal="left" vertical="center" wrapText="1"/>
    </xf>
    <xf numFmtId="0" fontId="4" fillId="0" borderId="5" xfId="6" applyNumberFormat="1" applyFont="1" applyFill="1" applyBorder="1" applyAlignment="1">
      <alignment horizontal="center" vertical="center"/>
    </xf>
    <xf numFmtId="2" fontId="4" fillId="3" borderId="5" xfId="6" applyNumberFormat="1" applyFont="1" applyFill="1" applyBorder="1" applyAlignment="1">
      <alignment horizontal="center" vertical="center"/>
    </xf>
    <xf numFmtId="0" fontId="4" fillId="0" borderId="7" xfId="6" applyNumberFormat="1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>
      <alignment horizontal="left" vertical="center" wrapText="1"/>
    </xf>
    <xf numFmtId="164" fontId="4" fillId="3" borderId="5" xfId="6" applyNumberFormat="1" applyFont="1" applyFill="1" applyBorder="1" applyAlignment="1">
      <alignment horizontal="center" vertical="center"/>
    </xf>
    <xf numFmtId="164" fontId="4" fillId="3" borderId="2" xfId="6" applyNumberFormat="1" applyFont="1" applyFill="1" applyBorder="1" applyAlignment="1">
      <alignment horizontal="center" vertical="center"/>
    </xf>
    <xf numFmtId="164" fontId="4" fillId="3" borderId="14" xfId="6" applyNumberFormat="1" applyFont="1" applyFill="1" applyBorder="1" applyAlignment="1">
      <alignment horizontal="center" vertical="center"/>
    </xf>
    <xf numFmtId="164" fontId="4" fillId="4" borderId="1" xfId="6" applyNumberFormat="1" applyFont="1" applyFill="1" applyBorder="1" applyAlignment="1">
      <alignment horizontal="center" vertical="center"/>
    </xf>
    <xf numFmtId="164" fontId="4" fillId="4" borderId="9" xfId="6" applyNumberFormat="1" applyFont="1" applyFill="1" applyBorder="1" applyAlignment="1">
      <alignment horizontal="center" vertical="center"/>
    </xf>
    <xf numFmtId="164" fontId="4" fillId="4" borderId="14" xfId="6" applyNumberFormat="1" applyFont="1" applyFill="1" applyBorder="1" applyAlignment="1">
      <alignment horizontal="center" vertical="center"/>
    </xf>
    <xf numFmtId="164" fontId="4" fillId="4" borderId="16" xfId="6" applyNumberFormat="1" applyFont="1" applyFill="1" applyBorder="1" applyAlignment="1">
      <alignment horizontal="center" vertical="center"/>
    </xf>
    <xf numFmtId="164" fontId="4" fillId="3" borderId="6" xfId="6" applyNumberFormat="1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>
      <alignment horizontal="center" vertical="center"/>
    </xf>
    <xf numFmtId="0" fontId="6" fillId="0" borderId="7" xfId="6" applyNumberFormat="1" applyFont="1" applyFill="1" applyBorder="1" applyAlignment="1">
      <alignment horizontal="left" vertical="center"/>
    </xf>
    <xf numFmtId="0" fontId="4" fillId="2" borderId="17" xfId="6" applyNumberFormat="1" applyFont="1" applyFill="1" applyBorder="1" applyAlignment="1">
      <alignment horizontal="center" vertical="center"/>
    </xf>
    <xf numFmtId="0" fontId="6" fillId="0" borderId="8" xfId="3" applyNumberFormat="1" applyFont="1" applyFill="1" applyBorder="1" applyAlignment="1">
      <alignment horizontal="center" vertical="center"/>
    </xf>
    <xf numFmtId="0" fontId="6" fillId="0" borderId="7" xfId="6" applyNumberFormat="1" applyFont="1" applyFill="1" applyAlignment="1">
      <alignment horizontal="center" vertical="center"/>
    </xf>
    <xf numFmtId="0" fontId="7" fillId="0" borderId="7" xfId="3" applyNumberFormat="1" applyFont="1" applyFill="1" applyAlignment="1">
      <alignment horizontal="center" vertical="center"/>
    </xf>
    <xf numFmtId="0" fontId="6" fillId="0" borderId="7" xfId="3" applyNumberFormat="1" applyFont="1" applyFill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4" fillId="0" borderId="12" xfId="3" applyNumberFormat="1" applyFont="1" applyFill="1" applyBorder="1" applyAlignment="1">
      <alignment horizontal="center" vertical="center"/>
    </xf>
    <xf numFmtId="0" fontId="4" fillId="0" borderId="6" xfId="3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center" vertical="center"/>
    </xf>
    <xf numFmtId="0" fontId="4" fillId="0" borderId="3" xfId="3" applyNumberFormat="1" applyFont="1" applyFill="1" applyBorder="1" applyAlignment="1">
      <alignment horizontal="center" vertical="center"/>
    </xf>
    <xf numFmtId="0" fontId="4" fillId="0" borderId="4" xfId="3" applyNumberFormat="1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textRotation="90" wrapText="1"/>
    </xf>
    <xf numFmtId="0" fontId="4" fillId="0" borderId="12" xfId="6" applyNumberFormat="1" applyFont="1" applyFill="1" applyBorder="1" applyAlignment="1">
      <alignment horizontal="center" textRotation="90" wrapText="1"/>
    </xf>
    <xf numFmtId="0" fontId="4" fillId="0" borderId="6" xfId="6" applyNumberFormat="1" applyFont="1" applyFill="1" applyBorder="1" applyAlignment="1">
      <alignment horizontal="center" textRotation="90" wrapText="1"/>
    </xf>
    <xf numFmtId="0" fontId="4" fillId="0" borderId="12" xfId="6" applyNumberFormat="1" applyFont="1" applyFill="1" applyBorder="1" applyAlignment="1">
      <alignment horizontal="center" textRotation="90"/>
    </xf>
    <xf numFmtId="0" fontId="4" fillId="0" borderId="6" xfId="6" applyNumberFormat="1" applyFont="1" applyFill="1" applyBorder="1" applyAlignment="1">
      <alignment horizontal="center" textRotation="90"/>
    </xf>
    <xf numFmtId="0" fontId="5" fillId="0" borderId="1" xfId="3" applyNumberFormat="1" applyFont="1" applyFill="1" applyBorder="1" applyAlignment="1">
      <alignment horizontal="center" vertical="center" textRotation="90" wrapText="1"/>
    </xf>
    <xf numFmtId="0" fontId="5" fillId="0" borderId="12" xfId="3" applyNumberFormat="1" applyFont="1" applyFill="1" applyBorder="1" applyAlignment="1">
      <alignment horizontal="center" vertical="center" textRotation="90"/>
    </xf>
    <xf numFmtId="0" fontId="5" fillId="0" borderId="6" xfId="3" applyNumberFormat="1" applyFont="1" applyFill="1" applyBorder="1" applyAlignment="1">
      <alignment horizontal="center" vertical="center" textRotation="90"/>
    </xf>
    <xf numFmtId="0" fontId="6" fillId="0" borderId="8" xfId="6" applyNumberFormat="1" applyFont="1" applyFill="1" applyBorder="1" applyAlignment="1">
      <alignment horizontal="center" vertical="center"/>
    </xf>
    <xf numFmtId="0" fontId="6" fillId="0" borderId="7" xfId="6" applyNumberFormat="1" applyFont="1" applyFill="1" applyBorder="1" applyAlignment="1">
      <alignment horizontal="center" vertical="center"/>
    </xf>
    <xf numFmtId="0" fontId="7" fillId="0" borderId="7" xfId="6" applyNumberFormat="1" applyFont="1" applyFill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vertical="center"/>
    </xf>
    <xf numFmtId="0" fontId="4" fillId="0" borderId="12" xfId="6" applyNumberFormat="1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>
      <alignment horizontal="center" vertical="center"/>
    </xf>
    <xf numFmtId="0" fontId="4" fillId="0" borderId="1" xfId="6" applyNumberFormat="1" applyFont="1" applyFill="1" applyBorder="1" applyAlignment="1">
      <alignment horizontal="center" vertical="center" wrapText="1"/>
    </xf>
    <xf numFmtId="0" fontId="4" fillId="0" borderId="2" xfId="6" applyNumberFormat="1" applyFont="1" applyFill="1" applyBorder="1" applyAlignment="1">
      <alignment horizontal="center" vertical="center"/>
    </xf>
    <xf numFmtId="0" fontId="4" fillId="0" borderId="3" xfId="6" applyNumberFormat="1" applyFont="1" applyFill="1" applyBorder="1" applyAlignment="1">
      <alignment horizontal="center" vertical="center"/>
    </xf>
    <xf numFmtId="0" fontId="4" fillId="0" borderId="4" xfId="6" applyNumberFormat="1" applyFont="1" applyFill="1" applyBorder="1" applyAlignment="1">
      <alignment horizontal="center" vertical="center"/>
    </xf>
    <xf numFmtId="0" fontId="5" fillId="0" borderId="1" xfId="6" applyNumberFormat="1" applyFont="1" applyFill="1" applyBorder="1" applyAlignment="1">
      <alignment horizontal="center" vertical="center" textRotation="90" wrapText="1"/>
    </xf>
    <xf numFmtId="0" fontId="5" fillId="0" borderId="12" xfId="6" applyNumberFormat="1" applyFont="1" applyFill="1" applyBorder="1" applyAlignment="1">
      <alignment horizontal="center" vertical="center" textRotation="90"/>
    </xf>
    <xf numFmtId="0" fontId="5" fillId="0" borderId="6" xfId="6" applyNumberFormat="1" applyFont="1" applyFill="1" applyBorder="1" applyAlignment="1">
      <alignment horizontal="center" vertical="center" textRotation="90"/>
    </xf>
    <xf numFmtId="0" fontId="4" fillId="0" borderId="9" xfId="3" applyNumberFormat="1" applyFont="1" applyFill="1" applyBorder="1" applyAlignment="1">
      <alignment horizontal="center" vertical="center"/>
    </xf>
    <xf numFmtId="0" fontId="4" fillId="0" borderId="10" xfId="3" applyNumberFormat="1" applyFont="1" applyFill="1" applyBorder="1" applyAlignment="1">
      <alignment horizontal="center" vertical="center"/>
    </xf>
    <xf numFmtId="0" fontId="4" fillId="0" borderId="11" xfId="3" applyNumberFormat="1" applyFont="1" applyFill="1" applyBorder="1" applyAlignment="1">
      <alignment horizontal="center" vertical="center"/>
    </xf>
    <xf numFmtId="0" fontId="5" fillId="0" borderId="9" xfId="3" applyNumberFormat="1" applyFont="1" applyFill="1" applyBorder="1" applyAlignment="1">
      <alignment horizontal="center" vertical="center" textRotation="90" wrapText="1"/>
    </xf>
    <xf numFmtId="0" fontId="5" fillId="0" borderId="15" xfId="3" applyNumberFormat="1" applyFont="1" applyFill="1" applyBorder="1" applyAlignment="1">
      <alignment horizontal="center" vertical="center" textRotation="90"/>
    </xf>
    <xf numFmtId="0" fontId="5" fillId="0" borderId="13" xfId="3" applyNumberFormat="1" applyFont="1" applyFill="1" applyBorder="1" applyAlignment="1">
      <alignment horizontal="center" vertical="center" textRotation="90"/>
    </xf>
    <xf numFmtId="0" fontId="5" fillId="0" borderId="14" xfId="3" applyNumberFormat="1" applyFont="1" applyFill="1" applyBorder="1" applyAlignment="1">
      <alignment horizontal="center" vertical="center" textRotation="90" wrapText="1"/>
    </xf>
    <xf numFmtId="0" fontId="5" fillId="0" borderId="14" xfId="3" applyNumberFormat="1" applyFont="1" applyFill="1" applyBorder="1" applyAlignment="1">
      <alignment horizontal="center" vertical="center" textRotation="90"/>
    </xf>
    <xf numFmtId="0" fontId="4" fillId="0" borderId="9" xfId="6" applyNumberFormat="1" applyFont="1" applyFill="1" applyBorder="1" applyAlignment="1">
      <alignment horizontal="center" vertical="center"/>
    </xf>
    <xf numFmtId="0" fontId="4" fillId="0" borderId="10" xfId="6" applyNumberFormat="1" applyFont="1" applyFill="1" applyBorder="1" applyAlignment="1">
      <alignment horizontal="center" vertical="center"/>
    </xf>
    <xf numFmtId="0" fontId="4" fillId="0" borderId="11" xfId="6" applyNumberFormat="1" applyFont="1" applyFill="1" applyBorder="1" applyAlignment="1">
      <alignment horizontal="center" vertical="center"/>
    </xf>
    <xf numFmtId="0" fontId="5" fillId="0" borderId="9" xfId="6" applyNumberFormat="1" applyFont="1" applyFill="1" applyBorder="1" applyAlignment="1">
      <alignment horizontal="center" vertical="center" textRotation="90" wrapText="1"/>
    </xf>
    <xf numFmtId="0" fontId="5" fillId="0" borderId="15" xfId="6" applyNumberFormat="1" applyFont="1" applyFill="1" applyBorder="1" applyAlignment="1">
      <alignment horizontal="center" vertical="center" textRotation="90"/>
    </xf>
    <xf numFmtId="0" fontId="5" fillId="0" borderId="13" xfId="6" applyNumberFormat="1" applyFont="1" applyFill="1" applyBorder="1" applyAlignment="1">
      <alignment horizontal="center" vertical="center" textRotation="90"/>
    </xf>
    <xf numFmtId="0" fontId="5" fillId="0" borderId="14" xfId="6" applyNumberFormat="1" applyFont="1" applyFill="1" applyBorder="1" applyAlignment="1">
      <alignment horizontal="center" vertical="center" textRotation="90" wrapText="1"/>
    </xf>
    <xf numFmtId="0" fontId="5" fillId="0" borderId="14" xfId="6" applyNumberFormat="1" applyFont="1" applyFill="1" applyBorder="1" applyAlignment="1">
      <alignment horizontal="center" vertical="center" textRotation="90"/>
    </xf>
  </cellXfs>
  <cellStyles count="22">
    <cellStyle name="Обычный" xfId="0" builtinId="0"/>
    <cellStyle name="Обычный 10" xfId="4"/>
    <cellStyle name="Обычный 10 2" xfId="5"/>
    <cellStyle name="Обычный 11" xfId="2"/>
    <cellStyle name="Обычный 11 2" xfId="6"/>
    <cellStyle name="Обычный 2" xfId="1"/>
    <cellStyle name="Обычный 2 2" xfId="3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43"/>
  <sheetViews>
    <sheetView topLeftCell="A11" workbookViewId="0">
      <selection activeCell="O56" sqref="O56"/>
    </sheetView>
  </sheetViews>
  <sheetFormatPr defaultColWidth="14.42578125" defaultRowHeight="15" customHeight="1" x14ac:dyDescent="0.25"/>
  <cols>
    <col min="1" max="1" width="4.140625" style="6" customWidth="1"/>
    <col min="2" max="2" width="6.5703125" style="6" customWidth="1"/>
    <col min="3" max="3" width="40.42578125" style="6" customWidth="1"/>
    <col min="4" max="18" width="6.7109375" style="6" customWidth="1"/>
    <col min="19" max="19" width="11.28515625" style="6" customWidth="1"/>
    <col min="20" max="20" width="14.42578125" style="6" customWidth="1"/>
    <col min="21" max="16384" width="14.42578125" style="6"/>
  </cols>
  <sheetData>
    <row r="1" spans="1:19" s="21" customFormat="1" ht="15" customHeight="1" x14ac:dyDescent="0.25">
      <c r="A1" s="51" t="s">
        <v>69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s="21" customFormat="1" ht="15" customHeight="1" x14ac:dyDescent="0.25">
      <c r="A2" s="51" t="s">
        <v>70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19" s="20" customFormat="1" ht="15" customHeight="1" x14ac:dyDescent="0.25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4" spans="1:19" s="21" customFormat="1" ht="15" customHeight="1" x14ac:dyDescent="0.25">
      <c r="A4" s="53" t="s">
        <v>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</row>
    <row r="5" spans="1:19" s="21" customFormat="1" ht="15" customHeight="1" x14ac:dyDescent="0.25">
      <c r="A5" s="53" t="s">
        <v>71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19" s="21" customFormat="1" ht="15" customHeight="1" x14ac:dyDescent="0.25">
      <c r="A6" s="50" t="s">
        <v>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</row>
    <row r="7" spans="1:19" ht="15" customHeight="1" x14ac:dyDescent="0.25">
      <c r="A7" s="54" t="s">
        <v>3</v>
      </c>
      <c r="B7" s="57" t="s">
        <v>4</v>
      </c>
      <c r="C7" s="57" t="s">
        <v>5</v>
      </c>
      <c r="D7" s="58" t="s">
        <v>6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60"/>
    </row>
    <row r="8" spans="1:19" ht="15" customHeight="1" x14ac:dyDescent="0.25">
      <c r="A8" s="55"/>
      <c r="B8" s="55"/>
      <c r="C8" s="55"/>
      <c r="D8" s="61" t="s">
        <v>66</v>
      </c>
      <c r="E8" s="61" t="s">
        <v>15</v>
      </c>
      <c r="F8" s="61" t="s">
        <v>8</v>
      </c>
      <c r="G8" s="61" t="s">
        <v>18</v>
      </c>
      <c r="H8" s="61" t="s">
        <v>14</v>
      </c>
      <c r="I8" s="61" t="s">
        <v>68</v>
      </c>
      <c r="J8" s="61" t="s">
        <v>16</v>
      </c>
      <c r="K8" s="61" t="s">
        <v>12</v>
      </c>
      <c r="L8" s="61" t="s">
        <v>17</v>
      </c>
      <c r="M8" s="61" t="s">
        <v>9</v>
      </c>
      <c r="N8" s="61" t="s">
        <v>7</v>
      </c>
      <c r="O8" s="61" t="s">
        <v>13</v>
      </c>
      <c r="P8" s="61" t="s">
        <v>10</v>
      </c>
      <c r="Q8" s="61" t="s">
        <v>67</v>
      </c>
      <c r="R8" s="61" t="s">
        <v>11</v>
      </c>
      <c r="S8" s="66" t="s">
        <v>19</v>
      </c>
    </row>
    <row r="9" spans="1:19" ht="15" customHeight="1" x14ac:dyDescent="0.25">
      <c r="A9" s="55"/>
      <c r="B9" s="55"/>
      <c r="C9" s="55"/>
      <c r="D9" s="62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7"/>
    </row>
    <row r="10" spans="1:19" ht="97.5" customHeight="1" x14ac:dyDescent="0.25">
      <c r="A10" s="56"/>
      <c r="B10" s="56"/>
      <c r="C10" s="56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8"/>
    </row>
    <row r="11" spans="1:19" s="5" customFormat="1" ht="15" customHeight="1" x14ac:dyDescent="0.25">
      <c r="A11" s="1" t="s">
        <v>20</v>
      </c>
      <c r="B11" s="1">
        <v>1</v>
      </c>
      <c r="C11" s="2" t="s">
        <v>51</v>
      </c>
      <c r="D11" s="3">
        <v>4</v>
      </c>
      <c r="E11" s="3">
        <v>4</v>
      </c>
      <c r="F11" s="3">
        <v>10</v>
      </c>
      <c r="G11" s="3">
        <v>8</v>
      </c>
      <c r="H11" s="3">
        <v>5</v>
      </c>
      <c r="I11" s="3" t="s">
        <v>22</v>
      </c>
      <c r="J11" s="3">
        <v>5</v>
      </c>
      <c r="K11" s="3">
        <v>7</v>
      </c>
      <c r="L11" s="3">
        <v>5</v>
      </c>
      <c r="M11" s="3">
        <v>4</v>
      </c>
      <c r="N11" s="3">
        <v>4</v>
      </c>
      <c r="O11" s="3">
        <v>5</v>
      </c>
      <c r="P11" s="3">
        <v>4</v>
      </c>
      <c r="Q11" s="3">
        <v>6</v>
      </c>
      <c r="R11" s="3">
        <v>4</v>
      </c>
      <c r="S11" s="12" t="str">
        <f>IF(COUNTIF(D11:R11,"=*")&gt;0,"-",(AVERAGE(D11:R11)))</f>
        <v>-</v>
      </c>
    </row>
    <row r="12" spans="1:19" s="5" customFormat="1" ht="15" customHeight="1" x14ac:dyDescent="0.25">
      <c r="A12" s="1" t="s">
        <v>21</v>
      </c>
      <c r="B12" s="1">
        <v>2</v>
      </c>
      <c r="C12" s="2" t="s">
        <v>52</v>
      </c>
      <c r="D12" s="3">
        <v>10</v>
      </c>
      <c r="E12" s="3">
        <v>10</v>
      </c>
      <c r="F12" s="3">
        <v>10</v>
      </c>
      <c r="G12" s="3">
        <v>9</v>
      </c>
      <c r="H12" s="3">
        <v>11</v>
      </c>
      <c r="I12" s="3">
        <v>10</v>
      </c>
      <c r="J12" s="3">
        <v>10</v>
      </c>
      <c r="K12" s="3">
        <v>9</v>
      </c>
      <c r="L12" s="3">
        <v>9</v>
      </c>
      <c r="M12" s="3">
        <v>7</v>
      </c>
      <c r="N12" s="3">
        <v>8</v>
      </c>
      <c r="O12" s="3">
        <v>8</v>
      </c>
      <c r="P12" s="3">
        <v>10</v>
      </c>
      <c r="Q12" s="3">
        <v>10</v>
      </c>
      <c r="R12" s="3">
        <v>8</v>
      </c>
      <c r="S12" s="12">
        <f t="shared" ref="S12:S26" si="0">IF(COUNTIF(D12:R12,"=*")&gt;0,"-",(AVERAGE(D12:R12)))</f>
        <v>9.2666666666666675</v>
      </c>
    </row>
    <row r="13" spans="1:19" s="5" customFormat="1" ht="15" customHeight="1" x14ac:dyDescent="0.25">
      <c r="A13" s="1" t="s">
        <v>21</v>
      </c>
      <c r="B13" s="1">
        <v>3</v>
      </c>
      <c r="C13" s="2" t="s">
        <v>53</v>
      </c>
      <c r="D13" s="3">
        <v>9</v>
      </c>
      <c r="E13" s="3">
        <v>10</v>
      </c>
      <c r="F13" s="3">
        <v>10</v>
      </c>
      <c r="G13" s="3">
        <v>10</v>
      </c>
      <c r="H13" s="3">
        <v>8</v>
      </c>
      <c r="I13" s="3">
        <v>10</v>
      </c>
      <c r="J13" s="3">
        <v>11</v>
      </c>
      <c r="K13" s="3">
        <v>9</v>
      </c>
      <c r="L13" s="3">
        <v>9</v>
      </c>
      <c r="M13" s="3">
        <v>8</v>
      </c>
      <c r="N13" s="3">
        <v>9</v>
      </c>
      <c r="O13" s="3">
        <v>7</v>
      </c>
      <c r="P13" s="3">
        <v>9</v>
      </c>
      <c r="Q13" s="3">
        <v>8</v>
      </c>
      <c r="R13" s="3">
        <v>8</v>
      </c>
      <c r="S13" s="12">
        <f t="shared" si="0"/>
        <v>9</v>
      </c>
    </row>
    <row r="14" spans="1:19" s="5" customFormat="1" ht="15" customHeight="1" x14ac:dyDescent="0.25">
      <c r="A14" s="1" t="s">
        <v>20</v>
      </c>
      <c r="B14" s="1">
        <v>4</v>
      </c>
      <c r="C14" s="2" t="s">
        <v>54</v>
      </c>
      <c r="D14" s="3">
        <v>8</v>
      </c>
      <c r="E14" s="3">
        <v>8</v>
      </c>
      <c r="F14" s="3">
        <v>7</v>
      </c>
      <c r="G14" s="3">
        <v>8</v>
      </c>
      <c r="H14" s="3">
        <v>6</v>
      </c>
      <c r="I14" s="3">
        <v>8</v>
      </c>
      <c r="J14" s="3">
        <v>6</v>
      </c>
      <c r="K14" s="3">
        <v>7</v>
      </c>
      <c r="L14" s="3">
        <v>5</v>
      </c>
      <c r="M14" s="3">
        <v>5</v>
      </c>
      <c r="N14" s="3">
        <v>7</v>
      </c>
      <c r="O14" s="3">
        <v>6</v>
      </c>
      <c r="P14" s="3">
        <v>7</v>
      </c>
      <c r="Q14" s="3">
        <v>9</v>
      </c>
      <c r="R14" s="3">
        <v>7</v>
      </c>
      <c r="S14" s="12">
        <f t="shared" si="0"/>
        <v>6.9333333333333336</v>
      </c>
    </row>
    <row r="15" spans="1:19" s="5" customFormat="1" ht="15" customHeight="1" x14ac:dyDescent="0.25">
      <c r="A15" s="1" t="s">
        <v>21</v>
      </c>
      <c r="B15" s="1">
        <v>5</v>
      </c>
      <c r="C15" s="2" t="s">
        <v>55</v>
      </c>
      <c r="D15" s="3">
        <v>10</v>
      </c>
      <c r="E15" s="3">
        <v>9</v>
      </c>
      <c r="F15" s="3">
        <v>10</v>
      </c>
      <c r="G15" s="3">
        <v>10</v>
      </c>
      <c r="H15" s="3">
        <v>11</v>
      </c>
      <c r="I15" s="3">
        <v>10</v>
      </c>
      <c r="J15" s="3">
        <v>8</v>
      </c>
      <c r="K15" s="3">
        <v>10</v>
      </c>
      <c r="L15" s="3">
        <v>9</v>
      </c>
      <c r="M15" s="3">
        <v>9</v>
      </c>
      <c r="N15" s="3">
        <v>8</v>
      </c>
      <c r="O15" s="3">
        <v>8</v>
      </c>
      <c r="P15" s="3">
        <v>10</v>
      </c>
      <c r="Q15" s="3">
        <v>11</v>
      </c>
      <c r="R15" s="3">
        <v>8</v>
      </c>
      <c r="S15" s="12">
        <f t="shared" si="0"/>
        <v>9.4</v>
      </c>
    </row>
    <row r="16" spans="1:19" s="5" customFormat="1" ht="15" customHeight="1" x14ac:dyDescent="0.25">
      <c r="A16" s="1" t="s">
        <v>20</v>
      </c>
      <c r="B16" s="1">
        <v>6</v>
      </c>
      <c r="C16" s="2" t="s">
        <v>56</v>
      </c>
      <c r="D16" s="3">
        <v>9</v>
      </c>
      <c r="E16" s="3">
        <v>10</v>
      </c>
      <c r="F16" s="3">
        <v>10</v>
      </c>
      <c r="G16" s="3">
        <v>10</v>
      </c>
      <c r="H16" s="3">
        <v>10</v>
      </c>
      <c r="I16" s="3">
        <v>9</v>
      </c>
      <c r="J16" s="3">
        <v>10</v>
      </c>
      <c r="K16" s="3">
        <v>7</v>
      </c>
      <c r="L16" s="3">
        <v>8</v>
      </c>
      <c r="M16" s="3">
        <v>6</v>
      </c>
      <c r="N16" s="3">
        <v>10</v>
      </c>
      <c r="O16" s="3">
        <v>9</v>
      </c>
      <c r="P16" s="3">
        <v>8</v>
      </c>
      <c r="Q16" s="3">
        <v>11</v>
      </c>
      <c r="R16" s="3">
        <v>8</v>
      </c>
      <c r="S16" s="12">
        <f t="shared" si="0"/>
        <v>9</v>
      </c>
    </row>
    <row r="17" spans="1:22" s="5" customFormat="1" ht="15" customHeight="1" x14ac:dyDescent="0.25">
      <c r="A17" s="1" t="s">
        <v>20</v>
      </c>
      <c r="B17" s="1">
        <v>7</v>
      </c>
      <c r="C17" s="2" t="s">
        <v>57</v>
      </c>
      <c r="D17" s="3" t="s">
        <v>22</v>
      </c>
      <c r="E17" s="3">
        <v>4</v>
      </c>
      <c r="F17" s="3">
        <v>8</v>
      </c>
      <c r="G17" s="3">
        <v>6</v>
      </c>
      <c r="H17" s="3">
        <v>5</v>
      </c>
      <c r="I17" s="3" t="s">
        <v>22</v>
      </c>
      <c r="J17" s="3">
        <v>4</v>
      </c>
      <c r="K17" s="3">
        <v>4</v>
      </c>
      <c r="L17" s="3">
        <v>4</v>
      </c>
      <c r="M17" s="3" t="s">
        <v>22</v>
      </c>
      <c r="N17" s="3">
        <v>4</v>
      </c>
      <c r="O17" s="3">
        <v>4</v>
      </c>
      <c r="P17" s="3" t="s">
        <v>22</v>
      </c>
      <c r="Q17" s="3">
        <v>4</v>
      </c>
      <c r="R17" s="3" t="s">
        <v>22</v>
      </c>
      <c r="S17" s="12" t="str">
        <f t="shared" si="0"/>
        <v>-</v>
      </c>
    </row>
    <row r="18" spans="1:22" s="5" customFormat="1" ht="15" customHeight="1" x14ac:dyDescent="0.25">
      <c r="A18" s="1" t="s">
        <v>20</v>
      </c>
      <c r="B18" s="1">
        <v>8</v>
      </c>
      <c r="C18" s="2" t="s">
        <v>58</v>
      </c>
      <c r="D18" s="3">
        <v>4</v>
      </c>
      <c r="E18" s="3">
        <v>5</v>
      </c>
      <c r="F18" s="3">
        <v>8</v>
      </c>
      <c r="G18" s="3">
        <v>6</v>
      </c>
      <c r="H18" s="3">
        <v>7</v>
      </c>
      <c r="I18" s="3">
        <v>4</v>
      </c>
      <c r="J18" s="3">
        <v>6</v>
      </c>
      <c r="K18" s="3">
        <v>5</v>
      </c>
      <c r="L18" s="3">
        <v>5</v>
      </c>
      <c r="M18" s="3">
        <v>4</v>
      </c>
      <c r="N18" s="3">
        <v>4</v>
      </c>
      <c r="O18" s="3">
        <v>4</v>
      </c>
      <c r="P18" s="3">
        <v>4</v>
      </c>
      <c r="Q18" s="3">
        <v>7</v>
      </c>
      <c r="R18" s="3">
        <v>4</v>
      </c>
      <c r="S18" s="12">
        <f t="shared" si="0"/>
        <v>5.1333333333333337</v>
      </c>
    </row>
    <row r="19" spans="1:22" s="5" customFormat="1" ht="15" customHeight="1" x14ac:dyDescent="0.25">
      <c r="A19" s="1" t="s">
        <v>21</v>
      </c>
      <c r="B19" s="1">
        <v>9</v>
      </c>
      <c r="C19" s="2" t="s">
        <v>59</v>
      </c>
      <c r="D19" s="3">
        <v>8</v>
      </c>
      <c r="E19" s="3">
        <v>10</v>
      </c>
      <c r="F19" s="3">
        <v>10</v>
      </c>
      <c r="G19" s="3">
        <v>10</v>
      </c>
      <c r="H19" s="3">
        <v>10</v>
      </c>
      <c r="I19" s="3">
        <v>9</v>
      </c>
      <c r="J19" s="3">
        <v>10</v>
      </c>
      <c r="K19" s="3">
        <v>9</v>
      </c>
      <c r="L19" s="3">
        <v>8</v>
      </c>
      <c r="M19" s="3">
        <v>7</v>
      </c>
      <c r="N19" s="3">
        <v>9</v>
      </c>
      <c r="O19" s="3">
        <v>9</v>
      </c>
      <c r="P19" s="3">
        <v>9</v>
      </c>
      <c r="Q19" s="3">
        <v>11</v>
      </c>
      <c r="R19" s="3">
        <v>8</v>
      </c>
      <c r="S19" s="12">
        <f t="shared" si="0"/>
        <v>9.1333333333333329</v>
      </c>
    </row>
    <row r="20" spans="1:22" s="5" customFormat="1" ht="15" customHeight="1" x14ac:dyDescent="0.25">
      <c r="A20" s="1" t="s">
        <v>21</v>
      </c>
      <c r="B20" s="1">
        <v>10</v>
      </c>
      <c r="C20" s="2" t="s">
        <v>60</v>
      </c>
      <c r="D20" s="3">
        <v>5</v>
      </c>
      <c r="E20" s="3">
        <v>7</v>
      </c>
      <c r="F20" s="3">
        <v>10</v>
      </c>
      <c r="G20" s="3">
        <v>10</v>
      </c>
      <c r="H20" s="3">
        <v>9</v>
      </c>
      <c r="I20" s="3" t="s">
        <v>22</v>
      </c>
      <c r="J20" s="3">
        <v>7</v>
      </c>
      <c r="K20" s="3">
        <v>7</v>
      </c>
      <c r="L20" s="3">
        <v>6</v>
      </c>
      <c r="M20" s="3" t="s">
        <v>22</v>
      </c>
      <c r="N20" s="3">
        <v>7</v>
      </c>
      <c r="O20" s="3">
        <v>7</v>
      </c>
      <c r="P20" s="3">
        <v>4</v>
      </c>
      <c r="Q20" s="3">
        <v>5</v>
      </c>
      <c r="R20" s="3">
        <v>4</v>
      </c>
      <c r="S20" s="12" t="str">
        <f t="shared" si="0"/>
        <v>-</v>
      </c>
    </row>
    <row r="21" spans="1:22" s="5" customFormat="1" ht="15" customHeight="1" x14ac:dyDescent="0.25">
      <c r="A21" s="1" t="s">
        <v>21</v>
      </c>
      <c r="B21" s="1">
        <v>11</v>
      </c>
      <c r="C21" s="2" t="s">
        <v>61</v>
      </c>
      <c r="D21" s="3">
        <v>10</v>
      </c>
      <c r="E21" s="3">
        <v>9</v>
      </c>
      <c r="F21" s="3">
        <v>10</v>
      </c>
      <c r="G21" s="3">
        <v>10</v>
      </c>
      <c r="H21" s="3">
        <v>8</v>
      </c>
      <c r="I21" s="3">
        <v>10</v>
      </c>
      <c r="J21" s="3">
        <v>8</v>
      </c>
      <c r="K21" s="3">
        <v>10</v>
      </c>
      <c r="L21" s="3">
        <v>7</v>
      </c>
      <c r="M21" s="3">
        <v>8</v>
      </c>
      <c r="N21" s="3">
        <v>8</v>
      </c>
      <c r="O21" s="3">
        <v>7</v>
      </c>
      <c r="P21" s="3">
        <v>10</v>
      </c>
      <c r="Q21" s="3">
        <v>7</v>
      </c>
      <c r="R21" s="3">
        <v>9</v>
      </c>
      <c r="S21" s="12">
        <f t="shared" si="0"/>
        <v>8.7333333333333325</v>
      </c>
    </row>
    <row r="22" spans="1:22" s="5" customFormat="1" ht="15" customHeight="1" x14ac:dyDescent="0.25">
      <c r="A22" s="1" t="s">
        <v>21</v>
      </c>
      <c r="B22" s="1">
        <v>12</v>
      </c>
      <c r="C22" s="2" t="s">
        <v>62</v>
      </c>
      <c r="D22" s="3">
        <v>11</v>
      </c>
      <c r="E22" s="3">
        <v>11</v>
      </c>
      <c r="F22" s="3">
        <v>10</v>
      </c>
      <c r="G22" s="3">
        <v>10</v>
      </c>
      <c r="H22" s="3">
        <v>11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v>10</v>
      </c>
      <c r="O22" s="3">
        <v>10</v>
      </c>
      <c r="P22" s="3">
        <v>10</v>
      </c>
      <c r="Q22" s="3">
        <v>11</v>
      </c>
      <c r="R22" s="3">
        <v>10</v>
      </c>
      <c r="S22" s="12">
        <f t="shared" si="0"/>
        <v>10.266666666666667</v>
      </c>
    </row>
    <row r="23" spans="1:22" s="5" customFormat="1" ht="15" customHeight="1" x14ac:dyDescent="0.25">
      <c r="A23" s="1" t="s">
        <v>21</v>
      </c>
      <c r="B23" s="1">
        <v>13</v>
      </c>
      <c r="C23" s="2" t="s">
        <v>63</v>
      </c>
      <c r="D23" s="3">
        <v>4</v>
      </c>
      <c r="E23" s="3">
        <v>9</v>
      </c>
      <c r="F23" s="3">
        <v>10</v>
      </c>
      <c r="G23" s="3">
        <v>8</v>
      </c>
      <c r="H23" s="3">
        <v>9</v>
      </c>
      <c r="I23" s="3">
        <v>6</v>
      </c>
      <c r="J23" s="3">
        <v>6</v>
      </c>
      <c r="K23" s="3">
        <v>7</v>
      </c>
      <c r="L23" s="3">
        <v>6</v>
      </c>
      <c r="M23" s="3">
        <v>4</v>
      </c>
      <c r="N23" s="3">
        <v>7</v>
      </c>
      <c r="O23" s="3">
        <v>7</v>
      </c>
      <c r="P23" s="3">
        <v>4</v>
      </c>
      <c r="Q23" s="3">
        <v>9</v>
      </c>
      <c r="R23" s="3">
        <v>4</v>
      </c>
      <c r="S23" s="12">
        <f t="shared" si="0"/>
        <v>6.666666666666667</v>
      </c>
    </row>
    <row r="24" spans="1:22" s="5" customFormat="1" ht="15.75" customHeight="1" x14ac:dyDescent="0.25">
      <c r="A24" s="1" t="s">
        <v>21</v>
      </c>
      <c r="B24" s="1">
        <v>14</v>
      </c>
      <c r="C24" s="2" t="s">
        <v>64</v>
      </c>
      <c r="D24" s="3">
        <v>7</v>
      </c>
      <c r="E24" s="3">
        <v>8</v>
      </c>
      <c r="F24" s="3">
        <v>10</v>
      </c>
      <c r="G24" s="3">
        <v>10</v>
      </c>
      <c r="H24" s="3">
        <v>8</v>
      </c>
      <c r="I24" s="3">
        <v>9</v>
      </c>
      <c r="J24" s="3">
        <v>9</v>
      </c>
      <c r="K24" s="3">
        <v>8</v>
      </c>
      <c r="L24" s="3">
        <v>7</v>
      </c>
      <c r="M24" s="3">
        <v>5</v>
      </c>
      <c r="N24" s="3">
        <v>7</v>
      </c>
      <c r="O24" s="3">
        <v>7</v>
      </c>
      <c r="P24" s="3">
        <v>8</v>
      </c>
      <c r="Q24" s="3">
        <v>7</v>
      </c>
      <c r="R24" s="3">
        <v>8</v>
      </c>
      <c r="S24" s="12">
        <f t="shared" si="0"/>
        <v>7.8666666666666663</v>
      </c>
    </row>
    <row r="25" spans="1:22" s="5" customFormat="1" ht="15.75" customHeight="1" x14ac:dyDescent="0.25">
      <c r="A25" s="1" t="s">
        <v>21</v>
      </c>
      <c r="B25" s="1">
        <v>15</v>
      </c>
      <c r="C25" s="2" t="s">
        <v>65</v>
      </c>
      <c r="D25" s="3">
        <v>6</v>
      </c>
      <c r="E25" s="3">
        <v>6</v>
      </c>
      <c r="F25" s="3">
        <v>10</v>
      </c>
      <c r="G25" s="3">
        <v>8</v>
      </c>
      <c r="H25" s="3">
        <v>8</v>
      </c>
      <c r="I25" s="3">
        <v>7</v>
      </c>
      <c r="J25" s="3">
        <v>6</v>
      </c>
      <c r="K25" s="3">
        <v>8</v>
      </c>
      <c r="L25" s="3">
        <v>6</v>
      </c>
      <c r="M25" s="3">
        <v>4</v>
      </c>
      <c r="N25" s="3">
        <v>4</v>
      </c>
      <c r="O25" s="3">
        <v>4</v>
      </c>
      <c r="P25" s="3">
        <v>7</v>
      </c>
      <c r="Q25" s="3">
        <v>6</v>
      </c>
      <c r="R25" s="3">
        <v>7</v>
      </c>
      <c r="S25" s="12">
        <f t="shared" si="0"/>
        <v>6.4666666666666668</v>
      </c>
    </row>
    <row r="26" spans="1:22" ht="15.75" customHeight="1" x14ac:dyDescent="0.25">
      <c r="C26" s="7" t="s">
        <v>23</v>
      </c>
      <c r="D26" s="8">
        <f t="shared" ref="D26:R26" si="1">AVERAGE(D11:D25)</f>
        <v>7.5</v>
      </c>
      <c r="E26" s="8">
        <f t="shared" si="1"/>
        <v>8</v>
      </c>
      <c r="F26" s="8">
        <f t="shared" si="1"/>
        <v>9.5333333333333332</v>
      </c>
      <c r="G26" s="8">
        <f t="shared" si="1"/>
        <v>8.8666666666666671</v>
      </c>
      <c r="H26" s="8">
        <f t="shared" si="1"/>
        <v>8.4</v>
      </c>
      <c r="I26" s="8">
        <f t="shared" si="1"/>
        <v>8.5</v>
      </c>
      <c r="J26" s="8">
        <f t="shared" si="1"/>
        <v>7.7333333333333334</v>
      </c>
      <c r="K26" s="8">
        <f t="shared" si="1"/>
        <v>7.8</v>
      </c>
      <c r="L26" s="8">
        <f t="shared" si="1"/>
        <v>6.9333333333333336</v>
      </c>
      <c r="M26" s="8">
        <f t="shared" si="1"/>
        <v>6.2307692307692308</v>
      </c>
      <c r="N26" s="8">
        <f t="shared" si="1"/>
        <v>7.0666666666666664</v>
      </c>
      <c r="O26" s="8">
        <f t="shared" si="1"/>
        <v>6.8</v>
      </c>
      <c r="P26" s="8">
        <f t="shared" si="1"/>
        <v>7.4285714285714288</v>
      </c>
      <c r="Q26" s="8">
        <f t="shared" si="1"/>
        <v>8.1333333333333329</v>
      </c>
      <c r="R26" s="9">
        <f t="shared" si="1"/>
        <v>6.9285714285714288</v>
      </c>
      <c r="S26" s="12">
        <f t="shared" si="0"/>
        <v>7.7236385836385839</v>
      </c>
    </row>
    <row r="27" spans="1:22" ht="15.75" customHeight="1" x14ac:dyDescent="0.25">
      <c r="C27" s="2" t="s">
        <v>24</v>
      </c>
      <c r="D27" s="10">
        <f>(COUNT(D11:D25))/(COUNT(B11:B25))*100</f>
        <v>93.333333333333329</v>
      </c>
      <c r="E27" s="10">
        <f>(COUNT(E11:E25))/(COUNT(B11:B25))*100</f>
        <v>100</v>
      </c>
      <c r="F27" s="10">
        <f>(COUNT(F11:F25))/(COUNT(B11:B25))*100</f>
        <v>100</v>
      </c>
      <c r="G27" s="10">
        <f>(COUNT(G11:G25))/(COUNT(B11:B25))*100</f>
        <v>100</v>
      </c>
      <c r="H27" s="10">
        <f>(COUNT(H11:H25))/(COUNT(B11:B25))*100</f>
        <v>100</v>
      </c>
      <c r="I27" s="10">
        <f>(COUNT(I11:I25))/(COUNT(B11:B25))*100</f>
        <v>80</v>
      </c>
      <c r="J27" s="10">
        <f>(COUNT(J11:J25))/(COUNT(B11:B25))*100</f>
        <v>100</v>
      </c>
      <c r="K27" s="10">
        <f>(COUNT(K11:K25))/(COUNT(B11:B25))*100</f>
        <v>100</v>
      </c>
      <c r="L27" s="10">
        <f>(COUNT(L11:L25))/(COUNT(B11:B25))*100</f>
        <v>100</v>
      </c>
      <c r="M27" s="10">
        <f>(COUNT(M11:M25))/(COUNT(B11:B25))*100</f>
        <v>86.666666666666671</v>
      </c>
      <c r="N27" s="10">
        <f>(COUNT(N11:N25))/(COUNT(B11:B25))*100</f>
        <v>100</v>
      </c>
      <c r="O27" s="10">
        <f>(COUNT(O11:O25))/(COUNT(B11:B25))*100</f>
        <v>100</v>
      </c>
      <c r="P27" s="10">
        <f>(COUNT(P11:P25))/(COUNT(B11:B25))*100</f>
        <v>93.333333333333329</v>
      </c>
      <c r="Q27" s="10">
        <f>(COUNT(Q11:Q25))/(COUNT(B11:B25))*100</f>
        <v>100</v>
      </c>
      <c r="R27" s="10">
        <f>(COUNT(R11:R25))/(COUNT(B11:B25))*100</f>
        <v>93.333333333333329</v>
      </c>
      <c r="S27" s="5"/>
      <c r="T27" s="5"/>
      <c r="U27" s="5"/>
      <c r="V27" s="5"/>
    </row>
    <row r="28" spans="1:22" ht="15.75" customHeight="1" x14ac:dyDescent="0.25">
      <c r="C28" s="2" t="s">
        <v>25</v>
      </c>
      <c r="D28" s="11">
        <f>(COUNTIF(D11:D25,"&gt;=7"))/(COUNT(B11:B25))*100</f>
        <v>60</v>
      </c>
      <c r="E28" s="11">
        <f>(COUNTIF(E11:E25,"&gt;=7"))/(COUNT(B11:B25))*100</f>
        <v>73.333333333333329</v>
      </c>
      <c r="F28" s="11">
        <f>(COUNTIF(F11:F25,"&gt;=7"))/(COUNT(B11:B25))*100</f>
        <v>100</v>
      </c>
      <c r="G28" s="11">
        <f>(COUNTIF(G11:G25,"&gt;=7"))/(COUNT(B11:B25))*100</f>
        <v>86.666666666666671</v>
      </c>
      <c r="H28" s="11">
        <f>(COUNTIF(H11:H25,"&gt;=7"))/(COUNT(B11:B25))*100</f>
        <v>80</v>
      </c>
      <c r="I28" s="11">
        <f>(COUNTIF(I11:I25,"&gt;=7"))/(COUNT(B11:B25))*100</f>
        <v>66.666666666666657</v>
      </c>
      <c r="J28" s="11">
        <f>(COUNTIF(J11:J25,"&gt;=7"))/(COUNT(B11:B25))*100</f>
        <v>60</v>
      </c>
      <c r="K28" s="11">
        <f>(COUNTIF(K11:K25,"&gt;=7"))/(COUNT(B11:B25))*100</f>
        <v>86.666666666666671</v>
      </c>
      <c r="L28" s="11">
        <f>(COUNTIF(L11:L25,"&gt;=7"))/(COUNT(B11:B25))*100</f>
        <v>53.333333333333336</v>
      </c>
      <c r="M28" s="11">
        <f>(COUNTIF(M11:M25,"&gt;=7"))/(COUNT(B11:B25))*100</f>
        <v>40</v>
      </c>
      <c r="N28" s="11">
        <f>(COUNTIF(N11:N25,"&gt;=7"))/(COUNT(B11:B25))*100</f>
        <v>73.333333333333329</v>
      </c>
      <c r="O28" s="11">
        <f>(COUNTIF(O11:O25,"&gt;=7"))/(COUNT(B11:B25))*100</f>
        <v>66.666666666666657</v>
      </c>
      <c r="P28" s="11">
        <f>(COUNTIF(P11:P25,"&gt;=7"))/(COUNT(B11:B25))*100</f>
        <v>66.666666666666657</v>
      </c>
      <c r="Q28" s="11">
        <f>(COUNTIF(Q11:Q25,"&gt;=7"))/(COUNT(B11:B25))*100</f>
        <v>73.333333333333329</v>
      </c>
      <c r="R28" s="11">
        <f>(COUNTIF(R11:R25,"&gt;=7"))/(COUNT(B11:B25))*100</f>
        <v>66.666666666666657</v>
      </c>
      <c r="S28" s="5"/>
      <c r="T28" s="5"/>
      <c r="U28" s="5"/>
      <c r="V28" s="5"/>
    </row>
    <row r="29" spans="1:22" ht="15.75" customHeight="1" x14ac:dyDescent="0.25">
      <c r="C29" s="2" t="s">
        <v>26</v>
      </c>
      <c r="D29" s="8">
        <f>AVERAGE(D27:R27)</f>
        <v>96.444444444444429</v>
      </c>
      <c r="S29" s="5"/>
      <c r="T29" s="5"/>
      <c r="U29" s="5"/>
      <c r="V29" s="5"/>
    </row>
    <row r="30" spans="1:22" ht="15.75" customHeight="1" x14ac:dyDescent="0.25">
      <c r="C30" s="2" t="s">
        <v>27</v>
      </c>
      <c r="D30" s="8">
        <f>AVERAGE(D28:R28)</f>
        <v>70.222222222222214</v>
      </c>
      <c r="S30" s="5"/>
      <c r="T30" s="5"/>
      <c r="U30" s="5"/>
      <c r="V30" s="5"/>
    </row>
    <row r="31" spans="1:22" ht="15.75" customHeight="1" x14ac:dyDescent="0.25">
      <c r="C31" s="2" t="s">
        <v>29</v>
      </c>
      <c r="D31" s="22">
        <f>COUNTIF(A11:A25,"=Б")</f>
        <v>10</v>
      </c>
      <c r="S31" s="5"/>
      <c r="T31" s="5"/>
      <c r="U31" s="5"/>
      <c r="V31" s="5"/>
    </row>
    <row r="32" spans="1:22" ht="15.75" customHeight="1" x14ac:dyDescent="0.25">
      <c r="C32" s="2" t="s">
        <v>28</v>
      </c>
      <c r="D32" s="4">
        <f>COUNTIF(A11:A25,"=К")</f>
        <v>5</v>
      </c>
      <c r="G32" s="13" t="s">
        <v>32</v>
      </c>
      <c r="N32" s="13" t="s">
        <v>33</v>
      </c>
    </row>
    <row r="33" spans="3:14" ht="15.75" customHeight="1" x14ac:dyDescent="0.25">
      <c r="C33" s="2" t="s">
        <v>30</v>
      </c>
      <c r="D33" s="4">
        <v>1</v>
      </c>
    </row>
    <row r="34" spans="3:14" ht="15.75" customHeight="1" x14ac:dyDescent="0.25">
      <c r="C34" s="2" t="s">
        <v>31</v>
      </c>
      <c r="D34" s="4">
        <f>INT(D31/100*40)</f>
        <v>4</v>
      </c>
      <c r="G34" s="13" t="s">
        <v>34</v>
      </c>
      <c r="N34" s="13" t="s">
        <v>35</v>
      </c>
    </row>
    <row r="35" spans="3:14" ht="15.75" customHeight="1" x14ac:dyDescent="0.25"/>
    <row r="36" spans="3:14" ht="15.75" customHeight="1" x14ac:dyDescent="0.25"/>
    <row r="37" spans="3:14" ht="15.75" customHeight="1" x14ac:dyDescent="0.25"/>
    <row r="38" spans="3:14" ht="15.75" customHeight="1" x14ac:dyDescent="0.25"/>
    <row r="39" spans="3:14" ht="15.75" customHeight="1" x14ac:dyDescent="0.25"/>
    <row r="40" spans="3:14" ht="15.75" customHeight="1" x14ac:dyDescent="0.25"/>
    <row r="41" spans="3:14" ht="15.75" customHeight="1" x14ac:dyDescent="0.25"/>
    <row r="42" spans="3:14" ht="15.75" customHeight="1" x14ac:dyDescent="0.25"/>
    <row r="43" spans="3:14" ht="15.75" customHeight="1" x14ac:dyDescent="0.25"/>
    <row r="44" spans="3:14" ht="15.75" customHeight="1" x14ac:dyDescent="0.25"/>
    <row r="45" spans="3:14" ht="15.75" customHeight="1" x14ac:dyDescent="0.25"/>
    <row r="46" spans="3:14" ht="15.75" customHeight="1" x14ac:dyDescent="0.25"/>
    <row r="47" spans="3:14" ht="15.75" customHeight="1" x14ac:dyDescent="0.25"/>
    <row r="48" spans="3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</sheetData>
  <mergeCells count="26"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A1:S1"/>
    <mergeCell ref="A2:S2"/>
    <mergeCell ref="A3:S3"/>
    <mergeCell ref="A4:S4"/>
    <mergeCell ref="A5:S5"/>
  </mergeCells>
  <pageMargins left="0.25" right="0.25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39"/>
  <sheetViews>
    <sheetView tabSelected="1" topLeftCell="A17" workbookViewId="0">
      <selection sqref="A1:S30"/>
    </sheetView>
  </sheetViews>
  <sheetFormatPr defaultColWidth="14.42578125" defaultRowHeight="15" customHeight="1" x14ac:dyDescent="0.25"/>
  <cols>
    <col min="1" max="1" width="4.140625" style="25" customWidth="1"/>
    <col min="2" max="2" width="6.5703125" style="25" customWidth="1"/>
    <col min="3" max="3" width="40.42578125" style="25" customWidth="1"/>
    <col min="4" max="18" width="6.7109375" style="25" customWidth="1"/>
    <col min="19" max="19" width="11.28515625" style="25" customWidth="1"/>
    <col min="20" max="20" width="14.42578125" style="25" customWidth="1"/>
    <col min="21" max="16384" width="14.42578125" style="25"/>
  </cols>
  <sheetData>
    <row r="1" spans="1:24" s="23" customFormat="1" ht="15" customHeight="1" x14ac:dyDescent="0.25">
      <c r="A1" s="70" t="s">
        <v>69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24" s="23" customFormat="1" ht="15" customHeight="1" x14ac:dyDescent="0.25">
      <c r="A2" s="70" t="s">
        <v>70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24" s="24" customFormat="1" ht="15" customHeight="1" x14ac:dyDescent="0.25">
      <c r="A3" s="71" t="s">
        <v>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24" s="23" customFormat="1" ht="15" customHeight="1" x14ac:dyDescent="0.25">
      <c r="A4" s="51" t="s">
        <v>37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24" s="23" customFormat="1" ht="15" customHeight="1" x14ac:dyDescent="0.25">
      <c r="A5" s="51" t="s">
        <v>71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1:24" s="23" customFormat="1" ht="15" customHeight="1" x14ac:dyDescent="0.25">
      <c r="A6" s="69" t="s">
        <v>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</row>
    <row r="7" spans="1:24" ht="15" customHeight="1" x14ac:dyDescent="0.25">
      <c r="A7" s="72" t="s">
        <v>3</v>
      </c>
      <c r="B7" s="75" t="s">
        <v>4</v>
      </c>
      <c r="C7" s="75" t="s">
        <v>5</v>
      </c>
      <c r="D7" s="76" t="s">
        <v>6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8"/>
    </row>
    <row r="8" spans="1:24" ht="15" customHeight="1" x14ac:dyDescent="0.25">
      <c r="A8" s="73"/>
      <c r="B8" s="73"/>
      <c r="C8" s="73"/>
      <c r="D8" s="61" t="s">
        <v>66</v>
      </c>
      <c r="E8" s="61" t="s">
        <v>15</v>
      </c>
      <c r="F8" s="61" t="s">
        <v>8</v>
      </c>
      <c r="G8" s="61" t="s">
        <v>18</v>
      </c>
      <c r="H8" s="61" t="s">
        <v>14</v>
      </c>
      <c r="I8" s="61" t="s">
        <v>68</v>
      </c>
      <c r="J8" s="61" t="s">
        <v>16</v>
      </c>
      <c r="K8" s="61" t="s">
        <v>12</v>
      </c>
      <c r="L8" s="61" t="s">
        <v>17</v>
      </c>
      <c r="M8" s="61" t="s">
        <v>9</v>
      </c>
      <c r="N8" s="61" t="s">
        <v>7</v>
      </c>
      <c r="O8" s="61" t="s">
        <v>13</v>
      </c>
      <c r="P8" s="61" t="s">
        <v>10</v>
      </c>
      <c r="Q8" s="61" t="s">
        <v>67</v>
      </c>
      <c r="R8" s="61" t="s">
        <v>11</v>
      </c>
      <c r="S8" s="79" t="s">
        <v>19</v>
      </c>
    </row>
    <row r="9" spans="1:24" ht="15" customHeight="1" x14ac:dyDescent="0.25">
      <c r="A9" s="73"/>
      <c r="B9" s="73"/>
      <c r="C9" s="73"/>
      <c r="D9" s="62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80"/>
    </row>
    <row r="10" spans="1:24" ht="97.5" customHeight="1" x14ac:dyDescent="0.25">
      <c r="A10" s="74"/>
      <c r="B10" s="74"/>
      <c r="C10" s="74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81"/>
    </row>
    <row r="11" spans="1:24" s="36" customFormat="1" ht="15" customHeight="1" x14ac:dyDescent="0.25">
      <c r="A11" s="32" t="s">
        <v>20</v>
      </c>
      <c r="B11" s="32">
        <v>1</v>
      </c>
      <c r="C11" s="33" t="s">
        <v>40</v>
      </c>
      <c r="D11" s="34">
        <v>4</v>
      </c>
      <c r="E11" s="34">
        <v>4</v>
      </c>
      <c r="F11" s="34">
        <v>6</v>
      </c>
      <c r="G11" s="34">
        <v>5</v>
      </c>
      <c r="H11" s="34">
        <v>5</v>
      </c>
      <c r="I11" s="34" t="s">
        <v>22</v>
      </c>
      <c r="J11" s="34">
        <v>4</v>
      </c>
      <c r="K11" s="34">
        <v>4</v>
      </c>
      <c r="L11" s="34">
        <v>5</v>
      </c>
      <c r="M11" s="34" t="s">
        <v>22</v>
      </c>
      <c r="N11" s="34">
        <v>4</v>
      </c>
      <c r="O11" s="34">
        <v>4</v>
      </c>
      <c r="P11" s="34">
        <v>2</v>
      </c>
      <c r="Q11" s="34">
        <v>5</v>
      </c>
      <c r="R11" s="34">
        <v>4</v>
      </c>
      <c r="S11" s="35" t="str">
        <f>IF(COUNTIF(D11:R11,"=*")&gt;0,"-",(AVERAGE(D11:R11)))</f>
        <v>-</v>
      </c>
      <c r="V11" s="25"/>
      <c r="W11" s="25"/>
      <c r="X11" s="25"/>
    </row>
    <row r="12" spans="1:24" s="36" customFormat="1" ht="15" customHeight="1" x14ac:dyDescent="0.25">
      <c r="A12" s="32" t="s">
        <v>21</v>
      </c>
      <c r="B12" s="32">
        <v>2</v>
      </c>
      <c r="C12" s="33" t="s">
        <v>41</v>
      </c>
      <c r="D12" s="34">
        <v>3</v>
      </c>
      <c r="E12" s="34">
        <v>5</v>
      </c>
      <c r="F12" s="34">
        <v>10</v>
      </c>
      <c r="G12" s="34">
        <v>7</v>
      </c>
      <c r="H12" s="34">
        <v>6</v>
      </c>
      <c r="I12" s="34" t="s">
        <v>22</v>
      </c>
      <c r="J12" s="34">
        <v>7</v>
      </c>
      <c r="K12" s="34">
        <v>4</v>
      </c>
      <c r="L12" s="34">
        <v>5</v>
      </c>
      <c r="M12" s="34" t="s">
        <v>22</v>
      </c>
      <c r="N12" s="34">
        <v>5</v>
      </c>
      <c r="O12" s="34">
        <v>5</v>
      </c>
      <c r="P12" s="34" t="s">
        <v>22</v>
      </c>
      <c r="Q12" s="34">
        <v>5</v>
      </c>
      <c r="R12" s="34">
        <v>4</v>
      </c>
      <c r="S12" s="35" t="str">
        <f t="shared" ref="S12:S22" si="0">IF(COUNTIF(D12:R12,"=*")&gt;0,"-",(AVERAGE(D12:R12)))</f>
        <v>-</v>
      </c>
      <c r="V12" s="25"/>
      <c r="W12" s="25"/>
      <c r="X12" s="25"/>
    </row>
    <row r="13" spans="1:24" s="36" customFormat="1" ht="15" customHeight="1" x14ac:dyDescent="0.25">
      <c r="A13" s="32" t="s">
        <v>21</v>
      </c>
      <c r="B13" s="32">
        <v>3</v>
      </c>
      <c r="C13" s="33" t="s">
        <v>42</v>
      </c>
      <c r="D13" s="34">
        <v>2</v>
      </c>
      <c r="E13" s="34">
        <v>5</v>
      </c>
      <c r="F13" s="34">
        <v>10</v>
      </c>
      <c r="G13" s="34">
        <v>7</v>
      </c>
      <c r="H13" s="34">
        <v>5</v>
      </c>
      <c r="I13" s="34">
        <v>5</v>
      </c>
      <c r="J13" s="34">
        <v>4</v>
      </c>
      <c r="K13" s="34">
        <v>5</v>
      </c>
      <c r="L13" s="34" t="s">
        <v>22</v>
      </c>
      <c r="M13" s="34">
        <v>4</v>
      </c>
      <c r="N13" s="34">
        <v>4</v>
      </c>
      <c r="O13" s="34">
        <v>4</v>
      </c>
      <c r="P13" s="34">
        <v>2</v>
      </c>
      <c r="Q13" s="34">
        <v>5</v>
      </c>
      <c r="R13" s="34">
        <v>5</v>
      </c>
      <c r="S13" s="35" t="str">
        <f t="shared" si="0"/>
        <v>-</v>
      </c>
      <c r="V13" s="25"/>
      <c r="W13" s="25"/>
      <c r="X13" s="25"/>
    </row>
    <row r="14" spans="1:24" s="36" customFormat="1" ht="15" customHeight="1" x14ac:dyDescent="0.25">
      <c r="A14" s="32" t="s">
        <v>21</v>
      </c>
      <c r="B14" s="32">
        <v>4</v>
      </c>
      <c r="C14" s="33" t="s">
        <v>43</v>
      </c>
      <c r="D14" s="34" t="s">
        <v>22</v>
      </c>
      <c r="E14" s="34" t="s">
        <v>22</v>
      </c>
      <c r="F14" s="34">
        <v>5</v>
      </c>
      <c r="G14" s="34">
        <v>4</v>
      </c>
      <c r="H14" s="34">
        <v>4</v>
      </c>
      <c r="I14" s="34" t="s">
        <v>22</v>
      </c>
      <c r="J14" s="34" t="s">
        <v>22</v>
      </c>
      <c r="K14" s="34" t="s">
        <v>22</v>
      </c>
      <c r="L14" s="34" t="s">
        <v>22</v>
      </c>
      <c r="M14" s="34" t="s">
        <v>22</v>
      </c>
      <c r="N14" s="34" t="s">
        <v>22</v>
      </c>
      <c r="O14" s="34" t="s">
        <v>22</v>
      </c>
      <c r="P14" s="34" t="s">
        <v>22</v>
      </c>
      <c r="Q14" s="34">
        <v>6</v>
      </c>
      <c r="R14" s="34" t="s">
        <v>22</v>
      </c>
      <c r="S14" s="35" t="str">
        <f t="shared" si="0"/>
        <v>-</v>
      </c>
      <c r="V14" s="25"/>
      <c r="W14" s="25"/>
      <c r="X14" s="25"/>
    </row>
    <row r="15" spans="1:24" s="36" customFormat="1" ht="15" customHeight="1" x14ac:dyDescent="0.25">
      <c r="A15" s="32" t="s">
        <v>21</v>
      </c>
      <c r="B15" s="32">
        <v>5</v>
      </c>
      <c r="C15" s="33" t="s">
        <v>44</v>
      </c>
      <c r="D15" s="34">
        <v>11</v>
      </c>
      <c r="E15" s="34">
        <v>11</v>
      </c>
      <c r="F15" s="34">
        <v>10</v>
      </c>
      <c r="G15" s="34">
        <v>11</v>
      </c>
      <c r="H15" s="34">
        <v>11</v>
      </c>
      <c r="I15" s="34">
        <v>10</v>
      </c>
      <c r="J15" s="34">
        <v>11</v>
      </c>
      <c r="K15" s="34">
        <v>10</v>
      </c>
      <c r="L15" s="34">
        <v>10</v>
      </c>
      <c r="M15" s="34">
        <v>10</v>
      </c>
      <c r="N15" s="34">
        <v>11</v>
      </c>
      <c r="O15" s="34">
        <v>10</v>
      </c>
      <c r="P15" s="34">
        <v>10</v>
      </c>
      <c r="Q15" s="34">
        <v>11</v>
      </c>
      <c r="R15" s="34">
        <v>10</v>
      </c>
      <c r="S15" s="35">
        <f t="shared" si="0"/>
        <v>10.466666666666667</v>
      </c>
      <c r="V15" s="25"/>
      <c r="W15" s="25"/>
      <c r="X15" s="25"/>
    </row>
    <row r="16" spans="1:24" s="36" customFormat="1" ht="15" customHeight="1" x14ac:dyDescent="0.25">
      <c r="A16" s="32" t="s">
        <v>21</v>
      </c>
      <c r="B16" s="32">
        <v>6</v>
      </c>
      <c r="C16" s="33" t="s">
        <v>45</v>
      </c>
      <c r="D16" s="34" t="s">
        <v>22</v>
      </c>
      <c r="E16" s="34">
        <v>4</v>
      </c>
      <c r="F16" s="34">
        <v>6</v>
      </c>
      <c r="G16" s="34">
        <v>4</v>
      </c>
      <c r="H16" s="34">
        <v>5</v>
      </c>
      <c r="I16" s="34" t="s">
        <v>22</v>
      </c>
      <c r="J16" s="34">
        <v>4</v>
      </c>
      <c r="K16" s="34">
        <v>4</v>
      </c>
      <c r="L16" s="34" t="s">
        <v>22</v>
      </c>
      <c r="M16" s="34" t="s">
        <v>22</v>
      </c>
      <c r="N16" s="34">
        <v>4</v>
      </c>
      <c r="O16" s="34">
        <v>4</v>
      </c>
      <c r="P16" s="34" t="s">
        <v>22</v>
      </c>
      <c r="Q16" s="34">
        <v>4</v>
      </c>
      <c r="R16" s="34">
        <v>4</v>
      </c>
      <c r="S16" s="35" t="str">
        <f t="shared" si="0"/>
        <v>-</v>
      </c>
      <c r="V16" s="25"/>
      <c r="W16" s="25"/>
      <c r="X16" s="25"/>
    </row>
    <row r="17" spans="1:24" s="36" customFormat="1" ht="15" customHeight="1" x14ac:dyDescent="0.25">
      <c r="A17" s="32" t="s">
        <v>21</v>
      </c>
      <c r="B17" s="32">
        <v>7</v>
      </c>
      <c r="C17" s="33" t="s">
        <v>46</v>
      </c>
      <c r="D17" s="34" t="s">
        <v>22</v>
      </c>
      <c r="E17" s="34" t="s">
        <v>22</v>
      </c>
      <c r="F17" s="34" t="s">
        <v>22</v>
      </c>
      <c r="G17" s="34">
        <v>4</v>
      </c>
      <c r="H17" s="34" t="s">
        <v>22</v>
      </c>
      <c r="I17" s="34" t="s">
        <v>22</v>
      </c>
      <c r="J17" s="34" t="s">
        <v>22</v>
      </c>
      <c r="K17" s="34" t="s">
        <v>22</v>
      </c>
      <c r="L17" s="34" t="s">
        <v>22</v>
      </c>
      <c r="M17" s="34" t="s">
        <v>22</v>
      </c>
      <c r="N17" s="34" t="s">
        <v>22</v>
      </c>
      <c r="O17" s="34" t="s">
        <v>22</v>
      </c>
      <c r="P17" s="34" t="s">
        <v>22</v>
      </c>
      <c r="Q17" s="34">
        <v>5</v>
      </c>
      <c r="R17" s="34" t="s">
        <v>22</v>
      </c>
      <c r="S17" s="35" t="str">
        <f t="shared" si="0"/>
        <v>-</v>
      </c>
      <c r="V17" s="25"/>
      <c r="W17" s="25"/>
      <c r="X17" s="25"/>
    </row>
    <row r="18" spans="1:24" s="36" customFormat="1" ht="15" customHeight="1" x14ac:dyDescent="0.25">
      <c r="A18" s="32" t="s">
        <v>21</v>
      </c>
      <c r="B18" s="32">
        <v>8</v>
      </c>
      <c r="C18" s="33" t="s">
        <v>47</v>
      </c>
      <c r="D18" s="34">
        <v>3</v>
      </c>
      <c r="E18" s="34">
        <v>4</v>
      </c>
      <c r="F18" s="34">
        <v>6</v>
      </c>
      <c r="G18" s="34">
        <v>6</v>
      </c>
      <c r="H18" s="34">
        <v>5</v>
      </c>
      <c r="I18" s="34" t="s">
        <v>22</v>
      </c>
      <c r="J18" s="34">
        <v>4</v>
      </c>
      <c r="K18" s="34">
        <v>4</v>
      </c>
      <c r="L18" s="34" t="s">
        <v>22</v>
      </c>
      <c r="M18" s="34">
        <v>4</v>
      </c>
      <c r="N18" s="34">
        <v>4</v>
      </c>
      <c r="O18" s="34">
        <v>4</v>
      </c>
      <c r="P18" s="34">
        <v>4</v>
      </c>
      <c r="Q18" s="34">
        <v>5</v>
      </c>
      <c r="R18" s="34" t="s">
        <v>22</v>
      </c>
      <c r="S18" s="35" t="str">
        <f t="shared" si="0"/>
        <v>-</v>
      </c>
      <c r="V18" s="25"/>
      <c r="W18" s="25"/>
      <c r="X18" s="25"/>
    </row>
    <row r="19" spans="1:24" s="36" customFormat="1" ht="15" customHeight="1" x14ac:dyDescent="0.25">
      <c r="A19" s="32" t="s">
        <v>21</v>
      </c>
      <c r="B19" s="32">
        <v>9</v>
      </c>
      <c r="C19" s="33" t="s">
        <v>48</v>
      </c>
      <c r="D19" s="34">
        <v>8</v>
      </c>
      <c r="E19" s="34">
        <v>6</v>
      </c>
      <c r="F19" s="34">
        <v>10</v>
      </c>
      <c r="G19" s="34">
        <v>8</v>
      </c>
      <c r="H19" s="34">
        <v>7</v>
      </c>
      <c r="I19" s="34">
        <v>6</v>
      </c>
      <c r="J19" s="34">
        <v>4</v>
      </c>
      <c r="K19" s="34">
        <v>5</v>
      </c>
      <c r="L19" s="34">
        <v>7</v>
      </c>
      <c r="M19" s="34">
        <v>4</v>
      </c>
      <c r="N19" s="34">
        <v>5</v>
      </c>
      <c r="O19" s="34">
        <v>4</v>
      </c>
      <c r="P19" s="34">
        <v>8</v>
      </c>
      <c r="Q19" s="34">
        <v>7</v>
      </c>
      <c r="R19" s="34">
        <v>7</v>
      </c>
      <c r="S19" s="35">
        <f t="shared" si="0"/>
        <v>6.4</v>
      </c>
      <c r="V19" s="25"/>
      <c r="W19" s="25"/>
      <c r="X19" s="25"/>
    </row>
    <row r="20" spans="1:24" s="36" customFormat="1" ht="15.75" customHeight="1" x14ac:dyDescent="0.25">
      <c r="A20" s="32" t="s">
        <v>21</v>
      </c>
      <c r="B20" s="32">
        <v>10</v>
      </c>
      <c r="C20" s="33" t="s">
        <v>49</v>
      </c>
      <c r="D20" s="34" t="s">
        <v>22</v>
      </c>
      <c r="E20" s="34">
        <v>6</v>
      </c>
      <c r="F20" s="34">
        <v>10</v>
      </c>
      <c r="G20" s="34">
        <v>6</v>
      </c>
      <c r="H20" s="34">
        <v>5</v>
      </c>
      <c r="I20" s="34">
        <v>6</v>
      </c>
      <c r="J20" s="34">
        <v>4</v>
      </c>
      <c r="K20" s="34">
        <v>9</v>
      </c>
      <c r="L20" s="34">
        <v>5</v>
      </c>
      <c r="M20" s="34">
        <v>4</v>
      </c>
      <c r="N20" s="34">
        <v>4</v>
      </c>
      <c r="O20" s="34">
        <v>4</v>
      </c>
      <c r="P20" s="34">
        <v>4</v>
      </c>
      <c r="Q20" s="34">
        <v>5</v>
      </c>
      <c r="R20" s="34">
        <v>6</v>
      </c>
      <c r="S20" s="35" t="str">
        <f t="shared" si="0"/>
        <v>-</v>
      </c>
      <c r="V20" s="25"/>
      <c r="W20" s="25"/>
      <c r="X20" s="25"/>
    </row>
    <row r="21" spans="1:24" s="36" customFormat="1" ht="15.75" customHeight="1" x14ac:dyDescent="0.25">
      <c r="A21" s="32" t="s">
        <v>21</v>
      </c>
      <c r="B21" s="32">
        <v>11</v>
      </c>
      <c r="C21" s="33" t="s">
        <v>50</v>
      </c>
      <c r="D21" s="34">
        <v>8</v>
      </c>
      <c r="E21" s="34">
        <v>9</v>
      </c>
      <c r="F21" s="34">
        <v>10</v>
      </c>
      <c r="G21" s="34">
        <v>9</v>
      </c>
      <c r="H21" s="34">
        <v>10</v>
      </c>
      <c r="I21" s="34">
        <v>7</v>
      </c>
      <c r="J21" s="34">
        <v>8</v>
      </c>
      <c r="K21" s="34">
        <v>6</v>
      </c>
      <c r="L21" s="34">
        <v>8</v>
      </c>
      <c r="M21" s="34">
        <v>7</v>
      </c>
      <c r="N21" s="34">
        <v>9</v>
      </c>
      <c r="O21" s="34">
        <v>7</v>
      </c>
      <c r="P21" s="34">
        <v>7</v>
      </c>
      <c r="Q21" s="34">
        <v>11</v>
      </c>
      <c r="R21" s="37">
        <v>7</v>
      </c>
      <c r="S21" s="35">
        <f t="shared" si="0"/>
        <v>8.1999999999999993</v>
      </c>
      <c r="V21" s="25"/>
      <c r="W21" s="25"/>
      <c r="X21" s="25"/>
    </row>
    <row r="22" spans="1:24" ht="15.75" customHeight="1" x14ac:dyDescent="0.25">
      <c r="C22" s="38" t="s">
        <v>23</v>
      </c>
      <c r="D22" s="39">
        <f t="shared" ref="D22:R22" si="1">AVERAGE(D11:D21)</f>
        <v>5.5714285714285712</v>
      </c>
      <c r="E22" s="39">
        <f t="shared" si="1"/>
        <v>6</v>
      </c>
      <c r="F22" s="39">
        <f t="shared" si="1"/>
        <v>8.3000000000000007</v>
      </c>
      <c r="G22" s="39">
        <f t="shared" si="1"/>
        <v>6.4545454545454541</v>
      </c>
      <c r="H22" s="39">
        <f t="shared" si="1"/>
        <v>6.3</v>
      </c>
      <c r="I22" s="39">
        <f t="shared" si="1"/>
        <v>6.8</v>
      </c>
      <c r="J22" s="39">
        <f t="shared" si="1"/>
        <v>5.5555555555555554</v>
      </c>
      <c r="K22" s="39">
        <f t="shared" si="1"/>
        <v>5.666666666666667</v>
      </c>
      <c r="L22" s="39">
        <f t="shared" si="1"/>
        <v>6.666666666666667</v>
      </c>
      <c r="M22" s="39">
        <f t="shared" si="1"/>
        <v>5.5</v>
      </c>
      <c r="N22" s="39">
        <f t="shared" si="1"/>
        <v>5.5555555555555554</v>
      </c>
      <c r="O22" s="39">
        <f t="shared" si="1"/>
        <v>5.1111111111111107</v>
      </c>
      <c r="P22" s="39">
        <f t="shared" si="1"/>
        <v>5.2857142857142856</v>
      </c>
      <c r="Q22" s="40">
        <f t="shared" si="1"/>
        <v>6.2727272727272725</v>
      </c>
      <c r="R22" s="41">
        <f t="shared" si="1"/>
        <v>5.875</v>
      </c>
      <c r="S22" s="35">
        <f t="shared" si="0"/>
        <v>6.0609980759980751</v>
      </c>
    </row>
    <row r="23" spans="1:24" ht="15.75" customHeight="1" x14ac:dyDescent="0.25">
      <c r="C23" s="33" t="s">
        <v>24</v>
      </c>
      <c r="D23" s="42">
        <f>(COUNT(D11:D21))/(COUNT(B11:B21))*100</f>
        <v>63.636363636363633</v>
      </c>
      <c r="E23" s="42">
        <f>(COUNT(E11:E21))/(COUNT(B11:B21))*100</f>
        <v>81.818181818181827</v>
      </c>
      <c r="F23" s="42">
        <f>(COUNT(F11:F21))/(COUNT(B11:B21))*100</f>
        <v>90.909090909090907</v>
      </c>
      <c r="G23" s="42">
        <f>(COUNT(G11:G21))/(COUNT(B11:B21))*100</f>
        <v>100</v>
      </c>
      <c r="H23" s="42">
        <f>(COUNT(H11:H21))/(COUNT(B11:B21))*100</f>
        <v>90.909090909090907</v>
      </c>
      <c r="I23" s="42">
        <f>(COUNT(I11:I21))/(COUNT(B11:B21))*100</f>
        <v>45.454545454545453</v>
      </c>
      <c r="J23" s="42">
        <f>(COUNT(J11:J21))/(COUNT(B11:B21))*100</f>
        <v>81.818181818181827</v>
      </c>
      <c r="K23" s="42">
        <f>(COUNT(K11:K21))/(COUNT(B11:B21))*100</f>
        <v>81.818181818181827</v>
      </c>
      <c r="L23" s="42">
        <f>(COUNT(L11:L21))/(COUNT(B11:B21))*100</f>
        <v>54.54545454545454</v>
      </c>
      <c r="M23" s="42">
        <f>(COUNT(M11:M21))/(COUNT(B11:B21))*100</f>
        <v>54.54545454545454</v>
      </c>
      <c r="N23" s="42">
        <f>(COUNT(N11:N21))/(COUNT(B11:B21))*100</f>
        <v>81.818181818181827</v>
      </c>
      <c r="O23" s="42">
        <f>(COUNT(O11:O21))/(COUNT(B11:B21))*100</f>
        <v>81.818181818181827</v>
      </c>
      <c r="P23" s="42">
        <f>(COUNT(P11:P21))/(COUNT(B11:B21))*100</f>
        <v>63.636363636363633</v>
      </c>
      <c r="Q23" s="43">
        <f>(COUNT(Q11:Q21))/(COUNT(B11:B21))*100</f>
        <v>100</v>
      </c>
      <c r="R23" s="44">
        <f>(COUNT(R11:R21))/(COUNT(B11:B21))*100</f>
        <v>72.727272727272734</v>
      </c>
      <c r="S23" s="36"/>
      <c r="T23" s="36"/>
      <c r="U23" s="36"/>
      <c r="V23" s="36"/>
    </row>
    <row r="24" spans="1:24" ht="15.75" customHeight="1" x14ac:dyDescent="0.25">
      <c r="C24" s="33" t="s">
        <v>25</v>
      </c>
      <c r="D24" s="44">
        <f>(COUNTIF(D11:D21,"&gt;=7"))/(COUNT(B11:B21))*100</f>
        <v>27.27272727272727</v>
      </c>
      <c r="E24" s="44">
        <f>(COUNTIF(E11:E21,"&gt;=7"))/(COUNT(B11:B21))*100</f>
        <v>18.181818181818183</v>
      </c>
      <c r="F24" s="44">
        <f>(COUNTIF(F11:F21,"&gt;=7"))/(COUNT(B11:B21))*100</f>
        <v>54.54545454545454</v>
      </c>
      <c r="G24" s="44">
        <f>(COUNTIF(G11:G21,"&gt;=7"))/(COUNT(B11:B21))*100</f>
        <v>45.454545454545453</v>
      </c>
      <c r="H24" s="44">
        <f>(COUNTIF(H11:H21,"&gt;=7"))/(COUNT(B11:B21))*100</f>
        <v>27.27272727272727</v>
      </c>
      <c r="I24" s="44">
        <f>(COUNTIF(I11:I21,"&gt;=7"))/(COUNT(B11:B21))*100</f>
        <v>18.181818181818183</v>
      </c>
      <c r="J24" s="44">
        <f>(COUNTIF(J11:J21,"&gt;=7"))/(COUNT(B11:B21))*100</f>
        <v>27.27272727272727</v>
      </c>
      <c r="K24" s="44">
        <f>(COUNTIF(K11:K21,"&gt;=7"))/(COUNT(B11:B21))*100</f>
        <v>18.181818181818183</v>
      </c>
      <c r="L24" s="44">
        <f>(COUNTIF(L11:L21,"&gt;=7"))/(COUNT(B11:B21))*100</f>
        <v>27.27272727272727</v>
      </c>
      <c r="M24" s="44">
        <f>(COUNTIF(M11:M21,"&gt;=7"))/(COUNT(B11:B21))*100</f>
        <v>18.181818181818183</v>
      </c>
      <c r="N24" s="44">
        <f>(COUNTIF(N11:N21,"&gt;=7"))/(COUNT(B11:B21))*100</f>
        <v>18.181818181818183</v>
      </c>
      <c r="O24" s="44">
        <f>(COUNTIF(O11:O21,"&gt;=7"))/(COUNT(B11:B21))*100</f>
        <v>18.181818181818183</v>
      </c>
      <c r="P24" s="44">
        <f>(COUNTIF(P11:P21,"&gt;=7"))/(COUNT(B11:B21))*100</f>
        <v>27.27272727272727</v>
      </c>
      <c r="Q24" s="45">
        <f>(COUNTIF(Q11:Q21,"&gt;=7"))/(COUNT(B11:B21))*100</f>
        <v>27.27272727272727</v>
      </c>
      <c r="R24" s="44">
        <f>(COUNTIF(R11:R21,"&gt;=7"))/(COUNT(B11:B21))*100</f>
        <v>27.27272727272727</v>
      </c>
      <c r="S24" s="36"/>
      <c r="T24" s="36"/>
      <c r="U24" s="36"/>
      <c r="V24" s="36"/>
    </row>
    <row r="25" spans="1:24" ht="15.75" customHeight="1" x14ac:dyDescent="0.25">
      <c r="C25" s="33" t="s">
        <v>26</v>
      </c>
      <c r="D25" s="46">
        <f>AVERAGE(D23:R23)</f>
        <v>76.36363636363636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4" ht="15.75" customHeight="1" x14ac:dyDescent="0.25">
      <c r="C26" s="33" t="s">
        <v>27</v>
      </c>
      <c r="D26" s="39">
        <f>AVERAGE(D24:R24)</f>
        <v>26.666666666666664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4" ht="15.75" customHeight="1" x14ac:dyDescent="0.25">
      <c r="C27" s="33" t="s">
        <v>29</v>
      </c>
      <c r="D27" s="47">
        <f>COUNTIF(A11:A21,"=Б")</f>
        <v>10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4" ht="15.75" customHeight="1" x14ac:dyDescent="0.25">
      <c r="C28" s="33" t="s">
        <v>28</v>
      </c>
      <c r="D28" s="47">
        <f>COUNTIF(A11:A21,"=К")</f>
        <v>1</v>
      </c>
      <c r="E28" s="36"/>
      <c r="F28" s="36"/>
      <c r="G28" s="48" t="s">
        <v>32</v>
      </c>
      <c r="H28" s="36"/>
      <c r="I28" s="36"/>
      <c r="J28" s="36"/>
      <c r="K28" s="36"/>
      <c r="L28" s="36"/>
      <c r="M28" s="36"/>
      <c r="N28" s="48" t="s">
        <v>33</v>
      </c>
      <c r="P28" s="36"/>
      <c r="Q28" s="36"/>
      <c r="R28" s="36"/>
      <c r="S28" s="36"/>
    </row>
    <row r="29" spans="1:24" ht="15.75" customHeight="1" x14ac:dyDescent="0.25">
      <c r="C29" s="33" t="s">
        <v>30</v>
      </c>
      <c r="D29" s="47">
        <v>0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P29" s="36"/>
      <c r="Q29" s="36"/>
      <c r="R29" s="36"/>
      <c r="S29" s="36"/>
    </row>
    <row r="30" spans="1:24" ht="15.75" customHeight="1" x14ac:dyDescent="0.25">
      <c r="C30" s="33" t="s">
        <v>31</v>
      </c>
      <c r="D30" s="47">
        <f>INT(D27/100*40)</f>
        <v>4</v>
      </c>
      <c r="E30" s="36"/>
      <c r="F30" s="36"/>
      <c r="G30" s="48" t="s">
        <v>34</v>
      </c>
      <c r="N30" s="48" t="s">
        <v>35</v>
      </c>
      <c r="P30" s="36"/>
      <c r="Q30" s="36"/>
      <c r="R30" s="36"/>
      <c r="S30" s="36"/>
    </row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26"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A1:S1"/>
    <mergeCell ref="A2:S2"/>
    <mergeCell ref="A3:S3"/>
    <mergeCell ref="A4:S4"/>
    <mergeCell ref="A5:S5"/>
  </mergeCells>
  <printOptions horizontalCentered="1" verticalCentered="1"/>
  <pageMargins left="0.25" right="0.25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97"/>
  <sheetViews>
    <sheetView workbookViewId="0">
      <selection sqref="A1:T1"/>
    </sheetView>
  </sheetViews>
  <sheetFormatPr defaultColWidth="14.42578125" defaultRowHeight="15" customHeight="1" x14ac:dyDescent="0.25"/>
  <cols>
    <col min="1" max="1" width="4.140625" style="6" customWidth="1"/>
    <col min="2" max="2" width="6.5703125" style="6" customWidth="1"/>
    <col min="3" max="3" width="40.42578125" style="6" customWidth="1"/>
    <col min="4" max="18" width="6.7109375" style="6" customWidth="1"/>
    <col min="19" max="19" width="8.85546875" style="6" customWidth="1"/>
    <col min="20" max="20" width="11.28515625" style="6" customWidth="1"/>
    <col min="21" max="16384" width="14.42578125" style="6"/>
  </cols>
  <sheetData>
    <row r="1" spans="1:20" s="21" customFormat="1" ht="15" customHeight="1" x14ac:dyDescent="0.25">
      <c r="A1" s="51" t="s">
        <v>69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s="21" customFormat="1" ht="15" customHeight="1" x14ac:dyDescent="0.25">
      <c r="A2" s="51" t="s">
        <v>70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0" s="20" customFormat="1" ht="15" customHeight="1" x14ac:dyDescent="0.25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</row>
    <row r="4" spans="1:20" s="21" customFormat="1" ht="15" customHeight="1" x14ac:dyDescent="0.25">
      <c r="A4" s="53" t="s">
        <v>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1:20" s="21" customFormat="1" ht="15" customHeight="1" x14ac:dyDescent="0.25">
      <c r="A5" s="53" t="s">
        <v>71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0" s="21" customFormat="1" ht="15" customHeight="1" x14ac:dyDescent="0.25">
      <c r="A6" s="50" t="s">
        <v>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15" customHeight="1" x14ac:dyDescent="0.25">
      <c r="A7" s="54" t="s">
        <v>3</v>
      </c>
      <c r="B7" s="57" t="s">
        <v>4</v>
      </c>
      <c r="C7" s="57" t="s">
        <v>5</v>
      </c>
      <c r="D7" s="82" t="s">
        <v>6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4"/>
    </row>
    <row r="8" spans="1:20" ht="15" customHeight="1" x14ac:dyDescent="0.25">
      <c r="A8" s="55"/>
      <c r="B8" s="55"/>
      <c r="C8" s="55"/>
      <c r="D8" s="61" t="s">
        <v>66</v>
      </c>
      <c r="E8" s="61" t="s">
        <v>15</v>
      </c>
      <c r="F8" s="61" t="s">
        <v>8</v>
      </c>
      <c r="G8" s="61" t="s">
        <v>18</v>
      </c>
      <c r="H8" s="61" t="s">
        <v>14</v>
      </c>
      <c r="I8" s="61" t="s">
        <v>68</v>
      </c>
      <c r="J8" s="61" t="s">
        <v>16</v>
      </c>
      <c r="K8" s="61" t="s">
        <v>12</v>
      </c>
      <c r="L8" s="61" t="s">
        <v>17</v>
      </c>
      <c r="M8" s="61" t="s">
        <v>9</v>
      </c>
      <c r="N8" s="61" t="s">
        <v>7</v>
      </c>
      <c r="O8" s="61" t="s">
        <v>13</v>
      </c>
      <c r="P8" s="61" t="s">
        <v>10</v>
      </c>
      <c r="Q8" s="61" t="s">
        <v>67</v>
      </c>
      <c r="R8" s="61" t="s">
        <v>11</v>
      </c>
      <c r="S8" s="85" t="s">
        <v>38</v>
      </c>
      <c r="T8" s="88" t="s">
        <v>39</v>
      </c>
    </row>
    <row r="9" spans="1:20" ht="15" customHeight="1" x14ac:dyDescent="0.25">
      <c r="A9" s="55"/>
      <c r="B9" s="55"/>
      <c r="C9" s="55"/>
      <c r="D9" s="62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86"/>
      <c r="T9" s="89"/>
    </row>
    <row r="10" spans="1:20" ht="91.5" customHeight="1" x14ac:dyDescent="0.25">
      <c r="A10" s="56"/>
      <c r="B10" s="56"/>
      <c r="C10" s="55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87"/>
      <c r="T10" s="89"/>
    </row>
    <row r="11" spans="1:20" ht="15.75" x14ac:dyDescent="0.25">
      <c r="A11" s="15" t="s">
        <v>21</v>
      </c>
      <c r="B11" s="15">
        <v>1</v>
      </c>
      <c r="C11" s="18" t="s">
        <v>62</v>
      </c>
      <c r="D11" s="16">
        <v>11</v>
      </c>
      <c r="E11" s="16">
        <v>11</v>
      </c>
      <c r="F11" s="16">
        <v>10</v>
      </c>
      <c r="G11" s="16">
        <v>10</v>
      </c>
      <c r="H11" s="16">
        <v>11</v>
      </c>
      <c r="I11" s="16">
        <v>10</v>
      </c>
      <c r="J11" s="16">
        <v>10</v>
      </c>
      <c r="K11" s="16">
        <v>10</v>
      </c>
      <c r="L11" s="16">
        <v>10</v>
      </c>
      <c r="M11" s="16">
        <v>10</v>
      </c>
      <c r="N11" s="16">
        <v>10</v>
      </c>
      <c r="O11" s="16">
        <v>10</v>
      </c>
      <c r="P11" s="16">
        <v>10</v>
      </c>
      <c r="Q11" s="16">
        <v>11</v>
      </c>
      <c r="R11" s="16">
        <v>10</v>
      </c>
      <c r="S11" s="17">
        <f>AVERAGE(D11:R11)</f>
        <v>10.266666666666667</v>
      </c>
      <c r="T11" s="17">
        <f>S11*90/12</f>
        <v>77.000000000000014</v>
      </c>
    </row>
    <row r="12" spans="1:20" ht="15.75" x14ac:dyDescent="0.25">
      <c r="A12" s="15" t="s">
        <v>21</v>
      </c>
      <c r="B12" s="15">
        <v>2</v>
      </c>
      <c r="C12" s="18" t="s">
        <v>55</v>
      </c>
      <c r="D12" s="16">
        <v>10</v>
      </c>
      <c r="E12" s="16">
        <v>9</v>
      </c>
      <c r="F12" s="16">
        <v>10</v>
      </c>
      <c r="G12" s="16">
        <v>10</v>
      </c>
      <c r="H12" s="16">
        <v>11</v>
      </c>
      <c r="I12" s="16">
        <v>10</v>
      </c>
      <c r="J12" s="16">
        <v>8</v>
      </c>
      <c r="K12" s="16">
        <v>10</v>
      </c>
      <c r="L12" s="16">
        <v>9</v>
      </c>
      <c r="M12" s="16">
        <v>9</v>
      </c>
      <c r="N12" s="16">
        <v>8</v>
      </c>
      <c r="O12" s="16">
        <v>8</v>
      </c>
      <c r="P12" s="16">
        <v>10</v>
      </c>
      <c r="Q12" s="16">
        <v>11</v>
      </c>
      <c r="R12" s="16">
        <v>8</v>
      </c>
      <c r="S12" s="17">
        <f t="shared" ref="S12:S19" si="0">AVERAGE(D12:R12)</f>
        <v>9.4</v>
      </c>
      <c r="T12" s="17">
        <f t="shared" ref="T12:T19" si="1">S12*90/12</f>
        <v>70.5</v>
      </c>
    </row>
    <row r="13" spans="1:20" ht="15.75" x14ac:dyDescent="0.25">
      <c r="A13" s="15" t="s">
        <v>21</v>
      </c>
      <c r="B13" s="15">
        <v>3</v>
      </c>
      <c r="C13" s="18" t="s">
        <v>52</v>
      </c>
      <c r="D13" s="16">
        <v>10</v>
      </c>
      <c r="E13" s="16">
        <v>10</v>
      </c>
      <c r="F13" s="16">
        <v>10</v>
      </c>
      <c r="G13" s="16">
        <v>9</v>
      </c>
      <c r="H13" s="16">
        <v>11</v>
      </c>
      <c r="I13" s="16">
        <v>10</v>
      </c>
      <c r="J13" s="16">
        <v>10</v>
      </c>
      <c r="K13" s="16">
        <v>9</v>
      </c>
      <c r="L13" s="16">
        <v>9</v>
      </c>
      <c r="M13" s="16">
        <v>7</v>
      </c>
      <c r="N13" s="16">
        <v>8</v>
      </c>
      <c r="O13" s="16">
        <v>8</v>
      </c>
      <c r="P13" s="16">
        <v>10</v>
      </c>
      <c r="Q13" s="16">
        <v>10</v>
      </c>
      <c r="R13" s="16">
        <v>8</v>
      </c>
      <c r="S13" s="17">
        <f t="shared" si="0"/>
        <v>9.2666666666666675</v>
      </c>
      <c r="T13" s="17">
        <f t="shared" si="1"/>
        <v>69.500000000000014</v>
      </c>
    </row>
    <row r="14" spans="1:20" ht="15.75" x14ac:dyDescent="0.25">
      <c r="A14" s="15" t="s">
        <v>21</v>
      </c>
      <c r="B14" s="15">
        <v>4</v>
      </c>
      <c r="C14" s="18" t="s">
        <v>59</v>
      </c>
      <c r="D14" s="16">
        <v>8</v>
      </c>
      <c r="E14" s="16">
        <v>10</v>
      </c>
      <c r="F14" s="16">
        <v>10</v>
      </c>
      <c r="G14" s="16">
        <v>10</v>
      </c>
      <c r="H14" s="16">
        <v>10</v>
      </c>
      <c r="I14" s="16">
        <v>9</v>
      </c>
      <c r="J14" s="16">
        <v>10</v>
      </c>
      <c r="K14" s="16">
        <v>9</v>
      </c>
      <c r="L14" s="16">
        <v>8</v>
      </c>
      <c r="M14" s="16">
        <v>7</v>
      </c>
      <c r="N14" s="16">
        <v>9</v>
      </c>
      <c r="O14" s="16">
        <v>9</v>
      </c>
      <c r="P14" s="16">
        <v>9</v>
      </c>
      <c r="Q14" s="16">
        <v>11</v>
      </c>
      <c r="R14" s="16">
        <v>8</v>
      </c>
      <c r="S14" s="17">
        <f t="shared" si="0"/>
        <v>9.1333333333333329</v>
      </c>
      <c r="T14" s="17">
        <f t="shared" si="1"/>
        <v>68.5</v>
      </c>
    </row>
    <row r="15" spans="1:20" ht="15.75" x14ac:dyDescent="0.25">
      <c r="A15" s="1" t="s">
        <v>21</v>
      </c>
      <c r="B15" s="1">
        <v>5</v>
      </c>
      <c r="C15" s="2" t="s">
        <v>53</v>
      </c>
      <c r="D15" s="3">
        <v>9</v>
      </c>
      <c r="E15" s="3">
        <v>10</v>
      </c>
      <c r="F15" s="3">
        <v>10</v>
      </c>
      <c r="G15" s="3">
        <v>10</v>
      </c>
      <c r="H15" s="3">
        <v>8</v>
      </c>
      <c r="I15" s="3">
        <v>10</v>
      </c>
      <c r="J15" s="3">
        <v>11</v>
      </c>
      <c r="K15" s="3">
        <v>9</v>
      </c>
      <c r="L15" s="3">
        <v>9</v>
      </c>
      <c r="M15" s="3">
        <v>8</v>
      </c>
      <c r="N15" s="3">
        <v>9</v>
      </c>
      <c r="O15" s="3">
        <v>7</v>
      </c>
      <c r="P15" s="3">
        <v>9</v>
      </c>
      <c r="Q15" s="3">
        <v>8</v>
      </c>
      <c r="R15" s="3">
        <v>8</v>
      </c>
      <c r="S15" s="14">
        <f t="shared" si="0"/>
        <v>9</v>
      </c>
      <c r="T15" s="14">
        <f t="shared" si="1"/>
        <v>67.5</v>
      </c>
    </row>
    <row r="16" spans="1:20" ht="15.75" x14ac:dyDescent="0.25">
      <c r="A16" s="1" t="s">
        <v>21</v>
      </c>
      <c r="B16" s="1">
        <v>6</v>
      </c>
      <c r="C16" s="2" t="s">
        <v>61</v>
      </c>
      <c r="D16" s="3">
        <v>10</v>
      </c>
      <c r="E16" s="3">
        <v>9</v>
      </c>
      <c r="F16" s="3">
        <v>10</v>
      </c>
      <c r="G16" s="3">
        <v>10</v>
      </c>
      <c r="H16" s="3">
        <v>8</v>
      </c>
      <c r="I16" s="3">
        <v>10</v>
      </c>
      <c r="J16" s="3">
        <v>8</v>
      </c>
      <c r="K16" s="3">
        <v>10</v>
      </c>
      <c r="L16" s="3">
        <v>7</v>
      </c>
      <c r="M16" s="3">
        <v>8</v>
      </c>
      <c r="N16" s="3">
        <v>8</v>
      </c>
      <c r="O16" s="3">
        <v>7</v>
      </c>
      <c r="P16" s="3">
        <v>10</v>
      </c>
      <c r="Q16" s="3">
        <v>7</v>
      </c>
      <c r="R16" s="3">
        <v>9</v>
      </c>
      <c r="S16" s="14">
        <f t="shared" si="0"/>
        <v>8.7333333333333325</v>
      </c>
      <c r="T16" s="14">
        <f t="shared" si="1"/>
        <v>65.499999999999986</v>
      </c>
    </row>
    <row r="17" spans="1:20" ht="15.75" x14ac:dyDescent="0.25">
      <c r="A17" s="1" t="s">
        <v>21</v>
      </c>
      <c r="B17" s="1">
        <v>7</v>
      </c>
      <c r="C17" s="2" t="s">
        <v>64</v>
      </c>
      <c r="D17" s="3">
        <v>7</v>
      </c>
      <c r="E17" s="3">
        <v>8</v>
      </c>
      <c r="F17" s="3">
        <v>10</v>
      </c>
      <c r="G17" s="3">
        <v>10</v>
      </c>
      <c r="H17" s="3">
        <v>8</v>
      </c>
      <c r="I17" s="3">
        <v>9</v>
      </c>
      <c r="J17" s="3">
        <v>9</v>
      </c>
      <c r="K17" s="3">
        <v>8</v>
      </c>
      <c r="L17" s="3">
        <v>7</v>
      </c>
      <c r="M17" s="3">
        <v>5</v>
      </c>
      <c r="N17" s="3">
        <v>7</v>
      </c>
      <c r="O17" s="3">
        <v>7</v>
      </c>
      <c r="P17" s="3">
        <v>8</v>
      </c>
      <c r="Q17" s="3">
        <v>7</v>
      </c>
      <c r="R17" s="3">
        <v>8</v>
      </c>
      <c r="S17" s="14">
        <f t="shared" si="0"/>
        <v>7.8666666666666663</v>
      </c>
      <c r="T17" s="14">
        <f t="shared" si="1"/>
        <v>59</v>
      </c>
    </row>
    <row r="18" spans="1:20" ht="15.75" x14ac:dyDescent="0.25">
      <c r="A18" s="1" t="s">
        <v>21</v>
      </c>
      <c r="B18" s="1">
        <v>8</v>
      </c>
      <c r="C18" s="2" t="s">
        <v>63</v>
      </c>
      <c r="D18" s="3">
        <v>4</v>
      </c>
      <c r="E18" s="3">
        <v>9</v>
      </c>
      <c r="F18" s="3">
        <v>10</v>
      </c>
      <c r="G18" s="3">
        <v>8</v>
      </c>
      <c r="H18" s="3">
        <v>9</v>
      </c>
      <c r="I18" s="3">
        <v>6</v>
      </c>
      <c r="J18" s="3">
        <v>6</v>
      </c>
      <c r="K18" s="3">
        <v>7</v>
      </c>
      <c r="L18" s="3">
        <v>6</v>
      </c>
      <c r="M18" s="3">
        <v>4</v>
      </c>
      <c r="N18" s="3">
        <v>7</v>
      </c>
      <c r="O18" s="3">
        <v>7</v>
      </c>
      <c r="P18" s="3">
        <v>4</v>
      </c>
      <c r="Q18" s="3">
        <v>9</v>
      </c>
      <c r="R18" s="3">
        <v>4</v>
      </c>
      <c r="S18" s="14">
        <f t="shared" si="0"/>
        <v>6.666666666666667</v>
      </c>
      <c r="T18" s="14">
        <f t="shared" si="1"/>
        <v>50</v>
      </c>
    </row>
    <row r="19" spans="1:20" ht="15.75" x14ac:dyDescent="0.25">
      <c r="A19" s="1" t="s">
        <v>21</v>
      </c>
      <c r="B19" s="1">
        <v>9</v>
      </c>
      <c r="C19" s="2" t="s">
        <v>65</v>
      </c>
      <c r="D19" s="3">
        <v>6</v>
      </c>
      <c r="E19" s="3">
        <v>6</v>
      </c>
      <c r="F19" s="3">
        <v>10</v>
      </c>
      <c r="G19" s="3">
        <v>8</v>
      </c>
      <c r="H19" s="3">
        <v>8</v>
      </c>
      <c r="I19" s="3">
        <v>7</v>
      </c>
      <c r="J19" s="3">
        <v>6</v>
      </c>
      <c r="K19" s="3">
        <v>8</v>
      </c>
      <c r="L19" s="3">
        <v>6</v>
      </c>
      <c r="M19" s="3">
        <v>4</v>
      </c>
      <c r="N19" s="3">
        <v>4</v>
      </c>
      <c r="O19" s="3">
        <v>4</v>
      </c>
      <c r="P19" s="3">
        <v>7</v>
      </c>
      <c r="Q19" s="3">
        <v>6</v>
      </c>
      <c r="R19" s="3">
        <v>7</v>
      </c>
      <c r="S19" s="14">
        <f t="shared" si="0"/>
        <v>6.4666666666666668</v>
      </c>
      <c r="T19" s="14">
        <f t="shared" si="1"/>
        <v>48.5</v>
      </c>
    </row>
    <row r="20" spans="1:20" ht="15.75" x14ac:dyDescent="0.25">
      <c r="C20" s="19" t="s">
        <v>29</v>
      </c>
      <c r="D20" s="4">
        <f>'Зведена відомість 101'!D31</f>
        <v>10</v>
      </c>
    </row>
    <row r="21" spans="1:20" ht="18.75" x14ac:dyDescent="0.25">
      <c r="C21" s="19" t="s">
        <v>28</v>
      </c>
      <c r="D21" s="4">
        <f>'Зведена відомість 101'!D32</f>
        <v>5</v>
      </c>
      <c r="G21" s="13" t="s">
        <v>32</v>
      </c>
      <c r="N21" s="13" t="s">
        <v>33</v>
      </c>
    </row>
    <row r="22" spans="1:20" ht="15.75" x14ac:dyDescent="0.25">
      <c r="C22" s="19" t="s">
        <v>30</v>
      </c>
      <c r="D22" s="4">
        <f>'Зведена відомість 101'!D33</f>
        <v>1</v>
      </c>
    </row>
    <row r="23" spans="1:20" ht="18.75" x14ac:dyDescent="0.25">
      <c r="C23" s="19" t="s">
        <v>31</v>
      </c>
      <c r="D23" s="4">
        <f>'Зведена відомість 101'!D34</f>
        <v>4</v>
      </c>
      <c r="G23" s="13" t="s">
        <v>34</v>
      </c>
      <c r="N23" s="13" t="s">
        <v>35</v>
      </c>
    </row>
    <row r="24" spans="1:20" ht="15.75" x14ac:dyDescent="0.25"/>
    <row r="25" spans="1:20" ht="15.75" x14ac:dyDescent="0.25"/>
    <row r="26" spans="1:20" ht="15.75" x14ac:dyDescent="0.25"/>
    <row r="27" spans="1:20" ht="15.75" x14ac:dyDescent="0.25"/>
    <row r="28" spans="1:20" ht="15.75" x14ac:dyDescent="0.25"/>
    <row r="29" spans="1:20" ht="15.75" x14ac:dyDescent="0.25"/>
    <row r="30" spans="1:20" ht="15.75" x14ac:dyDescent="0.25"/>
    <row r="31" spans="1:20" ht="15.75" x14ac:dyDescent="0.25"/>
    <row r="32" spans="1:20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76" spans="1:1" ht="15.7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>
      <c r="A79" s="6">
        <f>COUNTIF(A20:A39,"=Б")</f>
        <v>0</v>
      </c>
    </row>
    <row r="80" spans="1:1" ht="15.75" customHeight="1" x14ac:dyDescent="0.25">
      <c r="A80" s="6">
        <f>COUNTIF(A20:A39,"=Б")</f>
        <v>0</v>
      </c>
    </row>
    <row r="81" spans="1:1" ht="15.75" customHeight="1" x14ac:dyDescent="0.25">
      <c r="A81" s="6">
        <f>COUNTIF(A20:A39,"=Б")</f>
        <v>0</v>
      </c>
    </row>
    <row r="82" spans="1:1" ht="15.75" customHeight="1" x14ac:dyDescent="0.25">
      <c r="A82" s="6">
        <f>COUNTIF(A20:A39,"=Б")</f>
        <v>0</v>
      </c>
    </row>
    <row r="83" spans="1:1" ht="15.75" customHeight="1" x14ac:dyDescent="0.25">
      <c r="A83" s="6">
        <f>COUNTIF(A20:A39,"=Б")</f>
        <v>0</v>
      </c>
    </row>
    <row r="84" spans="1:1" ht="15.75" customHeight="1" x14ac:dyDescent="0.25">
      <c r="A84" s="6">
        <f>COUNTIF(A20:A39,"=Б")</f>
        <v>0</v>
      </c>
    </row>
    <row r="85" spans="1:1" ht="15.75" customHeight="1" x14ac:dyDescent="0.25">
      <c r="A85" s="6">
        <f>COUNTIF(A20:A39,"=Б")</f>
        <v>0</v>
      </c>
    </row>
    <row r="86" spans="1:1" ht="15.75" customHeight="1" x14ac:dyDescent="0.25">
      <c r="A86" s="6">
        <f>COUNTIF(A20:A39,"=Б")</f>
        <v>0</v>
      </c>
    </row>
    <row r="87" spans="1:1" ht="15.75" customHeight="1" x14ac:dyDescent="0.25">
      <c r="A87" s="6">
        <f>COUNTIF(A20:A39,"=Б")</f>
        <v>0</v>
      </c>
    </row>
    <row r="88" spans="1:1" ht="15.75" customHeight="1" x14ac:dyDescent="0.25">
      <c r="A88" s="6">
        <f>COUNTIF(A20:A39,"=Б")</f>
        <v>0</v>
      </c>
    </row>
    <row r="89" spans="1:1" ht="15.75" customHeight="1" x14ac:dyDescent="0.25">
      <c r="A89" s="6">
        <f>COUNTIF(A20:A39,"=Б")</f>
        <v>0</v>
      </c>
    </row>
    <row r="90" spans="1:1" ht="15.75" customHeight="1" x14ac:dyDescent="0.25">
      <c r="A90" s="6">
        <f>COUNTIF(A20:A39,"=Б")</f>
        <v>0</v>
      </c>
    </row>
    <row r="91" spans="1:1" ht="15.75" customHeight="1" x14ac:dyDescent="0.25">
      <c r="A91" s="6">
        <f>COUNTIF(A20:A39,"=Б")</f>
        <v>0</v>
      </c>
    </row>
    <row r="92" spans="1:1" ht="15.75" customHeight="1" x14ac:dyDescent="0.25">
      <c r="A92" s="6">
        <f>COUNTIF(A20:A39,"=Б")</f>
        <v>0</v>
      </c>
    </row>
    <row r="93" spans="1:1" ht="15.75" customHeight="1" x14ac:dyDescent="0.25">
      <c r="A93" s="6">
        <f>COUNTIF(A20:A39,"=Б")</f>
        <v>0</v>
      </c>
    </row>
    <row r="94" spans="1:1" ht="15.75" customHeight="1" x14ac:dyDescent="0.25">
      <c r="A94" s="6">
        <f>COUNTIF(A20:A39,"=Б")</f>
        <v>0</v>
      </c>
    </row>
    <row r="95" spans="1:1" ht="15.75" customHeight="1" x14ac:dyDescent="0.25">
      <c r="A95" s="6">
        <f>COUNTIF(A20:A39,"=Б")</f>
        <v>0</v>
      </c>
    </row>
    <row r="96" spans="1:1" ht="15.75" customHeight="1" x14ac:dyDescent="0.25">
      <c r="A96" s="6">
        <f>COUNTIF(A20:A39,"=Б")</f>
        <v>0</v>
      </c>
    </row>
    <row r="97" spans="1:1" ht="15.75" customHeight="1" x14ac:dyDescent="0.25">
      <c r="A97" s="6">
        <f>COUNTIF(A20:A39,"=Б")</f>
        <v>0</v>
      </c>
    </row>
    <row r="98" spans="1:1" ht="15.75" customHeight="1" x14ac:dyDescent="0.25">
      <c r="A98" s="6">
        <f>COUNTIF(A20:A39,"=Б")</f>
        <v>0</v>
      </c>
    </row>
    <row r="99" spans="1:1" ht="15.75" customHeight="1" x14ac:dyDescent="0.25">
      <c r="A99" s="6">
        <f>COUNTIF(A20:A39,"=Б")</f>
        <v>0</v>
      </c>
    </row>
    <row r="100" spans="1:1" ht="15.75" customHeight="1" x14ac:dyDescent="0.25">
      <c r="A100" s="6">
        <f>COUNTIF(A20:A39,"=Б")</f>
        <v>0</v>
      </c>
    </row>
    <row r="101" spans="1:1" ht="15.75" customHeight="1" x14ac:dyDescent="0.25">
      <c r="A101" s="6">
        <f>COUNTIF(A20:A39,"=Б")</f>
        <v>0</v>
      </c>
    </row>
    <row r="102" spans="1:1" ht="15.75" customHeight="1" x14ac:dyDescent="0.25">
      <c r="A102" s="6">
        <f>COUNTIF(A20:A39,"=Б")</f>
        <v>0</v>
      </c>
    </row>
    <row r="103" spans="1:1" ht="15.75" customHeight="1" x14ac:dyDescent="0.25">
      <c r="A103" s="6">
        <f>COUNTIF(A20:A39,"=Б")</f>
        <v>0</v>
      </c>
    </row>
    <row r="104" spans="1:1" ht="15.75" customHeight="1" x14ac:dyDescent="0.25">
      <c r="A104" s="6">
        <f>COUNTIF(A20:A39,"=Б")</f>
        <v>0</v>
      </c>
    </row>
    <row r="105" spans="1:1" ht="15.75" customHeight="1" x14ac:dyDescent="0.25">
      <c r="A105" s="6">
        <f>COUNTIF(A20:A39,"=Б")</f>
        <v>0</v>
      </c>
    </row>
    <row r="106" spans="1:1" ht="15.75" customHeight="1" x14ac:dyDescent="0.25">
      <c r="A106" s="6">
        <f>COUNTIF(A20:A39,"=Б")</f>
        <v>0</v>
      </c>
    </row>
    <row r="107" spans="1:1" ht="15.75" customHeight="1" x14ac:dyDescent="0.25">
      <c r="A107" s="6">
        <f>COUNTIF(A20:A39,"=Б")</f>
        <v>0</v>
      </c>
    </row>
    <row r="108" spans="1:1" ht="15.75" customHeight="1" x14ac:dyDescent="0.25">
      <c r="A108" s="6">
        <f>COUNTIF(A20:A39,"=Б")</f>
        <v>0</v>
      </c>
    </row>
    <row r="109" spans="1:1" ht="15.75" customHeight="1" x14ac:dyDescent="0.25">
      <c r="A109" s="6">
        <f>COUNTIF(A20:A39,"=Б")</f>
        <v>0</v>
      </c>
    </row>
    <row r="110" spans="1:1" ht="15.75" customHeight="1" x14ac:dyDescent="0.25">
      <c r="A110" s="6">
        <f>COUNTIF(A20:A39,"=Б")</f>
        <v>0</v>
      </c>
    </row>
    <row r="111" spans="1:1" ht="15.75" customHeight="1" x14ac:dyDescent="0.25">
      <c r="A111" s="6">
        <f>COUNTIF(A20:A39,"=Б")</f>
        <v>0</v>
      </c>
    </row>
    <row r="112" spans="1:1" ht="15.75" customHeight="1" x14ac:dyDescent="0.25">
      <c r="A112" s="6">
        <f>COUNTIF(A20:A39,"=Б")</f>
        <v>0</v>
      </c>
    </row>
    <row r="113" spans="1:1" ht="15.75" customHeight="1" x14ac:dyDescent="0.25">
      <c r="A113" s="6">
        <f>COUNTIF(A20:A39,"=Б")</f>
        <v>0</v>
      </c>
    </row>
    <row r="114" spans="1:1" ht="15.75" customHeight="1" x14ac:dyDescent="0.25">
      <c r="A114" s="6">
        <f>COUNTIF(A20:A39,"=Б")</f>
        <v>0</v>
      </c>
    </row>
    <row r="115" spans="1:1" ht="15.75" customHeight="1" x14ac:dyDescent="0.25">
      <c r="A115" s="6">
        <f>COUNTIF(A20:A39,"=Б")</f>
        <v>0</v>
      </c>
    </row>
    <row r="116" spans="1:1" ht="15.75" customHeight="1" x14ac:dyDescent="0.25">
      <c r="A116" s="6">
        <f>COUNTIF(A20:A39,"=Б")</f>
        <v>0</v>
      </c>
    </row>
    <row r="117" spans="1:1" ht="15.75" customHeight="1" x14ac:dyDescent="0.25">
      <c r="A117" s="6">
        <f>COUNTIF(A20:A39,"=Б")</f>
        <v>0</v>
      </c>
    </row>
    <row r="118" spans="1:1" ht="15.75" customHeight="1" x14ac:dyDescent="0.25">
      <c r="A118" s="6">
        <f>COUNTIF(A20:A39,"=Б")</f>
        <v>0</v>
      </c>
    </row>
    <row r="119" spans="1:1" ht="15.75" customHeight="1" x14ac:dyDescent="0.25">
      <c r="A119" s="6">
        <f>COUNTIF(A20:A39,"=Б")</f>
        <v>0</v>
      </c>
    </row>
    <row r="120" spans="1:1" ht="15.75" customHeight="1" x14ac:dyDescent="0.25"/>
    <row r="121" spans="1:1" ht="15.75" customHeight="1" x14ac:dyDescent="0.25"/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7">
    <mergeCell ref="P8:P10"/>
    <mergeCell ref="Q8:Q10"/>
    <mergeCell ref="R8:R10"/>
    <mergeCell ref="S8:S10"/>
    <mergeCell ref="T8:T10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A6:T6"/>
    <mergeCell ref="A1:T1"/>
    <mergeCell ref="A2:T2"/>
    <mergeCell ref="A3:T3"/>
    <mergeCell ref="A4:T4"/>
    <mergeCell ref="A5:T5"/>
  </mergeCells>
  <printOptions horizontalCentered="1" verticalCentered="1"/>
  <pageMargins left="0.25" right="0.25" top="0.75" bottom="0.75" header="0.3" footer="0.3"/>
  <pageSetup paperSize="9" scale="2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97"/>
  <sheetViews>
    <sheetView workbookViewId="0">
      <selection sqref="A1:T1"/>
    </sheetView>
  </sheetViews>
  <sheetFormatPr defaultColWidth="14.42578125" defaultRowHeight="15" customHeight="1" x14ac:dyDescent="0.25"/>
  <cols>
    <col min="1" max="1" width="4.140625" style="25" customWidth="1"/>
    <col min="2" max="2" width="6.5703125" style="25" customWidth="1"/>
    <col min="3" max="3" width="40.42578125" style="25" customWidth="1"/>
    <col min="4" max="18" width="6.7109375" style="25" customWidth="1"/>
    <col min="19" max="19" width="8.85546875" style="25" customWidth="1"/>
    <col min="20" max="20" width="11.28515625" style="25" customWidth="1"/>
    <col min="21" max="16384" width="14.42578125" style="25"/>
  </cols>
  <sheetData>
    <row r="1" spans="1:20" s="23" customFormat="1" ht="15" customHeight="1" x14ac:dyDescent="0.25">
      <c r="A1" s="51" t="s">
        <v>69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s="23" customFormat="1" ht="15" customHeight="1" x14ac:dyDescent="0.25">
      <c r="A2" s="51" t="s">
        <v>70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0" s="24" customFormat="1" ht="15" customHeight="1" x14ac:dyDescent="0.25">
      <c r="A3" s="71" t="s">
        <v>36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1:20" s="23" customFormat="1" ht="15" customHeight="1" x14ac:dyDescent="0.25">
      <c r="A4" s="51" t="s">
        <v>37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spans="1:20" s="23" customFormat="1" ht="15" customHeight="1" x14ac:dyDescent="0.25">
      <c r="A5" s="51" t="s">
        <v>71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s="23" customFormat="1" ht="15" customHeight="1" x14ac:dyDescent="0.25">
      <c r="A6" s="69" t="s">
        <v>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</row>
    <row r="7" spans="1:20" ht="15" customHeight="1" x14ac:dyDescent="0.25">
      <c r="A7" s="72" t="s">
        <v>3</v>
      </c>
      <c r="B7" s="75" t="s">
        <v>4</v>
      </c>
      <c r="C7" s="75" t="s">
        <v>5</v>
      </c>
      <c r="D7" s="90" t="s">
        <v>6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/>
    </row>
    <row r="8" spans="1:20" ht="15" customHeight="1" x14ac:dyDescent="0.25">
      <c r="A8" s="73"/>
      <c r="B8" s="73"/>
      <c r="C8" s="73"/>
      <c r="D8" s="61" t="s">
        <v>66</v>
      </c>
      <c r="E8" s="61" t="s">
        <v>15</v>
      </c>
      <c r="F8" s="61" t="s">
        <v>8</v>
      </c>
      <c r="G8" s="61" t="s">
        <v>18</v>
      </c>
      <c r="H8" s="61" t="s">
        <v>14</v>
      </c>
      <c r="I8" s="61" t="s">
        <v>68</v>
      </c>
      <c r="J8" s="61" t="s">
        <v>16</v>
      </c>
      <c r="K8" s="61" t="s">
        <v>12</v>
      </c>
      <c r="L8" s="61" t="s">
        <v>17</v>
      </c>
      <c r="M8" s="61" t="s">
        <v>9</v>
      </c>
      <c r="N8" s="61" t="s">
        <v>7</v>
      </c>
      <c r="O8" s="61" t="s">
        <v>13</v>
      </c>
      <c r="P8" s="61" t="s">
        <v>10</v>
      </c>
      <c r="Q8" s="61" t="s">
        <v>67</v>
      </c>
      <c r="R8" s="61" t="s">
        <v>11</v>
      </c>
      <c r="S8" s="93" t="s">
        <v>38</v>
      </c>
      <c r="T8" s="96" t="s">
        <v>39</v>
      </c>
    </row>
    <row r="9" spans="1:20" ht="15" customHeight="1" x14ac:dyDescent="0.25">
      <c r="A9" s="73"/>
      <c r="B9" s="73"/>
      <c r="C9" s="73"/>
      <c r="D9" s="62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94"/>
      <c r="T9" s="97"/>
    </row>
    <row r="10" spans="1:20" ht="91.5" customHeight="1" x14ac:dyDescent="0.25">
      <c r="A10" s="74"/>
      <c r="B10" s="74"/>
      <c r="C10" s="7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95"/>
      <c r="T10" s="97"/>
    </row>
    <row r="11" spans="1:20" ht="15.75" x14ac:dyDescent="0.25">
      <c r="A11" s="26" t="s">
        <v>21</v>
      </c>
      <c r="B11" s="26">
        <v>1</v>
      </c>
      <c r="C11" s="27" t="s">
        <v>44</v>
      </c>
      <c r="D11" s="28">
        <v>11</v>
      </c>
      <c r="E11" s="28">
        <v>11</v>
      </c>
      <c r="F11" s="28">
        <v>10</v>
      </c>
      <c r="G11" s="28">
        <v>11</v>
      </c>
      <c r="H11" s="28">
        <v>11</v>
      </c>
      <c r="I11" s="28">
        <v>10</v>
      </c>
      <c r="J11" s="28">
        <v>11</v>
      </c>
      <c r="K11" s="28">
        <v>10</v>
      </c>
      <c r="L11" s="28">
        <v>10</v>
      </c>
      <c r="M11" s="28">
        <v>10</v>
      </c>
      <c r="N11" s="28">
        <v>11</v>
      </c>
      <c r="O11" s="28">
        <v>10</v>
      </c>
      <c r="P11" s="28">
        <v>10</v>
      </c>
      <c r="Q11" s="28">
        <v>11</v>
      </c>
      <c r="R11" s="28">
        <v>10</v>
      </c>
      <c r="S11" s="17">
        <f>AVERAGE(D11:R11)</f>
        <v>10.466666666666667</v>
      </c>
      <c r="T11" s="17">
        <f>S11*90/12</f>
        <v>78.5</v>
      </c>
    </row>
    <row r="12" spans="1:20" ht="15.75" x14ac:dyDescent="0.25">
      <c r="A12" s="26" t="s">
        <v>21</v>
      </c>
      <c r="B12" s="26">
        <v>2</v>
      </c>
      <c r="C12" s="27" t="s">
        <v>50</v>
      </c>
      <c r="D12" s="28">
        <v>8</v>
      </c>
      <c r="E12" s="28">
        <v>9</v>
      </c>
      <c r="F12" s="28">
        <v>10</v>
      </c>
      <c r="G12" s="28">
        <v>9</v>
      </c>
      <c r="H12" s="28">
        <v>10</v>
      </c>
      <c r="I12" s="28">
        <v>7</v>
      </c>
      <c r="J12" s="28">
        <v>8</v>
      </c>
      <c r="K12" s="28">
        <v>6</v>
      </c>
      <c r="L12" s="28">
        <v>8</v>
      </c>
      <c r="M12" s="28">
        <v>7</v>
      </c>
      <c r="N12" s="28">
        <v>9</v>
      </c>
      <c r="O12" s="28">
        <v>7</v>
      </c>
      <c r="P12" s="28">
        <v>7</v>
      </c>
      <c r="Q12" s="28">
        <v>11</v>
      </c>
      <c r="R12" s="28">
        <v>7</v>
      </c>
      <c r="S12" s="17">
        <f t="shared" ref="S12:S13" si="0">AVERAGE(D12:R12)</f>
        <v>8.1999999999999993</v>
      </c>
      <c r="T12" s="17">
        <f t="shared" ref="T12:T13" si="1">S12*90/12</f>
        <v>61.499999999999993</v>
      </c>
    </row>
    <row r="13" spans="1:20" ht="15.75" x14ac:dyDescent="0.25">
      <c r="A13" s="26" t="s">
        <v>21</v>
      </c>
      <c r="B13" s="26">
        <v>3</v>
      </c>
      <c r="C13" s="27" t="s">
        <v>48</v>
      </c>
      <c r="D13" s="28">
        <v>8</v>
      </c>
      <c r="E13" s="28">
        <v>6</v>
      </c>
      <c r="F13" s="28">
        <v>10</v>
      </c>
      <c r="G13" s="28">
        <v>8</v>
      </c>
      <c r="H13" s="28">
        <v>7</v>
      </c>
      <c r="I13" s="28">
        <v>6</v>
      </c>
      <c r="J13" s="28">
        <v>4</v>
      </c>
      <c r="K13" s="28">
        <v>5</v>
      </c>
      <c r="L13" s="28">
        <v>7</v>
      </c>
      <c r="M13" s="28">
        <v>4</v>
      </c>
      <c r="N13" s="28">
        <v>5</v>
      </c>
      <c r="O13" s="28">
        <v>4</v>
      </c>
      <c r="P13" s="28">
        <v>8</v>
      </c>
      <c r="Q13" s="28">
        <v>7</v>
      </c>
      <c r="R13" s="49">
        <v>7</v>
      </c>
      <c r="S13" s="17">
        <f t="shared" si="0"/>
        <v>6.4</v>
      </c>
      <c r="T13" s="17">
        <f t="shared" si="1"/>
        <v>48</v>
      </c>
    </row>
    <row r="14" spans="1:20" ht="15.75" x14ac:dyDescent="0.25">
      <c r="C14" s="29" t="s">
        <v>29</v>
      </c>
      <c r="D14" s="30">
        <f>'Зведена відомість 161'!D27</f>
        <v>10</v>
      </c>
    </row>
    <row r="15" spans="1:20" ht="18.75" x14ac:dyDescent="0.25">
      <c r="C15" s="29" t="s">
        <v>28</v>
      </c>
      <c r="D15" s="30">
        <f>'Зведена відомість 161'!D28</f>
        <v>1</v>
      </c>
      <c r="G15" s="31" t="s">
        <v>32</v>
      </c>
      <c r="N15" s="31" t="s">
        <v>33</v>
      </c>
    </row>
    <row r="16" spans="1:20" ht="15.75" x14ac:dyDescent="0.25">
      <c r="C16" s="29" t="s">
        <v>30</v>
      </c>
      <c r="D16" s="30">
        <f>'Зведена відомість 161'!D29</f>
        <v>0</v>
      </c>
    </row>
    <row r="17" spans="3:14" ht="18.75" x14ac:dyDescent="0.25">
      <c r="C17" s="29" t="s">
        <v>31</v>
      </c>
      <c r="D17" s="30">
        <f>'Зведена відомість 161'!D30</f>
        <v>4</v>
      </c>
      <c r="G17" s="31" t="s">
        <v>34</v>
      </c>
      <c r="N17" s="31" t="s">
        <v>35</v>
      </c>
    </row>
    <row r="18" spans="3:14" ht="15.75" x14ac:dyDescent="0.25"/>
    <row r="19" spans="3:14" ht="15.75" x14ac:dyDescent="0.25"/>
    <row r="20" spans="3:14" ht="15.75" x14ac:dyDescent="0.25"/>
    <row r="21" spans="3:14" ht="15.75" x14ac:dyDescent="0.25"/>
    <row r="22" spans="3:14" ht="15.75" x14ac:dyDescent="0.25"/>
    <row r="23" spans="3:14" ht="15.75" x14ac:dyDescent="0.25"/>
    <row r="24" spans="3:14" ht="15.75" x14ac:dyDescent="0.25"/>
    <row r="25" spans="3:14" ht="15.75" x14ac:dyDescent="0.25"/>
    <row r="26" spans="3:14" ht="15.75" x14ac:dyDescent="0.25"/>
    <row r="27" spans="3:14" ht="15.75" x14ac:dyDescent="0.25"/>
    <row r="28" spans="3:14" ht="15.75" x14ac:dyDescent="0.25"/>
    <row r="29" spans="3:14" ht="15.75" x14ac:dyDescent="0.25"/>
    <row r="30" spans="3:14" ht="15.75" x14ac:dyDescent="0.25"/>
    <row r="31" spans="3:14" ht="15.75" x14ac:dyDescent="0.25"/>
    <row r="32" spans="3:1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spans="1:1" ht="15.75" x14ac:dyDescent="0.25"/>
    <row r="66" spans="1:1" ht="15.75" x14ac:dyDescent="0.25"/>
    <row r="67" spans="1:1" ht="15.75" x14ac:dyDescent="0.25"/>
    <row r="68" spans="1:1" ht="15.75" x14ac:dyDescent="0.25"/>
    <row r="69" spans="1:1" ht="15.75" x14ac:dyDescent="0.25"/>
    <row r="70" spans="1:1" ht="15.75" x14ac:dyDescent="0.25"/>
    <row r="71" spans="1:1" ht="15.75" x14ac:dyDescent="0.25"/>
    <row r="72" spans="1:1" ht="15.75" x14ac:dyDescent="0.25"/>
    <row r="73" spans="1:1" ht="15.75" x14ac:dyDescent="0.25"/>
    <row r="74" spans="1:1" ht="15.75" x14ac:dyDescent="0.25"/>
    <row r="75" spans="1:1" ht="15.75" x14ac:dyDescent="0.25"/>
    <row r="76" spans="1:1" ht="15.75" customHeight="1" x14ac:dyDescent="0.25"/>
    <row r="77" spans="1:1" ht="15.75" customHeight="1" x14ac:dyDescent="0.25"/>
    <row r="78" spans="1:1" ht="15.75" customHeight="1" x14ac:dyDescent="0.25">
      <c r="A78" s="25">
        <f>COUNTIF(A14:A38,"=Б")</f>
        <v>0</v>
      </c>
    </row>
    <row r="79" spans="1:1" ht="15.75" customHeight="1" x14ac:dyDescent="0.25">
      <c r="A79" s="25">
        <f>COUNTIF(A14:A38,"=Б")</f>
        <v>0</v>
      </c>
    </row>
    <row r="80" spans="1:1" ht="15.75" customHeight="1" x14ac:dyDescent="0.25">
      <c r="A80" s="25">
        <f>COUNTIF(A14:A38,"=Б")</f>
        <v>0</v>
      </c>
    </row>
    <row r="81" spans="1:1" ht="15.75" customHeight="1" x14ac:dyDescent="0.25">
      <c r="A81" s="25">
        <f>COUNTIF(A14:A38,"=Б")</f>
        <v>0</v>
      </c>
    </row>
    <row r="82" spans="1:1" ht="15.75" customHeight="1" x14ac:dyDescent="0.25">
      <c r="A82" s="25">
        <f>COUNTIF(A14:A38,"=Б")</f>
        <v>0</v>
      </c>
    </row>
    <row r="83" spans="1:1" ht="15.75" customHeight="1" x14ac:dyDescent="0.25">
      <c r="A83" s="25">
        <f>COUNTIF(A14:A38,"=Б")</f>
        <v>0</v>
      </c>
    </row>
    <row r="84" spans="1:1" ht="15.75" customHeight="1" x14ac:dyDescent="0.25">
      <c r="A84" s="25">
        <f>COUNTIF(A14:A38,"=Б")</f>
        <v>0</v>
      </c>
    </row>
    <row r="85" spans="1:1" ht="15.75" customHeight="1" x14ac:dyDescent="0.25">
      <c r="A85" s="25">
        <f>COUNTIF(A14:A38,"=Б")</f>
        <v>0</v>
      </c>
    </row>
    <row r="86" spans="1:1" ht="15.75" customHeight="1" x14ac:dyDescent="0.25">
      <c r="A86" s="25">
        <f>COUNTIF(A14:A38,"=Б")</f>
        <v>0</v>
      </c>
    </row>
    <row r="87" spans="1:1" ht="15.75" customHeight="1" x14ac:dyDescent="0.25">
      <c r="A87" s="25">
        <f>COUNTIF(A14:A38,"=Б")</f>
        <v>0</v>
      </c>
    </row>
    <row r="88" spans="1:1" ht="15.75" customHeight="1" x14ac:dyDescent="0.25">
      <c r="A88" s="25">
        <f>COUNTIF(A14:A38,"=Б")</f>
        <v>0</v>
      </c>
    </row>
    <row r="89" spans="1:1" ht="15.75" customHeight="1" x14ac:dyDescent="0.25">
      <c r="A89" s="25">
        <f>COUNTIF(A14:A38,"=Б")</f>
        <v>0</v>
      </c>
    </row>
    <row r="90" spans="1:1" ht="15.75" customHeight="1" x14ac:dyDescent="0.25">
      <c r="A90" s="25">
        <f>COUNTIF(A14:A38,"=Б")</f>
        <v>0</v>
      </c>
    </row>
    <row r="91" spans="1:1" ht="15.75" customHeight="1" x14ac:dyDescent="0.25">
      <c r="A91" s="25">
        <f>COUNTIF(A14:A38,"=Б")</f>
        <v>0</v>
      </c>
    </row>
    <row r="92" spans="1:1" ht="15.75" customHeight="1" x14ac:dyDescent="0.25">
      <c r="A92" s="25">
        <f>COUNTIF(A14:A38,"=Б")</f>
        <v>0</v>
      </c>
    </row>
    <row r="93" spans="1:1" ht="15.75" customHeight="1" x14ac:dyDescent="0.25">
      <c r="A93" s="25">
        <f>COUNTIF(A14:A38,"=Б")</f>
        <v>0</v>
      </c>
    </row>
    <row r="94" spans="1:1" ht="15.75" customHeight="1" x14ac:dyDescent="0.25">
      <c r="A94" s="25">
        <f>COUNTIF(A14:A38,"=Б")</f>
        <v>0</v>
      </c>
    </row>
    <row r="95" spans="1:1" ht="15.75" customHeight="1" x14ac:dyDescent="0.25">
      <c r="A95" s="25">
        <f>COUNTIF(A14:A38,"=Б")</f>
        <v>0</v>
      </c>
    </row>
    <row r="96" spans="1:1" ht="15.75" customHeight="1" x14ac:dyDescent="0.25">
      <c r="A96" s="25">
        <f>COUNTIF(A14:A38,"=Б")</f>
        <v>0</v>
      </c>
    </row>
    <row r="97" spans="1:1" ht="15.75" customHeight="1" x14ac:dyDescent="0.25">
      <c r="A97" s="25">
        <f>COUNTIF(A14:A38,"=Б")</f>
        <v>0</v>
      </c>
    </row>
    <row r="98" spans="1:1" ht="15.75" customHeight="1" x14ac:dyDescent="0.25">
      <c r="A98" s="25">
        <f>COUNTIF(A14:A38,"=Б")</f>
        <v>0</v>
      </c>
    </row>
    <row r="99" spans="1:1" ht="15.75" customHeight="1" x14ac:dyDescent="0.25">
      <c r="A99" s="25">
        <f>COUNTIF(A14:A38,"=Б")</f>
        <v>0</v>
      </c>
    </row>
    <row r="100" spans="1:1" ht="15.75" customHeight="1" x14ac:dyDescent="0.25">
      <c r="A100" s="25">
        <f>COUNTIF(A14:A38,"=Б")</f>
        <v>0</v>
      </c>
    </row>
    <row r="101" spans="1:1" ht="15.75" customHeight="1" x14ac:dyDescent="0.25">
      <c r="A101" s="25">
        <f>COUNTIF(A14:A38,"=Б")</f>
        <v>0</v>
      </c>
    </row>
    <row r="102" spans="1:1" ht="15.75" customHeight="1" x14ac:dyDescent="0.25">
      <c r="A102" s="25">
        <f>COUNTIF(A14:A38,"=Б")</f>
        <v>0</v>
      </c>
    </row>
    <row r="103" spans="1:1" ht="15.75" customHeight="1" x14ac:dyDescent="0.25">
      <c r="A103" s="25">
        <f>COUNTIF(A14:A38,"=Б")</f>
        <v>0</v>
      </c>
    </row>
    <row r="104" spans="1:1" ht="15.75" customHeight="1" x14ac:dyDescent="0.25">
      <c r="A104" s="25">
        <f>COUNTIF(A14:A38,"=Б")</f>
        <v>0</v>
      </c>
    </row>
    <row r="105" spans="1:1" ht="15.75" customHeight="1" x14ac:dyDescent="0.25">
      <c r="A105" s="25">
        <f>COUNTIF(A14:A38,"=Б")</f>
        <v>0</v>
      </c>
    </row>
    <row r="106" spans="1:1" ht="15.75" customHeight="1" x14ac:dyDescent="0.25">
      <c r="A106" s="25">
        <f>COUNTIF(A14:A38,"=Б")</f>
        <v>0</v>
      </c>
    </row>
    <row r="107" spans="1:1" ht="15.75" customHeight="1" x14ac:dyDescent="0.25">
      <c r="A107" s="25">
        <f>COUNTIF(A14:A38,"=Б")</f>
        <v>0</v>
      </c>
    </row>
    <row r="108" spans="1:1" ht="15.75" customHeight="1" x14ac:dyDescent="0.25">
      <c r="A108" s="25">
        <f>COUNTIF(A14:A38,"=Б")</f>
        <v>0</v>
      </c>
    </row>
    <row r="109" spans="1:1" ht="15.75" customHeight="1" x14ac:dyDescent="0.25">
      <c r="A109" s="25">
        <f>COUNTIF(A14:A38,"=Б")</f>
        <v>0</v>
      </c>
    </row>
    <row r="110" spans="1:1" ht="15.75" customHeight="1" x14ac:dyDescent="0.25">
      <c r="A110" s="25">
        <f>COUNTIF(A14:A38,"=Б")</f>
        <v>0</v>
      </c>
    </row>
    <row r="111" spans="1:1" ht="15.75" customHeight="1" x14ac:dyDescent="0.25">
      <c r="A111" s="25">
        <f>COUNTIF(A14:A38,"=Б")</f>
        <v>0</v>
      </c>
    </row>
    <row r="112" spans="1:1" ht="15.75" customHeight="1" x14ac:dyDescent="0.25">
      <c r="A112" s="25">
        <f>COUNTIF(A14:A38,"=Б")</f>
        <v>0</v>
      </c>
    </row>
    <row r="113" spans="1:1" ht="15.75" customHeight="1" x14ac:dyDescent="0.25">
      <c r="A113" s="25">
        <f>COUNTIF(A14:A38,"=Б")</f>
        <v>0</v>
      </c>
    </row>
    <row r="114" spans="1:1" ht="15.75" customHeight="1" x14ac:dyDescent="0.25">
      <c r="A114" s="25">
        <f>COUNTIF(A14:A38,"=Б")</f>
        <v>0</v>
      </c>
    </row>
    <row r="115" spans="1:1" ht="15.75" customHeight="1" x14ac:dyDescent="0.25">
      <c r="A115" s="25">
        <f>COUNTIF(A14:A38,"=Б")</f>
        <v>0</v>
      </c>
    </row>
    <row r="116" spans="1:1" ht="15.75" customHeight="1" x14ac:dyDescent="0.25">
      <c r="A116" s="25">
        <f>COUNTIF(A14:A38,"=Б")</f>
        <v>0</v>
      </c>
    </row>
    <row r="117" spans="1:1" ht="15.75" customHeight="1" x14ac:dyDescent="0.25">
      <c r="A117" s="25">
        <f>COUNTIF(A14:A38,"=Б")</f>
        <v>0</v>
      </c>
    </row>
    <row r="118" spans="1:1" ht="15.75" customHeight="1" x14ac:dyDescent="0.25">
      <c r="A118" s="25">
        <f>COUNTIF(A14:A38,"=Б")</f>
        <v>0</v>
      </c>
    </row>
    <row r="119" spans="1:1" ht="15.75" customHeight="1" x14ac:dyDescent="0.25"/>
    <row r="120" spans="1:1" ht="15.75" customHeight="1" x14ac:dyDescent="0.25"/>
    <row r="121" spans="1:1" ht="15.75" customHeight="1" x14ac:dyDescent="0.25"/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7">
    <mergeCell ref="P8:P10"/>
    <mergeCell ref="Q8:Q10"/>
    <mergeCell ref="R8:R10"/>
    <mergeCell ref="S8:S10"/>
    <mergeCell ref="T8:T10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A6:T6"/>
    <mergeCell ref="A1:T1"/>
    <mergeCell ref="A2:T2"/>
    <mergeCell ref="A3:T3"/>
    <mergeCell ref="A4:T4"/>
    <mergeCell ref="A5:T5"/>
  </mergeCells>
  <printOptions horizontalCentered="1" verticalCentered="1"/>
  <pageMargins left="0.25" right="0.25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101</vt:lpstr>
      <vt:lpstr>Зведена відомість 161</vt:lpstr>
      <vt:lpstr>Рейтингова відомість 101</vt:lpstr>
      <vt:lpstr>Рейтингова відомість 161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BONDARENKO</dc:creator>
  <cp:lastModifiedBy>BONDARENKO</cp:lastModifiedBy>
  <cp:lastPrinted>2022-09-05T08:38:24Z</cp:lastPrinted>
  <dcterms:created xsi:type="dcterms:W3CDTF">2006-09-28T05:33:49Z</dcterms:created>
  <dcterms:modified xsi:type="dcterms:W3CDTF">2022-09-05T08:38:58Z</dcterms:modified>
</cp:coreProperties>
</file>