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70" yWindow="615" windowWidth="19980" windowHeight="7110"/>
  </bookViews>
  <sheets>
    <sheet name="Зведена відомість 181" sheetId="1" r:id="rId1"/>
    <sheet name="Зведена відомість 241" sheetId="2" r:id="rId2"/>
  </sheets>
  <calcPr calcId="145621"/>
  <extLst>
    <ext uri="GoogleSheetsCustomDataVersion1">
      <go:sheetsCustomData xmlns:go="http://customooxmlschemas.google.com/" r:id="" roundtripDataSignature="AMtx7mjyIn0RiNfFfqPtrV49+LSuGMCfpA=="/>
    </ext>
  </extLst>
</workbook>
</file>

<file path=xl/calcChain.xml><?xml version="1.0" encoding="utf-8"?>
<calcChain xmlns="http://schemas.openxmlformats.org/spreadsheetml/2006/main">
  <c r="E12" i="1" l="1"/>
  <c r="F12" i="1"/>
  <c r="G12" i="1"/>
  <c r="H12" i="1"/>
  <c r="I12" i="1"/>
  <c r="J12" i="1"/>
  <c r="K12" i="1"/>
  <c r="L12" i="1"/>
  <c r="M12" i="1"/>
  <c r="N12" i="1"/>
  <c r="O12" i="1"/>
  <c r="P12" i="1"/>
  <c r="Q12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D14" i="1"/>
  <c r="D13" i="1"/>
  <c r="D12" i="1"/>
  <c r="R11" i="2" l="1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D45" i="2" s="1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D44" i="2" s="1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R41" i="2" s="1"/>
  <c r="D16" i="1" l="1"/>
  <c r="D15" i="1"/>
  <c r="R12" i="1"/>
  <c r="R11" i="1"/>
</calcChain>
</file>

<file path=xl/sharedStrings.xml><?xml version="1.0" encoding="utf-8"?>
<sst xmlns="http://schemas.openxmlformats.org/spreadsheetml/2006/main" count="172" uniqueCount="68">
  <si>
    <t>ФАХОВИЙ КОЛЕДЖ НАФТОГАЗОВИХ ТЕХНОЛОГІЙ, ІНЖЕНЕРІЇ ТА ІНФРАСТРУКТУРИ СЕРВІСУ</t>
  </si>
  <si>
    <t>ОДЕСЬКОЇ НАЦІОНАЛЬНОЇ АКАДЕМІЇ ХАРЧОВИХ ТЕХНОЛОГІЙ</t>
  </si>
  <si>
    <t xml:space="preserve">ЗВЕДЕНА  ВІДОМІСТЬ  </t>
  </si>
  <si>
    <t>За І семестр 2021-2022 н.р.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</si>
  <si>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</si>
  <si>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</si>
  <si>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</si>
  <si>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</si>
  <si>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Антропова Л.І.</t>
  </si>
  <si>
    <t>Всесвітня історія
Мельничук С.А.</t>
  </si>
  <si>
    <t>Математика
Нужна Н.В.</t>
  </si>
  <si>
    <t>Фізика
Калюта Н.М.</t>
  </si>
  <si>
    <t>Хімія
Пономарьов К.Н.</t>
  </si>
  <si>
    <t>Інформатика
Охримчук В.С.</t>
  </si>
  <si>
    <t>Українська мова
Антропова Л.І.</t>
  </si>
  <si>
    <t>Зарубіжна література
Пруднікова Я.П.</t>
  </si>
  <si>
    <t>Біологія
Богданенко О.В.</t>
  </si>
  <si>
    <t>Фізичне виховання
Галеніна І.С.</t>
  </si>
  <si>
    <t>Іноземна мова
Галинська Т.С.</t>
  </si>
  <si>
    <t>ЗУ
Лазар В.І.
Стельмах Н.Ю.</t>
  </si>
  <si>
    <t>Історія України
Левчук Т.Г.</t>
  </si>
  <si>
    <t>Географія
Наговська Т.С.</t>
  </si>
  <si>
    <t>Середній бал</t>
  </si>
  <si>
    <t>К</t>
  </si>
  <si>
    <t>Кузнецовська Софія Романівна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</si>
  <si>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</si>
  <si>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</si>
  <si>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</si>
  <si>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</si>
  <si>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</si>
  <si>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Класний керівник</t>
  </si>
  <si>
    <t>Завідувач відділення ПЗСО</t>
  </si>
  <si>
    <t>Маргарита БРІТІКОВА</t>
  </si>
  <si>
    <t>Успішності студентів спеціальності 241 «Готельно-ресторанна справа»</t>
  </si>
  <si>
    <t>Алавацький Геннадій Олекс.</t>
  </si>
  <si>
    <t>н/а</t>
  </si>
  <si>
    <t>Багнюк Вероніка Романівна</t>
  </si>
  <si>
    <t>Годжаєв Олександр Євгенійов.</t>
  </si>
  <si>
    <t>Гордійчук Михайло Сергійович</t>
  </si>
  <si>
    <t xml:space="preserve">Забродін Максим Ігорович      </t>
  </si>
  <si>
    <t>Камєнева Юлія Сергіївна</t>
  </si>
  <si>
    <t>Кондратьєв Гліб Костянтин</t>
  </si>
  <si>
    <t>Константинова Яна Костянтин.</t>
  </si>
  <si>
    <t>Куліш Світлана Романівна</t>
  </si>
  <si>
    <t>Лапановська Валерія Денисівна</t>
  </si>
  <si>
    <t>Ломовой Віктор Сергійович</t>
  </si>
  <si>
    <t>Лук’яненко Данііл Олегович</t>
  </si>
  <si>
    <t>Миронова Анастасія Сергіївна</t>
  </si>
  <si>
    <t>Невкрита Ліна Олександрівна</t>
  </si>
  <si>
    <t>Остапчук Поліна Михайлівна</t>
  </si>
  <si>
    <t>Пантьо Діана Василівна</t>
  </si>
  <si>
    <t>Першина Віолетта Олександр.</t>
  </si>
  <si>
    <t>Попова Діана Павлівна</t>
  </si>
  <si>
    <t>Прищепа Дар’я Володимирівна</t>
  </si>
  <si>
    <t>Проценко Камілла Дмитрівна</t>
  </si>
  <si>
    <t>Савченко Дар’я Сергіївна</t>
  </si>
  <si>
    <t>Семенова Вікторія Олександр.</t>
  </si>
  <si>
    <t>Степанова Анастасія Вадимівна</t>
  </si>
  <si>
    <t>Ходак Іван Олександрович</t>
  </si>
  <si>
    <t>Царюк Елізавета Анатоліївна</t>
  </si>
  <si>
    <t>Цимбал Валерія Андріївна</t>
  </si>
  <si>
    <t>Чайка Ярослав Олегович</t>
  </si>
  <si>
    <t>Чечера Катерина Володимирів.</t>
  </si>
  <si>
    <t>Шейн Вероніка Юріївна</t>
  </si>
  <si>
    <t>Шнуркованюк Ангеліна Вітал.</t>
  </si>
  <si>
    <t>Група 21-9 курс І</t>
  </si>
  <si>
    <t>Яна ГУСАК-ШКЛОВСЬКА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</si>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</sst>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>
    <font>
      <sz val="11"/>
      <color rgb="FF000000"/>
      <name val="Calibri"/>
    </font>
    <font>
      <sz val="14"/>
      <color theme="1"/>
      <name val="Times New Roman"/>
    </font>
    <font>
      <sz val="16"/>
      <color theme="1"/>
      <name val="Arimo"/>
    </font>
    <font>
      <b/>
      <sz val="14"/>
      <color theme="1"/>
      <name val="Times New Roman"/>
    </font>
    <font>
      <sz val="12"/>
      <color theme="1"/>
      <name val="Times New Roman"/>
    </font>
    <font>
      <sz val="11"/>
      <name val="Calibri"/>
    </font>
    <font>
      <b/>
      <sz val="12"/>
      <color theme="1"/>
      <name val="Times New Roman"/>
    </font>
    <font>
      <sz val="12"/>
      <color rgb="FF000000"/>
      <name val="Times New Roman"/>
    </font>
    <font>
      <sz val="11"/>
      <color rgb="FF000000"/>
      <name val="Times New Roman"/>
    </font>
    <font>
      <sz val="12"/>
      <color theme="1"/>
      <name val="Arimo"/>
    </font>
    <font>
      <sz val="11"/>
      <color theme="1"/>
      <name val="Times New Roman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1"/>
  </cellStyleXfs>
  <cellXfs count="47">
    <xf numFmtId="0" fontId="0" fillId="0" borderId="0" xfId="0" applyFont="1" applyAlignment="1"/>
    <xf numFmtId="0" fontId="2" fillId="0" borderId="0" xfId="0" applyFont="1"/>
    <xf numFmtId="0" fontId="0" fillId="0" borderId="0" xfId="0" applyFont="1"/>
    <xf numFmtId="164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0" fillId="0" borderId="1" xfId="0" applyFont="1" applyBorder="1" applyAlignment="1"/>
    <xf numFmtId="0" fontId="0" fillId="0" borderId="1" xfId="0" applyFont="1" applyBorder="1"/>
    <xf numFmtId="0" fontId="7" fillId="0" borderId="1" xfId="0" applyFont="1" applyBorder="1"/>
    <xf numFmtId="0" fontId="0" fillId="0" borderId="1" xfId="0" applyBorder="1" applyAlignment="1"/>
    <xf numFmtId="0" fontId="0" fillId="0" borderId="0" xfId="0" applyFont="1" applyAlignment="1"/>
    <xf numFmtId="0" fontId="6" fillId="2" borderId="2" xfId="0" applyFont="1" applyFill="1" applyBorder="1" applyAlignment="1">
      <alignment horizontal="center" vertical="center" textRotation="90" wrapText="1"/>
    </xf>
    <xf numFmtId="0" fontId="5" fillId="0" borderId="2" xfId="0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4" fillId="0" borderId="1" xfId="0" applyFont="1" applyBorder="1"/>
    <xf numFmtId="0" fontId="15" fillId="0" borderId="1" xfId="0" applyFont="1" applyBorder="1" applyAlignment="1"/>
    <xf numFmtId="0" fontId="15" fillId="0" borderId="1" xfId="0" applyFont="1" applyBorder="1"/>
    <xf numFmtId="0" fontId="14" fillId="0" borderId="0" xfId="0" applyFont="1"/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textRotation="90" wrapText="1"/>
    </xf>
    <xf numFmtId="0" fontId="7" fillId="0" borderId="2" xfId="0" applyFont="1" applyBorder="1" applyAlignment="1">
      <alignment horizontal="center" vertical="center"/>
    </xf>
    <xf numFmtId="2" fontId="12" fillId="4" borderId="2" xfId="1" applyNumberFormat="1" applyFont="1" applyFill="1" applyBorder="1" applyAlignment="1">
      <alignment horizontal="center" vertical="center"/>
    </xf>
    <xf numFmtId="2" fontId="12" fillId="4" borderId="3" xfId="1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164" fontId="12" fillId="4" borderId="2" xfId="1" applyNumberFormat="1" applyFont="1" applyFill="1" applyBorder="1" applyAlignment="1">
      <alignment horizontal="center" vertical="center"/>
    </xf>
    <xf numFmtId="164" fontId="12" fillId="5" borderId="2" xfId="1" applyNumberFormat="1" applyFont="1" applyFill="1" applyBorder="1" applyAlignment="1">
      <alignment horizontal="center" vertical="center"/>
    </xf>
    <xf numFmtId="164" fontId="13" fillId="3" borderId="2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4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top" wrapText="1"/>
    </xf>
    <xf numFmtId="164" fontId="4" fillId="3" borderId="2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11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sqref="A1:R1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14" width="6.7109375" customWidth="1"/>
    <col min="15" max="15" width="9.7109375" customWidth="1"/>
    <col min="16" max="17" width="6.7109375" customWidth="1"/>
    <col min="18" max="18" width="11.28515625" customWidth="1"/>
    <col min="19" max="26" width="8.7109375" customWidth="1"/>
  </cols>
  <sheetData>
    <row r="1" spans="1:26" s="11" customFormat="1" ht="1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26" s="11" customFormat="1" ht="15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26" s="11" customFormat="1" ht="15" customHeight="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26" s="11" customFormat="1" ht="15" customHeight="1">
      <c r="A4" s="14" t="s">
        <v>33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spans="1:26" s="11" customFormat="1" ht="15" customHeight="1">
      <c r="A5" s="14" t="s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26" s="11" customFormat="1" ht="15" customHeight="1">
      <c r="A6" s="25" t="s">
        <v>65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1:26" ht="15.75">
      <c r="A7" s="40" t="s">
        <v>4</v>
      </c>
      <c r="B7" s="41" t="s">
        <v>5</v>
      </c>
      <c r="C7" s="41" t="s">
        <v>6</v>
      </c>
      <c r="D7" s="26" t="s">
        <v>7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6" ht="15" customHeight="1">
      <c r="A8" s="13"/>
      <c r="B8" s="13"/>
      <c r="C8" s="13"/>
      <c r="D8" s="27" t="s">
        <v>8</v>
      </c>
      <c r="E8" s="27" t="s">
        <v>9</v>
      </c>
      <c r="F8" s="27" t="s">
        <v>10</v>
      </c>
      <c r="G8" s="27" t="s">
        <v>11</v>
      </c>
      <c r="H8" s="27" t="s">
        <v>12</v>
      </c>
      <c r="I8" s="27" t="s">
        <v>13</v>
      </c>
      <c r="J8" s="27" t="s">
        <v>14</v>
      </c>
      <c r="K8" s="27" t="s">
        <v>15</v>
      </c>
      <c r="L8" s="27" t="s">
        <v>16</v>
      </c>
      <c r="M8" s="27" t="s">
        <v>17</v>
      </c>
      <c r="N8" s="27" t="s">
        <v>18</v>
      </c>
      <c r="O8" s="27" t="s">
        <v>19</v>
      </c>
      <c r="P8" s="27" t="s">
        <v>20</v>
      </c>
      <c r="Q8" s="27" t="s">
        <v>21</v>
      </c>
      <c r="R8" s="12" t="s">
        <v>22</v>
      </c>
    </row>
    <row r="9" spans="1:26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spans="1:26" ht="97.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spans="1:26" ht="15.75">
      <c r="A11" s="43" t="s">
        <v>23</v>
      </c>
      <c r="B11" s="43">
        <v>1</v>
      </c>
      <c r="C11" s="45" t="s">
        <v>24</v>
      </c>
      <c r="D11" s="28">
        <v>10</v>
      </c>
      <c r="E11" s="28">
        <v>10</v>
      </c>
      <c r="F11" s="28">
        <v>10</v>
      </c>
      <c r="G11" s="28">
        <v>10</v>
      </c>
      <c r="H11" s="28">
        <v>11</v>
      </c>
      <c r="I11" s="28">
        <v>10</v>
      </c>
      <c r="J11" s="28">
        <v>7</v>
      </c>
      <c r="K11" s="28">
        <v>10</v>
      </c>
      <c r="L11" s="28">
        <v>10</v>
      </c>
      <c r="M11" s="28">
        <v>10</v>
      </c>
      <c r="N11" s="28">
        <v>11</v>
      </c>
      <c r="O11" s="28">
        <v>11</v>
      </c>
      <c r="P11" s="28">
        <v>9</v>
      </c>
      <c r="Q11" s="28">
        <v>9</v>
      </c>
      <c r="R11" s="46">
        <f t="shared" ref="R11:R12" si="0">AVERAGE(D11:Q11)</f>
        <v>9.8571428571428577</v>
      </c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"/>
      <c r="B12" s="1"/>
      <c r="C12" s="34" t="s">
        <v>25</v>
      </c>
      <c r="D12" s="35">
        <f>AVERAGE(D11:D11)</f>
        <v>10</v>
      </c>
      <c r="E12" s="35">
        <f t="shared" ref="E12:Q12" si="1">AVERAGE(E11:E11)</f>
        <v>10</v>
      </c>
      <c r="F12" s="35">
        <f t="shared" si="1"/>
        <v>10</v>
      </c>
      <c r="G12" s="35">
        <f t="shared" si="1"/>
        <v>10</v>
      </c>
      <c r="H12" s="35">
        <f t="shared" si="1"/>
        <v>11</v>
      </c>
      <c r="I12" s="35">
        <f t="shared" si="1"/>
        <v>10</v>
      </c>
      <c r="J12" s="35">
        <f t="shared" si="1"/>
        <v>7</v>
      </c>
      <c r="K12" s="35">
        <f t="shared" si="1"/>
        <v>10</v>
      </c>
      <c r="L12" s="35">
        <f t="shared" si="1"/>
        <v>10</v>
      </c>
      <c r="M12" s="35">
        <f t="shared" si="1"/>
        <v>10</v>
      </c>
      <c r="N12" s="35">
        <f t="shared" si="1"/>
        <v>11</v>
      </c>
      <c r="O12" s="35">
        <f t="shared" si="1"/>
        <v>11</v>
      </c>
      <c r="P12" s="35">
        <f t="shared" si="1"/>
        <v>9</v>
      </c>
      <c r="Q12" s="35">
        <f t="shared" si="1"/>
        <v>9</v>
      </c>
      <c r="R12" s="46">
        <f t="shared" si="0"/>
        <v>9.8571428571428577</v>
      </c>
    </row>
    <row r="13" spans="1:26" ht="15.75" customHeight="1">
      <c r="A13" s="1"/>
      <c r="B13" s="1"/>
      <c r="C13" s="34" t="s">
        <v>26</v>
      </c>
      <c r="D13" s="36">
        <f>(COUNT(D11:D11))*100</f>
        <v>100</v>
      </c>
      <c r="E13" s="36">
        <f t="shared" ref="E13:Q13" si="2">(COUNT(E11:E11))*100</f>
        <v>100</v>
      </c>
      <c r="F13" s="36">
        <f t="shared" si="2"/>
        <v>100</v>
      </c>
      <c r="G13" s="36">
        <f t="shared" si="2"/>
        <v>100</v>
      </c>
      <c r="H13" s="36">
        <f t="shared" si="2"/>
        <v>100</v>
      </c>
      <c r="I13" s="36">
        <f t="shared" si="2"/>
        <v>100</v>
      </c>
      <c r="J13" s="36">
        <f t="shared" si="2"/>
        <v>100</v>
      </c>
      <c r="K13" s="36">
        <f t="shared" si="2"/>
        <v>100</v>
      </c>
      <c r="L13" s="36">
        <f t="shared" si="2"/>
        <v>100</v>
      </c>
      <c r="M13" s="36">
        <f t="shared" si="2"/>
        <v>100</v>
      </c>
      <c r="N13" s="36">
        <f t="shared" si="2"/>
        <v>100</v>
      </c>
      <c r="O13" s="36">
        <f t="shared" si="2"/>
        <v>100</v>
      </c>
      <c r="P13" s="36">
        <f t="shared" si="2"/>
        <v>100</v>
      </c>
      <c r="Q13" s="36">
        <f t="shared" si="2"/>
        <v>100</v>
      </c>
      <c r="R13" s="2"/>
    </row>
    <row r="14" spans="1:26" ht="15.75" customHeight="1">
      <c r="A14" s="1"/>
      <c r="B14" s="1"/>
      <c r="C14" s="34" t="s">
        <v>27</v>
      </c>
      <c r="D14" s="36">
        <f>(COUNTIF(D11:D11,"&gt;=7"))*100</f>
        <v>100</v>
      </c>
      <c r="E14" s="36">
        <f t="shared" ref="E14:Q14" si="3">(COUNTIF(E11:E11,"&gt;=7"))*100</f>
        <v>100</v>
      </c>
      <c r="F14" s="36">
        <f t="shared" si="3"/>
        <v>100</v>
      </c>
      <c r="G14" s="36">
        <f t="shared" si="3"/>
        <v>100</v>
      </c>
      <c r="H14" s="36">
        <f t="shared" si="3"/>
        <v>100</v>
      </c>
      <c r="I14" s="36">
        <f t="shared" si="3"/>
        <v>100</v>
      </c>
      <c r="J14" s="36">
        <f t="shared" si="3"/>
        <v>100</v>
      </c>
      <c r="K14" s="36">
        <f t="shared" si="3"/>
        <v>100</v>
      </c>
      <c r="L14" s="36">
        <f t="shared" si="3"/>
        <v>100</v>
      </c>
      <c r="M14" s="36">
        <f t="shared" si="3"/>
        <v>100</v>
      </c>
      <c r="N14" s="36">
        <f t="shared" si="3"/>
        <v>100</v>
      </c>
      <c r="O14" s="36">
        <f t="shared" si="3"/>
        <v>100</v>
      </c>
      <c r="P14" s="36">
        <f t="shared" si="3"/>
        <v>100</v>
      </c>
      <c r="Q14" s="36">
        <f t="shared" si="3"/>
        <v>100</v>
      </c>
      <c r="R14" s="2"/>
    </row>
    <row r="15" spans="1:26" ht="15.75" customHeight="1">
      <c r="A15" s="1"/>
      <c r="B15" s="1"/>
      <c r="C15" s="34" t="s">
        <v>28</v>
      </c>
      <c r="D15" s="46">
        <f t="shared" ref="D15:D16" si="4">AVERAGE(D13:Q13)</f>
        <v>100</v>
      </c>
      <c r="E15" s="32"/>
      <c r="F15" s="32"/>
      <c r="G15" s="32"/>
      <c r="H15" s="32"/>
      <c r="I15" s="33"/>
      <c r="J15" s="33"/>
      <c r="K15" s="33"/>
      <c r="L15" s="33"/>
      <c r="M15" s="33"/>
      <c r="N15" s="33"/>
      <c r="O15" s="33"/>
      <c r="P15" s="33"/>
      <c r="Q15" s="33"/>
      <c r="R15" s="2"/>
    </row>
    <row r="16" spans="1:26" ht="15.75" customHeight="1">
      <c r="A16" s="1"/>
      <c r="B16" s="1"/>
      <c r="C16" s="34" t="s">
        <v>29</v>
      </c>
      <c r="D16" s="46">
        <f t="shared" si="4"/>
        <v>100</v>
      </c>
      <c r="E16" s="3"/>
      <c r="F16" s="16" t="s">
        <v>30</v>
      </c>
      <c r="G16" s="17"/>
      <c r="H16" s="16"/>
      <c r="I16" s="16"/>
      <c r="J16" s="18"/>
      <c r="K16" s="16" t="s">
        <v>66</v>
      </c>
      <c r="L16" s="17"/>
      <c r="M16" s="4"/>
      <c r="N16" s="4"/>
      <c r="O16" s="4"/>
      <c r="P16" s="4"/>
      <c r="Q16" s="4"/>
      <c r="R16" s="7"/>
    </row>
    <row r="17" spans="1:18" ht="15.75" customHeight="1">
      <c r="A17" s="2"/>
      <c r="B17" s="2"/>
      <c r="C17" s="2"/>
      <c r="D17" s="2"/>
      <c r="E17" s="2"/>
      <c r="F17" s="24"/>
      <c r="G17" s="24"/>
      <c r="H17" s="24"/>
      <c r="I17" s="24"/>
      <c r="J17" s="24"/>
      <c r="K17" s="24"/>
      <c r="L17" s="24"/>
      <c r="M17" s="2"/>
      <c r="N17" s="2"/>
      <c r="O17" s="2"/>
      <c r="P17" s="2"/>
      <c r="Q17" s="2"/>
      <c r="R17" s="2"/>
    </row>
    <row r="18" spans="1:18" ht="15.75" customHeight="1">
      <c r="A18" s="2"/>
      <c r="B18" s="2"/>
      <c r="C18" s="2"/>
      <c r="D18" s="2"/>
      <c r="E18" s="2"/>
      <c r="F18" s="19" t="s">
        <v>31</v>
      </c>
      <c r="G18" s="19"/>
      <c r="H18" s="19"/>
      <c r="I18" s="19"/>
      <c r="J18" s="19"/>
      <c r="K18" s="19" t="s">
        <v>32</v>
      </c>
      <c r="L18" s="19"/>
      <c r="M18" s="2"/>
      <c r="N18" s="2"/>
      <c r="O18" s="2"/>
      <c r="P18" s="2"/>
      <c r="Q18" s="2"/>
      <c r="R18" s="2"/>
    </row>
    <row r="19" spans="1:18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8" ht="15.75" customHeight="1">
      <c r="A20" s="2"/>
      <c r="B20" s="2"/>
      <c r="C20" s="2"/>
      <c r="D20" s="2"/>
      <c r="E20" s="5"/>
      <c r="F20" s="5"/>
      <c r="G20" s="5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8" s="7" customFormat="1" ht="15.75" customHeight="1">
      <c r="C21" s="8"/>
      <c r="L21" s="9"/>
      <c r="R21"/>
    </row>
    <row r="22" spans="1:18" ht="15.75" customHeight="1">
      <c r="A22" s="2"/>
      <c r="B22" s="2"/>
      <c r="C22" s="2"/>
      <c r="D22" s="2"/>
      <c r="L22" s="2"/>
      <c r="M22" s="2"/>
      <c r="N22" s="2"/>
      <c r="O22" s="2"/>
      <c r="P22" s="2"/>
      <c r="Q22" s="2"/>
    </row>
    <row r="23" spans="1:18" ht="15.75" customHeight="1">
      <c r="A23" s="2"/>
      <c r="B23" s="2"/>
      <c r="C23" s="2"/>
      <c r="D23" s="2"/>
      <c r="L23" s="2"/>
      <c r="M23" s="2"/>
      <c r="N23" s="2"/>
      <c r="O23" s="2"/>
      <c r="P23" s="2"/>
      <c r="Q23" s="2"/>
    </row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R1"/>
    <mergeCell ref="A6:R6"/>
    <mergeCell ref="A5:R5"/>
    <mergeCell ref="A4:R4"/>
    <mergeCell ref="A3:R3"/>
    <mergeCell ref="A2:R2"/>
    <mergeCell ref="B7:B10"/>
    <mergeCell ref="C7:C10"/>
    <mergeCell ref="D7:R7"/>
    <mergeCell ref="A7:A10"/>
    <mergeCell ref="D8:D10"/>
    <mergeCell ref="E8:E10"/>
    <mergeCell ref="F8:F10"/>
    <mergeCell ref="G8:G10"/>
    <mergeCell ref="H8:H10"/>
    <mergeCell ref="I8:I10"/>
    <mergeCell ref="Q8:Q10"/>
    <mergeCell ref="R8:R10"/>
    <mergeCell ref="J8:J10"/>
    <mergeCell ref="K8:K10"/>
    <mergeCell ref="L8:L10"/>
    <mergeCell ref="M8:M10"/>
    <mergeCell ref="N8:N10"/>
    <mergeCell ref="O8:O10"/>
    <mergeCell ref="P8:P10"/>
  </mergeCells>
  <pageMargins left="0.7" right="0.7" top="0.75" bottom="0.75" header="0" footer="0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sqref="A1:R1"/>
    </sheetView>
  </sheetViews>
  <sheetFormatPr defaultColWidth="14.42578125" defaultRowHeight="15" customHeight="1"/>
  <cols>
    <col min="1" max="1" width="4.42578125" customWidth="1"/>
    <col min="2" max="2" width="6.5703125" customWidth="1"/>
    <col min="3" max="3" width="40.42578125" customWidth="1"/>
    <col min="4" max="14" width="6.7109375" customWidth="1"/>
    <col min="15" max="15" width="9.7109375" customWidth="1"/>
    <col min="16" max="17" width="6.7109375" customWidth="1"/>
    <col min="18" max="18" width="11.28515625" customWidth="1"/>
  </cols>
  <sheetData>
    <row r="1" spans="1:26" ht="1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26" ht="15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26" ht="15" customHeight="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26" ht="15" customHeight="1">
      <c r="A4" s="14" t="s">
        <v>33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spans="1:26" ht="15" customHeight="1">
      <c r="A5" s="14" t="s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26" ht="15" customHeight="1">
      <c r="A6" s="25" t="s">
        <v>65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1:26" ht="15" customHeight="1">
      <c r="A7" s="40" t="s">
        <v>4</v>
      </c>
      <c r="B7" s="41" t="s">
        <v>5</v>
      </c>
      <c r="C7" s="41" t="s">
        <v>6</v>
      </c>
      <c r="D7" s="26" t="s">
        <v>7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6" ht="15" customHeight="1">
      <c r="A8" s="13"/>
      <c r="B8" s="13"/>
      <c r="C8" s="13"/>
      <c r="D8" s="27" t="s">
        <v>8</v>
      </c>
      <c r="E8" s="27" t="s">
        <v>9</v>
      </c>
      <c r="F8" s="27" t="s">
        <v>10</v>
      </c>
      <c r="G8" s="27" t="s">
        <v>11</v>
      </c>
      <c r="H8" s="27" t="s">
        <v>12</v>
      </c>
      <c r="I8" s="27" t="s">
        <v>13</v>
      </c>
      <c r="J8" s="27" t="s">
        <v>14</v>
      </c>
      <c r="K8" s="27" t="s">
        <v>15</v>
      </c>
      <c r="L8" s="27" t="s">
        <v>16</v>
      </c>
      <c r="M8" s="27" t="s">
        <v>17</v>
      </c>
      <c r="N8" s="27" t="s">
        <v>18</v>
      </c>
      <c r="O8" s="27" t="s">
        <v>19</v>
      </c>
      <c r="P8" s="27" t="s">
        <v>20</v>
      </c>
      <c r="Q8" s="27" t="s">
        <v>21</v>
      </c>
      <c r="R8" s="12" t="s">
        <v>22</v>
      </c>
    </row>
    <row r="9" spans="1:26" ht="1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spans="1:26" ht="99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spans="1:26" ht="15" customHeight="1">
      <c r="A11" s="42" t="s">
        <v>23</v>
      </c>
      <c r="B11" s="43">
        <v>1</v>
      </c>
      <c r="C11" s="44" t="s">
        <v>34</v>
      </c>
      <c r="D11" s="28">
        <v>4</v>
      </c>
      <c r="E11" s="28">
        <v>5</v>
      </c>
      <c r="F11" s="28" t="s">
        <v>35</v>
      </c>
      <c r="G11" s="28">
        <v>5</v>
      </c>
      <c r="H11" s="28">
        <v>7</v>
      </c>
      <c r="I11" s="28" t="s">
        <v>35</v>
      </c>
      <c r="J11" s="28">
        <v>4</v>
      </c>
      <c r="K11" s="28">
        <v>4</v>
      </c>
      <c r="L11" s="28">
        <v>5</v>
      </c>
      <c r="M11" s="28">
        <v>8</v>
      </c>
      <c r="N11" s="28">
        <v>4</v>
      </c>
      <c r="O11" s="28">
        <v>5</v>
      </c>
      <c r="P11" s="28">
        <v>6</v>
      </c>
      <c r="Q11" s="28" t="s">
        <v>35</v>
      </c>
      <c r="R11" s="29" t="str">
        <f t="shared" ref="R11:R40" si="0">IF(COUNTIF(D11:Q11,"=*")&gt;0,"-",(AVERAGE(D11:Q11)))</f>
        <v>-</v>
      </c>
    </row>
    <row r="12" spans="1:26" ht="15" customHeight="1">
      <c r="A12" s="42" t="s">
        <v>23</v>
      </c>
      <c r="B12" s="43">
        <v>2</v>
      </c>
      <c r="C12" s="44" t="s">
        <v>36</v>
      </c>
      <c r="D12" s="28">
        <v>7</v>
      </c>
      <c r="E12" s="28">
        <v>6</v>
      </c>
      <c r="F12" s="28">
        <v>4</v>
      </c>
      <c r="G12" s="28">
        <v>5</v>
      </c>
      <c r="H12" s="28" t="s">
        <v>35</v>
      </c>
      <c r="I12" s="28" t="s">
        <v>35</v>
      </c>
      <c r="J12" s="28">
        <v>7</v>
      </c>
      <c r="K12" s="28">
        <v>5</v>
      </c>
      <c r="L12" s="28" t="s">
        <v>35</v>
      </c>
      <c r="M12" s="28" t="s">
        <v>35</v>
      </c>
      <c r="N12" s="28">
        <v>7</v>
      </c>
      <c r="O12" s="28">
        <v>7</v>
      </c>
      <c r="P12" s="28">
        <v>8</v>
      </c>
      <c r="Q12" s="28" t="s">
        <v>35</v>
      </c>
      <c r="R12" s="29" t="str">
        <f t="shared" si="0"/>
        <v>-</v>
      </c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42" t="s">
        <v>23</v>
      </c>
      <c r="B13" s="43">
        <v>3</v>
      </c>
      <c r="C13" s="44" t="s">
        <v>37</v>
      </c>
      <c r="D13" s="28">
        <v>7</v>
      </c>
      <c r="E13" s="28">
        <v>6</v>
      </c>
      <c r="F13" s="28">
        <v>4</v>
      </c>
      <c r="G13" s="28">
        <v>4</v>
      </c>
      <c r="H13" s="28">
        <v>7</v>
      </c>
      <c r="I13" s="28">
        <v>4</v>
      </c>
      <c r="J13" s="28">
        <v>7</v>
      </c>
      <c r="K13" s="28">
        <v>4</v>
      </c>
      <c r="L13" s="28">
        <v>5</v>
      </c>
      <c r="M13" s="28">
        <v>10</v>
      </c>
      <c r="N13" s="28">
        <v>4</v>
      </c>
      <c r="O13" s="28">
        <v>6</v>
      </c>
      <c r="P13" s="28">
        <v>7</v>
      </c>
      <c r="Q13" s="28">
        <v>5</v>
      </c>
      <c r="R13" s="29">
        <f t="shared" si="0"/>
        <v>5.7142857142857144</v>
      </c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42" t="s">
        <v>23</v>
      </c>
      <c r="B14" s="43">
        <v>4</v>
      </c>
      <c r="C14" s="44" t="s">
        <v>38</v>
      </c>
      <c r="D14" s="28">
        <v>4</v>
      </c>
      <c r="E14" s="28">
        <v>5</v>
      </c>
      <c r="F14" s="28">
        <v>4</v>
      </c>
      <c r="G14" s="28">
        <v>4</v>
      </c>
      <c r="H14" s="28">
        <v>5</v>
      </c>
      <c r="I14" s="28">
        <v>4</v>
      </c>
      <c r="J14" s="28">
        <v>5</v>
      </c>
      <c r="K14" s="28">
        <v>4</v>
      </c>
      <c r="L14" s="28">
        <v>6</v>
      </c>
      <c r="M14" s="28">
        <v>9</v>
      </c>
      <c r="N14" s="28">
        <v>4</v>
      </c>
      <c r="O14" s="28">
        <v>7</v>
      </c>
      <c r="P14" s="28">
        <v>7</v>
      </c>
      <c r="Q14" s="28">
        <v>6</v>
      </c>
      <c r="R14" s="29">
        <f t="shared" si="0"/>
        <v>5.2857142857142856</v>
      </c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42" t="s">
        <v>23</v>
      </c>
      <c r="B15" s="43">
        <v>5</v>
      </c>
      <c r="C15" s="44" t="s">
        <v>39</v>
      </c>
      <c r="D15" s="28">
        <v>5</v>
      </c>
      <c r="E15" s="28">
        <v>7</v>
      </c>
      <c r="F15" s="28">
        <v>4</v>
      </c>
      <c r="G15" s="28">
        <v>4</v>
      </c>
      <c r="H15" s="28">
        <v>6</v>
      </c>
      <c r="I15" s="28">
        <v>7</v>
      </c>
      <c r="J15" s="28">
        <v>7</v>
      </c>
      <c r="K15" s="28">
        <v>6</v>
      </c>
      <c r="L15" s="28">
        <v>6</v>
      </c>
      <c r="M15" s="28">
        <v>10</v>
      </c>
      <c r="N15" s="28">
        <v>6</v>
      </c>
      <c r="O15" s="28">
        <v>8</v>
      </c>
      <c r="P15" s="28">
        <v>4</v>
      </c>
      <c r="Q15" s="28">
        <v>7</v>
      </c>
      <c r="R15" s="29">
        <f t="shared" si="0"/>
        <v>6.2142857142857144</v>
      </c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42" t="s">
        <v>23</v>
      </c>
      <c r="B16" s="43">
        <v>6</v>
      </c>
      <c r="C16" s="44" t="s">
        <v>40</v>
      </c>
      <c r="D16" s="28">
        <v>10</v>
      </c>
      <c r="E16" s="28">
        <v>10</v>
      </c>
      <c r="F16" s="28">
        <v>10</v>
      </c>
      <c r="G16" s="28">
        <v>7</v>
      </c>
      <c r="H16" s="28">
        <v>11</v>
      </c>
      <c r="I16" s="28">
        <v>10</v>
      </c>
      <c r="J16" s="28">
        <v>8</v>
      </c>
      <c r="K16" s="28">
        <v>9</v>
      </c>
      <c r="L16" s="28">
        <v>9</v>
      </c>
      <c r="M16" s="28">
        <v>10</v>
      </c>
      <c r="N16" s="28">
        <v>11</v>
      </c>
      <c r="O16" s="28">
        <v>11</v>
      </c>
      <c r="P16" s="28">
        <v>9</v>
      </c>
      <c r="Q16" s="28">
        <v>9</v>
      </c>
      <c r="R16" s="29">
        <f t="shared" si="0"/>
        <v>9.5714285714285712</v>
      </c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42" t="s">
        <v>23</v>
      </c>
      <c r="B17" s="43">
        <v>7</v>
      </c>
      <c r="C17" s="44" t="s">
        <v>41</v>
      </c>
      <c r="D17" s="28">
        <v>5</v>
      </c>
      <c r="E17" s="28">
        <v>6</v>
      </c>
      <c r="F17" s="28">
        <v>4</v>
      </c>
      <c r="G17" s="28">
        <v>4</v>
      </c>
      <c r="H17" s="28">
        <v>6</v>
      </c>
      <c r="I17" s="28" t="s">
        <v>35</v>
      </c>
      <c r="J17" s="28">
        <v>8</v>
      </c>
      <c r="K17" s="28" t="s">
        <v>35</v>
      </c>
      <c r="L17" s="28">
        <v>6</v>
      </c>
      <c r="M17" s="28">
        <v>10</v>
      </c>
      <c r="N17" s="28">
        <v>8</v>
      </c>
      <c r="O17" s="28">
        <v>6</v>
      </c>
      <c r="P17" s="28">
        <v>7</v>
      </c>
      <c r="Q17" s="28">
        <v>8</v>
      </c>
      <c r="R17" s="29" t="str">
        <f t="shared" si="0"/>
        <v>-</v>
      </c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42" t="s">
        <v>23</v>
      </c>
      <c r="B18" s="43">
        <v>8</v>
      </c>
      <c r="C18" s="44" t="s">
        <v>42</v>
      </c>
      <c r="D18" s="28">
        <v>8</v>
      </c>
      <c r="E18" s="28">
        <v>10</v>
      </c>
      <c r="F18" s="28">
        <v>7</v>
      </c>
      <c r="G18" s="28">
        <v>6</v>
      </c>
      <c r="H18" s="28">
        <v>8</v>
      </c>
      <c r="I18" s="28">
        <v>8</v>
      </c>
      <c r="J18" s="28">
        <v>7</v>
      </c>
      <c r="K18" s="28">
        <v>6</v>
      </c>
      <c r="L18" s="28">
        <v>9</v>
      </c>
      <c r="M18" s="28">
        <v>10</v>
      </c>
      <c r="N18" s="28">
        <v>9</v>
      </c>
      <c r="O18" s="28">
        <v>9</v>
      </c>
      <c r="P18" s="28">
        <v>8</v>
      </c>
      <c r="Q18" s="28">
        <v>8</v>
      </c>
      <c r="R18" s="29">
        <f t="shared" si="0"/>
        <v>8.0714285714285712</v>
      </c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42" t="s">
        <v>23</v>
      </c>
      <c r="B19" s="43">
        <v>9</v>
      </c>
      <c r="C19" s="44" t="s">
        <v>43</v>
      </c>
      <c r="D19" s="28">
        <v>9</v>
      </c>
      <c r="E19" s="28">
        <v>8</v>
      </c>
      <c r="F19" s="28">
        <v>5</v>
      </c>
      <c r="G19" s="28">
        <v>5</v>
      </c>
      <c r="H19" s="28">
        <v>4</v>
      </c>
      <c r="I19" s="28">
        <v>8</v>
      </c>
      <c r="J19" s="28">
        <v>6</v>
      </c>
      <c r="K19" s="28">
        <v>6</v>
      </c>
      <c r="L19" s="28">
        <v>6</v>
      </c>
      <c r="M19" s="28">
        <v>10</v>
      </c>
      <c r="N19" s="28">
        <v>5</v>
      </c>
      <c r="O19" s="28">
        <v>6</v>
      </c>
      <c r="P19" s="28">
        <v>8</v>
      </c>
      <c r="Q19" s="28">
        <v>8</v>
      </c>
      <c r="R19" s="29">
        <f t="shared" si="0"/>
        <v>6.7142857142857144</v>
      </c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42" t="s">
        <v>23</v>
      </c>
      <c r="B20" s="43">
        <v>10</v>
      </c>
      <c r="C20" s="44" t="s">
        <v>44</v>
      </c>
      <c r="D20" s="28">
        <v>10</v>
      </c>
      <c r="E20" s="28">
        <v>8</v>
      </c>
      <c r="F20" s="28">
        <v>8</v>
      </c>
      <c r="G20" s="28">
        <v>6</v>
      </c>
      <c r="H20" s="28">
        <v>9</v>
      </c>
      <c r="I20" s="28">
        <v>9</v>
      </c>
      <c r="J20" s="28">
        <v>7</v>
      </c>
      <c r="K20" s="28">
        <v>10</v>
      </c>
      <c r="L20" s="28">
        <v>9</v>
      </c>
      <c r="M20" s="28">
        <v>10</v>
      </c>
      <c r="N20" s="28">
        <v>10</v>
      </c>
      <c r="O20" s="28">
        <v>8</v>
      </c>
      <c r="P20" s="28">
        <v>8</v>
      </c>
      <c r="Q20" s="28">
        <v>8</v>
      </c>
      <c r="R20" s="29">
        <f t="shared" si="0"/>
        <v>8.5714285714285712</v>
      </c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42" t="s">
        <v>23</v>
      </c>
      <c r="B21" s="43">
        <v>11</v>
      </c>
      <c r="C21" s="44" t="s">
        <v>45</v>
      </c>
      <c r="D21" s="28">
        <v>4</v>
      </c>
      <c r="E21" s="28">
        <v>7</v>
      </c>
      <c r="F21" s="28">
        <v>5</v>
      </c>
      <c r="G21" s="28">
        <v>4</v>
      </c>
      <c r="H21" s="28">
        <v>6</v>
      </c>
      <c r="I21" s="28">
        <v>4</v>
      </c>
      <c r="J21" s="28">
        <v>7</v>
      </c>
      <c r="K21" s="28">
        <v>6</v>
      </c>
      <c r="L21" s="28">
        <v>6</v>
      </c>
      <c r="M21" s="28">
        <v>10</v>
      </c>
      <c r="N21" s="28">
        <v>5</v>
      </c>
      <c r="O21" s="28">
        <v>4</v>
      </c>
      <c r="P21" s="28">
        <v>4</v>
      </c>
      <c r="Q21" s="28">
        <v>5</v>
      </c>
      <c r="R21" s="29">
        <f t="shared" si="0"/>
        <v>5.5</v>
      </c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42" t="s">
        <v>23</v>
      </c>
      <c r="B22" s="43">
        <v>12</v>
      </c>
      <c r="C22" s="44" t="s">
        <v>46</v>
      </c>
      <c r="D22" s="28">
        <v>7</v>
      </c>
      <c r="E22" s="28">
        <v>8</v>
      </c>
      <c r="F22" s="28">
        <v>6</v>
      </c>
      <c r="G22" s="28">
        <v>6</v>
      </c>
      <c r="H22" s="28">
        <v>7</v>
      </c>
      <c r="I22" s="28">
        <v>7</v>
      </c>
      <c r="J22" s="28">
        <v>8</v>
      </c>
      <c r="K22" s="28">
        <v>6</v>
      </c>
      <c r="L22" s="28">
        <v>7</v>
      </c>
      <c r="M22" s="28">
        <v>10</v>
      </c>
      <c r="N22" s="28">
        <v>9</v>
      </c>
      <c r="O22" s="28">
        <v>9</v>
      </c>
      <c r="P22" s="28">
        <v>7</v>
      </c>
      <c r="Q22" s="28">
        <v>7</v>
      </c>
      <c r="R22" s="29">
        <f t="shared" si="0"/>
        <v>7.4285714285714288</v>
      </c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42" t="s">
        <v>23</v>
      </c>
      <c r="B23" s="43">
        <v>13</v>
      </c>
      <c r="C23" s="44" t="s">
        <v>47</v>
      </c>
      <c r="D23" s="28">
        <v>7</v>
      </c>
      <c r="E23" s="28">
        <v>10</v>
      </c>
      <c r="F23" s="28">
        <v>6</v>
      </c>
      <c r="G23" s="28">
        <v>5</v>
      </c>
      <c r="H23" s="28">
        <v>9</v>
      </c>
      <c r="I23" s="28">
        <v>8</v>
      </c>
      <c r="J23" s="28">
        <v>6</v>
      </c>
      <c r="K23" s="28">
        <v>9</v>
      </c>
      <c r="L23" s="28">
        <v>8</v>
      </c>
      <c r="M23" s="28">
        <v>10</v>
      </c>
      <c r="N23" s="28">
        <v>6</v>
      </c>
      <c r="O23" s="28">
        <v>8</v>
      </c>
      <c r="P23" s="28">
        <v>7</v>
      </c>
      <c r="Q23" s="28">
        <v>8</v>
      </c>
      <c r="R23" s="29">
        <f t="shared" si="0"/>
        <v>7.6428571428571432</v>
      </c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42" t="s">
        <v>23</v>
      </c>
      <c r="B24" s="43">
        <v>14</v>
      </c>
      <c r="C24" s="44" t="s">
        <v>48</v>
      </c>
      <c r="D24" s="28">
        <v>8</v>
      </c>
      <c r="E24" s="28">
        <v>10</v>
      </c>
      <c r="F24" s="28">
        <v>4</v>
      </c>
      <c r="G24" s="28">
        <v>6</v>
      </c>
      <c r="H24" s="28">
        <v>7</v>
      </c>
      <c r="I24" s="28">
        <v>10</v>
      </c>
      <c r="J24" s="28">
        <v>7</v>
      </c>
      <c r="K24" s="28">
        <v>7</v>
      </c>
      <c r="L24" s="28">
        <v>8</v>
      </c>
      <c r="M24" s="28">
        <v>10</v>
      </c>
      <c r="N24" s="28">
        <v>5</v>
      </c>
      <c r="O24" s="28">
        <v>9</v>
      </c>
      <c r="P24" s="28">
        <v>7</v>
      </c>
      <c r="Q24" s="28">
        <v>8</v>
      </c>
      <c r="R24" s="29">
        <f t="shared" si="0"/>
        <v>7.5714285714285712</v>
      </c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42" t="s">
        <v>23</v>
      </c>
      <c r="B25" s="43">
        <v>15</v>
      </c>
      <c r="C25" s="44" t="s">
        <v>49</v>
      </c>
      <c r="D25" s="28">
        <v>4</v>
      </c>
      <c r="E25" s="28">
        <v>5</v>
      </c>
      <c r="F25" s="28">
        <v>4</v>
      </c>
      <c r="G25" s="28" t="s">
        <v>35</v>
      </c>
      <c r="H25" s="28">
        <v>4</v>
      </c>
      <c r="I25" s="28" t="s">
        <v>35</v>
      </c>
      <c r="J25" s="28" t="s">
        <v>35</v>
      </c>
      <c r="K25" s="28">
        <v>10</v>
      </c>
      <c r="L25" s="28">
        <v>4</v>
      </c>
      <c r="M25" s="28" t="s">
        <v>35</v>
      </c>
      <c r="N25" s="28">
        <v>4</v>
      </c>
      <c r="O25" s="28">
        <v>5</v>
      </c>
      <c r="P25" s="28">
        <v>7</v>
      </c>
      <c r="Q25" s="28" t="s">
        <v>35</v>
      </c>
      <c r="R25" s="29" t="str">
        <f t="shared" si="0"/>
        <v>-</v>
      </c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42" t="s">
        <v>23</v>
      </c>
      <c r="B26" s="43">
        <v>16</v>
      </c>
      <c r="C26" s="44" t="s">
        <v>50</v>
      </c>
      <c r="D26" s="28">
        <v>8</v>
      </c>
      <c r="E26" s="28">
        <v>8</v>
      </c>
      <c r="F26" s="28">
        <v>5</v>
      </c>
      <c r="G26" s="28">
        <v>6</v>
      </c>
      <c r="H26" s="28">
        <v>6</v>
      </c>
      <c r="I26" s="28">
        <v>7</v>
      </c>
      <c r="J26" s="28">
        <v>7</v>
      </c>
      <c r="K26" s="28">
        <v>10</v>
      </c>
      <c r="L26" s="28">
        <v>8</v>
      </c>
      <c r="M26" s="28">
        <v>9</v>
      </c>
      <c r="N26" s="28">
        <v>4</v>
      </c>
      <c r="O26" s="28">
        <v>8</v>
      </c>
      <c r="P26" s="28">
        <v>9</v>
      </c>
      <c r="Q26" s="28">
        <v>8</v>
      </c>
      <c r="R26" s="29">
        <f t="shared" si="0"/>
        <v>7.3571428571428568</v>
      </c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42" t="s">
        <v>23</v>
      </c>
      <c r="B27" s="43">
        <v>17</v>
      </c>
      <c r="C27" s="44" t="s">
        <v>51</v>
      </c>
      <c r="D27" s="28" t="s">
        <v>35</v>
      </c>
      <c r="E27" s="28">
        <v>5</v>
      </c>
      <c r="F27" s="28">
        <v>4</v>
      </c>
      <c r="G27" s="28">
        <v>5</v>
      </c>
      <c r="H27" s="28">
        <v>4</v>
      </c>
      <c r="I27" s="28" t="s">
        <v>35</v>
      </c>
      <c r="J27" s="28" t="s">
        <v>35</v>
      </c>
      <c r="K27" s="28" t="s">
        <v>35</v>
      </c>
      <c r="L27" s="28">
        <v>4</v>
      </c>
      <c r="M27" s="28" t="s">
        <v>35</v>
      </c>
      <c r="N27" s="28">
        <v>5</v>
      </c>
      <c r="O27" s="28">
        <v>4</v>
      </c>
      <c r="P27" s="28">
        <v>5</v>
      </c>
      <c r="Q27" s="28" t="s">
        <v>35</v>
      </c>
      <c r="R27" s="29" t="str">
        <f t="shared" si="0"/>
        <v>-</v>
      </c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42" t="s">
        <v>23</v>
      </c>
      <c r="B28" s="43">
        <v>18</v>
      </c>
      <c r="C28" s="44" t="s">
        <v>52</v>
      </c>
      <c r="D28" s="28">
        <v>5</v>
      </c>
      <c r="E28" s="28">
        <v>7</v>
      </c>
      <c r="F28" s="28">
        <v>7</v>
      </c>
      <c r="G28" s="28">
        <v>6</v>
      </c>
      <c r="H28" s="28">
        <v>10</v>
      </c>
      <c r="I28" s="28">
        <v>8</v>
      </c>
      <c r="J28" s="28">
        <v>7</v>
      </c>
      <c r="K28" s="28">
        <v>6</v>
      </c>
      <c r="L28" s="28">
        <v>9</v>
      </c>
      <c r="M28" s="28">
        <v>9</v>
      </c>
      <c r="N28" s="28">
        <v>7</v>
      </c>
      <c r="O28" s="28">
        <v>9</v>
      </c>
      <c r="P28" s="28">
        <v>8</v>
      </c>
      <c r="Q28" s="28">
        <v>9</v>
      </c>
      <c r="R28" s="29">
        <f t="shared" si="0"/>
        <v>7.6428571428571432</v>
      </c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42" t="s">
        <v>23</v>
      </c>
      <c r="B29" s="43">
        <v>19</v>
      </c>
      <c r="C29" s="44" t="s">
        <v>53</v>
      </c>
      <c r="D29" s="28">
        <v>9</v>
      </c>
      <c r="E29" s="28">
        <v>9</v>
      </c>
      <c r="F29" s="28">
        <v>9</v>
      </c>
      <c r="G29" s="28">
        <v>7</v>
      </c>
      <c r="H29" s="28">
        <v>9</v>
      </c>
      <c r="I29" s="28">
        <v>8</v>
      </c>
      <c r="J29" s="28">
        <v>6</v>
      </c>
      <c r="K29" s="28">
        <v>10</v>
      </c>
      <c r="L29" s="28">
        <v>10</v>
      </c>
      <c r="M29" s="28">
        <v>9</v>
      </c>
      <c r="N29" s="28">
        <v>10</v>
      </c>
      <c r="O29" s="28">
        <v>10</v>
      </c>
      <c r="P29" s="28">
        <v>8</v>
      </c>
      <c r="Q29" s="28">
        <v>9</v>
      </c>
      <c r="R29" s="29">
        <f t="shared" si="0"/>
        <v>8.7857142857142865</v>
      </c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42" t="s">
        <v>23</v>
      </c>
      <c r="B30" s="43">
        <v>20</v>
      </c>
      <c r="C30" s="44" t="s">
        <v>54</v>
      </c>
      <c r="D30" s="28">
        <v>8</v>
      </c>
      <c r="E30" s="28">
        <v>9</v>
      </c>
      <c r="F30" s="28">
        <v>9</v>
      </c>
      <c r="G30" s="28">
        <v>6</v>
      </c>
      <c r="H30" s="28">
        <v>8</v>
      </c>
      <c r="I30" s="28">
        <v>9</v>
      </c>
      <c r="J30" s="28">
        <v>8</v>
      </c>
      <c r="K30" s="28">
        <v>7</v>
      </c>
      <c r="L30" s="28">
        <v>8</v>
      </c>
      <c r="M30" s="28">
        <v>9</v>
      </c>
      <c r="N30" s="28">
        <v>6</v>
      </c>
      <c r="O30" s="28">
        <v>9</v>
      </c>
      <c r="P30" s="28">
        <v>8</v>
      </c>
      <c r="Q30" s="28">
        <v>9</v>
      </c>
      <c r="R30" s="29">
        <f t="shared" si="0"/>
        <v>8.0714285714285712</v>
      </c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42" t="s">
        <v>23</v>
      </c>
      <c r="B31" s="43">
        <v>21</v>
      </c>
      <c r="C31" s="44" t="s">
        <v>55</v>
      </c>
      <c r="D31" s="28">
        <v>10</v>
      </c>
      <c r="E31" s="28">
        <v>8</v>
      </c>
      <c r="F31" s="28">
        <v>5</v>
      </c>
      <c r="G31" s="28">
        <v>5</v>
      </c>
      <c r="H31" s="28">
        <v>7</v>
      </c>
      <c r="I31" s="28">
        <v>7</v>
      </c>
      <c r="J31" s="28">
        <v>6</v>
      </c>
      <c r="K31" s="28">
        <v>8</v>
      </c>
      <c r="L31" s="28">
        <v>9</v>
      </c>
      <c r="M31" s="28">
        <v>9</v>
      </c>
      <c r="N31" s="28">
        <v>6</v>
      </c>
      <c r="O31" s="28">
        <v>6</v>
      </c>
      <c r="P31" s="28">
        <v>7</v>
      </c>
      <c r="Q31" s="28">
        <v>9</v>
      </c>
      <c r="R31" s="29">
        <f t="shared" si="0"/>
        <v>7.2857142857142856</v>
      </c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42" t="s">
        <v>23</v>
      </c>
      <c r="B32" s="43">
        <v>22</v>
      </c>
      <c r="C32" s="44" t="s">
        <v>56</v>
      </c>
      <c r="D32" s="28">
        <v>5</v>
      </c>
      <c r="E32" s="28">
        <v>8</v>
      </c>
      <c r="F32" s="28">
        <v>4</v>
      </c>
      <c r="G32" s="28">
        <v>6</v>
      </c>
      <c r="H32" s="28">
        <v>6</v>
      </c>
      <c r="I32" s="28">
        <v>8</v>
      </c>
      <c r="J32" s="28">
        <v>7</v>
      </c>
      <c r="K32" s="28">
        <v>5</v>
      </c>
      <c r="L32" s="28">
        <v>9</v>
      </c>
      <c r="M32" s="28">
        <v>9</v>
      </c>
      <c r="N32" s="28">
        <v>8</v>
      </c>
      <c r="O32" s="28">
        <v>7</v>
      </c>
      <c r="P32" s="28">
        <v>5</v>
      </c>
      <c r="Q32" s="28">
        <v>5</v>
      </c>
      <c r="R32" s="29">
        <f t="shared" si="0"/>
        <v>6.5714285714285712</v>
      </c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42" t="s">
        <v>23</v>
      </c>
      <c r="B33" s="43">
        <v>23</v>
      </c>
      <c r="C33" s="44" t="s">
        <v>57</v>
      </c>
      <c r="D33" s="28">
        <v>7</v>
      </c>
      <c r="E33" s="28">
        <v>10</v>
      </c>
      <c r="F33" s="28">
        <v>4</v>
      </c>
      <c r="G33" s="28">
        <v>4</v>
      </c>
      <c r="H33" s="28">
        <v>6</v>
      </c>
      <c r="I33" s="28">
        <v>4</v>
      </c>
      <c r="J33" s="28">
        <v>5</v>
      </c>
      <c r="K33" s="28">
        <v>10</v>
      </c>
      <c r="L33" s="28">
        <v>6</v>
      </c>
      <c r="M33" s="28">
        <v>9</v>
      </c>
      <c r="N33" s="28">
        <v>7</v>
      </c>
      <c r="O33" s="28">
        <v>8</v>
      </c>
      <c r="P33" s="28">
        <v>8</v>
      </c>
      <c r="Q33" s="28">
        <v>8</v>
      </c>
      <c r="R33" s="29">
        <f t="shared" si="0"/>
        <v>6.8571428571428568</v>
      </c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42" t="s">
        <v>23</v>
      </c>
      <c r="B34" s="43">
        <v>24</v>
      </c>
      <c r="C34" s="44" t="s">
        <v>58</v>
      </c>
      <c r="D34" s="28">
        <v>6</v>
      </c>
      <c r="E34" s="28">
        <v>5</v>
      </c>
      <c r="F34" s="28" t="s">
        <v>35</v>
      </c>
      <c r="G34" s="28">
        <v>4</v>
      </c>
      <c r="H34" s="28" t="s">
        <v>35</v>
      </c>
      <c r="I34" s="28" t="s">
        <v>35</v>
      </c>
      <c r="J34" s="28">
        <v>4</v>
      </c>
      <c r="K34" s="28">
        <v>5</v>
      </c>
      <c r="L34" s="28">
        <v>6</v>
      </c>
      <c r="M34" s="28">
        <v>9</v>
      </c>
      <c r="N34" s="28">
        <v>5</v>
      </c>
      <c r="O34" s="28">
        <v>4</v>
      </c>
      <c r="P34" s="28" t="s">
        <v>35</v>
      </c>
      <c r="Q34" s="28" t="s">
        <v>35</v>
      </c>
      <c r="R34" s="29" t="str">
        <f t="shared" si="0"/>
        <v>-</v>
      </c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42" t="s">
        <v>23</v>
      </c>
      <c r="B35" s="43">
        <v>25</v>
      </c>
      <c r="C35" s="44" t="s">
        <v>59</v>
      </c>
      <c r="D35" s="28">
        <v>4</v>
      </c>
      <c r="E35" s="28">
        <v>5</v>
      </c>
      <c r="F35" s="28" t="s">
        <v>35</v>
      </c>
      <c r="G35" s="28">
        <v>4</v>
      </c>
      <c r="H35" s="28" t="s">
        <v>35</v>
      </c>
      <c r="I35" s="28" t="s">
        <v>35</v>
      </c>
      <c r="J35" s="28" t="s">
        <v>35</v>
      </c>
      <c r="K35" s="28" t="s">
        <v>35</v>
      </c>
      <c r="L35" s="28" t="s">
        <v>35</v>
      </c>
      <c r="M35" s="28">
        <v>8</v>
      </c>
      <c r="N35" s="28">
        <v>4</v>
      </c>
      <c r="O35" s="28">
        <v>4</v>
      </c>
      <c r="P35" s="28">
        <v>6</v>
      </c>
      <c r="Q35" s="28">
        <v>6</v>
      </c>
      <c r="R35" s="29" t="str">
        <f t="shared" si="0"/>
        <v>-</v>
      </c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42" t="s">
        <v>23</v>
      </c>
      <c r="B36" s="43">
        <v>26</v>
      </c>
      <c r="C36" s="44" t="s">
        <v>60</v>
      </c>
      <c r="D36" s="28">
        <v>10</v>
      </c>
      <c r="E36" s="28">
        <v>10</v>
      </c>
      <c r="F36" s="28">
        <v>9</v>
      </c>
      <c r="G36" s="28">
        <v>9</v>
      </c>
      <c r="H36" s="28">
        <v>10</v>
      </c>
      <c r="I36" s="28">
        <v>9</v>
      </c>
      <c r="J36" s="28">
        <v>7</v>
      </c>
      <c r="K36" s="28">
        <v>10</v>
      </c>
      <c r="L36" s="28">
        <v>9</v>
      </c>
      <c r="M36" s="28">
        <v>10</v>
      </c>
      <c r="N36" s="28">
        <v>11</v>
      </c>
      <c r="O36" s="28">
        <v>11</v>
      </c>
      <c r="P36" s="28">
        <v>8</v>
      </c>
      <c r="Q36" s="28">
        <v>9</v>
      </c>
      <c r="R36" s="29">
        <f t="shared" si="0"/>
        <v>9.4285714285714288</v>
      </c>
    </row>
    <row r="37" spans="1:26" ht="15" customHeight="1">
      <c r="A37" s="42" t="s">
        <v>23</v>
      </c>
      <c r="B37" s="43">
        <v>27</v>
      </c>
      <c r="C37" s="44" t="s">
        <v>61</v>
      </c>
      <c r="D37" s="28">
        <v>5</v>
      </c>
      <c r="E37" s="28">
        <v>8</v>
      </c>
      <c r="F37" s="28">
        <v>6</v>
      </c>
      <c r="G37" s="28">
        <v>6</v>
      </c>
      <c r="H37" s="28">
        <v>8</v>
      </c>
      <c r="I37" s="28">
        <v>9</v>
      </c>
      <c r="J37" s="28">
        <v>7</v>
      </c>
      <c r="K37" s="28">
        <v>7</v>
      </c>
      <c r="L37" s="28">
        <v>9</v>
      </c>
      <c r="M37" s="28">
        <v>10</v>
      </c>
      <c r="N37" s="28">
        <v>7</v>
      </c>
      <c r="O37" s="28">
        <v>7</v>
      </c>
      <c r="P37" s="28">
        <v>7</v>
      </c>
      <c r="Q37" s="28">
        <v>8</v>
      </c>
      <c r="R37" s="29">
        <f t="shared" si="0"/>
        <v>7.4285714285714288</v>
      </c>
    </row>
    <row r="38" spans="1:26" ht="15" customHeight="1">
      <c r="A38" s="42" t="s">
        <v>23</v>
      </c>
      <c r="B38" s="43">
        <v>28</v>
      </c>
      <c r="C38" s="44" t="s">
        <v>62</v>
      </c>
      <c r="D38" s="28">
        <v>7</v>
      </c>
      <c r="E38" s="28">
        <v>9</v>
      </c>
      <c r="F38" s="28">
        <v>7</v>
      </c>
      <c r="G38" s="28">
        <v>6</v>
      </c>
      <c r="H38" s="28">
        <v>8</v>
      </c>
      <c r="I38" s="28">
        <v>8</v>
      </c>
      <c r="J38" s="28">
        <v>6</v>
      </c>
      <c r="K38" s="28">
        <v>10</v>
      </c>
      <c r="L38" s="28">
        <v>9</v>
      </c>
      <c r="M38" s="28">
        <v>11</v>
      </c>
      <c r="N38" s="28">
        <v>8</v>
      </c>
      <c r="O38" s="28">
        <v>11</v>
      </c>
      <c r="P38" s="28">
        <v>8</v>
      </c>
      <c r="Q38" s="28">
        <v>8</v>
      </c>
      <c r="R38" s="29">
        <f t="shared" si="0"/>
        <v>8.2857142857142865</v>
      </c>
    </row>
    <row r="39" spans="1:26" ht="15" customHeight="1">
      <c r="A39" s="42" t="s">
        <v>23</v>
      </c>
      <c r="B39" s="43">
        <v>29</v>
      </c>
      <c r="C39" s="44" t="s">
        <v>63</v>
      </c>
      <c r="D39" s="28">
        <v>7</v>
      </c>
      <c r="E39" s="28">
        <v>10</v>
      </c>
      <c r="F39" s="28">
        <v>7</v>
      </c>
      <c r="G39" s="28">
        <v>7</v>
      </c>
      <c r="H39" s="28">
        <v>9</v>
      </c>
      <c r="I39" s="28">
        <v>4</v>
      </c>
      <c r="J39" s="28">
        <v>6</v>
      </c>
      <c r="K39" s="28">
        <v>8</v>
      </c>
      <c r="L39" s="28">
        <v>7</v>
      </c>
      <c r="M39" s="28">
        <v>9</v>
      </c>
      <c r="N39" s="28">
        <v>9</v>
      </c>
      <c r="O39" s="28">
        <v>9</v>
      </c>
      <c r="P39" s="28">
        <v>9</v>
      </c>
      <c r="Q39" s="28">
        <v>9</v>
      </c>
      <c r="R39" s="29">
        <f t="shared" si="0"/>
        <v>7.8571428571428568</v>
      </c>
    </row>
    <row r="40" spans="1:26" ht="15" customHeight="1">
      <c r="A40" s="42" t="s">
        <v>23</v>
      </c>
      <c r="B40" s="43">
        <v>30</v>
      </c>
      <c r="C40" s="44" t="s">
        <v>64</v>
      </c>
      <c r="D40" s="31" t="s">
        <v>35</v>
      </c>
      <c r="E40" s="31">
        <v>5</v>
      </c>
      <c r="F40" s="31" t="s">
        <v>35</v>
      </c>
      <c r="G40" s="31">
        <v>4</v>
      </c>
      <c r="H40" s="31" t="s">
        <v>35</v>
      </c>
      <c r="I40" s="31" t="s">
        <v>35</v>
      </c>
      <c r="J40" s="31">
        <v>4</v>
      </c>
      <c r="K40" s="31" t="s">
        <v>35</v>
      </c>
      <c r="L40" s="31">
        <v>5</v>
      </c>
      <c r="M40" s="31" t="s">
        <v>35</v>
      </c>
      <c r="N40" s="31">
        <v>6</v>
      </c>
      <c r="O40" s="31" t="s">
        <v>35</v>
      </c>
      <c r="P40" s="31" t="s">
        <v>35</v>
      </c>
      <c r="Q40" s="31" t="s">
        <v>35</v>
      </c>
      <c r="R40" s="29" t="str">
        <f t="shared" si="0"/>
        <v>-</v>
      </c>
    </row>
    <row r="41" spans="1:26" ht="15.75" customHeight="1">
      <c r="A41" s="38"/>
      <c r="B41" s="38"/>
      <c r="C41" s="39" t="s">
        <v>25</v>
      </c>
      <c r="D41" s="35">
        <f>SUM(D11:D40)/COUNT(B11:B40)</f>
        <v>6.333333333333333</v>
      </c>
      <c r="E41" s="35">
        <f>SUM(E11:E40)/COUNT(B11:B40)</f>
        <v>7.5666666666666664</v>
      </c>
      <c r="F41" s="35">
        <f>SUM(F11:F40)/COUNT(B11:B40)</f>
        <v>5.0333333333333332</v>
      </c>
      <c r="G41" s="35">
        <f>SUM(G11:G40)/COUNT(B11:B40)</f>
        <v>5.2</v>
      </c>
      <c r="H41" s="35">
        <f>SUM(H11:H40)/COUNT(B11:B40)</f>
        <v>6.2333333333333334</v>
      </c>
      <c r="I41" s="35">
        <f>SUM(I11:I40)/COUNT(B11:B40)</f>
        <v>5.333333333333333</v>
      </c>
      <c r="J41" s="35">
        <f>SUM(J11:J40)/COUNT(B11:B40)</f>
        <v>5.8</v>
      </c>
      <c r="K41" s="35">
        <f>SUM(K11:K40)/COUNT(B11:B40)</f>
        <v>6.2666666666666666</v>
      </c>
      <c r="L41" s="35">
        <f>SUM(L11:L40)/COUNT(B11:B40)</f>
        <v>6.7333333333333334</v>
      </c>
      <c r="M41" s="35">
        <f>SUM(M11:M40)/COUNT(B11:B40)</f>
        <v>8.2333333333333325</v>
      </c>
      <c r="N41" s="35">
        <f>SUM(N11:N40)/COUNT(B11:B40)</f>
        <v>6.666666666666667</v>
      </c>
      <c r="O41" s="35">
        <f>SUM(O11:O40)/COUNT(B11:B40)</f>
        <v>7.166666666666667</v>
      </c>
      <c r="P41" s="35">
        <f>SUM(P11:P40)/COUNT(B11:B40)</f>
        <v>6.666666666666667</v>
      </c>
      <c r="Q41" s="35">
        <f>SUM(Q11:Q40)/COUNT(B11:B40)</f>
        <v>6.1333333333333337</v>
      </c>
      <c r="R41" s="30">
        <f>IF(COUNTIF(D41:Q41,"=*")&gt;0,"-",(AVERAGE(D41:Q41)))</f>
        <v>6.3833333333333337</v>
      </c>
    </row>
    <row r="42" spans="1:26" ht="15.75" customHeight="1">
      <c r="A42" s="1"/>
      <c r="B42" s="1"/>
      <c r="C42" s="34" t="s">
        <v>26</v>
      </c>
      <c r="D42" s="36">
        <f>(COUNT(D11:D40))/(COUNT(B11:B40))*100</f>
        <v>93.333333333333329</v>
      </c>
      <c r="E42" s="36">
        <f>(COUNT(E11:E40))/(COUNT(B11:B40))*100</f>
        <v>100</v>
      </c>
      <c r="F42" s="36">
        <f>(COUNT(F11:F40))/(COUNT(B11:B40))*100</f>
        <v>86.666666666666671</v>
      </c>
      <c r="G42" s="36">
        <f>(COUNT(G11:G40))/(COUNT(B11:B40))*100</f>
        <v>96.666666666666671</v>
      </c>
      <c r="H42" s="36">
        <f>(COUNT(H11:H40))/(COUNT(B11:B40))*100</f>
        <v>86.666666666666671</v>
      </c>
      <c r="I42" s="36">
        <f>(COUNT(I11:I40))/(COUNT(B11:B40))*100</f>
        <v>73.333333333333329</v>
      </c>
      <c r="J42" s="36">
        <f>(COUNT(J11:J40))/(COUNT(B11:B40))*100</f>
        <v>90</v>
      </c>
      <c r="K42" s="36">
        <f>(COUNT(K11:K40))/(COUNT(B11:B40))*100</f>
        <v>86.666666666666671</v>
      </c>
      <c r="L42" s="36">
        <f>(COUNT(L11:L40))/(COUNT(B11:B40))*100</f>
        <v>93.333333333333329</v>
      </c>
      <c r="M42" s="36">
        <f>(COUNT(M11:M40))/(COUNT(B11:B40))*100</f>
        <v>86.666666666666671</v>
      </c>
      <c r="N42" s="36">
        <f>(COUNT(N11:N40))/(COUNT(B11:B40))*100</f>
        <v>100</v>
      </c>
      <c r="O42" s="36">
        <f>(COUNT(O11:O40))/(COUNT(B11:B40))*100</f>
        <v>96.666666666666671</v>
      </c>
      <c r="P42" s="36">
        <f>(COUNT(P11:P40))/(COUNT(B11:B40))*100</f>
        <v>93.333333333333329</v>
      </c>
      <c r="Q42" s="36">
        <f>(COUNT(Q11:Q40))/(COUNT(B11:B40))*100</f>
        <v>80</v>
      </c>
      <c r="R42" s="7"/>
    </row>
    <row r="43" spans="1:26" ht="15.75" customHeight="1">
      <c r="A43" s="1"/>
      <c r="B43" s="1"/>
      <c r="C43" s="34" t="s">
        <v>27</v>
      </c>
      <c r="D43" s="36">
        <f>(COUNTIF(D11:D40,"&gt;=7"))/(COUNT(B11:B40))*100</f>
        <v>56.666666666666664</v>
      </c>
      <c r="E43" s="36">
        <f>(COUNTIF(E11:E40,"&gt;=7"))/(COUNT(B11:B40))*100</f>
        <v>66.666666666666657</v>
      </c>
      <c r="F43" s="36">
        <f>(COUNTIF(F11:F40,"&gt;=7"))/(COUNT(B11:B40))*100</f>
        <v>30</v>
      </c>
      <c r="G43" s="36">
        <f>(COUNTIF(G11:G40,"&gt;=7"))/(COUNT(B11:B40))*100</f>
        <v>13.333333333333334</v>
      </c>
      <c r="H43" s="36">
        <f>(COUNTIF(H11:H40,"&gt;=7"))/(COUNT(B11:B40))*100</f>
        <v>53.333333333333336</v>
      </c>
      <c r="I43" s="36">
        <f>(COUNTIF(I11:I40,"&gt;=7"))/(COUNT(B11:B40))*100</f>
        <v>56.666666666666664</v>
      </c>
      <c r="J43" s="36">
        <f>(COUNTIF(J11:J40,"&gt;=7"))/(COUNT(B11:B40))*100</f>
        <v>53.333333333333336</v>
      </c>
      <c r="K43" s="36">
        <f>(COUNTIF(K11:K40,"&gt;=7"))/(COUNT(B11:B40))*100</f>
        <v>46.666666666666664</v>
      </c>
      <c r="L43" s="36">
        <f>(COUNTIF(L11:L40,"&gt;=7"))/(COUNT(B11:B40))*100</f>
        <v>53.333333333333336</v>
      </c>
      <c r="M43" s="36">
        <f>(COUNTIF(M11:M40,"&gt;=7"))/(COUNT(B11:B40))*100</f>
        <v>86.666666666666671</v>
      </c>
      <c r="N43" s="36">
        <f>(COUNTIF(N11:N40,"&gt;=7"))/(COUNT(B11:B40))*100</f>
        <v>46.666666666666664</v>
      </c>
      <c r="O43" s="36">
        <f>(COUNTIF(O11:O40,"&gt;=7"))/(COUNT(B11:B40))*100</f>
        <v>63.333333333333329</v>
      </c>
      <c r="P43" s="36">
        <f>(COUNTIF(P11:P40,"&gt;=7"))/(COUNT(B11:B40))*100</f>
        <v>73.333333333333329</v>
      </c>
      <c r="Q43" s="36">
        <f>(COUNTIF(Q11:Q40,"&gt;=7"))/(COUNT(B11:B40))*100</f>
        <v>63.333333333333329</v>
      </c>
      <c r="R43" s="7"/>
    </row>
    <row r="44" spans="1:26" ht="15.75" customHeight="1">
      <c r="A44" s="1"/>
      <c r="B44" s="1"/>
      <c r="C44" s="34" t="s">
        <v>28</v>
      </c>
      <c r="D44" s="37">
        <f t="shared" ref="D44:D45" si="1">AVERAGE(D42:Q42)</f>
        <v>90.238095238095227</v>
      </c>
      <c r="E44" s="32"/>
      <c r="F44" s="32"/>
      <c r="G44" s="32"/>
      <c r="H44" s="32"/>
      <c r="I44" s="33"/>
      <c r="J44" s="33"/>
      <c r="K44" s="33"/>
      <c r="L44" s="33"/>
      <c r="M44" s="33"/>
      <c r="N44" s="33"/>
      <c r="O44" s="33"/>
      <c r="P44" s="33"/>
      <c r="Q44" s="33"/>
    </row>
    <row r="45" spans="1:26" ht="15.75" customHeight="1">
      <c r="A45" s="1"/>
      <c r="B45" s="1"/>
      <c r="C45" s="34" t="s">
        <v>29</v>
      </c>
      <c r="D45" s="37">
        <f t="shared" si="1"/>
        <v>54.523809523809526</v>
      </c>
      <c r="E45" s="3"/>
      <c r="F45" s="20" t="s">
        <v>30</v>
      </c>
      <c r="G45" s="21"/>
      <c r="H45" s="20"/>
      <c r="I45" s="20"/>
      <c r="J45" s="21"/>
      <c r="K45" s="20" t="s">
        <v>66</v>
      </c>
      <c r="L45" s="4"/>
      <c r="M45" s="4"/>
      <c r="N45" s="4"/>
      <c r="O45" s="4"/>
      <c r="P45" s="4"/>
      <c r="Q45" s="4"/>
    </row>
    <row r="46" spans="1:26" s="7" customFormat="1" ht="15.75" customHeight="1">
      <c r="C46" s="8"/>
      <c r="D46" s="10" t="s">
        <v>67</v>
      </c>
      <c r="F46" s="22"/>
      <c r="G46" s="22"/>
      <c r="H46" s="22"/>
      <c r="I46" s="22"/>
      <c r="J46" s="22"/>
      <c r="K46" s="22"/>
      <c r="L46" s="9"/>
    </row>
    <row r="47" spans="1:26" ht="15.75" customHeight="1">
      <c r="F47" s="23" t="s">
        <v>31</v>
      </c>
      <c r="G47" s="22"/>
      <c r="H47" s="23"/>
      <c r="I47" s="23"/>
      <c r="J47" s="23"/>
      <c r="K47" s="23" t="s">
        <v>32</v>
      </c>
    </row>
    <row r="48" spans="1:26" ht="15.75" customHeight="1">
      <c r="L48" s="6"/>
    </row>
    <row r="49" spans="5:7" ht="15.75" customHeight="1">
      <c r="E49" s="5"/>
      <c r="F49" s="5"/>
      <c r="G49" s="5"/>
    </row>
    <row r="50" spans="5:7" ht="15.75" customHeight="1"/>
    <row r="51" spans="5:7" ht="15.75" customHeight="1"/>
    <row r="52" spans="5:7" ht="15.75" customHeight="1"/>
    <row r="53" spans="5:7" ht="15.75" customHeight="1"/>
    <row r="54" spans="5:7" ht="15.75" customHeight="1"/>
    <row r="55" spans="5:7" ht="15.75" customHeight="1"/>
    <row r="56" spans="5:7" ht="15.75" customHeight="1"/>
    <row r="57" spans="5:7" ht="15.75" customHeight="1"/>
    <row r="58" spans="5:7" ht="15.75" customHeight="1"/>
    <row r="59" spans="5:7" ht="15.75" customHeight="1"/>
    <row r="60" spans="5:7" ht="15.75" customHeight="1"/>
    <row r="61" spans="5:7" ht="15.75" customHeight="1"/>
    <row r="62" spans="5:7" ht="15.75" customHeight="1"/>
    <row r="63" spans="5:7" ht="15.75" customHeight="1"/>
    <row r="64" spans="5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R1"/>
    <mergeCell ref="A6:R6"/>
    <mergeCell ref="A5:R5"/>
    <mergeCell ref="A4:R4"/>
    <mergeCell ref="A3:R3"/>
    <mergeCell ref="A2:R2"/>
    <mergeCell ref="B7:B10"/>
    <mergeCell ref="C7:C10"/>
    <mergeCell ref="D7:R7"/>
    <mergeCell ref="A7:A10"/>
    <mergeCell ref="D8:D10"/>
    <mergeCell ref="E8:E10"/>
    <mergeCell ref="F8:F10"/>
    <mergeCell ref="G8:G10"/>
    <mergeCell ref="H8:H10"/>
    <mergeCell ref="I8:I10"/>
    <mergeCell ref="Q8:Q10"/>
    <mergeCell ref="R8:R10"/>
    <mergeCell ref="J8:J10"/>
    <mergeCell ref="K8:K10"/>
    <mergeCell ref="L8:L10"/>
    <mergeCell ref="M8:M10"/>
    <mergeCell ref="N8:N10"/>
    <mergeCell ref="O8:O10"/>
    <mergeCell ref="P8:P10"/>
  </mergeCells>
  <pageMargins left="0.7" right="0.7" top="0.75" bottom="0.75" header="0" footer="0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 181</vt:lpstr>
      <vt:lpstr>Зведена відомість 241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</dc:creator>
  <cp:lastModifiedBy>Максим</cp:lastModifiedBy>
  <dcterms:created xsi:type="dcterms:W3CDTF">2006-09-28T05:33:49Z</dcterms:created>
  <dcterms:modified xsi:type="dcterms:W3CDTF">2022-09-05T17:01:04Z</dcterms:modified>
</cp:coreProperties>
</file>