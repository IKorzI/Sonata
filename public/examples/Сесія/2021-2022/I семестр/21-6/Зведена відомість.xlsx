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ЭтаКнига"/>
  <bookViews>
    <workbookView xWindow="750" yWindow="555" windowWidth="18780" windowHeight="7110"/>
  </bookViews>
  <sheets>
    <sheet name="Зведена відомість" sheetId="1" r:id="rId1"/>
    <sheet name="Рейтингова відомість" sheetId="2" r:id="rId2"/>
  </sheets>
  <definedNames>
    <definedName name="_xlnm._FilterDatabase" localSheetId="1" hidden="1">'Рейтингова відомість'!$A$11:$S$120</definedName>
  </definedNames>
  <calcPr calcId="145621"/>
  <extLst>
    <ext uri="GoogleSheetsCustomDataVersion1">
      <go:sheetsCustomData xmlns:go="http://customooxmlschemas.google.com/" r:id="" roundtripDataSignature="AMtx7mg5zNYRtK9p5AiRj4w2tLhYbVPwAg=="/>
    </ext>
  </extLst>
</workbook>
</file>

<file path=xl/calcChain.xml><?xml version="1.0" encoding="utf-8"?>
<calcChain xmlns="http://schemas.openxmlformats.org/spreadsheetml/2006/main">
  <c r="R14" i="1" l="1"/>
  <c r="R29" i="1"/>
  <c r="R15" i="1"/>
  <c r="R21" i="2"/>
  <c r="S21" i="2" s="1"/>
  <c r="R20" i="2"/>
  <c r="S20" i="2" s="1"/>
  <c r="R22" i="2"/>
  <c r="S22" i="2" s="1"/>
  <c r="R12" i="2"/>
  <c r="R13" i="2"/>
  <c r="R14" i="2"/>
  <c r="R15" i="2"/>
  <c r="R16" i="2"/>
  <c r="R17" i="2"/>
  <c r="R18" i="2"/>
  <c r="R19" i="2"/>
  <c r="R23" i="2"/>
  <c r="R24" i="2"/>
  <c r="R25" i="2"/>
  <c r="R26" i="2"/>
  <c r="R27" i="2"/>
  <c r="R11" i="2"/>
  <c r="S11" i="2" s="1"/>
  <c r="S23" i="2" l="1"/>
  <c r="S24" i="2"/>
  <c r="S19" i="2"/>
  <c r="S12" i="2"/>
  <c r="S15" i="2"/>
  <c r="S18" i="2"/>
  <c r="S26" i="2"/>
  <c r="S17" i="2"/>
  <c r="S27" i="2"/>
  <c r="S16" i="2"/>
  <c r="S25" i="2"/>
  <c r="S14" i="2"/>
  <c r="S13" i="2"/>
  <c r="D46" i="1" l="1"/>
  <c r="D45" i="1"/>
  <c r="D48" i="1" s="1"/>
  <c r="A120" i="2" l="1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B117" i="1" l="1"/>
  <c r="A117" i="1"/>
  <c r="A113" i="1"/>
  <c r="A109" i="1"/>
  <c r="A105" i="1"/>
  <c r="A101" i="1"/>
  <c r="A97" i="1"/>
  <c r="A93" i="1"/>
  <c r="A89" i="1"/>
  <c r="A85" i="1"/>
  <c r="A81" i="1"/>
  <c r="A77" i="1"/>
  <c r="B119" i="1"/>
  <c r="B115" i="1"/>
  <c r="B111" i="1"/>
  <c r="B107" i="1"/>
  <c r="D29" i="2" s="1"/>
  <c r="B103" i="1"/>
  <c r="B99" i="1"/>
  <c r="B95" i="1"/>
  <c r="B91" i="1"/>
  <c r="B87" i="1"/>
  <c r="B83" i="1"/>
  <c r="B79" i="1"/>
  <c r="B75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D30" i="2" s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D81" i="1" l="1"/>
  <c r="D120" i="1"/>
  <c r="D116" i="1"/>
  <c r="D112" i="1"/>
  <c r="D108" i="1"/>
  <c r="D104" i="1"/>
  <c r="D100" i="1"/>
  <c r="D96" i="1"/>
  <c r="D92" i="1"/>
  <c r="D88" i="1"/>
  <c r="D84" i="1"/>
  <c r="D80" i="1"/>
  <c r="D76" i="1"/>
  <c r="D119" i="1"/>
  <c r="D115" i="1"/>
  <c r="D111" i="1"/>
  <c r="D107" i="1"/>
  <c r="D31" i="2" s="1"/>
  <c r="D99" i="1"/>
  <c r="D95" i="1"/>
  <c r="D91" i="1"/>
  <c r="D87" i="1"/>
  <c r="D83" i="1"/>
  <c r="D79" i="1"/>
  <c r="D118" i="1"/>
  <c r="D114" i="1"/>
  <c r="D110" i="1"/>
  <c r="D106" i="1"/>
  <c r="D102" i="1"/>
  <c r="D98" i="1"/>
  <c r="D94" i="1"/>
  <c r="D90" i="1"/>
  <c r="D86" i="1"/>
  <c r="D82" i="1"/>
  <c r="D78" i="1"/>
  <c r="D117" i="1"/>
  <c r="D113" i="1"/>
  <c r="D109" i="1"/>
  <c r="D105" i="1"/>
  <c r="D101" i="1"/>
  <c r="D97" i="1"/>
  <c r="D93" i="1"/>
  <c r="D89" i="1"/>
  <c r="D85" i="1"/>
  <c r="D77" i="1"/>
  <c r="D103" i="1"/>
  <c r="D75" i="1"/>
  <c r="B81" i="1"/>
  <c r="B85" i="1"/>
  <c r="B93" i="1"/>
  <c r="B97" i="1"/>
  <c r="B101" i="1"/>
  <c r="B109" i="1"/>
  <c r="B113" i="1"/>
  <c r="A75" i="1"/>
  <c r="A83" i="1"/>
  <c r="A91" i="1"/>
  <c r="A95" i="1"/>
  <c r="A103" i="1"/>
  <c r="A107" i="1"/>
  <c r="D28" i="2" s="1"/>
  <c r="A115" i="1"/>
  <c r="B78" i="1"/>
  <c r="B82" i="1"/>
  <c r="B86" i="1"/>
  <c r="B90" i="1"/>
  <c r="B94" i="1"/>
  <c r="B98" i="1"/>
  <c r="B102" i="1"/>
  <c r="B106" i="1"/>
  <c r="B110" i="1"/>
  <c r="B114" i="1"/>
  <c r="B118" i="1"/>
  <c r="A76" i="1"/>
  <c r="A80" i="1"/>
  <c r="A84" i="1"/>
  <c r="A88" i="1"/>
  <c r="A92" i="1"/>
  <c r="A96" i="1"/>
  <c r="A100" i="1"/>
  <c r="A104" i="1"/>
  <c r="A108" i="1"/>
  <c r="A112" i="1"/>
  <c r="A116" i="1"/>
  <c r="A120" i="1"/>
  <c r="B76" i="1"/>
  <c r="B80" i="1"/>
  <c r="B84" i="1"/>
  <c r="B88" i="1"/>
  <c r="B92" i="1"/>
  <c r="B96" i="1"/>
  <c r="B100" i="1"/>
  <c r="B104" i="1"/>
  <c r="B108" i="1"/>
  <c r="B112" i="1"/>
  <c r="B116" i="1"/>
  <c r="B120" i="1"/>
  <c r="A78" i="1"/>
  <c r="A82" i="1"/>
  <c r="A86" i="1"/>
  <c r="A90" i="1"/>
  <c r="A94" i="1"/>
  <c r="A98" i="1"/>
  <c r="A102" i="1"/>
  <c r="A106" i="1"/>
  <c r="A110" i="1"/>
  <c r="A114" i="1"/>
  <c r="A118" i="1"/>
  <c r="B77" i="1"/>
  <c r="B89" i="1"/>
  <c r="B105" i="1"/>
  <c r="A79" i="1"/>
  <c r="A87" i="1"/>
  <c r="A99" i="1"/>
  <c r="A111" i="1"/>
  <c r="A119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R39" i="1"/>
  <c r="R38" i="1"/>
  <c r="R37" i="1"/>
  <c r="R36" i="1"/>
  <c r="R35" i="1"/>
  <c r="R34" i="1"/>
  <c r="R33" i="1"/>
  <c r="R32" i="1"/>
  <c r="R31" i="1"/>
  <c r="R30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3" i="1"/>
  <c r="R12" i="1"/>
  <c r="R11" i="1"/>
  <c r="O42" i="1" l="1"/>
  <c r="K42" i="1"/>
  <c r="G42" i="1"/>
  <c r="F42" i="1"/>
  <c r="D41" i="1"/>
  <c r="I42" i="1"/>
  <c r="O41" i="1"/>
  <c r="K41" i="1"/>
  <c r="G41" i="1"/>
  <c r="N42" i="1"/>
  <c r="Q42" i="1"/>
  <c r="P42" i="1"/>
  <c r="L42" i="1"/>
  <c r="H42" i="1"/>
  <c r="D42" i="1"/>
  <c r="N41" i="1"/>
  <c r="J41" i="1"/>
  <c r="F41" i="1"/>
  <c r="Q41" i="1"/>
  <c r="M41" i="1"/>
  <c r="I41" i="1"/>
  <c r="E41" i="1"/>
  <c r="J42" i="1"/>
  <c r="P41" i="1"/>
  <c r="L41" i="1"/>
  <c r="H41" i="1"/>
  <c r="M42" i="1"/>
  <c r="E42" i="1"/>
  <c r="R40" i="1"/>
  <c r="D44" i="1" l="1"/>
  <c r="D43" i="1"/>
</calcChain>
</file>

<file path=xl/sharedStrings.xml><?xml version="1.0" encoding="utf-8"?>
<sst xmlns="http://schemas.openxmlformats.org/spreadsheetml/2006/main" count="184" uniqueCount="75">
  <si>
    <t xml:space="preserve">ЗВЕДЕНА  ВІДОМІСТЬ  </t>
  </si>
  <si>
    <t>Успішності студентів спеціальності 151 «Автоматизація та комп'ютерно-інтегровані технології»</t>
  </si>
  <si>
    <t>За І семестр 2021-2022 н.р.</t>
  </si>
  <si>
    <t>Група 21-6 курс І</t>
  </si>
  <si>
    <t>Б/К</t>
  </si>
  <si>
    <t>№ п/п</t>
  </si>
  <si>
    <t>Прізвище, ім’я по батькові</t>
  </si>
  <si>
    <t>Підсумкові оцінки дисциплін</t>
  </si>
  <si>
    <t>Українська література
Нестеренко А.О.</t>
  </si>
  <si>
    <t>Всесвітня історія
Мельничук С.А.</t>
  </si>
  <si>
    <t>Математика
Бондаренко О.С.</t>
  </si>
  <si>
    <t>Фізика
Швець М.В.</t>
  </si>
  <si>
    <t>Хімія
Пономарьов К.Н.</t>
  </si>
  <si>
    <t>Інформатика
Охримчук В.С.</t>
  </si>
  <si>
    <t>Українська мова
Нестеренко А.О.</t>
  </si>
  <si>
    <t>Зарубіжна література
Пруднікова Я.П.</t>
  </si>
  <si>
    <t>Біологія
Богданенко О.В.</t>
  </si>
  <si>
    <t>Фізичне виховання
Акрабова О.Г.</t>
  </si>
  <si>
    <t>Іноземна мова
Кубова Т.М.</t>
  </si>
  <si>
    <t>ЗУ
Лазар В.І.
Стельмах Н.Ю.</t>
  </si>
  <si>
    <t>Історія України
Левчук Т.Г.</t>
  </si>
  <si>
    <t>Географія
Наговська Т.С.</t>
  </si>
  <si>
    <t>Середній бал</t>
  </si>
  <si>
    <t>Б</t>
  </si>
  <si>
    <t>Білий Максим Олександрович</t>
  </si>
  <si>
    <t>н/а</t>
  </si>
  <si>
    <t>Боханцев Вадим Сергійович</t>
  </si>
  <si>
    <t>Васильєв Владислав Віталійович</t>
  </si>
  <si>
    <t>Гущін Микола Сергійович</t>
  </si>
  <si>
    <t>Діденко Єгор Ігорович</t>
  </si>
  <si>
    <t>К</t>
  </si>
  <si>
    <t>Дмитришин Сергій Сергійович</t>
  </si>
  <si>
    <t>Дмитрієв Микита Сергійович</t>
  </si>
  <si>
    <t>Єлохов Микита Андрійович</t>
  </si>
  <si>
    <t>Жосан Андрій Вікторович</t>
  </si>
  <si>
    <t>Заборей Кирило Юрійович</t>
  </si>
  <si>
    <t>Іванченко Олександр Станіславович</t>
  </si>
  <si>
    <t>Курмашова Надія Святослав.</t>
  </si>
  <si>
    <t>Лопушанський Владислав Денисович</t>
  </si>
  <si>
    <t>Люцевич Дмитро Вікторович</t>
  </si>
  <si>
    <t>Лялін Вадим Вячеславович</t>
  </si>
  <si>
    <t xml:space="preserve">Макух Данііл Костянтинович </t>
  </si>
  <si>
    <t>Мозговий Андрій Володимирович</t>
  </si>
  <si>
    <t xml:space="preserve">Мороз Михайло Сергійович </t>
  </si>
  <si>
    <t>Нікітін Леонід Вячеславович</t>
  </si>
  <si>
    <t>Овчарик Олександр Андрійович</t>
  </si>
  <si>
    <t>Пастух Дмитро Сергійович</t>
  </si>
  <si>
    <t>Пелевін Олег Максимович</t>
  </si>
  <si>
    <t>Поперечний Юрій Олегович</t>
  </si>
  <si>
    <t>Продан Артем Іванович</t>
  </si>
  <si>
    <t>Руденко Роман Олександрович</t>
  </si>
  <si>
    <t>Русавський Роман Петрович</t>
  </si>
  <si>
    <t>Слюсаренко Андрій Андрійович</t>
  </si>
  <si>
    <t>Степанов Костянтин Євгенович</t>
  </si>
  <si>
    <t>Халепов Іван Сергійович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</si>
  <si>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</si>
  <si>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</si>
  <si>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</si>
  <si>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</si>
  <si>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</si>
  <si>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</si>
  <si>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</si>
  <si>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Кількість соціального контингенту</t>
  </si>
  <si>
    <t>Вийшли на стипендію</t>
  </si>
  <si>
    <t>Класний керівник</t>
  </si>
  <si>
    <t>Олександра АКРАБОВА</t>
  </si>
  <si>
    <t>Завідувач відділення ПЗСО</t>
  </si>
  <si>
    <t>Маргарита БРІТІКОВА</t>
  </si>
  <si>
    <t xml:space="preserve">РЕЙТИНГОВА  ВІДОМІСТЬ  </t>
  </si>
  <si>
    <t xml:space="preserve">Середній бал    </t>
  </si>
  <si>
    <t>Рейтинг</t>
  </si>
  <si>
    <t>№ з/п</t>
  </si>
  <si>
    <t>ВСП "ФАХОВИЙ КОЛЕДЖ НАФТОГАЗОВИХ ТЕХНОЛОГІЙ, ІНЖЕНЕРІЇ ТА ІНФРАСТРУКТУРИ СЕРВІСУ</t>
  </si>
  <si>
    <t>ОДЕСЬКОЇ НАЦІОНАЛЬНОЇ АКАДЕМІЇ ХАРЧОВИХ ТЕХНОЛОГІЙ"</t>
  </si>
  <si>
    <t>Курмашова Надія Святославівна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</si>
</sst>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4">
    <font>
      <sz val="11"/>
      <color rgb="FF000000"/>
      <name val="Calibri"/>
    </font>
    <font>
      <sz val="14"/>
      <color theme="1"/>
      <name val="Times New Roman"/>
      <family val="1"/>
      <charset val="204"/>
    </font>
    <font>
      <sz val="16"/>
      <color theme="1"/>
      <name val="Arimo"/>
    </font>
    <font>
      <b/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Arimo"/>
    </font>
    <font>
      <sz val="12"/>
      <color rgb="FF000000"/>
      <name val="Calibri"/>
      <family val="2"/>
      <charset val="204"/>
    </font>
    <font>
      <sz val="11"/>
      <color theme="0"/>
      <name val="Calibri"/>
      <family val="2"/>
      <charset val="204"/>
    </font>
    <font>
      <sz val="11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2" fillId="0" borderId="0" xfId="0" applyFont="1"/>
    <xf numFmtId="0" fontId="8" fillId="0" borderId="7" xfId="0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5" fillId="3" borderId="9" xfId="0" applyNumberFormat="1" applyFont="1" applyFill="1" applyBorder="1" applyAlignment="1">
      <alignment horizontal="center" vertical="center"/>
    </xf>
    <xf numFmtId="0" fontId="0" fillId="0" borderId="0" xfId="0" applyFont="1"/>
    <xf numFmtId="0" fontId="5" fillId="2" borderId="10" xfId="0" applyFont="1" applyFill="1" applyBorder="1" applyAlignment="1">
      <alignment vertical="center" wrapText="1"/>
    </xf>
    <xf numFmtId="164" fontId="5" fillId="3" borderId="10" xfId="0" applyNumberFormat="1" applyFont="1" applyFill="1" applyBorder="1" applyAlignment="1">
      <alignment horizontal="center" vertical="center"/>
    </xf>
    <xf numFmtId="164" fontId="5" fillId="3" borderId="11" xfId="0" applyNumberFormat="1" applyFont="1" applyFill="1" applyBorder="1" applyAlignment="1">
      <alignment horizontal="center" vertical="center"/>
    </xf>
    <xf numFmtId="164" fontId="5" fillId="3" borderId="12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 wrapText="1"/>
    </xf>
    <xf numFmtId="164" fontId="5" fillId="4" borderId="13" xfId="0" applyNumberFormat="1" applyFont="1" applyFill="1" applyBorder="1" applyAlignment="1">
      <alignment horizontal="center" vertical="center"/>
    </xf>
    <xf numFmtId="164" fontId="5" fillId="4" borderId="7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vertical="center" wrapText="1"/>
    </xf>
    <xf numFmtId="164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9" fillId="0" borderId="0" xfId="0" applyFont="1"/>
    <xf numFmtId="0" fontId="8" fillId="0" borderId="0" xfId="0" applyFont="1"/>
    <xf numFmtId="0" fontId="11" fillId="0" borderId="0" xfId="0" applyFont="1"/>
    <xf numFmtId="164" fontId="12" fillId="0" borderId="0" xfId="0" applyNumberFormat="1" applyFont="1" applyAlignment="1"/>
    <xf numFmtId="1" fontId="12" fillId="0" borderId="0" xfId="0" applyNumberFormat="1" applyFont="1" applyAlignment="1"/>
    <xf numFmtId="164" fontId="5" fillId="0" borderId="10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10" xfId="0" applyNumberFormat="1" applyFont="1" applyBorder="1" applyAlignment="1">
      <alignment horizontal="center" vertical="center"/>
    </xf>
    <xf numFmtId="0" fontId="12" fillId="0" borderId="0" xfId="0" applyFont="1" applyAlignment="1"/>
    <xf numFmtId="0" fontId="8" fillId="5" borderId="24" xfId="0" applyFont="1" applyFill="1" applyBorder="1" applyAlignment="1">
      <alignment horizontal="center" vertical="center"/>
    </xf>
    <xf numFmtId="0" fontId="8" fillId="5" borderId="24" xfId="0" applyFont="1" applyFill="1" applyBorder="1" applyAlignment="1">
      <alignment horizontal="left" vertical="center"/>
    </xf>
    <xf numFmtId="2" fontId="8" fillId="5" borderId="24" xfId="0" applyNumberFormat="1" applyFont="1" applyFill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/>
    </xf>
    <xf numFmtId="2" fontId="8" fillId="0" borderId="24" xfId="0" applyNumberFormat="1" applyFont="1" applyBorder="1" applyAlignment="1">
      <alignment horizontal="center" vertical="center"/>
    </xf>
    <xf numFmtId="0" fontId="13" fillId="0" borderId="0" xfId="0" applyFont="1" applyAlignment="1"/>
    <xf numFmtId="0" fontId="0" fillId="0" borderId="0" xfId="0" applyFont="1" applyAlignment="1"/>
    <xf numFmtId="2" fontId="8" fillId="6" borderId="24" xfId="0" applyNumberFormat="1" applyFont="1" applyFill="1" applyBorder="1" applyAlignment="1">
      <alignment horizontal="center" vertical="center"/>
    </xf>
    <xf numFmtId="0" fontId="8" fillId="6" borderId="24" xfId="0" applyFont="1" applyFill="1" applyBorder="1" applyAlignment="1">
      <alignment horizontal="center" vertical="center"/>
    </xf>
    <xf numFmtId="0" fontId="8" fillId="6" borderId="24" xfId="0" applyFont="1" applyFill="1" applyBorder="1" applyAlignment="1">
      <alignment horizontal="left" vertical="center"/>
    </xf>
    <xf numFmtId="0" fontId="13" fillId="6" borderId="0" xfId="0" applyFont="1" applyFill="1" applyAlignment="1"/>
    <xf numFmtId="0" fontId="5" fillId="0" borderId="1" xfId="0" applyFont="1" applyBorder="1" applyAlignment="1">
      <alignment horizontal="center" textRotation="90" wrapText="1"/>
    </xf>
    <xf numFmtId="0" fontId="6" fillId="0" borderId="5" xfId="0" applyFont="1" applyBorder="1"/>
    <xf numFmtId="0" fontId="6" fillId="0" borderId="6" xfId="0" applyFont="1" applyBorder="1"/>
    <xf numFmtId="0" fontId="7" fillId="2" borderId="1" xfId="0" applyFont="1" applyFill="1" applyBorder="1" applyAlignment="1">
      <alignment horizontal="center" vertical="center" textRotation="90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0" fontId="5" fillId="2" borderId="1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1" xfId="0" applyFont="1" applyBorder="1"/>
    <xf numFmtId="0" fontId="6" fillId="0" borderId="23" xfId="0" applyFont="1" applyBorder="1"/>
    <xf numFmtId="0" fontId="6" fillId="0" borderId="22" xfId="0" applyFont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/>
    <xf numFmtId="0" fontId="5" fillId="0" borderId="18" xfId="0" applyFont="1" applyBorder="1" applyAlignment="1">
      <alignment horizontal="center"/>
    </xf>
    <xf numFmtId="0" fontId="6" fillId="0" borderId="19" xfId="0" applyFont="1" applyBorder="1"/>
    <xf numFmtId="0" fontId="6" fillId="0" borderId="20" xfId="0" applyFont="1" applyBorder="1"/>
    <xf numFmtId="0" fontId="9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Z1000"/>
  <sheetViews>
    <sheetView tabSelected="1" topLeftCell="A13" zoomScale="79" zoomScaleNormal="79" workbookViewId="0">
      <selection activeCell="E43" sqref="E43"/>
    </sheetView>
  </sheetViews>
  <sheetFormatPr defaultColWidth="14.42578125" defaultRowHeight="15" customHeight="1"/>
  <cols>
    <col min="1" max="1" width="4.28515625" customWidth="1"/>
    <col min="2" max="2" width="6.5703125" customWidth="1"/>
    <col min="3" max="3" width="40.42578125" customWidth="1"/>
    <col min="4" max="14" width="6.7109375" customWidth="1"/>
    <col min="15" max="15" width="9.7109375" customWidth="1"/>
    <col min="16" max="17" width="6.7109375" customWidth="1"/>
    <col min="18" max="18" width="11.28515625" customWidth="1"/>
  </cols>
  <sheetData>
    <row r="1" spans="1:26" ht="15" customHeight="1">
      <c r="A1" s="48" t="s">
        <v>72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1"/>
      <c r="Q1" s="1"/>
      <c r="R1" s="1"/>
    </row>
    <row r="2" spans="1:26" ht="15" customHeight="1">
      <c r="A2" s="48" t="s">
        <v>73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1"/>
      <c r="Q2" s="1"/>
      <c r="R2" s="1"/>
    </row>
    <row r="3" spans="1:26" ht="15" customHeight="1">
      <c r="A3" s="50" t="s">
        <v>0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1"/>
      <c r="Q3" s="1"/>
      <c r="R3" s="1"/>
    </row>
    <row r="4" spans="1:26" ht="15" customHeight="1">
      <c r="A4" s="51" t="s">
        <v>1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1"/>
      <c r="Q4" s="1"/>
      <c r="R4" s="1"/>
    </row>
    <row r="5" spans="1:26" ht="15" customHeight="1">
      <c r="A5" s="51" t="s">
        <v>2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1"/>
      <c r="Q5" s="1"/>
      <c r="R5" s="1"/>
    </row>
    <row r="6" spans="1:26" ht="15" customHeight="1">
      <c r="A6" s="51" t="s">
        <v>3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1"/>
      <c r="Q6" s="1"/>
      <c r="R6" s="1"/>
    </row>
    <row r="7" spans="1:26" ht="15" customHeight="1">
      <c r="A7" s="55" t="s">
        <v>4</v>
      </c>
      <c r="B7" s="47" t="s">
        <v>5</v>
      </c>
      <c r="C7" s="47" t="s">
        <v>6</v>
      </c>
      <c r="D7" s="52" t="s">
        <v>7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4"/>
    </row>
    <row r="8" spans="1:26" ht="15" customHeight="1">
      <c r="A8" s="44"/>
      <c r="B8" s="44"/>
      <c r="C8" s="44"/>
      <c r="D8" s="43" t="s">
        <v>8</v>
      </c>
      <c r="E8" s="43" t="s">
        <v>9</v>
      </c>
      <c r="F8" s="43" t="s">
        <v>10</v>
      </c>
      <c r="G8" s="43" t="s">
        <v>11</v>
      </c>
      <c r="H8" s="43" t="s">
        <v>12</v>
      </c>
      <c r="I8" s="43" t="s">
        <v>13</v>
      </c>
      <c r="J8" s="43" t="s">
        <v>14</v>
      </c>
      <c r="K8" s="43" t="s">
        <v>15</v>
      </c>
      <c r="L8" s="43" t="s">
        <v>16</v>
      </c>
      <c r="M8" s="43" t="s">
        <v>17</v>
      </c>
      <c r="N8" s="43" t="s">
        <v>18</v>
      </c>
      <c r="O8" s="43" t="s">
        <v>19</v>
      </c>
      <c r="P8" s="43" t="s">
        <v>20</v>
      </c>
      <c r="Q8" s="43" t="s">
        <v>21</v>
      </c>
      <c r="R8" s="46" t="s">
        <v>22</v>
      </c>
    </row>
    <row r="9" spans="1:26" ht="15" customHeight="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</row>
    <row r="10" spans="1:26" ht="99.75" customHeight="1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</row>
    <row r="11" spans="1:26" ht="15" customHeight="1">
      <c r="A11" s="2" t="s">
        <v>23</v>
      </c>
      <c r="B11" s="3">
        <v>1</v>
      </c>
      <c r="C11" s="4" t="s">
        <v>24</v>
      </c>
      <c r="D11" s="5">
        <v>9</v>
      </c>
      <c r="E11" s="6">
        <v>7</v>
      </c>
      <c r="F11" s="7">
        <v>4</v>
      </c>
      <c r="G11" s="6">
        <v>5</v>
      </c>
      <c r="H11" s="7">
        <v>6</v>
      </c>
      <c r="I11" s="6">
        <v>8</v>
      </c>
      <c r="J11" s="7">
        <v>4</v>
      </c>
      <c r="K11" s="6">
        <v>4</v>
      </c>
      <c r="L11" s="7">
        <v>5</v>
      </c>
      <c r="M11" s="7">
        <v>10</v>
      </c>
      <c r="N11" s="7">
        <v>4</v>
      </c>
      <c r="O11" s="6">
        <v>6</v>
      </c>
      <c r="P11" s="7">
        <v>5</v>
      </c>
      <c r="Q11" s="6" t="s">
        <v>25</v>
      </c>
      <c r="R11" s="8">
        <f t="shared" ref="R11:R40" si="0">AVERAGE(D11:Q11)</f>
        <v>5.9230769230769234</v>
      </c>
    </row>
    <row r="12" spans="1:26" ht="15" customHeight="1">
      <c r="A12" s="2" t="s">
        <v>23</v>
      </c>
      <c r="B12" s="3">
        <v>2</v>
      </c>
      <c r="C12" s="4" t="s">
        <v>26</v>
      </c>
      <c r="D12" s="5">
        <v>10</v>
      </c>
      <c r="E12" s="6">
        <v>10</v>
      </c>
      <c r="F12" s="7">
        <v>9</v>
      </c>
      <c r="G12" s="6">
        <v>9</v>
      </c>
      <c r="H12" s="7">
        <v>8</v>
      </c>
      <c r="I12" s="6">
        <v>10</v>
      </c>
      <c r="J12" s="7">
        <v>7</v>
      </c>
      <c r="K12" s="6">
        <v>10</v>
      </c>
      <c r="L12" s="7">
        <v>8</v>
      </c>
      <c r="M12" s="7">
        <v>10</v>
      </c>
      <c r="N12" s="7">
        <v>7</v>
      </c>
      <c r="O12" s="6">
        <v>10</v>
      </c>
      <c r="P12" s="7">
        <v>8</v>
      </c>
      <c r="Q12" s="6">
        <v>9</v>
      </c>
      <c r="R12" s="8">
        <f t="shared" si="0"/>
        <v>8.9285714285714288</v>
      </c>
      <c r="S12" s="9"/>
      <c r="T12" s="9"/>
      <c r="U12" s="9"/>
      <c r="V12" s="9"/>
      <c r="W12" s="9"/>
      <c r="X12" s="9"/>
      <c r="Y12" s="9"/>
      <c r="Z12" s="9"/>
    </row>
    <row r="13" spans="1:26" ht="15" customHeight="1">
      <c r="A13" s="2" t="s">
        <v>23</v>
      </c>
      <c r="B13" s="3">
        <v>3</v>
      </c>
      <c r="C13" s="4" t="s">
        <v>27</v>
      </c>
      <c r="D13" s="5">
        <v>8</v>
      </c>
      <c r="E13" s="6">
        <v>10</v>
      </c>
      <c r="F13" s="7">
        <v>6</v>
      </c>
      <c r="G13" s="6">
        <v>7</v>
      </c>
      <c r="H13" s="7">
        <v>7</v>
      </c>
      <c r="I13" s="6">
        <v>6</v>
      </c>
      <c r="J13" s="7">
        <v>9</v>
      </c>
      <c r="K13" s="6">
        <v>7</v>
      </c>
      <c r="L13" s="7">
        <v>6</v>
      </c>
      <c r="M13" s="7">
        <v>9</v>
      </c>
      <c r="N13" s="7">
        <v>8</v>
      </c>
      <c r="O13" s="6">
        <v>9</v>
      </c>
      <c r="P13" s="7">
        <v>7</v>
      </c>
      <c r="Q13" s="6">
        <v>7</v>
      </c>
      <c r="R13" s="8">
        <f t="shared" si="0"/>
        <v>7.5714285714285712</v>
      </c>
      <c r="S13" s="9"/>
      <c r="T13" s="9"/>
      <c r="U13" s="9"/>
      <c r="V13" s="9"/>
      <c r="W13" s="9"/>
      <c r="X13" s="9"/>
      <c r="Y13" s="9"/>
      <c r="Z13" s="9"/>
    </row>
    <row r="14" spans="1:26" ht="15" customHeight="1">
      <c r="A14" s="2" t="s">
        <v>23</v>
      </c>
      <c r="B14" s="3">
        <v>4</v>
      </c>
      <c r="C14" s="4" t="s">
        <v>28</v>
      </c>
      <c r="D14" s="34">
        <v>9</v>
      </c>
      <c r="E14" s="34">
        <v>10</v>
      </c>
      <c r="F14" s="34">
        <v>7</v>
      </c>
      <c r="G14" s="34">
        <v>7</v>
      </c>
      <c r="H14" s="34">
        <v>8</v>
      </c>
      <c r="I14" s="34">
        <v>9</v>
      </c>
      <c r="J14" s="34">
        <v>8</v>
      </c>
      <c r="K14" s="34">
        <v>5</v>
      </c>
      <c r="L14" s="34">
        <v>6</v>
      </c>
      <c r="M14" s="34">
        <v>9</v>
      </c>
      <c r="N14" s="34">
        <v>4</v>
      </c>
      <c r="O14" s="34">
        <v>8</v>
      </c>
      <c r="P14" s="34">
        <v>7</v>
      </c>
      <c r="Q14" s="34">
        <v>8</v>
      </c>
      <c r="R14" s="8">
        <f t="shared" si="0"/>
        <v>7.5</v>
      </c>
      <c r="S14" s="9"/>
      <c r="T14" s="9"/>
      <c r="U14" s="9"/>
      <c r="V14" s="9"/>
      <c r="W14" s="9"/>
      <c r="X14" s="9"/>
      <c r="Y14" s="9"/>
      <c r="Z14" s="9"/>
    </row>
    <row r="15" spans="1:26" ht="15" customHeight="1">
      <c r="A15" s="2" t="s">
        <v>23</v>
      </c>
      <c r="B15" s="3">
        <v>5</v>
      </c>
      <c r="C15" s="4" t="s">
        <v>29</v>
      </c>
      <c r="D15" s="34">
        <v>9</v>
      </c>
      <c r="E15" s="34">
        <v>9</v>
      </c>
      <c r="F15" s="34">
        <v>8</v>
      </c>
      <c r="G15" s="34">
        <v>8</v>
      </c>
      <c r="H15" s="34">
        <v>7</v>
      </c>
      <c r="I15" s="34">
        <v>9</v>
      </c>
      <c r="J15" s="34">
        <v>7</v>
      </c>
      <c r="K15" s="34">
        <v>9</v>
      </c>
      <c r="L15" s="34">
        <v>8</v>
      </c>
      <c r="M15" s="34">
        <v>8</v>
      </c>
      <c r="N15" s="34">
        <v>8</v>
      </c>
      <c r="O15" s="34">
        <v>7</v>
      </c>
      <c r="P15" s="34">
        <v>7</v>
      </c>
      <c r="Q15" s="34">
        <v>8</v>
      </c>
      <c r="R15" s="8">
        <f t="shared" si="0"/>
        <v>8</v>
      </c>
      <c r="S15" s="9"/>
      <c r="T15" s="9"/>
      <c r="U15" s="9"/>
      <c r="V15" s="9"/>
      <c r="W15" s="9"/>
      <c r="X15" s="9"/>
      <c r="Y15" s="9"/>
      <c r="Z15" s="9"/>
    </row>
    <row r="16" spans="1:26" ht="15" customHeight="1">
      <c r="A16" s="2" t="s">
        <v>30</v>
      </c>
      <c r="B16" s="3">
        <v>6</v>
      </c>
      <c r="C16" s="4" t="s">
        <v>31</v>
      </c>
      <c r="D16" s="5">
        <v>4</v>
      </c>
      <c r="E16" s="6">
        <v>7</v>
      </c>
      <c r="F16" s="7">
        <v>4</v>
      </c>
      <c r="G16" s="6">
        <v>5</v>
      </c>
      <c r="H16" s="7">
        <v>9</v>
      </c>
      <c r="I16" s="6">
        <v>8</v>
      </c>
      <c r="J16" s="7">
        <v>4</v>
      </c>
      <c r="K16" s="6">
        <v>4</v>
      </c>
      <c r="L16" s="7">
        <v>5</v>
      </c>
      <c r="M16" s="7">
        <v>10</v>
      </c>
      <c r="N16" s="7">
        <v>5</v>
      </c>
      <c r="O16" s="6">
        <v>7</v>
      </c>
      <c r="P16" s="7">
        <v>6</v>
      </c>
      <c r="Q16" s="6">
        <v>9</v>
      </c>
      <c r="R16" s="8">
        <f t="shared" si="0"/>
        <v>6.2142857142857144</v>
      </c>
      <c r="S16" s="9"/>
      <c r="T16" s="9"/>
      <c r="U16" s="9"/>
      <c r="V16" s="9"/>
      <c r="W16" s="9"/>
      <c r="X16" s="9"/>
      <c r="Y16" s="9"/>
      <c r="Z16" s="9"/>
    </row>
    <row r="17" spans="1:26" ht="15" customHeight="1">
      <c r="A17" s="2" t="s">
        <v>23</v>
      </c>
      <c r="B17" s="3">
        <v>7</v>
      </c>
      <c r="C17" s="4" t="s">
        <v>32</v>
      </c>
      <c r="D17" s="34">
        <v>8</v>
      </c>
      <c r="E17" s="34">
        <v>8</v>
      </c>
      <c r="F17" s="34">
        <v>6</v>
      </c>
      <c r="G17" s="34">
        <v>8</v>
      </c>
      <c r="H17" s="34">
        <v>7</v>
      </c>
      <c r="I17" s="34">
        <v>8</v>
      </c>
      <c r="J17" s="34">
        <v>7</v>
      </c>
      <c r="K17" s="34">
        <v>10</v>
      </c>
      <c r="L17" s="34">
        <v>8</v>
      </c>
      <c r="M17" s="34">
        <v>9</v>
      </c>
      <c r="N17" s="34">
        <v>10</v>
      </c>
      <c r="O17" s="34">
        <v>10</v>
      </c>
      <c r="P17" s="34">
        <v>6</v>
      </c>
      <c r="Q17" s="34">
        <v>8</v>
      </c>
      <c r="R17" s="8">
        <f t="shared" si="0"/>
        <v>8.0714285714285712</v>
      </c>
      <c r="S17" s="9"/>
      <c r="T17" s="9"/>
      <c r="U17" s="9"/>
      <c r="V17" s="9"/>
      <c r="W17" s="9"/>
      <c r="X17" s="9"/>
      <c r="Y17" s="9"/>
      <c r="Z17" s="9"/>
    </row>
    <row r="18" spans="1:26" ht="15" customHeight="1">
      <c r="A18" s="2" t="s">
        <v>23</v>
      </c>
      <c r="B18" s="3">
        <v>8</v>
      </c>
      <c r="C18" s="4" t="s">
        <v>33</v>
      </c>
      <c r="D18" s="5">
        <v>10</v>
      </c>
      <c r="E18" s="6">
        <v>10</v>
      </c>
      <c r="F18" s="7">
        <v>9</v>
      </c>
      <c r="G18" s="6">
        <v>7</v>
      </c>
      <c r="H18" s="7">
        <v>10</v>
      </c>
      <c r="I18" s="6">
        <v>9</v>
      </c>
      <c r="J18" s="7">
        <v>9</v>
      </c>
      <c r="K18" s="6">
        <v>10</v>
      </c>
      <c r="L18" s="7">
        <v>9</v>
      </c>
      <c r="M18" s="7">
        <v>10</v>
      </c>
      <c r="N18" s="7">
        <v>9</v>
      </c>
      <c r="O18" s="6">
        <v>10</v>
      </c>
      <c r="P18" s="7">
        <v>9</v>
      </c>
      <c r="Q18" s="6">
        <v>10</v>
      </c>
      <c r="R18" s="8">
        <f t="shared" si="0"/>
        <v>9.3571428571428577</v>
      </c>
      <c r="S18" s="9"/>
      <c r="T18" s="9"/>
      <c r="U18" s="9"/>
      <c r="V18" s="9"/>
      <c r="W18" s="9"/>
      <c r="X18" s="9"/>
      <c r="Y18" s="9"/>
      <c r="Z18" s="9"/>
    </row>
    <row r="19" spans="1:26" ht="15" customHeight="1">
      <c r="A19" s="2" t="s">
        <v>30</v>
      </c>
      <c r="B19" s="3">
        <v>9</v>
      </c>
      <c r="C19" s="4" t="s">
        <v>34</v>
      </c>
      <c r="D19" s="5">
        <v>4</v>
      </c>
      <c r="E19" s="6">
        <v>5</v>
      </c>
      <c r="F19" s="7">
        <v>4</v>
      </c>
      <c r="G19" s="6">
        <v>4</v>
      </c>
      <c r="H19" s="7">
        <v>4</v>
      </c>
      <c r="I19" s="6">
        <v>5</v>
      </c>
      <c r="J19" s="7" t="s">
        <v>25</v>
      </c>
      <c r="K19" s="6">
        <v>4</v>
      </c>
      <c r="L19" s="7" t="s">
        <v>25</v>
      </c>
      <c r="M19" s="7">
        <v>8</v>
      </c>
      <c r="N19" s="7">
        <v>4</v>
      </c>
      <c r="O19" s="6" t="s">
        <v>25</v>
      </c>
      <c r="P19" s="7" t="s">
        <v>25</v>
      </c>
      <c r="Q19" s="6">
        <v>6</v>
      </c>
      <c r="R19" s="8">
        <f t="shared" si="0"/>
        <v>4.8</v>
      </c>
      <c r="S19" s="9"/>
      <c r="T19" s="9"/>
      <c r="U19" s="9"/>
      <c r="V19" s="9"/>
      <c r="W19" s="9"/>
      <c r="X19" s="9"/>
      <c r="Y19" s="9"/>
      <c r="Z19" s="9"/>
    </row>
    <row r="20" spans="1:26" ht="15" customHeight="1">
      <c r="A20" s="2" t="s">
        <v>23</v>
      </c>
      <c r="B20" s="3">
        <v>10</v>
      </c>
      <c r="C20" s="4" t="s">
        <v>35</v>
      </c>
      <c r="D20" s="5">
        <v>8</v>
      </c>
      <c r="E20" s="6">
        <v>10</v>
      </c>
      <c r="F20" s="7">
        <v>8</v>
      </c>
      <c r="G20" s="6">
        <v>8</v>
      </c>
      <c r="H20" s="7">
        <v>9</v>
      </c>
      <c r="I20" s="6">
        <v>9</v>
      </c>
      <c r="J20" s="7">
        <v>9</v>
      </c>
      <c r="K20" s="6">
        <v>9</v>
      </c>
      <c r="L20" s="7">
        <v>8</v>
      </c>
      <c r="M20" s="7">
        <v>10</v>
      </c>
      <c r="N20" s="7">
        <v>7</v>
      </c>
      <c r="O20" s="6">
        <v>9</v>
      </c>
      <c r="P20" s="7">
        <v>7</v>
      </c>
      <c r="Q20" s="6">
        <v>9</v>
      </c>
      <c r="R20" s="8">
        <f t="shared" si="0"/>
        <v>8.5714285714285712</v>
      </c>
      <c r="S20" s="9"/>
      <c r="T20" s="9"/>
      <c r="U20" s="9"/>
      <c r="V20" s="9"/>
      <c r="W20" s="9"/>
      <c r="X20" s="9"/>
      <c r="Y20" s="9"/>
      <c r="Z20" s="9"/>
    </row>
    <row r="21" spans="1:26" ht="15" customHeight="1">
      <c r="A21" s="2" t="s">
        <v>30</v>
      </c>
      <c r="B21" s="3">
        <v>11</v>
      </c>
      <c r="C21" s="4" t="s">
        <v>36</v>
      </c>
      <c r="D21" s="5">
        <v>8</v>
      </c>
      <c r="E21" s="6">
        <v>5</v>
      </c>
      <c r="F21" s="7">
        <v>4</v>
      </c>
      <c r="G21" s="6">
        <v>6</v>
      </c>
      <c r="H21" s="7">
        <v>8</v>
      </c>
      <c r="I21" s="6">
        <v>6</v>
      </c>
      <c r="J21" s="7">
        <v>9</v>
      </c>
      <c r="K21" s="6">
        <v>6</v>
      </c>
      <c r="L21" s="7">
        <v>7</v>
      </c>
      <c r="M21" s="7">
        <v>9</v>
      </c>
      <c r="N21" s="7">
        <v>8</v>
      </c>
      <c r="O21" s="6">
        <v>6</v>
      </c>
      <c r="P21" s="7">
        <v>8</v>
      </c>
      <c r="Q21" s="6">
        <v>8</v>
      </c>
      <c r="R21" s="8">
        <f t="shared" si="0"/>
        <v>7</v>
      </c>
      <c r="S21" s="9"/>
      <c r="T21" s="9"/>
      <c r="U21" s="9"/>
      <c r="V21" s="9"/>
      <c r="W21" s="9"/>
      <c r="X21" s="9"/>
      <c r="Y21" s="9"/>
      <c r="Z21" s="9"/>
    </row>
    <row r="22" spans="1:26" ht="15" customHeight="1">
      <c r="A22" s="2" t="s">
        <v>23</v>
      </c>
      <c r="B22" s="3">
        <v>12</v>
      </c>
      <c r="C22" s="4" t="s">
        <v>37</v>
      </c>
      <c r="D22" s="34">
        <v>6</v>
      </c>
      <c r="E22" s="34">
        <v>8</v>
      </c>
      <c r="F22" s="34">
        <v>7</v>
      </c>
      <c r="G22" s="34">
        <v>6</v>
      </c>
      <c r="H22" s="34">
        <v>8</v>
      </c>
      <c r="I22" s="34">
        <v>10</v>
      </c>
      <c r="J22" s="34">
        <v>6</v>
      </c>
      <c r="K22" s="34">
        <v>6</v>
      </c>
      <c r="L22" s="34">
        <v>9</v>
      </c>
      <c r="M22" s="34">
        <v>9</v>
      </c>
      <c r="N22" s="34">
        <v>8</v>
      </c>
      <c r="O22" s="34">
        <v>6</v>
      </c>
      <c r="P22" s="34">
        <v>8</v>
      </c>
      <c r="Q22" s="34">
        <v>9</v>
      </c>
      <c r="R22" s="8">
        <f t="shared" si="0"/>
        <v>7.5714285714285712</v>
      </c>
      <c r="S22" s="9"/>
      <c r="T22" s="9"/>
      <c r="U22" s="9"/>
      <c r="V22" s="9"/>
      <c r="W22" s="9"/>
      <c r="X22" s="9"/>
      <c r="Y22" s="9"/>
      <c r="Z22" s="9"/>
    </row>
    <row r="23" spans="1:26" ht="15" customHeight="1">
      <c r="A23" s="2" t="s">
        <v>23</v>
      </c>
      <c r="B23" s="3">
        <v>13</v>
      </c>
      <c r="C23" s="4" t="s">
        <v>38</v>
      </c>
      <c r="D23" s="5">
        <v>10</v>
      </c>
      <c r="E23" s="6">
        <v>9</v>
      </c>
      <c r="F23" s="7">
        <v>5</v>
      </c>
      <c r="G23" s="6">
        <v>7</v>
      </c>
      <c r="H23" s="7">
        <v>8</v>
      </c>
      <c r="I23" s="6">
        <v>9</v>
      </c>
      <c r="J23" s="7">
        <v>9</v>
      </c>
      <c r="K23" s="6">
        <v>8</v>
      </c>
      <c r="L23" s="7">
        <v>8</v>
      </c>
      <c r="M23" s="7">
        <v>9</v>
      </c>
      <c r="N23" s="7">
        <v>8</v>
      </c>
      <c r="O23" s="6">
        <v>8</v>
      </c>
      <c r="P23" s="7">
        <v>8</v>
      </c>
      <c r="Q23" s="6">
        <v>9</v>
      </c>
      <c r="R23" s="8">
        <f t="shared" si="0"/>
        <v>8.2142857142857135</v>
      </c>
      <c r="S23" s="9"/>
      <c r="T23" s="9"/>
      <c r="U23" s="9"/>
      <c r="V23" s="9"/>
      <c r="W23" s="9"/>
      <c r="X23" s="9"/>
      <c r="Y23" s="9"/>
      <c r="Z23" s="9"/>
    </row>
    <row r="24" spans="1:26" ht="15" customHeight="1">
      <c r="A24" s="2" t="s">
        <v>23</v>
      </c>
      <c r="B24" s="3">
        <v>14</v>
      </c>
      <c r="C24" s="4" t="s">
        <v>39</v>
      </c>
      <c r="D24" s="34">
        <v>9</v>
      </c>
      <c r="E24" s="34">
        <v>9</v>
      </c>
      <c r="F24" s="34">
        <v>4</v>
      </c>
      <c r="G24" s="34">
        <v>6</v>
      </c>
      <c r="H24" s="34">
        <v>8</v>
      </c>
      <c r="I24" s="34">
        <v>8</v>
      </c>
      <c r="J24" s="34">
        <v>7</v>
      </c>
      <c r="K24" s="34">
        <v>6</v>
      </c>
      <c r="L24" s="34">
        <v>7</v>
      </c>
      <c r="M24" s="34">
        <v>9</v>
      </c>
      <c r="N24" s="34">
        <v>6</v>
      </c>
      <c r="O24" s="34">
        <v>6</v>
      </c>
      <c r="P24" s="34">
        <v>7</v>
      </c>
      <c r="Q24" s="34">
        <v>8</v>
      </c>
      <c r="R24" s="8">
        <f t="shared" si="0"/>
        <v>7.1428571428571432</v>
      </c>
      <c r="S24" s="9"/>
      <c r="T24" s="9"/>
      <c r="U24" s="9"/>
      <c r="V24" s="9"/>
      <c r="W24" s="9"/>
      <c r="X24" s="9"/>
      <c r="Y24" s="9"/>
      <c r="Z24" s="9"/>
    </row>
    <row r="25" spans="1:26" ht="15" customHeight="1">
      <c r="A25" s="2" t="s">
        <v>23</v>
      </c>
      <c r="B25" s="3">
        <v>15</v>
      </c>
      <c r="C25" s="4" t="s">
        <v>40</v>
      </c>
      <c r="D25" s="5">
        <v>10</v>
      </c>
      <c r="E25" s="6">
        <v>10</v>
      </c>
      <c r="F25" s="7">
        <v>10</v>
      </c>
      <c r="G25" s="6">
        <v>10</v>
      </c>
      <c r="H25" s="7">
        <v>9</v>
      </c>
      <c r="I25" s="6">
        <v>9</v>
      </c>
      <c r="J25" s="7">
        <v>10</v>
      </c>
      <c r="K25" s="6">
        <v>10</v>
      </c>
      <c r="L25" s="7">
        <v>10</v>
      </c>
      <c r="M25" s="7">
        <v>10</v>
      </c>
      <c r="N25" s="7">
        <v>9</v>
      </c>
      <c r="O25" s="6">
        <v>10</v>
      </c>
      <c r="P25" s="7">
        <v>8</v>
      </c>
      <c r="Q25" s="6">
        <v>9</v>
      </c>
      <c r="R25" s="8">
        <f t="shared" si="0"/>
        <v>9.5714285714285712</v>
      </c>
      <c r="S25" s="9"/>
      <c r="T25" s="9"/>
      <c r="U25" s="9"/>
      <c r="V25" s="9"/>
      <c r="W25" s="9"/>
      <c r="X25" s="9"/>
      <c r="Y25" s="9"/>
      <c r="Z25" s="9"/>
    </row>
    <row r="26" spans="1:26" ht="15" customHeight="1">
      <c r="A26" s="2" t="s">
        <v>30</v>
      </c>
      <c r="B26" s="3">
        <v>16</v>
      </c>
      <c r="C26" s="4" t="s">
        <v>41</v>
      </c>
      <c r="D26" s="5">
        <v>6</v>
      </c>
      <c r="E26" s="6">
        <v>8</v>
      </c>
      <c r="F26" s="7" t="s">
        <v>25</v>
      </c>
      <c r="G26" s="6">
        <v>6</v>
      </c>
      <c r="H26" s="7">
        <v>6</v>
      </c>
      <c r="I26" s="6">
        <v>7</v>
      </c>
      <c r="J26" s="7">
        <v>4</v>
      </c>
      <c r="K26" s="6">
        <v>6</v>
      </c>
      <c r="L26" s="7">
        <v>6</v>
      </c>
      <c r="M26" s="7">
        <v>8</v>
      </c>
      <c r="N26" s="7">
        <v>8</v>
      </c>
      <c r="O26" s="6">
        <v>7</v>
      </c>
      <c r="P26" s="7">
        <v>4</v>
      </c>
      <c r="Q26" s="6">
        <v>7</v>
      </c>
      <c r="R26" s="8">
        <f t="shared" si="0"/>
        <v>6.384615384615385</v>
      </c>
      <c r="S26" s="9"/>
      <c r="T26" s="9"/>
      <c r="U26" s="9"/>
      <c r="V26" s="9"/>
      <c r="W26" s="9"/>
      <c r="X26" s="9"/>
      <c r="Y26" s="9"/>
      <c r="Z26" s="9"/>
    </row>
    <row r="27" spans="1:26" ht="15" customHeight="1">
      <c r="A27" s="2" t="s">
        <v>30</v>
      </c>
      <c r="B27" s="3">
        <v>17</v>
      </c>
      <c r="C27" s="4" t="s">
        <v>42</v>
      </c>
      <c r="D27" s="5">
        <v>6</v>
      </c>
      <c r="E27" s="6">
        <v>6</v>
      </c>
      <c r="F27" s="7">
        <v>4</v>
      </c>
      <c r="G27" s="6">
        <v>6</v>
      </c>
      <c r="H27" s="7">
        <v>6</v>
      </c>
      <c r="I27" s="6">
        <v>5</v>
      </c>
      <c r="J27" s="7">
        <v>4</v>
      </c>
      <c r="K27" s="6">
        <v>5</v>
      </c>
      <c r="L27" s="7">
        <v>4</v>
      </c>
      <c r="M27" s="7">
        <v>8</v>
      </c>
      <c r="N27" s="7">
        <v>4</v>
      </c>
      <c r="O27" s="6">
        <v>5</v>
      </c>
      <c r="P27" s="7">
        <v>4</v>
      </c>
      <c r="Q27" s="6">
        <v>7</v>
      </c>
      <c r="R27" s="8">
        <f t="shared" si="0"/>
        <v>5.2857142857142856</v>
      </c>
    </row>
    <row r="28" spans="1:26" ht="15" customHeight="1">
      <c r="A28" s="2" t="s">
        <v>23</v>
      </c>
      <c r="B28" s="3">
        <v>18</v>
      </c>
      <c r="C28" s="4" t="s">
        <v>43</v>
      </c>
      <c r="D28" s="5">
        <v>9</v>
      </c>
      <c r="E28" s="6">
        <v>10</v>
      </c>
      <c r="F28" s="7">
        <v>7</v>
      </c>
      <c r="G28" s="6">
        <v>9</v>
      </c>
      <c r="H28" s="7">
        <v>8</v>
      </c>
      <c r="I28" s="6">
        <v>7</v>
      </c>
      <c r="J28" s="7">
        <v>9</v>
      </c>
      <c r="K28" s="6">
        <v>8</v>
      </c>
      <c r="L28" s="7">
        <v>9</v>
      </c>
      <c r="M28" s="7">
        <v>8</v>
      </c>
      <c r="N28" s="7">
        <v>8</v>
      </c>
      <c r="O28" s="6">
        <v>9</v>
      </c>
      <c r="P28" s="7">
        <v>7</v>
      </c>
      <c r="Q28" s="6">
        <v>9</v>
      </c>
      <c r="R28" s="8">
        <f t="shared" si="0"/>
        <v>8.3571428571428577</v>
      </c>
    </row>
    <row r="29" spans="1:26" ht="15" customHeight="1">
      <c r="A29" s="2" t="s">
        <v>23</v>
      </c>
      <c r="B29" s="3">
        <v>19</v>
      </c>
      <c r="C29" s="4" t="s">
        <v>44</v>
      </c>
      <c r="D29" s="34">
        <v>8</v>
      </c>
      <c r="E29" s="34">
        <v>5</v>
      </c>
      <c r="F29" s="34">
        <v>5</v>
      </c>
      <c r="G29" s="34">
        <v>8</v>
      </c>
      <c r="H29" s="34">
        <v>7</v>
      </c>
      <c r="I29" s="34">
        <v>10</v>
      </c>
      <c r="J29" s="34">
        <v>9</v>
      </c>
      <c r="K29" s="34">
        <v>8</v>
      </c>
      <c r="L29" s="34">
        <v>7</v>
      </c>
      <c r="M29" s="34">
        <v>11</v>
      </c>
      <c r="N29" s="34">
        <v>9</v>
      </c>
      <c r="O29" s="34">
        <v>7</v>
      </c>
      <c r="P29" s="34">
        <v>5</v>
      </c>
      <c r="Q29" s="34">
        <v>8</v>
      </c>
      <c r="R29" s="8">
        <f t="shared" si="0"/>
        <v>7.6428571428571432</v>
      </c>
    </row>
    <row r="30" spans="1:26" ht="15" customHeight="1">
      <c r="A30" s="2" t="s">
        <v>30</v>
      </c>
      <c r="B30" s="3">
        <v>20</v>
      </c>
      <c r="C30" s="4" t="s">
        <v>45</v>
      </c>
      <c r="D30" s="5">
        <v>7</v>
      </c>
      <c r="E30" s="6">
        <v>7</v>
      </c>
      <c r="F30" s="7">
        <v>4</v>
      </c>
      <c r="G30" s="6">
        <v>6</v>
      </c>
      <c r="H30" s="7" t="s">
        <v>25</v>
      </c>
      <c r="I30" s="6">
        <v>8</v>
      </c>
      <c r="J30" s="7">
        <v>6</v>
      </c>
      <c r="K30" s="6" t="s">
        <v>25</v>
      </c>
      <c r="L30" s="7">
        <v>4</v>
      </c>
      <c r="M30" s="7">
        <v>8</v>
      </c>
      <c r="N30" s="7">
        <v>5</v>
      </c>
      <c r="O30" s="6">
        <v>5</v>
      </c>
      <c r="P30" s="7">
        <v>6</v>
      </c>
      <c r="Q30" s="6">
        <v>6</v>
      </c>
      <c r="R30" s="8">
        <f t="shared" si="0"/>
        <v>6</v>
      </c>
    </row>
    <row r="31" spans="1:26" ht="15" customHeight="1">
      <c r="A31" s="2" t="s">
        <v>30</v>
      </c>
      <c r="B31" s="3">
        <v>21</v>
      </c>
      <c r="C31" s="4" t="s">
        <v>46</v>
      </c>
      <c r="D31" s="5">
        <v>4</v>
      </c>
      <c r="E31" s="6">
        <v>7</v>
      </c>
      <c r="F31" s="7">
        <v>4</v>
      </c>
      <c r="G31" s="6">
        <v>6</v>
      </c>
      <c r="H31" s="7">
        <v>4</v>
      </c>
      <c r="I31" s="6">
        <v>6</v>
      </c>
      <c r="J31" s="7">
        <v>6</v>
      </c>
      <c r="K31" s="6">
        <v>5</v>
      </c>
      <c r="L31" s="7">
        <v>4</v>
      </c>
      <c r="M31" s="7">
        <v>8</v>
      </c>
      <c r="N31" s="7">
        <v>5</v>
      </c>
      <c r="O31" s="6">
        <v>6</v>
      </c>
      <c r="P31" s="7" t="s">
        <v>25</v>
      </c>
      <c r="Q31" s="6">
        <v>8</v>
      </c>
      <c r="R31" s="8">
        <f t="shared" si="0"/>
        <v>5.615384615384615</v>
      </c>
    </row>
    <row r="32" spans="1:26" ht="15" customHeight="1">
      <c r="A32" s="2" t="s">
        <v>23</v>
      </c>
      <c r="B32" s="3">
        <v>22</v>
      </c>
      <c r="C32" s="4" t="s">
        <v>47</v>
      </c>
      <c r="D32" s="5">
        <v>4</v>
      </c>
      <c r="E32" s="6">
        <v>7</v>
      </c>
      <c r="F32" s="7">
        <v>4</v>
      </c>
      <c r="G32" s="6">
        <v>4</v>
      </c>
      <c r="H32" s="7">
        <v>4</v>
      </c>
      <c r="I32" s="6">
        <v>6</v>
      </c>
      <c r="J32" s="7">
        <v>4</v>
      </c>
      <c r="K32" s="6">
        <v>4</v>
      </c>
      <c r="L32" s="7">
        <v>4</v>
      </c>
      <c r="M32" s="7">
        <v>9</v>
      </c>
      <c r="N32" s="7">
        <v>5</v>
      </c>
      <c r="O32" s="6">
        <v>6</v>
      </c>
      <c r="P32" s="7">
        <v>6</v>
      </c>
      <c r="Q32" s="6" t="s">
        <v>25</v>
      </c>
      <c r="R32" s="8">
        <f t="shared" si="0"/>
        <v>5.1538461538461542</v>
      </c>
    </row>
    <row r="33" spans="1:26" ht="15" customHeight="1">
      <c r="A33" s="2" t="s">
        <v>30</v>
      </c>
      <c r="B33" s="3">
        <v>23</v>
      </c>
      <c r="C33" s="4" t="s">
        <v>48</v>
      </c>
      <c r="D33" s="5">
        <v>8</v>
      </c>
      <c r="E33" s="6">
        <v>5</v>
      </c>
      <c r="F33" s="7">
        <v>4</v>
      </c>
      <c r="G33" s="6">
        <v>6</v>
      </c>
      <c r="H33" s="7">
        <v>4</v>
      </c>
      <c r="I33" s="6">
        <v>6</v>
      </c>
      <c r="J33" s="7">
        <v>4</v>
      </c>
      <c r="K33" s="6">
        <v>4</v>
      </c>
      <c r="L33" s="7">
        <v>4</v>
      </c>
      <c r="M33" s="7">
        <v>9</v>
      </c>
      <c r="N33" s="7" t="s">
        <v>25</v>
      </c>
      <c r="O33" s="6">
        <v>5</v>
      </c>
      <c r="P33" s="7">
        <v>6</v>
      </c>
      <c r="Q33" s="6">
        <v>8</v>
      </c>
      <c r="R33" s="8">
        <f t="shared" si="0"/>
        <v>5.615384615384615</v>
      </c>
    </row>
    <row r="34" spans="1:26" ht="15" customHeight="1">
      <c r="A34" s="2" t="s">
        <v>23</v>
      </c>
      <c r="B34" s="3">
        <v>24</v>
      </c>
      <c r="C34" s="4" t="s">
        <v>49</v>
      </c>
      <c r="D34" s="34">
        <v>8</v>
      </c>
      <c r="E34" s="34">
        <v>9</v>
      </c>
      <c r="F34" s="34">
        <v>4</v>
      </c>
      <c r="G34" s="34">
        <v>5</v>
      </c>
      <c r="H34" s="34">
        <v>6</v>
      </c>
      <c r="I34" s="34">
        <v>7</v>
      </c>
      <c r="J34" s="34">
        <v>5</v>
      </c>
      <c r="K34" s="34">
        <v>4</v>
      </c>
      <c r="L34" s="34">
        <v>6</v>
      </c>
      <c r="M34" s="34">
        <v>8</v>
      </c>
      <c r="N34" s="34">
        <v>5</v>
      </c>
      <c r="O34" s="34">
        <v>8</v>
      </c>
      <c r="P34" s="34">
        <v>6</v>
      </c>
      <c r="Q34" s="34">
        <v>8</v>
      </c>
      <c r="R34" s="8">
        <f t="shared" si="0"/>
        <v>6.3571428571428568</v>
      </c>
    </row>
    <row r="35" spans="1:26" ht="15.75" customHeight="1">
      <c r="A35" s="2" t="s">
        <v>23</v>
      </c>
      <c r="B35" s="3">
        <v>25</v>
      </c>
      <c r="C35" s="4" t="s">
        <v>50</v>
      </c>
      <c r="D35" s="5">
        <v>10</v>
      </c>
      <c r="E35" s="6">
        <v>10</v>
      </c>
      <c r="F35" s="7">
        <v>8</v>
      </c>
      <c r="G35" s="6">
        <v>7</v>
      </c>
      <c r="H35" s="7">
        <v>9</v>
      </c>
      <c r="I35" s="6">
        <v>8</v>
      </c>
      <c r="J35" s="7">
        <v>10</v>
      </c>
      <c r="K35" s="6">
        <v>8</v>
      </c>
      <c r="L35" s="7">
        <v>8</v>
      </c>
      <c r="M35" s="7">
        <v>9</v>
      </c>
      <c r="N35" s="7">
        <v>8</v>
      </c>
      <c r="O35" s="6">
        <v>7</v>
      </c>
      <c r="P35" s="7">
        <v>7</v>
      </c>
      <c r="Q35" s="6">
        <v>9</v>
      </c>
      <c r="R35" s="8">
        <f t="shared" si="0"/>
        <v>8.4285714285714288</v>
      </c>
    </row>
    <row r="36" spans="1:26" ht="15.75" customHeight="1">
      <c r="A36" s="2" t="s">
        <v>23</v>
      </c>
      <c r="B36" s="3">
        <v>26</v>
      </c>
      <c r="C36" s="4" t="s">
        <v>51</v>
      </c>
      <c r="D36" s="34">
        <v>7</v>
      </c>
      <c r="E36" s="34">
        <v>7</v>
      </c>
      <c r="F36" s="34">
        <v>5</v>
      </c>
      <c r="G36" s="34">
        <v>8</v>
      </c>
      <c r="H36" s="34">
        <v>8</v>
      </c>
      <c r="I36" s="34">
        <v>9</v>
      </c>
      <c r="J36" s="34">
        <v>7</v>
      </c>
      <c r="K36" s="34">
        <v>6</v>
      </c>
      <c r="L36" s="34">
        <v>5</v>
      </c>
      <c r="M36" s="34">
        <v>9</v>
      </c>
      <c r="N36" s="34">
        <v>8</v>
      </c>
      <c r="O36" s="34">
        <v>7</v>
      </c>
      <c r="P36" s="34">
        <v>7</v>
      </c>
      <c r="Q36" s="34">
        <v>8</v>
      </c>
      <c r="R36" s="8">
        <f t="shared" si="0"/>
        <v>7.2142857142857144</v>
      </c>
    </row>
    <row r="37" spans="1:26" ht="15.75" customHeight="1">
      <c r="A37" s="2" t="s">
        <v>30</v>
      </c>
      <c r="B37" s="3">
        <v>27</v>
      </c>
      <c r="C37" s="4" t="s">
        <v>52</v>
      </c>
      <c r="D37" s="5">
        <v>6</v>
      </c>
      <c r="E37" s="6">
        <v>5</v>
      </c>
      <c r="F37" s="7" t="s">
        <v>25</v>
      </c>
      <c r="G37" s="6" t="s">
        <v>25</v>
      </c>
      <c r="H37" s="7">
        <v>5</v>
      </c>
      <c r="I37" s="6" t="s">
        <v>25</v>
      </c>
      <c r="J37" s="7">
        <v>4</v>
      </c>
      <c r="K37" s="6">
        <v>8</v>
      </c>
      <c r="L37" s="7" t="s">
        <v>25</v>
      </c>
      <c r="M37" s="7">
        <v>10</v>
      </c>
      <c r="N37" s="7">
        <v>8</v>
      </c>
      <c r="O37" s="6">
        <v>4</v>
      </c>
      <c r="P37" s="7">
        <v>4</v>
      </c>
      <c r="Q37" s="6" t="s">
        <v>25</v>
      </c>
      <c r="R37" s="8">
        <f t="shared" si="0"/>
        <v>6</v>
      </c>
    </row>
    <row r="38" spans="1:26" ht="15.75" customHeight="1">
      <c r="A38" s="2" t="s">
        <v>23</v>
      </c>
      <c r="B38" s="3">
        <v>28</v>
      </c>
      <c r="C38" s="4" t="s">
        <v>53</v>
      </c>
      <c r="D38" s="5">
        <v>8</v>
      </c>
      <c r="E38" s="6">
        <v>10</v>
      </c>
      <c r="F38" s="7">
        <v>8</v>
      </c>
      <c r="G38" s="6">
        <v>7</v>
      </c>
      <c r="H38" s="7">
        <v>9</v>
      </c>
      <c r="I38" s="6">
        <v>10</v>
      </c>
      <c r="J38" s="7">
        <v>9</v>
      </c>
      <c r="K38" s="6">
        <v>10</v>
      </c>
      <c r="L38" s="7">
        <v>8</v>
      </c>
      <c r="M38" s="7">
        <v>9</v>
      </c>
      <c r="N38" s="7">
        <v>8</v>
      </c>
      <c r="O38" s="6">
        <v>10</v>
      </c>
      <c r="P38" s="7">
        <v>7</v>
      </c>
      <c r="Q38" s="6">
        <v>9</v>
      </c>
      <c r="R38" s="8">
        <f t="shared" si="0"/>
        <v>8.7142857142857135</v>
      </c>
    </row>
    <row r="39" spans="1:26" ht="15.75" customHeight="1">
      <c r="A39" s="2" t="s">
        <v>30</v>
      </c>
      <c r="B39" s="3">
        <v>29</v>
      </c>
      <c r="C39" s="4" t="s">
        <v>54</v>
      </c>
      <c r="D39" s="5">
        <v>7</v>
      </c>
      <c r="E39" s="6">
        <v>7</v>
      </c>
      <c r="F39" s="7" t="s">
        <v>25</v>
      </c>
      <c r="G39" s="6" t="s">
        <v>25</v>
      </c>
      <c r="H39" s="7">
        <v>7</v>
      </c>
      <c r="I39" s="6">
        <v>7</v>
      </c>
      <c r="J39" s="7">
        <v>4</v>
      </c>
      <c r="K39" s="6">
        <v>4</v>
      </c>
      <c r="L39" s="7" t="s">
        <v>25</v>
      </c>
      <c r="M39" s="7">
        <v>9</v>
      </c>
      <c r="N39" s="7" t="s">
        <v>25</v>
      </c>
      <c r="O39" s="6">
        <v>6</v>
      </c>
      <c r="P39" s="7">
        <v>5</v>
      </c>
      <c r="Q39" s="6">
        <v>7</v>
      </c>
      <c r="R39" s="8">
        <f t="shared" si="0"/>
        <v>6.3</v>
      </c>
    </row>
    <row r="40" spans="1:26" ht="15.75" customHeight="1">
      <c r="A40" s="1"/>
      <c r="B40" s="1"/>
      <c r="C40" s="10" t="s">
        <v>55</v>
      </c>
      <c r="D40" s="11">
        <f t="shared" ref="D40:Q40" si="1">AVERAGE(D11:D39)</f>
        <v>7.5862068965517242</v>
      </c>
      <c r="E40" s="11">
        <f t="shared" si="1"/>
        <v>7.931034482758621</v>
      </c>
      <c r="F40" s="11">
        <f t="shared" si="1"/>
        <v>5.8461538461538458</v>
      </c>
      <c r="G40" s="11">
        <f t="shared" si="1"/>
        <v>6.7037037037037033</v>
      </c>
      <c r="H40" s="11">
        <f t="shared" si="1"/>
        <v>7.1071428571428568</v>
      </c>
      <c r="I40" s="11">
        <f t="shared" si="1"/>
        <v>7.8214285714285712</v>
      </c>
      <c r="J40" s="11">
        <f t="shared" si="1"/>
        <v>6.7857142857142856</v>
      </c>
      <c r="K40" s="11">
        <f t="shared" si="1"/>
        <v>6.7142857142857144</v>
      </c>
      <c r="L40" s="11">
        <f t="shared" si="1"/>
        <v>6.6538461538461542</v>
      </c>
      <c r="M40" s="12">
        <f t="shared" si="1"/>
        <v>9.0344827586206904</v>
      </c>
      <c r="N40" s="12">
        <f t="shared" si="1"/>
        <v>6.8888888888888893</v>
      </c>
      <c r="O40" s="11">
        <f t="shared" si="1"/>
        <v>7.2857142857142856</v>
      </c>
      <c r="P40" s="13">
        <f t="shared" si="1"/>
        <v>6.4814814814814818</v>
      </c>
      <c r="Q40" s="11">
        <f t="shared" si="1"/>
        <v>8.115384615384615</v>
      </c>
      <c r="R40" s="11">
        <f t="shared" si="0"/>
        <v>7.2111048958339596</v>
      </c>
    </row>
    <row r="41" spans="1:26" ht="15.75" customHeight="1">
      <c r="A41" s="1"/>
      <c r="B41" s="1"/>
      <c r="C41" s="14" t="s">
        <v>56</v>
      </c>
      <c r="D41" s="15">
        <f>(COUNT(D13:D39))/(COUNT(R13:R39))*100</f>
        <v>100</v>
      </c>
      <c r="E41" s="15">
        <f>(COUNT(E13:E39))/(COUNT(R13:R39))*100</f>
        <v>100</v>
      </c>
      <c r="F41" s="15">
        <f>(COUNT(F13:F39))/(COUNT(R13:R39))*100</f>
        <v>88.888888888888886</v>
      </c>
      <c r="G41" s="15">
        <f>(COUNT(G13:G39))/(COUNT(R13:R39))*100</f>
        <v>92.592592592592595</v>
      </c>
      <c r="H41" s="15">
        <f>(COUNT(H13:H39))/(COUNT(R13:R39))*100</f>
        <v>96.296296296296291</v>
      </c>
      <c r="I41" s="15">
        <f>(COUNT(I13:I39))/(COUNT(R13:R39))*100</f>
        <v>96.296296296296291</v>
      </c>
      <c r="J41" s="15">
        <f>(COUNT(J13:J39))/(COUNT(R13:R39))*100</f>
        <v>96.296296296296291</v>
      </c>
      <c r="K41" s="15">
        <f>(COUNT(K13:K39))/(COUNT(R13:R39))*100</f>
        <v>96.296296296296291</v>
      </c>
      <c r="L41" s="15">
        <f>(COUNT(L13:L39))/(COUNT(R13:R39))*100</f>
        <v>88.888888888888886</v>
      </c>
      <c r="M41" s="15">
        <f>(COUNT(M13:M39))/(COUNT(R13:R39))*100</f>
        <v>100</v>
      </c>
      <c r="N41" s="15">
        <f>(COUNT(N13:N39))/(COUNT(R13:R39))*100</f>
        <v>92.592592592592595</v>
      </c>
      <c r="O41" s="15">
        <f>(COUNT(O13:O39))/(COUNT(R13:R39))*100</f>
        <v>96.296296296296291</v>
      </c>
      <c r="P41" s="15">
        <f>(COUNT(P13:P39))/(COUNT(R13:R39))*100</f>
        <v>92.592592592592595</v>
      </c>
      <c r="Q41" s="15">
        <f>(COUNT(Q13:Q39))/(COUNT(R13:R39))*100</f>
        <v>92.592592592592595</v>
      </c>
      <c r="R41" s="17"/>
    </row>
    <row r="42" spans="1:26" ht="15.75" customHeight="1">
      <c r="A42" s="1"/>
      <c r="B42" s="1"/>
      <c r="C42" s="18" t="s">
        <v>57</v>
      </c>
      <c r="D42" s="16">
        <f>(COUNTIF(D13:D39,"&gt;6"))/(COUNT(R13:R39))*100</f>
        <v>70.370370370370367</v>
      </c>
      <c r="E42" s="16">
        <f>(COUNTIF(E13:E39,"&gt;6"))/(COUNT(R13:R39))*100</f>
        <v>77.777777777777786</v>
      </c>
      <c r="F42" s="16">
        <f>(COUNTIF(F13:F39,"&gt;6"))/(COUNT(R13:R39))*100</f>
        <v>33.333333333333329</v>
      </c>
      <c r="G42" s="16">
        <f>(COUNTIF(G13:G39,"&gt;6"))/(COUNT(R13:R39))*100</f>
        <v>48.148148148148145</v>
      </c>
      <c r="H42" s="16">
        <f>(COUNTIF(H13:H39,"&gt;6"))/(COUNT(R13:R39))*100</f>
        <v>66.666666666666657</v>
      </c>
      <c r="I42" s="16">
        <f>(COUNTIF(I13:I39,"&gt;6"))/(COUNT(R13:R39))*100</f>
        <v>70.370370370370367</v>
      </c>
      <c r="J42" s="16">
        <f>(COUNTIF(J13:J39,"&gt;6"))/(COUNT(R13:R39))*100</f>
        <v>55.555555555555557</v>
      </c>
      <c r="K42" s="16">
        <f>(COUNTIF(K13:K39,"&gt;6"))/(COUNT(R13:R39))*100</f>
        <v>44.444444444444443</v>
      </c>
      <c r="L42" s="16">
        <f>(COUNTIF(L13:L39,"&gt;6"))/(COUNT(R13:R39))*100</f>
        <v>48.148148148148145</v>
      </c>
      <c r="M42" s="16">
        <f>(COUNTIF(M13:M39,"&gt;6"))/(COUNT(R13:R39))*100</f>
        <v>100</v>
      </c>
      <c r="N42" s="16">
        <f>(COUNTIF(N13:N39,"&gt;6"))/(COUNT(R13:R39))*100</f>
        <v>59.259259259259252</v>
      </c>
      <c r="O42" s="16">
        <f>(COUNTIF(O13:O39,"&gt;6"))/(COUNT(R13:R39))*100</f>
        <v>59.259259259259252</v>
      </c>
      <c r="P42" s="16">
        <f>(COUNTIF(P13:P39,"&gt;6"))/(COUNT(R13:R39))*100</f>
        <v>51.851851851851848</v>
      </c>
      <c r="Q42" s="16">
        <f>(COUNTIF(Q13:Q39,"&gt;6"))/(COUNT(R13:R39))*100</f>
        <v>85.18518518518519</v>
      </c>
      <c r="R42" s="17"/>
    </row>
    <row r="43" spans="1:26" ht="15.75" customHeight="1">
      <c r="A43" s="1"/>
      <c r="B43" s="1"/>
      <c r="C43" s="18" t="s">
        <v>58</v>
      </c>
      <c r="D43" s="11">
        <f t="shared" ref="D43:D44" si="2">AVERAGE(D41:Q41)</f>
        <v>94.973544973544989</v>
      </c>
      <c r="E43" s="19"/>
      <c r="F43" s="19"/>
      <c r="G43" s="19"/>
      <c r="H43" s="19"/>
      <c r="I43" s="20"/>
      <c r="J43" s="20"/>
      <c r="K43" s="20"/>
      <c r="L43" s="20"/>
      <c r="M43" s="20"/>
      <c r="N43" s="20"/>
      <c r="O43" s="20"/>
      <c r="P43" s="20"/>
      <c r="Q43" s="20"/>
      <c r="R43" s="21"/>
    </row>
    <row r="44" spans="1:26" ht="15.75" customHeight="1">
      <c r="A44" s="1"/>
      <c r="B44" s="1"/>
      <c r="C44" s="18" t="s">
        <v>59</v>
      </c>
      <c r="D44" s="11">
        <f t="shared" si="2"/>
        <v>62.169312169312164</v>
      </c>
      <c r="E44" s="19"/>
      <c r="F44" s="19"/>
      <c r="G44" s="19"/>
      <c r="H44" s="19"/>
      <c r="I44" s="20"/>
      <c r="J44" s="20"/>
      <c r="K44" s="20"/>
      <c r="L44" s="20"/>
      <c r="M44" s="20"/>
      <c r="N44" s="20"/>
      <c r="O44" s="20"/>
      <c r="P44" s="20"/>
      <c r="Q44" s="20"/>
      <c r="R44" s="21"/>
    </row>
    <row r="45" spans="1:26" ht="15.75" customHeight="1">
      <c r="C45" s="18" t="s">
        <v>60</v>
      </c>
      <c r="D45" s="27">
        <f>COUNTIF(A11:A39,"=Б")</f>
        <v>19</v>
      </c>
      <c r="G45" s="23" t="s">
        <v>64</v>
      </c>
      <c r="H45" s="23"/>
      <c r="I45" s="23"/>
      <c r="J45" s="24"/>
      <c r="K45" s="24"/>
      <c r="N45" s="23" t="s">
        <v>65</v>
      </c>
    </row>
    <row r="46" spans="1:26" ht="15.75" customHeight="1">
      <c r="A46" s="9"/>
      <c r="B46" s="9"/>
      <c r="C46" s="18" t="s">
        <v>61</v>
      </c>
      <c r="D46" s="27">
        <f>COUNTIF(A11:A39,"=К")</f>
        <v>10</v>
      </c>
      <c r="E46" s="9"/>
      <c r="F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>
      <c r="C47" s="18" t="s">
        <v>62</v>
      </c>
      <c r="D47" s="28">
        <v>1</v>
      </c>
      <c r="G47" s="23" t="s">
        <v>66</v>
      </c>
      <c r="H47" s="23"/>
      <c r="I47" s="23"/>
      <c r="J47" s="23"/>
      <c r="K47" s="23"/>
      <c r="N47" s="23" t="s">
        <v>67</v>
      </c>
    </row>
    <row r="48" spans="1:26" ht="15.75" customHeight="1">
      <c r="C48" s="18" t="s">
        <v>63</v>
      </c>
      <c r="D48" s="29">
        <f>INT(D45/100*40)</f>
        <v>7</v>
      </c>
    </row>
    <row r="49" spans="5:11" ht="15.75" customHeight="1"/>
    <row r="50" spans="5:11" ht="15.75" customHeight="1">
      <c r="G50" s="9"/>
      <c r="H50" s="9"/>
    </row>
    <row r="51" spans="5:11" ht="15.75" customHeight="1"/>
    <row r="52" spans="5:11" ht="15.75" customHeight="1">
      <c r="E52" s="22"/>
      <c r="F52" s="22"/>
      <c r="G52" s="22"/>
    </row>
    <row r="53" spans="5:11" ht="15.75" customHeight="1">
      <c r="K53" s="23"/>
    </row>
    <row r="54" spans="5:11" ht="15.75" customHeight="1"/>
    <row r="55" spans="5:11" ht="15.75" customHeight="1">
      <c r="K55" s="23"/>
    </row>
    <row r="56" spans="5:11" ht="15.75" customHeight="1"/>
    <row r="57" spans="5:11" ht="15.75" customHeight="1"/>
    <row r="58" spans="5:11" ht="15.75" customHeight="1"/>
    <row r="59" spans="5:11" ht="15.75" customHeight="1"/>
    <row r="60" spans="5:11" ht="15.75" customHeight="1"/>
    <row r="61" spans="5:11" ht="15.75" customHeight="1"/>
    <row r="62" spans="5:11" ht="15.75" customHeight="1"/>
    <row r="63" spans="5:11" ht="15.75" customHeight="1"/>
    <row r="64" spans="5:11" ht="15.75" customHeight="1"/>
    <row r="65" spans="1:4" ht="15.75" customHeight="1"/>
    <row r="66" spans="1:4" ht="15.75" customHeight="1"/>
    <row r="67" spans="1:4" ht="15.75" customHeight="1"/>
    <row r="68" spans="1:4" ht="15.75" customHeight="1"/>
    <row r="69" spans="1:4" ht="15.75" customHeight="1"/>
    <row r="70" spans="1:4" ht="15.75" customHeight="1"/>
    <row r="71" spans="1:4" ht="15.75" customHeight="1"/>
    <row r="72" spans="1:4" ht="15.75" customHeight="1"/>
    <row r="73" spans="1:4" ht="15.75" customHeight="1"/>
    <row r="74" spans="1:4" ht="15.75" customHeight="1"/>
    <row r="75" spans="1:4" ht="15.75" customHeight="1">
      <c r="A75" s="25">
        <f>D45</f>
        <v>19</v>
      </c>
      <c r="B75" s="25">
        <f>D46</f>
        <v>10</v>
      </c>
      <c r="C75" s="26">
        <f>D47</f>
        <v>1</v>
      </c>
      <c r="D75" s="25">
        <f>D48</f>
        <v>7</v>
      </c>
    </row>
    <row r="76" spans="1:4" ht="15.75" customHeight="1">
      <c r="A76" s="25">
        <f>D45</f>
        <v>19</v>
      </c>
      <c r="B76" s="25">
        <f>D46</f>
        <v>10</v>
      </c>
      <c r="C76" s="26">
        <f>D47</f>
        <v>1</v>
      </c>
      <c r="D76" s="25">
        <f>D48</f>
        <v>7</v>
      </c>
    </row>
    <row r="77" spans="1:4" ht="15.75" customHeight="1">
      <c r="A77" s="25">
        <f>D45</f>
        <v>19</v>
      </c>
      <c r="B77" s="25">
        <f>D46</f>
        <v>10</v>
      </c>
      <c r="C77" s="26">
        <f>D47</f>
        <v>1</v>
      </c>
      <c r="D77" s="25">
        <f>D48</f>
        <v>7</v>
      </c>
    </row>
    <row r="78" spans="1:4" ht="15.75" customHeight="1">
      <c r="A78" s="25">
        <f>D45</f>
        <v>19</v>
      </c>
      <c r="B78" s="25">
        <f>D46</f>
        <v>10</v>
      </c>
      <c r="C78" s="26">
        <f>D47</f>
        <v>1</v>
      </c>
      <c r="D78" s="25">
        <f>D48</f>
        <v>7</v>
      </c>
    </row>
    <row r="79" spans="1:4" ht="15.75" customHeight="1">
      <c r="A79" s="25">
        <f>D45</f>
        <v>19</v>
      </c>
      <c r="B79" s="25">
        <f>D46</f>
        <v>10</v>
      </c>
      <c r="C79" s="26">
        <f>D47</f>
        <v>1</v>
      </c>
      <c r="D79" s="25">
        <f>D48</f>
        <v>7</v>
      </c>
    </row>
    <row r="80" spans="1:4" ht="15.75" customHeight="1">
      <c r="A80" s="25">
        <f>D45</f>
        <v>19</v>
      </c>
      <c r="B80" s="25">
        <f>D46</f>
        <v>10</v>
      </c>
      <c r="C80" s="26">
        <f>D47</f>
        <v>1</v>
      </c>
      <c r="D80" s="25">
        <f>D48</f>
        <v>7</v>
      </c>
    </row>
    <row r="81" spans="1:4" ht="15.75" customHeight="1">
      <c r="A81" s="25">
        <f>D45</f>
        <v>19</v>
      </c>
      <c r="B81" s="25">
        <f>D46</f>
        <v>10</v>
      </c>
      <c r="C81" s="26">
        <f>D47</f>
        <v>1</v>
      </c>
      <c r="D81" s="25">
        <f>D48</f>
        <v>7</v>
      </c>
    </row>
    <row r="82" spans="1:4" ht="15.75" customHeight="1">
      <c r="A82" s="25">
        <f>D45</f>
        <v>19</v>
      </c>
      <c r="B82" s="25">
        <f>D46</f>
        <v>10</v>
      </c>
      <c r="C82" s="26">
        <f>D47</f>
        <v>1</v>
      </c>
      <c r="D82" s="25">
        <f>D48</f>
        <v>7</v>
      </c>
    </row>
    <row r="83" spans="1:4" ht="15.75" customHeight="1">
      <c r="A83" s="25">
        <f>D45</f>
        <v>19</v>
      </c>
      <c r="B83" s="25">
        <f>D46</f>
        <v>10</v>
      </c>
      <c r="C83" s="26">
        <f>D47</f>
        <v>1</v>
      </c>
      <c r="D83" s="25">
        <f>D48</f>
        <v>7</v>
      </c>
    </row>
    <row r="84" spans="1:4" ht="15.75" customHeight="1">
      <c r="A84" s="25">
        <f>D45</f>
        <v>19</v>
      </c>
      <c r="B84" s="25">
        <f>D46</f>
        <v>10</v>
      </c>
      <c r="C84" s="26">
        <f>D47</f>
        <v>1</v>
      </c>
      <c r="D84" s="25">
        <f>D48</f>
        <v>7</v>
      </c>
    </row>
    <row r="85" spans="1:4" ht="15.75" customHeight="1">
      <c r="A85" s="25">
        <f>D45</f>
        <v>19</v>
      </c>
      <c r="B85" s="25">
        <f>D46</f>
        <v>10</v>
      </c>
      <c r="C85" s="26">
        <f>D47</f>
        <v>1</v>
      </c>
      <c r="D85" s="25">
        <f>D48</f>
        <v>7</v>
      </c>
    </row>
    <row r="86" spans="1:4" ht="15.75" customHeight="1">
      <c r="A86" s="25">
        <f>D45</f>
        <v>19</v>
      </c>
      <c r="B86" s="25">
        <f>D46</f>
        <v>10</v>
      </c>
      <c r="C86" s="26">
        <f>D47</f>
        <v>1</v>
      </c>
      <c r="D86" s="25">
        <f>D48</f>
        <v>7</v>
      </c>
    </row>
    <row r="87" spans="1:4" ht="15.75" customHeight="1">
      <c r="A87" s="25">
        <f>D45</f>
        <v>19</v>
      </c>
      <c r="B87" s="25">
        <f>D46</f>
        <v>10</v>
      </c>
      <c r="C87" s="26">
        <f>D47</f>
        <v>1</v>
      </c>
      <c r="D87" s="25">
        <f>D48</f>
        <v>7</v>
      </c>
    </row>
    <row r="88" spans="1:4" ht="15.75" customHeight="1">
      <c r="A88" s="25">
        <f>D45</f>
        <v>19</v>
      </c>
      <c r="B88" s="25">
        <f>D46</f>
        <v>10</v>
      </c>
      <c r="C88" s="26">
        <f>D47</f>
        <v>1</v>
      </c>
      <c r="D88" s="25">
        <f>D48</f>
        <v>7</v>
      </c>
    </row>
    <row r="89" spans="1:4" ht="15.75" customHeight="1">
      <c r="A89" s="25">
        <f>D45</f>
        <v>19</v>
      </c>
      <c r="B89" s="25">
        <f>D46</f>
        <v>10</v>
      </c>
      <c r="C89" s="26">
        <f>D47</f>
        <v>1</v>
      </c>
      <c r="D89" s="25">
        <f>D48</f>
        <v>7</v>
      </c>
    </row>
    <row r="90" spans="1:4" ht="15.75" customHeight="1">
      <c r="A90" s="25">
        <f>D45</f>
        <v>19</v>
      </c>
      <c r="B90" s="25">
        <f>D46</f>
        <v>10</v>
      </c>
      <c r="C90" s="26">
        <f>D47</f>
        <v>1</v>
      </c>
      <c r="D90" s="25">
        <f>D48</f>
        <v>7</v>
      </c>
    </row>
    <row r="91" spans="1:4" ht="15.75" customHeight="1">
      <c r="A91" s="25">
        <f>D45</f>
        <v>19</v>
      </c>
      <c r="B91" s="25">
        <f>D46</f>
        <v>10</v>
      </c>
      <c r="C91" s="26">
        <f>D47</f>
        <v>1</v>
      </c>
      <c r="D91" s="25">
        <f>D48</f>
        <v>7</v>
      </c>
    </row>
    <row r="92" spans="1:4" ht="15.75" customHeight="1">
      <c r="A92" s="25">
        <f>D45</f>
        <v>19</v>
      </c>
      <c r="B92" s="25">
        <f>D46</f>
        <v>10</v>
      </c>
      <c r="C92" s="26">
        <f>D47</f>
        <v>1</v>
      </c>
      <c r="D92" s="25">
        <f>D48</f>
        <v>7</v>
      </c>
    </row>
    <row r="93" spans="1:4" ht="15.75" customHeight="1">
      <c r="A93" s="25">
        <f>D45</f>
        <v>19</v>
      </c>
      <c r="B93" s="25">
        <f>D46</f>
        <v>10</v>
      </c>
      <c r="C93" s="26">
        <f>D47</f>
        <v>1</v>
      </c>
      <c r="D93" s="25">
        <f>D48</f>
        <v>7</v>
      </c>
    </row>
    <row r="94" spans="1:4" ht="15.75" customHeight="1">
      <c r="A94" s="25">
        <f>D45</f>
        <v>19</v>
      </c>
      <c r="B94" s="25">
        <f>D46</f>
        <v>10</v>
      </c>
      <c r="C94" s="26">
        <f>D47</f>
        <v>1</v>
      </c>
      <c r="D94" s="25">
        <f>D48</f>
        <v>7</v>
      </c>
    </row>
    <row r="95" spans="1:4" ht="15.75" customHeight="1">
      <c r="A95" s="25">
        <f>D45</f>
        <v>19</v>
      </c>
      <c r="B95" s="25">
        <f>D46</f>
        <v>10</v>
      </c>
      <c r="C95" s="26">
        <f>D47</f>
        <v>1</v>
      </c>
      <c r="D95" s="25">
        <f>D48</f>
        <v>7</v>
      </c>
    </row>
    <row r="96" spans="1:4" ht="15.75" customHeight="1">
      <c r="A96" s="25">
        <f>D45</f>
        <v>19</v>
      </c>
      <c r="B96" s="25">
        <f>D46</f>
        <v>10</v>
      </c>
      <c r="C96" s="26">
        <f>D47</f>
        <v>1</v>
      </c>
      <c r="D96" s="25">
        <f>D48</f>
        <v>7</v>
      </c>
    </row>
    <row r="97" spans="1:4" ht="15.75" customHeight="1">
      <c r="A97" s="25">
        <f>D45</f>
        <v>19</v>
      </c>
      <c r="B97" s="25">
        <f>D46</f>
        <v>10</v>
      </c>
      <c r="C97" s="26">
        <f>D47</f>
        <v>1</v>
      </c>
      <c r="D97" s="25">
        <f>D48</f>
        <v>7</v>
      </c>
    </row>
    <row r="98" spans="1:4" ht="15.75" customHeight="1">
      <c r="A98" s="25">
        <f>D45</f>
        <v>19</v>
      </c>
      <c r="B98" s="25">
        <f>D46</f>
        <v>10</v>
      </c>
      <c r="C98" s="26">
        <f>D47</f>
        <v>1</v>
      </c>
      <c r="D98" s="25">
        <f>D48</f>
        <v>7</v>
      </c>
    </row>
    <row r="99" spans="1:4" ht="15.75" customHeight="1">
      <c r="A99" s="25">
        <f>D45</f>
        <v>19</v>
      </c>
      <c r="B99" s="25">
        <f>D46</f>
        <v>10</v>
      </c>
      <c r="C99" s="26">
        <f>D47</f>
        <v>1</v>
      </c>
      <c r="D99" s="25">
        <f>D48</f>
        <v>7</v>
      </c>
    </row>
    <row r="100" spans="1:4" ht="15.75" customHeight="1">
      <c r="A100" s="25">
        <f>D45</f>
        <v>19</v>
      </c>
      <c r="B100" s="25">
        <f>D46</f>
        <v>10</v>
      </c>
      <c r="C100" s="26">
        <f>D47</f>
        <v>1</v>
      </c>
      <c r="D100" s="25">
        <f>D48</f>
        <v>7</v>
      </c>
    </row>
    <row r="101" spans="1:4" ht="15.75" customHeight="1">
      <c r="A101" s="25">
        <f>D45</f>
        <v>19</v>
      </c>
      <c r="B101" s="25">
        <f>D46</f>
        <v>10</v>
      </c>
      <c r="C101" s="26">
        <f>D47</f>
        <v>1</v>
      </c>
      <c r="D101" s="25">
        <f>D48</f>
        <v>7</v>
      </c>
    </row>
    <row r="102" spans="1:4" ht="15.75" customHeight="1">
      <c r="A102" s="25">
        <f>D45</f>
        <v>19</v>
      </c>
      <c r="B102" s="25">
        <f>D46</f>
        <v>10</v>
      </c>
      <c r="C102" s="26">
        <f>D47</f>
        <v>1</v>
      </c>
      <c r="D102" s="25">
        <f>D48</f>
        <v>7</v>
      </c>
    </row>
    <row r="103" spans="1:4" ht="15.75" customHeight="1">
      <c r="A103" s="25">
        <f>D45</f>
        <v>19</v>
      </c>
      <c r="B103" s="25">
        <f>D46</f>
        <v>10</v>
      </c>
      <c r="C103" s="26">
        <f>D47</f>
        <v>1</v>
      </c>
      <c r="D103" s="25">
        <f>D48</f>
        <v>7</v>
      </c>
    </row>
    <row r="104" spans="1:4" ht="15.75" customHeight="1">
      <c r="A104" s="25">
        <f>D45</f>
        <v>19</v>
      </c>
      <c r="B104" s="25">
        <f>D46</f>
        <v>10</v>
      </c>
      <c r="C104" s="26">
        <f>D47</f>
        <v>1</v>
      </c>
      <c r="D104" s="25">
        <f>D48</f>
        <v>7</v>
      </c>
    </row>
    <row r="105" spans="1:4" ht="15.75" customHeight="1">
      <c r="A105" s="25">
        <f>D45</f>
        <v>19</v>
      </c>
      <c r="B105" s="25">
        <f>D46</f>
        <v>10</v>
      </c>
      <c r="C105" s="26">
        <f>D47</f>
        <v>1</v>
      </c>
      <c r="D105" s="25">
        <f>D48</f>
        <v>7</v>
      </c>
    </row>
    <row r="106" spans="1:4" ht="15.75" customHeight="1">
      <c r="A106" s="25">
        <f>D45</f>
        <v>19</v>
      </c>
      <c r="B106" s="25">
        <f>D46</f>
        <v>10</v>
      </c>
      <c r="C106" s="26">
        <f>D47</f>
        <v>1</v>
      </c>
      <c r="D106" s="25">
        <f>D48</f>
        <v>7</v>
      </c>
    </row>
    <row r="107" spans="1:4" ht="15.75" customHeight="1">
      <c r="A107" s="25">
        <f>D45</f>
        <v>19</v>
      </c>
      <c r="B107" s="25">
        <f>D46</f>
        <v>10</v>
      </c>
      <c r="C107" s="26">
        <f>D47</f>
        <v>1</v>
      </c>
      <c r="D107" s="25">
        <f>D48</f>
        <v>7</v>
      </c>
    </row>
    <row r="108" spans="1:4" ht="15.75" customHeight="1">
      <c r="A108" s="25">
        <f>D45</f>
        <v>19</v>
      </c>
      <c r="B108" s="25">
        <f>D46</f>
        <v>10</v>
      </c>
      <c r="C108" s="26">
        <f>D47</f>
        <v>1</v>
      </c>
      <c r="D108" s="25">
        <f>D48</f>
        <v>7</v>
      </c>
    </row>
    <row r="109" spans="1:4" ht="15.75" customHeight="1">
      <c r="A109" s="25">
        <f>D45</f>
        <v>19</v>
      </c>
      <c r="B109" s="25">
        <f>D46</f>
        <v>10</v>
      </c>
      <c r="C109" s="26">
        <f>D47</f>
        <v>1</v>
      </c>
      <c r="D109" s="25">
        <f>D48</f>
        <v>7</v>
      </c>
    </row>
    <row r="110" spans="1:4" ht="15.75" customHeight="1">
      <c r="A110" s="25">
        <f>D45</f>
        <v>19</v>
      </c>
      <c r="B110" s="25">
        <f>D46</f>
        <v>10</v>
      </c>
      <c r="C110" s="26">
        <f>D47</f>
        <v>1</v>
      </c>
      <c r="D110" s="25">
        <f>D48</f>
        <v>7</v>
      </c>
    </row>
    <row r="111" spans="1:4" ht="15.75" customHeight="1">
      <c r="A111" s="25">
        <f>D45</f>
        <v>19</v>
      </c>
      <c r="B111" s="25">
        <f>D46</f>
        <v>10</v>
      </c>
      <c r="C111" s="26">
        <f>D47</f>
        <v>1</v>
      </c>
      <c r="D111" s="25">
        <f>D48</f>
        <v>7</v>
      </c>
    </row>
    <row r="112" spans="1:4" ht="15.75" customHeight="1">
      <c r="A112" s="25">
        <f>D45</f>
        <v>19</v>
      </c>
      <c r="B112" s="25">
        <f>D46</f>
        <v>10</v>
      </c>
      <c r="C112" s="26">
        <f>D47</f>
        <v>1</v>
      </c>
      <c r="D112" s="25">
        <f>D48</f>
        <v>7</v>
      </c>
    </row>
    <row r="113" spans="1:4" ht="15.75" customHeight="1">
      <c r="A113" s="25">
        <f>D45</f>
        <v>19</v>
      </c>
      <c r="B113" s="25">
        <f>D46</f>
        <v>10</v>
      </c>
      <c r="C113" s="26">
        <f>D47</f>
        <v>1</v>
      </c>
      <c r="D113" s="25">
        <f>D48</f>
        <v>7</v>
      </c>
    </row>
    <row r="114" spans="1:4" ht="15.75" customHeight="1">
      <c r="A114" s="25">
        <f>D45</f>
        <v>19</v>
      </c>
      <c r="B114" s="25">
        <f>D46</f>
        <v>10</v>
      </c>
      <c r="C114" s="26">
        <f>D47</f>
        <v>1</v>
      </c>
      <c r="D114" s="25">
        <f>D48</f>
        <v>7</v>
      </c>
    </row>
    <row r="115" spans="1:4" ht="15.75" customHeight="1">
      <c r="A115" s="25">
        <f>D45</f>
        <v>19</v>
      </c>
      <c r="B115" s="25">
        <f>D46</f>
        <v>10</v>
      </c>
      <c r="C115" s="26">
        <f>D47</f>
        <v>1</v>
      </c>
      <c r="D115" s="25">
        <f>D48</f>
        <v>7</v>
      </c>
    </row>
    <row r="116" spans="1:4" ht="15.75" customHeight="1">
      <c r="A116" s="25">
        <f>D45</f>
        <v>19</v>
      </c>
      <c r="B116" s="25">
        <f>D46</f>
        <v>10</v>
      </c>
      <c r="C116" s="26">
        <f>D47</f>
        <v>1</v>
      </c>
      <c r="D116" s="25">
        <f>D48</f>
        <v>7</v>
      </c>
    </row>
    <row r="117" spans="1:4" ht="15.75" customHeight="1">
      <c r="A117" s="25">
        <f>D45</f>
        <v>19</v>
      </c>
      <c r="B117" s="25">
        <f>D46</f>
        <v>10</v>
      </c>
      <c r="C117" s="26">
        <f>D47</f>
        <v>1</v>
      </c>
      <c r="D117" s="25">
        <f>D48</f>
        <v>7</v>
      </c>
    </row>
    <row r="118" spans="1:4" ht="15.75" customHeight="1">
      <c r="A118" s="25">
        <f>D45</f>
        <v>19</v>
      </c>
      <c r="B118" s="25">
        <f>D46</f>
        <v>10</v>
      </c>
      <c r="C118" s="26">
        <f>D47</f>
        <v>1</v>
      </c>
      <c r="D118" s="25">
        <f>D48</f>
        <v>7</v>
      </c>
    </row>
    <row r="119" spans="1:4" ht="15.75" customHeight="1">
      <c r="A119" s="25">
        <f>D45</f>
        <v>19</v>
      </c>
      <c r="B119" s="25">
        <f>D46</f>
        <v>10</v>
      </c>
      <c r="C119" s="26">
        <f>D47</f>
        <v>1</v>
      </c>
      <c r="D119" s="25">
        <f>D48</f>
        <v>7</v>
      </c>
    </row>
    <row r="120" spans="1:4" ht="15.75" customHeight="1">
      <c r="A120" s="25">
        <f>D45</f>
        <v>19</v>
      </c>
      <c r="B120" s="25">
        <f>D46</f>
        <v>10</v>
      </c>
      <c r="C120" s="26">
        <f>D47</f>
        <v>1</v>
      </c>
      <c r="D120" s="25">
        <f>D48</f>
        <v>7</v>
      </c>
    </row>
    <row r="121" spans="1:4" ht="15.75" customHeight="1"/>
    <row r="122" spans="1:4" ht="15.75" customHeight="1"/>
    <row r="123" spans="1:4" ht="15.75" customHeight="1"/>
    <row r="124" spans="1:4" ht="15.75" customHeight="1"/>
    <row r="125" spans="1:4" ht="15.75" customHeight="1"/>
    <row r="126" spans="1:4" ht="15.75" customHeight="1"/>
    <row r="127" spans="1:4" ht="15.75" customHeight="1"/>
    <row r="128" spans="1:4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7:B10"/>
    <mergeCell ref="C7:C10"/>
    <mergeCell ref="A1:O1"/>
    <mergeCell ref="A2:O2"/>
    <mergeCell ref="A3:O3"/>
    <mergeCell ref="A4:O4"/>
    <mergeCell ref="A5:O5"/>
    <mergeCell ref="A6:O6"/>
    <mergeCell ref="D7:R7"/>
    <mergeCell ref="A7:A10"/>
    <mergeCell ref="D8:D10"/>
    <mergeCell ref="E8:E10"/>
    <mergeCell ref="F8:F10"/>
    <mergeCell ref="G8:G10"/>
    <mergeCell ref="H8:H10"/>
    <mergeCell ref="I8:I10"/>
    <mergeCell ref="Q8:Q10"/>
    <mergeCell ref="R8:R10"/>
    <mergeCell ref="J8:J10"/>
    <mergeCell ref="K8:K10"/>
    <mergeCell ref="L8:L10"/>
    <mergeCell ref="M8:M10"/>
    <mergeCell ref="N8:N10"/>
    <mergeCell ref="O8:O10"/>
    <mergeCell ref="P8:P10"/>
  </mergeCells>
  <printOptions horizontalCentered="1" verticalCentered="1"/>
  <pageMargins left="0.70866141732283472" right="0.70866141732283472" top="0" bottom="0" header="0" footer="0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S1000"/>
  <sheetViews>
    <sheetView topLeftCell="A19" workbookViewId="0">
      <selection activeCell="M38" sqref="M38"/>
    </sheetView>
  </sheetViews>
  <sheetFormatPr defaultColWidth="14.42578125" defaultRowHeight="15" customHeight="1"/>
  <cols>
    <col min="1" max="1" width="4.28515625" customWidth="1"/>
    <col min="2" max="2" width="6.5703125" customWidth="1"/>
    <col min="3" max="3" width="40.42578125" customWidth="1"/>
    <col min="4" max="14" width="6.7109375" customWidth="1"/>
    <col min="15" max="15" width="9.7109375" customWidth="1"/>
    <col min="16" max="17" width="6.7109375" customWidth="1"/>
    <col min="18" max="18" width="8.7109375" customWidth="1"/>
    <col min="19" max="19" width="11.28515625" customWidth="1"/>
    <col min="20" max="26" width="8.7109375" customWidth="1"/>
  </cols>
  <sheetData>
    <row r="1" spans="1:19" ht="20.25">
      <c r="A1" s="48" t="s">
        <v>72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1"/>
      <c r="Q1" s="1"/>
      <c r="R1" s="1"/>
      <c r="S1" s="1"/>
    </row>
    <row r="2" spans="1:19" ht="20.25">
      <c r="A2" s="48" t="s">
        <v>73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1"/>
      <c r="Q2" s="1"/>
      <c r="R2" s="1"/>
      <c r="S2" s="1"/>
    </row>
    <row r="3" spans="1:19" ht="20.25">
      <c r="A3" s="50" t="s">
        <v>68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1"/>
      <c r="Q3" s="1"/>
      <c r="R3" s="1"/>
      <c r="S3" s="1"/>
    </row>
    <row r="4" spans="1:19" ht="20.25">
      <c r="A4" s="48" t="s">
        <v>1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1"/>
      <c r="Q4" s="1"/>
      <c r="R4" s="1"/>
      <c r="S4" s="1"/>
    </row>
    <row r="5" spans="1:19" ht="20.25">
      <c r="A5" s="48" t="s">
        <v>2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1"/>
      <c r="Q5" s="1"/>
      <c r="R5" s="1"/>
      <c r="S5" s="1"/>
    </row>
    <row r="6" spans="1:19" ht="20.25">
      <c r="A6" s="60" t="s">
        <v>3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1"/>
      <c r="Q6" s="1"/>
      <c r="R6" s="1"/>
      <c r="S6" s="1"/>
    </row>
    <row r="7" spans="1:19" ht="15.75">
      <c r="A7" s="55" t="s">
        <v>4</v>
      </c>
      <c r="B7" s="47" t="s">
        <v>71</v>
      </c>
      <c r="C7" s="47" t="s">
        <v>6</v>
      </c>
      <c r="D7" s="62" t="s">
        <v>7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4"/>
    </row>
    <row r="8" spans="1:19" ht="14.25" customHeight="1">
      <c r="A8" s="44"/>
      <c r="B8" s="44"/>
      <c r="C8" s="44"/>
      <c r="D8" s="43" t="s">
        <v>8</v>
      </c>
      <c r="E8" s="43" t="s">
        <v>9</v>
      </c>
      <c r="F8" s="43" t="s">
        <v>10</v>
      </c>
      <c r="G8" s="43" t="s">
        <v>11</v>
      </c>
      <c r="H8" s="43" t="s">
        <v>12</v>
      </c>
      <c r="I8" s="43" t="s">
        <v>13</v>
      </c>
      <c r="J8" s="43" t="s">
        <v>14</v>
      </c>
      <c r="K8" s="43" t="s">
        <v>15</v>
      </c>
      <c r="L8" s="43" t="s">
        <v>16</v>
      </c>
      <c r="M8" s="43" t="s">
        <v>17</v>
      </c>
      <c r="N8" s="43" t="s">
        <v>18</v>
      </c>
      <c r="O8" s="43" t="s">
        <v>19</v>
      </c>
      <c r="P8" s="43" t="s">
        <v>20</v>
      </c>
      <c r="Q8" s="43" t="s">
        <v>21</v>
      </c>
      <c r="R8" s="56" t="s">
        <v>69</v>
      </c>
      <c r="S8" s="46" t="s">
        <v>70</v>
      </c>
    </row>
    <row r="9" spans="1:19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57"/>
      <c r="S9" s="44"/>
    </row>
    <row r="10" spans="1:19" ht="89.25" customHeight="1">
      <c r="A10" s="45"/>
      <c r="B10" s="45"/>
      <c r="C10" s="59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58"/>
      <c r="S10" s="45"/>
    </row>
    <row r="11" spans="1:19" s="37" customFormat="1" ht="15.75">
      <c r="A11" s="31" t="s">
        <v>23</v>
      </c>
      <c r="B11" s="31">
        <v>1</v>
      </c>
      <c r="C11" s="32" t="s">
        <v>40</v>
      </c>
      <c r="D11" s="31">
        <v>10</v>
      </c>
      <c r="E11" s="31">
        <v>10</v>
      </c>
      <c r="F11" s="31">
        <v>10</v>
      </c>
      <c r="G11" s="31">
        <v>10</v>
      </c>
      <c r="H11" s="31">
        <v>9</v>
      </c>
      <c r="I11" s="31">
        <v>9</v>
      </c>
      <c r="J11" s="31">
        <v>10</v>
      </c>
      <c r="K11" s="31">
        <v>10</v>
      </c>
      <c r="L11" s="31">
        <v>10</v>
      </c>
      <c r="M11" s="31">
        <v>10</v>
      </c>
      <c r="N11" s="31">
        <v>9</v>
      </c>
      <c r="O11" s="31">
        <v>10</v>
      </c>
      <c r="P11" s="31">
        <v>8</v>
      </c>
      <c r="Q11" s="31">
        <v>9</v>
      </c>
      <c r="R11" s="33">
        <f>AVERAGE(D11:Q11)</f>
        <v>9.5714285714285712</v>
      </c>
      <c r="S11" s="33">
        <f>R11*90/12</f>
        <v>71.785714285714292</v>
      </c>
    </row>
    <row r="12" spans="1:19" s="37" customFormat="1" ht="15.75">
      <c r="A12" s="31" t="s">
        <v>23</v>
      </c>
      <c r="B12" s="31">
        <v>2</v>
      </c>
      <c r="C12" s="32" t="s">
        <v>33</v>
      </c>
      <c r="D12" s="31">
        <v>10</v>
      </c>
      <c r="E12" s="31">
        <v>10</v>
      </c>
      <c r="F12" s="31">
        <v>9</v>
      </c>
      <c r="G12" s="31">
        <v>7</v>
      </c>
      <c r="H12" s="31">
        <v>10</v>
      </c>
      <c r="I12" s="31">
        <v>9</v>
      </c>
      <c r="J12" s="31">
        <v>9</v>
      </c>
      <c r="K12" s="31">
        <v>10</v>
      </c>
      <c r="L12" s="31">
        <v>9</v>
      </c>
      <c r="M12" s="31">
        <v>10</v>
      </c>
      <c r="N12" s="31">
        <v>9</v>
      </c>
      <c r="O12" s="31">
        <v>10</v>
      </c>
      <c r="P12" s="31">
        <v>9</v>
      </c>
      <c r="Q12" s="31">
        <v>10</v>
      </c>
      <c r="R12" s="33">
        <f t="shared" ref="R12:R27" si="0">AVERAGE(D12:Q12)</f>
        <v>9.3571428571428577</v>
      </c>
      <c r="S12" s="33">
        <f t="shared" ref="S12:S27" si="1">R12*90/12</f>
        <v>70.178571428571431</v>
      </c>
    </row>
    <row r="13" spans="1:19" s="37" customFormat="1" ht="15.75">
      <c r="A13" s="31" t="s">
        <v>23</v>
      </c>
      <c r="B13" s="31">
        <v>3</v>
      </c>
      <c r="C13" s="32" t="s">
        <v>26</v>
      </c>
      <c r="D13" s="31">
        <v>10</v>
      </c>
      <c r="E13" s="31">
        <v>10</v>
      </c>
      <c r="F13" s="31">
        <v>9</v>
      </c>
      <c r="G13" s="31">
        <v>9</v>
      </c>
      <c r="H13" s="31">
        <v>8</v>
      </c>
      <c r="I13" s="31">
        <v>10</v>
      </c>
      <c r="J13" s="31">
        <v>7</v>
      </c>
      <c r="K13" s="31">
        <v>10</v>
      </c>
      <c r="L13" s="31">
        <v>8</v>
      </c>
      <c r="M13" s="31">
        <v>10</v>
      </c>
      <c r="N13" s="31">
        <v>7</v>
      </c>
      <c r="O13" s="31">
        <v>10</v>
      </c>
      <c r="P13" s="31">
        <v>8</v>
      </c>
      <c r="Q13" s="31">
        <v>9</v>
      </c>
      <c r="R13" s="33">
        <f t="shared" si="0"/>
        <v>8.9285714285714288</v>
      </c>
      <c r="S13" s="33">
        <f t="shared" si="1"/>
        <v>66.964285714285708</v>
      </c>
    </row>
    <row r="14" spans="1:19" s="37" customFormat="1" ht="15.75">
      <c r="A14" s="31" t="s">
        <v>23</v>
      </c>
      <c r="B14" s="31">
        <v>4</v>
      </c>
      <c r="C14" s="32" t="s">
        <v>53</v>
      </c>
      <c r="D14" s="31">
        <v>8</v>
      </c>
      <c r="E14" s="31">
        <v>10</v>
      </c>
      <c r="F14" s="31">
        <v>8</v>
      </c>
      <c r="G14" s="31">
        <v>7</v>
      </c>
      <c r="H14" s="31">
        <v>9</v>
      </c>
      <c r="I14" s="31">
        <v>10</v>
      </c>
      <c r="J14" s="31">
        <v>9</v>
      </c>
      <c r="K14" s="31">
        <v>10</v>
      </c>
      <c r="L14" s="31">
        <v>8</v>
      </c>
      <c r="M14" s="31">
        <v>9</v>
      </c>
      <c r="N14" s="31">
        <v>8</v>
      </c>
      <c r="O14" s="31">
        <v>10</v>
      </c>
      <c r="P14" s="31">
        <v>7</v>
      </c>
      <c r="Q14" s="31">
        <v>9</v>
      </c>
      <c r="R14" s="33">
        <f t="shared" si="0"/>
        <v>8.7142857142857135</v>
      </c>
      <c r="S14" s="33">
        <f t="shared" si="1"/>
        <v>65.357142857142847</v>
      </c>
    </row>
    <row r="15" spans="1:19" s="37" customFormat="1" ht="15.75">
      <c r="A15" s="31" t="s">
        <v>23</v>
      </c>
      <c r="B15" s="31">
        <v>5</v>
      </c>
      <c r="C15" s="32" t="s">
        <v>35</v>
      </c>
      <c r="D15" s="31">
        <v>8</v>
      </c>
      <c r="E15" s="31">
        <v>10</v>
      </c>
      <c r="F15" s="31">
        <v>8</v>
      </c>
      <c r="G15" s="31">
        <v>8</v>
      </c>
      <c r="H15" s="31">
        <v>9</v>
      </c>
      <c r="I15" s="31">
        <v>9</v>
      </c>
      <c r="J15" s="31">
        <v>9</v>
      </c>
      <c r="K15" s="31">
        <v>9</v>
      </c>
      <c r="L15" s="31">
        <v>8</v>
      </c>
      <c r="M15" s="31">
        <v>10</v>
      </c>
      <c r="N15" s="31">
        <v>7</v>
      </c>
      <c r="O15" s="31">
        <v>9</v>
      </c>
      <c r="P15" s="31">
        <v>7</v>
      </c>
      <c r="Q15" s="31">
        <v>9</v>
      </c>
      <c r="R15" s="33">
        <f t="shared" si="0"/>
        <v>8.5714285714285712</v>
      </c>
      <c r="S15" s="33">
        <f t="shared" si="1"/>
        <v>64.285714285714292</v>
      </c>
    </row>
    <row r="16" spans="1:19" s="37" customFormat="1" ht="15.75">
      <c r="A16" s="31" t="s">
        <v>23</v>
      </c>
      <c r="B16" s="31">
        <v>6</v>
      </c>
      <c r="C16" s="32" t="s">
        <v>50</v>
      </c>
      <c r="D16" s="31">
        <v>10</v>
      </c>
      <c r="E16" s="31">
        <v>10</v>
      </c>
      <c r="F16" s="31">
        <v>8</v>
      </c>
      <c r="G16" s="31">
        <v>7</v>
      </c>
      <c r="H16" s="31">
        <v>9</v>
      </c>
      <c r="I16" s="31">
        <v>8</v>
      </c>
      <c r="J16" s="31">
        <v>10</v>
      </c>
      <c r="K16" s="31">
        <v>8</v>
      </c>
      <c r="L16" s="31">
        <v>8</v>
      </c>
      <c r="M16" s="31">
        <v>9</v>
      </c>
      <c r="N16" s="31">
        <v>8</v>
      </c>
      <c r="O16" s="31">
        <v>7</v>
      </c>
      <c r="P16" s="31">
        <v>7</v>
      </c>
      <c r="Q16" s="31">
        <v>9</v>
      </c>
      <c r="R16" s="33">
        <f t="shared" si="0"/>
        <v>8.4285714285714288</v>
      </c>
      <c r="S16" s="33">
        <f t="shared" si="1"/>
        <v>63.214285714285715</v>
      </c>
    </row>
    <row r="17" spans="1:19" s="37" customFormat="1" ht="15.75">
      <c r="A17" s="31" t="s">
        <v>23</v>
      </c>
      <c r="B17" s="31">
        <v>7</v>
      </c>
      <c r="C17" s="32" t="s">
        <v>43</v>
      </c>
      <c r="D17" s="31">
        <v>9</v>
      </c>
      <c r="E17" s="31">
        <v>10</v>
      </c>
      <c r="F17" s="31">
        <v>7</v>
      </c>
      <c r="G17" s="31">
        <v>9</v>
      </c>
      <c r="H17" s="31">
        <v>8</v>
      </c>
      <c r="I17" s="31">
        <v>7</v>
      </c>
      <c r="J17" s="31">
        <v>9</v>
      </c>
      <c r="K17" s="31">
        <v>8</v>
      </c>
      <c r="L17" s="31">
        <v>9</v>
      </c>
      <c r="M17" s="31">
        <v>8</v>
      </c>
      <c r="N17" s="31">
        <v>8</v>
      </c>
      <c r="O17" s="31">
        <v>9</v>
      </c>
      <c r="P17" s="31">
        <v>7</v>
      </c>
      <c r="Q17" s="31">
        <v>9</v>
      </c>
      <c r="R17" s="33">
        <f t="shared" si="0"/>
        <v>8.3571428571428577</v>
      </c>
      <c r="S17" s="33">
        <f t="shared" si="1"/>
        <v>62.678571428571438</v>
      </c>
    </row>
    <row r="18" spans="1:19" s="42" customFormat="1" ht="15.75">
      <c r="A18" s="40" t="s">
        <v>23</v>
      </c>
      <c r="B18" s="40">
        <v>8</v>
      </c>
      <c r="C18" s="41" t="s">
        <v>38</v>
      </c>
      <c r="D18" s="40">
        <v>10</v>
      </c>
      <c r="E18" s="40">
        <v>9</v>
      </c>
      <c r="F18" s="40">
        <v>5</v>
      </c>
      <c r="G18" s="40">
        <v>7</v>
      </c>
      <c r="H18" s="40">
        <v>8</v>
      </c>
      <c r="I18" s="40">
        <v>9</v>
      </c>
      <c r="J18" s="40">
        <v>9</v>
      </c>
      <c r="K18" s="40">
        <v>8</v>
      </c>
      <c r="L18" s="40">
        <v>8</v>
      </c>
      <c r="M18" s="40">
        <v>9</v>
      </c>
      <c r="N18" s="40">
        <v>8</v>
      </c>
      <c r="O18" s="40">
        <v>8</v>
      </c>
      <c r="P18" s="40">
        <v>8</v>
      </c>
      <c r="Q18" s="40">
        <v>9</v>
      </c>
      <c r="R18" s="39">
        <f t="shared" si="0"/>
        <v>8.2142857142857135</v>
      </c>
      <c r="S18" s="39">
        <f t="shared" si="1"/>
        <v>61.607142857142854</v>
      </c>
    </row>
    <row r="19" spans="1:19" s="37" customFormat="1" ht="15.75">
      <c r="A19" s="34" t="s">
        <v>23</v>
      </c>
      <c r="B19" s="34">
        <v>9</v>
      </c>
      <c r="C19" s="35" t="s">
        <v>32</v>
      </c>
      <c r="D19" s="34">
        <v>8</v>
      </c>
      <c r="E19" s="34">
        <v>8</v>
      </c>
      <c r="F19" s="34">
        <v>6</v>
      </c>
      <c r="G19" s="34">
        <v>8</v>
      </c>
      <c r="H19" s="34">
        <v>7</v>
      </c>
      <c r="I19" s="34">
        <v>8</v>
      </c>
      <c r="J19" s="34">
        <v>7</v>
      </c>
      <c r="K19" s="34">
        <v>10</v>
      </c>
      <c r="L19" s="34">
        <v>8</v>
      </c>
      <c r="M19" s="34">
        <v>9</v>
      </c>
      <c r="N19" s="34">
        <v>10</v>
      </c>
      <c r="O19" s="34">
        <v>10</v>
      </c>
      <c r="P19" s="34">
        <v>6</v>
      </c>
      <c r="Q19" s="34">
        <v>8</v>
      </c>
      <c r="R19" s="39">
        <f t="shared" si="0"/>
        <v>8.0714285714285712</v>
      </c>
      <c r="S19" s="36">
        <f t="shared" si="1"/>
        <v>60.535714285714285</v>
      </c>
    </row>
    <row r="20" spans="1:19" s="37" customFormat="1" ht="15.75">
      <c r="A20" s="34" t="s">
        <v>23</v>
      </c>
      <c r="B20" s="34">
        <v>10</v>
      </c>
      <c r="C20" s="35" t="s">
        <v>29</v>
      </c>
      <c r="D20" s="34">
        <v>9</v>
      </c>
      <c r="E20" s="34">
        <v>9</v>
      </c>
      <c r="F20" s="34">
        <v>8</v>
      </c>
      <c r="G20" s="34">
        <v>8</v>
      </c>
      <c r="H20" s="34">
        <v>7</v>
      </c>
      <c r="I20" s="34">
        <v>9</v>
      </c>
      <c r="J20" s="34">
        <v>7</v>
      </c>
      <c r="K20" s="34">
        <v>9</v>
      </c>
      <c r="L20" s="34">
        <v>8</v>
      </c>
      <c r="M20" s="34">
        <v>8</v>
      </c>
      <c r="N20" s="34">
        <v>8</v>
      </c>
      <c r="O20" s="34">
        <v>7</v>
      </c>
      <c r="P20" s="34">
        <v>7</v>
      </c>
      <c r="Q20" s="34">
        <v>8</v>
      </c>
      <c r="R20" s="39">
        <f t="shared" ref="R20:R21" si="2">AVERAGE(D20:Q20)</f>
        <v>8</v>
      </c>
      <c r="S20" s="36">
        <f t="shared" ref="S20:S21" si="3">R20*90/12</f>
        <v>60</v>
      </c>
    </row>
    <row r="21" spans="1:19" s="37" customFormat="1" ht="15.75">
      <c r="A21" s="34" t="s">
        <v>23</v>
      </c>
      <c r="B21" s="34">
        <v>14</v>
      </c>
      <c r="C21" s="35" t="s">
        <v>44</v>
      </c>
      <c r="D21" s="34">
        <v>8</v>
      </c>
      <c r="E21" s="34">
        <v>5</v>
      </c>
      <c r="F21" s="34">
        <v>5</v>
      </c>
      <c r="G21" s="34">
        <v>8</v>
      </c>
      <c r="H21" s="34">
        <v>7</v>
      </c>
      <c r="I21" s="34">
        <v>10</v>
      </c>
      <c r="J21" s="34">
        <v>9</v>
      </c>
      <c r="K21" s="34">
        <v>8</v>
      </c>
      <c r="L21" s="34">
        <v>7</v>
      </c>
      <c r="M21" s="34">
        <v>11</v>
      </c>
      <c r="N21" s="34">
        <v>9</v>
      </c>
      <c r="O21" s="34">
        <v>7</v>
      </c>
      <c r="P21" s="34">
        <v>5</v>
      </c>
      <c r="Q21" s="34">
        <v>8</v>
      </c>
      <c r="R21" s="39">
        <f t="shared" si="2"/>
        <v>7.6428571428571432</v>
      </c>
      <c r="S21" s="36">
        <f t="shared" si="3"/>
        <v>57.321428571428577</v>
      </c>
    </row>
    <row r="22" spans="1:19" s="37" customFormat="1" ht="15.75">
      <c r="A22" s="34" t="s">
        <v>23</v>
      </c>
      <c r="B22" s="34">
        <v>11</v>
      </c>
      <c r="C22" s="35" t="s">
        <v>74</v>
      </c>
      <c r="D22" s="34">
        <v>6</v>
      </c>
      <c r="E22" s="34">
        <v>8</v>
      </c>
      <c r="F22" s="34">
        <v>7</v>
      </c>
      <c r="G22" s="34">
        <v>6</v>
      </c>
      <c r="H22" s="34">
        <v>8</v>
      </c>
      <c r="I22" s="34">
        <v>10</v>
      </c>
      <c r="J22" s="34">
        <v>6</v>
      </c>
      <c r="K22" s="34">
        <v>6</v>
      </c>
      <c r="L22" s="34">
        <v>9</v>
      </c>
      <c r="M22" s="34">
        <v>9</v>
      </c>
      <c r="N22" s="34">
        <v>8</v>
      </c>
      <c r="O22" s="34">
        <v>6</v>
      </c>
      <c r="P22" s="34">
        <v>8</v>
      </c>
      <c r="Q22" s="34">
        <v>9</v>
      </c>
      <c r="R22" s="39">
        <f t="shared" ref="R22" si="4">AVERAGE(D22:Q22)</f>
        <v>7.5714285714285712</v>
      </c>
      <c r="S22" s="36">
        <f t="shared" ref="S22" si="5">R22*90/12</f>
        <v>56.785714285714285</v>
      </c>
    </row>
    <row r="23" spans="1:19" s="37" customFormat="1" ht="15.75">
      <c r="A23" s="34" t="s">
        <v>23</v>
      </c>
      <c r="B23" s="34">
        <v>12</v>
      </c>
      <c r="C23" s="35" t="s">
        <v>27</v>
      </c>
      <c r="D23" s="34">
        <v>8</v>
      </c>
      <c r="E23" s="34">
        <v>10</v>
      </c>
      <c r="F23" s="34">
        <v>6</v>
      </c>
      <c r="G23" s="34">
        <v>7</v>
      </c>
      <c r="H23" s="34">
        <v>7</v>
      </c>
      <c r="I23" s="34">
        <v>6</v>
      </c>
      <c r="J23" s="34">
        <v>9</v>
      </c>
      <c r="K23" s="34">
        <v>7</v>
      </c>
      <c r="L23" s="34">
        <v>6</v>
      </c>
      <c r="M23" s="34">
        <v>9</v>
      </c>
      <c r="N23" s="34">
        <v>8</v>
      </c>
      <c r="O23" s="34">
        <v>9</v>
      </c>
      <c r="P23" s="34">
        <v>7</v>
      </c>
      <c r="Q23" s="34">
        <v>7</v>
      </c>
      <c r="R23" s="39">
        <f t="shared" si="0"/>
        <v>7.5714285714285712</v>
      </c>
      <c r="S23" s="36">
        <f t="shared" si="1"/>
        <v>56.785714285714285</v>
      </c>
    </row>
    <row r="24" spans="1:19" s="37" customFormat="1" ht="15.75">
      <c r="A24" s="34" t="s">
        <v>23</v>
      </c>
      <c r="B24" s="34">
        <v>13</v>
      </c>
      <c r="C24" s="35" t="s">
        <v>28</v>
      </c>
      <c r="D24" s="34">
        <v>9</v>
      </c>
      <c r="E24" s="34">
        <v>10</v>
      </c>
      <c r="F24" s="34">
        <v>7</v>
      </c>
      <c r="G24" s="34">
        <v>7</v>
      </c>
      <c r="H24" s="34">
        <v>8</v>
      </c>
      <c r="I24" s="34">
        <v>9</v>
      </c>
      <c r="J24" s="34">
        <v>8</v>
      </c>
      <c r="K24" s="34">
        <v>5</v>
      </c>
      <c r="L24" s="34">
        <v>6</v>
      </c>
      <c r="M24" s="34">
        <v>9</v>
      </c>
      <c r="N24" s="34">
        <v>4</v>
      </c>
      <c r="O24" s="34">
        <v>8</v>
      </c>
      <c r="P24" s="34">
        <v>7</v>
      </c>
      <c r="Q24" s="34">
        <v>8</v>
      </c>
      <c r="R24" s="39">
        <f t="shared" si="0"/>
        <v>7.5</v>
      </c>
      <c r="S24" s="36">
        <f t="shared" si="1"/>
        <v>56.25</v>
      </c>
    </row>
    <row r="25" spans="1:19" s="37" customFormat="1" ht="15.75">
      <c r="A25" s="34" t="s">
        <v>23</v>
      </c>
      <c r="B25" s="34">
        <v>15</v>
      </c>
      <c r="C25" s="35" t="s">
        <v>51</v>
      </c>
      <c r="D25" s="34">
        <v>7</v>
      </c>
      <c r="E25" s="34">
        <v>7</v>
      </c>
      <c r="F25" s="34">
        <v>5</v>
      </c>
      <c r="G25" s="34">
        <v>8</v>
      </c>
      <c r="H25" s="34">
        <v>8</v>
      </c>
      <c r="I25" s="34">
        <v>9</v>
      </c>
      <c r="J25" s="34">
        <v>7</v>
      </c>
      <c r="K25" s="34">
        <v>6</v>
      </c>
      <c r="L25" s="34">
        <v>5</v>
      </c>
      <c r="M25" s="34">
        <v>9</v>
      </c>
      <c r="N25" s="34">
        <v>8</v>
      </c>
      <c r="O25" s="34">
        <v>7</v>
      </c>
      <c r="P25" s="34">
        <v>7</v>
      </c>
      <c r="Q25" s="34">
        <v>8</v>
      </c>
      <c r="R25" s="39">
        <f t="shared" si="0"/>
        <v>7.2142857142857144</v>
      </c>
      <c r="S25" s="36">
        <f t="shared" si="1"/>
        <v>54.107142857142861</v>
      </c>
    </row>
    <row r="26" spans="1:19" s="37" customFormat="1" ht="15.75">
      <c r="A26" s="34" t="s">
        <v>23</v>
      </c>
      <c r="B26" s="34">
        <v>16</v>
      </c>
      <c r="C26" s="35" t="s">
        <v>39</v>
      </c>
      <c r="D26" s="34">
        <v>9</v>
      </c>
      <c r="E26" s="34">
        <v>9</v>
      </c>
      <c r="F26" s="34">
        <v>4</v>
      </c>
      <c r="G26" s="34">
        <v>6</v>
      </c>
      <c r="H26" s="34">
        <v>8</v>
      </c>
      <c r="I26" s="34">
        <v>8</v>
      </c>
      <c r="J26" s="34">
        <v>7</v>
      </c>
      <c r="K26" s="34">
        <v>6</v>
      </c>
      <c r="L26" s="34">
        <v>7</v>
      </c>
      <c r="M26" s="34">
        <v>9</v>
      </c>
      <c r="N26" s="34">
        <v>6</v>
      </c>
      <c r="O26" s="34">
        <v>6</v>
      </c>
      <c r="P26" s="34">
        <v>7</v>
      </c>
      <c r="Q26" s="34">
        <v>8</v>
      </c>
      <c r="R26" s="39">
        <f t="shared" si="0"/>
        <v>7.1428571428571432</v>
      </c>
      <c r="S26" s="36">
        <f t="shared" si="1"/>
        <v>53.571428571428577</v>
      </c>
    </row>
    <row r="27" spans="1:19" s="37" customFormat="1" ht="15.75">
      <c r="A27" s="34" t="s">
        <v>23</v>
      </c>
      <c r="B27" s="34">
        <v>17</v>
      </c>
      <c r="C27" s="35" t="s">
        <v>49</v>
      </c>
      <c r="D27" s="34">
        <v>8</v>
      </c>
      <c r="E27" s="34">
        <v>9</v>
      </c>
      <c r="F27" s="34">
        <v>4</v>
      </c>
      <c r="G27" s="34">
        <v>5</v>
      </c>
      <c r="H27" s="34">
        <v>6</v>
      </c>
      <c r="I27" s="34">
        <v>7</v>
      </c>
      <c r="J27" s="34">
        <v>5</v>
      </c>
      <c r="K27" s="34">
        <v>4</v>
      </c>
      <c r="L27" s="34">
        <v>6</v>
      </c>
      <c r="M27" s="34">
        <v>8</v>
      </c>
      <c r="N27" s="34">
        <v>5</v>
      </c>
      <c r="O27" s="34">
        <v>8</v>
      </c>
      <c r="P27" s="34">
        <v>6</v>
      </c>
      <c r="Q27" s="34">
        <v>8</v>
      </c>
      <c r="R27" s="39">
        <f t="shared" si="0"/>
        <v>6.3571428571428568</v>
      </c>
      <c r="S27" s="36">
        <f t="shared" si="1"/>
        <v>47.678571428571423</v>
      </c>
    </row>
    <row r="28" spans="1:19" s="37" customFormat="1" ht="15.75">
      <c r="C28" s="35" t="s">
        <v>60</v>
      </c>
      <c r="D28" s="34">
        <f>'Зведена відомість'!A107</f>
        <v>19</v>
      </c>
    </row>
    <row r="29" spans="1:19" s="37" customFormat="1" ht="15.75">
      <c r="C29" s="35" t="s">
        <v>61</v>
      </c>
      <c r="D29" s="34">
        <f>'Зведена відомість'!B107</f>
        <v>10</v>
      </c>
      <c r="F29" s="65"/>
      <c r="G29" s="65" t="s">
        <v>64</v>
      </c>
      <c r="H29" s="65"/>
      <c r="I29" s="65"/>
      <c r="J29" s="65"/>
      <c r="K29" s="65"/>
      <c r="L29" s="65"/>
      <c r="M29" s="65" t="s">
        <v>65</v>
      </c>
      <c r="N29" s="65"/>
      <c r="O29" s="65"/>
    </row>
    <row r="30" spans="1:19" s="37" customFormat="1" ht="15.75">
      <c r="C30" s="35" t="s">
        <v>62</v>
      </c>
      <c r="D30" s="34">
        <f>'Зведена відомість'!C107</f>
        <v>1</v>
      </c>
      <c r="F30" s="65"/>
      <c r="G30" s="65"/>
      <c r="H30" s="65"/>
      <c r="I30" s="65"/>
      <c r="J30" s="65"/>
      <c r="K30" s="65"/>
      <c r="L30" s="65"/>
      <c r="M30" s="65"/>
      <c r="N30" s="65"/>
      <c r="O30" s="65"/>
    </row>
    <row r="31" spans="1:19" s="37" customFormat="1" ht="15.75">
      <c r="C31" s="35" t="s">
        <v>63</v>
      </c>
      <c r="D31" s="34">
        <f>'Зведена відомість'!D107</f>
        <v>7</v>
      </c>
      <c r="F31" s="65"/>
      <c r="G31" s="65" t="s">
        <v>66</v>
      </c>
      <c r="H31" s="65"/>
      <c r="I31" s="65"/>
      <c r="J31" s="65"/>
      <c r="K31" s="65"/>
      <c r="L31" s="65"/>
      <c r="M31" s="65" t="s">
        <v>67</v>
      </c>
      <c r="N31" s="65"/>
      <c r="O31" s="65"/>
    </row>
    <row r="32" spans="1:19" s="37" customFormat="1"/>
    <row r="33" s="37" customFormat="1"/>
    <row r="34" s="37" customFormat="1"/>
    <row r="35" s="37" customFormat="1"/>
    <row r="36" s="37" customFormat="1"/>
    <row r="37" s="37" customFormat="1"/>
    <row r="38" s="37" customFormat="1"/>
    <row r="39" s="37" customFormat="1"/>
    <row r="40" s="37" customFormat="1"/>
    <row r="41" s="37" customFormat="1"/>
    <row r="42" s="37" customFormat="1"/>
    <row r="43" s="37" customFormat="1"/>
    <row r="44" s="37" customFormat="1"/>
    <row r="45" s="37" customFormat="1"/>
    <row r="46" s="37" customFormat="1"/>
    <row r="47" s="37" customFormat="1"/>
    <row r="48" s="37" customFormat="1"/>
    <row r="49" s="37" customFormat="1"/>
    <row r="50" s="37" customFormat="1"/>
    <row r="51" s="38" customFormat="1"/>
    <row r="52" s="38" customFormat="1"/>
    <row r="53" s="38" customFormat="1"/>
    <row r="54" s="38" customFormat="1"/>
    <row r="55" s="38" customFormat="1"/>
    <row r="56" s="38" customFormat="1"/>
    <row r="57" s="38" customFormat="1"/>
    <row r="58" s="38" customFormat="1"/>
    <row r="59" s="38" customFormat="1"/>
    <row r="60" s="38" customFormat="1"/>
    <row r="61" s="38" customFormat="1"/>
    <row r="62" s="38" customFormat="1"/>
    <row r="63" s="38" customFormat="1"/>
    <row r="64" s="38" customFormat="1"/>
    <row r="65" spans="1:19" s="38" customFormat="1"/>
    <row r="66" spans="1:19" s="38" customFormat="1"/>
    <row r="67" spans="1:19" s="38" customFormat="1"/>
    <row r="68" spans="1:19" s="38" customFormat="1"/>
    <row r="69" spans="1:19" s="38" customFormat="1"/>
    <row r="70" spans="1:19" s="38" customFormat="1"/>
    <row r="71" spans="1:19" s="38" customFormat="1"/>
    <row r="72" spans="1:19" s="38" customFormat="1"/>
    <row r="73" spans="1:19" s="38" customFormat="1"/>
    <row r="74" spans="1:19" s="38" customFormat="1"/>
    <row r="75" spans="1:19" s="38" customFormat="1"/>
    <row r="76" spans="1:19" s="38" customFormat="1"/>
    <row r="77" spans="1:19" s="38" customFormat="1"/>
    <row r="78" spans="1:19" ht="15.75" customHeight="1">
      <c r="B78" s="38"/>
      <c r="S78" s="38"/>
    </row>
    <row r="79" spans="1:19" ht="15.75" customHeight="1">
      <c r="B79" s="38"/>
      <c r="S79" s="38"/>
    </row>
    <row r="80" spans="1:19" ht="15.75" customHeight="1">
      <c r="A80" s="30">
        <f>COUNTIF(A11:A40,"=Б")</f>
        <v>17</v>
      </c>
      <c r="B80" s="38"/>
      <c r="S80" s="38"/>
    </row>
    <row r="81" spans="1:19" ht="15.75" customHeight="1">
      <c r="A81" s="30">
        <f>COUNTIF(A11:A40,"=Б")</f>
        <v>17</v>
      </c>
      <c r="B81" s="38"/>
      <c r="S81" s="38"/>
    </row>
    <row r="82" spans="1:19" ht="15.75" customHeight="1">
      <c r="A82" s="30">
        <f>COUNTIF(A11:A40,"=Б")</f>
        <v>17</v>
      </c>
      <c r="B82" s="38"/>
      <c r="S82" s="38"/>
    </row>
    <row r="83" spans="1:19" ht="15.75" customHeight="1">
      <c r="A83" s="30">
        <f>COUNTIF(A11:A40,"=Б")</f>
        <v>17</v>
      </c>
      <c r="B83" s="38"/>
      <c r="S83" s="38"/>
    </row>
    <row r="84" spans="1:19" ht="15.75" customHeight="1">
      <c r="A84" s="30">
        <f>COUNTIF(A11:A40,"=Б")</f>
        <v>17</v>
      </c>
      <c r="B84" s="38"/>
      <c r="S84" s="38"/>
    </row>
    <row r="85" spans="1:19" ht="15.75" customHeight="1">
      <c r="A85" s="30">
        <f>COUNTIF(A11:A40,"=Б")</f>
        <v>17</v>
      </c>
      <c r="B85" s="38"/>
      <c r="S85" s="38"/>
    </row>
    <row r="86" spans="1:19" ht="15.75" customHeight="1">
      <c r="A86" s="30">
        <f>COUNTIF(A11:A40,"=Б")</f>
        <v>17</v>
      </c>
      <c r="B86" s="38"/>
      <c r="S86" s="38"/>
    </row>
    <row r="87" spans="1:19" ht="15.75" customHeight="1">
      <c r="A87" s="30">
        <f>COUNTIF(A11:A40,"=Б")</f>
        <v>17</v>
      </c>
      <c r="B87" s="38"/>
      <c r="S87" s="38"/>
    </row>
    <row r="88" spans="1:19" ht="15.75" customHeight="1">
      <c r="A88" s="30">
        <f>COUNTIF(A11:A40,"=Б")</f>
        <v>17</v>
      </c>
      <c r="B88" s="38"/>
      <c r="S88" s="38"/>
    </row>
    <row r="89" spans="1:19" ht="15.75" customHeight="1">
      <c r="A89" s="30">
        <f>COUNTIF(A11:A40,"=Б")</f>
        <v>17</v>
      </c>
      <c r="B89" s="38"/>
      <c r="S89" s="38"/>
    </row>
    <row r="90" spans="1:19" ht="15.75" customHeight="1">
      <c r="A90" s="30">
        <f>COUNTIF(A11:A40,"=Б")</f>
        <v>17</v>
      </c>
      <c r="B90" s="38"/>
      <c r="S90" s="38"/>
    </row>
    <row r="91" spans="1:19" ht="15.75" customHeight="1">
      <c r="A91" s="30">
        <f>COUNTIF(A11:A40,"=Б")</f>
        <v>17</v>
      </c>
      <c r="B91" s="38"/>
      <c r="S91" s="38"/>
    </row>
    <row r="92" spans="1:19" ht="15.75" customHeight="1">
      <c r="A92" s="30">
        <f>COUNTIF(A11:A40,"=Б")</f>
        <v>17</v>
      </c>
      <c r="B92" s="38"/>
      <c r="S92" s="38"/>
    </row>
    <row r="93" spans="1:19" ht="15.75" customHeight="1">
      <c r="A93" s="30">
        <f>COUNTIF(A11:A40,"=Б")</f>
        <v>17</v>
      </c>
      <c r="B93" s="38"/>
      <c r="S93" s="38"/>
    </row>
    <row r="94" spans="1:19" ht="15.75" customHeight="1">
      <c r="A94" s="30">
        <f>COUNTIF(A11:A40,"=Б")</f>
        <v>17</v>
      </c>
      <c r="B94" s="38"/>
      <c r="S94" s="38"/>
    </row>
    <row r="95" spans="1:19" ht="15.75" customHeight="1">
      <c r="A95" s="30">
        <f>COUNTIF(A11:A40,"=Б")</f>
        <v>17</v>
      </c>
      <c r="B95" s="38"/>
      <c r="S95" s="38"/>
    </row>
    <row r="96" spans="1:19" ht="15.75" customHeight="1">
      <c r="A96" s="30">
        <f>COUNTIF(A11:A40,"=Б")</f>
        <v>17</v>
      </c>
      <c r="B96" s="38"/>
      <c r="S96" s="38"/>
    </row>
    <row r="97" spans="1:19" ht="15.75" customHeight="1">
      <c r="A97" s="30">
        <f>COUNTIF(A11:A40,"=Б")</f>
        <v>17</v>
      </c>
      <c r="B97" s="38"/>
      <c r="S97" s="38"/>
    </row>
    <row r="98" spans="1:19" ht="15.75" customHeight="1">
      <c r="A98" s="30">
        <f>COUNTIF(A11:A40,"=Б")</f>
        <v>17</v>
      </c>
      <c r="B98" s="38"/>
      <c r="S98" s="38"/>
    </row>
    <row r="99" spans="1:19" ht="15.75" customHeight="1">
      <c r="A99" s="30">
        <f>COUNTIF(A11:A40,"=Б")</f>
        <v>17</v>
      </c>
      <c r="B99" s="38"/>
      <c r="S99" s="38"/>
    </row>
    <row r="100" spans="1:19" ht="15.75" customHeight="1">
      <c r="A100" s="30">
        <f>COUNTIF(A11:A40,"=Б")</f>
        <v>17</v>
      </c>
      <c r="B100" s="38"/>
      <c r="S100" s="38"/>
    </row>
    <row r="101" spans="1:19" ht="15.75" customHeight="1">
      <c r="A101" s="30">
        <f>COUNTIF(A11:A40,"=Б")</f>
        <v>17</v>
      </c>
      <c r="B101" s="38"/>
      <c r="S101" s="38"/>
    </row>
    <row r="102" spans="1:19" ht="15.75" customHeight="1">
      <c r="A102" s="30">
        <f>COUNTIF(A11:A40,"=Б")</f>
        <v>17</v>
      </c>
      <c r="B102" s="38"/>
      <c r="S102" s="38"/>
    </row>
    <row r="103" spans="1:19" ht="15.75" customHeight="1">
      <c r="A103" s="30">
        <f>COUNTIF(A11:A40,"=Б")</f>
        <v>17</v>
      </c>
      <c r="B103" s="38"/>
      <c r="S103" s="38"/>
    </row>
    <row r="104" spans="1:19" ht="15.75" customHeight="1">
      <c r="A104" s="30">
        <f>COUNTIF(A11:A40,"=Б")</f>
        <v>17</v>
      </c>
      <c r="B104" s="38"/>
      <c r="S104" s="38"/>
    </row>
    <row r="105" spans="1:19" ht="15.75" customHeight="1">
      <c r="A105" s="30">
        <f>COUNTIF(A11:A40,"=Б")</f>
        <v>17</v>
      </c>
      <c r="B105" s="38"/>
      <c r="S105" s="38"/>
    </row>
    <row r="106" spans="1:19" ht="15.75" customHeight="1">
      <c r="A106" s="30">
        <f>COUNTIF(A11:A40,"=Б")</f>
        <v>17</v>
      </c>
      <c r="B106" s="38"/>
      <c r="S106" s="38"/>
    </row>
    <row r="107" spans="1:19" ht="15.75" customHeight="1">
      <c r="A107" s="30">
        <f>COUNTIF(A11:A40,"=Б")</f>
        <v>17</v>
      </c>
      <c r="B107" s="38"/>
      <c r="S107" s="38"/>
    </row>
    <row r="108" spans="1:19" ht="15.75" customHeight="1">
      <c r="A108" s="30">
        <f>COUNTIF(A11:A40,"=Б")</f>
        <v>17</v>
      </c>
      <c r="B108" s="38"/>
      <c r="S108" s="38"/>
    </row>
    <row r="109" spans="1:19" ht="15.75" customHeight="1">
      <c r="A109" s="30">
        <f>COUNTIF(A11:A40,"=Б")</f>
        <v>17</v>
      </c>
      <c r="B109" s="38"/>
      <c r="S109" s="38"/>
    </row>
    <row r="110" spans="1:19" ht="15.75" customHeight="1">
      <c r="A110" s="30">
        <f>COUNTIF(A11:A40,"=Б")</f>
        <v>17</v>
      </c>
      <c r="B110" s="38"/>
      <c r="S110" s="38"/>
    </row>
    <row r="111" spans="1:19" ht="15.75" customHeight="1">
      <c r="A111" s="30">
        <f>COUNTIF(A11:A40,"=Б")</f>
        <v>17</v>
      </c>
      <c r="B111" s="38"/>
      <c r="S111" s="38"/>
    </row>
    <row r="112" spans="1:19" ht="15.75" customHeight="1">
      <c r="A112" s="30">
        <f>COUNTIF(A11:A40,"=Б")</f>
        <v>17</v>
      </c>
      <c r="B112" s="38"/>
      <c r="S112" s="38"/>
    </row>
    <row r="113" spans="1:19" ht="15.75" customHeight="1">
      <c r="A113" s="30">
        <f>COUNTIF(A11:A40,"=Б")</f>
        <v>17</v>
      </c>
      <c r="B113" s="38"/>
      <c r="S113" s="38"/>
    </row>
    <row r="114" spans="1:19" ht="15.75" customHeight="1">
      <c r="A114" s="30">
        <f>COUNTIF(A11:A40,"=Б")</f>
        <v>17</v>
      </c>
      <c r="B114" s="38"/>
      <c r="S114" s="38"/>
    </row>
    <row r="115" spans="1:19" ht="15.75" customHeight="1">
      <c r="A115" s="30">
        <f>COUNTIF(A11:A40,"=Б")</f>
        <v>17</v>
      </c>
      <c r="B115" s="38"/>
      <c r="S115" s="38"/>
    </row>
    <row r="116" spans="1:19" ht="15.75" customHeight="1">
      <c r="A116" s="30">
        <f>COUNTIF(A11:A40,"=Б")</f>
        <v>17</v>
      </c>
      <c r="B116" s="38"/>
      <c r="S116" s="38"/>
    </row>
    <row r="117" spans="1:19" ht="15.75" customHeight="1">
      <c r="A117" s="30">
        <f>COUNTIF(A11:A40,"=Б")</f>
        <v>17</v>
      </c>
      <c r="B117" s="38"/>
      <c r="S117" s="38"/>
    </row>
    <row r="118" spans="1:19" ht="15.75" customHeight="1">
      <c r="A118" s="30">
        <f>COUNTIF(A11:A40,"=Б")</f>
        <v>17</v>
      </c>
      <c r="B118" s="38"/>
      <c r="S118" s="38"/>
    </row>
    <row r="119" spans="1:19" ht="15.75" customHeight="1">
      <c r="A119" s="30">
        <f>COUNTIF(A11:A40,"=Б")</f>
        <v>17</v>
      </c>
      <c r="B119" s="38"/>
      <c r="S119" s="38"/>
    </row>
    <row r="120" spans="1:19" ht="15.75" customHeight="1">
      <c r="A120" s="30">
        <f>COUNTIF(A11:A40,"=Б")</f>
        <v>17</v>
      </c>
      <c r="B120" s="38"/>
      <c r="S120" s="38"/>
    </row>
    <row r="121" spans="1:19" ht="15.75" customHeight="1">
      <c r="B121" s="38"/>
      <c r="S121" s="38"/>
    </row>
    <row r="122" spans="1:19" ht="15.75" customHeight="1">
      <c r="B122" s="38"/>
      <c r="S122" s="38"/>
    </row>
    <row r="123" spans="1:19" ht="15.75" customHeight="1">
      <c r="B123" s="38"/>
      <c r="S123" s="38"/>
    </row>
    <row r="124" spans="1:19" ht="15.75" customHeight="1">
      <c r="B124" s="38"/>
      <c r="S124" s="38"/>
    </row>
    <row r="125" spans="1:19" ht="15.75" customHeight="1">
      <c r="B125" s="38"/>
      <c r="S125" s="38"/>
    </row>
    <row r="126" spans="1:19" ht="15.75" customHeight="1">
      <c r="B126" s="38"/>
      <c r="S126" s="38"/>
    </row>
    <row r="127" spans="1:19" ht="15.75" customHeight="1">
      <c r="B127" s="38"/>
      <c r="S127" s="38"/>
    </row>
    <row r="128" spans="1:19" ht="15.75" customHeight="1">
      <c r="S128" s="38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ortState ref="A11:AB60">
    <sortCondition descending="1" ref="S11:S60"/>
  </sortState>
  <mergeCells count="26">
    <mergeCell ref="B7:B10"/>
    <mergeCell ref="C7:C10"/>
    <mergeCell ref="A1:O1"/>
    <mergeCell ref="A2:O2"/>
    <mergeCell ref="A3:O3"/>
    <mergeCell ref="A4:O4"/>
    <mergeCell ref="A5:O5"/>
    <mergeCell ref="A6:O6"/>
    <mergeCell ref="D7:S7"/>
    <mergeCell ref="A7:A10"/>
    <mergeCell ref="D8:D10"/>
    <mergeCell ref="E8:E10"/>
    <mergeCell ref="F8:F10"/>
    <mergeCell ref="G8:G10"/>
    <mergeCell ref="H8:H10"/>
    <mergeCell ref="I8:I10"/>
    <mergeCell ref="Q8:Q10"/>
    <mergeCell ref="R8:R10"/>
    <mergeCell ref="S8:S10"/>
    <mergeCell ref="J8:J10"/>
    <mergeCell ref="K8:K10"/>
    <mergeCell ref="L8:L10"/>
    <mergeCell ref="M8:M10"/>
    <mergeCell ref="N8:N10"/>
    <mergeCell ref="O8:O10"/>
    <mergeCell ref="P8:P10"/>
  </mergeCells>
  <printOptions horizontalCentered="1" verticalCentered="1"/>
  <pageMargins left="0.70866141732283472" right="0.70866141732283472" top="0.74803149606299213" bottom="0.74803149606299213" header="0" footer="0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Зведена відомість</vt:lpstr>
      <vt:lpstr>Рейтингова відомість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Asust</dc:creator>
  <cp:lastModifiedBy>BONDARENKO</cp:lastModifiedBy>
  <cp:lastPrinted>2022-09-06T07:40:43Z</cp:lastPrinted>
  <dcterms:created xsi:type="dcterms:W3CDTF">2006-09-28T05:33:49Z</dcterms:created>
  <dcterms:modified xsi:type="dcterms:W3CDTF">2022-09-06T07:40:49Z</dcterms:modified>
</cp:coreProperties>
</file>