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70" yWindow="615" windowWidth="19980" windowHeight="7110"/>
  </bookViews>
  <sheets>
    <sheet name="Зведена відомість 181" sheetId="1" r:id="rId1"/>
    <sheet name="Зведена відомість 242" sheetId="2" r:id="rId2"/>
  </sheets>
  <calcPr calcId="145621" calcMode="autoNoTable"/>
  <extLst>
    <ext uri="GoogleSheetsCustomDataVersion1">
      <go:sheetsCustomData xmlns:go="http://customooxmlschemas.google.com/" r:id="" roundtripDataSignature="AMtx7mgSeL79grlBhy/or0pQEmMpSnXveQ=="/>
    </ext>
  </extLst>
</workbook>
</file>

<file path=xl/calcChain.xml><?xml version="1.0" encoding="utf-8"?>
<calcChain xmlns="http://schemas.openxmlformats.org/spreadsheetml/2006/main">
  <c r="R11" i="1" l="1"/>
  <c r="R12" i="1"/>
  <c r="R13" i="1"/>
  <c r="R14" i="1"/>
  <c r="R15" i="1"/>
  <c r="R16" i="1"/>
  <c r="R17" i="1"/>
  <c r="R18" i="1"/>
  <c r="R19" i="1"/>
  <c r="R20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D24" i="1" s="1"/>
  <c r="Q21" i="1"/>
  <c r="P21" i="1"/>
  <c r="O21" i="1"/>
  <c r="N21" i="1"/>
  <c r="M21" i="1"/>
  <c r="L21" i="1"/>
  <c r="K21" i="1"/>
  <c r="J21" i="1"/>
  <c r="I21" i="1"/>
  <c r="H21" i="1"/>
  <c r="G21" i="1"/>
  <c r="F21" i="1"/>
  <c r="R21" i="1" s="1"/>
  <c r="E21" i="1"/>
  <c r="D21" i="1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R33" i="2" s="1"/>
  <c r="D36" i="2"/>
  <c r="D25" i="1"/>
  <c r="D37" i="2" l="1"/>
</calcChain>
</file>

<file path=xl/sharedStrings.xml><?xml version="1.0" encoding="utf-8"?>
<sst xmlns="http://schemas.openxmlformats.org/spreadsheetml/2006/main" count="153" uniqueCount="69">
  <si>
    <t>ФАХОВИЙ КОЛЕДЖ НАФТОГАЗОВИХ ТЕХНОЛОГІЙ, ІНЖЕНЕРІЇ ТА ІНФРАСТРУКТУРИ СЕРВІСУ</t>
  </si>
  <si>
    <t>ОДЕСЬКОЇ НАЦІОНАЛЬНОЇ АКАДЕМІЇ ХАРЧОВИХ ТЕХНОЛОГІЙ</t>
  </si>
  <si>
    <t xml:space="preserve">ЗВЕДЕНА  ВІДОМІСТЬ  </t>
  </si>
  <si>
    <t>За І семестр 2021-2022 н.р.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</si>
  <si>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</si>
  <si>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</si>
  <si>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</si>
  <si>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</si>
  <si>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Антропова Л.І.</t>
  </si>
  <si>
    <t>Всесвітня історія
Мельничук С.А.</t>
  </si>
  <si>
    <t>Математика
Нужна Н.В.</t>
  </si>
  <si>
    <t>Фізика
Калюта Н.М.</t>
  </si>
  <si>
    <t>Хімія
Пономарьов К.М.</t>
  </si>
  <si>
    <t>Інформатика
Охримчук В.С.</t>
  </si>
  <si>
    <t>Українська мова
Антропова Л.І.</t>
  </si>
  <si>
    <t>Зарубіжна література
Пруднікова Я.П.</t>
  </si>
  <si>
    <t>Біологія
Богданенко О.В.</t>
  </si>
  <si>
    <t>Фізичне виховання
Галеніна І.С.</t>
  </si>
  <si>
    <t>Іноземна мова
Галинська Т.С.</t>
  </si>
  <si>
    <t>ЗУ
Лазар В.І.
Стельмах Н.Ю.</t>
  </si>
  <si>
    <t>Історія України
Левчук Т.Г.</t>
  </si>
  <si>
    <t>Географія
Наговська Т.С.</t>
  </si>
  <si>
    <t>Середній бал</t>
  </si>
  <si>
    <t>К</t>
  </si>
  <si>
    <t>Воропай Михайло Петрович</t>
  </si>
  <si>
    <t>Діанова Кіра Федорівна</t>
  </si>
  <si>
    <t>Єсін Максим Русланович</t>
  </si>
  <si>
    <t>н/а</t>
  </si>
  <si>
    <t>Загайчук Дар’я Олександрівна</t>
  </si>
  <si>
    <t>Зеленчук Микола Олегович</t>
  </si>
  <si>
    <t>Марар Ксенія Андріївна</t>
  </si>
  <si>
    <t>Романенко Олег Миколайович</t>
  </si>
  <si>
    <t>Снігур Максим Вікторович</t>
  </si>
  <si>
    <t>Фучило Софія Валеріївна</t>
  </si>
  <si>
    <t>Шумков Микита Васильович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</si>
  <si>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</si>
  <si>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</si>
  <si>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</si>
  <si>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</si>
  <si>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</si>
  <si>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Класний керівник</t>
  </si>
  <si>
    <t>Завідувач відділення ПЗСО</t>
  </si>
  <si>
    <t>Маргарита БРІТІКОВА</t>
  </si>
  <si>
    <t>Успішності студентів спеціальності 242 "Туризм"</t>
  </si>
  <si>
    <t xml:space="preserve">Беженар Таїсія Михайлівна </t>
  </si>
  <si>
    <t xml:space="preserve">Бєлочук Аліна Володимирівна </t>
  </si>
  <si>
    <t>Бондар Катерина Андріївна</t>
  </si>
  <si>
    <t>Вакулич Олександра Володим.</t>
  </si>
  <si>
    <t>Губіч Беатриса</t>
  </si>
  <si>
    <t xml:space="preserve">Давидова Вікторія Євгенівна </t>
  </si>
  <si>
    <t>Дишкант Аріна Ігорівна</t>
  </si>
  <si>
    <t>Дієнко Марія Олегівна</t>
  </si>
  <si>
    <t>Жигульова Тетяна Валеріївна</t>
  </si>
  <si>
    <t>Зелінська Олександра Юріївна</t>
  </si>
  <si>
    <t>Золотарьова Дар’я Родіонівна</t>
  </si>
  <si>
    <t>Карагуца Марія Сергіївна</t>
  </si>
  <si>
    <t>Кошелапенко Вікторія Волод.</t>
  </si>
  <si>
    <t>Крижановська Софія Сергіївна</t>
  </si>
  <si>
    <t xml:space="preserve">Мотуз Максим Дмитрович </t>
  </si>
  <si>
    <t>Падалка Кіра Олександрівна</t>
  </si>
  <si>
    <t>Самуренко Марія Сергіївна</t>
  </si>
  <si>
    <t>Сташенко Жасмін Ростислав.</t>
  </si>
  <si>
    <t>Суворов Владислав Вікторович</t>
  </si>
  <si>
    <t>Халавко Діана Денисівна</t>
  </si>
  <si>
    <t>Шеремета Надія Вадимівна</t>
  </si>
  <si>
    <t>Шкодовський Дмитро Валент.</t>
  </si>
  <si>
    <t>Сергій МЕЛЬНИЧУК</t>
  </si>
  <si>
    <t>Група 21-10 курс І</t>
  </si>
  <si>
    <t>Успішності студентів спеціальності 181 «Харчові технології»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</si>
</sst>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>
    <font>
      <sz val="11"/>
      <color rgb="FF000000"/>
      <name val="Calibri"/>
    </font>
    <font>
      <sz val="14"/>
      <color theme="1"/>
      <name val="Times New Roman"/>
    </font>
    <font>
      <sz val="16"/>
      <color theme="1"/>
      <name val="Arimo"/>
    </font>
    <font>
      <b/>
      <sz val="14"/>
      <color theme="1"/>
      <name val="Times New Roman"/>
    </font>
    <font>
      <sz val="12"/>
      <color theme="1"/>
      <name val="Times New Roman"/>
    </font>
    <font>
      <sz val="11"/>
      <name val="Calibri"/>
    </font>
    <font>
      <b/>
      <sz val="12"/>
      <color theme="1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sz val="12"/>
      <color theme="1"/>
      <name val="Arimo"/>
    </font>
    <font>
      <sz val="12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2" fillId="0" borderId="0" xfId="0" applyFont="1"/>
    <xf numFmtId="0" fontId="0" fillId="0" borderId="0" xfId="0" applyFont="1"/>
    <xf numFmtId="164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/>
    <xf numFmtId="0" fontId="4" fillId="0" borderId="2" xfId="0" applyFont="1" applyBorder="1" applyAlignment="1">
      <alignment horizontal="center" textRotation="90" wrapText="1"/>
    </xf>
    <xf numFmtId="0" fontId="6" fillId="2" borderId="2" xfId="0" applyFont="1" applyFill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164" fontId="10" fillId="3" borderId="2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2" borderId="2" xfId="0" applyFont="1" applyFill="1" applyBorder="1" applyAlignment="1">
      <alignment vertical="center" wrapText="1"/>
    </xf>
    <xf numFmtId="164" fontId="10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2" fontId="10" fillId="4" borderId="2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 applyAlignment="1"/>
    <xf numFmtId="0" fontId="13" fillId="0" borderId="0" xfId="0" applyFont="1"/>
    <xf numFmtId="0" fontId="1" fillId="0" borderId="3" xfId="0" applyFont="1" applyBorder="1" applyAlignment="1">
      <alignment horizontal="center"/>
    </xf>
    <xf numFmtId="0" fontId="4" fillId="2" borderId="4" xfId="0" applyFont="1" applyFill="1" applyBorder="1" applyAlignment="1">
      <alignment vertical="center" wrapText="1"/>
    </xf>
    <xf numFmtId="164" fontId="4" fillId="3" borderId="4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sqref="A1:R1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14" width="6.7109375" customWidth="1"/>
    <col min="15" max="15" width="9.7109375" customWidth="1"/>
    <col min="16" max="17" width="6.7109375" customWidth="1"/>
    <col min="18" max="18" width="11.28515625" customWidth="1"/>
    <col min="19" max="26" width="8.7109375" customWidth="1"/>
  </cols>
  <sheetData>
    <row r="1" spans="1:26" ht="15.7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26" ht="15.75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26" ht="15.75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26" ht="15.75" customHeight="1">
      <c r="A4" s="9" t="s">
        <v>68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26" ht="15.75" customHeight="1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26" ht="15.75" customHeight="1">
      <c r="A6" s="33" t="s">
        <v>67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26" ht="15.75">
      <c r="A7" s="12" t="s">
        <v>4</v>
      </c>
      <c r="B7" s="13" t="s">
        <v>5</v>
      </c>
      <c r="C7" s="13" t="s">
        <v>6</v>
      </c>
      <c r="D7" s="14" t="s">
        <v>7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26" ht="15" customHeight="1">
      <c r="A8" s="15"/>
      <c r="B8" s="15"/>
      <c r="C8" s="15"/>
      <c r="D8" s="16" t="s">
        <v>8</v>
      </c>
      <c r="E8" s="16" t="s">
        <v>9</v>
      </c>
      <c r="F8" s="16" t="s">
        <v>10</v>
      </c>
      <c r="G8" s="16" t="s">
        <v>11</v>
      </c>
      <c r="H8" s="16" t="s">
        <v>12</v>
      </c>
      <c r="I8" s="16" t="s">
        <v>13</v>
      </c>
      <c r="J8" s="16" t="s">
        <v>14</v>
      </c>
      <c r="K8" s="16" t="s">
        <v>15</v>
      </c>
      <c r="L8" s="16" t="s">
        <v>16</v>
      </c>
      <c r="M8" s="16" t="s">
        <v>17</v>
      </c>
      <c r="N8" s="16" t="s">
        <v>18</v>
      </c>
      <c r="O8" s="16" t="s">
        <v>19</v>
      </c>
      <c r="P8" s="16" t="s">
        <v>20</v>
      </c>
      <c r="Q8" s="16" t="s">
        <v>21</v>
      </c>
      <c r="R8" s="17" t="s">
        <v>22</v>
      </c>
    </row>
    <row r="9" spans="1:26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1:26" ht="101.2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26" ht="15.75">
      <c r="A11" s="11" t="s">
        <v>23</v>
      </c>
      <c r="B11" s="11">
        <v>1</v>
      </c>
      <c r="C11" s="18" t="s">
        <v>24</v>
      </c>
      <c r="D11" s="19">
        <v>8</v>
      </c>
      <c r="E11" s="19">
        <v>10</v>
      </c>
      <c r="F11" s="19">
        <v>8</v>
      </c>
      <c r="G11" s="19">
        <v>8</v>
      </c>
      <c r="H11" s="19">
        <v>8</v>
      </c>
      <c r="I11" s="19">
        <v>6</v>
      </c>
      <c r="J11" s="19">
        <v>10</v>
      </c>
      <c r="K11" s="19">
        <v>10</v>
      </c>
      <c r="L11" s="19">
        <v>9</v>
      </c>
      <c r="M11" s="19">
        <v>10</v>
      </c>
      <c r="N11" s="19">
        <v>10</v>
      </c>
      <c r="O11" s="19">
        <v>9</v>
      </c>
      <c r="P11" s="19">
        <v>8</v>
      </c>
      <c r="Q11" s="19">
        <v>9</v>
      </c>
      <c r="R11" s="20">
        <f t="shared" ref="R11:R19" si="0">IF(COUNTIF(D11:Q11,"=*")&gt;0,"-",(AVERAGE(D11:Q11)))</f>
        <v>8.7857142857142865</v>
      </c>
    </row>
    <row r="12" spans="1:26" ht="15.75">
      <c r="A12" s="11" t="s">
        <v>23</v>
      </c>
      <c r="B12" s="11">
        <v>2</v>
      </c>
      <c r="C12" s="18" t="s">
        <v>25</v>
      </c>
      <c r="D12" s="19">
        <v>9</v>
      </c>
      <c r="E12" s="19">
        <v>10</v>
      </c>
      <c r="F12" s="19">
        <v>9</v>
      </c>
      <c r="G12" s="19">
        <v>7</v>
      </c>
      <c r="H12" s="19">
        <v>6</v>
      </c>
      <c r="I12" s="19">
        <v>9</v>
      </c>
      <c r="J12" s="19">
        <v>9</v>
      </c>
      <c r="K12" s="19">
        <v>7</v>
      </c>
      <c r="L12" s="19">
        <v>8</v>
      </c>
      <c r="M12" s="19">
        <v>10</v>
      </c>
      <c r="N12" s="19">
        <v>8</v>
      </c>
      <c r="O12" s="19">
        <v>9</v>
      </c>
      <c r="P12" s="19">
        <v>7</v>
      </c>
      <c r="Q12" s="19">
        <v>8</v>
      </c>
      <c r="R12" s="20">
        <f t="shared" si="0"/>
        <v>8.2857142857142865</v>
      </c>
      <c r="S12" s="2"/>
      <c r="T12" s="2"/>
      <c r="U12" s="2"/>
      <c r="V12" s="2"/>
      <c r="W12" s="2"/>
      <c r="X12" s="2"/>
      <c r="Y12" s="2"/>
      <c r="Z12" s="2"/>
    </row>
    <row r="13" spans="1:26" ht="15.75">
      <c r="A13" s="11" t="s">
        <v>23</v>
      </c>
      <c r="B13" s="11">
        <v>3</v>
      </c>
      <c r="C13" s="18" t="s">
        <v>26</v>
      </c>
      <c r="D13" s="19">
        <v>6</v>
      </c>
      <c r="E13" s="19">
        <v>7</v>
      </c>
      <c r="F13" s="19">
        <v>4</v>
      </c>
      <c r="G13" s="19">
        <v>4</v>
      </c>
      <c r="H13" s="19">
        <v>8</v>
      </c>
      <c r="I13" s="19">
        <v>6</v>
      </c>
      <c r="J13" s="19">
        <v>6</v>
      </c>
      <c r="K13" s="19">
        <v>4</v>
      </c>
      <c r="L13" s="19">
        <v>4</v>
      </c>
      <c r="M13" s="19">
        <v>6</v>
      </c>
      <c r="N13" s="19">
        <v>4</v>
      </c>
      <c r="O13" s="19">
        <v>5</v>
      </c>
      <c r="P13" s="19">
        <v>7</v>
      </c>
      <c r="Q13" s="19">
        <v>4</v>
      </c>
      <c r="R13" s="20">
        <f t="shared" si="0"/>
        <v>5.3571428571428568</v>
      </c>
      <c r="S13" s="2"/>
      <c r="T13" s="2"/>
      <c r="U13" s="2"/>
      <c r="V13" s="2"/>
      <c r="W13" s="2"/>
      <c r="X13" s="2"/>
      <c r="Y13" s="2"/>
      <c r="Z13" s="2"/>
    </row>
    <row r="14" spans="1:26" ht="15.75">
      <c r="A14" s="11" t="s">
        <v>23</v>
      </c>
      <c r="B14" s="11">
        <v>4</v>
      </c>
      <c r="C14" s="18" t="s">
        <v>28</v>
      </c>
      <c r="D14" s="19">
        <v>10</v>
      </c>
      <c r="E14" s="19">
        <v>10</v>
      </c>
      <c r="F14" s="19">
        <v>9</v>
      </c>
      <c r="G14" s="19">
        <v>8</v>
      </c>
      <c r="H14" s="19">
        <v>9</v>
      </c>
      <c r="I14" s="19">
        <v>10</v>
      </c>
      <c r="J14" s="19">
        <v>10</v>
      </c>
      <c r="K14" s="19">
        <v>7</v>
      </c>
      <c r="L14" s="19">
        <v>9</v>
      </c>
      <c r="M14" s="19">
        <v>10</v>
      </c>
      <c r="N14" s="19">
        <v>9</v>
      </c>
      <c r="O14" s="19">
        <v>9</v>
      </c>
      <c r="P14" s="19">
        <v>8</v>
      </c>
      <c r="Q14" s="19">
        <v>8</v>
      </c>
      <c r="R14" s="20">
        <f t="shared" si="0"/>
        <v>9</v>
      </c>
      <c r="S14" s="2"/>
      <c r="T14" s="2"/>
      <c r="U14" s="2"/>
      <c r="V14" s="2"/>
      <c r="W14" s="2"/>
      <c r="X14" s="2"/>
      <c r="Y14" s="2"/>
      <c r="Z14" s="2"/>
    </row>
    <row r="15" spans="1:26" ht="15.75">
      <c r="A15" s="11" t="s">
        <v>23</v>
      </c>
      <c r="B15" s="11">
        <v>5</v>
      </c>
      <c r="C15" s="18" t="s">
        <v>29</v>
      </c>
      <c r="D15" s="19">
        <v>9</v>
      </c>
      <c r="E15" s="19">
        <v>9</v>
      </c>
      <c r="F15" s="19">
        <v>6</v>
      </c>
      <c r="G15" s="19">
        <v>6</v>
      </c>
      <c r="H15" s="19">
        <v>5</v>
      </c>
      <c r="I15" s="19">
        <v>7</v>
      </c>
      <c r="J15" s="19">
        <v>8</v>
      </c>
      <c r="K15" s="19">
        <v>6</v>
      </c>
      <c r="L15" s="19">
        <v>7</v>
      </c>
      <c r="M15" s="19">
        <v>9</v>
      </c>
      <c r="N15" s="19">
        <v>8</v>
      </c>
      <c r="O15" s="19">
        <v>6</v>
      </c>
      <c r="P15" s="19">
        <v>6</v>
      </c>
      <c r="Q15" s="19">
        <v>8</v>
      </c>
      <c r="R15" s="20">
        <f t="shared" si="0"/>
        <v>7.1428571428571432</v>
      </c>
      <c r="S15" s="2"/>
      <c r="T15" s="2"/>
      <c r="U15" s="2"/>
      <c r="V15" s="2"/>
      <c r="W15" s="2"/>
      <c r="X15" s="2"/>
      <c r="Y15" s="2"/>
      <c r="Z15" s="2"/>
    </row>
    <row r="16" spans="1:26" ht="15.75">
      <c r="A16" s="11" t="s">
        <v>23</v>
      </c>
      <c r="B16" s="11">
        <v>6</v>
      </c>
      <c r="C16" s="18" t="s">
        <v>30</v>
      </c>
      <c r="D16" s="19">
        <v>9</v>
      </c>
      <c r="E16" s="19">
        <v>9</v>
      </c>
      <c r="F16" s="19">
        <v>5</v>
      </c>
      <c r="G16" s="19">
        <v>5</v>
      </c>
      <c r="H16" s="19">
        <v>5</v>
      </c>
      <c r="I16" s="19">
        <v>8</v>
      </c>
      <c r="J16" s="19">
        <v>8</v>
      </c>
      <c r="K16" s="19">
        <v>7</v>
      </c>
      <c r="L16" s="19">
        <v>7</v>
      </c>
      <c r="M16" s="19">
        <v>7</v>
      </c>
      <c r="N16" s="19">
        <v>8</v>
      </c>
      <c r="O16" s="19">
        <v>9</v>
      </c>
      <c r="P16" s="19">
        <v>6</v>
      </c>
      <c r="Q16" s="19">
        <v>9</v>
      </c>
      <c r="R16" s="20">
        <f t="shared" si="0"/>
        <v>7.2857142857142856</v>
      </c>
      <c r="S16" s="2"/>
      <c r="T16" s="2"/>
      <c r="U16" s="2"/>
      <c r="V16" s="2"/>
      <c r="W16" s="2"/>
      <c r="X16" s="2"/>
      <c r="Y16" s="2"/>
      <c r="Z16" s="2"/>
    </row>
    <row r="17" spans="1:26" ht="15.75">
      <c r="A17" s="11" t="s">
        <v>23</v>
      </c>
      <c r="B17" s="11">
        <v>7</v>
      </c>
      <c r="C17" s="18" t="s">
        <v>31</v>
      </c>
      <c r="D17" s="19">
        <v>4</v>
      </c>
      <c r="E17" s="19">
        <v>7</v>
      </c>
      <c r="F17" s="19">
        <v>4</v>
      </c>
      <c r="G17" s="19">
        <v>4</v>
      </c>
      <c r="H17" s="19" t="s">
        <v>27</v>
      </c>
      <c r="I17" s="19">
        <v>5</v>
      </c>
      <c r="J17" s="19">
        <v>4</v>
      </c>
      <c r="K17" s="19">
        <v>4</v>
      </c>
      <c r="L17" s="19">
        <v>4</v>
      </c>
      <c r="M17" s="19">
        <v>5</v>
      </c>
      <c r="N17" s="19">
        <v>4</v>
      </c>
      <c r="O17" s="19">
        <v>4</v>
      </c>
      <c r="P17" s="19">
        <v>4</v>
      </c>
      <c r="Q17" s="19">
        <v>4</v>
      </c>
      <c r="R17" s="20" t="str">
        <f t="shared" si="0"/>
        <v>-</v>
      </c>
      <c r="S17" s="2"/>
      <c r="T17" s="2"/>
      <c r="U17" s="2"/>
      <c r="V17" s="2"/>
      <c r="W17" s="2"/>
      <c r="X17" s="2"/>
      <c r="Y17" s="2"/>
      <c r="Z17" s="2"/>
    </row>
    <row r="18" spans="1:26" ht="15.75">
      <c r="A18" s="11" t="s">
        <v>23</v>
      </c>
      <c r="B18" s="11">
        <v>8</v>
      </c>
      <c r="C18" s="18" t="s">
        <v>32</v>
      </c>
      <c r="D18" s="19">
        <v>10</v>
      </c>
      <c r="E18" s="19">
        <v>10</v>
      </c>
      <c r="F18" s="19">
        <v>8</v>
      </c>
      <c r="G18" s="19">
        <v>9</v>
      </c>
      <c r="H18" s="19">
        <v>9</v>
      </c>
      <c r="I18" s="19">
        <v>10</v>
      </c>
      <c r="J18" s="19">
        <v>10</v>
      </c>
      <c r="K18" s="19">
        <v>10</v>
      </c>
      <c r="L18" s="19">
        <v>10</v>
      </c>
      <c r="M18" s="19">
        <v>10</v>
      </c>
      <c r="N18" s="19">
        <v>10</v>
      </c>
      <c r="O18" s="19">
        <v>8</v>
      </c>
      <c r="P18" s="19">
        <v>10</v>
      </c>
      <c r="Q18" s="19">
        <v>9</v>
      </c>
      <c r="R18" s="20">
        <f t="shared" si="0"/>
        <v>9.5</v>
      </c>
      <c r="S18" s="2"/>
      <c r="T18" s="2"/>
      <c r="U18" s="2"/>
      <c r="V18" s="2"/>
      <c r="W18" s="2"/>
      <c r="X18" s="2"/>
      <c r="Y18" s="2"/>
      <c r="Z18" s="2"/>
    </row>
    <row r="19" spans="1:26" ht="15.75">
      <c r="A19" s="11" t="s">
        <v>23</v>
      </c>
      <c r="B19" s="11">
        <v>9</v>
      </c>
      <c r="C19" s="18" t="s">
        <v>33</v>
      </c>
      <c r="D19" s="19">
        <v>8</v>
      </c>
      <c r="E19" s="19">
        <v>8</v>
      </c>
      <c r="F19" s="19">
        <v>6</v>
      </c>
      <c r="G19" s="19">
        <v>6</v>
      </c>
      <c r="H19" s="19">
        <v>4</v>
      </c>
      <c r="I19" s="19">
        <v>9</v>
      </c>
      <c r="J19" s="19">
        <v>8</v>
      </c>
      <c r="K19" s="19">
        <v>5</v>
      </c>
      <c r="L19" s="19">
        <v>7</v>
      </c>
      <c r="M19" s="19">
        <v>5</v>
      </c>
      <c r="N19" s="19">
        <v>8</v>
      </c>
      <c r="O19" s="19">
        <v>8</v>
      </c>
      <c r="P19" s="19">
        <v>7</v>
      </c>
      <c r="Q19" s="19">
        <v>8</v>
      </c>
      <c r="R19" s="20">
        <f t="shared" si="0"/>
        <v>6.9285714285714288</v>
      </c>
      <c r="S19" s="2"/>
      <c r="T19" s="2"/>
      <c r="U19" s="2"/>
      <c r="V19" s="2"/>
      <c r="W19" s="2"/>
      <c r="X19" s="2"/>
      <c r="Y19" s="2"/>
      <c r="Z19" s="2"/>
    </row>
    <row r="20" spans="1:26" ht="15.75">
      <c r="A20" s="11" t="s">
        <v>23</v>
      </c>
      <c r="B20" s="11">
        <v>10</v>
      </c>
      <c r="C20" s="18" t="s">
        <v>34</v>
      </c>
      <c r="D20" s="19">
        <v>7</v>
      </c>
      <c r="E20" s="19">
        <v>10</v>
      </c>
      <c r="F20" s="19">
        <v>4</v>
      </c>
      <c r="G20" s="19">
        <v>6</v>
      </c>
      <c r="H20" s="19">
        <v>4</v>
      </c>
      <c r="I20" s="19">
        <v>7</v>
      </c>
      <c r="J20" s="19">
        <v>6</v>
      </c>
      <c r="K20" s="19">
        <v>10</v>
      </c>
      <c r="L20" s="19">
        <v>9</v>
      </c>
      <c r="M20" s="19">
        <v>8</v>
      </c>
      <c r="N20" s="19">
        <v>8</v>
      </c>
      <c r="O20" s="19">
        <v>9</v>
      </c>
      <c r="P20" s="19">
        <v>6</v>
      </c>
      <c r="Q20" s="19">
        <v>8</v>
      </c>
      <c r="R20" s="20">
        <f>IF(COUNTIF(D20:Q20,"=*")&gt;0,"-",(AVERAGE(D20:Q20)))</f>
        <v>7.2857142857142856</v>
      </c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/>
      <c r="B21" s="1"/>
      <c r="C21" s="28" t="s">
        <v>35</v>
      </c>
      <c r="D21" s="20">
        <f t="shared" ref="D21:Q21" si="1">AVERAGE(D11:D20)</f>
        <v>8</v>
      </c>
      <c r="E21" s="20">
        <f t="shared" si="1"/>
        <v>9</v>
      </c>
      <c r="F21" s="20">
        <f t="shared" si="1"/>
        <v>6.3</v>
      </c>
      <c r="G21" s="20">
        <f t="shared" si="1"/>
        <v>6.3</v>
      </c>
      <c r="H21" s="20">
        <f t="shared" si="1"/>
        <v>6.4444444444444446</v>
      </c>
      <c r="I21" s="20">
        <f t="shared" si="1"/>
        <v>7.7</v>
      </c>
      <c r="J21" s="20">
        <f t="shared" si="1"/>
        <v>7.9</v>
      </c>
      <c r="K21" s="20">
        <f t="shared" si="1"/>
        <v>7</v>
      </c>
      <c r="L21" s="20">
        <f t="shared" si="1"/>
        <v>7.4</v>
      </c>
      <c r="M21" s="20">
        <f t="shared" si="1"/>
        <v>8</v>
      </c>
      <c r="N21" s="20">
        <f t="shared" si="1"/>
        <v>7.7</v>
      </c>
      <c r="O21" s="20">
        <f t="shared" si="1"/>
        <v>7.6</v>
      </c>
      <c r="P21" s="20">
        <f t="shared" si="1"/>
        <v>6.9</v>
      </c>
      <c r="Q21" s="20">
        <f t="shared" si="1"/>
        <v>7.5</v>
      </c>
      <c r="R21" s="20">
        <f>IF(COUNTIF(D21:Q21,"=*")&gt;0,"-",(AVERAGE(D21:Q21)))</f>
        <v>7.4103174603174606</v>
      </c>
    </row>
    <row r="22" spans="1:26" ht="15.75" customHeight="1">
      <c r="A22" s="1"/>
      <c r="B22" s="1"/>
      <c r="C22" s="28" t="s">
        <v>36</v>
      </c>
      <c r="D22" s="24">
        <f>(COUNT(D11:D20))/(COUNT(B11:B20))*100</f>
        <v>100</v>
      </c>
      <c r="E22" s="25">
        <f>(COUNT(E11:E20))/(COUNT(B11:B20))*100</f>
        <v>100</v>
      </c>
      <c r="F22" s="25">
        <f>(COUNT(F11:F20))/(COUNT(B11:B20))*100</f>
        <v>100</v>
      </c>
      <c r="G22" s="25">
        <f>(COUNT(G11:G20))/(COUNT(B11:B20))*100</f>
        <v>100</v>
      </c>
      <c r="H22" s="24">
        <f>(COUNT(H11:H20))/(COUNT(B11:B20))*100</f>
        <v>90</v>
      </c>
      <c r="I22" s="25">
        <f>(COUNT(I11:I20))/(COUNT(B11:B20))*100</f>
        <v>100</v>
      </c>
      <c r="J22" s="24">
        <f>(COUNT(J11:J20))/(COUNT(B11:B20))*100</f>
        <v>100</v>
      </c>
      <c r="K22" s="25">
        <f>(COUNT(K11:K20))/(COUNT(B11:B20))*100</f>
        <v>100</v>
      </c>
      <c r="L22" s="25">
        <f>(COUNT(L11:L20))/(COUNT(B11:B20))*100</f>
        <v>100</v>
      </c>
      <c r="M22" s="25">
        <f>(COUNT(M11:M20))/(COUNT(B11:B20))*100</f>
        <v>100</v>
      </c>
      <c r="N22" s="24">
        <f>(COUNT(N11:N20))/(COUNT(B11:B20))*100</f>
        <v>100</v>
      </c>
      <c r="O22" s="25">
        <f>(COUNT(O11:O20))/(COUNT(B11:B20))*100</f>
        <v>100</v>
      </c>
      <c r="P22" s="25">
        <f>(COUNT(P11:P20))/(COUNT(B11:B20))*100</f>
        <v>100</v>
      </c>
      <c r="Q22" s="24">
        <f>(COUNT(Q11:Q20))/(COUNT(B11:B20))*100</f>
        <v>100</v>
      </c>
    </row>
    <row r="23" spans="1:26" ht="15.75" customHeight="1">
      <c r="A23" s="1"/>
      <c r="B23" s="1"/>
      <c r="C23" s="28" t="s">
        <v>37</v>
      </c>
      <c r="D23" s="24">
        <f>(COUNTIF(D11:D20,"&gt;=7"))/(COUNT(B11:B20))*100</f>
        <v>80</v>
      </c>
      <c r="E23" s="24">
        <f>(COUNTIF(E11:E20,"&gt;=7"))/(COUNT(B11:B20))*100</f>
        <v>100</v>
      </c>
      <c r="F23" s="24">
        <f>(COUNTIF(F11:F20,"&gt;=7"))/(COUNT(B11:B20))*100</f>
        <v>40</v>
      </c>
      <c r="G23" s="24">
        <f>(COUNTIF(G11:G20,"&gt;=7"))/(COUNT(B11:B20))*100</f>
        <v>40</v>
      </c>
      <c r="H23" s="24">
        <f>(COUNTIF(H11:H20,"&gt;=7"))/(COUNT(B11:B20))*100</f>
        <v>40</v>
      </c>
      <c r="I23" s="26">
        <f>(COUNTIF(I11:I20,"&gt;=7"))/(COUNT(B11:B20))*100</f>
        <v>70</v>
      </c>
      <c r="J23" s="26">
        <f>(COUNTIF(J11:J20,"&gt;=7"))/(COUNT(B11:B20))*100</f>
        <v>70</v>
      </c>
      <c r="K23" s="24">
        <f>(COUNTIF(K11:K20,"&gt;=7"))/(COUNT(B11:B20))*100</f>
        <v>60</v>
      </c>
      <c r="L23" s="24">
        <f>(COUNTIF(L11:L20,"&gt;=7"))/(COUNT(B11:B20))*100</f>
        <v>80</v>
      </c>
      <c r="M23" s="25">
        <f>(COUNTIF(M11:M20,"&gt;=7"))/(COUNT(B11:B20))*100</f>
        <v>70</v>
      </c>
      <c r="N23" s="27">
        <f>(COUNTIF(N11:N20,"&gt;=7"))/(COUNT(B11:B20))*100</f>
        <v>80</v>
      </c>
      <c r="O23" s="25">
        <f>(COUNTIF(O11:O20,"&gt;=7"))/(COUNT(B11:B20))*100</f>
        <v>70</v>
      </c>
      <c r="P23" s="25">
        <f>(COUNTIF(P11:P20,"&gt;=7"))/(COUNT(B11:B20))*100</f>
        <v>60</v>
      </c>
      <c r="Q23" s="25">
        <f>(COUNTIF(Q11:Q20,"&gt;=7"))/(COUNT(B11:B20))*100</f>
        <v>80</v>
      </c>
    </row>
    <row r="24" spans="1:26" ht="15.75" customHeight="1">
      <c r="A24" s="1"/>
      <c r="B24" s="1"/>
      <c r="C24" s="34" t="s">
        <v>38</v>
      </c>
      <c r="D24" s="35">
        <f t="shared" ref="D24:D25" si="2">AVERAGE(D22:Q22)</f>
        <v>99.285714285714292</v>
      </c>
      <c r="E24" s="21"/>
      <c r="F24" s="21"/>
      <c r="G24" s="21"/>
      <c r="H24" s="21"/>
      <c r="I24" s="22"/>
      <c r="J24" s="22"/>
      <c r="K24" s="22"/>
      <c r="L24" s="22"/>
      <c r="M24" s="22"/>
      <c r="N24" s="22"/>
      <c r="O24" s="22"/>
      <c r="P24" s="22"/>
      <c r="Q24" s="22"/>
    </row>
    <row r="25" spans="1:26" ht="15.75" customHeight="1">
      <c r="A25" s="1"/>
      <c r="B25" s="1"/>
      <c r="C25" s="28" t="s">
        <v>39</v>
      </c>
      <c r="D25" s="29">
        <f t="shared" si="2"/>
        <v>67.142857142857139</v>
      </c>
      <c r="E25" s="21"/>
      <c r="F25" s="30" t="s">
        <v>40</v>
      </c>
      <c r="G25" s="30"/>
      <c r="H25" s="30"/>
      <c r="I25" s="32"/>
      <c r="J25" s="32"/>
      <c r="K25" s="30" t="s">
        <v>66</v>
      </c>
      <c r="L25" s="4"/>
      <c r="M25" s="4"/>
      <c r="N25" s="4"/>
      <c r="O25" s="4"/>
      <c r="P25" s="4"/>
      <c r="Q25" s="4"/>
    </row>
    <row r="26" spans="1:26" ht="15.75" customHeight="1">
      <c r="A26" s="2"/>
      <c r="B26" s="2"/>
      <c r="C26" s="2"/>
      <c r="D26" s="2"/>
      <c r="E26" s="2"/>
      <c r="F26" s="32"/>
      <c r="G26" s="32"/>
      <c r="H26" s="32"/>
      <c r="I26" s="32"/>
      <c r="J26" s="32"/>
      <c r="K26" s="32"/>
      <c r="L26" s="2"/>
      <c r="M26" s="2"/>
      <c r="N26" s="2"/>
      <c r="O26" s="2"/>
      <c r="P26" s="2"/>
      <c r="Q26" s="2"/>
    </row>
    <row r="27" spans="1:26" ht="15.75" customHeight="1">
      <c r="A27" s="2"/>
      <c r="B27" s="2"/>
      <c r="C27" s="2"/>
      <c r="D27" s="2"/>
      <c r="E27" s="2"/>
      <c r="F27" s="30" t="s">
        <v>41</v>
      </c>
      <c r="G27" s="30"/>
      <c r="H27" s="30"/>
      <c r="I27" s="30"/>
      <c r="J27" s="30"/>
      <c r="K27" s="30" t="s">
        <v>42</v>
      </c>
      <c r="L27" s="2"/>
      <c r="M27" s="2"/>
      <c r="N27" s="2"/>
      <c r="O27" s="2"/>
      <c r="P27" s="2"/>
      <c r="Q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26" ht="15.75" customHeight="1">
      <c r="A29" s="2"/>
      <c r="B29" s="2"/>
      <c r="C29" s="2"/>
      <c r="D29" s="2"/>
      <c r="E29" s="5"/>
      <c r="F29" s="5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6" ht="15.75" customHeight="1">
      <c r="A30" s="2"/>
      <c r="B30" s="2"/>
      <c r="C30" s="2"/>
      <c r="D30" s="2"/>
      <c r="K30" s="6"/>
      <c r="L30" s="2"/>
      <c r="M30" s="2"/>
      <c r="N30" s="2"/>
      <c r="O30" s="2"/>
      <c r="P30" s="2"/>
      <c r="Q30" s="2"/>
      <c r="R30" s="2"/>
    </row>
    <row r="31" spans="1:26" ht="15.75" customHeight="1">
      <c r="A31" s="2"/>
      <c r="B31" s="2"/>
      <c r="C31" s="2"/>
      <c r="D31" s="2"/>
      <c r="K31" s="2"/>
      <c r="L31" s="2"/>
      <c r="M31" s="2"/>
      <c r="N31" s="2"/>
      <c r="O31" s="2"/>
      <c r="P31" s="2"/>
      <c r="Q31" s="2"/>
      <c r="R31" s="2"/>
    </row>
    <row r="32" spans="1:26" ht="15.75" customHeight="1">
      <c r="A32" s="2"/>
      <c r="B32" s="2"/>
      <c r="C32" s="2"/>
      <c r="D32" s="2"/>
      <c r="K32" s="6"/>
      <c r="L32" s="2"/>
      <c r="M32" s="2"/>
      <c r="N32" s="2"/>
      <c r="O32" s="2"/>
      <c r="P32" s="2"/>
      <c r="Q32" s="2"/>
      <c r="R32" s="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R1"/>
    <mergeCell ref="A6:R6"/>
    <mergeCell ref="A5:R5"/>
    <mergeCell ref="A4:R4"/>
    <mergeCell ref="A3:R3"/>
    <mergeCell ref="A2:R2"/>
    <mergeCell ref="Q8:Q10"/>
    <mergeCell ref="R8:R10"/>
    <mergeCell ref="J8:J10"/>
    <mergeCell ref="K8:K10"/>
    <mergeCell ref="L8:L10"/>
    <mergeCell ref="M8:M10"/>
    <mergeCell ref="N8:N10"/>
    <mergeCell ref="O8:O10"/>
    <mergeCell ref="P8:P10"/>
    <mergeCell ref="B7:B10"/>
    <mergeCell ref="C7:C10"/>
    <mergeCell ref="D7:R7"/>
    <mergeCell ref="A7:A10"/>
    <mergeCell ref="D8:D10"/>
    <mergeCell ref="E8:E10"/>
    <mergeCell ref="F8:F10"/>
    <mergeCell ref="G8:G10"/>
    <mergeCell ref="H8:H10"/>
    <mergeCell ref="I8:I10"/>
  </mergeCells>
  <pageMargins left="0.7" right="0.7" top="0.75" bottom="0.75" header="0" footer="0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R1"/>
    </sheetView>
  </sheetViews>
  <sheetFormatPr defaultColWidth="14.42578125" defaultRowHeight="15" customHeight="1"/>
  <cols>
    <col min="1" max="1" width="4.42578125" customWidth="1"/>
    <col min="2" max="2" width="6.5703125" customWidth="1"/>
    <col min="3" max="3" width="40.42578125" customWidth="1"/>
    <col min="4" max="14" width="6.7109375" customWidth="1"/>
    <col min="15" max="15" width="9.7109375" customWidth="1"/>
    <col min="16" max="17" width="6.7109375" customWidth="1"/>
    <col min="18" max="18" width="11.28515625" customWidth="1"/>
  </cols>
  <sheetData>
    <row r="1" spans="1:18" ht="1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5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5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ht="15" customHeight="1">
      <c r="A4" s="9" t="s">
        <v>43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15" customHeight="1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5" customHeight="1">
      <c r="A6" s="33" t="s">
        <v>67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ht="15" customHeight="1">
      <c r="A7" s="12" t="s">
        <v>4</v>
      </c>
      <c r="B7" s="13" t="s">
        <v>5</v>
      </c>
      <c r="C7" s="13" t="s">
        <v>6</v>
      </c>
      <c r="D7" s="14" t="s">
        <v>7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8" ht="15" customHeight="1">
      <c r="A8" s="15"/>
      <c r="B8" s="15"/>
      <c r="C8" s="15"/>
      <c r="D8" s="16" t="s">
        <v>8</v>
      </c>
      <c r="E8" s="16" t="s">
        <v>9</v>
      </c>
      <c r="F8" s="16" t="s">
        <v>10</v>
      </c>
      <c r="G8" s="16" t="s">
        <v>11</v>
      </c>
      <c r="H8" s="16" t="s">
        <v>12</v>
      </c>
      <c r="I8" s="16" t="s">
        <v>13</v>
      </c>
      <c r="J8" s="16" t="s">
        <v>14</v>
      </c>
      <c r="K8" s="16" t="s">
        <v>15</v>
      </c>
      <c r="L8" s="16" t="s">
        <v>16</v>
      </c>
      <c r="M8" s="16" t="s">
        <v>17</v>
      </c>
      <c r="N8" s="16" t="s">
        <v>18</v>
      </c>
      <c r="O8" s="16" t="s">
        <v>19</v>
      </c>
      <c r="P8" s="16" t="s">
        <v>20</v>
      </c>
      <c r="Q8" s="16" t="s">
        <v>21</v>
      </c>
      <c r="R8" s="17" t="s">
        <v>22</v>
      </c>
    </row>
    <row r="9" spans="1:18" ht="1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1:18" ht="100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 ht="15" customHeight="1">
      <c r="A11" s="11" t="s">
        <v>23</v>
      </c>
      <c r="B11" s="11">
        <v>1</v>
      </c>
      <c r="C11" s="18" t="s">
        <v>44</v>
      </c>
      <c r="D11" s="19">
        <v>10</v>
      </c>
      <c r="E11" s="19">
        <v>9</v>
      </c>
      <c r="F11" s="19">
        <v>7</v>
      </c>
      <c r="G11" s="19">
        <v>8</v>
      </c>
      <c r="H11" s="19">
        <v>5</v>
      </c>
      <c r="I11" s="19">
        <v>10</v>
      </c>
      <c r="J11" s="19">
        <v>10</v>
      </c>
      <c r="K11" s="19">
        <v>10</v>
      </c>
      <c r="L11" s="19">
        <v>7</v>
      </c>
      <c r="M11" s="19">
        <v>10</v>
      </c>
      <c r="N11" s="19">
        <v>8</v>
      </c>
      <c r="O11" s="19">
        <v>9</v>
      </c>
      <c r="P11" s="19">
        <v>8</v>
      </c>
      <c r="Q11" s="19">
        <v>9</v>
      </c>
      <c r="R11" s="20">
        <f t="shared" ref="R11:R31" si="0">IF(COUNTIF(D11:Q11,"=*")&gt;0,"-",(AVERAGE(D11:Q11)))</f>
        <v>8.5714285714285712</v>
      </c>
    </row>
    <row r="12" spans="1:18" ht="15" customHeight="1">
      <c r="A12" s="11" t="s">
        <v>23</v>
      </c>
      <c r="B12" s="11">
        <v>2</v>
      </c>
      <c r="C12" s="18" t="s">
        <v>45</v>
      </c>
      <c r="D12" s="19">
        <v>8</v>
      </c>
      <c r="E12" s="19">
        <v>10</v>
      </c>
      <c r="F12" s="19">
        <v>7</v>
      </c>
      <c r="G12" s="19">
        <v>7</v>
      </c>
      <c r="H12" s="19">
        <v>10</v>
      </c>
      <c r="I12" s="19">
        <v>10</v>
      </c>
      <c r="J12" s="19">
        <v>8</v>
      </c>
      <c r="K12" s="19">
        <v>8</v>
      </c>
      <c r="L12" s="19">
        <v>8</v>
      </c>
      <c r="M12" s="19">
        <v>10</v>
      </c>
      <c r="N12" s="19">
        <v>8</v>
      </c>
      <c r="O12" s="19">
        <v>8</v>
      </c>
      <c r="P12" s="19">
        <v>7</v>
      </c>
      <c r="Q12" s="19">
        <v>9</v>
      </c>
      <c r="R12" s="20">
        <f t="shared" si="0"/>
        <v>8.4285714285714288</v>
      </c>
    </row>
    <row r="13" spans="1:18" ht="15" customHeight="1">
      <c r="A13" s="11" t="s">
        <v>23</v>
      </c>
      <c r="B13" s="11">
        <v>3</v>
      </c>
      <c r="C13" s="18" t="s">
        <v>46</v>
      </c>
      <c r="D13" s="19">
        <v>7</v>
      </c>
      <c r="E13" s="19">
        <v>10</v>
      </c>
      <c r="F13" s="19">
        <v>4</v>
      </c>
      <c r="G13" s="19">
        <v>4</v>
      </c>
      <c r="H13" s="19">
        <v>7</v>
      </c>
      <c r="I13" s="19">
        <v>8</v>
      </c>
      <c r="J13" s="19">
        <v>8</v>
      </c>
      <c r="K13" s="19">
        <v>6</v>
      </c>
      <c r="L13" s="19">
        <v>6</v>
      </c>
      <c r="M13" s="19">
        <v>7</v>
      </c>
      <c r="N13" s="19">
        <v>5</v>
      </c>
      <c r="O13" s="19">
        <v>6</v>
      </c>
      <c r="P13" s="19">
        <v>7</v>
      </c>
      <c r="Q13" s="19">
        <v>8</v>
      </c>
      <c r="R13" s="20">
        <f t="shared" si="0"/>
        <v>6.6428571428571432</v>
      </c>
    </row>
    <row r="14" spans="1:18" ht="15" customHeight="1">
      <c r="A14" s="11" t="s">
        <v>23</v>
      </c>
      <c r="B14" s="11">
        <v>4</v>
      </c>
      <c r="C14" s="18" t="s">
        <v>47</v>
      </c>
      <c r="D14" s="19">
        <v>7</v>
      </c>
      <c r="E14" s="19">
        <v>8</v>
      </c>
      <c r="F14" s="19">
        <v>6</v>
      </c>
      <c r="G14" s="19">
        <v>6</v>
      </c>
      <c r="H14" s="19">
        <v>4</v>
      </c>
      <c r="I14" s="19">
        <v>8</v>
      </c>
      <c r="J14" s="19">
        <v>7</v>
      </c>
      <c r="K14" s="19" t="s">
        <v>27</v>
      </c>
      <c r="L14" s="19">
        <v>8</v>
      </c>
      <c r="M14" s="19">
        <v>7</v>
      </c>
      <c r="N14" s="19">
        <v>7</v>
      </c>
      <c r="O14" s="19">
        <v>7</v>
      </c>
      <c r="P14" s="19">
        <v>6</v>
      </c>
      <c r="Q14" s="19">
        <v>6</v>
      </c>
      <c r="R14" s="20" t="str">
        <f t="shared" si="0"/>
        <v>-</v>
      </c>
    </row>
    <row r="15" spans="1:18" ht="15" customHeight="1">
      <c r="A15" s="11" t="s">
        <v>23</v>
      </c>
      <c r="B15" s="11">
        <v>5</v>
      </c>
      <c r="C15" s="18" t="s">
        <v>48</v>
      </c>
      <c r="D15" s="19">
        <v>8</v>
      </c>
      <c r="E15" s="19">
        <v>8</v>
      </c>
      <c r="F15" s="19">
        <v>4</v>
      </c>
      <c r="G15" s="19">
        <v>4</v>
      </c>
      <c r="H15" s="19">
        <v>6</v>
      </c>
      <c r="I15" s="19">
        <v>7</v>
      </c>
      <c r="J15" s="19">
        <v>5</v>
      </c>
      <c r="K15" s="19">
        <v>5</v>
      </c>
      <c r="L15" s="19">
        <v>5</v>
      </c>
      <c r="M15" s="19">
        <v>5</v>
      </c>
      <c r="N15" s="19">
        <v>9</v>
      </c>
      <c r="O15" s="19">
        <v>6</v>
      </c>
      <c r="P15" s="19">
        <v>6</v>
      </c>
      <c r="Q15" s="19" t="s">
        <v>27</v>
      </c>
      <c r="R15" s="20" t="str">
        <f t="shared" si="0"/>
        <v>-</v>
      </c>
    </row>
    <row r="16" spans="1:18" ht="15" customHeight="1">
      <c r="A16" s="11" t="s">
        <v>23</v>
      </c>
      <c r="B16" s="11">
        <v>6</v>
      </c>
      <c r="C16" s="18" t="s">
        <v>49</v>
      </c>
      <c r="D16" s="19">
        <v>7</v>
      </c>
      <c r="E16" s="19">
        <v>8</v>
      </c>
      <c r="F16" s="19">
        <v>4</v>
      </c>
      <c r="G16" s="19">
        <v>4</v>
      </c>
      <c r="H16" s="19">
        <v>5</v>
      </c>
      <c r="I16" s="19">
        <v>8</v>
      </c>
      <c r="J16" s="19">
        <v>7</v>
      </c>
      <c r="K16" s="19">
        <v>4</v>
      </c>
      <c r="L16" s="19" t="s">
        <v>27</v>
      </c>
      <c r="M16" s="19">
        <v>7</v>
      </c>
      <c r="N16" s="19">
        <v>6</v>
      </c>
      <c r="O16" s="19">
        <v>5</v>
      </c>
      <c r="P16" s="19">
        <v>5</v>
      </c>
      <c r="Q16" s="19">
        <v>8</v>
      </c>
      <c r="R16" s="20" t="str">
        <f t="shared" si="0"/>
        <v>-</v>
      </c>
    </row>
    <row r="17" spans="1:26" ht="15" customHeight="1">
      <c r="A17" s="11" t="s">
        <v>23</v>
      </c>
      <c r="B17" s="11">
        <v>7</v>
      </c>
      <c r="C17" s="18" t="s">
        <v>50</v>
      </c>
      <c r="D17" s="19">
        <v>8</v>
      </c>
      <c r="E17" s="19">
        <v>9</v>
      </c>
      <c r="F17" s="19">
        <v>7</v>
      </c>
      <c r="G17" s="19">
        <v>6</v>
      </c>
      <c r="H17" s="19">
        <v>6</v>
      </c>
      <c r="I17" s="19">
        <v>9</v>
      </c>
      <c r="J17" s="19">
        <v>9</v>
      </c>
      <c r="K17" s="19">
        <v>7</v>
      </c>
      <c r="L17" s="19">
        <v>7</v>
      </c>
      <c r="M17" s="19">
        <v>10</v>
      </c>
      <c r="N17" s="19">
        <v>8</v>
      </c>
      <c r="O17" s="19">
        <v>9</v>
      </c>
      <c r="P17" s="19">
        <v>7</v>
      </c>
      <c r="Q17" s="19">
        <v>8</v>
      </c>
      <c r="R17" s="20">
        <f t="shared" si="0"/>
        <v>7.8571428571428568</v>
      </c>
    </row>
    <row r="18" spans="1:26" ht="15" customHeight="1">
      <c r="A18" s="11" t="s">
        <v>23</v>
      </c>
      <c r="B18" s="11">
        <v>8</v>
      </c>
      <c r="C18" s="18" t="s">
        <v>51</v>
      </c>
      <c r="D18" s="19">
        <v>8</v>
      </c>
      <c r="E18" s="19">
        <v>8</v>
      </c>
      <c r="F18" s="19">
        <v>7</v>
      </c>
      <c r="G18" s="19">
        <v>6</v>
      </c>
      <c r="H18" s="19">
        <v>5</v>
      </c>
      <c r="I18" s="19">
        <v>10</v>
      </c>
      <c r="J18" s="19">
        <v>9</v>
      </c>
      <c r="K18" s="19">
        <v>5</v>
      </c>
      <c r="L18" s="19">
        <v>5</v>
      </c>
      <c r="M18" s="19">
        <v>5</v>
      </c>
      <c r="N18" s="19">
        <v>7</v>
      </c>
      <c r="O18" s="19">
        <v>6</v>
      </c>
      <c r="P18" s="19">
        <v>6</v>
      </c>
      <c r="Q18" s="19">
        <v>9</v>
      </c>
      <c r="R18" s="20">
        <f t="shared" si="0"/>
        <v>6.8571428571428568</v>
      </c>
    </row>
    <row r="19" spans="1:26" ht="15" customHeight="1">
      <c r="A19" s="11" t="s">
        <v>23</v>
      </c>
      <c r="B19" s="11">
        <v>9</v>
      </c>
      <c r="C19" s="18" t="s">
        <v>52</v>
      </c>
      <c r="D19" s="19">
        <v>8</v>
      </c>
      <c r="E19" s="19">
        <v>9</v>
      </c>
      <c r="F19" s="19">
        <v>5</v>
      </c>
      <c r="G19" s="19">
        <v>5</v>
      </c>
      <c r="H19" s="19">
        <v>6</v>
      </c>
      <c r="I19" s="19">
        <v>8</v>
      </c>
      <c r="J19" s="19">
        <v>8</v>
      </c>
      <c r="K19" s="19">
        <v>6</v>
      </c>
      <c r="L19" s="19">
        <v>7</v>
      </c>
      <c r="M19" s="19">
        <v>5</v>
      </c>
      <c r="N19" s="19">
        <v>6</v>
      </c>
      <c r="O19" s="19">
        <v>7</v>
      </c>
      <c r="P19" s="19">
        <v>5</v>
      </c>
      <c r="Q19" s="19">
        <v>6</v>
      </c>
      <c r="R19" s="20">
        <f t="shared" si="0"/>
        <v>6.5</v>
      </c>
    </row>
    <row r="20" spans="1:26" ht="15.75" customHeight="1">
      <c r="A20" s="11" t="s">
        <v>23</v>
      </c>
      <c r="B20" s="11">
        <v>10</v>
      </c>
      <c r="C20" s="18" t="s">
        <v>53</v>
      </c>
      <c r="D20" s="19">
        <v>6</v>
      </c>
      <c r="E20" s="19">
        <v>5</v>
      </c>
      <c r="F20" s="19" t="s">
        <v>27</v>
      </c>
      <c r="G20" s="19">
        <v>4</v>
      </c>
      <c r="H20" s="19">
        <v>4</v>
      </c>
      <c r="I20" s="19">
        <v>7</v>
      </c>
      <c r="J20" s="19">
        <v>5</v>
      </c>
      <c r="K20" s="19">
        <v>4</v>
      </c>
      <c r="L20" s="19" t="s">
        <v>27</v>
      </c>
      <c r="M20" s="19">
        <v>6</v>
      </c>
      <c r="N20" s="19">
        <v>4</v>
      </c>
      <c r="O20" s="19">
        <v>5</v>
      </c>
      <c r="P20" s="19">
        <v>5</v>
      </c>
      <c r="Q20" s="19">
        <v>4</v>
      </c>
      <c r="R20" s="20" t="str">
        <f t="shared" si="0"/>
        <v>-</v>
      </c>
    </row>
    <row r="21" spans="1:26" ht="15.75" customHeight="1">
      <c r="A21" s="11" t="s">
        <v>23</v>
      </c>
      <c r="B21" s="11">
        <v>11</v>
      </c>
      <c r="C21" s="18" t="s">
        <v>54</v>
      </c>
      <c r="D21" s="19">
        <v>10</v>
      </c>
      <c r="E21" s="19">
        <v>9</v>
      </c>
      <c r="F21" s="19">
        <v>8</v>
      </c>
      <c r="G21" s="19">
        <v>6</v>
      </c>
      <c r="H21" s="19">
        <v>5</v>
      </c>
      <c r="I21" s="19">
        <v>8</v>
      </c>
      <c r="J21" s="19">
        <v>9</v>
      </c>
      <c r="K21" s="19">
        <v>10</v>
      </c>
      <c r="L21" s="19">
        <v>8</v>
      </c>
      <c r="M21" s="19">
        <v>10</v>
      </c>
      <c r="N21" s="19">
        <v>11</v>
      </c>
      <c r="O21" s="19">
        <v>9</v>
      </c>
      <c r="P21" s="19">
        <v>8</v>
      </c>
      <c r="Q21" s="19">
        <v>9</v>
      </c>
      <c r="R21" s="20">
        <f t="shared" si="0"/>
        <v>8.5714285714285712</v>
      </c>
    </row>
    <row r="22" spans="1:26" ht="15.75" customHeight="1">
      <c r="A22" s="11" t="s">
        <v>23</v>
      </c>
      <c r="B22" s="11">
        <v>12</v>
      </c>
      <c r="C22" s="18" t="s">
        <v>55</v>
      </c>
      <c r="D22" s="19">
        <v>8</v>
      </c>
      <c r="E22" s="19">
        <v>9</v>
      </c>
      <c r="F22" s="19">
        <v>5</v>
      </c>
      <c r="G22" s="19">
        <v>5</v>
      </c>
      <c r="H22" s="19">
        <v>5</v>
      </c>
      <c r="I22" s="19">
        <v>7</v>
      </c>
      <c r="J22" s="19">
        <v>9</v>
      </c>
      <c r="K22" s="19">
        <v>8</v>
      </c>
      <c r="L22" s="19">
        <v>7</v>
      </c>
      <c r="M22" s="19">
        <v>5</v>
      </c>
      <c r="N22" s="19">
        <v>6</v>
      </c>
      <c r="O22" s="19">
        <v>8</v>
      </c>
      <c r="P22" s="19">
        <v>6</v>
      </c>
      <c r="Q22" s="19">
        <v>8</v>
      </c>
      <c r="R22" s="20">
        <f t="shared" si="0"/>
        <v>6.8571428571428568</v>
      </c>
    </row>
    <row r="23" spans="1:26" ht="15.75" customHeight="1">
      <c r="A23" s="11" t="s">
        <v>23</v>
      </c>
      <c r="B23" s="11">
        <v>13</v>
      </c>
      <c r="C23" s="18" t="s">
        <v>56</v>
      </c>
      <c r="D23" s="19">
        <v>6</v>
      </c>
      <c r="E23" s="19">
        <v>5</v>
      </c>
      <c r="F23" s="19" t="s">
        <v>27</v>
      </c>
      <c r="G23" s="19" t="s">
        <v>27</v>
      </c>
      <c r="H23" s="19" t="s">
        <v>27</v>
      </c>
      <c r="I23" s="19">
        <v>7</v>
      </c>
      <c r="J23" s="19">
        <v>5</v>
      </c>
      <c r="K23" s="19">
        <v>4</v>
      </c>
      <c r="L23" s="19" t="s">
        <v>27</v>
      </c>
      <c r="M23" s="19" t="s">
        <v>27</v>
      </c>
      <c r="N23" s="19">
        <v>4</v>
      </c>
      <c r="O23" s="19">
        <v>5</v>
      </c>
      <c r="P23" s="19">
        <v>6</v>
      </c>
      <c r="Q23" s="19">
        <v>4</v>
      </c>
      <c r="R23" s="20" t="str">
        <f t="shared" si="0"/>
        <v>-</v>
      </c>
    </row>
    <row r="24" spans="1:26" ht="15.75" customHeight="1">
      <c r="A24" s="11" t="s">
        <v>23</v>
      </c>
      <c r="B24" s="11">
        <v>14</v>
      </c>
      <c r="C24" s="18" t="s">
        <v>57</v>
      </c>
      <c r="D24" s="19">
        <v>5</v>
      </c>
      <c r="E24" s="19">
        <v>5</v>
      </c>
      <c r="F24" s="19">
        <v>4</v>
      </c>
      <c r="G24" s="19">
        <v>4</v>
      </c>
      <c r="H24" s="19" t="s">
        <v>27</v>
      </c>
      <c r="I24" s="19">
        <v>4</v>
      </c>
      <c r="J24" s="19">
        <v>6</v>
      </c>
      <c r="K24" s="19" t="s">
        <v>27</v>
      </c>
      <c r="L24" s="19" t="s">
        <v>27</v>
      </c>
      <c r="M24" s="19">
        <v>5</v>
      </c>
      <c r="N24" s="19">
        <v>4</v>
      </c>
      <c r="O24" s="19">
        <v>5</v>
      </c>
      <c r="P24" s="19">
        <v>4</v>
      </c>
      <c r="Q24" s="19">
        <v>4</v>
      </c>
      <c r="R24" s="20" t="str">
        <f t="shared" si="0"/>
        <v>-</v>
      </c>
    </row>
    <row r="25" spans="1:26" ht="15.75" customHeight="1">
      <c r="A25" s="11" t="s">
        <v>23</v>
      </c>
      <c r="B25" s="11">
        <v>15</v>
      </c>
      <c r="C25" s="18" t="s">
        <v>58</v>
      </c>
      <c r="D25" s="19">
        <v>5</v>
      </c>
      <c r="E25" s="19">
        <v>6</v>
      </c>
      <c r="F25" s="19">
        <v>4</v>
      </c>
      <c r="G25" s="19" t="s">
        <v>27</v>
      </c>
      <c r="H25" s="19" t="s">
        <v>27</v>
      </c>
      <c r="I25" s="19">
        <v>4</v>
      </c>
      <c r="J25" s="19">
        <v>4</v>
      </c>
      <c r="K25" s="19">
        <v>4</v>
      </c>
      <c r="L25" s="19" t="s">
        <v>27</v>
      </c>
      <c r="M25" s="19">
        <v>7</v>
      </c>
      <c r="N25" s="19">
        <v>4</v>
      </c>
      <c r="O25" s="19">
        <v>4</v>
      </c>
      <c r="P25" s="19">
        <v>5</v>
      </c>
      <c r="Q25" s="19">
        <v>6</v>
      </c>
      <c r="R25" s="20" t="str">
        <f t="shared" si="0"/>
        <v>-</v>
      </c>
    </row>
    <row r="26" spans="1:26" ht="15.75" customHeight="1">
      <c r="A26" s="11" t="s">
        <v>23</v>
      </c>
      <c r="B26" s="11">
        <v>16</v>
      </c>
      <c r="C26" s="18" t="s">
        <v>59</v>
      </c>
      <c r="D26" s="19">
        <v>8</v>
      </c>
      <c r="E26" s="19">
        <v>7</v>
      </c>
      <c r="F26" s="19">
        <v>4</v>
      </c>
      <c r="G26" s="19">
        <v>3</v>
      </c>
      <c r="H26" s="19">
        <v>5</v>
      </c>
      <c r="I26" s="19">
        <v>4</v>
      </c>
      <c r="J26" s="19">
        <v>5</v>
      </c>
      <c r="K26" s="19">
        <v>7</v>
      </c>
      <c r="L26" s="19">
        <v>5</v>
      </c>
      <c r="M26" s="19">
        <v>9</v>
      </c>
      <c r="N26" s="19">
        <v>6</v>
      </c>
      <c r="O26" s="19">
        <v>5</v>
      </c>
      <c r="P26" s="19" t="s">
        <v>27</v>
      </c>
      <c r="Q26" s="19">
        <v>7</v>
      </c>
      <c r="R26" s="20" t="str">
        <f t="shared" si="0"/>
        <v>-</v>
      </c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1" t="s">
        <v>23</v>
      </c>
      <c r="B27" s="11">
        <v>17</v>
      </c>
      <c r="C27" s="18" t="s">
        <v>60</v>
      </c>
      <c r="D27" s="19">
        <v>9</v>
      </c>
      <c r="E27" s="19">
        <v>6</v>
      </c>
      <c r="F27" s="19">
        <v>4</v>
      </c>
      <c r="G27" s="19">
        <v>2</v>
      </c>
      <c r="H27" s="19" t="s">
        <v>27</v>
      </c>
      <c r="I27" s="19">
        <v>7</v>
      </c>
      <c r="J27" s="19">
        <v>8</v>
      </c>
      <c r="K27" s="19">
        <v>6</v>
      </c>
      <c r="L27" s="19" t="s">
        <v>27</v>
      </c>
      <c r="M27" s="19">
        <v>5</v>
      </c>
      <c r="N27" s="19">
        <v>7</v>
      </c>
      <c r="O27" s="19">
        <v>6</v>
      </c>
      <c r="P27" s="19">
        <v>5</v>
      </c>
      <c r="Q27" s="19">
        <v>8</v>
      </c>
      <c r="R27" s="20" t="str">
        <f t="shared" si="0"/>
        <v>-</v>
      </c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1" t="s">
        <v>23</v>
      </c>
      <c r="B28" s="11">
        <v>18</v>
      </c>
      <c r="C28" s="18" t="s">
        <v>61</v>
      </c>
      <c r="D28" s="19">
        <v>10</v>
      </c>
      <c r="E28" s="19">
        <v>10</v>
      </c>
      <c r="F28" s="19">
        <v>8</v>
      </c>
      <c r="G28" s="19">
        <v>8</v>
      </c>
      <c r="H28" s="19">
        <v>8</v>
      </c>
      <c r="I28" s="19">
        <v>10</v>
      </c>
      <c r="J28" s="19">
        <v>9</v>
      </c>
      <c r="K28" s="19">
        <v>9</v>
      </c>
      <c r="L28" s="19">
        <v>9</v>
      </c>
      <c r="M28" s="19">
        <v>10</v>
      </c>
      <c r="N28" s="19">
        <v>10</v>
      </c>
      <c r="O28" s="19">
        <v>9</v>
      </c>
      <c r="P28" s="19">
        <v>8</v>
      </c>
      <c r="Q28" s="19">
        <v>9</v>
      </c>
      <c r="R28" s="20">
        <f t="shared" si="0"/>
        <v>9.0714285714285712</v>
      </c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1" t="s">
        <v>23</v>
      </c>
      <c r="B29" s="11">
        <v>19</v>
      </c>
      <c r="C29" s="18" t="s">
        <v>62</v>
      </c>
      <c r="D29" s="19">
        <v>9</v>
      </c>
      <c r="E29" s="19">
        <v>10</v>
      </c>
      <c r="F29" s="19">
        <v>9</v>
      </c>
      <c r="G29" s="19">
        <v>8</v>
      </c>
      <c r="H29" s="19">
        <v>6</v>
      </c>
      <c r="I29" s="19">
        <v>10</v>
      </c>
      <c r="J29" s="19">
        <v>9</v>
      </c>
      <c r="K29" s="19">
        <v>10</v>
      </c>
      <c r="L29" s="19">
        <v>8</v>
      </c>
      <c r="M29" s="19">
        <v>10</v>
      </c>
      <c r="N29" s="19">
        <v>10</v>
      </c>
      <c r="O29" s="19">
        <v>10</v>
      </c>
      <c r="P29" s="19">
        <v>8</v>
      </c>
      <c r="Q29" s="19">
        <v>10</v>
      </c>
      <c r="R29" s="20">
        <f t="shared" si="0"/>
        <v>9.0714285714285712</v>
      </c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1" t="s">
        <v>23</v>
      </c>
      <c r="B30" s="11">
        <v>20</v>
      </c>
      <c r="C30" s="18" t="s">
        <v>63</v>
      </c>
      <c r="D30" s="19">
        <v>10</v>
      </c>
      <c r="E30" s="19">
        <v>9</v>
      </c>
      <c r="F30" s="19">
        <v>9</v>
      </c>
      <c r="G30" s="19">
        <v>9</v>
      </c>
      <c r="H30" s="19">
        <v>9</v>
      </c>
      <c r="I30" s="19">
        <v>10</v>
      </c>
      <c r="J30" s="19">
        <v>9</v>
      </c>
      <c r="K30" s="19">
        <v>10</v>
      </c>
      <c r="L30" s="19">
        <v>8</v>
      </c>
      <c r="M30" s="19">
        <v>10</v>
      </c>
      <c r="N30" s="19">
        <v>8</v>
      </c>
      <c r="O30" s="19">
        <v>8</v>
      </c>
      <c r="P30" s="19">
        <v>8</v>
      </c>
      <c r="Q30" s="19">
        <v>10</v>
      </c>
      <c r="R30" s="20">
        <f t="shared" si="0"/>
        <v>9.0714285714285712</v>
      </c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1" t="s">
        <v>23</v>
      </c>
      <c r="B31" s="11">
        <v>21</v>
      </c>
      <c r="C31" s="18" t="s">
        <v>64</v>
      </c>
      <c r="D31" s="19">
        <v>9</v>
      </c>
      <c r="E31" s="19">
        <v>9</v>
      </c>
      <c r="F31" s="19">
        <v>4</v>
      </c>
      <c r="G31" s="19">
        <v>4</v>
      </c>
      <c r="H31" s="19">
        <v>5</v>
      </c>
      <c r="I31" s="19">
        <v>7</v>
      </c>
      <c r="J31" s="19">
        <v>9</v>
      </c>
      <c r="K31" s="19">
        <v>7</v>
      </c>
      <c r="L31" s="19">
        <v>8</v>
      </c>
      <c r="M31" s="19" t="s">
        <v>27</v>
      </c>
      <c r="N31" s="19">
        <v>9</v>
      </c>
      <c r="O31" s="19">
        <v>9</v>
      </c>
      <c r="P31" s="19">
        <v>7</v>
      </c>
      <c r="Q31" s="19">
        <v>6</v>
      </c>
      <c r="R31" s="20" t="str">
        <f t="shared" si="0"/>
        <v>-</v>
      </c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1" t="s">
        <v>23</v>
      </c>
      <c r="B32" s="11">
        <v>22</v>
      </c>
      <c r="C32" s="18" t="s">
        <v>65</v>
      </c>
      <c r="D32" s="19">
        <v>7</v>
      </c>
      <c r="E32" s="19">
        <v>9</v>
      </c>
      <c r="F32" s="19">
        <v>6</v>
      </c>
      <c r="G32" s="19">
        <v>7</v>
      </c>
      <c r="H32" s="19">
        <v>6</v>
      </c>
      <c r="I32" s="19">
        <v>7</v>
      </c>
      <c r="J32" s="19">
        <v>8</v>
      </c>
      <c r="K32" s="19">
        <v>10</v>
      </c>
      <c r="L32" s="19">
        <v>8</v>
      </c>
      <c r="M32" s="19">
        <v>8</v>
      </c>
      <c r="N32" s="19">
        <v>8</v>
      </c>
      <c r="O32" s="19">
        <v>7</v>
      </c>
      <c r="P32" s="19">
        <v>7</v>
      </c>
      <c r="Q32" s="19">
        <v>8</v>
      </c>
      <c r="R32" s="20">
        <f>IF(COUNTIF(D32:Q32,"=*")&gt;0,"-",(AVERAGE(D32:Q32)))</f>
        <v>7.5714285714285712</v>
      </c>
      <c r="S32" s="2"/>
      <c r="T32" s="2"/>
      <c r="U32" s="2"/>
      <c r="V32" s="2"/>
      <c r="W32" s="2"/>
      <c r="X32" s="2"/>
      <c r="Y32" s="2"/>
      <c r="Z32" s="2"/>
    </row>
    <row r="33" spans="1:18" ht="15.75" customHeight="1">
      <c r="A33" s="1"/>
      <c r="B33" s="1"/>
      <c r="C33" s="23" t="s">
        <v>35</v>
      </c>
      <c r="D33" s="20">
        <f t="shared" ref="D33:Q33" si="1">AVERAGE(D11:D32)</f>
        <v>7.8636363636363633</v>
      </c>
      <c r="E33" s="20">
        <f t="shared" si="1"/>
        <v>8.0909090909090917</v>
      </c>
      <c r="F33" s="20">
        <f t="shared" si="1"/>
        <v>5.8</v>
      </c>
      <c r="G33" s="20">
        <f t="shared" si="1"/>
        <v>5.5</v>
      </c>
      <c r="H33" s="20">
        <f t="shared" si="1"/>
        <v>5.9444444444444446</v>
      </c>
      <c r="I33" s="20">
        <f t="shared" si="1"/>
        <v>7.7272727272727275</v>
      </c>
      <c r="J33" s="20">
        <f t="shared" si="1"/>
        <v>7.5454545454545459</v>
      </c>
      <c r="K33" s="20">
        <f t="shared" si="1"/>
        <v>7</v>
      </c>
      <c r="L33" s="20">
        <f t="shared" si="1"/>
        <v>7.125</v>
      </c>
      <c r="M33" s="20">
        <f t="shared" si="1"/>
        <v>7.55</v>
      </c>
      <c r="N33" s="20">
        <f t="shared" si="1"/>
        <v>7.0454545454545459</v>
      </c>
      <c r="O33" s="20">
        <f t="shared" si="1"/>
        <v>6.9545454545454541</v>
      </c>
      <c r="P33" s="20">
        <f t="shared" si="1"/>
        <v>6.3809523809523814</v>
      </c>
      <c r="Q33" s="20">
        <f t="shared" si="1"/>
        <v>7.4285714285714288</v>
      </c>
      <c r="R33" s="20">
        <f>IF(COUNTIF(D33:Q33,"=*")&gt;0,"-",(AVERAGE(D33:Q33)))</f>
        <v>6.9968743558029276</v>
      </c>
    </row>
    <row r="34" spans="1:18" ht="15.75" customHeight="1">
      <c r="A34" s="1"/>
      <c r="B34" s="1"/>
      <c r="C34" s="23" t="s">
        <v>36</v>
      </c>
      <c r="D34" s="24">
        <f>(COUNT(D11:D32))/(COUNT(B11:B32))*100</f>
        <v>100</v>
      </c>
      <c r="E34" s="25">
        <f>(COUNT(E11:E32))/(COUNT(B11:B32))*100</f>
        <v>100</v>
      </c>
      <c r="F34" s="25">
        <f>(COUNT(F11:F32))/(COUNT(B11:B32))*100</f>
        <v>90.909090909090907</v>
      </c>
      <c r="G34" s="25">
        <f>(COUNT(G11:G32))/(COUNT(B11:B32))*100</f>
        <v>90.909090909090907</v>
      </c>
      <c r="H34" s="24">
        <f>(COUNT(H11:H32))/(COUNT(B11:B32))*100</f>
        <v>81.818181818181827</v>
      </c>
      <c r="I34" s="25">
        <f>(COUNT(I11:I32))/(COUNT(B11:B32))*100</f>
        <v>100</v>
      </c>
      <c r="J34" s="24">
        <f>(COUNT(J11:J32))/(COUNT(B11:B32))*100</f>
        <v>100</v>
      </c>
      <c r="K34" s="25">
        <f>(COUNT(K11:K32))/(COUNT(B11:B32))*100</f>
        <v>90.909090909090907</v>
      </c>
      <c r="L34" s="25">
        <f>(COUNT(L11:L32))/(COUNT(B11:B32))*100</f>
        <v>72.727272727272734</v>
      </c>
      <c r="M34" s="25">
        <f>(COUNT(M11:M32))/(COUNT(B11:B32))*100</f>
        <v>90.909090909090907</v>
      </c>
      <c r="N34" s="24">
        <f>(COUNT(N11:N32))/(COUNT(B11:B32))*100</f>
        <v>100</v>
      </c>
      <c r="O34" s="25">
        <f>(COUNT(O11:O32))/(COUNT(B11:B32))*100</f>
        <v>100</v>
      </c>
      <c r="P34" s="25">
        <f>(COUNT(P11:P32))/(COUNT(B11:B32))*100</f>
        <v>95.454545454545453</v>
      </c>
      <c r="Q34" s="24">
        <f>(COUNT(Q11:Q32))/(COUNT(B11:B32))*100</f>
        <v>95.454545454545453</v>
      </c>
      <c r="R34" s="8"/>
    </row>
    <row r="35" spans="1:18" ht="15.75" customHeight="1">
      <c r="A35" s="1"/>
      <c r="B35" s="1"/>
      <c r="C35" s="23" t="s">
        <v>37</v>
      </c>
      <c r="D35" s="24">
        <f>(COUNTIF(D11:D32,"&gt;=7"))/(COUNT(B11:B32))*100</f>
        <v>81.818181818181827</v>
      </c>
      <c r="E35" s="24">
        <f>(COUNTIF(E11:E32,"&gt;=7"))/(COUNT(B11:B32))*100</f>
        <v>77.272727272727266</v>
      </c>
      <c r="F35" s="24">
        <f>(COUNTIF(F11:F32,"&gt;=7"))/(COUNT(B11:B32))*100</f>
        <v>36.363636363636367</v>
      </c>
      <c r="G35" s="24">
        <f>(COUNTIF(G11:G32,"&gt;=7"))/(COUNT(B11:B32))*100</f>
        <v>27.27272727272727</v>
      </c>
      <c r="H35" s="24">
        <f>(COUNTIF(H11:H32,"&gt;=7"))/(COUNT(B11:B32))*100</f>
        <v>18.181818181818183</v>
      </c>
      <c r="I35" s="26">
        <f>(COUNTIF(I11:I32,"&gt;=7"))/(COUNT(B11:B32))*100</f>
        <v>86.36363636363636</v>
      </c>
      <c r="J35" s="26">
        <f>(COUNTIF(J11:J32,"&gt;=7"))/(COUNT(B11:B32))*100</f>
        <v>72.727272727272734</v>
      </c>
      <c r="K35" s="24">
        <f>(COUNTIF(K11:K32,"&gt;=7"))/(COUNT(B11:B32))*100</f>
        <v>50</v>
      </c>
      <c r="L35" s="24">
        <f>(COUNTIF(L11:L32,"&gt;=7"))/(COUNT(B11:B32))*100</f>
        <v>54.54545454545454</v>
      </c>
      <c r="M35" s="25">
        <f>(COUNTIF(M11:M32,"&gt;=7"))/(COUNT(B11:B32))*100</f>
        <v>59.090909090909093</v>
      </c>
      <c r="N35" s="27">
        <f>(COUNTIF(N11:N32,"&gt;=7"))/(COUNT(B11:B32))*100</f>
        <v>59.090909090909093</v>
      </c>
      <c r="O35" s="25">
        <f>(COUNTIF(O11:O32,"&gt;=7"))/(COUNT(B11:B32))*100</f>
        <v>54.54545454545454</v>
      </c>
      <c r="P35" s="25">
        <f>(COUNTIF(P11:P32,"&gt;=7"))/(COUNT(B11:B32))*100</f>
        <v>45.454545454545453</v>
      </c>
      <c r="Q35" s="25">
        <f>(COUNTIF(Q11:Q32,"&gt;=7"))/(COUNT(B11:B32))*100</f>
        <v>63.636363636363633</v>
      </c>
    </row>
    <row r="36" spans="1:18" ht="15.75" customHeight="1">
      <c r="A36" s="1"/>
      <c r="B36" s="1"/>
      <c r="C36" s="28" t="s">
        <v>38</v>
      </c>
      <c r="D36" s="29">
        <f t="shared" ref="D36:D37" si="2">AVERAGE(D34:Q34)</f>
        <v>93.506493506493499</v>
      </c>
      <c r="E36" s="21"/>
      <c r="F36" s="21"/>
      <c r="G36" s="21"/>
      <c r="H36" s="21"/>
      <c r="I36" s="22"/>
      <c r="J36" s="22"/>
      <c r="K36" s="22"/>
      <c r="L36" s="22"/>
      <c r="M36" s="22"/>
      <c r="N36" s="22"/>
      <c r="O36" s="22"/>
      <c r="P36" s="22"/>
      <c r="Q36" s="22"/>
    </row>
    <row r="37" spans="1:18" ht="15.75" customHeight="1">
      <c r="A37" s="1"/>
      <c r="B37" s="1"/>
      <c r="C37" s="28" t="s">
        <v>39</v>
      </c>
      <c r="D37" s="29">
        <f t="shared" si="2"/>
        <v>56.168831168831176</v>
      </c>
      <c r="E37" s="3"/>
      <c r="F37" s="30" t="s">
        <v>40</v>
      </c>
      <c r="G37" s="31"/>
      <c r="H37" s="32"/>
      <c r="I37" s="32"/>
      <c r="J37" s="31"/>
      <c r="K37" s="30" t="s">
        <v>66</v>
      </c>
      <c r="L37" s="32"/>
      <c r="M37" s="4"/>
      <c r="N37" s="4"/>
      <c r="O37" s="4"/>
      <c r="P37" s="4"/>
      <c r="Q37" s="4"/>
    </row>
    <row r="38" spans="1:18" s="7" customFormat="1" ht="15.75" customHeight="1">
      <c r="A38" s="2"/>
      <c r="B38" s="2"/>
      <c r="C38" s="2"/>
      <c r="D38" s="2"/>
      <c r="F38" s="31"/>
      <c r="G38" s="31"/>
      <c r="H38" s="31"/>
      <c r="I38" s="31"/>
      <c r="J38" s="31"/>
      <c r="K38" s="31"/>
      <c r="L38" s="31"/>
      <c r="M38" s="2"/>
      <c r="N38" s="2"/>
      <c r="O38" s="2"/>
      <c r="P38" s="2"/>
      <c r="Q38" s="2"/>
    </row>
    <row r="39" spans="1:18" ht="15.75" customHeight="1">
      <c r="F39" s="30" t="s">
        <v>41</v>
      </c>
      <c r="G39" s="30"/>
      <c r="H39" s="30"/>
      <c r="I39" s="30"/>
      <c r="J39" s="30"/>
      <c r="K39" s="30" t="s">
        <v>42</v>
      </c>
      <c r="L39" s="30"/>
    </row>
    <row r="40" spans="1:18" ht="15.75" customHeight="1">
      <c r="F40" s="30"/>
      <c r="G40" s="30"/>
      <c r="H40" s="31"/>
      <c r="I40" s="31"/>
      <c r="J40" s="31"/>
      <c r="K40" s="31"/>
      <c r="L40" s="31"/>
    </row>
    <row r="41" spans="1:18" ht="15.75" customHeight="1">
      <c r="E41" s="5"/>
    </row>
    <row r="42" spans="1:18" ht="15.75" customHeight="1"/>
    <row r="43" spans="1:18" ht="15.75" customHeight="1"/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R1"/>
    <mergeCell ref="A6:R6"/>
    <mergeCell ref="A5:R5"/>
    <mergeCell ref="A4:R4"/>
    <mergeCell ref="A3:R3"/>
    <mergeCell ref="A2:R2"/>
    <mergeCell ref="Q8:Q10"/>
    <mergeCell ref="R8:R10"/>
    <mergeCell ref="J8:J10"/>
    <mergeCell ref="K8:K10"/>
    <mergeCell ref="L8:L10"/>
    <mergeCell ref="M8:M10"/>
    <mergeCell ref="N8:N10"/>
    <mergeCell ref="O8:O10"/>
    <mergeCell ref="P8:P10"/>
    <mergeCell ref="B7:B10"/>
    <mergeCell ref="C7:C10"/>
    <mergeCell ref="D7:R7"/>
    <mergeCell ref="A7:A10"/>
    <mergeCell ref="D8:D10"/>
    <mergeCell ref="E8:E10"/>
    <mergeCell ref="F8:F10"/>
    <mergeCell ref="G8:G10"/>
    <mergeCell ref="H8:H10"/>
    <mergeCell ref="I8:I10"/>
  </mergeCells>
  <pageMargins left="0.7" right="0.7" top="0.75" bottom="0.75" header="0" footer="0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181</vt:lpstr>
      <vt:lpstr>Зведена відомість 242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Максим</cp:lastModifiedBy>
  <dcterms:created xsi:type="dcterms:W3CDTF">2006-09-28T05:33:49Z</dcterms:created>
  <dcterms:modified xsi:type="dcterms:W3CDTF">2022-09-05T17:08:22Z</dcterms:modified>
</cp:coreProperties>
</file>