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ЭтаКнига"/>
  <bookViews>
    <workbookView xWindow="390" yWindow="525" windowWidth="19815" windowHeight="7365"/>
  </bookViews>
  <sheets>
    <sheet name="Зведена відомість 161" sheetId="1" r:id="rId1"/>
    <sheet name="Рейтингова відомість 161" sheetId="2" r:id="rId2"/>
    <sheet name="Зведена відомість 101" sheetId="3" r:id="rId3"/>
    <sheet name="Рейтингова відомість 101" sheetId="4" r:id="rId4"/>
  </sheets>
  <definedNames>
    <definedName name="_xlnm._FilterDatabase" localSheetId="3" hidden="1">'Рейтингова відомість 101'!$A$11:$Z$120</definedName>
    <definedName name="_xlnm._FilterDatabase" localSheetId="1" hidden="1">'Рейтингова відомість 161'!$A$11:$Z$120</definedName>
  </definedNames>
  <calcPr calcId="125725"/>
  <extLst>
    <ext uri="GoogleSheetsCustomDataVersion1">
      <go:sheetsCustomData xmlns:go="http://customooxmlschemas.google.com/" r:id="" roundtripDataSignature="AMtx7mghx6taQuHc7uS4SJCONmedY8yUGQ=="/>
    </ext>
  </extLst>
</workbook>
</file>

<file path=xl/calcChain.xml><?xml version="1.0" encoding="utf-8"?>
<calcChain xmlns="http://schemas.openxmlformats.org/spreadsheetml/2006/main">
  <c r="D30" i="1"/>
  <c r="D34" i="3"/>
  <c r="D24" i="4" s="1"/>
  <c r="D23"/>
  <c r="D22"/>
  <c r="D21"/>
  <c r="R20"/>
  <c r="S20" s="1"/>
  <c r="R12"/>
  <c r="R13"/>
  <c r="R14"/>
  <c r="R15"/>
  <c r="R16"/>
  <c r="R17"/>
  <c r="R18"/>
  <c r="R19"/>
  <c r="R11"/>
  <c r="S11" s="1"/>
  <c r="R12" i="2"/>
  <c r="R13"/>
  <c r="R14"/>
  <c r="S14" s="1"/>
  <c r="R15"/>
  <c r="R11"/>
  <c r="S11" s="1"/>
  <c r="A120" i="4"/>
  <c r="A119"/>
  <c r="A118"/>
  <c r="A117"/>
  <c r="A116"/>
  <c r="A115"/>
  <c r="A114"/>
  <c r="A113"/>
  <c r="A112"/>
  <c r="A111"/>
  <c r="A110"/>
  <c r="A109"/>
  <c r="A108"/>
  <c r="A107"/>
  <c r="A106"/>
  <c r="A105"/>
  <c r="A104"/>
  <c r="A103"/>
  <c r="A102"/>
  <c r="A101"/>
  <c r="A100"/>
  <c r="A99"/>
  <c r="A98"/>
  <c r="A97"/>
  <c r="A96"/>
  <c r="A95"/>
  <c r="A94"/>
  <c r="A93"/>
  <c r="A92"/>
  <c r="A91"/>
  <c r="A90"/>
  <c r="A89"/>
  <c r="A88"/>
  <c r="A87"/>
  <c r="A86"/>
  <c r="A85"/>
  <c r="A84"/>
  <c r="A83"/>
  <c r="A82"/>
  <c r="A81"/>
  <c r="A80"/>
  <c r="S19"/>
  <c r="S18"/>
  <c r="S17"/>
  <c r="S16"/>
  <c r="S15"/>
  <c r="S14"/>
  <c r="S13"/>
  <c r="S12"/>
  <c r="C109" i="3"/>
  <c r="C108"/>
  <c r="C107"/>
  <c r="C106"/>
  <c r="C105"/>
  <c r="C104"/>
  <c r="C103"/>
  <c r="C102"/>
  <c r="C101"/>
  <c r="C100"/>
  <c r="C99"/>
  <c r="C98"/>
  <c r="C97"/>
  <c r="C96"/>
  <c r="C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C76"/>
  <c r="C75"/>
  <c r="C74"/>
  <c r="C73"/>
  <c r="C72"/>
  <c r="C71"/>
  <c r="C70"/>
  <c r="C69"/>
  <c r="C68"/>
  <c r="C67"/>
  <c r="C66"/>
  <c r="C65"/>
  <c r="C64"/>
  <c r="D32"/>
  <c r="B109" s="1"/>
  <c r="D31"/>
  <c r="A109" s="1"/>
  <c r="Q26"/>
  <c r="P26"/>
  <c r="O26"/>
  <c r="N26"/>
  <c r="M26"/>
  <c r="L26"/>
  <c r="K26"/>
  <c r="J26"/>
  <c r="I26"/>
  <c r="H26"/>
  <c r="G26"/>
  <c r="F26"/>
  <c r="E26"/>
  <c r="D26"/>
  <c r="R26" s="1"/>
  <c r="R25"/>
  <c r="R24"/>
  <c r="R23"/>
  <c r="R22"/>
  <c r="R21"/>
  <c r="R20"/>
  <c r="R19"/>
  <c r="R18"/>
  <c r="R17"/>
  <c r="R16"/>
  <c r="R15"/>
  <c r="R14"/>
  <c r="R13"/>
  <c r="R12"/>
  <c r="R11"/>
  <c r="Q28" s="1"/>
  <c r="S15" i="2"/>
  <c r="S12"/>
  <c r="S13"/>
  <c r="D18"/>
  <c r="D17"/>
  <c r="D16"/>
  <c r="D28" i="1"/>
  <c r="D27"/>
  <c r="Q22"/>
  <c r="P22"/>
  <c r="O22"/>
  <c r="N22"/>
  <c r="M22"/>
  <c r="L22"/>
  <c r="K22"/>
  <c r="J22"/>
  <c r="I22"/>
  <c r="H22"/>
  <c r="G22"/>
  <c r="F22"/>
  <c r="E22"/>
  <c r="D22"/>
  <c r="R21"/>
  <c r="R20"/>
  <c r="R19"/>
  <c r="R18"/>
  <c r="R16"/>
  <c r="R15"/>
  <c r="R14"/>
  <c r="R13"/>
  <c r="R12"/>
  <c r="R11"/>
  <c r="D27" i="3" l="1"/>
  <c r="F27"/>
  <c r="H27"/>
  <c r="J27"/>
  <c r="L27"/>
  <c r="N27"/>
  <c r="P27"/>
  <c r="D28"/>
  <c r="F28"/>
  <c r="H28"/>
  <c r="J28"/>
  <c r="L28"/>
  <c r="N28"/>
  <c r="P28"/>
  <c r="B64"/>
  <c r="B65"/>
  <c r="B66"/>
  <c r="B67"/>
  <c r="B68"/>
  <c r="B69"/>
  <c r="B70"/>
  <c r="B71"/>
  <c r="B72"/>
  <c r="B73"/>
  <c r="B74"/>
  <c r="B75"/>
  <c r="B76"/>
  <c r="B77"/>
  <c r="B78"/>
  <c r="B79"/>
  <c r="B80"/>
  <c r="B81"/>
  <c r="B82"/>
  <c r="B83"/>
  <c r="B84"/>
  <c r="B85"/>
  <c r="B86"/>
  <c r="B87"/>
  <c r="B88"/>
  <c r="B89"/>
  <c r="B90"/>
  <c r="B91"/>
  <c r="B92"/>
  <c r="B93"/>
  <c r="B94"/>
  <c r="B95"/>
  <c r="B96"/>
  <c r="B97"/>
  <c r="B98"/>
  <c r="B99"/>
  <c r="B100"/>
  <c r="B101"/>
  <c r="B102"/>
  <c r="B103"/>
  <c r="B104"/>
  <c r="B105"/>
  <c r="B106"/>
  <c r="B107"/>
  <c r="B108"/>
  <c r="E27"/>
  <c r="G27"/>
  <c r="I27"/>
  <c r="K27"/>
  <c r="M27"/>
  <c r="O27"/>
  <c r="Q27"/>
  <c r="E28"/>
  <c r="G28"/>
  <c r="I28"/>
  <c r="K28"/>
  <c r="M28"/>
  <c r="O28"/>
  <c r="A64"/>
  <c r="A65"/>
  <c r="A66"/>
  <c r="A67"/>
  <c r="A68"/>
  <c r="A69"/>
  <c r="A70"/>
  <c r="A71"/>
  <c r="A72"/>
  <c r="A73"/>
  <c r="A74"/>
  <c r="A75"/>
  <c r="A76"/>
  <c r="A77"/>
  <c r="A78"/>
  <c r="A79"/>
  <c r="A80"/>
  <c r="A81"/>
  <c r="A82"/>
  <c r="A83"/>
  <c r="A84"/>
  <c r="A85"/>
  <c r="A86"/>
  <c r="A87"/>
  <c r="A88"/>
  <c r="A89"/>
  <c r="A90"/>
  <c r="A91"/>
  <c r="A92"/>
  <c r="A93"/>
  <c r="A94"/>
  <c r="A95"/>
  <c r="A96"/>
  <c r="A97"/>
  <c r="A98"/>
  <c r="A99"/>
  <c r="A100"/>
  <c r="A101"/>
  <c r="A102"/>
  <c r="A103"/>
  <c r="A104"/>
  <c r="A105"/>
  <c r="A106"/>
  <c r="A107"/>
  <c r="A108"/>
  <c r="P24" i="1"/>
  <c r="R22"/>
  <c r="E23"/>
  <c r="G23"/>
  <c r="I23"/>
  <c r="K23"/>
  <c r="M23"/>
  <c r="O23"/>
  <c r="Q23"/>
  <c r="E24"/>
  <c r="G24"/>
  <c r="I24"/>
  <c r="K24"/>
  <c r="M24"/>
  <c r="O24"/>
  <c r="Q24"/>
  <c r="D23"/>
  <c r="F23"/>
  <c r="H23"/>
  <c r="J23"/>
  <c r="L23"/>
  <c r="N23"/>
  <c r="P23"/>
  <c r="D24"/>
  <c r="F24"/>
  <c r="H24"/>
  <c r="J24"/>
  <c r="L24"/>
  <c r="N24"/>
  <c r="D109" i="3" l="1"/>
  <c r="D108"/>
  <c r="D107"/>
  <c r="D106"/>
  <c r="D105"/>
  <c r="D104"/>
  <c r="D103"/>
  <c r="D102"/>
  <c r="D101"/>
  <c r="D100"/>
  <c r="D99"/>
  <c r="D98"/>
  <c r="D97"/>
  <c r="D96"/>
  <c r="D95"/>
  <c r="D94"/>
  <c r="D93"/>
  <c r="D92"/>
  <c r="D91"/>
  <c r="D90"/>
  <c r="D89"/>
  <c r="D88"/>
  <c r="D87"/>
  <c r="D86"/>
  <c r="D85"/>
  <c r="D84"/>
  <c r="D83"/>
  <c r="D82"/>
  <c r="D81"/>
  <c r="D80"/>
  <c r="D79"/>
  <c r="D78"/>
  <c r="D77"/>
  <c r="D76"/>
  <c r="D75"/>
  <c r="D74"/>
  <c r="D73"/>
  <c r="D72"/>
  <c r="D71"/>
  <c r="D70"/>
  <c r="D69"/>
  <c r="D68"/>
  <c r="D67"/>
  <c r="D66"/>
  <c r="D65"/>
  <c r="D64"/>
  <c r="D29"/>
  <c r="D30"/>
  <c r="D25" i="1"/>
  <c r="D26"/>
  <c r="A120" i="2"/>
  <c r="A119"/>
  <c r="A118"/>
  <c r="A117"/>
  <c r="A116"/>
  <c r="A115"/>
  <c r="A114"/>
  <c r="A113"/>
  <c r="A112"/>
  <c r="A111"/>
  <c r="A110"/>
  <c r="A109"/>
  <c r="A108"/>
  <c r="A107"/>
  <c r="A106"/>
  <c r="A105"/>
  <c r="A104"/>
  <c r="A103"/>
  <c r="A102"/>
  <c r="A101"/>
  <c r="A100"/>
  <c r="A99"/>
  <c r="A98"/>
  <c r="A97"/>
  <c r="A96"/>
  <c r="A95"/>
  <c r="A94"/>
  <c r="A93"/>
  <c r="A92"/>
  <c r="A91"/>
  <c r="A90"/>
  <c r="A89"/>
  <c r="A88"/>
  <c r="A87"/>
  <c r="A86"/>
  <c r="A85"/>
  <c r="A84"/>
  <c r="A83"/>
  <c r="A82"/>
  <c r="A81"/>
  <c r="A80"/>
  <c r="B103" i="1" l="1"/>
  <c r="C105"/>
  <c r="C104"/>
  <c r="C103"/>
  <c r="C102"/>
  <c r="C101"/>
  <c r="C100"/>
  <c r="C99"/>
  <c r="C98"/>
  <c r="C97"/>
  <c r="C96"/>
  <c r="C95"/>
  <c r="C94"/>
  <c r="C93"/>
  <c r="C92"/>
  <c r="C91"/>
  <c r="C90"/>
  <c r="C89"/>
  <c r="C88"/>
  <c r="C87"/>
  <c r="C86"/>
  <c r="C85"/>
  <c r="C84"/>
  <c r="C83"/>
  <c r="C82"/>
  <c r="C81"/>
  <c r="C80"/>
  <c r="C79"/>
  <c r="C78"/>
  <c r="C77"/>
  <c r="C76"/>
  <c r="C75"/>
  <c r="C74"/>
  <c r="C73"/>
  <c r="C72"/>
  <c r="C71"/>
  <c r="C70"/>
  <c r="C69"/>
  <c r="C68"/>
  <c r="C67"/>
  <c r="C66"/>
  <c r="C65"/>
  <c r="C64"/>
  <c r="C63"/>
  <c r="C62"/>
  <c r="C61"/>
  <c r="C60"/>
  <c r="D72" l="1"/>
  <c r="D103"/>
  <c r="D99"/>
  <c r="D95"/>
  <c r="D19" i="2" s="1"/>
  <c r="D91" i="1"/>
  <c r="D87"/>
  <c r="D83"/>
  <c r="D79"/>
  <c r="D75"/>
  <c r="D71"/>
  <c r="D67"/>
  <c r="D63"/>
  <c r="D102"/>
  <c r="D98"/>
  <c r="D94"/>
  <c r="D90"/>
  <c r="D86"/>
  <c r="D82"/>
  <c r="D78"/>
  <c r="D74"/>
  <c r="D70"/>
  <c r="D66"/>
  <c r="D62"/>
  <c r="D105"/>
  <c r="D101"/>
  <c r="D97"/>
  <c r="D93"/>
  <c r="D89"/>
  <c r="D85"/>
  <c r="D81"/>
  <c r="D77"/>
  <c r="D73"/>
  <c r="D69"/>
  <c r="D65"/>
  <c r="D61"/>
  <c r="D104"/>
  <c r="D100"/>
  <c r="D96"/>
  <c r="D92"/>
  <c r="D88"/>
  <c r="D84"/>
  <c r="D80"/>
  <c r="D76"/>
  <c r="D68"/>
  <c r="D64"/>
  <c r="D60"/>
  <c r="A62"/>
  <c r="A66"/>
  <c r="A70"/>
  <c r="A74"/>
  <c r="A78"/>
  <c r="A82"/>
  <c r="A90"/>
  <c r="A94"/>
  <c r="A98"/>
  <c r="A102"/>
  <c r="B60"/>
  <c r="B64"/>
  <c r="B68"/>
  <c r="B72"/>
  <c r="B76"/>
  <c r="B80"/>
  <c r="B84"/>
  <c r="B88"/>
  <c r="B92"/>
  <c r="B96"/>
  <c r="B100"/>
  <c r="B104"/>
  <c r="A63"/>
  <c r="A67"/>
  <c r="A71"/>
  <c r="A75"/>
  <c r="A79"/>
  <c r="A83"/>
  <c r="A87"/>
  <c r="A91"/>
  <c r="A95"/>
  <c r="A99"/>
  <c r="A103"/>
  <c r="B61"/>
  <c r="B65"/>
  <c r="B69"/>
  <c r="B73"/>
  <c r="B77"/>
  <c r="B81"/>
  <c r="B85"/>
  <c r="B89"/>
  <c r="B93"/>
  <c r="B97"/>
  <c r="B101"/>
  <c r="B105"/>
  <c r="A60"/>
  <c r="A64"/>
  <c r="A68"/>
  <c r="A72"/>
  <c r="A76"/>
  <c r="A80"/>
  <c r="A84"/>
  <c r="A88"/>
  <c r="A92"/>
  <c r="A96"/>
  <c r="A100"/>
  <c r="A104"/>
  <c r="B62"/>
  <c r="B66"/>
  <c r="B70"/>
  <c r="B74"/>
  <c r="B78"/>
  <c r="B82"/>
  <c r="B86"/>
  <c r="B90"/>
  <c r="B94"/>
  <c r="B98"/>
  <c r="B102"/>
  <c r="A61"/>
  <c r="A65"/>
  <c r="A69"/>
  <c r="A73"/>
  <c r="A77"/>
  <c r="A81"/>
  <c r="A85"/>
  <c r="A89"/>
  <c r="A93"/>
  <c r="A97"/>
  <c r="A101"/>
  <c r="A105"/>
  <c r="B63"/>
  <c r="B67"/>
  <c r="B71"/>
  <c r="B75"/>
  <c r="B79"/>
  <c r="B83"/>
  <c r="B87"/>
  <c r="B91"/>
  <c r="B95"/>
  <c r="B99"/>
  <c r="A86"/>
</calcChain>
</file>

<file path=xl/sharedStrings.xml><?xml version="1.0" encoding="utf-8"?>
<sst xmlns="http://schemas.openxmlformats.org/spreadsheetml/2006/main" count="255" uniqueCount="71">
  <si>
    <t xml:space="preserve">ЗВЕДЕНА  ВІДОМІСТЬ  </t>
  </si>
  <si>
    <t>Успішності студентів спеціальності 101 «Екологія»</t>
  </si>
  <si>
    <t>За І семестр 2021-2022 н.р.</t>
  </si>
  <si>
    <t>Група 21-4 курс І</t>
  </si>
  <si>
    <t>Б/К</t>
  </si>
  <si>
    <t>№ п/п</t>
  </si>
  <si>
    <t>Прізвище, ім’я по батькові</t>
  </si>
  <si>
    <t>Підсумкові оцінки дисциплін</t>
  </si>
  <si>
    <t>Українська література
Грубіна О.П.</t>
  </si>
  <si>
    <t>Всесвітня історія
Мельничук С.А.</t>
  </si>
  <si>
    <t>Математика
Земляна Т.М.</t>
  </si>
  <si>
    <t>Фізика
Калюта Н.М.</t>
  </si>
  <si>
    <t>Хімія
Сахно Н.О.</t>
  </si>
  <si>
    <t>Інформатика
Охримчук В.С.</t>
  </si>
  <si>
    <t>Українська мова
Грубіна О.П.</t>
  </si>
  <si>
    <t>Зарубіжна література
Пруднікова Я.П.</t>
  </si>
  <si>
    <t>Біологія
Богданенко О.В.</t>
  </si>
  <si>
    <t>Фізичне виховання
Галеніна І.С.</t>
  </si>
  <si>
    <t>Іноземна мова
Кубова Т.М.</t>
  </si>
  <si>
    <t>ЗУ
Лазар В.І.
Стельмах Н.Ю.
Черкашин А.Д.</t>
  </si>
  <si>
    <t>Історія України
Левчук Т.Г.</t>
  </si>
  <si>
    <t>Географія
Наговська Т.С.</t>
  </si>
  <si>
    <t>Середній бал</t>
  </si>
  <si>
    <t>К</t>
  </si>
  <si>
    <t>Б</t>
  </si>
  <si>
    <t>н/а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</si>
  <si>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</si>
  <si>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</si>
  <si>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</si>
  <si>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</si>
  <si>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</si>
  <si>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контрактників</t>
  </si>
  <si>
    <t>Кількість бюджетників</t>
  </si>
  <si>
    <t>Кількість соціального контингенту</t>
  </si>
  <si>
    <t>Вийшли на стипендію</t>
  </si>
  <si>
    <t>Класний керівник</t>
  </si>
  <si>
    <t>Ярослава ПРУДНІКОВА</t>
  </si>
  <si>
    <t>Завідувач відділення ПЗСО</t>
  </si>
  <si>
    <t>Маргарита БРІТІКОВА</t>
  </si>
  <si>
    <t xml:space="preserve">РЕЙТИНГОВА  ВІДОМІСТЬ  </t>
  </si>
  <si>
    <t>Успішності студентів спеціальності 161 «Хімічні технології та інженерія»</t>
  </si>
  <si>
    <t xml:space="preserve">Середній бал    </t>
  </si>
  <si>
    <t>Рейтинг</t>
  </si>
  <si>
    <t>Беспалько В’ячеслав Геннадійович</t>
  </si>
  <si>
    <t>Білий Ніл Олександрович</t>
  </si>
  <si>
    <t>Будко Володимир Володимирович</t>
  </si>
  <si>
    <t>Гайдаржи Олександр Микол.</t>
  </si>
  <si>
    <t>Дімітрова Василіка Віталіївна</t>
  </si>
  <si>
    <t>Казанджій Богдан Миколайович</t>
  </si>
  <si>
    <t xml:space="preserve">Калінку Дарія Андріївна </t>
  </si>
  <si>
    <t>Мешкова Вікторія Ігорівна</t>
  </si>
  <si>
    <t>Пасічник Артем Сергійович</t>
  </si>
  <si>
    <t xml:space="preserve">Салтанова Катерина Ігорівна </t>
  </si>
  <si>
    <t>Цуканов Іван Павлович</t>
  </si>
  <si>
    <t>Абабіна Ірина Олександрівна</t>
  </si>
  <si>
    <t>Варьоха Вероніка Андріївна</t>
  </si>
  <si>
    <t>Дорошук Олена Володимирівна</t>
  </si>
  <si>
    <t>Жуковська Олександра Олександрівна</t>
  </si>
  <si>
    <t>Карпенко Анна Сергіївна</t>
  </si>
  <si>
    <t>Катуніна Валерія Євгенівна</t>
  </si>
  <si>
    <t>Ковальов Максим Олегович</t>
  </si>
  <si>
    <t>Козуб Станіслав Валентинович</t>
  </si>
  <si>
    <t>Максимова Віолетта Олександрівна</t>
  </si>
  <si>
    <t>Михайленко Марія Вячесавівн</t>
  </si>
  <si>
    <t>Нєдов Ярослав Васильович</t>
  </si>
  <si>
    <t xml:space="preserve">Петренко Софія Сергіївна </t>
  </si>
  <si>
    <t>Ротар Софія Василівна</t>
  </si>
  <si>
    <t>Хемій Мирослава Василівна</t>
  </si>
  <si>
    <t>Храмченкова Єва Сергіївна</t>
  </si>
  <si>
    <t>ВСП "ФАХОВИЙ КОЛЕДЖ НАФТОГАЗОВИХ ТЕХНОЛОГІЙ, ІНЖЕНЕРІЇ ТА ІНФРАСТРУКТУРИ СЕРВІСУ</t>
  </si>
  <si>
    <t>ОДЕСЬКОЇ НАЦІОНАЛЬНОЇ АКАДЕМІЇ ХАРЧОВИХ ТЕХНОЛОГІЙ"</t>
  </si>
</sst>
</file>

<file path=xl/styles.xml><?xml version="1.0" encoding="utf-8"?>
<styleSheet xmlns="http://schemas.openxmlformats.org/spreadsheetml/2006/main">
  <numFmts count="1">
    <numFmt numFmtId="164" formatCode="0.0"/>
  </numFmts>
  <fonts count="16">
    <font>
      <sz val="11"/>
      <color rgb="FF000000"/>
      <name val="Calibri"/>
    </font>
    <font>
      <sz val="14"/>
      <color theme="1"/>
      <name val="Times New Roman"/>
      <family val="1"/>
      <charset val="204"/>
    </font>
    <font>
      <sz val="16"/>
      <color theme="1"/>
      <name val="Arimo"/>
    </font>
    <font>
      <b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</font>
    <font>
      <b/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theme="1"/>
      <name val="Arimo"/>
    </font>
    <font>
      <sz val="14"/>
      <color rgb="FF000000"/>
      <name val="Times New Roman"/>
      <family val="1"/>
      <charset val="204"/>
    </font>
    <font>
      <sz val="14"/>
      <color rgb="FF000000"/>
      <name val="Calibri"/>
      <family val="2"/>
      <charset val="204"/>
    </font>
    <font>
      <sz val="11"/>
      <color theme="0"/>
      <name val="Calibri"/>
      <family val="2"/>
      <charset val="204"/>
    </font>
    <font>
      <sz val="11"/>
      <color rgb="FF000000"/>
      <name val="Calibri"/>
      <family val="2"/>
      <charset val="204"/>
    </font>
    <font>
      <sz val="12"/>
      <color rgb="FF000000"/>
      <name val="&quot;Times New Roman&quot;"/>
    </font>
    <font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5" fillId="0" borderId="9"/>
  </cellStyleXfs>
  <cellXfs count="125">
    <xf numFmtId="0" fontId="0" fillId="0" borderId="0" xfId="0" applyFont="1" applyAlignment="1"/>
    <xf numFmtId="0" fontId="2" fillId="0" borderId="0" xfId="0" applyFont="1"/>
    <xf numFmtId="0" fontId="0" fillId="0" borderId="0" xfId="0" applyFont="1"/>
    <xf numFmtId="0" fontId="7" fillId="0" borderId="7" xfId="0" applyFont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/>
    </xf>
    <xf numFmtId="164" fontId="4" fillId="3" borderId="7" xfId="0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4" fillId="2" borderId="7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8" fillId="0" borderId="0" xfId="0" applyFont="1"/>
    <xf numFmtId="164" fontId="12" fillId="0" borderId="0" xfId="0" applyNumberFormat="1" applyFont="1" applyAlignment="1"/>
    <xf numFmtId="1" fontId="12" fillId="0" borderId="0" xfId="0" applyNumberFormat="1" applyFont="1" applyAlignment="1"/>
    <xf numFmtId="0" fontId="12" fillId="0" borderId="0" xfId="0" applyFont="1" applyAlignment="1"/>
    <xf numFmtId="0" fontId="0" fillId="0" borderId="0" xfId="0" applyFont="1" applyAlignment="1"/>
    <xf numFmtId="0" fontId="7" fillId="5" borderId="16" xfId="0" applyFont="1" applyFill="1" applyBorder="1" applyAlignment="1">
      <alignment horizontal="center" vertical="center"/>
    </xf>
    <xf numFmtId="0" fontId="7" fillId="5" borderId="16" xfId="0" applyFont="1" applyFill="1" applyBorder="1" applyAlignment="1">
      <alignment horizontal="left" vertical="center"/>
    </xf>
    <xf numFmtId="2" fontId="7" fillId="5" borderId="16" xfId="0" applyNumberFormat="1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2" fontId="7" fillId="0" borderId="16" xfId="0" applyNumberFormat="1" applyFont="1" applyBorder="1" applyAlignment="1">
      <alignment horizontal="center" vertical="center"/>
    </xf>
    <xf numFmtId="0" fontId="13" fillId="0" borderId="0" xfId="0" applyFont="1" applyAlignment="1"/>
    <xf numFmtId="0" fontId="0" fillId="0" borderId="0" xfId="0" applyFont="1" applyAlignment="1"/>
    <xf numFmtId="2" fontId="0" fillId="0" borderId="9" xfId="0" applyNumberFormat="1" applyFont="1" applyBorder="1"/>
    <xf numFmtId="0" fontId="0" fillId="0" borderId="9" xfId="0" applyFont="1" applyBorder="1"/>
    <xf numFmtId="0" fontId="0" fillId="0" borderId="9" xfId="0" applyFont="1" applyBorder="1" applyAlignment="1"/>
    <xf numFmtId="164" fontId="4" fillId="4" borderId="1" xfId="0" applyNumberFormat="1" applyFont="1" applyFill="1" applyBorder="1" applyAlignment="1">
      <alignment horizontal="center" vertical="center"/>
    </xf>
    <xf numFmtId="164" fontId="4" fillId="4" borderId="16" xfId="0" applyNumberFormat="1" applyFont="1" applyFill="1" applyBorder="1" applyAlignment="1">
      <alignment horizontal="center" vertical="center"/>
    </xf>
    <xf numFmtId="164" fontId="4" fillId="0" borderId="8" xfId="0" applyNumberFormat="1" applyFont="1" applyBorder="1" applyAlignment="1">
      <alignment horizontal="center" vertical="center"/>
    </xf>
    <xf numFmtId="0" fontId="0" fillId="0" borderId="0" xfId="0" applyFont="1" applyAlignment="1"/>
    <xf numFmtId="0" fontId="14" fillId="2" borderId="7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/>
    </xf>
    <xf numFmtId="164" fontId="4" fillId="3" borderId="8" xfId="0" applyNumberFormat="1" applyFont="1" applyFill="1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0" borderId="9" xfId="0" applyFont="1" applyBorder="1"/>
    <xf numFmtId="0" fontId="11" fillId="0" borderId="9" xfId="0" applyFont="1" applyBorder="1"/>
    <xf numFmtId="1" fontId="4" fillId="0" borderId="8" xfId="0" applyNumberFormat="1" applyFont="1" applyBorder="1" applyAlignment="1">
      <alignment horizontal="center" vertical="center"/>
    </xf>
    <xf numFmtId="0" fontId="4" fillId="0" borderId="8" xfId="0" applyNumberFormat="1" applyFont="1" applyBorder="1" applyAlignment="1">
      <alignment horizontal="center" vertical="center"/>
    </xf>
    <xf numFmtId="0" fontId="2" fillId="0" borderId="9" xfId="1" applyFont="1"/>
    <xf numFmtId="0" fontId="0" fillId="0" borderId="9" xfId="1" applyFont="1"/>
    <xf numFmtId="0" fontId="0" fillId="0" borderId="9" xfId="1" applyFont="1" applyAlignment="1"/>
    <xf numFmtId="0" fontId="7" fillId="0" borderId="7" xfId="1" applyFont="1" applyBorder="1" applyAlignment="1">
      <alignment horizontal="center" vertical="center" wrapText="1"/>
    </xf>
    <xf numFmtId="0" fontId="4" fillId="2" borderId="7" xfId="1" applyFont="1" applyFill="1" applyBorder="1" applyAlignment="1">
      <alignment horizontal="center" vertical="center" wrapText="1"/>
    </xf>
    <xf numFmtId="0" fontId="7" fillId="0" borderId="7" xfId="1" applyFont="1" applyBorder="1" applyAlignment="1">
      <alignment horizontal="left" vertical="center" wrapText="1"/>
    </xf>
    <xf numFmtId="0" fontId="7" fillId="0" borderId="7" xfId="1" applyFont="1" applyBorder="1" applyAlignment="1">
      <alignment horizontal="center" vertical="center"/>
    </xf>
    <xf numFmtId="164" fontId="4" fillId="3" borderId="7" xfId="1" applyNumberFormat="1" applyFont="1" applyFill="1" applyBorder="1" applyAlignment="1">
      <alignment horizontal="center" vertical="center"/>
    </xf>
    <xf numFmtId="2" fontId="0" fillId="0" borderId="9" xfId="1" applyNumberFormat="1" applyFont="1" applyBorder="1"/>
    <xf numFmtId="0" fontId="0" fillId="0" borderId="9" xfId="1" applyFont="1" applyBorder="1"/>
    <xf numFmtId="0" fontId="0" fillId="0" borderId="9" xfId="1" applyFont="1" applyBorder="1" applyAlignment="1"/>
    <xf numFmtId="0" fontId="4" fillId="2" borderId="8" xfId="1" applyFont="1" applyFill="1" applyBorder="1" applyAlignment="1">
      <alignment vertical="center" wrapText="1"/>
    </xf>
    <xf numFmtId="164" fontId="4" fillId="3" borderId="16" xfId="1" applyNumberFormat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vertical="center" wrapText="1"/>
    </xf>
    <xf numFmtId="164" fontId="4" fillId="4" borderId="1" xfId="1" applyNumberFormat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164" fontId="4" fillId="4" borderId="16" xfId="1" applyNumberFormat="1" applyFont="1" applyFill="1" applyBorder="1" applyAlignment="1">
      <alignment horizontal="center" vertical="center"/>
    </xf>
    <xf numFmtId="164" fontId="4" fillId="0" borderId="9" xfId="1" applyNumberFormat="1" applyFont="1" applyAlignment="1">
      <alignment horizontal="center" vertical="center"/>
    </xf>
    <xf numFmtId="0" fontId="9" fillId="0" borderId="9" xfId="1" applyFont="1" applyAlignment="1">
      <alignment horizontal="center" vertical="center"/>
    </xf>
    <xf numFmtId="0" fontId="9" fillId="2" borderId="9" xfId="1" applyFont="1" applyFill="1" applyBorder="1" applyAlignment="1">
      <alignment horizontal="center" vertical="center"/>
    </xf>
    <xf numFmtId="164" fontId="4" fillId="0" borderId="8" xfId="1" applyNumberFormat="1" applyFont="1" applyBorder="1" applyAlignment="1">
      <alignment horizontal="center" vertical="center"/>
    </xf>
    <xf numFmtId="164" fontId="4" fillId="0" borderId="16" xfId="1" applyNumberFormat="1" applyFont="1" applyFill="1" applyBorder="1" applyAlignment="1">
      <alignment horizontal="center" vertical="center"/>
    </xf>
    <xf numFmtId="0" fontId="10" fillId="0" borderId="9" xfId="1" applyFont="1"/>
    <xf numFmtId="0" fontId="11" fillId="0" borderId="9" xfId="1" applyFont="1"/>
    <xf numFmtId="0" fontId="8" fillId="0" borderId="9" xfId="1" applyFont="1"/>
    <xf numFmtId="164" fontId="12" fillId="0" borderId="9" xfId="1" applyNumberFormat="1" applyFont="1" applyAlignment="1"/>
    <xf numFmtId="1" fontId="12" fillId="0" borderId="9" xfId="1" applyNumberFormat="1" applyFont="1" applyAlignment="1"/>
    <xf numFmtId="0" fontId="7" fillId="5" borderId="16" xfId="1" applyFont="1" applyFill="1" applyBorder="1" applyAlignment="1">
      <alignment horizontal="center" vertical="center"/>
    </xf>
    <xf numFmtId="0" fontId="7" fillId="5" borderId="16" xfId="1" applyFont="1" applyFill="1" applyBorder="1" applyAlignment="1">
      <alignment horizontal="left" vertical="center"/>
    </xf>
    <xf numFmtId="2" fontId="7" fillId="5" borderId="16" xfId="1" applyNumberFormat="1" applyFont="1" applyFill="1" applyBorder="1" applyAlignment="1">
      <alignment horizontal="center" vertical="center"/>
    </xf>
    <xf numFmtId="0" fontId="13" fillId="0" borderId="9" xfId="1" applyFont="1" applyAlignment="1"/>
    <xf numFmtId="0" fontId="7" fillId="0" borderId="16" xfId="1" applyFont="1" applyBorder="1" applyAlignment="1">
      <alignment horizontal="center" vertical="center"/>
    </xf>
    <xf numFmtId="0" fontId="7" fillId="0" borderId="16" xfId="1" applyFont="1" applyBorder="1" applyAlignment="1">
      <alignment horizontal="left" vertical="center"/>
    </xf>
    <xf numFmtId="2" fontId="7" fillId="0" borderId="16" xfId="1" applyNumberFormat="1" applyFont="1" applyBorder="1" applyAlignment="1">
      <alignment horizontal="center" vertical="center"/>
    </xf>
    <xf numFmtId="0" fontId="12" fillId="0" borderId="9" xfId="1" applyFont="1" applyAlignment="1"/>
    <xf numFmtId="2" fontId="7" fillId="6" borderId="16" xfId="0" applyNumberFormat="1" applyFont="1" applyFill="1" applyBorder="1" applyAlignment="1">
      <alignment horizontal="center" vertical="center"/>
    </xf>
    <xf numFmtId="2" fontId="7" fillId="6" borderId="16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textRotation="90" wrapText="1"/>
    </xf>
    <xf numFmtId="0" fontId="5" fillId="0" borderId="5" xfId="0" applyFont="1" applyBorder="1"/>
    <xf numFmtId="0" fontId="5" fillId="0" borderId="6" xfId="0" applyFont="1" applyBorder="1"/>
    <xf numFmtId="0" fontId="6" fillId="2" borderId="1" xfId="0" applyFont="1" applyFill="1" applyBorder="1" applyAlignment="1">
      <alignment horizontal="center" vertical="center" textRotation="90" wrapTex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4" fillId="2" borderId="1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 textRotation="90" wrapText="1"/>
    </xf>
    <xf numFmtId="0" fontId="5" fillId="0" borderId="17" xfId="0" applyFont="1" applyBorder="1"/>
    <xf numFmtId="0" fontId="5" fillId="0" borderId="15" xfId="0" applyFont="1" applyBorder="1"/>
    <xf numFmtId="0" fontId="6" fillId="2" borderId="16" xfId="0" applyFont="1" applyFill="1" applyBorder="1" applyAlignment="1">
      <alignment horizontal="center" vertical="center" textRotation="90" wrapText="1"/>
    </xf>
    <xf numFmtId="0" fontId="5" fillId="0" borderId="16" xfId="0" applyFont="1" applyBorder="1"/>
    <xf numFmtId="0" fontId="5" fillId="0" borderId="14" xfId="0" applyFont="1" applyBorder="1"/>
    <xf numFmtId="0" fontId="1" fillId="0" borderId="10" xfId="0" applyFont="1" applyBorder="1" applyAlignment="1">
      <alignment horizontal="center"/>
    </xf>
    <xf numFmtId="0" fontId="5" fillId="0" borderId="10" xfId="0" applyFont="1" applyBorder="1"/>
    <xf numFmtId="0" fontId="4" fillId="0" borderId="11" xfId="0" applyFont="1" applyBorder="1" applyAlignment="1">
      <alignment horizontal="center"/>
    </xf>
    <xf numFmtId="0" fontId="5" fillId="0" borderId="12" xfId="0" applyFont="1" applyBorder="1"/>
    <xf numFmtId="0" fontId="5" fillId="0" borderId="13" xfId="0" applyFont="1" applyBorder="1"/>
    <xf numFmtId="0" fontId="4" fillId="0" borderId="1" xfId="1" applyFont="1" applyBorder="1" applyAlignment="1">
      <alignment horizontal="center" textRotation="90" wrapText="1"/>
    </xf>
    <xf numFmtId="0" fontId="5" fillId="0" borderId="14" xfId="1" applyFont="1" applyBorder="1"/>
    <xf numFmtId="0" fontId="5" fillId="0" borderId="8" xfId="1" applyFont="1" applyBorder="1"/>
    <xf numFmtId="0" fontId="6" fillId="2" borderId="1" xfId="1" applyFont="1" applyFill="1" applyBorder="1" applyAlignment="1">
      <alignment horizontal="center" vertical="center" textRotation="90" wrapText="1"/>
    </xf>
    <xf numFmtId="0" fontId="1" fillId="0" borderId="9" xfId="1" applyFont="1" applyAlignment="1">
      <alignment horizontal="center"/>
    </xf>
    <xf numFmtId="0" fontId="0" fillId="0" borderId="9" xfId="1" applyFont="1" applyAlignment="1"/>
    <xf numFmtId="0" fontId="3" fillId="0" borderId="9" xfId="1" applyFont="1" applyAlignment="1">
      <alignment horizontal="center"/>
    </xf>
    <xf numFmtId="0" fontId="4" fillId="2" borderId="1" xfId="1" applyFont="1" applyFill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 wrapText="1"/>
    </xf>
    <xf numFmtId="0" fontId="4" fillId="0" borderId="2" xfId="1" applyFont="1" applyBorder="1" applyAlignment="1">
      <alignment horizontal="center"/>
    </xf>
    <xf numFmtId="0" fontId="5" fillId="0" borderId="3" xfId="1" applyFont="1" applyBorder="1"/>
    <xf numFmtId="0" fontId="5" fillId="0" borderId="4" xfId="1" applyFont="1" applyBorder="1"/>
    <xf numFmtId="0" fontId="6" fillId="0" borderId="11" xfId="1" applyFont="1" applyBorder="1" applyAlignment="1">
      <alignment horizontal="center" vertical="center" textRotation="90" wrapText="1"/>
    </xf>
    <xf numFmtId="0" fontId="5" fillId="0" borderId="17" xfId="1" applyFont="1" applyBorder="1"/>
    <xf numFmtId="0" fontId="5" fillId="0" borderId="15" xfId="1" applyFont="1" applyBorder="1"/>
    <xf numFmtId="0" fontId="6" fillId="2" borderId="16" xfId="1" applyFont="1" applyFill="1" applyBorder="1" applyAlignment="1">
      <alignment horizontal="center" vertical="center" textRotation="90" wrapText="1"/>
    </xf>
    <xf numFmtId="0" fontId="5" fillId="0" borderId="16" xfId="1" applyFont="1" applyBorder="1"/>
    <xf numFmtId="0" fontId="1" fillId="0" borderId="10" xfId="1" applyFont="1" applyBorder="1" applyAlignment="1">
      <alignment horizontal="center"/>
    </xf>
    <xf numFmtId="0" fontId="5" fillId="0" borderId="10" xfId="1" applyFont="1" applyBorder="1"/>
    <xf numFmtId="0" fontId="4" fillId="0" borderId="11" xfId="1" applyFont="1" applyBorder="1" applyAlignment="1">
      <alignment horizontal="center"/>
    </xf>
    <xf numFmtId="0" fontId="5" fillId="0" borderId="12" xfId="1" applyFont="1" applyBorder="1"/>
    <xf numFmtId="0" fontId="5" fillId="0" borderId="13" xfId="1" applyFont="1" applyBorder="1"/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Лист1"/>
  <dimension ref="A1:Z985"/>
  <sheetViews>
    <sheetView tabSelected="1" workbookViewId="0">
      <selection activeCell="E25" sqref="E25"/>
    </sheetView>
  </sheetViews>
  <sheetFormatPr defaultColWidth="14.42578125" defaultRowHeight="15" customHeight="1"/>
  <cols>
    <col min="1" max="1" width="4.140625" customWidth="1"/>
    <col min="2" max="2" width="6.5703125" customWidth="1"/>
    <col min="3" max="3" width="40.42578125" customWidth="1"/>
    <col min="4" max="14" width="6.7109375" customWidth="1"/>
    <col min="15" max="15" width="12.7109375" customWidth="1"/>
    <col min="16" max="17" width="6.7109375" customWidth="1"/>
    <col min="18" max="18" width="11.28515625" customWidth="1"/>
    <col min="19" max="19" width="14.42578125" customWidth="1"/>
  </cols>
  <sheetData>
    <row r="1" spans="1:26" ht="15" customHeight="1">
      <c r="A1" s="85" t="s">
        <v>69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1"/>
      <c r="Q1" s="1"/>
      <c r="R1" s="1"/>
      <c r="S1" s="2"/>
      <c r="T1" s="2"/>
      <c r="U1" s="2"/>
      <c r="V1" s="2"/>
      <c r="W1" s="2"/>
      <c r="X1" s="2"/>
      <c r="Y1" s="2"/>
      <c r="Z1" s="2"/>
    </row>
    <row r="2" spans="1:26" ht="15" customHeight="1">
      <c r="A2" s="85" t="s">
        <v>70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1"/>
      <c r="Q2" s="1"/>
      <c r="R2" s="1"/>
      <c r="S2" s="2"/>
      <c r="T2" s="2"/>
      <c r="U2" s="2"/>
      <c r="V2" s="2"/>
      <c r="W2" s="2"/>
      <c r="X2" s="2"/>
      <c r="Y2" s="2"/>
      <c r="Z2" s="2"/>
    </row>
    <row r="3" spans="1:26" ht="15" customHeight="1">
      <c r="A3" s="87" t="s">
        <v>0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1"/>
      <c r="Q3" s="1"/>
      <c r="R3" s="1"/>
      <c r="S3" s="2"/>
      <c r="T3" s="2"/>
      <c r="U3" s="2"/>
      <c r="V3" s="2"/>
      <c r="W3" s="2"/>
      <c r="X3" s="2"/>
      <c r="Y3" s="2"/>
      <c r="Z3" s="2"/>
    </row>
    <row r="4" spans="1:26" ht="15" customHeight="1">
      <c r="A4" s="85" t="s">
        <v>40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1"/>
      <c r="Q4" s="1"/>
      <c r="R4" s="1"/>
      <c r="S4" s="2"/>
      <c r="T4" s="2"/>
      <c r="U4" s="2"/>
      <c r="V4" s="2"/>
      <c r="W4" s="2"/>
      <c r="X4" s="2"/>
      <c r="Y4" s="2"/>
      <c r="Z4" s="2"/>
    </row>
    <row r="5" spans="1:26" ht="15" customHeight="1">
      <c r="A5" s="85" t="s">
        <v>2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1"/>
      <c r="Q5" s="1"/>
      <c r="R5" s="1"/>
      <c r="S5" s="2"/>
      <c r="T5" s="2"/>
      <c r="U5" s="2"/>
      <c r="V5" s="2"/>
      <c r="W5" s="2"/>
      <c r="X5" s="2"/>
      <c r="Y5" s="2"/>
      <c r="Z5" s="2"/>
    </row>
    <row r="6" spans="1:26" ht="15" customHeight="1">
      <c r="A6" s="85" t="s">
        <v>3</v>
      </c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1"/>
      <c r="Q6" s="1"/>
      <c r="R6" s="1"/>
      <c r="S6" s="2"/>
      <c r="T6" s="2"/>
      <c r="U6" s="2"/>
      <c r="V6" s="2"/>
      <c r="W6" s="2"/>
      <c r="X6" s="2"/>
      <c r="Y6" s="2"/>
      <c r="Z6" s="2"/>
    </row>
    <row r="7" spans="1:26" ht="15" customHeight="1">
      <c r="A7" s="91" t="s">
        <v>4</v>
      </c>
      <c r="B7" s="84" t="s">
        <v>5</v>
      </c>
      <c r="C7" s="84" t="s">
        <v>6</v>
      </c>
      <c r="D7" s="88" t="s">
        <v>7</v>
      </c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90"/>
      <c r="S7" s="2"/>
      <c r="T7" s="2"/>
      <c r="U7" s="2"/>
      <c r="V7" s="2"/>
      <c r="W7" s="2"/>
      <c r="X7" s="2"/>
      <c r="Y7" s="2"/>
      <c r="Z7" s="2"/>
    </row>
    <row r="8" spans="1:26" ht="15" customHeight="1">
      <c r="A8" s="81"/>
      <c r="B8" s="81"/>
      <c r="C8" s="81"/>
      <c r="D8" s="80" t="s">
        <v>8</v>
      </c>
      <c r="E8" s="80" t="s">
        <v>9</v>
      </c>
      <c r="F8" s="80" t="s">
        <v>10</v>
      </c>
      <c r="G8" s="80" t="s">
        <v>11</v>
      </c>
      <c r="H8" s="80" t="s">
        <v>12</v>
      </c>
      <c r="I8" s="80" t="s">
        <v>13</v>
      </c>
      <c r="J8" s="80" t="s">
        <v>14</v>
      </c>
      <c r="K8" s="80" t="s">
        <v>15</v>
      </c>
      <c r="L8" s="80" t="s">
        <v>16</v>
      </c>
      <c r="M8" s="80" t="s">
        <v>17</v>
      </c>
      <c r="N8" s="80" t="s">
        <v>18</v>
      </c>
      <c r="O8" s="80" t="s">
        <v>19</v>
      </c>
      <c r="P8" s="80" t="s">
        <v>20</v>
      </c>
      <c r="Q8" s="80" t="s">
        <v>21</v>
      </c>
      <c r="R8" s="83" t="s">
        <v>22</v>
      </c>
      <c r="S8" s="2"/>
      <c r="T8" s="2"/>
      <c r="U8" s="2"/>
      <c r="V8" s="2"/>
      <c r="W8" s="2"/>
      <c r="X8" s="2"/>
      <c r="Y8" s="2"/>
      <c r="Z8" s="2"/>
    </row>
    <row r="9" spans="1:26" ht="15" customHeight="1">
      <c r="A9" s="81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2"/>
      <c r="T9" s="2"/>
      <c r="U9" s="2"/>
      <c r="V9" s="2"/>
      <c r="W9" s="2"/>
      <c r="X9" s="2"/>
      <c r="Y9" s="2"/>
      <c r="Z9" s="2"/>
    </row>
    <row r="10" spans="1:26" ht="97.5" customHeight="1">
      <c r="A10" s="82"/>
      <c r="B10" s="82"/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2"/>
      <c r="T10" s="2"/>
      <c r="U10" s="2"/>
      <c r="V10" s="2"/>
      <c r="W10" s="2"/>
      <c r="X10" s="2"/>
      <c r="Y10" s="2"/>
      <c r="Z10" s="2"/>
    </row>
    <row r="11" spans="1:26" s="29" customFormat="1" ht="15" customHeight="1">
      <c r="A11" s="3" t="s">
        <v>23</v>
      </c>
      <c r="B11" s="4">
        <v>1</v>
      </c>
      <c r="C11" s="5" t="s">
        <v>43</v>
      </c>
      <c r="D11" s="6">
        <v>4</v>
      </c>
      <c r="E11" s="6">
        <v>5</v>
      </c>
      <c r="F11" s="6">
        <v>4</v>
      </c>
      <c r="G11" s="6">
        <v>4</v>
      </c>
      <c r="H11" s="6">
        <v>4</v>
      </c>
      <c r="I11" s="6">
        <v>5</v>
      </c>
      <c r="J11" s="6">
        <v>4</v>
      </c>
      <c r="K11" s="6">
        <v>8</v>
      </c>
      <c r="L11" s="6">
        <v>6</v>
      </c>
      <c r="M11" s="6">
        <v>6</v>
      </c>
      <c r="N11" s="6">
        <v>4</v>
      </c>
      <c r="O11" s="6">
        <v>4</v>
      </c>
      <c r="P11" s="6">
        <v>5</v>
      </c>
      <c r="Q11" s="6">
        <v>5</v>
      </c>
      <c r="R11" s="7">
        <f t="shared" ref="R11:R22" si="0">AVERAGE(D11:Q11)</f>
        <v>4.8571428571428568</v>
      </c>
      <c r="S11" s="27"/>
      <c r="T11" s="28"/>
      <c r="U11" s="28"/>
      <c r="V11" s="28"/>
      <c r="W11" s="28"/>
      <c r="X11" s="28"/>
      <c r="Y11" s="28"/>
      <c r="Z11" s="28"/>
    </row>
    <row r="12" spans="1:26" s="29" customFormat="1" ht="15" customHeight="1">
      <c r="A12" s="3" t="s">
        <v>24</v>
      </c>
      <c r="B12" s="4">
        <v>2</v>
      </c>
      <c r="C12" s="5" t="s">
        <v>44</v>
      </c>
      <c r="D12" s="6">
        <v>6</v>
      </c>
      <c r="E12" s="6">
        <v>9</v>
      </c>
      <c r="F12" s="6">
        <v>4</v>
      </c>
      <c r="G12" s="6">
        <v>6</v>
      </c>
      <c r="H12" s="6">
        <v>6</v>
      </c>
      <c r="I12" s="6">
        <v>8</v>
      </c>
      <c r="J12" s="6">
        <v>6</v>
      </c>
      <c r="K12" s="6">
        <v>9</v>
      </c>
      <c r="L12" s="6">
        <v>6</v>
      </c>
      <c r="M12" s="6">
        <v>10</v>
      </c>
      <c r="N12" s="6">
        <v>6</v>
      </c>
      <c r="O12" s="6">
        <v>8</v>
      </c>
      <c r="P12" s="6">
        <v>6</v>
      </c>
      <c r="Q12" s="6">
        <v>9</v>
      </c>
      <c r="R12" s="7">
        <f t="shared" si="0"/>
        <v>7.0714285714285712</v>
      </c>
      <c r="S12" s="27"/>
      <c r="T12" s="28"/>
      <c r="U12" s="28"/>
      <c r="V12" s="28"/>
      <c r="W12" s="28"/>
      <c r="X12" s="28"/>
      <c r="Y12" s="28"/>
      <c r="Z12" s="28"/>
    </row>
    <row r="13" spans="1:26" s="29" customFormat="1" ht="15" customHeight="1">
      <c r="A13" s="3" t="s">
        <v>24</v>
      </c>
      <c r="B13" s="4">
        <v>3</v>
      </c>
      <c r="C13" s="5" t="s">
        <v>45</v>
      </c>
      <c r="D13" s="6">
        <v>5</v>
      </c>
      <c r="E13" s="6">
        <v>9</v>
      </c>
      <c r="F13" s="6">
        <v>4</v>
      </c>
      <c r="G13" s="6">
        <v>4</v>
      </c>
      <c r="H13" s="6">
        <v>7</v>
      </c>
      <c r="I13" s="6">
        <v>7</v>
      </c>
      <c r="J13" s="6">
        <v>5</v>
      </c>
      <c r="K13" s="6">
        <v>8</v>
      </c>
      <c r="L13" s="6">
        <v>5</v>
      </c>
      <c r="M13" s="6">
        <v>8</v>
      </c>
      <c r="N13" s="6">
        <v>4</v>
      </c>
      <c r="O13" s="6">
        <v>6</v>
      </c>
      <c r="P13" s="6" t="s">
        <v>25</v>
      </c>
      <c r="Q13" s="6">
        <v>7</v>
      </c>
      <c r="R13" s="7">
        <f t="shared" si="0"/>
        <v>6.0769230769230766</v>
      </c>
      <c r="S13" s="27"/>
      <c r="T13" s="28"/>
      <c r="U13" s="28"/>
      <c r="V13" s="28"/>
      <c r="W13" s="28"/>
      <c r="X13" s="28"/>
      <c r="Y13" s="28"/>
      <c r="Z13" s="28"/>
    </row>
    <row r="14" spans="1:26" s="29" customFormat="1" ht="15" customHeight="1">
      <c r="A14" s="3" t="s">
        <v>24</v>
      </c>
      <c r="B14" s="4">
        <v>4</v>
      </c>
      <c r="C14" s="5" t="s">
        <v>46</v>
      </c>
      <c r="D14" s="6" t="s">
        <v>25</v>
      </c>
      <c r="E14" s="6">
        <v>4</v>
      </c>
      <c r="F14" s="34" t="s">
        <v>25</v>
      </c>
      <c r="G14" s="6" t="s">
        <v>25</v>
      </c>
      <c r="H14" s="6" t="s">
        <v>25</v>
      </c>
      <c r="I14" s="6">
        <v>4</v>
      </c>
      <c r="J14" s="34" t="s">
        <v>25</v>
      </c>
      <c r="K14" s="6">
        <v>4</v>
      </c>
      <c r="L14" s="6" t="s">
        <v>25</v>
      </c>
      <c r="M14" s="34" t="s">
        <v>25</v>
      </c>
      <c r="N14" s="34" t="s">
        <v>25</v>
      </c>
      <c r="O14" s="6" t="s">
        <v>25</v>
      </c>
      <c r="P14" s="34" t="s">
        <v>25</v>
      </c>
      <c r="Q14" s="6" t="s">
        <v>25</v>
      </c>
      <c r="R14" s="7">
        <f t="shared" si="0"/>
        <v>4</v>
      </c>
      <c r="S14" s="27"/>
      <c r="T14" s="28"/>
      <c r="U14" s="28"/>
      <c r="V14" s="28"/>
      <c r="W14" s="28"/>
      <c r="X14" s="28"/>
      <c r="Y14" s="28"/>
      <c r="Z14" s="28"/>
    </row>
    <row r="15" spans="1:26" s="29" customFormat="1" ht="15" customHeight="1">
      <c r="A15" s="3" t="s">
        <v>24</v>
      </c>
      <c r="B15" s="4">
        <v>5</v>
      </c>
      <c r="C15" s="5" t="s">
        <v>47</v>
      </c>
      <c r="D15" s="6">
        <v>11</v>
      </c>
      <c r="E15" s="6">
        <v>10</v>
      </c>
      <c r="F15" s="6">
        <v>8</v>
      </c>
      <c r="G15" s="6">
        <v>10</v>
      </c>
      <c r="H15" s="6">
        <v>10</v>
      </c>
      <c r="I15" s="6">
        <v>10</v>
      </c>
      <c r="J15" s="6">
        <v>10</v>
      </c>
      <c r="K15" s="6">
        <v>10</v>
      </c>
      <c r="L15" s="6">
        <v>10</v>
      </c>
      <c r="M15" s="6">
        <v>10</v>
      </c>
      <c r="N15" s="6">
        <v>10</v>
      </c>
      <c r="O15" s="6">
        <v>9</v>
      </c>
      <c r="P15" s="6">
        <v>9</v>
      </c>
      <c r="Q15" s="6">
        <v>10</v>
      </c>
      <c r="R15" s="7">
        <f t="shared" si="0"/>
        <v>9.7857142857142865</v>
      </c>
      <c r="S15" s="27"/>
      <c r="T15" s="28"/>
      <c r="U15" s="28"/>
      <c r="V15" s="28"/>
      <c r="W15" s="28"/>
      <c r="X15" s="28"/>
      <c r="Y15" s="28"/>
      <c r="Z15" s="28"/>
    </row>
    <row r="16" spans="1:26" s="29" customFormat="1" ht="15" customHeight="1">
      <c r="A16" s="3" t="s">
        <v>24</v>
      </c>
      <c r="B16" s="4">
        <v>6</v>
      </c>
      <c r="C16" s="5" t="s">
        <v>48</v>
      </c>
      <c r="D16" s="6">
        <v>4</v>
      </c>
      <c r="E16" s="6">
        <v>5</v>
      </c>
      <c r="F16" s="6">
        <v>4</v>
      </c>
      <c r="G16" s="6">
        <v>2</v>
      </c>
      <c r="H16" s="6">
        <v>4</v>
      </c>
      <c r="I16" s="6">
        <v>5</v>
      </c>
      <c r="J16" s="6">
        <v>4</v>
      </c>
      <c r="K16" s="6">
        <v>5</v>
      </c>
      <c r="L16" s="6">
        <v>4</v>
      </c>
      <c r="M16" s="6">
        <v>5</v>
      </c>
      <c r="N16" s="6">
        <v>4</v>
      </c>
      <c r="O16" s="6">
        <v>5</v>
      </c>
      <c r="P16" s="6">
        <v>6</v>
      </c>
      <c r="Q16" s="6" t="s">
        <v>25</v>
      </c>
      <c r="R16" s="7">
        <f t="shared" si="0"/>
        <v>4.384615384615385</v>
      </c>
      <c r="S16" s="27"/>
      <c r="T16" s="28"/>
      <c r="U16" s="28"/>
      <c r="V16" s="28"/>
      <c r="W16" s="28"/>
      <c r="X16" s="28"/>
      <c r="Y16" s="28"/>
      <c r="Z16" s="28"/>
    </row>
    <row r="17" spans="1:26" s="29" customFormat="1" ht="15" customHeight="1">
      <c r="A17" s="3" t="s">
        <v>24</v>
      </c>
      <c r="B17" s="4">
        <v>7</v>
      </c>
      <c r="C17" s="5" t="s">
        <v>49</v>
      </c>
      <c r="D17" s="34" t="s">
        <v>25</v>
      </c>
      <c r="E17" s="6" t="s">
        <v>25</v>
      </c>
      <c r="F17" s="34" t="s">
        <v>25</v>
      </c>
      <c r="G17" s="34" t="s">
        <v>25</v>
      </c>
      <c r="H17" s="6" t="s">
        <v>25</v>
      </c>
      <c r="I17" s="6" t="s">
        <v>25</v>
      </c>
      <c r="J17" s="34" t="s">
        <v>25</v>
      </c>
      <c r="K17" s="6" t="s">
        <v>25</v>
      </c>
      <c r="L17" s="6" t="s">
        <v>25</v>
      </c>
      <c r="M17" s="34" t="s">
        <v>25</v>
      </c>
      <c r="N17" s="34" t="s">
        <v>25</v>
      </c>
      <c r="O17" s="6" t="s">
        <v>25</v>
      </c>
      <c r="P17" s="34" t="s">
        <v>25</v>
      </c>
      <c r="Q17" s="6" t="s">
        <v>25</v>
      </c>
      <c r="R17" s="7">
        <v>0</v>
      </c>
      <c r="S17" s="27"/>
      <c r="T17" s="28"/>
      <c r="U17" s="28"/>
      <c r="V17" s="28"/>
      <c r="W17" s="28"/>
      <c r="X17" s="28"/>
      <c r="Y17" s="28"/>
      <c r="Z17" s="28"/>
    </row>
    <row r="18" spans="1:26" s="29" customFormat="1" ht="15" customHeight="1">
      <c r="A18" s="3" t="s">
        <v>24</v>
      </c>
      <c r="B18" s="4">
        <v>8</v>
      </c>
      <c r="C18" s="5" t="s">
        <v>50</v>
      </c>
      <c r="D18" s="6">
        <v>4</v>
      </c>
      <c r="E18" s="6">
        <v>5</v>
      </c>
      <c r="F18" s="6">
        <v>4</v>
      </c>
      <c r="G18" s="6">
        <v>5</v>
      </c>
      <c r="H18" s="6">
        <v>6</v>
      </c>
      <c r="I18" s="6">
        <v>4</v>
      </c>
      <c r="J18" s="6">
        <v>4</v>
      </c>
      <c r="K18" s="6">
        <v>5</v>
      </c>
      <c r="L18" s="6">
        <v>4</v>
      </c>
      <c r="M18" s="6" t="s">
        <v>25</v>
      </c>
      <c r="N18" s="6">
        <v>4</v>
      </c>
      <c r="O18" s="6">
        <v>5</v>
      </c>
      <c r="P18" s="6">
        <v>6</v>
      </c>
      <c r="Q18" s="6">
        <v>7</v>
      </c>
      <c r="R18" s="7">
        <f t="shared" si="0"/>
        <v>4.8461538461538458</v>
      </c>
      <c r="S18" s="28"/>
      <c r="T18" s="28"/>
      <c r="U18" s="28"/>
      <c r="V18" s="28"/>
      <c r="W18" s="28"/>
      <c r="X18" s="28"/>
      <c r="Y18" s="28"/>
      <c r="Z18" s="28"/>
    </row>
    <row r="19" spans="1:26" s="29" customFormat="1" ht="15" customHeight="1">
      <c r="A19" s="3" t="s">
        <v>24</v>
      </c>
      <c r="B19" s="4">
        <v>9</v>
      </c>
      <c r="C19" s="5" t="s">
        <v>51</v>
      </c>
      <c r="D19" s="6">
        <v>5</v>
      </c>
      <c r="E19" s="6">
        <v>8</v>
      </c>
      <c r="F19" s="6">
        <v>4</v>
      </c>
      <c r="G19" s="6">
        <v>7</v>
      </c>
      <c r="H19" s="6">
        <v>7</v>
      </c>
      <c r="I19" s="6">
        <v>5</v>
      </c>
      <c r="J19" s="6">
        <v>5</v>
      </c>
      <c r="K19" s="6">
        <v>7</v>
      </c>
      <c r="L19" s="6">
        <v>6</v>
      </c>
      <c r="M19" s="6">
        <v>5</v>
      </c>
      <c r="N19" s="6">
        <v>5</v>
      </c>
      <c r="O19" s="6">
        <v>7</v>
      </c>
      <c r="P19" s="6">
        <v>6</v>
      </c>
      <c r="Q19" s="6">
        <v>8</v>
      </c>
      <c r="R19" s="7">
        <f t="shared" si="0"/>
        <v>6.0714285714285712</v>
      </c>
      <c r="S19" s="28"/>
      <c r="T19" s="28"/>
      <c r="U19" s="28"/>
      <c r="V19" s="28"/>
      <c r="W19" s="28"/>
      <c r="X19" s="28"/>
      <c r="Y19" s="28"/>
      <c r="Z19" s="28"/>
    </row>
    <row r="20" spans="1:26" s="29" customFormat="1" ht="15.75" customHeight="1">
      <c r="A20" s="3" t="s">
        <v>24</v>
      </c>
      <c r="B20" s="4">
        <v>10</v>
      </c>
      <c r="C20" s="5" t="s">
        <v>52</v>
      </c>
      <c r="D20" s="6">
        <v>7</v>
      </c>
      <c r="E20" s="6">
        <v>8</v>
      </c>
      <c r="F20" s="6">
        <v>4</v>
      </c>
      <c r="G20" s="6">
        <v>5</v>
      </c>
      <c r="H20" s="6">
        <v>7</v>
      </c>
      <c r="I20" s="6">
        <v>8</v>
      </c>
      <c r="J20" s="6">
        <v>6</v>
      </c>
      <c r="K20" s="6">
        <v>6</v>
      </c>
      <c r="L20" s="6">
        <v>5</v>
      </c>
      <c r="M20" s="6">
        <v>6</v>
      </c>
      <c r="N20" s="6">
        <v>4</v>
      </c>
      <c r="O20" s="6">
        <v>7</v>
      </c>
      <c r="P20" s="6">
        <v>5</v>
      </c>
      <c r="Q20" s="6">
        <v>8</v>
      </c>
      <c r="R20" s="7">
        <f t="shared" si="0"/>
        <v>6.1428571428571432</v>
      </c>
      <c r="S20" s="28"/>
      <c r="T20" s="28"/>
      <c r="U20" s="28"/>
      <c r="V20" s="28"/>
      <c r="W20" s="28"/>
      <c r="X20" s="28"/>
      <c r="Y20" s="28"/>
      <c r="Z20" s="28"/>
    </row>
    <row r="21" spans="1:26" s="29" customFormat="1" ht="15.75" customHeight="1">
      <c r="A21" s="3" t="s">
        <v>24</v>
      </c>
      <c r="B21" s="4">
        <v>11</v>
      </c>
      <c r="C21" s="5" t="s">
        <v>53</v>
      </c>
      <c r="D21" s="6">
        <v>8</v>
      </c>
      <c r="E21" s="6">
        <v>9</v>
      </c>
      <c r="F21" s="6">
        <v>5</v>
      </c>
      <c r="G21" s="6">
        <v>6</v>
      </c>
      <c r="H21" s="6">
        <v>6</v>
      </c>
      <c r="I21" s="6">
        <v>8</v>
      </c>
      <c r="J21" s="6">
        <v>7</v>
      </c>
      <c r="K21" s="6">
        <v>9</v>
      </c>
      <c r="L21" s="6">
        <v>8</v>
      </c>
      <c r="M21" s="6">
        <v>10</v>
      </c>
      <c r="N21" s="6">
        <v>7</v>
      </c>
      <c r="O21" s="6">
        <v>7</v>
      </c>
      <c r="P21" s="6">
        <v>8</v>
      </c>
      <c r="Q21" s="6">
        <v>8</v>
      </c>
      <c r="R21" s="7">
        <f t="shared" si="0"/>
        <v>7.5714285714285712</v>
      </c>
      <c r="S21" s="28"/>
      <c r="T21" s="28"/>
      <c r="U21" s="28"/>
      <c r="V21" s="28"/>
      <c r="W21" s="28"/>
      <c r="X21" s="28"/>
      <c r="Y21" s="28"/>
      <c r="Z21" s="28"/>
    </row>
    <row r="22" spans="1:26" ht="15.75" customHeight="1">
      <c r="A22" s="2"/>
      <c r="B22" s="2"/>
      <c r="C22" s="8" t="s">
        <v>26</v>
      </c>
      <c r="D22" s="7">
        <f>AVERAGE(D11:D21)</f>
        <v>6</v>
      </c>
      <c r="E22" s="7">
        <f t="shared" ref="E22:Q22" si="1">AVERAGE(E11:E21)</f>
        <v>7.2</v>
      </c>
      <c r="F22" s="7">
        <f t="shared" si="1"/>
        <v>4.5555555555555554</v>
      </c>
      <c r="G22" s="7">
        <f t="shared" si="1"/>
        <v>5.4444444444444446</v>
      </c>
      <c r="H22" s="7">
        <f t="shared" si="1"/>
        <v>6.333333333333333</v>
      </c>
      <c r="I22" s="7">
        <f t="shared" si="1"/>
        <v>6.4</v>
      </c>
      <c r="J22" s="7">
        <f t="shared" si="1"/>
        <v>5.666666666666667</v>
      </c>
      <c r="K22" s="7">
        <f t="shared" si="1"/>
        <v>7.1</v>
      </c>
      <c r="L22" s="7">
        <f t="shared" si="1"/>
        <v>6</v>
      </c>
      <c r="M22" s="7">
        <f t="shared" si="1"/>
        <v>7.5</v>
      </c>
      <c r="N22" s="7">
        <f t="shared" si="1"/>
        <v>5.333333333333333</v>
      </c>
      <c r="O22" s="7">
        <f t="shared" si="1"/>
        <v>6.4444444444444446</v>
      </c>
      <c r="P22" s="7">
        <f t="shared" si="1"/>
        <v>6.375</v>
      </c>
      <c r="Q22" s="7">
        <f t="shared" si="1"/>
        <v>7.75</v>
      </c>
      <c r="R22" s="7">
        <f t="shared" si="0"/>
        <v>6.2930555555555552</v>
      </c>
      <c r="S22" s="2"/>
      <c r="T22" s="2"/>
      <c r="U22" s="2"/>
      <c r="V22" s="2"/>
      <c r="W22" s="2"/>
      <c r="X22" s="2"/>
      <c r="Y22" s="2"/>
      <c r="Z22" s="2"/>
    </row>
    <row r="23" spans="1:26" ht="15.75" customHeight="1">
      <c r="A23" s="2"/>
      <c r="B23" s="2"/>
      <c r="C23" s="9" t="s">
        <v>27</v>
      </c>
      <c r="D23" s="30">
        <f>(COUNT(D11:D21))/(COUNT(R11:R21))*100</f>
        <v>81.818181818181827</v>
      </c>
      <c r="E23" s="30">
        <f>(COUNT(E11:E21))/(COUNT(R11:R21))*100</f>
        <v>90.909090909090907</v>
      </c>
      <c r="F23" s="30">
        <f>(COUNT(F11:F21))/(COUNT(R11:R21))*100</f>
        <v>81.818181818181827</v>
      </c>
      <c r="G23" s="30">
        <f>(COUNT(G11:G21))/(COUNT(R11:R21))*100</f>
        <v>81.818181818181827</v>
      </c>
      <c r="H23" s="30">
        <f>(COUNT(H11:H21))/(COUNT(R11:R21))*100</f>
        <v>81.818181818181827</v>
      </c>
      <c r="I23" s="30">
        <f>(COUNT(I11:I21))/(COUNT(R11:R21))*100</f>
        <v>90.909090909090907</v>
      </c>
      <c r="J23" s="30">
        <f>(COUNT(J11:J21))/(COUNT(R11:R21))*100</f>
        <v>81.818181818181827</v>
      </c>
      <c r="K23" s="30">
        <f>(COUNT(K11:K21))/(COUNT(R11:R21))*100</f>
        <v>90.909090909090907</v>
      </c>
      <c r="L23" s="30">
        <f>(COUNT(L11:L21))/(COUNT(R11:R21))*100</f>
        <v>81.818181818181827</v>
      </c>
      <c r="M23" s="30">
        <f>(COUNT(M11:M21))/(COUNT(R11:R21))*100</f>
        <v>72.727272727272734</v>
      </c>
      <c r="N23" s="30">
        <f>(COUNT(N11:N21))/(COUNT(R11:R21))*100</f>
        <v>81.818181818181827</v>
      </c>
      <c r="O23" s="30">
        <f>(COUNT(O11:O21))/(COUNT(R11:R21))*100</f>
        <v>81.818181818181827</v>
      </c>
      <c r="P23" s="30">
        <f>(COUNT(P11:P21))/(COUNT(R11:R21))*100</f>
        <v>72.727272727272734</v>
      </c>
      <c r="Q23" s="30">
        <f>(COUNT(Q11:Q21))/(COUNT(R11:R21))*100</f>
        <v>72.727272727272734</v>
      </c>
      <c r="R23" s="10"/>
      <c r="S23" s="2"/>
      <c r="T23" s="2"/>
      <c r="U23" s="2"/>
      <c r="V23" s="2"/>
      <c r="W23" s="2"/>
      <c r="X23" s="2"/>
      <c r="Y23" s="2"/>
      <c r="Z23" s="2"/>
    </row>
    <row r="24" spans="1:26" ht="15.75" customHeight="1">
      <c r="A24" s="2"/>
      <c r="B24" s="2"/>
      <c r="C24" s="9" t="s">
        <v>28</v>
      </c>
      <c r="D24" s="31">
        <f>(COUNTIF(D11:D21,"&gt;6"))/(COUNT(R11:R21))*100</f>
        <v>27.27272727272727</v>
      </c>
      <c r="E24" s="31">
        <f>(COUNTIF(E11:E21,"&gt;6"))/(COUNT(R11:R21))*100</f>
        <v>54.54545454545454</v>
      </c>
      <c r="F24" s="31">
        <f>(COUNTIF(F11:F21,"&gt;6"))/(COUNT(R11:R21))*100</f>
        <v>9.0909090909090917</v>
      </c>
      <c r="G24" s="31">
        <f>(COUNTIF(G11:G21,"&gt;6"))/(COUNT(R11:R21))*100</f>
        <v>18.181818181818183</v>
      </c>
      <c r="H24" s="31">
        <f>(COUNTIF(H11:H21,"&gt;6"))/(COUNT(R11:R21))*100</f>
        <v>36.363636363636367</v>
      </c>
      <c r="I24" s="31">
        <f>(COUNTIF(I11:I21,"&gt;6"))/(COUNT(R11:R21))*100</f>
        <v>45.454545454545453</v>
      </c>
      <c r="J24" s="31">
        <f>(COUNTIF(J11:J21,"&gt;6"))/(COUNT(R11:R21))*100</f>
        <v>18.181818181818183</v>
      </c>
      <c r="K24" s="31">
        <f>(COUNTIF(K11:K21,"&gt;6"))/(COUNT(R11:R21))*100</f>
        <v>54.54545454545454</v>
      </c>
      <c r="L24" s="31">
        <f>(COUNTIF(L11:L21,"&gt;6"))/(COUNT(R11:R21))*100</f>
        <v>18.181818181818183</v>
      </c>
      <c r="M24" s="31">
        <f>(COUNTIF(M11:M21,"&gt;6"))/(COUNT(R11:R21))*100</f>
        <v>36.363636363636367</v>
      </c>
      <c r="N24" s="31">
        <f>(COUNTIF(N11:N21,"&gt;6"))/(COUNT(R11:R21))*100</f>
        <v>18.181818181818183</v>
      </c>
      <c r="O24" s="31">
        <f>(COUNTIF(O11:O21,"&gt;6"))/(COUNT(R11:R21))*100</f>
        <v>45.454545454545453</v>
      </c>
      <c r="P24" s="31">
        <f>(COUNTIF(P11:P21,"&gt;6"))/(COUNT(R11:R21))*100</f>
        <v>18.181818181818183</v>
      </c>
      <c r="Q24" s="31">
        <f>(COUNTIF(Q11:Q21,"&gt;6"))/(COUNT(R11:R21))*100</f>
        <v>63.636363636363633</v>
      </c>
      <c r="R24" s="35"/>
      <c r="S24" s="2"/>
      <c r="T24" s="2"/>
      <c r="U24" s="2"/>
      <c r="V24" s="2"/>
      <c r="W24" s="2"/>
      <c r="X24" s="2"/>
      <c r="Y24" s="2"/>
      <c r="Z24" s="2"/>
    </row>
    <row r="25" spans="1:26" ht="15.75" customHeight="1">
      <c r="A25" s="2"/>
      <c r="B25" s="2"/>
      <c r="C25" s="9" t="s">
        <v>29</v>
      </c>
      <c r="D25" s="36">
        <f t="shared" ref="D25:D26" si="2">AVERAGE(D23:Q23)</f>
        <v>81.818181818181841</v>
      </c>
      <c r="E25" s="37"/>
      <c r="F25" s="37"/>
      <c r="G25" s="37"/>
      <c r="H25" s="37"/>
      <c r="I25" s="38"/>
      <c r="J25" s="38"/>
      <c r="K25" s="38"/>
      <c r="L25" s="38"/>
      <c r="M25" s="38"/>
      <c r="N25" s="38"/>
      <c r="O25" s="38"/>
      <c r="P25" s="38"/>
      <c r="Q25" s="38"/>
      <c r="R25" s="11"/>
      <c r="S25" s="2"/>
      <c r="T25" s="2"/>
      <c r="U25" s="2"/>
      <c r="V25" s="2"/>
      <c r="W25" s="2"/>
      <c r="X25" s="2"/>
      <c r="Y25" s="2"/>
      <c r="Z25" s="2"/>
    </row>
    <row r="26" spans="1:26" ht="15.75" customHeight="1">
      <c r="A26" s="2"/>
      <c r="B26" s="2"/>
      <c r="C26" s="9" t="s">
        <v>30</v>
      </c>
      <c r="D26" s="7">
        <f t="shared" si="2"/>
        <v>33.116883116883123</v>
      </c>
      <c r="E26" s="37"/>
      <c r="F26" s="37"/>
      <c r="G26" s="37"/>
      <c r="H26" s="37"/>
      <c r="I26" s="38"/>
      <c r="J26" s="38"/>
      <c r="K26" s="38"/>
      <c r="L26" s="38"/>
      <c r="M26" s="38"/>
      <c r="N26" s="38"/>
      <c r="O26" s="38"/>
      <c r="P26" s="38"/>
      <c r="Q26" s="38"/>
      <c r="R26" s="11"/>
      <c r="S26" s="2"/>
      <c r="T26" s="2"/>
      <c r="U26" s="2"/>
      <c r="V26" s="2"/>
      <c r="W26" s="2"/>
      <c r="X26" s="2"/>
      <c r="Y26" s="2"/>
      <c r="Z26" s="2"/>
    </row>
    <row r="27" spans="1:26" ht="15.75" customHeight="1">
      <c r="A27" s="2"/>
      <c r="C27" s="9" t="s">
        <v>32</v>
      </c>
      <c r="D27" s="32">
        <f>COUNTIF(A11:A21,"=Б")</f>
        <v>10</v>
      </c>
      <c r="E27" s="37"/>
      <c r="F27" s="37"/>
      <c r="G27" s="37"/>
      <c r="H27" s="37"/>
      <c r="I27" s="38"/>
      <c r="J27" s="38"/>
      <c r="K27" s="38"/>
      <c r="L27" s="38"/>
      <c r="M27" s="38"/>
      <c r="N27" s="38"/>
      <c r="O27" s="38"/>
      <c r="P27" s="38"/>
      <c r="Q27" s="38"/>
      <c r="R27" s="11"/>
      <c r="S27" s="2"/>
      <c r="T27" s="2"/>
      <c r="U27" s="2"/>
      <c r="V27" s="2"/>
      <c r="W27" s="2"/>
      <c r="X27" s="2"/>
      <c r="Y27" s="2"/>
      <c r="Z27" s="2"/>
    </row>
    <row r="28" spans="1:26" ht="15.75" customHeight="1">
      <c r="A28" s="2"/>
      <c r="B28" s="2"/>
      <c r="C28" s="9" t="s">
        <v>31</v>
      </c>
      <c r="D28" s="32">
        <f>COUNTIF(A11:A21,"=К")</f>
        <v>1</v>
      </c>
      <c r="E28" s="28"/>
      <c r="F28" s="28"/>
      <c r="G28" s="28"/>
      <c r="H28" s="39" t="s">
        <v>35</v>
      </c>
      <c r="I28" s="39"/>
      <c r="J28" s="39"/>
      <c r="K28" s="40"/>
      <c r="L28" s="40"/>
      <c r="M28" s="29"/>
      <c r="N28" s="28"/>
      <c r="O28" s="39" t="s">
        <v>36</v>
      </c>
      <c r="P28" s="28"/>
      <c r="Q28" s="28"/>
      <c r="R28" s="28"/>
      <c r="S28" s="2"/>
      <c r="T28" s="2"/>
      <c r="U28" s="2"/>
      <c r="V28" s="2"/>
      <c r="W28" s="2"/>
      <c r="X28" s="2"/>
      <c r="Y28" s="2"/>
      <c r="Z28" s="2"/>
    </row>
    <row r="29" spans="1:26" ht="15.75" customHeight="1">
      <c r="A29" s="1"/>
      <c r="B29" s="1"/>
      <c r="C29" s="9" t="s">
        <v>33</v>
      </c>
      <c r="D29" s="41">
        <v>0</v>
      </c>
      <c r="E29" s="28"/>
      <c r="F29" s="28"/>
      <c r="G29" s="28"/>
      <c r="H29" s="40"/>
      <c r="I29" s="40"/>
      <c r="J29" s="40"/>
      <c r="K29" s="40"/>
      <c r="L29" s="40"/>
      <c r="M29" s="29"/>
      <c r="N29" s="28"/>
      <c r="O29" s="40"/>
      <c r="P29" s="28"/>
      <c r="Q29" s="28"/>
      <c r="R29" s="28"/>
      <c r="S29" s="2"/>
      <c r="T29" s="2"/>
      <c r="U29" s="2"/>
      <c r="V29" s="2"/>
      <c r="W29" s="2"/>
      <c r="X29" s="2"/>
      <c r="Y29" s="2"/>
      <c r="Z29" s="2"/>
    </row>
    <row r="30" spans="1:26" ht="15.75" customHeight="1">
      <c r="A30" s="1"/>
      <c r="B30" s="1"/>
      <c r="C30" s="9" t="s">
        <v>34</v>
      </c>
      <c r="D30" s="42">
        <f>INT(D27/100*40)</f>
        <v>4</v>
      </c>
      <c r="E30" s="28"/>
      <c r="F30" s="28"/>
      <c r="G30" s="28"/>
      <c r="H30" s="39" t="s">
        <v>37</v>
      </c>
      <c r="I30" s="39"/>
      <c r="J30" s="39"/>
      <c r="K30" s="39"/>
      <c r="L30" s="39"/>
      <c r="M30" s="29"/>
      <c r="N30" s="28"/>
      <c r="O30" s="39" t="s">
        <v>38</v>
      </c>
      <c r="P30" s="28"/>
      <c r="Q30" s="28"/>
      <c r="R30" s="28"/>
      <c r="S30" s="2"/>
      <c r="T30" s="2"/>
      <c r="U30" s="2"/>
      <c r="V30" s="2"/>
      <c r="W30" s="2"/>
      <c r="X30" s="2"/>
      <c r="Y30" s="2"/>
      <c r="Z30" s="2"/>
    </row>
    <row r="31" spans="1:26" ht="15.75" customHeight="1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>
      <c r="A32" s="2"/>
      <c r="B32" s="2"/>
      <c r="C32" s="2"/>
      <c r="D32" s="2"/>
      <c r="E32" s="2"/>
      <c r="L32" s="1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>
      <c r="A33" s="2"/>
      <c r="B33" s="2"/>
      <c r="C33" s="2"/>
      <c r="D33" s="2"/>
      <c r="E33" s="2"/>
      <c r="L33" s="13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>
      <c r="A34" s="2"/>
      <c r="B34" s="2"/>
      <c r="C34" s="2"/>
      <c r="D34" s="2"/>
      <c r="E34" s="2"/>
      <c r="L34" s="1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>
      <c r="A38" s="2"/>
      <c r="B38" s="2"/>
      <c r="C38" s="2"/>
      <c r="D38" s="2"/>
      <c r="E38" s="14"/>
      <c r="F38" s="14"/>
      <c r="G38" s="14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>
      <c r="A60" s="15">
        <f>D27</f>
        <v>10</v>
      </c>
      <c r="B60" s="15">
        <f>D28</f>
        <v>1</v>
      </c>
      <c r="C60" s="16">
        <f>D29</f>
        <v>0</v>
      </c>
      <c r="D60" s="15">
        <f>D30</f>
        <v>4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>
      <c r="A61" s="15">
        <f>D27</f>
        <v>10</v>
      </c>
      <c r="B61" s="15">
        <f>D28</f>
        <v>1</v>
      </c>
      <c r="C61" s="16">
        <f>D29</f>
        <v>0</v>
      </c>
      <c r="D61" s="15">
        <f>D30</f>
        <v>4</v>
      </c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>
      <c r="A62" s="15">
        <f>D27</f>
        <v>10</v>
      </c>
      <c r="B62" s="15">
        <f>D28</f>
        <v>1</v>
      </c>
      <c r="C62" s="16">
        <f>D29</f>
        <v>0</v>
      </c>
      <c r="D62" s="15">
        <f>D30</f>
        <v>4</v>
      </c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>
      <c r="A63" s="15">
        <f>D27</f>
        <v>10</v>
      </c>
      <c r="B63" s="15">
        <f>D28</f>
        <v>1</v>
      </c>
      <c r="C63" s="16">
        <f>D29</f>
        <v>0</v>
      </c>
      <c r="D63" s="15">
        <f>D30</f>
        <v>4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>
      <c r="A64" s="15">
        <f>D27</f>
        <v>10</v>
      </c>
      <c r="B64" s="15">
        <f>D28</f>
        <v>1</v>
      </c>
      <c r="C64" s="16">
        <f>D29</f>
        <v>0</v>
      </c>
      <c r="D64" s="15">
        <f>D30</f>
        <v>4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>
      <c r="A65" s="15">
        <f>D27</f>
        <v>10</v>
      </c>
      <c r="B65" s="15">
        <f>D28</f>
        <v>1</v>
      </c>
      <c r="C65" s="16">
        <f>D29</f>
        <v>0</v>
      </c>
      <c r="D65" s="15">
        <f>D30</f>
        <v>4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>
      <c r="A66" s="15">
        <f>D27</f>
        <v>10</v>
      </c>
      <c r="B66" s="15">
        <f>D28</f>
        <v>1</v>
      </c>
      <c r="C66" s="16">
        <f>D29</f>
        <v>0</v>
      </c>
      <c r="D66" s="15">
        <f>D30</f>
        <v>4</v>
      </c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>
      <c r="A67" s="15">
        <f>D27</f>
        <v>10</v>
      </c>
      <c r="B67" s="15">
        <f>D28</f>
        <v>1</v>
      </c>
      <c r="C67" s="16">
        <f>D29</f>
        <v>0</v>
      </c>
      <c r="D67" s="15">
        <f>D30</f>
        <v>4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>
      <c r="A68" s="15">
        <f>D27</f>
        <v>10</v>
      </c>
      <c r="B68" s="15">
        <f>D28</f>
        <v>1</v>
      </c>
      <c r="C68" s="16">
        <f>D29</f>
        <v>0</v>
      </c>
      <c r="D68" s="15">
        <f>D30</f>
        <v>4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>
      <c r="A69" s="15">
        <f>D27</f>
        <v>10</v>
      </c>
      <c r="B69" s="15">
        <f>D28</f>
        <v>1</v>
      </c>
      <c r="C69" s="16">
        <f>D29</f>
        <v>0</v>
      </c>
      <c r="D69" s="15">
        <f>D30</f>
        <v>4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>
      <c r="A70" s="15">
        <f>D27</f>
        <v>10</v>
      </c>
      <c r="B70" s="15">
        <f>D28</f>
        <v>1</v>
      </c>
      <c r="C70" s="16">
        <f>D29</f>
        <v>0</v>
      </c>
      <c r="D70" s="15">
        <f>D30</f>
        <v>4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>
      <c r="A71" s="15">
        <f>D27</f>
        <v>10</v>
      </c>
      <c r="B71" s="15">
        <f>D28</f>
        <v>1</v>
      </c>
      <c r="C71" s="16">
        <f>D29</f>
        <v>0</v>
      </c>
      <c r="D71" s="15">
        <f>D30</f>
        <v>4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>
      <c r="A72" s="15">
        <f>D27</f>
        <v>10</v>
      </c>
      <c r="B72" s="15">
        <f>D28</f>
        <v>1</v>
      </c>
      <c r="C72" s="16">
        <f>D29</f>
        <v>0</v>
      </c>
      <c r="D72" s="15">
        <f>D30</f>
        <v>4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>
      <c r="A73" s="15">
        <f>D27</f>
        <v>10</v>
      </c>
      <c r="B73" s="15">
        <f>D28</f>
        <v>1</v>
      </c>
      <c r="C73" s="16">
        <f>D29</f>
        <v>0</v>
      </c>
      <c r="D73" s="15">
        <f>D30</f>
        <v>4</v>
      </c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>
      <c r="A74" s="15">
        <f>D27</f>
        <v>10</v>
      </c>
      <c r="B74" s="15">
        <f>D28</f>
        <v>1</v>
      </c>
      <c r="C74" s="16">
        <f>D29</f>
        <v>0</v>
      </c>
      <c r="D74" s="15">
        <f>D30</f>
        <v>4</v>
      </c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>
      <c r="A75" s="15">
        <f>D27</f>
        <v>10</v>
      </c>
      <c r="B75" s="15">
        <f>D28</f>
        <v>1</v>
      </c>
      <c r="C75" s="16">
        <f>D29</f>
        <v>0</v>
      </c>
      <c r="D75" s="15">
        <f>D30</f>
        <v>4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>
      <c r="A76" s="15">
        <f>D27</f>
        <v>10</v>
      </c>
      <c r="B76" s="15">
        <f>D28</f>
        <v>1</v>
      </c>
      <c r="C76" s="16">
        <f>D29</f>
        <v>0</v>
      </c>
      <c r="D76" s="15">
        <f>D30</f>
        <v>4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>
      <c r="A77" s="15">
        <f>D27</f>
        <v>10</v>
      </c>
      <c r="B77" s="15">
        <f>D28</f>
        <v>1</v>
      </c>
      <c r="C77" s="16">
        <f>D29</f>
        <v>0</v>
      </c>
      <c r="D77" s="15">
        <f>D30</f>
        <v>4</v>
      </c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>
      <c r="A78" s="15">
        <f>D27</f>
        <v>10</v>
      </c>
      <c r="B78" s="15">
        <f>D28</f>
        <v>1</v>
      </c>
      <c r="C78" s="16">
        <f>D29</f>
        <v>0</v>
      </c>
      <c r="D78" s="15">
        <f>D30</f>
        <v>4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>
      <c r="A79" s="15">
        <f>D27</f>
        <v>10</v>
      </c>
      <c r="B79" s="15">
        <f>D28</f>
        <v>1</v>
      </c>
      <c r="C79" s="16">
        <f>D29</f>
        <v>0</v>
      </c>
      <c r="D79" s="15">
        <f>D30</f>
        <v>4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>
      <c r="A80" s="15">
        <f>D27</f>
        <v>10</v>
      </c>
      <c r="B80" s="15">
        <f>D28</f>
        <v>1</v>
      </c>
      <c r="C80" s="16">
        <f>D29</f>
        <v>0</v>
      </c>
      <c r="D80" s="15">
        <f>D30</f>
        <v>4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>
      <c r="A81" s="15">
        <f>D27</f>
        <v>10</v>
      </c>
      <c r="B81" s="15">
        <f>D28</f>
        <v>1</v>
      </c>
      <c r="C81" s="16">
        <f>D29</f>
        <v>0</v>
      </c>
      <c r="D81" s="15">
        <f>D30</f>
        <v>4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>
      <c r="A82" s="15">
        <f>D27</f>
        <v>10</v>
      </c>
      <c r="B82" s="15">
        <f>D28</f>
        <v>1</v>
      </c>
      <c r="C82" s="16">
        <f>D29</f>
        <v>0</v>
      </c>
      <c r="D82" s="15">
        <f>D30</f>
        <v>4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>
      <c r="A83" s="15">
        <f>D27</f>
        <v>10</v>
      </c>
      <c r="B83" s="15">
        <f>D28</f>
        <v>1</v>
      </c>
      <c r="C83" s="16">
        <f>D29</f>
        <v>0</v>
      </c>
      <c r="D83" s="15">
        <f>D30</f>
        <v>4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>
      <c r="A84" s="15">
        <f>D27</f>
        <v>10</v>
      </c>
      <c r="B84" s="15">
        <f>D28</f>
        <v>1</v>
      </c>
      <c r="C84" s="16">
        <f>D29</f>
        <v>0</v>
      </c>
      <c r="D84" s="15">
        <f>D30</f>
        <v>4</v>
      </c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>
      <c r="A85" s="15">
        <f>D27</f>
        <v>10</v>
      </c>
      <c r="B85" s="15">
        <f>D28</f>
        <v>1</v>
      </c>
      <c r="C85" s="16">
        <f>D29</f>
        <v>0</v>
      </c>
      <c r="D85" s="15">
        <f>D30</f>
        <v>4</v>
      </c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>
      <c r="A86" s="15">
        <f>D27</f>
        <v>10</v>
      </c>
      <c r="B86" s="15">
        <f>D28</f>
        <v>1</v>
      </c>
      <c r="C86" s="16">
        <f>D29</f>
        <v>0</v>
      </c>
      <c r="D86" s="15">
        <f>D30</f>
        <v>4</v>
      </c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>
      <c r="A87" s="15">
        <f>D27</f>
        <v>10</v>
      </c>
      <c r="B87" s="15">
        <f>D28</f>
        <v>1</v>
      </c>
      <c r="C87" s="16">
        <f>D29</f>
        <v>0</v>
      </c>
      <c r="D87" s="15">
        <f>D30</f>
        <v>4</v>
      </c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>
      <c r="A88" s="15">
        <f>D27</f>
        <v>10</v>
      </c>
      <c r="B88" s="15">
        <f>D28</f>
        <v>1</v>
      </c>
      <c r="C88" s="16">
        <f>D29</f>
        <v>0</v>
      </c>
      <c r="D88" s="15">
        <f>D30</f>
        <v>4</v>
      </c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>
      <c r="A89" s="15">
        <f>D27</f>
        <v>10</v>
      </c>
      <c r="B89" s="15">
        <f>D28</f>
        <v>1</v>
      </c>
      <c r="C89" s="16">
        <f>D29</f>
        <v>0</v>
      </c>
      <c r="D89" s="15">
        <f>D30</f>
        <v>4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>
      <c r="A90" s="15">
        <f>D27</f>
        <v>10</v>
      </c>
      <c r="B90" s="15">
        <f>D28</f>
        <v>1</v>
      </c>
      <c r="C90" s="16">
        <f>D29</f>
        <v>0</v>
      </c>
      <c r="D90" s="15">
        <f>D30</f>
        <v>4</v>
      </c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>
      <c r="A91" s="15">
        <f>D27</f>
        <v>10</v>
      </c>
      <c r="B91" s="15">
        <f>D28</f>
        <v>1</v>
      </c>
      <c r="C91" s="16">
        <f>D29</f>
        <v>0</v>
      </c>
      <c r="D91" s="15">
        <f>D30</f>
        <v>4</v>
      </c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>
      <c r="A92" s="15">
        <f>D27</f>
        <v>10</v>
      </c>
      <c r="B92" s="15">
        <f>D28</f>
        <v>1</v>
      </c>
      <c r="C92" s="16">
        <f>D29</f>
        <v>0</v>
      </c>
      <c r="D92" s="15">
        <f>D30</f>
        <v>4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>
      <c r="A93" s="15">
        <f>D27</f>
        <v>10</v>
      </c>
      <c r="B93" s="15">
        <f>D28</f>
        <v>1</v>
      </c>
      <c r="C93" s="16">
        <f>D29</f>
        <v>0</v>
      </c>
      <c r="D93" s="15">
        <f>D30</f>
        <v>4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>
      <c r="A94" s="15">
        <f>D27</f>
        <v>10</v>
      </c>
      <c r="B94" s="15">
        <f>D28</f>
        <v>1</v>
      </c>
      <c r="C94" s="16">
        <f>D29</f>
        <v>0</v>
      </c>
      <c r="D94" s="15">
        <f>D30</f>
        <v>4</v>
      </c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>
      <c r="A95" s="15">
        <f>D27</f>
        <v>10</v>
      </c>
      <c r="B95" s="15">
        <f>D28</f>
        <v>1</v>
      </c>
      <c r="C95" s="16">
        <f>D29</f>
        <v>0</v>
      </c>
      <c r="D95" s="15">
        <f>D30</f>
        <v>4</v>
      </c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>
      <c r="A96" s="15">
        <f>D27</f>
        <v>10</v>
      </c>
      <c r="B96" s="15">
        <f>D28</f>
        <v>1</v>
      </c>
      <c r="C96" s="16">
        <f>D29</f>
        <v>0</v>
      </c>
      <c r="D96" s="15">
        <f>D30</f>
        <v>4</v>
      </c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>
      <c r="A97" s="15">
        <f>D27</f>
        <v>10</v>
      </c>
      <c r="B97" s="15">
        <f>D28</f>
        <v>1</v>
      </c>
      <c r="C97" s="16">
        <f>D29</f>
        <v>0</v>
      </c>
      <c r="D97" s="15">
        <f>D30</f>
        <v>4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>
      <c r="A98" s="15">
        <f>D27</f>
        <v>10</v>
      </c>
      <c r="B98" s="15">
        <f>D28</f>
        <v>1</v>
      </c>
      <c r="C98" s="16">
        <f>D29</f>
        <v>0</v>
      </c>
      <c r="D98" s="15">
        <f>D30</f>
        <v>4</v>
      </c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>
      <c r="A99" s="15">
        <f>D27</f>
        <v>10</v>
      </c>
      <c r="B99" s="15">
        <f>D28</f>
        <v>1</v>
      </c>
      <c r="C99" s="16">
        <f>D29</f>
        <v>0</v>
      </c>
      <c r="D99" s="15">
        <f>D30</f>
        <v>4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>
      <c r="A100" s="15">
        <f>D27</f>
        <v>10</v>
      </c>
      <c r="B100" s="15">
        <f>D28</f>
        <v>1</v>
      </c>
      <c r="C100" s="16">
        <f>D29</f>
        <v>0</v>
      </c>
      <c r="D100" s="15">
        <f>D30</f>
        <v>4</v>
      </c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>
      <c r="A101" s="15">
        <f>D27</f>
        <v>10</v>
      </c>
      <c r="B101" s="15">
        <f>D28</f>
        <v>1</v>
      </c>
      <c r="C101" s="16">
        <f>D29</f>
        <v>0</v>
      </c>
      <c r="D101" s="15">
        <f>D30</f>
        <v>4</v>
      </c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>
      <c r="A102" s="15">
        <f>D27</f>
        <v>10</v>
      </c>
      <c r="B102" s="15">
        <f>D28</f>
        <v>1</v>
      </c>
      <c r="C102" s="16">
        <f>D29</f>
        <v>0</v>
      </c>
      <c r="D102" s="15">
        <f>D30</f>
        <v>4</v>
      </c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>
      <c r="A103" s="15">
        <f>D27</f>
        <v>10</v>
      </c>
      <c r="B103" s="15">
        <f>D28</f>
        <v>1</v>
      </c>
      <c r="C103" s="16">
        <f>D29</f>
        <v>0</v>
      </c>
      <c r="D103" s="15">
        <f>D30</f>
        <v>4</v>
      </c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>
      <c r="A104" s="15">
        <f>D27</f>
        <v>10</v>
      </c>
      <c r="B104" s="15">
        <f>D28</f>
        <v>1</v>
      </c>
      <c r="C104" s="16">
        <f>D29</f>
        <v>0</v>
      </c>
      <c r="D104" s="15">
        <f>D30</f>
        <v>4</v>
      </c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>
      <c r="A105" s="15">
        <f>D27</f>
        <v>10</v>
      </c>
      <c r="B105" s="15">
        <f>D28</f>
        <v>1</v>
      </c>
      <c r="C105" s="16">
        <f>D29</f>
        <v>0</v>
      </c>
      <c r="D105" s="15">
        <f>D30</f>
        <v>4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sortState ref="A11:Q36">
    <sortCondition ref="B11:B36"/>
  </sortState>
  <mergeCells count="25">
    <mergeCell ref="B7:B10"/>
    <mergeCell ref="C7:C10"/>
    <mergeCell ref="A1:O1"/>
    <mergeCell ref="A2:O2"/>
    <mergeCell ref="A3:O3"/>
    <mergeCell ref="A4:O4"/>
    <mergeCell ref="A5:O5"/>
    <mergeCell ref="A6:O6"/>
    <mergeCell ref="D7:R7"/>
    <mergeCell ref="A7:A10"/>
    <mergeCell ref="D8:D10"/>
    <mergeCell ref="E8:E10"/>
    <mergeCell ref="F8:F10"/>
    <mergeCell ref="G8:G10"/>
    <mergeCell ref="H8:H10"/>
    <mergeCell ref="I8:I10"/>
    <mergeCell ref="Q8:Q10"/>
    <mergeCell ref="R8:R10"/>
    <mergeCell ref="J8:J10"/>
    <mergeCell ref="K8:K10"/>
    <mergeCell ref="L8:L10"/>
    <mergeCell ref="M8:M10"/>
    <mergeCell ref="N8:N10"/>
    <mergeCell ref="O8:O10"/>
    <mergeCell ref="P8:P10"/>
  </mergeCells>
  <printOptions horizontalCentered="1" verticalCentered="1"/>
  <pageMargins left="0.70866141732283472" right="0.70866141732283472" top="0.78740157480314965" bottom="0" header="0" footer="0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Лист2"/>
  <dimension ref="A1:Z997"/>
  <sheetViews>
    <sheetView topLeftCell="A7" workbookViewId="0">
      <selection activeCell="D16" sqref="D16"/>
    </sheetView>
  </sheetViews>
  <sheetFormatPr defaultColWidth="14.42578125" defaultRowHeight="15" customHeight="1"/>
  <cols>
    <col min="1" max="1" width="4.140625" customWidth="1"/>
    <col min="2" max="2" width="6.5703125" customWidth="1"/>
    <col min="3" max="3" width="40.42578125" customWidth="1"/>
    <col min="4" max="14" width="6.7109375" customWidth="1"/>
    <col min="15" max="15" width="12.7109375" customWidth="1"/>
    <col min="16" max="17" width="6.7109375" customWidth="1"/>
    <col min="18" max="18" width="8.85546875" customWidth="1"/>
    <col min="19" max="19" width="11.28515625" customWidth="1"/>
  </cols>
  <sheetData>
    <row r="1" spans="1:26" ht="15" customHeight="1">
      <c r="A1" s="85" t="s">
        <v>69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1"/>
      <c r="Q1" s="1"/>
      <c r="R1" s="1"/>
      <c r="S1" s="1"/>
      <c r="T1" s="2"/>
      <c r="U1" s="2"/>
      <c r="V1" s="2"/>
      <c r="W1" s="2"/>
      <c r="X1" s="2"/>
      <c r="Y1" s="2"/>
      <c r="Z1" s="2"/>
    </row>
    <row r="2" spans="1:26" ht="15" customHeight="1">
      <c r="A2" s="85" t="s">
        <v>70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1"/>
      <c r="Q2" s="1"/>
      <c r="R2" s="1"/>
      <c r="S2" s="1"/>
      <c r="T2" s="2"/>
      <c r="U2" s="2"/>
      <c r="V2" s="2"/>
      <c r="W2" s="2"/>
      <c r="X2" s="2"/>
      <c r="Y2" s="2"/>
      <c r="Z2" s="2"/>
    </row>
    <row r="3" spans="1:26" ht="15" customHeight="1">
      <c r="A3" s="87" t="s">
        <v>39</v>
      </c>
      <c r="B3" s="86"/>
      <c r="C3" s="86"/>
      <c r="D3" s="86"/>
      <c r="E3" s="86"/>
      <c r="F3" s="86"/>
      <c r="G3" s="86"/>
      <c r="H3" s="86"/>
      <c r="I3" s="86"/>
      <c r="J3" s="86"/>
      <c r="K3" s="86"/>
      <c r="L3" s="86"/>
      <c r="M3" s="86"/>
      <c r="N3" s="86"/>
      <c r="O3" s="86"/>
      <c r="P3" s="1"/>
      <c r="Q3" s="1"/>
      <c r="R3" s="1"/>
      <c r="S3" s="1"/>
      <c r="T3" s="2"/>
      <c r="U3" s="2"/>
      <c r="V3" s="2"/>
      <c r="W3" s="2"/>
      <c r="X3" s="2"/>
      <c r="Y3" s="2"/>
      <c r="Z3" s="2"/>
    </row>
    <row r="4" spans="1:26" ht="15" customHeight="1">
      <c r="A4" s="85" t="s">
        <v>40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1"/>
      <c r="Q4" s="1"/>
      <c r="R4" s="1"/>
      <c r="S4" s="1"/>
      <c r="T4" s="2"/>
      <c r="U4" s="2"/>
      <c r="V4" s="2"/>
      <c r="W4" s="2"/>
      <c r="X4" s="2"/>
      <c r="Y4" s="2"/>
      <c r="Z4" s="2"/>
    </row>
    <row r="5" spans="1:26" ht="15" customHeight="1">
      <c r="A5" s="85" t="s">
        <v>2</v>
      </c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1"/>
      <c r="Q5" s="1"/>
      <c r="R5" s="1"/>
      <c r="S5" s="1"/>
      <c r="T5" s="2"/>
      <c r="U5" s="2"/>
      <c r="V5" s="2"/>
      <c r="W5" s="2"/>
      <c r="X5" s="2"/>
      <c r="Y5" s="2"/>
      <c r="Z5" s="2"/>
    </row>
    <row r="6" spans="1:26" ht="15" customHeight="1">
      <c r="A6" s="98" t="s">
        <v>3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  <c r="M6" s="99"/>
      <c r="N6" s="99"/>
      <c r="O6" s="99"/>
      <c r="P6" s="1"/>
      <c r="Q6" s="1"/>
      <c r="R6" s="1"/>
      <c r="S6" s="1"/>
      <c r="T6" s="2"/>
      <c r="U6" s="2"/>
      <c r="V6" s="2"/>
      <c r="W6" s="2"/>
      <c r="X6" s="2"/>
      <c r="Y6" s="2"/>
      <c r="Z6" s="2"/>
    </row>
    <row r="7" spans="1:26" ht="15" customHeight="1">
      <c r="A7" s="91" t="s">
        <v>4</v>
      </c>
      <c r="B7" s="84" t="s">
        <v>5</v>
      </c>
      <c r="C7" s="84" t="s">
        <v>6</v>
      </c>
      <c r="D7" s="100" t="s">
        <v>7</v>
      </c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2"/>
      <c r="T7" s="2"/>
      <c r="U7" s="2"/>
      <c r="V7" s="2"/>
      <c r="W7" s="2"/>
      <c r="X7" s="2"/>
      <c r="Y7" s="2"/>
      <c r="Z7" s="2"/>
    </row>
    <row r="8" spans="1:26" ht="15" customHeight="1">
      <c r="A8" s="81"/>
      <c r="B8" s="81"/>
      <c r="C8" s="81"/>
      <c r="D8" s="80" t="s">
        <v>8</v>
      </c>
      <c r="E8" s="80" t="s">
        <v>9</v>
      </c>
      <c r="F8" s="80" t="s">
        <v>10</v>
      </c>
      <c r="G8" s="80" t="s">
        <v>11</v>
      </c>
      <c r="H8" s="80" t="s">
        <v>12</v>
      </c>
      <c r="I8" s="80" t="s">
        <v>13</v>
      </c>
      <c r="J8" s="80" t="s">
        <v>14</v>
      </c>
      <c r="K8" s="80" t="s">
        <v>15</v>
      </c>
      <c r="L8" s="80" t="s">
        <v>16</v>
      </c>
      <c r="M8" s="80" t="s">
        <v>17</v>
      </c>
      <c r="N8" s="80" t="s">
        <v>18</v>
      </c>
      <c r="O8" s="80" t="s">
        <v>19</v>
      </c>
      <c r="P8" s="80" t="s">
        <v>20</v>
      </c>
      <c r="Q8" s="80" t="s">
        <v>21</v>
      </c>
      <c r="R8" s="92" t="s">
        <v>41</v>
      </c>
      <c r="S8" s="95" t="s">
        <v>42</v>
      </c>
      <c r="T8" s="2"/>
      <c r="U8" s="2"/>
      <c r="V8" s="2"/>
      <c r="W8" s="2"/>
      <c r="X8" s="2"/>
      <c r="Y8" s="2"/>
      <c r="Z8" s="2"/>
    </row>
    <row r="9" spans="1:26" ht="15" customHeight="1">
      <c r="A9" s="81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93"/>
      <c r="S9" s="96"/>
      <c r="T9" s="2"/>
      <c r="U9" s="2"/>
      <c r="V9" s="2"/>
      <c r="W9" s="2"/>
      <c r="X9" s="2"/>
      <c r="Y9" s="2"/>
      <c r="Z9" s="2"/>
    </row>
    <row r="10" spans="1:26" ht="91.5" customHeight="1">
      <c r="A10" s="82"/>
      <c r="B10" s="82"/>
      <c r="C10" s="97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94"/>
      <c r="S10" s="96"/>
      <c r="T10" s="2"/>
      <c r="U10" s="2"/>
      <c r="V10" s="2"/>
      <c r="W10" s="2"/>
      <c r="X10" s="2"/>
      <c r="Y10" s="2"/>
      <c r="Z10" s="2"/>
    </row>
    <row r="11" spans="1:26" s="25" customFormat="1" ht="15.75">
      <c r="A11" s="19" t="s">
        <v>24</v>
      </c>
      <c r="B11" s="19">
        <v>1</v>
      </c>
      <c r="C11" s="20" t="s">
        <v>47</v>
      </c>
      <c r="D11" s="19">
        <v>11</v>
      </c>
      <c r="E11" s="19">
        <v>10</v>
      </c>
      <c r="F11" s="19">
        <v>8</v>
      </c>
      <c r="G11" s="19">
        <v>10</v>
      </c>
      <c r="H11" s="19">
        <v>10</v>
      </c>
      <c r="I11" s="19">
        <v>10</v>
      </c>
      <c r="J11" s="19">
        <v>10</v>
      </c>
      <c r="K11" s="19">
        <v>10</v>
      </c>
      <c r="L11" s="19">
        <v>10</v>
      </c>
      <c r="M11" s="19">
        <v>10</v>
      </c>
      <c r="N11" s="19">
        <v>10</v>
      </c>
      <c r="O11" s="19">
        <v>9</v>
      </c>
      <c r="P11" s="19">
        <v>9</v>
      </c>
      <c r="Q11" s="19">
        <v>10</v>
      </c>
      <c r="R11" s="21">
        <f>AVERAGE(D11:Q11)</f>
        <v>9.7857142857142865</v>
      </c>
      <c r="S11" s="21">
        <f>R11*90/12</f>
        <v>73.392857142857153</v>
      </c>
    </row>
    <row r="12" spans="1:26" s="25" customFormat="1" ht="15.75">
      <c r="A12" s="19" t="s">
        <v>24</v>
      </c>
      <c r="B12" s="19">
        <v>2</v>
      </c>
      <c r="C12" s="20" t="s">
        <v>53</v>
      </c>
      <c r="D12" s="19">
        <v>8</v>
      </c>
      <c r="E12" s="19">
        <v>9</v>
      </c>
      <c r="F12" s="19">
        <v>5</v>
      </c>
      <c r="G12" s="19">
        <v>6</v>
      </c>
      <c r="H12" s="19">
        <v>6</v>
      </c>
      <c r="I12" s="19">
        <v>8</v>
      </c>
      <c r="J12" s="19">
        <v>7</v>
      </c>
      <c r="K12" s="19">
        <v>9</v>
      </c>
      <c r="L12" s="19">
        <v>8</v>
      </c>
      <c r="M12" s="19">
        <v>10</v>
      </c>
      <c r="N12" s="19">
        <v>7</v>
      </c>
      <c r="O12" s="19">
        <v>7</v>
      </c>
      <c r="P12" s="19">
        <v>8</v>
      </c>
      <c r="Q12" s="19">
        <v>8</v>
      </c>
      <c r="R12" s="21">
        <f t="shared" ref="R12:R15" si="0">AVERAGE(D12:Q12)</f>
        <v>7.5714285714285712</v>
      </c>
      <c r="S12" s="21">
        <f>R12*90/12</f>
        <v>56.785714285714285</v>
      </c>
    </row>
    <row r="13" spans="1:26" s="25" customFormat="1" ht="15.75">
      <c r="A13" s="19" t="s">
        <v>24</v>
      </c>
      <c r="B13" s="19">
        <v>3</v>
      </c>
      <c r="C13" s="20" t="s">
        <v>44</v>
      </c>
      <c r="D13" s="19">
        <v>6</v>
      </c>
      <c r="E13" s="19">
        <v>9</v>
      </c>
      <c r="F13" s="19">
        <v>4</v>
      </c>
      <c r="G13" s="19">
        <v>6</v>
      </c>
      <c r="H13" s="19">
        <v>6</v>
      </c>
      <c r="I13" s="19">
        <v>8</v>
      </c>
      <c r="J13" s="19">
        <v>6</v>
      </c>
      <c r="K13" s="19">
        <v>9</v>
      </c>
      <c r="L13" s="19">
        <v>6</v>
      </c>
      <c r="M13" s="19">
        <v>10</v>
      </c>
      <c r="N13" s="19">
        <v>6</v>
      </c>
      <c r="O13" s="19">
        <v>8</v>
      </c>
      <c r="P13" s="19">
        <v>6</v>
      </c>
      <c r="Q13" s="19">
        <v>9</v>
      </c>
      <c r="R13" s="21">
        <f t="shared" si="0"/>
        <v>7.0714285714285712</v>
      </c>
      <c r="S13" s="21">
        <f>R13*90/12</f>
        <v>53.035714285714285</v>
      </c>
    </row>
    <row r="14" spans="1:26" s="25" customFormat="1" ht="15.75">
      <c r="A14" s="19" t="s">
        <v>24</v>
      </c>
      <c r="B14" s="19">
        <v>4</v>
      </c>
      <c r="C14" s="20" t="s">
        <v>52</v>
      </c>
      <c r="D14" s="19">
        <v>7</v>
      </c>
      <c r="E14" s="19">
        <v>8</v>
      </c>
      <c r="F14" s="19">
        <v>4</v>
      </c>
      <c r="G14" s="19">
        <v>5</v>
      </c>
      <c r="H14" s="19">
        <v>7</v>
      </c>
      <c r="I14" s="19">
        <v>8</v>
      </c>
      <c r="J14" s="19">
        <v>6</v>
      </c>
      <c r="K14" s="19">
        <v>6</v>
      </c>
      <c r="L14" s="19">
        <v>5</v>
      </c>
      <c r="M14" s="19">
        <v>6</v>
      </c>
      <c r="N14" s="19">
        <v>4</v>
      </c>
      <c r="O14" s="19">
        <v>7</v>
      </c>
      <c r="P14" s="19">
        <v>5</v>
      </c>
      <c r="Q14" s="19">
        <v>8</v>
      </c>
      <c r="R14" s="21">
        <f t="shared" si="0"/>
        <v>6.1428571428571432</v>
      </c>
      <c r="S14" s="21">
        <f>R14*90/12</f>
        <v>46.071428571428577</v>
      </c>
    </row>
    <row r="15" spans="1:26" s="25" customFormat="1" ht="15.75">
      <c r="A15" s="22" t="s">
        <v>24</v>
      </c>
      <c r="B15" s="22">
        <v>5</v>
      </c>
      <c r="C15" s="23" t="s">
        <v>51</v>
      </c>
      <c r="D15" s="22">
        <v>5</v>
      </c>
      <c r="E15" s="22">
        <v>8</v>
      </c>
      <c r="F15" s="22">
        <v>4</v>
      </c>
      <c r="G15" s="22">
        <v>7</v>
      </c>
      <c r="H15" s="22">
        <v>7</v>
      </c>
      <c r="I15" s="22">
        <v>5</v>
      </c>
      <c r="J15" s="22">
        <v>5</v>
      </c>
      <c r="K15" s="22">
        <v>7</v>
      </c>
      <c r="L15" s="22">
        <v>6</v>
      </c>
      <c r="M15" s="22">
        <v>5</v>
      </c>
      <c r="N15" s="22">
        <v>5</v>
      </c>
      <c r="O15" s="22">
        <v>7</v>
      </c>
      <c r="P15" s="22">
        <v>6</v>
      </c>
      <c r="Q15" s="22">
        <v>8</v>
      </c>
      <c r="R15" s="78">
        <f t="shared" si="0"/>
        <v>6.0714285714285712</v>
      </c>
      <c r="S15" s="24">
        <f>R15*90/12</f>
        <v>45.535714285714285</v>
      </c>
    </row>
    <row r="16" spans="1:26" s="25" customFormat="1" ht="15.75">
      <c r="C16" s="23" t="s">
        <v>32</v>
      </c>
      <c r="D16" s="22">
        <f>'Зведена відомість 161'!A95</f>
        <v>10</v>
      </c>
    </row>
    <row r="17" spans="3:14" s="25" customFormat="1" ht="15.75">
      <c r="C17" s="23" t="s">
        <v>31</v>
      </c>
      <c r="D17" s="22">
        <f>'Зведена відомість 161'!B95</f>
        <v>1</v>
      </c>
    </row>
    <row r="18" spans="3:14" s="25" customFormat="1" ht="15.75">
      <c r="C18" s="23" t="s">
        <v>33</v>
      </c>
      <c r="D18" s="22">
        <f>'Зведена відомість 161'!C95</f>
        <v>0</v>
      </c>
      <c r="G18" s="25" t="s">
        <v>35</v>
      </c>
      <c r="N18" s="25" t="s">
        <v>36</v>
      </c>
    </row>
    <row r="19" spans="3:14" s="25" customFormat="1" ht="15.75">
      <c r="C19" s="23" t="s">
        <v>34</v>
      </c>
      <c r="D19" s="22">
        <f>'Зведена відомість 161'!D95</f>
        <v>4</v>
      </c>
    </row>
    <row r="20" spans="3:14" s="25" customFormat="1">
      <c r="G20" s="25" t="s">
        <v>37</v>
      </c>
      <c r="N20" s="25" t="s">
        <v>38</v>
      </c>
    </row>
    <row r="21" spans="3:14" s="25" customFormat="1"/>
    <row r="22" spans="3:14" s="25" customFormat="1"/>
    <row r="23" spans="3:14" s="25" customFormat="1"/>
    <row r="24" spans="3:14" s="25" customFormat="1"/>
    <row r="25" spans="3:14" s="25" customFormat="1"/>
    <row r="26" spans="3:14" s="25" customFormat="1"/>
    <row r="27" spans="3:14" s="25" customFormat="1"/>
    <row r="28" spans="3:14" s="25" customFormat="1"/>
    <row r="29" spans="3:14" s="25" customFormat="1"/>
    <row r="30" spans="3:14" s="25" customFormat="1"/>
    <row r="31" spans="3:14" s="25" customFormat="1"/>
    <row r="32" spans="3:14" s="25" customFormat="1"/>
    <row r="33" s="25" customFormat="1"/>
    <row r="34" s="25" customFormat="1"/>
    <row r="35" s="25" customFormat="1"/>
    <row r="36" s="25" customFormat="1"/>
    <row r="37" s="25" customFormat="1"/>
    <row r="38" s="25" customFormat="1"/>
    <row r="39" s="25" customFormat="1"/>
    <row r="40" s="25" customFormat="1"/>
    <row r="41" s="25" customFormat="1"/>
    <row r="42" s="25" customFormat="1"/>
    <row r="43" s="25" customFormat="1"/>
    <row r="44" s="25" customFormat="1"/>
    <row r="45" s="25" customFormat="1"/>
    <row r="46" s="25" customFormat="1"/>
    <row r="47" s="25" customFormat="1"/>
    <row r="48" s="25" customFormat="1"/>
    <row r="49" s="25" customFormat="1"/>
    <row r="50" s="25" customFormat="1"/>
    <row r="51" s="33" customFormat="1"/>
    <row r="52" s="33" customFormat="1"/>
    <row r="53" s="33" customFormat="1"/>
    <row r="54" s="33" customFormat="1"/>
    <row r="55" s="33" customFormat="1"/>
    <row r="56" s="33" customFormat="1"/>
    <row r="57" s="33" customFormat="1"/>
    <row r="58" s="33" customFormat="1"/>
    <row r="59" s="33" customFormat="1"/>
    <row r="60" s="33" customFormat="1"/>
    <row r="61" s="33" customFormat="1"/>
    <row r="62" s="33" customFormat="1"/>
    <row r="63" s="33" customFormat="1"/>
    <row r="64" s="33" customFormat="1"/>
    <row r="65" spans="1:26" s="33" customFormat="1"/>
    <row r="66" spans="1:26" s="26" customFormat="1">
      <c r="B66" s="33"/>
      <c r="S66" s="33"/>
    </row>
    <row r="67" spans="1:26" s="26" customFormat="1">
      <c r="B67" s="33"/>
      <c r="S67" s="33"/>
    </row>
    <row r="68" spans="1:26" s="26" customFormat="1">
      <c r="B68" s="33"/>
      <c r="S68" s="33"/>
    </row>
    <row r="69" spans="1:26" s="26" customFormat="1">
      <c r="B69" s="33"/>
      <c r="S69" s="33"/>
    </row>
    <row r="70" spans="1:26" s="26" customFormat="1">
      <c r="B70" s="33"/>
      <c r="S70" s="33"/>
    </row>
    <row r="71" spans="1:26" s="18" customFormat="1">
      <c r="B71" s="33"/>
      <c r="S71" s="33"/>
    </row>
    <row r="72" spans="1:26" s="18" customFormat="1">
      <c r="B72" s="33"/>
      <c r="S72" s="33"/>
    </row>
    <row r="73" spans="1:26" s="18" customFormat="1">
      <c r="B73" s="33"/>
      <c r="S73" s="33"/>
    </row>
    <row r="74" spans="1:26" s="18" customFormat="1">
      <c r="B74" s="33"/>
      <c r="S74" s="33"/>
    </row>
    <row r="75" spans="1:26" s="18" customFormat="1">
      <c r="B75" s="33"/>
      <c r="S75" s="33"/>
    </row>
    <row r="76" spans="1:26" ht="15.75" customHeight="1">
      <c r="A76" s="2"/>
      <c r="B76" s="33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33"/>
      <c r="T76" s="2"/>
      <c r="U76" s="2"/>
      <c r="V76" s="2"/>
      <c r="W76" s="2"/>
      <c r="X76" s="2"/>
      <c r="Y76" s="2"/>
      <c r="Z76" s="2"/>
    </row>
    <row r="77" spans="1:26" ht="15.75" customHeight="1">
      <c r="A77" s="2"/>
      <c r="B77" s="33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33"/>
      <c r="T77" s="2"/>
      <c r="U77" s="2"/>
      <c r="V77" s="2"/>
      <c r="W77" s="2"/>
      <c r="X77" s="2"/>
      <c r="Y77" s="2"/>
      <c r="Z77" s="2"/>
    </row>
    <row r="78" spans="1:26" ht="15.75" customHeight="1">
      <c r="A78" s="2"/>
      <c r="B78" s="33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33"/>
      <c r="T78" s="2"/>
      <c r="U78" s="2"/>
      <c r="V78" s="2"/>
      <c r="W78" s="2"/>
      <c r="X78" s="2"/>
      <c r="Y78" s="2"/>
      <c r="Z78" s="2"/>
    </row>
    <row r="79" spans="1:26" ht="15.75" customHeight="1">
      <c r="A79" s="2"/>
      <c r="B79" s="33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33"/>
      <c r="T79" s="2"/>
      <c r="U79" s="2"/>
      <c r="V79" s="2"/>
      <c r="W79" s="2"/>
      <c r="X79" s="2"/>
      <c r="Y79" s="2"/>
      <c r="Z79" s="2"/>
    </row>
    <row r="80" spans="1:26" ht="15.75" customHeight="1">
      <c r="A80" s="17">
        <f>COUNTIF(A11:A40,"=Б")</f>
        <v>5</v>
      </c>
      <c r="B80" s="33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33"/>
      <c r="T80" s="2"/>
      <c r="U80" s="2"/>
      <c r="V80" s="2"/>
      <c r="W80" s="2"/>
      <c r="X80" s="2"/>
      <c r="Y80" s="2"/>
      <c r="Z80" s="2"/>
    </row>
    <row r="81" spans="1:26" ht="15.75" customHeight="1">
      <c r="A81" s="17">
        <f>COUNTIF(A11:A40,"=Б")</f>
        <v>5</v>
      </c>
      <c r="B81" s="33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33"/>
      <c r="T81" s="2"/>
      <c r="U81" s="2"/>
      <c r="V81" s="2"/>
      <c r="W81" s="2"/>
      <c r="X81" s="2"/>
      <c r="Y81" s="2"/>
      <c r="Z81" s="2"/>
    </row>
    <row r="82" spans="1:26" ht="15.75" customHeight="1">
      <c r="A82" s="17">
        <f>COUNTIF(A11:A40,"=Б")</f>
        <v>5</v>
      </c>
      <c r="B82" s="33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33"/>
      <c r="T82" s="2"/>
      <c r="U82" s="2"/>
      <c r="V82" s="2"/>
      <c r="W82" s="2"/>
      <c r="X82" s="2"/>
      <c r="Y82" s="2"/>
      <c r="Z82" s="2"/>
    </row>
    <row r="83" spans="1:26" ht="15.75" customHeight="1">
      <c r="A83" s="17">
        <f>COUNTIF(A11:A40,"=Б")</f>
        <v>5</v>
      </c>
      <c r="B83" s="33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33"/>
      <c r="T83" s="2"/>
      <c r="U83" s="2"/>
      <c r="V83" s="2"/>
      <c r="W83" s="2"/>
      <c r="X83" s="2"/>
      <c r="Y83" s="2"/>
      <c r="Z83" s="2"/>
    </row>
    <row r="84" spans="1:26" ht="15.75" customHeight="1">
      <c r="A84" s="17">
        <f>COUNTIF(A11:A40,"=Б")</f>
        <v>5</v>
      </c>
      <c r="B84" s="33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33"/>
      <c r="T84" s="2"/>
      <c r="U84" s="2"/>
      <c r="V84" s="2"/>
      <c r="W84" s="2"/>
      <c r="X84" s="2"/>
      <c r="Y84" s="2"/>
      <c r="Z84" s="2"/>
    </row>
    <row r="85" spans="1:26" ht="15.75" customHeight="1">
      <c r="A85" s="17">
        <f>COUNTIF(A11:A40,"=Б")</f>
        <v>5</v>
      </c>
      <c r="B85" s="33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33"/>
      <c r="T85" s="2"/>
      <c r="U85" s="2"/>
      <c r="V85" s="2"/>
      <c r="W85" s="2"/>
      <c r="X85" s="2"/>
      <c r="Y85" s="2"/>
      <c r="Z85" s="2"/>
    </row>
    <row r="86" spans="1:26" ht="15.75" customHeight="1">
      <c r="A86" s="17">
        <f>COUNTIF(A11:A40,"=Б")</f>
        <v>5</v>
      </c>
      <c r="B86" s="33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33"/>
      <c r="T86" s="2"/>
      <c r="U86" s="2"/>
      <c r="V86" s="2"/>
      <c r="W86" s="2"/>
      <c r="X86" s="2"/>
      <c r="Y86" s="2"/>
      <c r="Z86" s="2"/>
    </row>
    <row r="87" spans="1:26" ht="15.75" customHeight="1">
      <c r="A87" s="17">
        <f>COUNTIF(A11:A40,"=Б")</f>
        <v>5</v>
      </c>
      <c r="B87" s="33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33"/>
      <c r="T87" s="2"/>
      <c r="U87" s="2"/>
      <c r="V87" s="2"/>
      <c r="W87" s="2"/>
      <c r="X87" s="2"/>
      <c r="Y87" s="2"/>
      <c r="Z87" s="2"/>
    </row>
    <row r="88" spans="1:26" ht="15.75" customHeight="1">
      <c r="A88" s="17">
        <f>COUNTIF(A11:A40,"=Б")</f>
        <v>5</v>
      </c>
      <c r="B88" s="33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33"/>
      <c r="T88" s="2"/>
      <c r="U88" s="2"/>
      <c r="V88" s="2"/>
      <c r="W88" s="2"/>
      <c r="X88" s="2"/>
      <c r="Y88" s="2"/>
      <c r="Z88" s="2"/>
    </row>
    <row r="89" spans="1:26" ht="15.75" customHeight="1">
      <c r="A89" s="17">
        <f>COUNTIF(A11:A40,"=Б")</f>
        <v>5</v>
      </c>
      <c r="B89" s="33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33"/>
      <c r="T89" s="2"/>
      <c r="U89" s="2"/>
      <c r="V89" s="2"/>
      <c r="W89" s="2"/>
      <c r="X89" s="2"/>
      <c r="Y89" s="2"/>
      <c r="Z89" s="2"/>
    </row>
    <row r="90" spans="1:26" ht="15.75" customHeight="1">
      <c r="A90" s="17">
        <f>COUNTIF(A11:A40,"=Б")</f>
        <v>5</v>
      </c>
      <c r="B90" s="33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33"/>
      <c r="T90" s="2"/>
      <c r="U90" s="2"/>
      <c r="V90" s="2"/>
      <c r="W90" s="2"/>
      <c r="X90" s="2"/>
      <c r="Y90" s="2"/>
      <c r="Z90" s="2"/>
    </row>
    <row r="91" spans="1:26" ht="15.75" customHeight="1">
      <c r="A91" s="17">
        <f>COUNTIF(A11:A40,"=Б")</f>
        <v>5</v>
      </c>
      <c r="B91" s="33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33"/>
      <c r="T91" s="2"/>
      <c r="U91" s="2"/>
      <c r="V91" s="2"/>
      <c r="W91" s="2"/>
      <c r="X91" s="2"/>
      <c r="Y91" s="2"/>
      <c r="Z91" s="2"/>
    </row>
    <row r="92" spans="1:26" ht="15.75" customHeight="1">
      <c r="A92" s="17">
        <f>COUNTIF(A11:A40,"=Б")</f>
        <v>5</v>
      </c>
      <c r="B92" s="33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33"/>
      <c r="T92" s="2"/>
      <c r="U92" s="2"/>
      <c r="V92" s="2"/>
      <c r="W92" s="2"/>
      <c r="X92" s="2"/>
      <c r="Y92" s="2"/>
      <c r="Z92" s="2"/>
    </row>
    <row r="93" spans="1:26" ht="15.75" customHeight="1">
      <c r="A93" s="17">
        <f>COUNTIF(A11:A40,"=Б")</f>
        <v>5</v>
      </c>
      <c r="B93" s="33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33"/>
      <c r="T93" s="2"/>
      <c r="U93" s="2"/>
      <c r="V93" s="2"/>
      <c r="W93" s="2"/>
      <c r="X93" s="2"/>
      <c r="Y93" s="2"/>
      <c r="Z93" s="2"/>
    </row>
    <row r="94" spans="1:26" ht="15.75" customHeight="1">
      <c r="A94" s="17">
        <f>COUNTIF(A11:A40,"=Б")</f>
        <v>5</v>
      </c>
      <c r="B94" s="33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33"/>
      <c r="T94" s="2"/>
      <c r="U94" s="2"/>
      <c r="V94" s="2"/>
      <c r="W94" s="2"/>
      <c r="X94" s="2"/>
      <c r="Y94" s="2"/>
      <c r="Z94" s="2"/>
    </row>
    <row r="95" spans="1:26" ht="15.75" customHeight="1">
      <c r="A95" s="17">
        <f>COUNTIF(A11:A40,"=Б")</f>
        <v>5</v>
      </c>
      <c r="B95" s="33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33"/>
      <c r="T95" s="2"/>
      <c r="U95" s="2"/>
      <c r="V95" s="2"/>
      <c r="W95" s="2"/>
      <c r="X95" s="2"/>
      <c r="Y95" s="2"/>
      <c r="Z95" s="2"/>
    </row>
    <row r="96" spans="1:26" ht="15.75" customHeight="1">
      <c r="A96" s="17">
        <f>COUNTIF(A11:A40,"=Б")</f>
        <v>5</v>
      </c>
      <c r="B96" s="33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33"/>
      <c r="T96" s="2"/>
      <c r="U96" s="2"/>
      <c r="V96" s="2"/>
      <c r="W96" s="2"/>
      <c r="X96" s="2"/>
      <c r="Y96" s="2"/>
      <c r="Z96" s="2"/>
    </row>
    <row r="97" spans="1:26" ht="15.75" customHeight="1">
      <c r="A97" s="17">
        <f>COUNTIF(A11:A40,"=Б")</f>
        <v>5</v>
      </c>
      <c r="B97" s="33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33"/>
      <c r="T97" s="2"/>
      <c r="U97" s="2"/>
      <c r="V97" s="2"/>
      <c r="W97" s="2"/>
      <c r="X97" s="2"/>
      <c r="Y97" s="2"/>
      <c r="Z97" s="2"/>
    </row>
    <row r="98" spans="1:26" ht="15.75" customHeight="1">
      <c r="A98" s="17">
        <f>COUNTIF(A11:A40,"=Б")</f>
        <v>5</v>
      </c>
      <c r="B98" s="33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33"/>
      <c r="T98" s="2"/>
      <c r="U98" s="2"/>
      <c r="V98" s="2"/>
      <c r="W98" s="2"/>
      <c r="X98" s="2"/>
      <c r="Y98" s="2"/>
      <c r="Z98" s="2"/>
    </row>
    <row r="99" spans="1:26" ht="15.75" customHeight="1">
      <c r="A99" s="17">
        <f>COUNTIF(A11:A40,"=Б")</f>
        <v>5</v>
      </c>
      <c r="B99" s="33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33"/>
      <c r="T99" s="2"/>
      <c r="U99" s="2"/>
      <c r="V99" s="2"/>
      <c r="W99" s="2"/>
      <c r="X99" s="2"/>
      <c r="Y99" s="2"/>
      <c r="Z99" s="2"/>
    </row>
    <row r="100" spans="1:26" ht="15.75" customHeight="1">
      <c r="A100" s="17">
        <f>COUNTIF(A11:A40,"=Б")</f>
        <v>5</v>
      </c>
      <c r="B100" s="33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33"/>
      <c r="T100" s="2"/>
      <c r="U100" s="2"/>
      <c r="V100" s="2"/>
      <c r="W100" s="2"/>
      <c r="X100" s="2"/>
      <c r="Y100" s="2"/>
      <c r="Z100" s="2"/>
    </row>
    <row r="101" spans="1:26" ht="15.75" customHeight="1">
      <c r="A101" s="17">
        <f>COUNTIF(A11:A40,"=Б")</f>
        <v>5</v>
      </c>
      <c r="B101" s="33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33"/>
      <c r="T101" s="2"/>
      <c r="U101" s="2"/>
      <c r="V101" s="2"/>
      <c r="W101" s="2"/>
      <c r="X101" s="2"/>
      <c r="Y101" s="2"/>
      <c r="Z101" s="2"/>
    </row>
    <row r="102" spans="1:26" ht="15.75" customHeight="1">
      <c r="A102" s="17">
        <f>COUNTIF(A11:A40,"=Б")</f>
        <v>5</v>
      </c>
      <c r="B102" s="33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33"/>
      <c r="T102" s="2"/>
      <c r="U102" s="2"/>
      <c r="V102" s="2"/>
      <c r="W102" s="2"/>
      <c r="X102" s="2"/>
      <c r="Y102" s="2"/>
      <c r="Z102" s="2"/>
    </row>
    <row r="103" spans="1:26" ht="15.75" customHeight="1">
      <c r="A103" s="17">
        <f>COUNTIF(A11:A40,"=Б")</f>
        <v>5</v>
      </c>
      <c r="B103" s="33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33"/>
      <c r="T103" s="2"/>
      <c r="U103" s="2"/>
      <c r="V103" s="2"/>
      <c r="W103" s="2"/>
      <c r="X103" s="2"/>
      <c r="Y103" s="2"/>
      <c r="Z103" s="2"/>
    </row>
    <row r="104" spans="1:26" ht="15.75" customHeight="1">
      <c r="A104" s="17">
        <f>COUNTIF(A11:A40,"=Б")</f>
        <v>5</v>
      </c>
      <c r="B104" s="33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33"/>
      <c r="T104" s="2"/>
      <c r="U104" s="2"/>
      <c r="V104" s="2"/>
      <c r="W104" s="2"/>
      <c r="X104" s="2"/>
      <c r="Y104" s="2"/>
      <c r="Z104" s="2"/>
    </row>
    <row r="105" spans="1:26" ht="15.75" customHeight="1">
      <c r="A105" s="17">
        <f>COUNTIF(A11:A40,"=Б")</f>
        <v>5</v>
      </c>
      <c r="B105" s="33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33"/>
      <c r="T105" s="2"/>
      <c r="U105" s="2"/>
      <c r="V105" s="2"/>
      <c r="W105" s="2"/>
      <c r="X105" s="2"/>
      <c r="Y105" s="2"/>
      <c r="Z105" s="2"/>
    </row>
    <row r="106" spans="1:26" ht="15.75" customHeight="1">
      <c r="A106" s="17">
        <f>COUNTIF(A11:A40,"=Б")</f>
        <v>5</v>
      </c>
      <c r="B106" s="33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33"/>
      <c r="T106" s="2"/>
      <c r="U106" s="2"/>
      <c r="V106" s="2"/>
      <c r="W106" s="2"/>
      <c r="X106" s="2"/>
      <c r="Y106" s="2"/>
      <c r="Z106" s="2"/>
    </row>
    <row r="107" spans="1:26" ht="15.75" customHeight="1">
      <c r="A107" s="17">
        <f>COUNTIF(A11:A40,"=Б")</f>
        <v>5</v>
      </c>
      <c r="B107" s="33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33"/>
      <c r="T107" s="2"/>
      <c r="U107" s="2"/>
      <c r="V107" s="2"/>
      <c r="W107" s="2"/>
      <c r="X107" s="2"/>
      <c r="Y107" s="2"/>
      <c r="Z107" s="2"/>
    </row>
    <row r="108" spans="1:26" ht="15.75" customHeight="1">
      <c r="A108" s="17">
        <f>COUNTIF(A11:A40,"=Б")</f>
        <v>5</v>
      </c>
      <c r="B108" s="33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33"/>
      <c r="T108" s="2"/>
      <c r="U108" s="2"/>
      <c r="V108" s="2"/>
      <c r="W108" s="2"/>
      <c r="X108" s="2"/>
      <c r="Y108" s="2"/>
      <c r="Z108" s="2"/>
    </row>
    <row r="109" spans="1:26" ht="15.75" customHeight="1">
      <c r="A109" s="17">
        <f>COUNTIF(A11:A40,"=Б")</f>
        <v>5</v>
      </c>
      <c r="B109" s="33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33"/>
      <c r="T109" s="2"/>
      <c r="U109" s="2"/>
      <c r="V109" s="2"/>
      <c r="W109" s="2"/>
      <c r="X109" s="2"/>
      <c r="Y109" s="2"/>
      <c r="Z109" s="2"/>
    </row>
    <row r="110" spans="1:26" ht="15.75" customHeight="1">
      <c r="A110" s="17">
        <f>COUNTIF(A11:A40,"=Б")</f>
        <v>5</v>
      </c>
      <c r="B110" s="33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33"/>
      <c r="T110" s="2"/>
      <c r="U110" s="2"/>
      <c r="V110" s="2"/>
      <c r="W110" s="2"/>
      <c r="X110" s="2"/>
      <c r="Y110" s="2"/>
      <c r="Z110" s="2"/>
    </row>
    <row r="111" spans="1:26" ht="15.75" customHeight="1">
      <c r="A111" s="17">
        <f>COUNTIF(A11:A40,"=Б")</f>
        <v>5</v>
      </c>
      <c r="B111" s="33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33"/>
      <c r="T111" s="2"/>
      <c r="U111" s="2"/>
      <c r="V111" s="2"/>
      <c r="W111" s="2"/>
      <c r="X111" s="2"/>
      <c r="Y111" s="2"/>
      <c r="Z111" s="2"/>
    </row>
    <row r="112" spans="1:26" ht="15.75" customHeight="1">
      <c r="A112" s="17">
        <f>COUNTIF(A11:A40,"=Б")</f>
        <v>5</v>
      </c>
      <c r="B112" s="33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33"/>
      <c r="T112" s="2"/>
      <c r="U112" s="2"/>
      <c r="V112" s="2"/>
      <c r="W112" s="2"/>
      <c r="X112" s="2"/>
      <c r="Y112" s="2"/>
      <c r="Z112" s="2"/>
    </row>
    <row r="113" spans="1:26" ht="15.75" customHeight="1">
      <c r="A113" s="17">
        <f>COUNTIF(A11:A40,"=Б")</f>
        <v>5</v>
      </c>
      <c r="B113" s="33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33"/>
      <c r="T113" s="2"/>
      <c r="U113" s="2"/>
      <c r="V113" s="2"/>
      <c r="W113" s="2"/>
      <c r="X113" s="2"/>
      <c r="Y113" s="2"/>
      <c r="Z113" s="2"/>
    </row>
    <row r="114" spans="1:26" ht="15.75" customHeight="1">
      <c r="A114" s="17">
        <f>COUNTIF(A11:A40,"=Б")</f>
        <v>5</v>
      </c>
      <c r="B114" s="33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33"/>
      <c r="T114" s="2"/>
      <c r="U114" s="2"/>
      <c r="V114" s="2"/>
      <c r="W114" s="2"/>
      <c r="X114" s="2"/>
      <c r="Y114" s="2"/>
      <c r="Z114" s="2"/>
    </row>
    <row r="115" spans="1:26" ht="15.75" customHeight="1">
      <c r="A115" s="17">
        <f>COUNTIF(A11:A40,"=Б")</f>
        <v>5</v>
      </c>
      <c r="B115" s="33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33"/>
      <c r="T115" s="2"/>
      <c r="U115" s="2"/>
      <c r="V115" s="2"/>
      <c r="W115" s="2"/>
      <c r="X115" s="2"/>
      <c r="Y115" s="2"/>
      <c r="Z115" s="2"/>
    </row>
    <row r="116" spans="1:26" ht="15.75" customHeight="1">
      <c r="A116" s="17">
        <f>COUNTIF(A11:A40,"=Б")</f>
        <v>5</v>
      </c>
      <c r="B116" s="26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33"/>
      <c r="T116" s="2"/>
      <c r="U116" s="2"/>
      <c r="V116" s="2"/>
      <c r="W116" s="2"/>
      <c r="X116" s="2"/>
      <c r="Y116" s="2"/>
      <c r="Z116" s="2"/>
    </row>
    <row r="117" spans="1:26" ht="15.75" customHeight="1">
      <c r="A117" s="17">
        <f>COUNTIF(A11:A40,"=Б")</f>
        <v>5</v>
      </c>
      <c r="B117" s="26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6"/>
      <c r="T117" s="2"/>
      <c r="U117" s="2"/>
      <c r="V117" s="2"/>
      <c r="W117" s="2"/>
      <c r="X117" s="2"/>
      <c r="Y117" s="2"/>
      <c r="Z117" s="2"/>
    </row>
    <row r="118" spans="1:26" ht="15.75" customHeight="1">
      <c r="A118" s="17">
        <f>COUNTIF(A11:A40,"=Б")</f>
        <v>5</v>
      </c>
      <c r="B118" s="26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6"/>
      <c r="T118" s="2"/>
      <c r="U118" s="2"/>
      <c r="V118" s="2"/>
      <c r="W118" s="2"/>
      <c r="X118" s="2"/>
      <c r="Y118" s="2"/>
      <c r="Z118" s="2"/>
    </row>
    <row r="119" spans="1:26" ht="15.75" customHeight="1">
      <c r="A119" s="17">
        <f>COUNTIF(A11:A40,"=Б")</f>
        <v>5</v>
      </c>
      <c r="B119" s="26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6"/>
      <c r="T119" s="2"/>
      <c r="U119" s="2"/>
      <c r="V119" s="2"/>
      <c r="W119" s="2"/>
      <c r="X119" s="2"/>
      <c r="Y119" s="2"/>
      <c r="Z119" s="2"/>
    </row>
    <row r="120" spans="1:26" ht="15.75" customHeight="1">
      <c r="A120" s="17">
        <f>COUNTIF(A11:A40,"=Б")</f>
        <v>5</v>
      </c>
      <c r="B120" s="26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6"/>
      <c r="T120" s="2"/>
      <c r="U120" s="2"/>
      <c r="V120" s="2"/>
      <c r="W120" s="2"/>
      <c r="X120" s="2"/>
      <c r="Y120" s="2"/>
      <c r="Z120" s="2"/>
    </row>
    <row r="121" spans="1:26" ht="15.75" customHeight="1">
      <c r="A121" s="2"/>
      <c r="B121" s="18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6"/>
      <c r="T121" s="2"/>
      <c r="U121" s="2"/>
      <c r="V121" s="2"/>
      <c r="W121" s="2"/>
      <c r="X121" s="2"/>
      <c r="Y121" s="2"/>
      <c r="Z121" s="2"/>
    </row>
    <row r="122" spans="1:26" ht="15.75" customHeight="1">
      <c r="A122" s="2"/>
      <c r="B122" s="18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18"/>
      <c r="T122" s="2"/>
      <c r="U122" s="2"/>
      <c r="V122" s="2"/>
      <c r="W122" s="2"/>
      <c r="X122" s="2"/>
      <c r="Y122" s="2"/>
      <c r="Z122" s="2"/>
    </row>
    <row r="123" spans="1:26" ht="15.75" customHeight="1">
      <c r="A123" s="2"/>
      <c r="B123" s="18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18"/>
      <c r="T123" s="2"/>
      <c r="U123" s="2"/>
      <c r="V123" s="2"/>
      <c r="W123" s="2"/>
      <c r="X123" s="2"/>
      <c r="Y123" s="2"/>
      <c r="Z123" s="2"/>
    </row>
    <row r="124" spans="1:26" ht="15.75" customHeight="1">
      <c r="A124" s="2"/>
      <c r="B124" s="18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18"/>
      <c r="T124" s="2"/>
      <c r="U124" s="2"/>
      <c r="V124" s="2"/>
      <c r="W124" s="2"/>
      <c r="X124" s="2"/>
      <c r="Y124" s="2"/>
      <c r="Z124" s="2"/>
    </row>
    <row r="125" spans="1:26" ht="15.75" customHeight="1">
      <c r="A125" s="2"/>
      <c r="B125" s="18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18"/>
      <c r="T125" s="2"/>
      <c r="U125" s="2"/>
      <c r="V125" s="2"/>
      <c r="W125" s="2"/>
      <c r="X125" s="2"/>
      <c r="Y125" s="2"/>
      <c r="Z125" s="2"/>
    </row>
    <row r="126" spans="1: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18"/>
      <c r="T126" s="2"/>
      <c r="U126" s="2"/>
      <c r="V126" s="2"/>
      <c r="W126" s="2"/>
      <c r="X126" s="2"/>
      <c r="Y126" s="2"/>
      <c r="Z126" s="2"/>
    </row>
    <row r="127" spans="1:26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sortState ref="A11:AB60">
    <sortCondition descending="1" ref="S11:S60"/>
  </sortState>
  <mergeCells count="26">
    <mergeCell ref="B7:B10"/>
    <mergeCell ref="C7:C10"/>
    <mergeCell ref="A1:O1"/>
    <mergeCell ref="A2:O2"/>
    <mergeCell ref="A3:O3"/>
    <mergeCell ref="A4:O4"/>
    <mergeCell ref="A5:O5"/>
    <mergeCell ref="A6:O6"/>
    <mergeCell ref="D7:S7"/>
    <mergeCell ref="A7:A10"/>
    <mergeCell ref="D8:D10"/>
    <mergeCell ref="E8:E10"/>
    <mergeCell ref="F8:F10"/>
    <mergeCell ref="G8:G10"/>
    <mergeCell ref="H8:H10"/>
    <mergeCell ref="I8:I10"/>
    <mergeCell ref="Q8:Q10"/>
    <mergeCell ref="R8:R10"/>
    <mergeCell ref="S8:S10"/>
    <mergeCell ref="J8:J10"/>
    <mergeCell ref="K8:K10"/>
    <mergeCell ref="L8:L10"/>
    <mergeCell ref="M8:M10"/>
    <mergeCell ref="N8:N10"/>
    <mergeCell ref="O8:O10"/>
    <mergeCell ref="P8:P10"/>
  </mergeCells>
  <printOptions horizontalCentered="1" verticalCentered="1"/>
  <pageMargins left="0.31496062992125984" right="0.31496062992125984" top="1.5748031496062993" bottom="0" header="0" footer="0"/>
  <pageSetup paperSize="9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Z989"/>
  <sheetViews>
    <sheetView topLeftCell="A14" workbookViewId="0">
      <selection activeCell="E29" sqref="E29"/>
    </sheetView>
  </sheetViews>
  <sheetFormatPr defaultColWidth="14.42578125" defaultRowHeight="15" customHeight="1"/>
  <cols>
    <col min="1" max="1" width="4.140625" style="45" customWidth="1"/>
    <col min="2" max="2" width="6.5703125" style="45" customWidth="1"/>
    <col min="3" max="3" width="40.42578125" style="45" customWidth="1"/>
    <col min="4" max="14" width="6.7109375" style="45" customWidth="1"/>
    <col min="15" max="15" width="12.7109375" style="45" customWidth="1"/>
    <col min="16" max="17" width="6.7109375" style="45" customWidth="1"/>
    <col min="18" max="18" width="11.28515625" style="45" customWidth="1"/>
    <col min="19" max="19" width="14.42578125" style="45" customWidth="1"/>
    <col min="20" max="16384" width="14.42578125" style="45"/>
  </cols>
  <sheetData>
    <row r="1" spans="1:26" ht="15" customHeight="1">
      <c r="A1" s="85" t="s">
        <v>69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43"/>
      <c r="Q1" s="43"/>
      <c r="R1" s="43"/>
      <c r="S1" s="44"/>
      <c r="T1" s="44"/>
      <c r="U1" s="44"/>
      <c r="V1" s="44"/>
      <c r="W1" s="44"/>
      <c r="X1" s="44"/>
      <c r="Y1" s="44"/>
      <c r="Z1" s="44"/>
    </row>
    <row r="2" spans="1:26" ht="15" customHeight="1">
      <c r="A2" s="85" t="s">
        <v>70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43"/>
      <c r="Q2" s="43"/>
      <c r="R2" s="43"/>
      <c r="S2" s="44"/>
      <c r="T2" s="44"/>
      <c r="U2" s="44"/>
      <c r="V2" s="44"/>
      <c r="W2" s="44"/>
      <c r="X2" s="44"/>
      <c r="Y2" s="44"/>
      <c r="Z2" s="44"/>
    </row>
    <row r="3" spans="1:26" ht="15" customHeight="1">
      <c r="A3" s="109" t="s">
        <v>0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43"/>
      <c r="Q3" s="43"/>
      <c r="R3" s="43"/>
      <c r="S3" s="44"/>
      <c r="T3" s="44"/>
      <c r="U3" s="44"/>
      <c r="V3" s="44"/>
      <c r="W3" s="44"/>
      <c r="X3" s="44"/>
      <c r="Y3" s="44"/>
      <c r="Z3" s="44"/>
    </row>
    <row r="4" spans="1:26" ht="15" customHeight="1">
      <c r="A4" s="107" t="s">
        <v>1</v>
      </c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43"/>
      <c r="Q4" s="43"/>
      <c r="R4" s="43"/>
      <c r="S4" s="44"/>
      <c r="T4" s="44"/>
      <c r="U4" s="44"/>
      <c r="V4" s="44"/>
      <c r="W4" s="44"/>
      <c r="X4" s="44"/>
      <c r="Y4" s="44"/>
      <c r="Z4" s="44"/>
    </row>
    <row r="5" spans="1:26" ht="15" customHeight="1">
      <c r="A5" s="107" t="s">
        <v>2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43"/>
      <c r="Q5" s="43"/>
      <c r="R5" s="43"/>
      <c r="S5" s="44"/>
      <c r="T5" s="44"/>
      <c r="U5" s="44"/>
      <c r="V5" s="44"/>
      <c r="W5" s="44"/>
      <c r="X5" s="44"/>
      <c r="Y5" s="44"/>
      <c r="Z5" s="44"/>
    </row>
    <row r="6" spans="1:26" ht="15" customHeight="1">
      <c r="A6" s="107" t="s">
        <v>3</v>
      </c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43"/>
      <c r="Q6" s="43"/>
      <c r="R6" s="43"/>
      <c r="S6" s="44"/>
      <c r="T6" s="44"/>
      <c r="U6" s="44"/>
      <c r="V6" s="44"/>
      <c r="W6" s="44"/>
      <c r="X6" s="44"/>
      <c r="Y6" s="44"/>
      <c r="Z6" s="44"/>
    </row>
    <row r="7" spans="1:26" ht="15" customHeight="1">
      <c r="A7" s="110" t="s">
        <v>4</v>
      </c>
      <c r="B7" s="111" t="s">
        <v>5</v>
      </c>
      <c r="C7" s="111" t="s">
        <v>6</v>
      </c>
      <c r="D7" s="112" t="s">
        <v>7</v>
      </c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4"/>
      <c r="S7" s="44"/>
      <c r="T7" s="44"/>
      <c r="U7" s="44"/>
      <c r="V7" s="44"/>
      <c r="W7" s="44"/>
      <c r="X7" s="44"/>
      <c r="Y7" s="44"/>
      <c r="Z7" s="44"/>
    </row>
    <row r="8" spans="1:26" ht="15" customHeight="1">
      <c r="A8" s="104"/>
      <c r="B8" s="104"/>
      <c r="C8" s="104"/>
      <c r="D8" s="103" t="s">
        <v>8</v>
      </c>
      <c r="E8" s="103" t="s">
        <v>9</v>
      </c>
      <c r="F8" s="103" t="s">
        <v>10</v>
      </c>
      <c r="G8" s="103" t="s">
        <v>11</v>
      </c>
      <c r="H8" s="103" t="s">
        <v>12</v>
      </c>
      <c r="I8" s="103" t="s">
        <v>13</v>
      </c>
      <c r="J8" s="103" t="s">
        <v>14</v>
      </c>
      <c r="K8" s="103" t="s">
        <v>15</v>
      </c>
      <c r="L8" s="103" t="s">
        <v>16</v>
      </c>
      <c r="M8" s="103" t="s">
        <v>17</v>
      </c>
      <c r="N8" s="103" t="s">
        <v>18</v>
      </c>
      <c r="O8" s="103" t="s">
        <v>19</v>
      </c>
      <c r="P8" s="103" t="s">
        <v>20</v>
      </c>
      <c r="Q8" s="103" t="s">
        <v>21</v>
      </c>
      <c r="R8" s="106" t="s">
        <v>22</v>
      </c>
      <c r="S8" s="44"/>
      <c r="T8" s="44"/>
      <c r="U8" s="44"/>
      <c r="V8" s="44"/>
      <c r="W8" s="44"/>
      <c r="X8" s="44"/>
      <c r="Y8" s="44"/>
      <c r="Z8" s="44"/>
    </row>
    <row r="9" spans="1:26" ht="15" customHeight="1">
      <c r="A9" s="104"/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04"/>
      <c r="S9" s="44"/>
      <c r="T9" s="44"/>
      <c r="U9" s="44"/>
      <c r="V9" s="44"/>
      <c r="W9" s="44"/>
      <c r="X9" s="44"/>
      <c r="Y9" s="44"/>
      <c r="Z9" s="44"/>
    </row>
    <row r="10" spans="1:26" ht="97.5" customHeight="1">
      <c r="A10" s="105"/>
      <c r="B10" s="105"/>
      <c r="C10" s="105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44"/>
      <c r="T10" s="44"/>
      <c r="U10" s="44"/>
      <c r="V10" s="44"/>
      <c r="W10" s="44"/>
      <c r="X10" s="44"/>
      <c r="Y10" s="44"/>
      <c r="Z10" s="44"/>
    </row>
    <row r="11" spans="1:26" s="53" customFormat="1" ht="15" customHeight="1">
      <c r="A11" s="46" t="s">
        <v>23</v>
      </c>
      <c r="B11" s="47">
        <v>1</v>
      </c>
      <c r="C11" s="48" t="s">
        <v>54</v>
      </c>
      <c r="D11" s="49">
        <v>6</v>
      </c>
      <c r="E11" s="49">
        <v>9</v>
      </c>
      <c r="F11" s="49">
        <v>4</v>
      </c>
      <c r="G11" s="49">
        <v>5</v>
      </c>
      <c r="H11" s="49">
        <v>6</v>
      </c>
      <c r="I11" s="49">
        <v>9</v>
      </c>
      <c r="J11" s="49">
        <v>7</v>
      </c>
      <c r="K11" s="49">
        <v>8</v>
      </c>
      <c r="L11" s="49">
        <v>7</v>
      </c>
      <c r="M11" s="49">
        <v>10</v>
      </c>
      <c r="N11" s="49">
        <v>6</v>
      </c>
      <c r="O11" s="49">
        <v>7</v>
      </c>
      <c r="P11" s="49">
        <v>6</v>
      </c>
      <c r="Q11" s="49">
        <v>8</v>
      </c>
      <c r="R11" s="50">
        <f t="shared" ref="R11:R26" si="0">AVERAGE(D11:Q11)</f>
        <v>7</v>
      </c>
      <c r="S11" s="51"/>
      <c r="T11" s="52"/>
      <c r="U11" s="52"/>
      <c r="V11" s="52"/>
      <c r="W11" s="52"/>
      <c r="X11" s="52"/>
      <c r="Y11" s="52"/>
      <c r="Z11" s="52"/>
    </row>
    <row r="12" spans="1:26" s="53" customFormat="1" ht="15" customHeight="1">
      <c r="A12" s="46" t="s">
        <v>24</v>
      </c>
      <c r="B12" s="47">
        <v>2</v>
      </c>
      <c r="C12" s="48" t="s">
        <v>55</v>
      </c>
      <c r="D12" s="49">
        <v>9</v>
      </c>
      <c r="E12" s="49">
        <v>8</v>
      </c>
      <c r="F12" s="49">
        <v>8</v>
      </c>
      <c r="G12" s="49">
        <v>9</v>
      </c>
      <c r="H12" s="49">
        <v>9</v>
      </c>
      <c r="I12" s="49">
        <v>9</v>
      </c>
      <c r="J12" s="49">
        <v>8</v>
      </c>
      <c r="K12" s="49">
        <v>10</v>
      </c>
      <c r="L12" s="49">
        <v>9</v>
      </c>
      <c r="M12" s="49">
        <v>6</v>
      </c>
      <c r="N12" s="49">
        <v>10</v>
      </c>
      <c r="O12" s="49">
        <v>9</v>
      </c>
      <c r="P12" s="49">
        <v>8</v>
      </c>
      <c r="Q12" s="49">
        <v>9</v>
      </c>
      <c r="R12" s="50">
        <f t="shared" si="0"/>
        <v>8.6428571428571423</v>
      </c>
      <c r="S12" s="51"/>
      <c r="T12" s="52"/>
      <c r="U12" s="52"/>
      <c r="V12" s="52"/>
      <c r="W12" s="52"/>
      <c r="X12" s="52"/>
      <c r="Y12" s="52"/>
      <c r="Z12" s="52"/>
    </row>
    <row r="13" spans="1:26" s="53" customFormat="1" ht="15" customHeight="1">
      <c r="A13" s="46" t="s">
        <v>24</v>
      </c>
      <c r="B13" s="47">
        <v>3</v>
      </c>
      <c r="C13" s="48" t="s">
        <v>56</v>
      </c>
      <c r="D13" s="49">
        <v>9</v>
      </c>
      <c r="E13" s="49">
        <v>10</v>
      </c>
      <c r="F13" s="49">
        <v>8</v>
      </c>
      <c r="G13" s="49">
        <v>8</v>
      </c>
      <c r="H13" s="49">
        <v>8</v>
      </c>
      <c r="I13" s="49">
        <v>10</v>
      </c>
      <c r="J13" s="49">
        <v>7</v>
      </c>
      <c r="K13" s="49">
        <v>10</v>
      </c>
      <c r="L13" s="49">
        <v>8</v>
      </c>
      <c r="M13" s="49">
        <v>10</v>
      </c>
      <c r="N13" s="49">
        <v>10</v>
      </c>
      <c r="O13" s="49">
        <v>9</v>
      </c>
      <c r="P13" s="49">
        <v>8</v>
      </c>
      <c r="Q13" s="49">
        <v>9</v>
      </c>
      <c r="R13" s="50">
        <f t="shared" si="0"/>
        <v>8.8571428571428577</v>
      </c>
      <c r="S13" s="51"/>
      <c r="T13" s="52"/>
      <c r="U13" s="52"/>
      <c r="V13" s="52"/>
      <c r="W13" s="52"/>
      <c r="X13" s="52"/>
      <c r="Y13" s="52"/>
      <c r="Z13" s="52"/>
    </row>
    <row r="14" spans="1:26" s="53" customFormat="1" ht="15" customHeight="1">
      <c r="A14" s="46" t="s">
        <v>23</v>
      </c>
      <c r="B14" s="47">
        <v>4</v>
      </c>
      <c r="C14" s="48" t="s">
        <v>57</v>
      </c>
      <c r="D14" s="49">
        <v>6</v>
      </c>
      <c r="E14" s="49">
        <v>6</v>
      </c>
      <c r="F14" s="49">
        <v>4</v>
      </c>
      <c r="G14" s="49">
        <v>5</v>
      </c>
      <c r="H14" s="49">
        <v>6</v>
      </c>
      <c r="I14" s="49">
        <v>8</v>
      </c>
      <c r="J14" s="49">
        <v>6</v>
      </c>
      <c r="K14" s="49">
        <v>7</v>
      </c>
      <c r="L14" s="49">
        <v>6</v>
      </c>
      <c r="M14" s="49" t="s">
        <v>25</v>
      </c>
      <c r="N14" s="49">
        <v>6</v>
      </c>
      <c r="O14" s="49">
        <v>6</v>
      </c>
      <c r="P14" s="49">
        <v>5</v>
      </c>
      <c r="Q14" s="49">
        <v>8</v>
      </c>
      <c r="R14" s="50">
        <f t="shared" si="0"/>
        <v>6.0769230769230766</v>
      </c>
      <c r="S14" s="51"/>
      <c r="T14" s="52"/>
      <c r="U14" s="52"/>
      <c r="V14" s="52"/>
      <c r="W14" s="52"/>
      <c r="X14" s="52"/>
      <c r="Y14" s="52"/>
      <c r="Z14" s="52"/>
    </row>
    <row r="15" spans="1:26" s="53" customFormat="1" ht="15" customHeight="1">
      <c r="A15" s="46" t="s">
        <v>24</v>
      </c>
      <c r="B15" s="47">
        <v>5</v>
      </c>
      <c r="C15" s="48" t="s">
        <v>58</v>
      </c>
      <c r="D15" s="49">
        <v>8</v>
      </c>
      <c r="E15" s="49">
        <v>9</v>
      </c>
      <c r="F15" s="49">
        <v>7</v>
      </c>
      <c r="G15" s="49">
        <v>7</v>
      </c>
      <c r="H15" s="49">
        <v>8</v>
      </c>
      <c r="I15" s="49">
        <v>10</v>
      </c>
      <c r="J15" s="49">
        <v>8</v>
      </c>
      <c r="K15" s="49">
        <v>10</v>
      </c>
      <c r="L15" s="49">
        <v>8</v>
      </c>
      <c r="M15" s="49">
        <v>10</v>
      </c>
      <c r="N15" s="49">
        <v>9</v>
      </c>
      <c r="O15" s="49">
        <v>8</v>
      </c>
      <c r="P15" s="49">
        <v>7</v>
      </c>
      <c r="Q15" s="49">
        <v>9</v>
      </c>
      <c r="R15" s="50">
        <f t="shared" si="0"/>
        <v>8.4285714285714288</v>
      </c>
      <c r="S15" s="51"/>
      <c r="T15" s="52"/>
      <c r="U15" s="52"/>
      <c r="V15" s="52"/>
      <c r="W15" s="52"/>
      <c r="X15" s="52"/>
      <c r="Y15" s="52"/>
      <c r="Z15" s="52"/>
    </row>
    <row r="16" spans="1:26" s="53" customFormat="1" ht="15" customHeight="1">
      <c r="A16" s="46" t="s">
        <v>23</v>
      </c>
      <c r="B16" s="47">
        <v>6</v>
      </c>
      <c r="C16" s="48" t="s">
        <v>59</v>
      </c>
      <c r="D16" s="49">
        <v>9</v>
      </c>
      <c r="E16" s="49">
        <v>10</v>
      </c>
      <c r="F16" s="49">
        <v>5</v>
      </c>
      <c r="G16" s="49">
        <v>7</v>
      </c>
      <c r="H16" s="49">
        <v>7</v>
      </c>
      <c r="I16" s="49">
        <v>9</v>
      </c>
      <c r="J16" s="49">
        <v>9</v>
      </c>
      <c r="K16" s="49">
        <v>10</v>
      </c>
      <c r="L16" s="49">
        <v>8</v>
      </c>
      <c r="M16" s="49">
        <v>10</v>
      </c>
      <c r="N16" s="49">
        <v>9</v>
      </c>
      <c r="O16" s="49">
        <v>8</v>
      </c>
      <c r="P16" s="49">
        <v>7</v>
      </c>
      <c r="Q16" s="49">
        <v>9</v>
      </c>
      <c r="R16" s="50">
        <f t="shared" si="0"/>
        <v>8.3571428571428577</v>
      </c>
      <c r="S16" s="51"/>
      <c r="T16" s="52"/>
      <c r="U16" s="52"/>
      <c r="V16" s="52"/>
      <c r="W16" s="52"/>
      <c r="X16" s="52"/>
      <c r="Y16" s="52"/>
      <c r="Z16" s="52"/>
    </row>
    <row r="17" spans="1:26" s="53" customFormat="1" ht="15" customHeight="1">
      <c r="A17" s="46" t="s">
        <v>23</v>
      </c>
      <c r="B17" s="47">
        <v>7</v>
      </c>
      <c r="C17" s="48" t="s">
        <v>60</v>
      </c>
      <c r="D17" s="49">
        <v>4</v>
      </c>
      <c r="E17" s="49">
        <v>7</v>
      </c>
      <c r="F17" s="49">
        <v>4</v>
      </c>
      <c r="G17" s="49">
        <v>5</v>
      </c>
      <c r="H17" s="49">
        <v>4</v>
      </c>
      <c r="I17" s="49">
        <v>4</v>
      </c>
      <c r="J17" s="49">
        <v>4</v>
      </c>
      <c r="K17" s="49">
        <v>5</v>
      </c>
      <c r="L17" s="49">
        <v>4</v>
      </c>
      <c r="M17" s="49">
        <v>7</v>
      </c>
      <c r="N17" s="49">
        <v>4</v>
      </c>
      <c r="O17" s="49">
        <v>4</v>
      </c>
      <c r="P17" s="49">
        <v>6</v>
      </c>
      <c r="Q17" s="49">
        <v>4</v>
      </c>
      <c r="R17" s="50">
        <f t="shared" si="0"/>
        <v>4.7142857142857144</v>
      </c>
      <c r="S17" s="51"/>
      <c r="T17" s="52"/>
      <c r="U17" s="52"/>
      <c r="V17" s="52"/>
      <c r="W17" s="52"/>
      <c r="X17" s="52"/>
      <c r="Y17" s="52"/>
      <c r="Z17" s="52"/>
    </row>
    <row r="18" spans="1:26" s="53" customFormat="1" ht="15" customHeight="1">
      <c r="A18" s="46" t="s">
        <v>23</v>
      </c>
      <c r="B18" s="47">
        <v>8</v>
      </c>
      <c r="C18" s="48" t="s">
        <v>61</v>
      </c>
      <c r="D18" s="49">
        <v>4</v>
      </c>
      <c r="E18" s="49">
        <v>7</v>
      </c>
      <c r="F18" s="49">
        <v>4</v>
      </c>
      <c r="G18" s="49">
        <v>4</v>
      </c>
      <c r="H18" s="49">
        <v>6</v>
      </c>
      <c r="I18" s="49">
        <v>6</v>
      </c>
      <c r="J18" s="49">
        <v>4</v>
      </c>
      <c r="K18" s="49">
        <v>7</v>
      </c>
      <c r="L18" s="49">
        <v>7</v>
      </c>
      <c r="M18" s="49">
        <v>10</v>
      </c>
      <c r="N18" s="49">
        <v>7</v>
      </c>
      <c r="O18" s="49">
        <v>5</v>
      </c>
      <c r="P18" s="49">
        <v>5</v>
      </c>
      <c r="Q18" s="49">
        <v>5</v>
      </c>
      <c r="R18" s="50">
        <f t="shared" si="0"/>
        <v>5.7857142857142856</v>
      </c>
      <c r="S18" s="52"/>
      <c r="T18" s="52"/>
      <c r="U18" s="52"/>
      <c r="V18" s="52"/>
      <c r="W18" s="52"/>
      <c r="X18" s="52"/>
      <c r="Y18" s="52"/>
      <c r="Z18" s="52"/>
    </row>
    <row r="19" spans="1:26" s="53" customFormat="1" ht="15" customHeight="1">
      <c r="A19" s="46" t="s">
        <v>24</v>
      </c>
      <c r="B19" s="47">
        <v>9</v>
      </c>
      <c r="C19" s="48" t="s">
        <v>62</v>
      </c>
      <c r="D19" s="49">
        <v>8</v>
      </c>
      <c r="E19" s="49">
        <v>9</v>
      </c>
      <c r="F19" s="49">
        <v>6</v>
      </c>
      <c r="G19" s="49">
        <v>7</v>
      </c>
      <c r="H19" s="49">
        <v>9</v>
      </c>
      <c r="I19" s="49">
        <v>10</v>
      </c>
      <c r="J19" s="49">
        <v>8</v>
      </c>
      <c r="K19" s="49">
        <v>10</v>
      </c>
      <c r="L19" s="49">
        <v>9</v>
      </c>
      <c r="M19" s="49">
        <v>10</v>
      </c>
      <c r="N19" s="49">
        <v>9</v>
      </c>
      <c r="O19" s="49">
        <v>8</v>
      </c>
      <c r="P19" s="49">
        <v>7</v>
      </c>
      <c r="Q19" s="49">
        <v>10</v>
      </c>
      <c r="R19" s="50">
        <f t="shared" si="0"/>
        <v>8.5714285714285712</v>
      </c>
      <c r="S19" s="52"/>
      <c r="T19" s="52"/>
      <c r="U19" s="52"/>
      <c r="V19" s="52"/>
      <c r="W19" s="52"/>
      <c r="X19" s="52"/>
      <c r="Y19" s="52"/>
      <c r="Z19" s="52"/>
    </row>
    <row r="20" spans="1:26" s="53" customFormat="1" ht="15" customHeight="1">
      <c r="A20" s="46" t="s">
        <v>24</v>
      </c>
      <c r="B20" s="47">
        <v>10</v>
      </c>
      <c r="C20" s="48" t="s">
        <v>63</v>
      </c>
      <c r="D20" s="49">
        <v>7</v>
      </c>
      <c r="E20" s="49">
        <v>9</v>
      </c>
      <c r="F20" s="49">
        <v>4</v>
      </c>
      <c r="G20" s="49">
        <v>5</v>
      </c>
      <c r="H20" s="49">
        <v>7</v>
      </c>
      <c r="I20" s="49">
        <v>9</v>
      </c>
      <c r="J20" s="49">
        <v>7</v>
      </c>
      <c r="K20" s="49">
        <v>8</v>
      </c>
      <c r="L20" s="49">
        <v>9</v>
      </c>
      <c r="M20" s="49">
        <v>7</v>
      </c>
      <c r="N20" s="49">
        <v>7</v>
      </c>
      <c r="O20" s="49">
        <v>9</v>
      </c>
      <c r="P20" s="49">
        <v>7</v>
      </c>
      <c r="Q20" s="49">
        <v>9</v>
      </c>
      <c r="R20" s="50">
        <f t="shared" si="0"/>
        <v>7.4285714285714288</v>
      </c>
      <c r="S20" s="52"/>
      <c r="T20" s="52"/>
      <c r="U20" s="52"/>
      <c r="V20" s="52"/>
      <c r="W20" s="52"/>
      <c r="X20" s="52"/>
      <c r="Y20" s="52"/>
      <c r="Z20" s="52"/>
    </row>
    <row r="21" spans="1:26" s="53" customFormat="1" ht="15" customHeight="1">
      <c r="A21" s="46" t="s">
        <v>24</v>
      </c>
      <c r="B21" s="47">
        <v>11</v>
      </c>
      <c r="C21" s="48" t="s">
        <v>64</v>
      </c>
      <c r="D21" s="49">
        <v>9</v>
      </c>
      <c r="E21" s="49">
        <v>10</v>
      </c>
      <c r="F21" s="49">
        <v>7</v>
      </c>
      <c r="G21" s="49">
        <v>9</v>
      </c>
      <c r="H21" s="49">
        <v>9</v>
      </c>
      <c r="I21" s="49">
        <v>10</v>
      </c>
      <c r="J21" s="49">
        <v>8</v>
      </c>
      <c r="K21" s="49">
        <v>10</v>
      </c>
      <c r="L21" s="49">
        <v>9</v>
      </c>
      <c r="M21" s="49">
        <v>8</v>
      </c>
      <c r="N21" s="49">
        <v>9</v>
      </c>
      <c r="O21" s="49">
        <v>9</v>
      </c>
      <c r="P21" s="49">
        <v>8</v>
      </c>
      <c r="Q21" s="49">
        <v>10</v>
      </c>
      <c r="R21" s="50">
        <f t="shared" si="0"/>
        <v>8.9285714285714288</v>
      </c>
      <c r="S21" s="52"/>
      <c r="T21" s="52"/>
      <c r="U21" s="52"/>
      <c r="V21" s="52"/>
      <c r="W21" s="52"/>
      <c r="X21" s="52"/>
      <c r="Y21" s="52"/>
      <c r="Z21" s="52"/>
    </row>
    <row r="22" spans="1:26" s="53" customFormat="1" ht="15" customHeight="1">
      <c r="A22" s="46" t="s">
        <v>24</v>
      </c>
      <c r="B22" s="47">
        <v>12</v>
      </c>
      <c r="C22" s="48" t="s">
        <v>65</v>
      </c>
      <c r="D22" s="49">
        <v>10</v>
      </c>
      <c r="E22" s="49">
        <v>10</v>
      </c>
      <c r="F22" s="49">
        <v>9</v>
      </c>
      <c r="G22" s="49">
        <v>10</v>
      </c>
      <c r="H22" s="49">
        <v>9</v>
      </c>
      <c r="I22" s="49">
        <v>10</v>
      </c>
      <c r="J22" s="49">
        <v>10</v>
      </c>
      <c r="K22" s="49">
        <v>10</v>
      </c>
      <c r="L22" s="49">
        <v>10</v>
      </c>
      <c r="M22" s="49">
        <v>10</v>
      </c>
      <c r="N22" s="49">
        <v>9</v>
      </c>
      <c r="O22" s="49">
        <v>9</v>
      </c>
      <c r="P22" s="49">
        <v>8</v>
      </c>
      <c r="Q22" s="49">
        <v>10</v>
      </c>
      <c r="R22" s="50">
        <f t="shared" si="0"/>
        <v>9.5714285714285712</v>
      </c>
      <c r="S22" s="52"/>
      <c r="T22" s="52"/>
      <c r="U22" s="52"/>
      <c r="V22" s="52"/>
      <c r="W22" s="52"/>
      <c r="X22" s="52"/>
      <c r="Y22" s="52"/>
      <c r="Z22" s="52"/>
    </row>
    <row r="23" spans="1:26" s="53" customFormat="1" ht="15" customHeight="1">
      <c r="A23" s="46" t="s">
        <v>24</v>
      </c>
      <c r="B23" s="47">
        <v>13</v>
      </c>
      <c r="C23" s="48" t="s">
        <v>66</v>
      </c>
      <c r="D23" s="49">
        <v>7</v>
      </c>
      <c r="E23" s="49">
        <v>10</v>
      </c>
      <c r="F23" s="49">
        <v>4</v>
      </c>
      <c r="G23" s="49">
        <v>6</v>
      </c>
      <c r="H23" s="49">
        <v>6</v>
      </c>
      <c r="I23" s="49">
        <v>10</v>
      </c>
      <c r="J23" s="49">
        <v>8</v>
      </c>
      <c r="K23" s="49">
        <v>10</v>
      </c>
      <c r="L23" s="49">
        <v>10</v>
      </c>
      <c r="M23" s="49">
        <v>10</v>
      </c>
      <c r="N23" s="49">
        <v>5</v>
      </c>
      <c r="O23" s="49">
        <v>10</v>
      </c>
      <c r="P23" s="49">
        <v>7</v>
      </c>
      <c r="Q23" s="49">
        <v>10</v>
      </c>
      <c r="R23" s="50">
        <f t="shared" si="0"/>
        <v>8.0714285714285712</v>
      </c>
      <c r="S23" s="52"/>
      <c r="T23" s="52"/>
      <c r="U23" s="52"/>
      <c r="V23" s="52"/>
      <c r="W23" s="52"/>
      <c r="X23" s="52"/>
      <c r="Y23" s="52"/>
      <c r="Z23" s="52"/>
    </row>
    <row r="24" spans="1:26" s="53" customFormat="1" ht="15.75" customHeight="1">
      <c r="A24" s="46" t="s">
        <v>24</v>
      </c>
      <c r="B24" s="47">
        <v>14</v>
      </c>
      <c r="C24" s="48" t="s">
        <v>67</v>
      </c>
      <c r="D24" s="49">
        <v>8</v>
      </c>
      <c r="E24" s="49">
        <v>9</v>
      </c>
      <c r="F24" s="49">
        <v>7</v>
      </c>
      <c r="G24" s="49">
        <v>8</v>
      </c>
      <c r="H24" s="49">
        <v>9</v>
      </c>
      <c r="I24" s="49">
        <v>10</v>
      </c>
      <c r="J24" s="49">
        <v>7</v>
      </c>
      <c r="K24" s="49">
        <v>10</v>
      </c>
      <c r="L24" s="49">
        <v>8</v>
      </c>
      <c r="M24" s="49">
        <v>10</v>
      </c>
      <c r="N24" s="49">
        <v>9</v>
      </c>
      <c r="O24" s="49">
        <v>8</v>
      </c>
      <c r="P24" s="49">
        <v>8</v>
      </c>
      <c r="Q24" s="49">
        <v>9</v>
      </c>
      <c r="R24" s="50">
        <f t="shared" si="0"/>
        <v>8.5714285714285712</v>
      </c>
      <c r="S24" s="52"/>
      <c r="T24" s="52"/>
      <c r="U24" s="52"/>
      <c r="V24" s="52"/>
      <c r="W24" s="52"/>
      <c r="X24" s="52"/>
      <c r="Y24" s="52"/>
      <c r="Z24" s="52"/>
    </row>
    <row r="25" spans="1:26" s="53" customFormat="1" ht="15.75" customHeight="1">
      <c r="A25" s="46" t="s">
        <v>24</v>
      </c>
      <c r="B25" s="47">
        <v>15</v>
      </c>
      <c r="C25" s="48" t="s">
        <v>68</v>
      </c>
      <c r="D25" s="49">
        <v>7</v>
      </c>
      <c r="E25" s="49">
        <v>9</v>
      </c>
      <c r="F25" s="49">
        <v>4</v>
      </c>
      <c r="G25" s="49">
        <v>7</v>
      </c>
      <c r="H25" s="49">
        <v>7</v>
      </c>
      <c r="I25" s="49">
        <v>8</v>
      </c>
      <c r="J25" s="49">
        <v>6</v>
      </c>
      <c r="K25" s="49">
        <v>10</v>
      </c>
      <c r="L25" s="49">
        <v>6</v>
      </c>
      <c r="M25" s="49">
        <v>10</v>
      </c>
      <c r="N25" s="49">
        <v>7</v>
      </c>
      <c r="O25" s="49">
        <v>7</v>
      </c>
      <c r="P25" s="49">
        <v>6</v>
      </c>
      <c r="Q25" s="49">
        <v>9</v>
      </c>
      <c r="R25" s="50">
        <f t="shared" si="0"/>
        <v>7.3571428571428568</v>
      </c>
      <c r="S25" s="52"/>
      <c r="T25" s="52"/>
      <c r="U25" s="52"/>
      <c r="V25" s="52"/>
      <c r="W25" s="52"/>
      <c r="X25" s="52"/>
      <c r="Y25" s="52"/>
      <c r="Z25" s="52"/>
    </row>
    <row r="26" spans="1:26" ht="15.75" customHeight="1">
      <c r="A26" s="44"/>
      <c r="B26" s="44"/>
      <c r="C26" s="54" t="s">
        <v>26</v>
      </c>
      <c r="D26" s="55">
        <f t="shared" ref="D26:Q26" si="1">AVERAGE(D11:D25)</f>
        <v>7.4</v>
      </c>
      <c r="E26" s="55">
        <f t="shared" si="1"/>
        <v>8.8000000000000007</v>
      </c>
      <c r="F26" s="55">
        <f t="shared" si="1"/>
        <v>5.666666666666667</v>
      </c>
      <c r="G26" s="55">
        <f t="shared" si="1"/>
        <v>6.8</v>
      </c>
      <c r="H26" s="55">
        <f t="shared" si="1"/>
        <v>7.333333333333333</v>
      </c>
      <c r="I26" s="55">
        <f t="shared" si="1"/>
        <v>8.8000000000000007</v>
      </c>
      <c r="J26" s="55">
        <f t="shared" si="1"/>
        <v>7.1333333333333337</v>
      </c>
      <c r="K26" s="55">
        <f t="shared" si="1"/>
        <v>9</v>
      </c>
      <c r="L26" s="55">
        <f t="shared" si="1"/>
        <v>7.8666666666666663</v>
      </c>
      <c r="M26" s="55">
        <f t="shared" si="1"/>
        <v>9.1428571428571423</v>
      </c>
      <c r="N26" s="55">
        <f t="shared" si="1"/>
        <v>7.7333333333333334</v>
      </c>
      <c r="O26" s="55">
        <f t="shared" si="1"/>
        <v>7.7333333333333334</v>
      </c>
      <c r="P26" s="55">
        <f t="shared" si="1"/>
        <v>6.8666666666666663</v>
      </c>
      <c r="Q26" s="55">
        <f t="shared" si="1"/>
        <v>8.5333333333333332</v>
      </c>
      <c r="R26" s="50">
        <f t="shared" si="0"/>
        <v>7.7721088435374153</v>
      </c>
      <c r="S26" s="44"/>
      <c r="T26" s="44"/>
      <c r="U26" s="44"/>
      <c r="V26" s="44"/>
      <c r="W26" s="44"/>
      <c r="X26" s="44"/>
      <c r="Y26" s="44"/>
      <c r="Z26" s="44"/>
    </row>
    <row r="27" spans="1:26" ht="15.75" customHeight="1">
      <c r="A27" s="44"/>
      <c r="B27" s="44"/>
      <c r="C27" s="56" t="s">
        <v>27</v>
      </c>
      <c r="D27" s="57">
        <f>(COUNT(D11:D25))/(COUNT(R11:R25))*100</f>
        <v>100</v>
      </c>
      <c r="E27" s="57">
        <f>(COUNT(E11:E25))/(COUNT(R11:R25))*100</f>
        <v>100</v>
      </c>
      <c r="F27" s="57">
        <f>(COUNT(F11:F25))/(COUNT(R11:R25))*100</f>
        <v>100</v>
      </c>
      <c r="G27" s="57">
        <f>(COUNT(G11:G25))/(COUNT(R11:R25))*100</f>
        <v>100</v>
      </c>
      <c r="H27" s="57">
        <f>(COUNT(H11:H25))/(COUNT(R11:R25))*100</f>
        <v>100</v>
      </c>
      <c r="I27" s="57">
        <f>(COUNT(I11:I25))/(COUNT(R11:R25))*100</f>
        <v>100</v>
      </c>
      <c r="J27" s="57">
        <f>(COUNT(J11:J25))/(COUNT(R11:R25))*100</f>
        <v>100</v>
      </c>
      <c r="K27" s="57">
        <f>(COUNT(K11:K25))/(COUNT(R11:R25))*100</f>
        <v>100</v>
      </c>
      <c r="L27" s="57">
        <f>(COUNT(L11:L25))/(COUNT(R11:R25))*100</f>
        <v>100</v>
      </c>
      <c r="M27" s="57">
        <f>(COUNT(M11:M25))/(COUNT(R11:R25))*100</f>
        <v>93.333333333333329</v>
      </c>
      <c r="N27" s="57">
        <f>(COUNT(N11:N25))/(COUNT(R11:R25))*100</f>
        <v>100</v>
      </c>
      <c r="O27" s="57">
        <f>(COUNT(O11:O25))/(COUNT(R11:R25))*100</f>
        <v>100</v>
      </c>
      <c r="P27" s="57">
        <f>(COUNT(P11:P25))/(COUNT(R11:R25))*100</f>
        <v>100</v>
      </c>
      <c r="Q27" s="57">
        <f>(COUNT(Q11:Q25))/(COUNT(R11:R25))*100</f>
        <v>100</v>
      </c>
      <c r="R27" s="58"/>
      <c r="S27" s="44"/>
      <c r="T27" s="44"/>
      <c r="U27" s="44"/>
      <c r="V27" s="44"/>
      <c r="W27" s="44"/>
      <c r="X27" s="44"/>
      <c r="Y27" s="44"/>
      <c r="Z27" s="44"/>
    </row>
    <row r="28" spans="1:26" ht="15.75" customHeight="1">
      <c r="A28" s="44"/>
      <c r="B28" s="44"/>
      <c r="C28" s="56" t="s">
        <v>28</v>
      </c>
      <c r="D28" s="59">
        <f>(COUNTIF(D11:D25,"&gt;6"))/(COUNT(R11:R25))*100</f>
        <v>73.333333333333329</v>
      </c>
      <c r="E28" s="59">
        <f>(COUNTIF(E11:E25,"&gt;6"))/(COUNT(R11:R25))*100</f>
        <v>93.333333333333329</v>
      </c>
      <c r="F28" s="59">
        <f>(COUNTIF(F11:F25,"&gt;6"))/(COUNT(R11:R25))*100</f>
        <v>40</v>
      </c>
      <c r="G28" s="59">
        <f>(COUNTIF(G11:G25,"&gt;6"))/(COUNT(R11:R25))*100</f>
        <v>60</v>
      </c>
      <c r="H28" s="59">
        <f>(COUNTIF(H11:H25,"&gt;6"))/(COUNT(R11:R25))*100</f>
        <v>66.666666666666657</v>
      </c>
      <c r="I28" s="59">
        <f>(COUNTIF(I11:I25,"&gt;6"))/(COUNT(R11:R25))*100</f>
        <v>86.666666666666671</v>
      </c>
      <c r="J28" s="59">
        <f>(COUNTIF(J11:J25,"&gt;6"))/(COUNT(R11:R25))*100</f>
        <v>73.333333333333329</v>
      </c>
      <c r="K28" s="59">
        <f>(COUNTIF(K11:K25,"&gt;6"))/(COUNT(R11:R25))*100</f>
        <v>93.333333333333329</v>
      </c>
      <c r="L28" s="59">
        <f>(COUNTIF(L11:L25,"&gt;6"))/(COUNT(R11:R25))*100</f>
        <v>80</v>
      </c>
      <c r="M28" s="59">
        <f>(COUNTIF(M11:M25,"&gt;6"))/(COUNT(R11:R25))*100</f>
        <v>86.666666666666671</v>
      </c>
      <c r="N28" s="59">
        <f>(COUNTIF(N11:N25,"&gt;6"))/(COUNT(R11:R25))*100</f>
        <v>73.333333333333329</v>
      </c>
      <c r="O28" s="59">
        <f>(COUNTIF(O11:O25,"&gt;6"))/(COUNT(R11:R25))*100</f>
        <v>80</v>
      </c>
      <c r="P28" s="59">
        <f>(COUNTIF(P11:P25,"&gt;6"))/(COUNT(R11:R25))*100</f>
        <v>66.666666666666657</v>
      </c>
      <c r="Q28" s="59">
        <f>(COUNTIF(Q11:Q25,"&gt;6"))/(COUNT(R11:R25))*100</f>
        <v>86.666666666666671</v>
      </c>
      <c r="R28" s="58"/>
      <c r="S28" s="44"/>
      <c r="T28" s="44"/>
      <c r="U28" s="44"/>
      <c r="V28" s="44"/>
      <c r="W28" s="44"/>
      <c r="X28" s="44"/>
      <c r="Y28" s="44"/>
      <c r="Z28" s="44"/>
    </row>
    <row r="29" spans="1:26" ht="15.75" customHeight="1">
      <c r="A29" s="44"/>
      <c r="B29" s="44"/>
      <c r="C29" s="56" t="s">
        <v>29</v>
      </c>
      <c r="D29" s="55">
        <f>AVERAGE(D27:Q27)</f>
        <v>99.523809523809533</v>
      </c>
      <c r="E29" s="60"/>
      <c r="F29" s="60"/>
      <c r="G29" s="60"/>
      <c r="H29" s="60"/>
      <c r="I29" s="61"/>
      <c r="J29" s="61"/>
      <c r="K29" s="61"/>
      <c r="L29" s="61"/>
      <c r="M29" s="61"/>
      <c r="N29" s="61"/>
      <c r="O29" s="61"/>
      <c r="P29" s="61"/>
      <c r="Q29" s="61"/>
      <c r="R29" s="62"/>
      <c r="S29" s="44"/>
      <c r="T29" s="44"/>
      <c r="U29" s="44"/>
      <c r="V29" s="44"/>
      <c r="W29" s="44"/>
      <c r="X29" s="44"/>
      <c r="Y29" s="44"/>
      <c r="Z29" s="44"/>
    </row>
    <row r="30" spans="1:26" ht="15.75" customHeight="1">
      <c r="A30" s="44"/>
      <c r="B30" s="44"/>
      <c r="C30" s="56" t="s">
        <v>30</v>
      </c>
      <c r="D30" s="55">
        <f>AVERAGE(D28:Q28)</f>
        <v>75.714285714285708</v>
      </c>
      <c r="E30" s="60"/>
      <c r="F30" s="60"/>
      <c r="G30" s="60"/>
      <c r="H30" s="60"/>
      <c r="I30" s="61"/>
      <c r="J30" s="61"/>
      <c r="K30" s="61"/>
      <c r="L30" s="61"/>
      <c r="M30" s="61"/>
      <c r="N30" s="61"/>
      <c r="O30" s="61"/>
      <c r="P30" s="61"/>
      <c r="Q30" s="61"/>
      <c r="R30" s="62"/>
      <c r="S30" s="44"/>
      <c r="T30" s="44"/>
      <c r="U30" s="44"/>
      <c r="V30" s="44"/>
      <c r="W30" s="44"/>
      <c r="X30" s="44"/>
      <c r="Y30" s="44"/>
      <c r="Z30" s="44"/>
    </row>
    <row r="31" spans="1:26" ht="15.75" customHeight="1">
      <c r="A31" s="44"/>
      <c r="C31" s="56" t="s">
        <v>32</v>
      </c>
      <c r="D31" s="63">
        <f>COUNTIF(A11:A25,"=Б")</f>
        <v>10</v>
      </c>
      <c r="E31" s="60"/>
      <c r="F31" s="60"/>
      <c r="G31" s="60"/>
      <c r="H31" s="60"/>
      <c r="I31" s="61"/>
      <c r="J31" s="61"/>
      <c r="K31" s="61"/>
      <c r="L31" s="61"/>
      <c r="M31" s="61"/>
      <c r="N31" s="61"/>
      <c r="O31" s="61"/>
      <c r="P31" s="61"/>
      <c r="Q31" s="61"/>
      <c r="R31" s="62"/>
      <c r="S31" s="44"/>
      <c r="T31" s="44"/>
      <c r="U31" s="44"/>
      <c r="V31" s="44"/>
      <c r="W31" s="44"/>
      <c r="X31" s="44"/>
      <c r="Y31" s="44"/>
      <c r="Z31" s="44"/>
    </row>
    <row r="32" spans="1:26" ht="15.75" customHeight="1">
      <c r="A32" s="44"/>
      <c r="B32" s="44"/>
      <c r="C32" s="56" t="s">
        <v>31</v>
      </c>
      <c r="D32" s="64">
        <f>COUNTIF(A11:A25,"=К")</f>
        <v>5</v>
      </c>
      <c r="E32" s="44"/>
      <c r="F32" s="44"/>
      <c r="G32" s="44"/>
      <c r="H32" s="65" t="s">
        <v>35</v>
      </c>
      <c r="I32" s="65"/>
      <c r="J32" s="65"/>
      <c r="K32" s="66"/>
      <c r="L32" s="66"/>
      <c r="N32" s="44"/>
      <c r="O32" s="65" t="s">
        <v>36</v>
      </c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spans="1:26" ht="15.75" customHeight="1">
      <c r="A33" s="43"/>
      <c r="B33" s="43"/>
      <c r="C33" s="56" t="s">
        <v>33</v>
      </c>
      <c r="D33" s="64">
        <v>1</v>
      </c>
      <c r="E33" s="44"/>
      <c r="F33" s="44"/>
      <c r="G33" s="44"/>
      <c r="H33" s="66"/>
      <c r="I33" s="66"/>
      <c r="J33" s="66"/>
      <c r="K33" s="66"/>
      <c r="L33" s="66"/>
      <c r="N33" s="44"/>
      <c r="O33" s="66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spans="1:26" ht="15.75" customHeight="1">
      <c r="A34" s="43"/>
      <c r="B34" s="43"/>
      <c r="C34" s="56" t="s">
        <v>34</v>
      </c>
      <c r="D34" s="64">
        <f>INT(D31/100*40)</f>
        <v>4</v>
      </c>
      <c r="E34" s="44"/>
      <c r="F34" s="44"/>
      <c r="G34" s="44"/>
      <c r="H34" s="65" t="s">
        <v>37</v>
      </c>
      <c r="I34" s="65"/>
      <c r="J34" s="65"/>
      <c r="K34" s="65"/>
      <c r="L34" s="65"/>
      <c r="N34" s="44"/>
      <c r="O34" s="65" t="s">
        <v>38</v>
      </c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spans="1:26" ht="15.75" customHeight="1">
      <c r="A35" s="43"/>
      <c r="B35" s="43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spans="1:26" ht="15.75" customHeight="1">
      <c r="A36" s="44"/>
      <c r="B36" s="44"/>
      <c r="C36" s="44"/>
      <c r="D36" s="44"/>
      <c r="E36" s="44"/>
      <c r="L36" s="6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spans="1:26" ht="15.75" customHeight="1">
      <c r="A37" s="44"/>
      <c r="B37" s="44"/>
      <c r="C37" s="44"/>
      <c r="D37" s="44"/>
      <c r="E37" s="44"/>
      <c r="L37" s="66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spans="1:26" ht="15.75" customHeight="1">
      <c r="A38" s="44"/>
      <c r="B38" s="44"/>
      <c r="C38" s="44"/>
      <c r="D38" s="44"/>
      <c r="E38" s="44"/>
      <c r="L38" s="65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spans="1:26" ht="15.75" customHeight="1">
      <c r="A39" s="44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spans="1:26" ht="15.75" customHeight="1">
      <c r="A40" s="44"/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spans="1:26" ht="15.75" customHeight="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spans="1:26" ht="15.75" customHeight="1">
      <c r="A42" s="44"/>
      <c r="B42" s="44"/>
      <c r="C42" s="44"/>
      <c r="D42" s="44"/>
      <c r="E42" s="67"/>
      <c r="F42" s="67"/>
      <c r="G42" s="67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spans="1:26" ht="15.75" customHeight="1">
      <c r="A43" s="44"/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spans="1:26" ht="15.75" customHeight="1">
      <c r="A44" s="44"/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spans="1:26" ht="15.75" customHeight="1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spans="1:26" ht="15.75" customHeight="1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spans="1:26" ht="15.75" customHeight="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spans="1:26" ht="15.75" customHeight="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 spans="1:26" ht="15.75" customHeight="1">
      <c r="A49" s="44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spans="1:26" ht="15.75" customHeight="1">
      <c r="A50" s="44"/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spans="1:26" ht="15.75" customHeight="1">
      <c r="A51" s="44"/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spans="1:26" ht="15.75" customHeight="1">
      <c r="A52" s="44"/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spans="1:26" ht="15.75" customHeight="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spans="1:26" ht="15.75" customHeight="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 spans="1:26" ht="15.75" customHeight="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spans="1:26" ht="15.75" customHeight="1">
      <c r="A56" s="44"/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spans="1:26" ht="15.75" customHeight="1">
      <c r="A57" s="44"/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spans="1:26" ht="15.75" customHeight="1">
      <c r="A58" s="44"/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spans="1:26" ht="15.75" customHeight="1">
      <c r="A59" s="44"/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spans="1:26" ht="15.75" customHeight="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spans="1:26" ht="15.75" customHeight="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spans="1:26" ht="15.75" customHeight="1">
      <c r="A62" s="44"/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spans="1:26" ht="15.75" customHeight="1">
      <c r="A63" s="44"/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spans="1:26" ht="15.75" customHeight="1">
      <c r="A64" s="68">
        <f>D31</f>
        <v>10</v>
      </c>
      <c r="B64" s="68">
        <f>D32</f>
        <v>5</v>
      </c>
      <c r="C64" s="69">
        <f>D33</f>
        <v>1</v>
      </c>
      <c r="D64" s="68">
        <f>D34</f>
        <v>4</v>
      </c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spans="1:26" ht="15.75" customHeight="1">
      <c r="A65" s="68">
        <f>D31</f>
        <v>10</v>
      </c>
      <c r="B65" s="68">
        <f>D32</f>
        <v>5</v>
      </c>
      <c r="C65" s="69">
        <f>D33</f>
        <v>1</v>
      </c>
      <c r="D65" s="68">
        <f>D34</f>
        <v>4</v>
      </c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spans="1:26" ht="15.75" customHeight="1">
      <c r="A66" s="68">
        <f>D31</f>
        <v>10</v>
      </c>
      <c r="B66" s="68">
        <f>D32</f>
        <v>5</v>
      </c>
      <c r="C66" s="69">
        <f>D33</f>
        <v>1</v>
      </c>
      <c r="D66" s="68">
        <f>D34</f>
        <v>4</v>
      </c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spans="1:26" ht="15.75" customHeight="1">
      <c r="A67" s="68">
        <f>D31</f>
        <v>10</v>
      </c>
      <c r="B67" s="68">
        <f>D32</f>
        <v>5</v>
      </c>
      <c r="C67" s="69">
        <f>D33</f>
        <v>1</v>
      </c>
      <c r="D67" s="68">
        <f>D34</f>
        <v>4</v>
      </c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spans="1:26" ht="15.75" customHeight="1">
      <c r="A68" s="68">
        <f>D31</f>
        <v>10</v>
      </c>
      <c r="B68" s="68">
        <f>D32</f>
        <v>5</v>
      </c>
      <c r="C68" s="69">
        <f>D33</f>
        <v>1</v>
      </c>
      <c r="D68" s="68">
        <f>D34</f>
        <v>4</v>
      </c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spans="1:26" ht="15.75" customHeight="1">
      <c r="A69" s="68">
        <f>D31</f>
        <v>10</v>
      </c>
      <c r="B69" s="68">
        <f>D32</f>
        <v>5</v>
      </c>
      <c r="C69" s="69">
        <f>D33</f>
        <v>1</v>
      </c>
      <c r="D69" s="68">
        <f>D34</f>
        <v>4</v>
      </c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spans="1:26" ht="15.75" customHeight="1">
      <c r="A70" s="68">
        <f>D31</f>
        <v>10</v>
      </c>
      <c r="B70" s="68">
        <f>D32</f>
        <v>5</v>
      </c>
      <c r="C70" s="69">
        <f>D33</f>
        <v>1</v>
      </c>
      <c r="D70" s="68">
        <f>D34</f>
        <v>4</v>
      </c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spans="1:26" ht="15.75" customHeight="1">
      <c r="A71" s="68">
        <f>D31</f>
        <v>10</v>
      </c>
      <c r="B71" s="68">
        <f>D32</f>
        <v>5</v>
      </c>
      <c r="C71" s="69">
        <f>D33</f>
        <v>1</v>
      </c>
      <c r="D71" s="68">
        <f>D34</f>
        <v>4</v>
      </c>
      <c r="E71" s="44"/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spans="1:26" ht="15.75" customHeight="1">
      <c r="A72" s="68">
        <f>D31</f>
        <v>10</v>
      </c>
      <c r="B72" s="68">
        <f>D32</f>
        <v>5</v>
      </c>
      <c r="C72" s="69">
        <f>D33</f>
        <v>1</v>
      </c>
      <c r="D72" s="68">
        <f>D34</f>
        <v>4</v>
      </c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spans="1:26" ht="15.75" customHeight="1">
      <c r="A73" s="68">
        <f>D31</f>
        <v>10</v>
      </c>
      <c r="B73" s="68">
        <f>D32</f>
        <v>5</v>
      </c>
      <c r="C73" s="69">
        <f>D33</f>
        <v>1</v>
      </c>
      <c r="D73" s="68">
        <f>D34</f>
        <v>4</v>
      </c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spans="1:26" ht="15.75" customHeight="1">
      <c r="A74" s="68">
        <f>D31</f>
        <v>10</v>
      </c>
      <c r="B74" s="68">
        <f>D32</f>
        <v>5</v>
      </c>
      <c r="C74" s="69">
        <f>D33</f>
        <v>1</v>
      </c>
      <c r="D74" s="68">
        <f>D34</f>
        <v>4</v>
      </c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spans="1:26" ht="15.75" customHeight="1">
      <c r="A75" s="68">
        <f>D31</f>
        <v>10</v>
      </c>
      <c r="B75" s="68">
        <f>D32</f>
        <v>5</v>
      </c>
      <c r="C75" s="69">
        <f>D33</f>
        <v>1</v>
      </c>
      <c r="D75" s="68">
        <f>D34</f>
        <v>4</v>
      </c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spans="1:26" ht="15.75" customHeight="1">
      <c r="A76" s="68">
        <f>D31</f>
        <v>10</v>
      </c>
      <c r="B76" s="68">
        <f>D32</f>
        <v>5</v>
      </c>
      <c r="C76" s="69">
        <f>D33</f>
        <v>1</v>
      </c>
      <c r="D76" s="68">
        <f>D34</f>
        <v>4</v>
      </c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spans="1:26" ht="15.75" customHeight="1">
      <c r="A77" s="68">
        <f>D31</f>
        <v>10</v>
      </c>
      <c r="B77" s="68">
        <f>D32</f>
        <v>5</v>
      </c>
      <c r="C77" s="69">
        <f>D33</f>
        <v>1</v>
      </c>
      <c r="D77" s="68">
        <f>D34</f>
        <v>4</v>
      </c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spans="1:26" ht="15.75" customHeight="1">
      <c r="A78" s="68">
        <f>D31</f>
        <v>10</v>
      </c>
      <c r="B78" s="68">
        <f>D32</f>
        <v>5</v>
      </c>
      <c r="C78" s="69">
        <f>D33</f>
        <v>1</v>
      </c>
      <c r="D78" s="68">
        <f>D34</f>
        <v>4</v>
      </c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spans="1:26" ht="15.75" customHeight="1">
      <c r="A79" s="68">
        <f>D31</f>
        <v>10</v>
      </c>
      <c r="B79" s="68">
        <f>D32</f>
        <v>5</v>
      </c>
      <c r="C79" s="69">
        <f>D33</f>
        <v>1</v>
      </c>
      <c r="D79" s="68">
        <f>D34</f>
        <v>4</v>
      </c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spans="1:26" ht="15.75" customHeight="1">
      <c r="A80" s="68">
        <f>D31</f>
        <v>10</v>
      </c>
      <c r="B80" s="68">
        <f>D32</f>
        <v>5</v>
      </c>
      <c r="C80" s="69">
        <f>D33</f>
        <v>1</v>
      </c>
      <c r="D80" s="68">
        <f>D34</f>
        <v>4</v>
      </c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spans="1:26" ht="15.75" customHeight="1">
      <c r="A81" s="68">
        <f>D31</f>
        <v>10</v>
      </c>
      <c r="B81" s="68">
        <f>D32</f>
        <v>5</v>
      </c>
      <c r="C81" s="69">
        <f>D33</f>
        <v>1</v>
      </c>
      <c r="D81" s="68">
        <f>D34</f>
        <v>4</v>
      </c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spans="1:26" ht="15.75" customHeight="1">
      <c r="A82" s="68">
        <f>D31</f>
        <v>10</v>
      </c>
      <c r="B82" s="68">
        <f>D32</f>
        <v>5</v>
      </c>
      <c r="C82" s="69">
        <f>D33</f>
        <v>1</v>
      </c>
      <c r="D82" s="68">
        <f>D34</f>
        <v>4</v>
      </c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spans="1:26" ht="15.75" customHeight="1">
      <c r="A83" s="68">
        <f>D31</f>
        <v>10</v>
      </c>
      <c r="B83" s="68">
        <f>D32</f>
        <v>5</v>
      </c>
      <c r="C83" s="69">
        <f>D33</f>
        <v>1</v>
      </c>
      <c r="D83" s="68">
        <f>D34</f>
        <v>4</v>
      </c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spans="1:26" ht="15.75" customHeight="1">
      <c r="A84" s="68">
        <f>D31</f>
        <v>10</v>
      </c>
      <c r="B84" s="68">
        <f>D32</f>
        <v>5</v>
      </c>
      <c r="C84" s="69">
        <f>D33</f>
        <v>1</v>
      </c>
      <c r="D84" s="68">
        <f>D34</f>
        <v>4</v>
      </c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spans="1:26" ht="15.75" customHeight="1">
      <c r="A85" s="68">
        <f>D31</f>
        <v>10</v>
      </c>
      <c r="B85" s="68">
        <f>D32</f>
        <v>5</v>
      </c>
      <c r="C85" s="69">
        <f>D33</f>
        <v>1</v>
      </c>
      <c r="D85" s="68">
        <f>D34</f>
        <v>4</v>
      </c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spans="1:26" ht="15.75" customHeight="1">
      <c r="A86" s="68">
        <f>D31</f>
        <v>10</v>
      </c>
      <c r="B86" s="68">
        <f>D32</f>
        <v>5</v>
      </c>
      <c r="C86" s="69">
        <f>D33</f>
        <v>1</v>
      </c>
      <c r="D86" s="68">
        <f>D34</f>
        <v>4</v>
      </c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spans="1:26" ht="15.75" customHeight="1">
      <c r="A87" s="68">
        <f>D31</f>
        <v>10</v>
      </c>
      <c r="B87" s="68">
        <f>D32</f>
        <v>5</v>
      </c>
      <c r="C87" s="69">
        <f>D33</f>
        <v>1</v>
      </c>
      <c r="D87" s="68">
        <f>D34</f>
        <v>4</v>
      </c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spans="1:26" ht="15.75" customHeight="1">
      <c r="A88" s="68">
        <f>D31</f>
        <v>10</v>
      </c>
      <c r="B88" s="68">
        <f>D32</f>
        <v>5</v>
      </c>
      <c r="C88" s="69">
        <f>D33</f>
        <v>1</v>
      </c>
      <c r="D88" s="68">
        <f>D34</f>
        <v>4</v>
      </c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spans="1:26" ht="15.75" customHeight="1">
      <c r="A89" s="68">
        <f>D31</f>
        <v>10</v>
      </c>
      <c r="B89" s="68">
        <f>D32</f>
        <v>5</v>
      </c>
      <c r="C89" s="69">
        <f>D33</f>
        <v>1</v>
      </c>
      <c r="D89" s="68">
        <f>D34</f>
        <v>4</v>
      </c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spans="1:26" ht="15.75" customHeight="1">
      <c r="A90" s="68">
        <f>D31</f>
        <v>10</v>
      </c>
      <c r="B90" s="68">
        <f>D32</f>
        <v>5</v>
      </c>
      <c r="C90" s="69">
        <f>D33</f>
        <v>1</v>
      </c>
      <c r="D90" s="68">
        <f>D34</f>
        <v>4</v>
      </c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spans="1:26" ht="15.75" customHeight="1">
      <c r="A91" s="68">
        <f>D31</f>
        <v>10</v>
      </c>
      <c r="B91" s="68">
        <f>D32</f>
        <v>5</v>
      </c>
      <c r="C91" s="69">
        <f>D33</f>
        <v>1</v>
      </c>
      <c r="D91" s="68">
        <f>D34</f>
        <v>4</v>
      </c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spans="1:26" ht="15.75" customHeight="1">
      <c r="A92" s="68">
        <f>D31</f>
        <v>10</v>
      </c>
      <c r="B92" s="68">
        <f>D32</f>
        <v>5</v>
      </c>
      <c r="C92" s="69">
        <f>D33</f>
        <v>1</v>
      </c>
      <c r="D92" s="68">
        <f>D34</f>
        <v>4</v>
      </c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spans="1:26" ht="15.75" customHeight="1">
      <c r="A93" s="68">
        <f>D31</f>
        <v>10</v>
      </c>
      <c r="B93" s="68">
        <f>D32</f>
        <v>5</v>
      </c>
      <c r="C93" s="69">
        <f>D33</f>
        <v>1</v>
      </c>
      <c r="D93" s="68">
        <f>D34</f>
        <v>4</v>
      </c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spans="1:26" ht="15.75" customHeight="1">
      <c r="A94" s="68">
        <f>D31</f>
        <v>10</v>
      </c>
      <c r="B94" s="68">
        <f>D32</f>
        <v>5</v>
      </c>
      <c r="C94" s="69">
        <f>D33</f>
        <v>1</v>
      </c>
      <c r="D94" s="68">
        <f>D34</f>
        <v>4</v>
      </c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spans="1:26" ht="15.75" customHeight="1">
      <c r="A95" s="68">
        <f>D31</f>
        <v>10</v>
      </c>
      <c r="B95" s="68">
        <f>D32</f>
        <v>5</v>
      </c>
      <c r="C95" s="69">
        <f>D33</f>
        <v>1</v>
      </c>
      <c r="D95" s="68">
        <f>D34</f>
        <v>4</v>
      </c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spans="1:26" ht="15.75" customHeight="1">
      <c r="A96" s="68">
        <f>D31</f>
        <v>10</v>
      </c>
      <c r="B96" s="68">
        <f>D32</f>
        <v>5</v>
      </c>
      <c r="C96" s="69">
        <f>D33</f>
        <v>1</v>
      </c>
      <c r="D96" s="68">
        <f>D34</f>
        <v>4</v>
      </c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spans="1:26" ht="15.75" customHeight="1">
      <c r="A97" s="68">
        <f>D31</f>
        <v>10</v>
      </c>
      <c r="B97" s="68">
        <f>D32</f>
        <v>5</v>
      </c>
      <c r="C97" s="69">
        <f>D33</f>
        <v>1</v>
      </c>
      <c r="D97" s="68">
        <f>D34</f>
        <v>4</v>
      </c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spans="1:26" ht="15.75" customHeight="1">
      <c r="A98" s="68">
        <f>D31</f>
        <v>10</v>
      </c>
      <c r="B98" s="68">
        <f>D32</f>
        <v>5</v>
      </c>
      <c r="C98" s="69">
        <f>D33</f>
        <v>1</v>
      </c>
      <c r="D98" s="68">
        <f>D34</f>
        <v>4</v>
      </c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spans="1:26" ht="15.75" customHeight="1">
      <c r="A99" s="68">
        <f>D31</f>
        <v>10</v>
      </c>
      <c r="B99" s="68">
        <f>D32</f>
        <v>5</v>
      </c>
      <c r="C99" s="69">
        <f>D33</f>
        <v>1</v>
      </c>
      <c r="D99" s="68">
        <f>D34</f>
        <v>4</v>
      </c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spans="1:26" ht="15.75" customHeight="1">
      <c r="A100" s="68">
        <f>D31</f>
        <v>10</v>
      </c>
      <c r="B100" s="68">
        <f>D32</f>
        <v>5</v>
      </c>
      <c r="C100" s="69">
        <f>D33</f>
        <v>1</v>
      </c>
      <c r="D100" s="68">
        <f>D34</f>
        <v>4</v>
      </c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spans="1:26" ht="15.75" customHeight="1">
      <c r="A101" s="68">
        <f>D31</f>
        <v>10</v>
      </c>
      <c r="B101" s="68">
        <f>D32</f>
        <v>5</v>
      </c>
      <c r="C101" s="69">
        <f>D33</f>
        <v>1</v>
      </c>
      <c r="D101" s="68">
        <f>D34</f>
        <v>4</v>
      </c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spans="1:26" ht="15.75" customHeight="1">
      <c r="A102" s="68">
        <f>D31</f>
        <v>10</v>
      </c>
      <c r="B102" s="68">
        <f>D32</f>
        <v>5</v>
      </c>
      <c r="C102" s="69">
        <f>D33</f>
        <v>1</v>
      </c>
      <c r="D102" s="68">
        <f>D34</f>
        <v>4</v>
      </c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spans="1:26" ht="15.75" customHeight="1">
      <c r="A103" s="68">
        <f>D31</f>
        <v>10</v>
      </c>
      <c r="B103" s="68">
        <f>D32</f>
        <v>5</v>
      </c>
      <c r="C103" s="69">
        <f>D33</f>
        <v>1</v>
      </c>
      <c r="D103" s="68">
        <f>D34</f>
        <v>4</v>
      </c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spans="1:26" ht="15.75" customHeight="1">
      <c r="A104" s="68">
        <f>D31</f>
        <v>10</v>
      </c>
      <c r="B104" s="68">
        <f>D32</f>
        <v>5</v>
      </c>
      <c r="C104" s="69">
        <f>D33</f>
        <v>1</v>
      </c>
      <c r="D104" s="68">
        <f>D34</f>
        <v>4</v>
      </c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spans="1:26" ht="15.75" customHeight="1">
      <c r="A105" s="68">
        <f>D31</f>
        <v>10</v>
      </c>
      <c r="B105" s="68">
        <f>D32</f>
        <v>5</v>
      </c>
      <c r="C105" s="69">
        <f>D33</f>
        <v>1</v>
      </c>
      <c r="D105" s="68">
        <f>D34</f>
        <v>4</v>
      </c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spans="1:26" ht="15.75" customHeight="1">
      <c r="A106" s="68">
        <f>D31</f>
        <v>10</v>
      </c>
      <c r="B106" s="68">
        <f>D32</f>
        <v>5</v>
      </c>
      <c r="C106" s="69">
        <f>D33</f>
        <v>1</v>
      </c>
      <c r="D106" s="68">
        <f>D34</f>
        <v>4</v>
      </c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spans="1:26" ht="15.75" customHeight="1">
      <c r="A107" s="68">
        <f>D31</f>
        <v>10</v>
      </c>
      <c r="B107" s="68">
        <f>D32</f>
        <v>5</v>
      </c>
      <c r="C107" s="69">
        <f>D33</f>
        <v>1</v>
      </c>
      <c r="D107" s="68">
        <f>D34</f>
        <v>4</v>
      </c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spans="1:26" ht="15.75" customHeight="1">
      <c r="A108" s="68">
        <f>D31</f>
        <v>10</v>
      </c>
      <c r="B108" s="68">
        <f>D32</f>
        <v>5</v>
      </c>
      <c r="C108" s="69">
        <f>D33</f>
        <v>1</v>
      </c>
      <c r="D108" s="68">
        <f>D34</f>
        <v>4</v>
      </c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spans="1:26" ht="15.75" customHeight="1">
      <c r="A109" s="68">
        <f>D31</f>
        <v>10</v>
      </c>
      <c r="B109" s="68">
        <f>D32</f>
        <v>5</v>
      </c>
      <c r="C109" s="69">
        <f>D33</f>
        <v>1</v>
      </c>
      <c r="D109" s="68">
        <f>D34</f>
        <v>4</v>
      </c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spans="1:26" ht="15.75" customHeight="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spans="1:26" ht="15.75" customHeight="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spans="1:26" ht="15.75" customHeight="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 spans="1:26" ht="15.75" customHeight="1">
      <c r="A113" s="44"/>
      <c r="B113" s="44"/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spans="1:26" ht="15.75" customHeight="1">
      <c r="A114" s="44"/>
      <c r="B114" s="44"/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spans="1:26" ht="15.75" customHeight="1">
      <c r="A115" s="44"/>
      <c r="B115" s="44"/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spans="1:26" ht="15.75" customHeight="1">
      <c r="A116" s="44"/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 spans="1:26" ht="15.75" customHeight="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spans="1:26" ht="15.75" customHeight="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spans="1:26" ht="15.75" customHeight="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spans="1:26" ht="15.75" customHeight="1">
      <c r="A120" s="44"/>
      <c r="B120" s="44"/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spans="1:26" ht="15.75" customHeight="1">
      <c r="A121" s="44"/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spans="1:26" ht="15.75" customHeight="1">
      <c r="A122" s="44"/>
      <c r="B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spans="1:26" ht="15.75" customHeight="1">
      <c r="A123" s="44"/>
      <c r="B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spans="1:26" ht="15.75" customHeight="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 spans="1:26" ht="15.75" customHeight="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spans="1:26" ht="15.75" customHeight="1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spans="1:26" ht="15.75" customHeight="1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spans="1:26" ht="15.75" customHeight="1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spans="1:26" ht="15.75" customHeight="1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spans="1:26" ht="15.75" customHeight="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spans="1:26" ht="15.75" customHeight="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spans="1:26" ht="15.75" customHeight="1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spans="1:26" ht="15.75" customHeight="1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spans="1:26" ht="15.75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spans="1:26" ht="15.75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spans="1:26" ht="15.75" customHeight="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spans="1:26" ht="15.75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spans="1:26" ht="15.75" customHeight="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 spans="1:26" ht="15.75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spans="1:26" ht="15.75" customHeight="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spans="1:26" ht="15.75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spans="1:26" ht="15.75" customHeight="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spans="1:26" ht="15.75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spans="1:26" ht="15.75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 spans="1:26" ht="15.75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spans="1:26" ht="15.75" customHeight="1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 spans="1:26" ht="15.75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spans="1:26" ht="15.75" customHeight="1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 spans="1:26" ht="15.75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spans="1:26" ht="15.75" customHeight="1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 spans="1:26" ht="15.75" customHeight="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spans="1:26" ht="15.75" customHeight="1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 spans="1:26" ht="15.75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spans="1:26" ht="15.75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 spans="1:26" ht="15.75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spans="1:26" ht="15.75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 spans="1:26" ht="15.75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 spans="1:26" ht="15.75" customHeight="1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 spans="1:26" ht="15.75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 spans="1:26" ht="15.75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 spans="1:26" ht="15.75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 spans="1:26" ht="15.75" customHeight="1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 spans="1:26" ht="15.75" customHeight="1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 spans="1:26" ht="15.75" customHeight="1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 spans="1:26" ht="15.75" customHeight="1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 spans="1:26" ht="15.75" customHeight="1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 spans="1:26" ht="15.75" customHeight="1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 spans="1:26" ht="15.75" customHeight="1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 spans="1:26" ht="15.75" customHeight="1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 spans="1:26" ht="15.75" customHeight="1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 spans="1:26" ht="15.75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spans="1:26" ht="15.75" customHeight="1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 spans="1:26" ht="15.75" customHeight="1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 spans="1:26" ht="15.75" customHeight="1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 spans="1:26" ht="15.75" customHeight="1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 spans="1:26" ht="15.75" customHeight="1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 spans="1:26" ht="15.75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 spans="1:26" ht="15.75" customHeight="1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 spans="1:26" ht="15.75" customHeight="1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 spans="1:26" ht="15.75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 spans="1:26" ht="15.75" customHeight="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 spans="1:26" ht="15.75" customHeight="1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 spans="1:26" ht="15.75" customHeight="1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 spans="1:26" ht="15.75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 spans="1:26" ht="15.75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 spans="1:26" ht="15.75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 spans="1:26" ht="15.75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spans="1:26" ht="15.75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 spans="1:26" ht="15.75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 spans="1:26" ht="15.75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 spans="1:26" ht="15.75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spans="1:26" ht="15.75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 spans="1:26" ht="15.75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spans="1:26" ht="15.75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 spans="1:26" ht="15.75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spans="1:26" ht="15.75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 spans="1:26" ht="15.75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 spans="1:26" ht="15.75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 spans="1:26" ht="15.75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 spans="1:26" ht="15.75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 spans="1:26" ht="15.75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spans="1:26" ht="15.75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 spans="1:26" ht="15.75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 spans="1:26" ht="15.75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 spans="1:26" ht="15.75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 spans="1:26" ht="15.75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 spans="1:26" ht="15.75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 spans="1:26" ht="15.75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 spans="1:26" ht="15.75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 spans="1:26" ht="15.75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 spans="1:26" ht="15.75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spans="1:26" ht="15.75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 spans="1:26" ht="15.75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 spans="1:26" ht="15.75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 spans="1:26" ht="15.75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spans="1:26" ht="15.75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 spans="1:26" ht="15.75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spans="1:26" ht="15.75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 spans="1:26" ht="15.75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spans="1:26" ht="15.75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 spans="1:26" ht="15.75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spans="1:26" ht="15.75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 spans="1:26" ht="15.75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 spans="1:26" ht="15.75" customHeight="1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 spans="1:26" ht="15.75" customHeight="1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 spans="1:26" ht="15.75" customHeight="1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 spans="1:26" ht="15.75" customHeight="1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 spans="1:26" ht="15.75" customHeight="1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 spans="1:26" ht="15.75" customHeight="1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 spans="1:26" ht="15.75" customHeight="1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 spans="1:26" ht="15.75" customHeight="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 spans="1:26" ht="15.75" customHeight="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 spans="1:26" ht="15.75" customHeight="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 spans="1:26" ht="15.75" customHeight="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 spans="1:26" ht="15.75" customHeight="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 spans="1:26" ht="15.75" customHeight="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 spans="1:26" ht="15.75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 spans="1:26" ht="15.75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</sheetData>
  <mergeCells count="25">
    <mergeCell ref="A7:A10"/>
    <mergeCell ref="B7:B10"/>
    <mergeCell ref="C7:C10"/>
    <mergeCell ref="D7:R7"/>
    <mergeCell ref="A6:O6"/>
    <mergeCell ref="A1:O1"/>
    <mergeCell ref="A2:O2"/>
    <mergeCell ref="A3:O3"/>
    <mergeCell ref="A4:O4"/>
    <mergeCell ref="A5:O5"/>
    <mergeCell ref="I8:I10"/>
    <mergeCell ref="P8:P10"/>
    <mergeCell ref="Q8:Q10"/>
    <mergeCell ref="R8:R10"/>
    <mergeCell ref="D8:D10"/>
    <mergeCell ref="E8:E10"/>
    <mergeCell ref="F8:F10"/>
    <mergeCell ref="G8:G10"/>
    <mergeCell ref="H8:H10"/>
    <mergeCell ref="J8:J10"/>
    <mergeCell ref="K8:K10"/>
    <mergeCell ref="L8:L10"/>
    <mergeCell ref="M8:M10"/>
    <mergeCell ref="N8:N10"/>
    <mergeCell ref="O8:O10"/>
  </mergeCells>
  <pageMargins left="0.70866141732283472" right="0.70866141732283472" top="0.78740157480314965" bottom="0" header="0" footer="0"/>
  <pageSetup paperSize="9" scale="7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Z997"/>
  <sheetViews>
    <sheetView topLeftCell="A10" workbookViewId="0">
      <selection activeCell="D21" sqref="D21"/>
    </sheetView>
  </sheetViews>
  <sheetFormatPr defaultColWidth="14.42578125" defaultRowHeight="15" customHeight="1"/>
  <cols>
    <col min="1" max="1" width="4.140625" style="45" customWidth="1"/>
    <col min="2" max="2" width="6.5703125" style="45" customWidth="1"/>
    <col min="3" max="3" width="40.42578125" style="45" customWidth="1"/>
    <col min="4" max="14" width="6.7109375" style="45" customWidth="1"/>
    <col min="15" max="15" width="12.7109375" style="45" customWidth="1"/>
    <col min="16" max="17" width="6.7109375" style="45" customWidth="1"/>
    <col min="18" max="18" width="8.85546875" style="45" customWidth="1"/>
    <col min="19" max="19" width="11.28515625" style="45" customWidth="1"/>
    <col min="20" max="16384" width="14.42578125" style="45"/>
  </cols>
  <sheetData>
    <row r="1" spans="1:26" ht="15" customHeight="1">
      <c r="A1" s="85" t="s">
        <v>69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43"/>
      <c r="Q1" s="43"/>
      <c r="R1" s="43"/>
      <c r="S1" s="43"/>
      <c r="T1" s="44"/>
      <c r="U1" s="44"/>
      <c r="V1" s="44"/>
      <c r="W1" s="44"/>
      <c r="X1" s="44"/>
      <c r="Y1" s="44"/>
      <c r="Z1" s="44"/>
    </row>
    <row r="2" spans="1:26" ht="15" customHeight="1">
      <c r="A2" s="85" t="s">
        <v>70</v>
      </c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86"/>
      <c r="P2" s="43"/>
      <c r="Q2" s="43"/>
      <c r="R2" s="43"/>
      <c r="S2" s="43"/>
      <c r="T2" s="44"/>
      <c r="U2" s="44"/>
      <c r="V2" s="44"/>
      <c r="W2" s="44"/>
      <c r="X2" s="44"/>
      <c r="Y2" s="44"/>
      <c r="Z2" s="44"/>
    </row>
    <row r="3" spans="1:26" ht="15" customHeight="1">
      <c r="A3" s="109" t="s">
        <v>39</v>
      </c>
      <c r="B3" s="108"/>
      <c r="C3" s="108"/>
      <c r="D3" s="108"/>
      <c r="E3" s="108"/>
      <c r="F3" s="108"/>
      <c r="G3" s="108"/>
      <c r="H3" s="108"/>
      <c r="I3" s="108"/>
      <c r="J3" s="108"/>
      <c r="K3" s="108"/>
      <c r="L3" s="108"/>
      <c r="M3" s="108"/>
      <c r="N3" s="108"/>
      <c r="O3" s="108"/>
      <c r="P3" s="43"/>
      <c r="Q3" s="43"/>
      <c r="R3" s="43"/>
      <c r="S3" s="43"/>
      <c r="T3" s="44"/>
      <c r="U3" s="44"/>
      <c r="V3" s="44"/>
      <c r="W3" s="44"/>
      <c r="X3" s="44"/>
      <c r="Y3" s="44"/>
      <c r="Z3" s="44"/>
    </row>
    <row r="4" spans="1:26" ht="15" customHeight="1">
      <c r="A4" s="107" t="s">
        <v>1</v>
      </c>
      <c r="B4" s="108"/>
      <c r="C4" s="108"/>
      <c r="D4" s="108"/>
      <c r="E4" s="108"/>
      <c r="F4" s="108"/>
      <c r="G4" s="108"/>
      <c r="H4" s="108"/>
      <c r="I4" s="108"/>
      <c r="J4" s="108"/>
      <c r="K4" s="108"/>
      <c r="L4" s="108"/>
      <c r="M4" s="108"/>
      <c r="N4" s="108"/>
      <c r="O4" s="108"/>
      <c r="P4" s="43"/>
      <c r="Q4" s="43"/>
      <c r="R4" s="43"/>
      <c r="S4" s="43"/>
      <c r="T4" s="44"/>
      <c r="U4" s="44"/>
      <c r="V4" s="44"/>
      <c r="W4" s="44"/>
      <c r="X4" s="44"/>
      <c r="Y4" s="44"/>
      <c r="Z4" s="44"/>
    </row>
    <row r="5" spans="1:26" ht="15" customHeight="1">
      <c r="A5" s="107" t="s">
        <v>2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43"/>
      <c r="Q5" s="43"/>
      <c r="R5" s="43"/>
      <c r="S5" s="43"/>
      <c r="T5" s="44"/>
      <c r="U5" s="44"/>
      <c r="V5" s="44"/>
      <c r="W5" s="44"/>
      <c r="X5" s="44"/>
      <c r="Y5" s="44"/>
      <c r="Z5" s="44"/>
    </row>
    <row r="6" spans="1:26" ht="15" customHeight="1">
      <c r="A6" s="120" t="s">
        <v>3</v>
      </c>
      <c r="B6" s="121"/>
      <c r="C6" s="121"/>
      <c r="D6" s="121"/>
      <c r="E6" s="121"/>
      <c r="F6" s="121"/>
      <c r="G6" s="121"/>
      <c r="H6" s="121"/>
      <c r="I6" s="121"/>
      <c r="J6" s="121"/>
      <c r="K6" s="121"/>
      <c r="L6" s="121"/>
      <c r="M6" s="121"/>
      <c r="N6" s="121"/>
      <c r="O6" s="121"/>
      <c r="P6" s="43"/>
      <c r="Q6" s="43"/>
      <c r="R6" s="43"/>
      <c r="S6" s="43"/>
      <c r="T6" s="44"/>
      <c r="U6" s="44"/>
      <c r="V6" s="44"/>
      <c r="W6" s="44"/>
      <c r="X6" s="44"/>
      <c r="Y6" s="44"/>
      <c r="Z6" s="44"/>
    </row>
    <row r="7" spans="1:26" ht="15" customHeight="1">
      <c r="A7" s="110" t="s">
        <v>4</v>
      </c>
      <c r="B7" s="111" t="s">
        <v>5</v>
      </c>
      <c r="C7" s="111" t="s">
        <v>6</v>
      </c>
      <c r="D7" s="122" t="s">
        <v>7</v>
      </c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4"/>
      <c r="T7" s="44"/>
      <c r="U7" s="44"/>
      <c r="V7" s="44"/>
      <c r="W7" s="44"/>
      <c r="X7" s="44"/>
      <c r="Y7" s="44"/>
      <c r="Z7" s="44"/>
    </row>
    <row r="8" spans="1:26" ht="15" customHeight="1">
      <c r="A8" s="104"/>
      <c r="B8" s="104"/>
      <c r="C8" s="104"/>
      <c r="D8" s="103" t="s">
        <v>8</v>
      </c>
      <c r="E8" s="103" t="s">
        <v>9</v>
      </c>
      <c r="F8" s="103" t="s">
        <v>10</v>
      </c>
      <c r="G8" s="103" t="s">
        <v>11</v>
      </c>
      <c r="H8" s="103" t="s">
        <v>12</v>
      </c>
      <c r="I8" s="103" t="s">
        <v>13</v>
      </c>
      <c r="J8" s="103" t="s">
        <v>14</v>
      </c>
      <c r="K8" s="103" t="s">
        <v>15</v>
      </c>
      <c r="L8" s="103" t="s">
        <v>16</v>
      </c>
      <c r="M8" s="103" t="s">
        <v>17</v>
      </c>
      <c r="N8" s="103" t="s">
        <v>18</v>
      </c>
      <c r="O8" s="103" t="s">
        <v>19</v>
      </c>
      <c r="P8" s="103" t="s">
        <v>20</v>
      </c>
      <c r="Q8" s="103" t="s">
        <v>21</v>
      </c>
      <c r="R8" s="115" t="s">
        <v>41</v>
      </c>
      <c r="S8" s="118" t="s">
        <v>42</v>
      </c>
      <c r="T8" s="44"/>
      <c r="U8" s="44"/>
      <c r="V8" s="44"/>
      <c r="W8" s="44"/>
      <c r="X8" s="44"/>
      <c r="Y8" s="44"/>
      <c r="Z8" s="44"/>
    </row>
    <row r="9" spans="1:26" ht="15" customHeight="1">
      <c r="A9" s="104"/>
      <c r="B9" s="104"/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  <c r="P9" s="104"/>
      <c r="Q9" s="104"/>
      <c r="R9" s="116"/>
      <c r="S9" s="119"/>
      <c r="T9" s="44"/>
      <c r="U9" s="44"/>
      <c r="V9" s="44"/>
      <c r="W9" s="44"/>
      <c r="X9" s="44"/>
      <c r="Y9" s="44"/>
      <c r="Z9" s="44"/>
    </row>
    <row r="10" spans="1:26" ht="91.5" customHeight="1">
      <c r="A10" s="105"/>
      <c r="B10" s="105"/>
      <c r="C10" s="104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17"/>
      <c r="S10" s="119"/>
      <c r="T10" s="44"/>
      <c r="U10" s="44"/>
      <c r="V10" s="44"/>
      <c r="W10" s="44"/>
      <c r="X10" s="44"/>
      <c r="Y10" s="44"/>
      <c r="Z10" s="44"/>
    </row>
    <row r="11" spans="1:26" s="73" customFormat="1" ht="15.75">
      <c r="A11" s="70" t="s">
        <v>24</v>
      </c>
      <c r="B11" s="70">
        <v>1</v>
      </c>
      <c r="C11" s="71" t="s">
        <v>65</v>
      </c>
      <c r="D11" s="70">
        <v>10</v>
      </c>
      <c r="E11" s="70">
        <v>10</v>
      </c>
      <c r="F11" s="70">
        <v>9</v>
      </c>
      <c r="G11" s="70">
        <v>10</v>
      </c>
      <c r="H11" s="70">
        <v>9</v>
      </c>
      <c r="I11" s="70">
        <v>10</v>
      </c>
      <c r="J11" s="70">
        <v>10</v>
      </c>
      <c r="K11" s="70">
        <v>10</v>
      </c>
      <c r="L11" s="70">
        <v>10</v>
      </c>
      <c r="M11" s="70">
        <v>10</v>
      </c>
      <c r="N11" s="70">
        <v>9</v>
      </c>
      <c r="O11" s="70">
        <v>9</v>
      </c>
      <c r="P11" s="70">
        <v>8</v>
      </c>
      <c r="Q11" s="70">
        <v>10</v>
      </c>
      <c r="R11" s="72">
        <f>AVERAGE(D11:Q11)</f>
        <v>9.5714285714285712</v>
      </c>
      <c r="S11" s="72">
        <f t="shared" ref="S11:S20" si="0">R11*90/12</f>
        <v>71.785714285714292</v>
      </c>
    </row>
    <row r="12" spans="1:26" s="73" customFormat="1" ht="15.75">
      <c r="A12" s="70" t="s">
        <v>24</v>
      </c>
      <c r="B12" s="70">
        <v>2</v>
      </c>
      <c r="C12" s="71" t="s">
        <v>64</v>
      </c>
      <c r="D12" s="70">
        <v>9</v>
      </c>
      <c r="E12" s="70">
        <v>10</v>
      </c>
      <c r="F12" s="70">
        <v>7</v>
      </c>
      <c r="G12" s="70">
        <v>9</v>
      </c>
      <c r="H12" s="70">
        <v>9</v>
      </c>
      <c r="I12" s="70">
        <v>10</v>
      </c>
      <c r="J12" s="70">
        <v>8</v>
      </c>
      <c r="K12" s="70">
        <v>10</v>
      </c>
      <c r="L12" s="70">
        <v>9</v>
      </c>
      <c r="M12" s="70">
        <v>8</v>
      </c>
      <c r="N12" s="70">
        <v>9</v>
      </c>
      <c r="O12" s="70">
        <v>9</v>
      </c>
      <c r="P12" s="70">
        <v>8</v>
      </c>
      <c r="Q12" s="70">
        <v>10</v>
      </c>
      <c r="R12" s="72">
        <f t="shared" ref="R12:R19" si="1">AVERAGE(D12:Q12)</f>
        <v>8.9285714285714288</v>
      </c>
      <c r="S12" s="72">
        <f t="shared" si="0"/>
        <v>66.964285714285708</v>
      </c>
    </row>
    <row r="13" spans="1:26" s="73" customFormat="1" ht="15.75">
      <c r="A13" s="70" t="s">
        <v>24</v>
      </c>
      <c r="B13" s="70">
        <v>3</v>
      </c>
      <c r="C13" s="71" t="s">
        <v>56</v>
      </c>
      <c r="D13" s="70">
        <v>9</v>
      </c>
      <c r="E13" s="70">
        <v>10</v>
      </c>
      <c r="F13" s="70">
        <v>8</v>
      </c>
      <c r="G13" s="70">
        <v>8</v>
      </c>
      <c r="H13" s="70">
        <v>8</v>
      </c>
      <c r="I13" s="70">
        <v>10</v>
      </c>
      <c r="J13" s="70">
        <v>7</v>
      </c>
      <c r="K13" s="70">
        <v>10</v>
      </c>
      <c r="L13" s="70">
        <v>8</v>
      </c>
      <c r="M13" s="70">
        <v>10</v>
      </c>
      <c r="N13" s="70">
        <v>10</v>
      </c>
      <c r="O13" s="70">
        <v>9</v>
      </c>
      <c r="P13" s="70">
        <v>8</v>
      </c>
      <c r="Q13" s="70">
        <v>9</v>
      </c>
      <c r="R13" s="72">
        <f t="shared" si="1"/>
        <v>8.8571428571428577</v>
      </c>
      <c r="S13" s="72">
        <f t="shared" si="0"/>
        <v>66.428571428571431</v>
      </c>
    </row>
    <row r="14" spans="1:26" s="73" customFormat="1" ht="15.75">
      <c r="A14" s="70" t="s">
        <v>24</v>
      </c>
      <c r="B14" s="70">
        <v>4</v>
      </c>
      <c r="C14" s="71" t="s">
        <v>55</v>
      </c>
      <c r="D14" s="70">
        <v>9</v>
      </c>
      <c r="E14" s="70">
        <v>8</v>
      </c>
      <c r="F14" s="70">
        <v>8</v>
      </c>
      <c r="G14" s="70">
        <v>9</v>
      </c>
      <c r="H14" s="70">
        <v>9</v>
      </c>
      <c r="I14" s="70">
        <v>9</v>
      </c>
      <c r="J14" s="70">
        <v>8</v>
      </c>
      <c r="K14" s="70">
        <v>10</v>
      </c>
      <c r="L14" s="70">
        <v>9</v>
      </c>
      <c r="M14" s="70">
        <v>6</v>
      </c>
      <c r="N14" s="70">
        <v>10</v>
      </c>
      <c r="O14" s="70">
        <v>9</v>
      </c>
      <c r="P14" s="70">
        <v>8</v>
      </c>
      <c r="Q14" s="70">
        <v>9</v>
      </c>
      <c r="R14" s="72">
        <f t="shared" si="1"/>
        <v>8.6428571428571423</v>
      </c>
      <c r="S14" s="72">
        <f t="shared" si="0"/>
        <v>64.821428571428569</v>
      </c>
    </row>
    <row r="15" spans="1:26" s="73" customFormat="1" ht="15.75">
      <c r="A15" s="74" t="s">
        <v>24</v>
      </c>
      <c r="B15" s="74">
        <v>5</v>
      </c>
      <c r="C15" s="75" t="s">
        <v>62</v>
      </c>
      <c r="D15" s="74">
        <v>8</v>
      </c>
      <c r="E15" s="74">
        <v>9</v>
      </c>
      <c r="F15" s="74">
        <v>6</v>
      </c>
      <c r="G15" s="74">
        <v>7</v>
      </c>
      <c r="H15" s="74">
        <v>9</v>
      </c>
      <c r="I15" s="74">
        <v>10</v>
      </c>
      <c r="J15" s="74">
        <v>8</v>
      </c>
      <c r="K15" s="74">
        <v>10</v>
      </c>
      <c r="L15" s="74">
        <v>9</v>
      </c>
      <c r="M15" s="74">
        <v>10</v>
      </c>
      <c r="N15" s="74">
        <v>9</v>
      </c>
      <c r="O15" s="74">
        <v>8</v>
      </c>
      <c r="P15" s="74">
        <v>7</v>
      </c>
      <c r="Q15" s="74">
        <v>10</v>
      </c>
      <c r="R15" s="79">
        <f t="shared" si="1"/>
        <v>8.5714285714285712</v>
      </c>
      <c r="S15" s="76">
        <f t="shared" si="0"/>
        <v>64.285714285714292</v>
      </c>
    </row>
    <row r="16" spans="1:26" s="73" customFormat="1" ht="15.75">
      <c r="A16" s="74" t="s">
        <v>24</v>
      </c>
      <c r="B16" s="74">
        <v>6</v>
      </c>
      <c r="C16" s="75" t="s">
        <v>67</v>
      </c>
      <c r="D16" s="74">
        <v>8</v>
      </c>
      <c r="E16" s="74">
        <v>9</v>
      </c>
      <c r="F16" s="74">
        <v>7</v>
      </c>
      <c r="G16" s="74">
        <v>8</v>
      </c>
      <c r="H16" s="74">
        <v>9</v>
      </c>
      <c r="I16" s="74">
        <v>10</v>
      </c>
      <c r="J16" s="74">
        <v>7</v>
      </c>
      <c r="K16" s="74">
        <v>10</v>
      </c>
      <c r="L16" s="74">
        <v>8</v>
      </c>
      <c r="M16" s="74">
        <v>10</v>
      </c>
      <c r="N16" s="74">
        <v>9</v>
      </c>
      <c r="O16" s="74">
        <v>8</v>
      </c>
      <c r="P16" s="74">
        <v>8</v>
      </c>
      <c r="Q16" s="74">
        <v>9</v>
      </c>
      <c r="R16" s="79">
        <f t="shared" si="1"/>
        <v>8.5714285714285712</v>
      </c>
      <c r="S16" s="76">
        <f t="shared" si="0"/>
        <v>64.285714285714292</v>
      </c>
    </row>
    <row r="17" spans="1:19" s="73" customFormat="1" ht="15.75">
      <c r="A17" s="74" t="s">
        <v>24</v>
      </c>
      <c r="B17" s="74">
        <v>7</v>
      </c>
      <c r="C17" s="75" t="s">
        <v>58</v>
      </c>
      <c r="D17" s="74">
        <v>8</v>
      </c>
      <c r="E17" s="74">
        <v>9</v>
      </c>
      <c r="F17" s="74">
        <v>7</v>
      </c>
      <c r="G17" s="74">
        <v>7</v>
      </c>
      <c r="H17" s="74">
        <v>8</v>
      </c>
      <c r="I17" s="74">
        <v>10</v>
      </c>
      <c r="J17" s="74">
        <v>8</v>
      </c>
      <c r="K17" s="74">
        <v>10</v>
      </c>
      <c r="L17" s="74">
        <v>8</v>
      </c>
      <c r="M17" s="74">
        <v>10</v>
      </c>
      <c r="N17" s="74">
        <v>9</v>
      </c>
      <c r="O17" s="74">
        <v>8</v>
      </c>
      <c r="P17" s="74">
        <v>7</v>
      </c>
      <c r="Q17" s="74">
        <v>9</v>
      </c>
      <c r="R17" s="79">
        <f t="shared" si="1"/>
        <v>8.4285714285714288</v>
      </c>
      <c r="S17" s="76">
        <f t="shared" si="0"/>
        <v>63.214285714285715</v>
      </c>
    </row>
    <row r="18" spans="1:19" s="73" customFormat="1" ht="15.75">
      <c r="A18" s="74" t="s">
        <v>24</v>
      </c>
      <c r="B18" s="74">
        <v>8</v>
      </c>
      <c r="C18" s="75" t="s">
        <v>66</v>
      </c>
      <c r="D18" s="74">
        <v>7</v>
      </c>
      <c r="E18" s="74">
        <v>10</v>
      </c>
      <c r="F18" s="74">
        <v>4</v>
      </c>
      <c r="G18" s="74">
        <v>6</v>
      </c>
      <c r="H18" s="74">
        <v>6</v>
      </c>
      <c r="I18" s="74">
        <v>10</v>
      </c>
      <c r="J18" s="74">
        <v>8</v>
      </c>
      <c r="K18" s="74">
        <v>10</v>
      </c>
      <c r="L18" s="74">
        <v>10</v>
      </c>
      <c r="M18" s="74">
        <v>10</v>
      </c>
      <c r="N18" s="74">
        <v>5</v>
      </c>
      <c r="O18" s="74">
        <v>10</v>
      </c>
      <c r="P18" s="74">
        <v>7</v>
      </c>
      <c r="Q18" s="74">
        <v>10</v>
      </c>
      <c r="R18" s="79">
        <f t="shared" si="1"/>
        <v>8.0714285714285712</v>
      </c>
      <c r="S18" s="76">
        <f t="shared" si="0"/>
        <v>60.535714285714285</v>
      </c>
    </row>
    <row r="19" spans="1:19" s="73" customFormat="1" ht="15.75">
      <c r="A19" s="74" t="s">
        <v>24</v>
      </c>
      <c r="B19" s="74">
        <v>9</v>
      </c>
      <c r="C19" s="75" t="s">
        <v>63</v>
      </c>
      <c r="D19" s="74">
        <v>7</v>
      </c>
      <c r="E19" s="74">
        <v>9</v>
      </c>
      <c r="F19" s="74">
        <v>4</v>
      </c>
      <c r="G19" s="74">
        <v>5</v>
      </c>
      <c r="H19" s="74">
        <v>7</v>
      </c>
      <c r="I19" s="74">
        <v>9</v>
      </c>
      <c r="J19" s="74">
        <v>7</v>
      </c>
      <c r="K19" s="74">
        <v>8</v>
      </c>
      <c r="L19" s="74">
        <v>9</v>
      </c>
      <c r="M19" s="74">
        <v>7</v>
      </c>
      <c r="N19" s="74">
        <v>7</v>
      </c>
      <c r="O19" s="74">
        <v>9</v>
      </c>
      <c r="P19" s="74">
        <v>7</v>
      </c>
      <c r="Q19" s="74">
        <v>9</v>
      </c>
      <c r="R19" s="79">
        <f t="shared" si="1"/>
        <v>7.4285714285714288</v>
      </c>
      <c r="S19" s="76">
        <f t="shared" si="0"/>
        <v>55.714285714285715</v>
      </c>
    </row>
    <row r="20" spans="1:19" s="73" customFormat="1" ht="15.75">
      <c r="A20" s="74" t="s">
        <v>24</v>
      </c>
      <c r="B20" s="74">
        <v>10</v>
      </c>
      <c r="C20" s="75" t="s">
        <v>68</v>
      </c>
      <c r="D20" s="74">
        <v>7</v>
      </c>
      <c r="E20" s="74">
        <v>9</v>
      </c>
      <c r="F20" s="74">
        <v>4</v>
      </c>
      <c r="G20" s="74">
        <v>7</v>
      </c>
      <c r="H20" s="74">
        <v>7</v>
      </c>
      <c r="I20" s="74">
        <v>8</v>
      </c>
      <c r="J20" s="74">
        <v>6</v>
      </c>
      <c r="K20" s="74">
        <v>10</v>
      </c>
      <c r="L20" s="74">
        <v>6</v>
      </c>
      <c r="M20" s="74">
        <v>10</v>
      </c>
      <c r="N20" s="74">
        <v>7</v>
      </c>
      <c r="O20" s="74">
        <v>7</v>
      </c>
      <c r="P20" s="74">
        <v>6</v>
      </c>
      <c r="Q20" s="74">
        <v>9</v>
      </c>
      <c r="R20" s="79">
        <f>AVERAGE(D20:Q20)</f>
        <v>7.3571428571428568</v>
      </c>
      <c r="S20" s="76">
        <f t="shared" si="0"/>
        <v>55.178571428571423</v>
      </c>
    </row>
    <row r="21" spans="1:19" s="73" customFormat="1" ht="15.75">
      <c r="C21" s="75" t="s">
        <v>32</v>
      </c>
      <c r="D21" s="74">
        <f>'Зведена відомість 101'!D31</f>
        <v>10</v>
      </c>
    </row>
    <row r="22" spans="1:19" s="73" customFormat="1" ht="15.75">
      <c r="C22" s="75" t="s">
        <v>31</v>
      </c>
      <c r="D22" s="74">
        <f>'Зведена відомість 101'!D32</f>
        <v>5</v>
      </c>
    </row>
    <row r="23" spans="1:19" s="73" customFormat="1" ht="15.75">
      <c r="C23" s="75" t="s">
        <v>33</v>
      </c>
      <c r="D23" s="74">
        <f>'Зведена відомість 101'!D33</f>
        <v>1</v>
      </c>
      <c r="G23" s="73" t="s">
        <v>35</v>
      </c>
      <c r="N23" s="73" t="s">
        <v>36</v>
      </c>
    </row>
    <row r="24" spans="1:19" s="73" customFormat="1" ht="15.75">
      <c r="C24" s="75" t="s">
        <v>34</v>
      </c>
      <c r="D24" s="74">
        <f>'Зведена відомість 101'!D34</f>
        <v>4</v>
      </c>
    </row>
    <row r="25" spans="1:19" s="73" customFormat="1">
      <c r="G25" s="73" t="s">
        <v>37</v>
      </c>
      <c r="N25" s="73" t="s">
        <v>38</v>
      </c>
    </row>
    <row r="26" spans="1:19" s="73" customFormat="1"/>
    <row r="27" spans="1:19" s="73" customFormat="1"/>
    <row r="28" spans="1:19" s="73" customFormat="1"/>
    <row r="29" spans="1:19" s="73" customFormat="1"/>
    <row r="30" spans="1:19" s="73" customFormat="1"/>
    <row r="31" spans="1:19" s="73" customFormat="1"/>
    <row r="32" spans="1:19" s="73" customFormat="1"/>
    <row r="33" s="73" customFormat="1"/>
    <row r="34" s="73" customFormat="1"/>
    <row r="35" s="73" customFormat="1"/>
    <row r="36" s="73" customFormat="1"/>
    <row r="37" s="73" customFormat="1"/>
    <row r="38" s="73" customFormat="1"/>
    <row r="39" s="73" customFormat="1"/>
    <row r="40" s="73" customFormat="1"/>
    <row r="41" s="73" customFormat="1"/>
    <row r="42" s="73" customFormat="1"/>
    <row r="43" s="73" customFormat="1"/>
    <row r="44" s="73" customFormat="1"/>
    <row r="45" s="73" customFormat="1"/>
    <row r="46" s="73" customFormat="1"/>
    <row r="47" s="73" customFormat="1"/>
    <row r="48" s="73" customFormat="1"/>
    <row r="49" s="73" customFormat="1"/>
    <row r="50" s="73" customFormat="1"/>
    <row r="76" spans="1:26" ht="15.75" customHeight="1">
      <c r="A76" s="44"/>
      <c r="C76" s="44"/>
      <c r="D76" s="44"/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T76" s="44"/>
      <c r="U76" s="44"/>
      <c r="V76" s="44"/>
      <c r="W76" s="44"/>
      <c r="X76" s="44"/>
      <c r="Y76" s="44"/>
      <c r="Z76" s="44"/>
    </row>
    <row r="77" spans="1:26" ht="15.75" customHeight="1">
      <c r="A77" s="44"/>
      <c r="C77" s="44"/>
      <c r="D77" s="44"/>
      <c r="E77" s="44"/>
      <c r="F77" s="44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T77" s="44"/>
      <c r="U77" s="44"/>
      <c r="V77" s="44"/>
      <c r="W77" s="44"/>
      <c r="X77" s="44"/>
      <c r="Y77" s="44"/>
      <c r="Z77" s="44"/>
    </row>
    <row r="78" spans="1:26" ht="15.75" customHeight="1">
      <c r="A78" s="44"/>
      <c r="C78" s="44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T78" s="44"/>
      <c r="U78" s="44"/>
      <c r="V78" s="44"/>
      <c r="W78" s="44"/>
      <c r="X78" s="44"/>
      <c r="Y78" s="44"/>
      <c r="Z78" s="44"/>
    </row>
    <row r="79" spans="1:26" ht="15.75" customHeight="1">
      <c r="A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T79" s="44"/>
      <c r="U79" s="44"/>
      <c r="V79" s="44"/>
      <c r="W79" s="44"/>
      <c r="X79" s="44"/>
      <c r="Y79" s="44"/>
      <c r="Z79" s="44"/>
    </row>
    <row r="80" spans="1:26" ht="15.75" customHeight="1">
      <c r="A80" s="77">
        <f>COUNTIF(A11:A40,"=Б")</f>
        <v>10</v>
      </c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T80" s="44"/>
      <c r="U80" s="44"/>
      <c r="V80" s="44"/>
      <c r="W80" s="44"/>
      <c r="X80" s="44"/>
      <c r="Y80" s="44"/>
      <c r="Z80" s="44"/>
    </row>
    <row r="81" spans="1:26" ht="15.75" customHeight="1">
      <c r="A81" s="77">
        <f>COUNTIF(A11:A40,"=Б")</f>
        <v>10</v>
      </c>
      <c r="C81" s="44"/>
      <c r="D81" s="44"/>
      <c r="E81" s="44"/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T81" s="44"/>
      <c r="U81" s="44"/>
      <c r="V81" s="44"/>
      <c r="W81" s="44"/>
      <c r="X81" s="44"/>
      <c r="Y81" s="44"/>
      <c r="Z81" s="44"/>
    </row>
    <row r="82" spans="1:26" ht="15.75" customHeight="1">
      <c r="A82" s="77">
        <f>COUNTIF(A11:A40,"=Б")</f>
        <v>10</v>
      </c>
      <c r="C82" s="44"/>
      <c r="D82" s="44"/>
      <c r="E82" s="44"/>
      <c r="F82" s="44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T82" s="44"/>
      <c r="U82" s="44"/>
      <c r="V82" s="44"/>
      <c r="W82" s="44"/>
      <c r="X82" s="44"/>
      <c r="Y82" s="44"/>
      <c r="Z82" s="44"/>
    </row>
    <row r="83" spans="1:26" ht="15.75" customHeight="1">
      <c r="A83" s="77">
        <f>COUNTIF(A11:A40,"=Б")</f>
        <v>10</v>
      </c>
      <c r="C83" s="44"/>
      <c r="D83" s="44"/>
      <c r="E83" s="44"/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T83" s="44"/>
      <c r="U83" s="44"/>
      <c r="V83" s="44"/>
      <c r="W83" s="44"/>
      <c r="X83" s="44"/>
      <c r="Y83" s="44"/>
      <c r="Z83" s="44"/>
    </row>
    <row r="84" spans="1:26" ht="15.75" customHeight="1">
      <c r="A84" s="77">
        <f>COUNTIF(A11:A40,"=Б")</f>
        <v>10</v>
      </c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T84" s="44"/>
      <c r="U84" s="44"/>
      <c r="V84" s="44"/>
      <c r="W84" s="44"/>
      <c r="X84" s="44"/>
      <c r="Y84" s="44"/>
      <c r="Z84" s="44"/>
    </row>
    <row r="85" spans="1:26" ht="15.75" customHeight="1">
      <c r="A85" s="77">
        <f>COUNTIF(A11:A40,"=Б")</f>
        <v>10</v>
      </c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T85" s="44"/>
      <c r="U85" s="44"/>
      <c r="V85" s="44"/>
      <c r="W85" s="44"/>
      <c r="X85" s="44"/>
      <c r="Y85" s="44"/>
      <c r="Z85" s="44"/>
    </row>
    <row r="86" spans="1:26" ht="15.75" customHeight="1">
      <c r="A86" s="77">
        <f>COUNTIF(A11:A40,"=Б")</f>
        <v>10</v>
      </c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T86" s="44"/>
      <c r="U86" s="44"/>
      <c r="V86" s="44"/>
      <c r="W86" s="44"/>
      <c r="X86" s="44"/>
      <c r="Y86" s="44"/>
      <c r="Z86" s="44"/>
    </row>
    <row r="87" spans="1:26" ht="15.75" customHeight="1">
      <c r="A87" s="77">
        <f>COUNTIF(A11:A40,"=Б")</f>
        <v>10</v>
      </c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T87" s="44"/>
      <c r="U87" s="44"/>
      <c r="V87" s="44"/>
      <c r="W87" s="44"/>
      <c r="X87" s="44"/>
      <c r="Y87" s="44"/>
      <c r="Z87" s="44"/>
    </row>
    <row r="88" spans="1:26" ht="15.75" customHeight="1">
      <c r="A88" s="77">
        <f>COUNTIF(A11:A40,"=Б")</f>
        <v>10</v>
      </c>
      <c r="C88" s="44"/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T88" s="44"/>
      <c r="U88" s="44"/>
      <c r="V88" s="44"/>
      <c r="W88" s="44"/>
      <c r="X88" s="44"/>
      <c r="Y88" s="44"/>
      <c r="Z88" s="44"/>
    </row>
    <row r="89" spans="1:26" ht="15.75" customHeight="1">
      <c r="A89" s="77">
        <f>COUNTIF(A11:A40,"=Б")</f>
        <v>10</v>
      </c>
      <c r="C89" s="44"/>
      <c r="D89" s="44"/>
      <c r="E89" s="44"/>
      <c r="F89" s="44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T89" s="44"/>
      <c r="U89" s="44"/>
      <c r="V89" s="44"/>
      <c r="W89" s="44"/>
      <c r="X89" s="44"/>
      <c r="Y89" s="44"/>
      <c r="Z89" s="44"/>
    </row>
    <row r="90" spans="1:26" ht="15.75" customHeight="1">
      <c r="A90" s="77">
        <f>COUNTIF(A11:A40,"=Б")</f>
        <v>10</v>
      </c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T90" s="44"/>
      <c r="U90" s="44"/>
      <c r="V90" s="44"/>
      <c r="W90" s="44"/>
      <c r="X90" s="44"/>
      <c r="Y90" s="44"/>
      <c r="Z90" s="44"/>
    </row>
    <row r="91" spans="1:26" ht="15.75" customHeight="1">
      <c r="A91" s="77">
        <f>COUNTIF(A11:A40,"=Б")</f>
        <v>10</v>
      </c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T91" s="44"/>
      <c r="U91" s="44"/>
      <c r="V91" s="44"/>
      <c r="W91" s="44"/>
      <c r="X91" s="44"/>
      <c r="Y91" s="44"/>
      <c r="Z91" s="44"/>
    </row>
    <row r="92" spans="1:26" ht="15.75" customHeight="1">
      <c r="A92" s="77">
        <f>COUNTIF(A11:A40,"=Б")</f>
        <v>10</v>
      </c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T92" s="44"/>
      <c r="U92" s="44"/>
      <c r="V92" s="44"/>
      <c r="W92" s="44"/>
      <c r="X92" s="44"/>
      <c r="Y92" s="44"/>
      <c r="Z92" s="44"/>
    </row>
    <row r="93" spans="1:26" ht="15.75" customHeight="1">
      <c r="A93" s="77">
        <f>COUNTIF(A11:A40,"=Б")</f>
        <v>10</v>
      </c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T93" s="44"/>
      <c r="U93" s="44"/>
      <c r="V93" s="44"/>
      <c r="W93" s="44"/>
      <c r="X93" s="44"/>
      <c r="Y93" s="44"/>
      <c r="Z93" s="44"/>
    </row>
    <row r="94" spans="1:26" ht="15.75" customHeight="1">
      <c r="A94" s="77">
        <f>COUNTIF(A11:A40,"=Б")</f>
        <v>10</v>
      </c>
      <c r="C94" s="44"/>
      <c r="D94" s="44"/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T94" s="44"/>
      <c r="U94" s="44"/>
      <c r="V94" s="44"/>
      <c r="W94" s="44"/>
      <c r="X94" s="44"/>
      <c r="Y94" s="44"/>
      <c r="Z94" s="44"/>
    </row>
    <row r="95" spans="1:26" ht="15.75" customHeight="1">
      <c r="A95" s="77">
        <f>COUNTIF(A11:A40,"=Б")</f>
        <v>10</v>
      </c>
      <c r="C95" s="44"/>
      <c r="D95" s="44"/>
      <c r="E95" s="44"/>
      <c r="F95" s="44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T95" s="44"/>
      <c r="U95" s="44"/>
      <c r="V95" s="44"/>
      <c r="W95" s="44"/>
      <c r="X95" s="44"/>
      <c r="Y95" s="44"/>
      <c r="Z95" s="44"/>
    </row>
    <row r="96" spans="1:26" ht="15.75" customHeight="1">
      <c r="A96" s="77">
        <f>COUNTIF(A11:A40,"=Б")</f>
        <v>10</v>
      </c>
      <c r="C96" s="44"/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T96" s="44"/>
      <c r="U96" s="44"/>
      <c r="V96" s="44"/>
      <c r="W96" s="44"/>
      <c r="X96" s="44"/>
      <c r="Y96" s="44"/>
      <c r="Z96" s="44"/>
    </row>
    <row r="97" spans="1:26" ht="15.75" customHeight="1">
      <c r="A97" s="77">
        <f>COUNTIF(A11:A40,"=Б")</f>
        <v>10</v>
      </c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T97" s="44"/>
      <c r="U97" s="44"/>
      <c r="V97" s="44"/>
      <c r="W97" s="44"/>
      <c r="X97" s="44"/>
      <c r="Y97" s="44"/>
      <c r="Z97" s="44"/>
    </row>
    <row r="98" spans="1:26" ht="15.75" customHeight="1">
      <c r="A98" s="77">
        <f>COUNTIF(A11:A40,"=Б")</f>
        <v>10</v>
      </c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T98" s="44"/>
      <c r="U98" s="44"/>
      <c r="V98" s="44"/>
      <c r="W98" s="44"/>
      <c r="X98" s="44"/>
      <c r="Y98" s="44"/>
      <c r="Z98" s="44"/>
    </row>
    <row r="99" spans="1:26" ht="15.75" customHeight="1">
      <c r="A99" s="77">
        <f>COUNTIF(A11:A40,"=Б")</f>
        <v>10</v>
      </c>
      <c r="C99" s="44"/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T99" s="44"/>
      <c r="U99" s="44"/>
      <c r="V99" s="44"/>
      <c r="W99" s="44"/>
      <c r="X99" s="44"/>
      <c r="Y99" s="44"/>
      <c r="Z99" s="44"/>
    </row>
    <row r="100" spans="1:26" ht="15.75" customHeight="1">
      <c r="A100" s="77">
        <f>COUNTIF(A11:A40,"=Б")</f>
        <v>10</v>
      </c>
      <c r="C100" s="44"/>
      <c r="D100" s="44"/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T100" s="44"/>
      <c r="U100" s="44"/>
      <c r="V100" s="44"/>
      <c r="W100" s="44"/>
      <c r="X100" s="44"/>
      <c r="Y100" s="44"/>
      <c r="Z100" s="44"/>
    </row>
    <row r="101" spans="1:26" ht="15.75" customHeight="1">
      <c r="A101" s="77">
        <f>COUNTIF(A11:A40,"=Б")</f>
        <v>10</v>
      </c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T101" s="44"/>
      <c r="U101" s="44"/>
      <c r="V101" s="44"/>
      <c r="W101" s="44"/>
      <c r="X101" s="44"/>
      <c r="Y101" s="44"/>
      <c r="Z101" s="44"/>
    </row>
    <row r="102" spans="1:26" ht="15.75" customHeight="1">
      <c r="A102" s="77">
        <f>COUNTIF(A11:A40,"=Б")</f>
        <v>10</v>
      </c>
      <c r="C102" s="44"/>
      <c r="D102" s="44"/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T102" s="44"/>
      <c r="U102" s="44"/>
      <c r="V102" s="44"/>
      <c r="W102" s="44"/>
      <c r="X102" s="44"/>
      <c r="Y102" s="44"/>
      <c r="Z102" s="44"/>
    </row>
    <row r="103" spans="1:26" ht="15.75" customHeight="1">
      <c r="A103" s="77">
        <f>COUNTIF(A11:A40,"=Б")</f>
        <v>10</v>
      </c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T103" s="44"/>
      <c r="U103" s="44"/>
      <c r="V103" s="44"/>
      <c r="W103" s="44"/>
      <c r="X103" s="44"/>
      <c r="Y103" s="44"/>
      <c r="Z103" s="44"/>
    </row>
    <row r="104" spans="1:26" ht="15.75" customHeight="1">
      <c r="A104" s="77">
        <f>COUNTIF(A11:A40,"=Б")</f>
        <v>10</v>
      </c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T104" s="44"/>
      <c r="U104" s="44"/>
      <c r="V104" s="44"/>
      <c r="W104" s="44"/>
      <c r="X104" s="44"/>
      <c r="Y104" s="44"/>
      <c r="Z104" s="44"/>
    </row>
    <row r="105" spans="1:26" ht="15.75" customHeight="1">
      <c r="A105" s="77">
        <f>COUNTIF(A11:A40,"=Б")</f>
        <v>10</v>
      </c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T105" s="44"/>
      <c r="U105" s="44"/>
      <c r="V105" s="44"/>
      <c r="W105" s="44"/>
      <c r="X105" s="44"/>
      <c r="Y105" s="44"/>
      <c r="Z105" s="44"/>
    </row>
    <row r="106" spans="1:26" ht="15.75" customHeight="1">
      <c r="A106" s="77">
        <f>COUNTIF(A11:A40,"=Б")</f>
        <v>10</v>
      </c>
      <c r="C106" s="44"/>
      <c r="D106" s="44"/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T106" s="44"/>
      <c r="U106" s="44"/>
      <c r="V106" s="44"/>
      <c r="W106" s="44"/>
      <c r="X106" s="44"/>
      <c r="Y106" s="44"/>
      <c r="Z106" s="44"/>
    </row>
    <row r="107" spans="1:26" ht="15.75" customHeight="1">
      <c r="A107" s="77">
        <f>COUNTIF(A11:A40,"=Б")</f>
        <v>10</v>
      </c>
      <c r="C107" s="44"/>
      <c r="D107" s="44"/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T107" s="44"/>
      <c r="U107" s="44"/>
      <c r="V107" s="44"/>
      <c r="W107" s="44"/>
      <c r="X107" s="44"/>
      <c r="Y107" s="44"/>
      <c r="Z107" s="44"/>
    </row>
    <row r="108" spans="1:26" ht="15.75" customHeight="1">
      <c r="A108" s="77">
        <f>COUNTIF(A11:A40,"=Б")</f>
        <v>10</v>
      </c>
      <c r="C108" s="44"/>
      <c r="D108" s="44"/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T108" s="44"/>
      <c r="U108" s="44"/>
      <c r="V108" s="44"/>
      <c r="W108" s="44"/>
      <c r="X108" s="44"/>
      <c r="Y108" s="44"/>
      <c r="Z108" s="44"/>
    </row>
    <row r="109" spans="1:26" ht="15.75" customHeight="1">
      <c r="A109" s="77">
        <f>COUNTIF(A11:A40,"=Б")</f>
        <v>10</v>
      </c>
      <c r="C109" s="44"/>
      <c r="D109" s="44"/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T109" s="44"/>
      <c r="U109" s="44"/>
      <c r="V109" s="44"/>
      <c r="W109" s="44"/>
      <c r="X109" s="44"/>
      <c r="Y109" s="44"/>
      <c r="Z109" s="44"/>
    </row>
    <row r="110" spans="1:26" ht="15.75" customHeight="1">
      <c r="A110" s="77">
        <f>COUNTIF(A11:A40,"=Б")</f>
        <v>10</v>
      </c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T110" s="44"/>
      <c r="U110" s="44"/>
      <c r="V110" s="44"/>
      <c r="W110" s="44"/>
      <c r="X110" s="44"/>
      <c r="Y110" s="44"/>
      <c r="Z110" s="44"/>
    </row>
    <row r="111" spans="1:26" ht="15.75" customHeight="1">
      <c r="A111" s="77">
        <f>COUNTIF(A11:A40,"=Б")</f>
        <v>10</v>
      </c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T111" s="44"/>
      <c r="U111" s="44"/>
      <c r="V111" s="44"/>
      <c r="W111" s="44"/>
      <c r="X111" s="44"/>
      <c r="Y111" s="44"/>
      <c r="Z111" s="44"/>
    </row>
    <row r="112" spans="1:26" ht="15.75" customHeight="1">
      <c r="A112" s="77">
        <f>COUNTIF(A11:A40,"=Б")</f>
        <v>10</v>
      </c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T112" s="44"/>
      <c r="U112" s="44"/>
      <c r="V112" s="44"/>
      <c r="W112" s="44"/>
      <c r="X112" s="44"/>
      <c r="Y112" s="44"/>
      <c r="Z112" s="44"/>
    </row>
    <row r="113" spans="1:26" ht="15.75" customHeight="1">
      <c r="A113" s="77">
        <f>COUNTIF(A11:A40,"=Б")</f>
        <v>10</v>
      </c>
      <c r="C113" s="44"/>
      <c r="D113" s="44"/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T113" s="44"/>
      <c r="U113" s="44"/>
      <c r="V113" s="44"/>
      <c r="W113" s="44"/>
      <c r="X113" s="44"/>
      <c r="Y113" s="44"/>
      <c r="Z113" s="44"/>
    </row>
    <row r="114" spans="1:26" ht="15.75" customHeight="1">
      <c r="A114" s="77">
        <f>COUNTIF(A11:A40,"=Б")</f>
        <v>10</v>
      </c>
      <c r="C114" s="44"/>
      <c r="D114" s="44"/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T114" s="44"/>
      <c r="U114" s="44"/>
      <c r="V114" s="44"/>
      <c r="W114" s="44"/>
      <c r="X114" s="44"/>
      <c r="Y114" s="44"/>
      <c r="Z114" s="44"/>
    </row>
    <row r="115" spans="1:26" ht="15.75" customHeight="1">
      <c r="A115" s="77">
        <f>COUNTIF(A11:A40,"=Б")</f>
        <v>10</v>
      </c>
      <c r="C115" s="44"/>
      <c r="D115" s="44"/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T115" s="44"/>
      <c r="U115" s="44"/>
      <c r="V115" s="44"/>
      <c r="W115" s="44"/>
      <c r="X115" s="44"/>
      <c r="Y115" s="44"/>
      <c r="Z115" s="44"/>
    </row>
    <row r="116" spans="1:26" ht="15.75" customHeight="1">
      <c r="A116" s="77">
        <f>COUNTIF(A11:A40,"=Б")</f>
        <v>10</v>
      </c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T116" s="44"/>
      <c r="U116" s="44"/>
      <c r="V116" s="44"/>
      <c r="W116" s="44"/>
      <c r="X116" s="44"/>
      <c r="Y116" s="44"/>
      <c r="Z116" s="44"/>
    </row>
    <row r="117" spans="1:26" ht="15.75" customHeight="1">
      <c r="A117" s="77">
        <f>COUNTIF(A11:A40,"=Б")</f>
        <v>10</v>
      </c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T117" s="44"/>
      <c r="U117" s="44"/>
      <c r="V117" s="44"/>
      <c r="W117" s="44"/>
      <c r="X117" s="44"/>
      <c r="Y117" s="44"/>
      <c r="Z117" s="44"/>
    </row>
    <row r="118" spans="1:26" ht="15.75" customHeight="1">
      <c r="A118" s="77">
        <f>COUNTIF(A11:A40,"=Б")</f>
        <v>10</v>
      </c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T118" s="44"/>
      <c r="U118" s="44"/>
      <c r="V118" s="44"/>
      <c r="W118" s="44"/>
      <c r="X118" s="44"/>
      <c r="Y118" s="44"/>
      <c r="Z118" s="44"/>
    </row>
    <row r="119" spans="1:26" ht="15.75" customHeight="1">
      <c r="A119" s="77">
        <f>COUNTIF(A11:A40,"=Б")</f>
        <v>10</v>
      </c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T119" s="44"/>
      <c r="U119" s="44"/>
      <c r="V119" s="44"/>
      <c r="W119" s="44"/>
      <c r="X119" s="44"/>
      <c r="Y119" s="44"/>
      <c r="Z119" s="44"/>
    </row>
    <row r="120" spans="1:26" ht="15.75" customHeight="1">
      <c r="A120" s="77">
        <f>COUNTIF(A11:A40,"=Б")</f>
        <v>10</v>
      </c>
      <c r="C120" s="44"/>
      <c r="D120" s="44"/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T120" s="44"/>
      <c r="U120" s="44"/>
      <c r="V120" s="44"/>
      <c r="W120" s="44"/>
      <c r="X120" s="44"/>
      <c r="Y120" s="44"/>
      <c r="Z120" s="44"/>
    </row>
    <row r="121" spans="1:26" ht="15.75" customHeight="1">
      <c r="A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T121" s="44"/>
      <c r="U121" s="44"/>
      <c r="V121" s="44"/>
      <c r="W121" s="44"/>
      <c r="X121" s="44"/>
      <c r="Y121" s="44"/>
      <c r="Z121" s="44"/>
    </row>
    <row r="122" spans="1:26" ht="15.75" customHeight="1">
      <c r="A122" s="44"/>
      <c r="C122" s="44"/>
      <c r="D122" s="44"/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T122" s="44"/>
      <c r="U122" s="44"/>
      <c r="V122" s="44"/>
      <c r="W122" s="44"/>
      <c r="X122" s="44"/>
      <c r="Y122" s="44"/>
      <c r="Z122" s="44"/>
    </row>
    <row r="123" spans="1:26" ht="15.75" customHeight="1">
      <c r="A123" s="44"/>
      <c r="C123" s="44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T123" s="44"/>
      <c r="U123" s="44"/>
      <c r="V123" s="44"/>
      <c r="W123" s="44"/>
      <c r="X123" s="44"/>
      <c r="Y123" s="44"/>
      <c r="Z123" s="44"/>
    </row>
    <row r="124" spans="1:26" ht="15.75" customHeight="1">
      <c r="A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T124" s="44"/>
      <c r="U124" s="44"/>
      <c r="V124" s="44"/>
      <c r="W124" s="44"/>
      <c r="X124" s="44"/>
      <c r="Y124" s="44"/>
      <c r="Z124" s="44"/>
    </row>
    <row r="125" spans="1:26" ht="15.75" customHeight="1">
      <c r="A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T125" s="44"/>
      <c r="U125" s="44"/>
      <c r="V125" s="44"/>
      <c r="W125" s="44"/>
      <c r="X125" s="44"/>
      <c r="Y125" s="44"/>
      <c r="Z125" s="44"/>
    </row>
    <row r="126" spans="1:26" ht="15.75" customHeight="1">
      <c r="A126" s="44"/>
      <c r="B126" s="44"/>
      <c r="C126" s="44"/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T126" s="44"/>
      <c r="U126" s="44"/>
      <c r="V126" s="44"/>
      <c r="W126" s="44"/>
      <c r="X126" s="44"/>
      <c r="Y126" s="44"/>
      <c r="Z126" s="44"/>
    </row>
    <row r="127" spans="1:26" ht="15.75" customHeight="1">
      <c r="A127" s="44"/>
      <c r="B127" s="44"/>
      <c r="C127" s="44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spans="1:26" ht="15.75" customHeight="1">
      <c r="A128" s="44"/>
      <c r="B128" s="44"/>
      <c r="C128" s="44"/>
      <c r="D128" s="44"/>
      <c r="E128" s="44"/>
      <c r="F128" s="44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spans="1:26" ht="15.75" customHeight="1">
      <c r="A129" s="44"/>
      <c r="B129" s="44"/>
      <c r="C129" s="44"/>
      <c r="D129" s="44"/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spans="1:26" ht="15.75" customHeight="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spans="1:26" ht="15.75" customHeight="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spans="1:26" ht="15.75" customHeight="1">
      <c r="A132" s="44"/>
      <c r="B132" s="44"/>
      <c r="C132" s="44"/>
      <c r="D132" s="44"/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spans="1:26" ht="15.75" customHeight="1">
      <c r="A133" s="44"/>
      <c r="B133" s="44"/>
      <c r="C133" s="44"/>
      <c r="D133" s="44"/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spans="1:26" ht="15.75" customHeight="1">
      <c r="A134" s="44"/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spans="1:26" ht="15.75" customHeight="1">
      <c r="A135" s="44"/>
      <c r="B135" s="44"/>
      <c r="C135" s="44"/>
      <c r="D135" s="44"/>
      <c r="E135" s="44"/>
      <c r="F135" s="44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spans="1:26" ht="15.75" customHeight="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spans="1:26" ht="15.75" customHeight="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spans="1:26" ht="15.75" customHeight="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 spans="1:26" ht="15.75" customHeight="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spans="1:26" ht="15.75" customHeight="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spans="1:26" ht="15.75" customHeight="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spans="1:26" ht="15.75" customHeight="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spans="1:26" ht="15.75" customHeight="1">
      <c r="A143" s="44"/>
      <c r="B143" s="44"/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spans="1:26" ht="15.75" customHeight="1">
      <c r="A144" s="44"/>
      <c r="B144" s="44"/>
      <c r="C144" s="44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 spans="1:26" ht="15.75" customHeight="1">
      <c r="A145" s="44"/>
      <c r="B145" s="44"/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spans="1:26" ht="15.75" customHeight="1">
      <c r="A146" s="44"/>
      <c r="B146" s="44"/>
      <c r="C146" s="44"/>
      <c r="D146" s="44"/>
      <c r="E146" s="44"/>
      <c r="F146" s="44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 spans="1:26" ht="15.75" customHeight="1">
      <c r="A147" s="44"/>
      <c r="B147" s="44"/>
      <c r="C147" s="44"/>
      <c r="D147" s="44"/>
      <c r="E147" s="44"/>
      <c r="F147" s="44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spans="1:26" ht="15.75" customHeight="1">
      <c r="A148" s="44"/>
      <c r="B148" s="44"/>
      <c r="C148" s="44"/>
      <c r="D148" s="44"/>
      <c r="E148" s="44"/>
      <c r="F148" s="44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 spans="1:26" ht="15.75" customHeight="1">
      <c r="A149" s="44"/>
      <c r="B149" s="44"/>
      <c r="C149" s="44"/>
      <c r="D149" s="44"/>
      <c r="E149" s="44"/>
      <c r="F149" s="44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spans="1:26" ht="15.75" customHeight="1">
      <c r="A150" s="44"/>
      <c r="B150" s="44"/>
      <c r="C150" s="44"/>
      <c r="D150" s="44"/>
      <c r="E150" s="44"/>
      <c r="F150" s="44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 spans="1:26" ht="15.75" customHeight="1">
      <c r="A151" s="44"/>
      <c r="B151" s="44"/>
      <c r="C151" s="44"/>
      <c r="D151" s="44"/>
      <c r="E151" s="44"/>
      <c r="F151" s="44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spans="1:26" ht="15.75" customHeight="1">
      <c r="A152" s="44"/>
      <c r="B152" s="44"/>
      <c r="C152" s="44"/>
      <c r="D152" s="44"/>
      <c r="E152" s="44"/>
      <c r="F152" s="44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 spans="1:26" ht="15.75" customHeight="1">
      <c r="A153" s="44"/>
      <c r="B153" s="44"/>
      <c r="C153" s="44"/>
      <c r="D153" s="44"/>
      <c r="E153" s="44"/>
      <c r="F153" s="44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spans="1:26" ht="15.75" customHeight="1">
      <c r="A154" s="44"/>
      <c r="B154" s="44"/>
      <c r="C154" s="44"/>
      <c r="D154" s="44"/>
      <c r="E154" s="44"/>
      <c r="F154" s="44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 spans="1:26" ht="15.75" customHeight="1">
      <c r="A155" s="44"/>
      <c r="B155" s="44"/>
      <c r="C155" s="44"/>
      <c r="D155" s="44"/>
      <c r="E155" s="44"/>
      <c r="F155" s="44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spans="1:26" ht="15.75" customHeight="1">
      <c r="A156" s="44"/>
      <c r="B156" s="44"/>
      <c r="C156" s="44"/>
      <c r="D156" s="44"/>
      <c r="E156" s="44"/>
      <c r="F156" s="44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 spans="1:26" ht="15.75" customHeight="1">
      <c r="A157" s="44"/>
      <c r="B157" s="44"/>
      <c r="C157" s="44"/>
      <c r="D157" s="44"/>
      <c r="E157" s="44"/>
      <c r="F157" s="44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 spans="1:26" ht="15.75" customHeight="1">
      <c r="A158" s="44"/>
      <c r="B158" s="44"/>
      <c r="C158" s="44"/>
      <c r="D158" s="44"/>
      <c r="E158" s="44"/>
      <c r="F158" s="44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 spans="1:26" ht="15.75" customHeight="1">
      <c r="A159" s="44"/>
      <c r="B159" s="44"/>
      <c r="C159" s="44"/>
      <c r="D159" s="44"/>
      <c r="E159" s="44"/>
      <c r="F159" s="44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 spans="1:26" ht="15.75" customHeight="1">
      <c r="A160" s="44"/>
      <c r="B160" s="44"/>
      <c r="C160" s="44"/>
      <c r="D160" s="44"/>
      <c r="E160" s="44"/>
      <c r="F160" s="44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 spans="1:26" ht="15.75" customHeight="1">
      <c r="A161" s="44"/>
      <c r="B161" s="44"/>
      <c r="C161" s="44"/>
      <c r="D161" s="44"/>
      <c r="E161" s="44"/>
      <c r="F161" s="44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 spans="1:26" ht="15.75" customHeight="1">
      <c r="A162" s="44"/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 spans="1:26" ht="15.75" customHeight="1">
      <c r="A163" s="44"/>
      <c r="B163" s="44"/>
      <c r="C163" s="44"/>
      <c r="D163" s="44"/>
      <c r="E163" s="44"/>
      <c r="F163" s="44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 spans="1:26" ht="15.75" customHeight="1">
      <c r="A164" s="44"/>
      <c r="B164" s="44"/>
      <c r="C164" s="44"/>
      <c r="D164" s="44"/>
      <c r="E164" s="44"/>
      <c r="F164" s="44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 spans="1:26" ht="15.75" customHeight="1">
      <c r="A165" s="44"/>
      <c r="B165" s="44"/>
      <c r="C165" s="44"/>
      <c r="D165" s="44"/>
      <c r="E165" s="44"/>
      <c r="F165" s="44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 spans="1:26" ht="15.75" customHeight="1">
      <c r="A166" s="44"/>
      <c r="B166" s="44"/>
      <c r="C166" s="44"/>
      <c r="D166" s="44"/>
      <c r="E166" s="44"/>
      <c r="F166" s="44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 spans="1:26" ht="15.75" customHeight="1">
      <c r="A167" s="44"/>
      <c r="B167" s="44"/>
      <c r="C167" s="44"/>
      <c r="D167" s="44"/>
      <c r="E167" s="44"/>
      <c r="F167" s="44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 spans="1:26" ht="15.75" customHeight="1">
      <c r="A168" s="44"/>
      <c r="B168" s="44"/>
      <c r="C168" s="44"/>
      <c r="D168" s="44"/>
      <c r="E168" s="44"/>
      <c r="F168" s="44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 spans="1:26" ht="15.75" customHeight="1">
      <c r="A169" s="44"/>
      <c r="B169" s="44"/>
      <c r="C169" s="44"/>
      <c r="D169" s="44"/>
      <c r="E169" s="44"/>
      <c r="F169" s="44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 spans="1:26" ht="15.75" customHeight="1">
      <c r="A170" s="44"/>
      <c r="B170" s="44"/>
      <c r="C170" s="44"/>
      <c r="D170" s="44"/>
      <c r="E170" s="44"/>
      <c r="F170" s="44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 spans="1:26" ht="15.75" customHeight="1">
      <c r="A171" s="44"/>
      <c r="B171" s="44"/>
      <c r="C171" s="44"/>
      <c r="D171" s="44"/>
      <c r="E171" s="44"/>
      <c r="F171" s="44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spans="1:26" ht="15.75" customHeight="1">
      <c r="A172" s="44"/>
      <c r="B172" s="44"/>
      <c r="C172" s="44"/>
      <c r="D172" s="44"/>
      <c r="E172" s="44"/>
      <c r="F172" s="44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 spans="1:26" ht="15.75" customHeight="1">
      <c r="A173" s="44"/>
      <c r="B173" s="44"/>
      <c r="C173" s="44"/>
      <c r="D173" s="44"/>
      <c r="E173" s="44"/>
      <c r="F173" s="44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 spans="1:26" ht="15.75" customHeight="1">
      <c r="A174" s="44"/>
      <c r="B174" s="44"/>
      <c r="C174" s="44"/>
      <c r="D174" s="44"/>
      <c r="E174" s="44"/>
      <c r="F174" s="44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 spans="1:26" ht="15.75" customHeight="1">
      <c r="A175" s="44"/>
      <c r="B175" s="44"/>
      <c r="C175" s="44"/>
      <c r="D175" s="44"/>
      <c r="E175" s="44"/>
      <c r="F175" s="44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 spans="1:26" ht="15.75" customHeight="1">
      <c r="A176" s="44"/>
      <c r="B176" s="44"/>
      <c r="C176" s="44"/>
      <c r="D176" s="44"/>
      <c r="E176" s="44"/>
      <c r="F176" s="44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 spans="1:26" ht="15.75" customHeight="1">
      <c r="A177" s="44"/>
      <c r="B177" s="44"/>
      <c r="C177" s="44"/>
      <c r="D177" s="44"/>
      <c r="E177" s="44"/>
      <c r="F177" s="44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 spans="1:26" ht="15.75" customHeight="1">
      <c r="A178" s="44"/>
      <c r="B178" s="44"/>
      <c r="C178" s="44"/>
      <c r="D178" s="44"/>
      <c r="E178" s="44"/>
      <c r="F178" s="44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 spans="1:26" ht="15.75" customHeight="1">
      <c r="A179" s="44"/>
      <c r="B179" s="44"/>
      <c r="C179" s="44"/>
      <c r="D179" s="44"/>
      <c r="E179" s="44"/>
      <c r="F179" s="44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 spans="1:26" ht="15.75" customHeight="1">
      <c r="A180" s="44"/>
      <c r="B180" s="44"/>
      <c r="C180" s="44"/>
      <c r="D180" s="44"/>
      <c r="E180" s="44"/>
      <c r="F180" s="44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 spans="1:26" ht="15.75" customHeight="1">
      <c r="A181" s="44"/>
      <c r="B181" s="44"/>
      <c r="C181" s="44"/>
      <c r="D181" s="44"/>
      <c r="E181" s="44"/>
      <c r="F181" s="44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 spans="1:26" ht="15.75" customHeight="1">
      <c r="A182" s="44"/>
      <c r="B182" s="44"/>
      <c r="C182" s="44"/>
      <c r="D182" s="44"/>
      <c r="E182" s="44"/>
      <c r="F182" s="44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 spans="1:26" ht="15.75" customHeight="1">
      <c r="A183" s="44"/>
      <c r="B183" s="44"/>
      <c r="C183" s="44"/>
      <c r="D183" s="44"/>
      <c r="E183" s="44"/>
      <c r="F183" s="44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 spans="1:26" ht="15.75" customHeight="1">
      <c r="A184" s="44"/>
      <c r="B184" s="44"/>
      <c r="C184" s="44"/>
      <c r="D184" s="44"/>
      <c r="E184" s="44"/>
      <c r="F184" s="44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 spans="1:26" ht="15.75" customHeight="1">
      <c r="A185" s="44"/>
      <c r="B185" s="44"/>
      <c r="C185" s="44"/>
      <c r="D185" s="44"/>
      <c r="E185" s="44"/>
      <c r="F185" s="44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 spans="1:26" ht="15.75" customHeight="1">
      <c r="A186" s="44"/>
      <c r="B186" s="44"/>
      <c r="C186" s="44"/>
      <c r="D186" s="44"/>
      <c r="E186" s="44"/>
      <c r="F186" s="44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 spans="1:26" ht="15.75" customHeight="1">
      <c r="A187" s="44"/>
      <c r="B187" s="44"/>
      <c r="C187" s="44"/>
      <c r="D187" s="44"/>
      <c r="E187" s="44"/>
      <c r="F187" s="44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spans="1:26" ht="15.75" customHeight="1">
      <c r="A188" s="44"/>
      <c r="B188" s="44"/>
      <c r="C188" s="44"/>
      <c r="D188" s="44"/>
      <c r="E188" s="44"/>
      <c r="F188" s="44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 spans="1:26" ht="15.75" customHeight="1">
      <c r="A189" s="44"/>
      <c r="B189" s="44"/>
      <c r="C189" s="44"/>
      <c r="D189" s="44"/>
      <c r="E189" s="44"/>
      <c r="F189" s="44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 spans="1:26" ht="15.75" customHeight="1">
      <c r="A190" s="44"/>
      <c r="B190" s="44"/>
      <c r="C190" s="44"/>
      <c r="D190" s="44"/>
      <c r="E190" s="44"/>
      <c r="F190" s="44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 spans="1:26" ht="15.75" customHeight="1">
      <c r="A191" s="44"/>
      <c r="B191" s="44"/>
      <c r="C191" s="44"/>
      <c r="D191" s="44"/>
      <c r="E191" s="44"/>
      <c r="F191" s="44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spans="1:26" ht="15.75" customHeight="1">
      <c r="A192" s="44"/>
      <c r="B192" s="44"/>
      <c r="C192" s="44"/>
      <c r="D192" s="44"/>
      <c r="E192" s="44"/>
      <c r="F192" s="44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 spans="1:26" ht="15.75" customHeight="1">
      <c r="A193" s="44"/>
      <c r="B193" s="44"/>
      <c r="C193" s="44"/>
      <c r="D193" s="44"/>
      <c r="E193" s="44"/>
      <c r="F193" s="44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spans="1:26" ht="15.75" customHeight="1">
      <c r="A194" s="44"/>
      <c r="B194" s="44"/>
      <c r="C194" s="44"/>
      <c r="D194" s="44"/>
      <c r="E194" s="44"/>
      <c r="F194" s="44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 spans="1:26" ht="15.75" customHeight="1">
      <c r="A195" s="44"/>
      <c r="B195" s="44"/>
      <c r="C195" s="44"/>
      <c r="D195" s="44"/>
      <c r="E195" s="44"/>
      <c r="F195" s="44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spans="1:26" ht="15.75" customHeight="1">
      <c r="A196" s="44"/>
      <c r="B196" s="44"/>
      <c r="C196" s="44"/>
      <c r="D196" s="44"/>
      <c r="E196" s="44"/>
      <c r="F196" s="44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 spans="1:26" ht="15.75" customHeight="1">
      <c r="A197" s="44"/>
      <c r="B197" s="44"/>
      <c r="C197" s="44"/>
      <c r="D197" s="44"/>
      <c r="E197" s="44"/>
      <c r="F197" s="44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 spans="1:26" ht="15.75" customHeight="1">
      <c r="A198" s="44"/>
      <c r="B198" s="44"/>
      <c r="C198" s="44"/>
      <c r="D198" s="44"/>
      <c r="E198" s="44"/>
      <c r="F198" s="44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 spans="1:26" ht="15.75" customHeight="1">
      <c r="A199" s="44"/>
      <c r="B199" s="44"/>
      <c r="C199" s="44"/>
      <c r="D199" s="44"/>
      <c r="E199" s="44"/>
      <c r="F199" s="44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 spans="1:26" ht="15.75" customHeight="1">
      <c r="A200" s="44"/>
      <c r="B200" s="44"/>
      <c r="C200" s="44"/>
      <c r="D200" s="44"/>
      <c r="E200" s="44"/>
      <c r="F200" s="44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 spans="1:26" ht="15.75" customHeight="1">
      <c r="A201" s="44"/>
      <c r="B201" s="44"/>
      <c r="C201" s="44"/>
      <c r="D201" s="44"/>
      <c r="E201" s="44"/>
      <c r="F201" s="44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spans="1:26" ht="15.75" customHeight="1">
      <c r="A202" s="44"/>
      <c r="B202" s="44"/>
      <c r="C202" s="44"/>
      <c r="D202" s="44"/>
      <c r="E202" s="44"/>
      <c r="F202" s="44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 spans="1:26" ht="15.75" customHeight="1">
      <c r="A203" s="44"/>
      <c r="B203" s="44"/>
      <c r="C203" s="44"/>
      <c r="D203" s="44"/>
      <c r="E203" s="44"/>
      <c r="F203" s="44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 spans="1:26" ht="15.75" customHeight="1">
      <c r="A204" s="44"/>
      <c r="B204" s="44"/>
      <c r="C204" s="44"/>
      <c r="D204" s="44"/>
      <c r="E204" s="44"/>
      <c r="F204" s="44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 spans="1:26" ht="15.75" customHeight="1">
      <c r="A205" s="44"/>
      <c r="B205" s="44"/>
      <c r="C205" s="44"/>
      <c r="D205" s="44"/>
      <c r="E205" s="44"/>
      <c r="F205" s="44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 spans="1:26" ht="15.75" customHeight="1">
      <c r="A206" s="44"/>
      <c r="B206" s="44"/>
      <c r="C206" s="44"/>
      <c r="D206" s="44"/>
      <c r="E206" s="44"/>
      <c r="F206" s="44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 spans="1:26" ht="15.75" customHeight="1">
      <c r="A207" s="44"/>
      <c r="B207" s="44"/>
      <c r="C207" s="44"/>
      <c r="D207" s="44"/>
      <c r="E207" s="44"/>
      <c r="F207" s="44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 spans="1:26" ht="15.75" customHeight="1">
      <c r="A208" s="44"/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 spans="1:26" ht="15.75" customHeight="1">
      <c r="A209" s="44"/>
      <c r="B209" s="44"/>
      <c r="C209" s="44"/>
      <c r="D209" s="44"/>
      <c r="E209" s="44"/>
      <c r="F209" s="44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 spans="1:26" ht="15.75" customHeight="1">
      <c r="A210" s="44"/>
      <c r="B210" s="44"/>
      <c r="C210" s="44"/>
      <c r="D210" s="44"/>
      <c r="E210" s="44"/>
      <c r="F210" s="44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 spans="1:26" ht="15.75" customHeight="1">
      <c r="A211" s="44"/>
      <c r="B211" s="44"/>
      <c r="C211" s="44"/>
      <c r="D211" s="44"/>
      <c r="E211" s="44"/>
      <c r="F211" s="44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spans="1:26" ht="15.75" customHeight="1">
      <c r="A212" s="44"/>
      <c r="B212" s="44"/>
      <c r="C212" s="44"/>
      <c r="D212" s="44"/>
      <c r="E212" s="44"/>
      <c r="F212" s="44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 spans="1:26" ht="15.75" customHeight="1">
      <c r="A213" s="44"/>
      <c r="B213" s="44"/>
      <c r="C213" s="44"/>
      <c r="D213" s="44"/>
      <c r="E213" s="44"/>
      <c r="F213" s="44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 spans="1:26" ht="15.75" customHeight="1">
      <c r="A214" s="44"/>
      <c r="B214" s="44"/>
      <c r="C214" s="44"/>
      <c r="D214" s="44"/>
      <c r="E214" s="44"/>
      <c r="F214" s="44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 spans="1:26" ht="15.75" customHeight="1">
      <c r="A215" s="44"/>
      <c r="B215" s="44"/>
      <c r="C215" s="44"/>
      <c r="D215" s="44"/>
      <c r="E215" s="44"/>
      <c r="F215" s="44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spans="1:26" ht="15.75" customHeight="1">
      <c r="A216" s="44"/>
      <c r="B216" s="44"/>
      <c r="C216" s="44"/>
      <c r="D216" s="44"/>
      <c r="E216" s="44"/>
      <c r="F216" s="44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 spans="1:26" ht="15.75" customHeight="1">
      <c r="A217" s="44"/>
      <c r="B217" s="44"/>
      <c r="C217" s="44"/>
      <c r="D217" s="44"/>
      <c r="E217" s="44"/>
      <c r="F217" s="44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spans="1:26" ht="15.75" customHeight="1">
      <c r="A218" s="44"/>
      <c r="B218" s="44"/>
      <c r="C218" s="44"/>
      <c r="D218" s="44"/>
      <c r="E218" s="44"/>
      <c r="F218" s="44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 spans="1:26" ht="15.75" customHeight="1">
      <c r="A219" s="44"/>
      <c r="B219" s="44"/>
      <c r="C219" s="44"/>
      <c r="D219" s="44"/>
      <c r="E219" s="44"/>
      <c r="F219" s="44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spans="1:26" ht="15.75" customHeight="1">
      <c r="A220" s="44"/>
      <c r="B220" s="44"/>
      <c r="C220" s="44"/>
      <c r="D220" s="44"/>
      <c r="E220" s="44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 spans="1:26" ht="15.75" customHeight="1">
      <c r="A221" s="44"/>
      <c r="B221" s="44"/>
      <c r="C221" s="44"/>
      <c r="D221" s="44"/>
      <c r="E221" s="44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spans="1:26" ht="15.75" customHeight="1">
      <c r="A222" s="44"/>
      <c r="B222" s="44"/>
      <c r="C222" s="44"/>
      <c r="D222" s="44"/>
      <c r="E222" s="44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 spans="1:26" ht="15.75" customHeight="1">
      <c r="A223" s="44"/>
      <c r="B223" s="44"/>
      <c r="C223" s="44"/>
      <c r="D223" s="44"/>
      <c r="E223" s="44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 spans="1:26" ht="15.75" customHeight="1">
      <c r="A224" s="44"/>
      <c r="B224" s="44"/>
      <c r="C224" s="44"/>
      <c r="D224" s="44"/>
      <c r="E224" s="44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 spans="1:26" ht="15.75" customHeight="1">
      <c r="A225" s="44"/>
      <c r="B225" s="44"/>
      <c r="C225" s="44"/>
      <c r="D225" s="44"/>
      <c r="E225" s="44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 spans="1:26" ht="15.75" customHeight="1">
      <c r="A226" s="44"/>
      <c r="B226" s="44"/>
      <c r="C226" s="44"/>
      <c r="D226" s="44"/>
      <c r="E226" s="44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 spans="1:26" ht="15.75" customHeight="1">
      <c r="A227" s="44"/>
      <c r="B227" s="44"/>
      <c r="C227" s="44"/>
      <c r="D227" s="44"/>
      <c r="E227" s="44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 spans="1:26" ht="15.75" customHeight="1">
      <c r="A228" s="44"/>
      <c r="B228" s="44"/>
      <c r="C228" s="44"/>
      <c r="D228" s="44"/>
      <c r="E228" s="44"/>
      <c r="F228" s="44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 spans="1:26" ht="15.75" customHeight="1">
      <c r="A229" s="44"/>
      <c r="B229" s="44"/>
      <c r="C229" s="44"/>
      <c r="D229" s="44"/>
      <c r="E229" s="44"/>
      <c r="F229" s="44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 spans="1:26" ht="15.75" customHeight="1">
      <c r="A230" s="44"/>
      <c r="B230" s="44"/>
      <c r="C230" s="44"/>
      <c r="D230" s="44"/>
      <c r="E230" s="44"/>
      <c r="F230" s="44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 spans="1:26" ht="15.75" customHeight="1">
      <c r="A231" s="44"/>
      <c r="B231" s="44"/>
      <c r="C231" s="44"/>
      <c r="D231" s="44"/>
      <c r="E231" s="44"/>
      <c r="F231" s="44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 spans="1:26" ht="15.75" customHeight="1">
      <c r="A232" s="44"/>
      <c r="B232" s="44"/>
      <c r="C232" s="44"/>
      <c r="D232" s="44"/>
      <c r="E232" s="44"/>
      <c r="F232" s="44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 spans="1:26" ht="15.75" customHeight="1">
      <c r="A233" s="44"/>
      <c r="B233" s="44"/>
      <c r="C233" s="44"/>
      <c r="D233" s="44"/>
      <c r="E233" s="44"/>
      <c r="F233" s="44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 spans="1:26" ht="15.75" customHeight="1">
      <c r="A234" s="44"/>
      <c r="B234" s="44"/>
      <c r="C234" s="44"/>
      <c r="D234" s="44"/>
      <c r="E234" s="44"/>
      <c r="F234" s="44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 spans="1:26" ht="15.75" customHeight="1">
      <c r="A235" s="44"/>
      <c r="B235" s="44"/>
      <c r="C235" s="44"/>
      <c r="D235" s="44"/>
      <c r="E235" s="44"/>
      <c r="F235" s="44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 spans="1:26" ht="15.75" customHeight="1">
      <c r="A236" s="44"/>
      <c r="B236" s="44"/>
      <c r="C236" s="44"/>
      <c r="D236" s="44"/>
      <c r="E236" s="44"/>
      <c r="F236" s="44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 spans="1:26" ht="15.75" customHeight="1">
      <c r="A237" s="44"/>
      <c r="B237" s="44"/>
      <c r="C237" s="44"/>
      <c r="D237" s="44"/>
      <c r="E237" s="44"/>
      <c r="F237" s="44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 spans="1:26" ht="15.75" customHeight="1">
      <c r="A238" s="44"/>
      <c r="B238" s="44"/>
      <c r="C238" s="44"/>
      <c r="D238" s="44"/>
      <c r="E238" s="44"/>
      <c r="F238" s="44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26">
    <mergeCell ref="A1:O1"/>
    <mergeCell ref="A2:O2"/>
    <mergeCell ref="A3:O3"/>
    <mergeCell ref="A4:O4"/>
    <mergeCell ref="A5:O5"/>
    <mergeCell ref="R8:R10"/>
    <mergeCell ref="S8:S10"/>
    <mergeCell ref="J8:J10"/>
    <mergeCell ref="K8:K10"/>
    <mergeCell ref="A6:O6"/>
    <mergeCell ref="L8:L10"/>
    <mergeCell ref="M8:M10"/>
    <mergeCell ref="N8:N10"/>
    <mergeCell ref="O8:O10"/>
    <mergeCell ref="A7:A10"/>
    <mergeCell ref="B7:B10"/>
    <mergeCell ref="C7:C10"/>
    <mergeCell ref="D7:S7"/>
    <mergeCell ref="D8:D10"/>
    <mergeCell ref="E8:E10"/>
    <mergeCell ref="F8:F10"/>
    <mergeCell ref="G8:G10"/>
    <mergeCell ref="H8:H10"/>
    <mergeCell ref="I8:I10"/>
    <mergeCell ref="P8:P10"/>
    <mergeCell ref="Q8:Q10"/>
  </mergeCells>
  <printOptions horizontalCentered="1" verticalCentered="1"/>
  <pageMargins left="0.31496062992125984" right="0.31496062992125984" top="1.5748031496062993" bottom="0" header="0" footer="0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Зведена відомість 161</vt:lpstr>
      <vt:lpstr>Рейтингова відомість 161</vt:lpstr>
      <vt:lpstr>Зведена відомість 101</vt:lpstr>
      <vt:lpstr>Рейтингова відомість 101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BONDARENKO</dc:creator>
  <cp:lastModifiedBy>BONDARENKO</cp:lastModifiedBy>
  <cp:lastPrinted>2021-12-29T09:50:52Z</cp:lastPrinted>
  <dcterms:created xsi:type="dcterms:W3CDTF">2006-09-28T05:33:49Z</dcterms:created>
  <dcterms:modified xsi:type="dcterms:W3CDTF">2021-12-30T10:52:17Z</dcterms:modified>
</cp:coreProperties>
</file>