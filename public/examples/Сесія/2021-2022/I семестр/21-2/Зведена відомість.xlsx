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codeName="ЭтаКнига"/>
  <bookViews>
    <workbookView xWindow="750" yWindow="555" windowWidth="18780" windowHeight="7110" activeTab="1"/>
  </bookViews>
  <sheets>
    <sheet name="Зведена відомість" sheetId="1" r:id="rId1"/>
    <sheet name="Рейтингова відомість" sheetId="2" r:id="rId2"/>
  </sheets>
  <definedNames>
    <definedName name="_xlnm._FilterDatabase" localSheetId="1" hidden="1">'Рейтингова відомість'!$A$11:$Z$120</definedName>
  </definedNames>
  <calcPr calcId="125725"/>
  <extLst>
    <ext uri="GoogleSheetsCustomDataVersion1">
      <go:sheetsCustomData xmlns:go="http://customooxmlschemas.google.com/" r:id="rId6" roundtripDataSignature="AMtx7miiM0eaUzisk8Ham/7CPYjKT1nPxw=="/>
    </ext>
  </extLst>
</workbook>
</file>

<file path=xl/calcChain.xml><?xml version="1.0" encoding="utf-8"?>
<calcChain xmlns="http://schemas.openxmlformats.org/spreadsheetml/2006/main">
  <c r="D46" i="1"/>
  <c r="S20" i="2" l="1"/>
  <c r="S17"/>
  <c r="S15"/>
  <c r="S21"/>
  <c r="S16"/>
  <c r="S12"/>
  <c r="S19"/>
  <c r="S18"/>
  <c r="S13"/>
  <c r="S23"/>
  <c r="S11"/>
  <c r="S22"/>
  <c r="S24"/>
  <c r="S14"/>
  <c r="D26"/>
  <c r="D25"/>
  <c r="D24"/>
  <c r="A120" l="1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D44" i="1" l="1"/>
  <c r="B120" s="1"/>
  <c r="D43"/>
  <c r="C120"/>
  <c r="C119"/>
  <c r="C118"/>
  <c r="C117"/>
  <c r="C116"/>
  <c r="C115"/>
  <c r="C114"/>
  <c r="C113"/>
  <c r="C112"/>
  <c r="C111"/>
  <c r="C110"/>
  <c r="C109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B79" l="1"/>
  <c r="B81"/>
  <c r="B75"/>
  <c r="B77"/>
  <c r="B76"/>
  <c r="B78"/>
  <c r="B80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27" i="2" s="1"/>
  <c r="D102" i="1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A75"/>
  <c r="A79"/>
  <c r="A78"/>
  <c r="A82"/>
  <c r="A84"/>
  <c r="A86"/>
  <c r="A88"/>
  <c r="A90"/>
  <c r="A92"/>
  <c r="A94"/>
  <c r="A96"/>
  <c r="A98"/>
  <c r="A100"/>
  <c r="A102"/>
  <c r="A104"/>
  <c r="A106"/>
  <c r="A108"/>
  <c r="A110"/>
  <c r="A112"/>
  <c r="A114"/>
  <c r="A116"/>
  <c r="A118"/>
  <c r="A120"/>
  <c r="A77"/>
  <c r="A81"/>
  <c r="A76"/>
  <c r="A80"/>
  <c r="A83"/>
  <c r="A85"/>
  <c r="A87"/>
  <c r="A89"/>
  <c r="A91"/>
  <c r="A93"/>
  <c r="A95"/>
  <c r="A97"/>
  <c r="A99"/>
  <c r="A101"/>
  <c r="A103"/>
  <c r="A105"/>
  <c r="A107"/>
  <c r="A109"/>
  <c r="A111"/>
  <c r="A113"/>
  <c r="A115"/>
  <c r="A117"/>
  <c r="A119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Q38" l="1"/>
  <c r="P38"/>
  <c r="O38"/>
  <c r="N38"/>
  <c r="M38"/>
  <c r="L38"/>
  <c r="K38"/>
  <c r="J38"/>
  <c r="I38"/>
  <c r="H38"/>
  <c r="G38"/>
  <c r="F38"/>
  <c r="E38"/>
  <c r="D38"/>
  <c r="R37"/>
  <c r="R36"/>
  <c r="R35"/>
  <c r="R34"/>
  <c r="R33"/>
  <c r="R32"/>
  <c r="R31"/>
  <c r="R30"/>
  <c r="R29"/>
  <c r="R28"/>
  <c r="R27"/>
  <c r="R26"/>
  <c r="R25"/>
  <c r="R24"/>
  <c r="R23"/>
  <c r="R22"/>
  <c r="R21"/>
  <c r="R20"/>
  <c r="R19"/>
  <c r="R18"/>
  <c r="R17"/>
  <c r="R16"/>
  <c r="R15"/>
  <c r="R14"/>
  <c r="R13"/>
  <c r="R12"/>
  <c r="R11"/>
  <c r="R38" l="1"/>
  <c r="O40"/>
  <c r="K40"/>
  <c r="M39"/>
  <c r="N40"/>
  <c r="J40"/>
  <c r="F40"/>
  <c r="L39"/>
  <c r="D39"/>
  <c r="M40"/>
  <c r="E40"/>
  <c r="P39"/>
  <c r="Q40"/>
  <c r="P40"/>
  <c r="L40"/>
  <c r="H40"/>
  <c r="D40"/>
  <c r="N39"/>
  <c r="J39"/>
  <c r="F39"/>
  <c r="G40"/>
  <c r="Q39"/>
  <c r="I39"/>
  <c r="E39"/>
  <c r="H39"/>
  <c r="I40"/>
  <c r="O39"/>
  <c r="K39"/>
  <c r="G39"/>
  <c r="D42" l="1"/>
  <c r="D41"/>
</calcChain>
</file>

<file path=xl/sharedStrings.xml><?xml version="1.0" encoding="utf-8"?>
<sst xmlns="http://schemas.openxmlformats.org/spreadsheetml/2006/main" count="153" uniqueCount="71">
  <si>
    <t>ФАХОВИЙ КОЛЕДЖ НАФТОГАЗОВИХ ТЕХНОЛОГІЙ, ІНЖЕНЕРІЇ ТА ІНФРАСТРУКТУРИ СЕРВІСУ</t>
  </si>
  <si>
    <t>ОДЕСЬКОЇ НАЦІОНАЛЬНОЇ АКАДЕМІЇ ХАРЧОВИХ ТЕХНОЛОГІЙ</t>
  </si>
  <si>
    <t xml:space="preserve">ЗВЕДЕНА  ВІДОМІСТЬ  </t>
  </si>
  <si>
    <t>Успішності студентів спеціальності 076 "Підприємництво, торгівля та біржова діяльність"</t>
  </si>
  <si>
    <t>За І семестр 2021-2022 н.р.</t>
  </si>
  <si>
    <t>Група 21-2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</si>
  <si>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</si>
  <si>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</si>
  <si>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</si>
  <si>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</si>
  <si>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Пруднікова Я.П.</t>
  </si>
  <si>
    <t>Всесвітня історія
Мельничук С.А.</t>
  </si>
  <si>
    <t>Математика
Земляна Т.М.</t>
  </si>
  <si>
    <t>Фізика
Чикіна А.В.</t>
  </si>
  <si>
    <t>Хімія
Пономарьов К.М.</t>
  </si>
  <si>
    <t>Інформатика
Вівдіч М.І.</t>
  </si>
  <si>
    <t>Українська мова
Брітікова М.В.</t>
  </si>
  <si>
    <t>Зарубіжна література
Пруднікова Я.П.</t>
  </si>
  <si>
    <t>Біологія
Богданенко О.В.</t>
  </si>
  <si>
    <t>Фізичне виховання
Галеніна І.С.</t>
  </si>
  <si>
    <t>Іноземна мова
Чумаченко О.В.</t>
  </si>
  <si>
    <t>ЗУ
Лазар В.І.
Стельмах Н.Ю.
Черкашин А.Д.</t>
  </si>
  <si>
    <t>Історія України
Левчук Т.Г.</t>
  </si>
  <si>
    <t>Географія
Наговська Т.С.</t>
  </si>
  <si>
    <t>Середній бал</t>
  </si>
  <si>
    <t>Б</t>
  </si>
  <si>
    <t>Андрієвська Вікторія Олегівна</t>
  </si>
  <si>
    <t>К</t>
  </si>
  <si>
    <t>Гадір Кирило Кірім Гулям</t>
  </si>
  <si>
    <t>Газіцька Поліна Сергіївна</t>
  </si>
  <si>
    <t>Горбенко Олександра Олегівна</t>
  </si>
  <si>
    <t>Горячкун Аліна Віталіївна</t>
  </si>
  <si>
    <t>Греку Данило Володимирович</t>
  </si>
  <si>
    <t>Денисевич Ангеліна Сегіївна</t>
  </si>
  <si>
    <t>Дронік Владислава Олексіївна</t>
  </si>
  <si>
    <t>Золотухіна Анастасія Сергіївна</t>
  </si>
  <si>
    <t>Казаной Анастасія Денисівна</t>
  </si>
  <si>
    <t>Кірічішина Емілія Вадимівна</t>
  </si>
  <si>
    <t>Книжник Павло Юрійович</t>
  </si>
  <si>
    <t>Коршикова Анастасія Денисівна</t>
  </si>
  <si>
    <t>Костов Дмитро Денисович</t>
  </si>
  <si>
    <t>н/а</t>
  </si>
  <si>
    <t xml:space="preserve">Лікар Тетяна Сергіївна </t>
  </si>
  <si>
    <t>Мешков Дмитро Віталійович</t>
  </si>
  <si>
    <t>Паскалова Христина Іванівна</t>
  </si>
  <si>
    <t>Пєрєвєрзєв Олександр Сергійович</t>
  </si>
  <si>
    <t>Пєрєвєрзєва Сніжана Сергіївна</t>
  </si>
  <si>
    <t>Полонець Ілля Андрійович</t>
  </si>
  <si>
    <t>Попова Антоніна Вікторівна</t>
  </si>
  <si>
    <t>Рабоволенко Володимир Вадимов</t>
  </si>
  <si>
    <t>Радильчук Тетяна Олегівна</t>
  </si>
  <si>
    <t>Римар Анастасія Володимирівна</t>
  </si>
  <si>
    <t>Рудаков Ілля Сергійович</t>
  </si>
  <si>
    <t>Соломаха Богдан Григорійович</t>
  </si>
  <si>
    <t>Швець Нікіта Геннадійович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</si>
  <si>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</si>
  <si>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</si>
  <si>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</si>
  <si>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</si>
  <si>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</si>
  <si>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</si>
  <si>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</si>
  <si>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</si>
  <si>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Вийшли на стипендію</t>
  </si>
  <si>
    <t>Класний керівник</t>
  </si>
  <si>
    <t>Наталья ДУРБАЛОВА</t>
  </si>
  <si>
    <t>Завідувач відділення ПЗСО</t>
  </si>
  <si>
    <t>Маргарита БРІТІКОВА</t>
  </si>
  <si>
    <t xml:space="preserve">РЕЙТИНГОВА  ВІДОМІСТЬ  </t>
  </si>
  <si>
    <t xml:space="preserve">Середній бал    </t>
  </si>
  <si>
    <t>Рейтинг</t>
  </si>
</sst>
</file>

<file path=xl/styles.xml><?xml version="1.0" encoding="utf-8"?>
<styleSheet xmlns="http://schemas.openxmlformats.org/spreadsheetml/2006/main">
  <numFmts count="1">
    <numFmt numFmtId="164" formatCode="0.0"/>
  </numFmts>
  <fonts count="14">
    <font>
      <sz val="11"/>
      <color rgb="FF000000"/>
      <name val="Calibri"/>
    </font>
    <font>
      <sz val="14"/>
      <color theme="1"/>
      <name val="Times New Roman"/>
      <family val="1"/>
      <charset val="204"/>
    </font>
    <font>
      <sz val="16"/>
      <color theme="1"/>
      <name val="Arimo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Arimo"/>
    </font>
    <font>
      <sz val="12"/>
      <color rgb="FF000000"/>
      <name val="Calibri"/>
      <family val="2"/>
      <charset val="204"/>
    </font>
    <font>
      <sz val="11"/>
      <color theme="0"/>
      <name val="Calibri"/>
      <family val="2"/>
      <charset val="204"/>
    </font>
    <font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 applyFont="1" applyAlignment="1"/>
    <xf numFmtId="0" fontId="2" fillId="0" borderId="0" xfId="0" applyFont="1"/>
    <xf numFmtId="0" fontId="7" fillId="0" borderId="1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4" fillId="3" borderId="12" xfId="0" applyNumberFormat="1" applyFont="1" applyFill="1" applyBorder="1" applyAlignment="1">
      <alignment horizontal="center" vertical="center"/>
    </xf>
    <xf numFmtId="0" fontId="0" fillId="0" borderId="0" xfId="0" applyFont="1"/>
    <xf numFmtId="0" fontId="4" fillId="2" borderId="13" xfId="0" applyFont="1" applyFill="1" applyBorder="1" applyAlignment="1">
      <alignment vertical="center" wrapText="1"/>
    </xf>
    <xf numFmtId="164" fontId="4" fillId="3" borderId="13" xfId="0" applyNumberFormat="1" applyFont="1" applyFill="1" applyBorder="1" applyAlignment="1">
      <alignment horizontal="center" vertical="center"/>
    </xf>
    <xf numFmtId="164" fontId="4" fillId="3" borderId="14" xfId="0" applyNumberFormat="1" applyFont="1" applyFill="1" applyBorder="1" applyAlignment="1">
      <alignment horizontal="center" vertical="center"/>
    </xf>
    <xf numFmtId="164" fontId="4" fillId="3" borderId="15" xfId="0" applyNumberFormat="1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 wrapText="1"/>
    </xf>
    <xf numFmtId="0" fontId="4" fillId="2" borderId="18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7" fillId="0" borderId="0" xfId="0" applyFont="1"/>
    <xf numFmtId="0" fontId="10" fillId="0" borderId="0" xfId="0" applyFont="1"/>
    <xf numFmtId="0" fontId="8" fillId="0" borderId="0" xfId="0" applyFont="1"/>
    <xf numFmtId="164" fontId="11" fillId="0" borderId="0" xfId="0" applyNumberFormat="1" applyFont="1" applyAlignment="1"/>
    <xf numFmtId="1" fontId="11" fillId="0" borderId="0" xfId="0" applyNumberFormat="1" applyFont="1" applyAlignment="1"/>
    <xf numFmtId="0" fontId="11" fillId="0" borderId="0" xfId="0" applyFont="1" applyAlignment="1"/>
    <xf numFmtId="164" fontId="12" fillId="4" borderId="16" xfId="0" applyNumberFormat="1" applyFont="1" applyFill="1" applyBorder="1" applyAlignment="1">
      <alignment horizontal="center" vertical="center"/>
    </xf>
    <xf numFmtId="164" fontId="12" fillId="4" borderId="11" xfId="0" applyNumberFormat="1" applyFont="1" applyFill="1" applyBorder="1" applyAlignment="1">
      <alignment horizontal="center" vertical="center"/>
    </xf>
    <xf numFmtId="164" fontId="12" fillId="0" borderId="13" xfId="0" applyNumberFormat="1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0" fontId="12" fillId="0" borderId="13" xfId="0" applyNumberFormat="1" applyFont="1" applyBorder="1" applyAlignment="1">
      <alignment horizontal="center" vertical="center"/>
    </xf>
    <xf numFmtId="0" fontId="13" fillId="0" borderId="0" xfId="0" applyFont="1" applyAlignment="1"/>
    <xf numFmtId="0" fontId="0" fillId="0" borderId="0" xfId="0" applyFont="1" applyAlignment="1"/>
    <xf numFmtId="0" fontId="7" fillId="5" borderId="29" xfId="0" applyFont="1" applyFill="1" applyBorder="1" applyAlignment="1">
      <alignment horizontal="center" vertical="center"/>
    </xf>
    <xf numFmtId="0" fontId="7" fillId="5" borderId="29" xfId="0" applyFont="1" applyFill="1" applyBorder="1" applyAlignment="1">
      <alignment horizontal="left" vertical="center"/>
    </xf>
    <xf numFmtId="2" fontId="7" fillId="5" borderId="29" xfId="0" applyNumberFormat="1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9" xfId="0" applyFont="1" applyBorder="1" applyAlignment="1">
      <alignment horizontal="left" vertical="center"/>
    </xf>
    <xf numFmtId="2" fontId="7" fillId="0" borderId="2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9" xfId="0" applyFont="1" applyBorder="1"/>
    <xf numFmtId="0" fontId="6" fillId="2" borderId="6" xfId="0" applyFont="1" applyFill="1" applyBorder="1" applyAlignment="1">
      <alignment horizontal="center" vertical="center" textRotation="90" wrapText="1"/>
    </xf>
    <xf numFmtId="0" fontId="5" fillId="0" borderId="7" xfId="0" applyFont="1" applyBorder="1"/>
    <xf numFmtId="0" fontId="5" fillId="0" borderId="1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2" borderId="1" xfId="0" applyFont="1" applyFill="1" applyBorder="1" applyAlignment="1">
      <alignment horizontal="center" vertical="center"/>
    </xf>
    <xf numFmtId="0" fontId="6" fillId="0" borderId="23" xfId="0" applyFont="1" applyBorder="1" applyAlignment="1">
      <alignment horizontal="center" vertical="center" textRotation="90" wrapText="1"/>
    </xf>
    <xf numFmtId="0" fontId="5" fillId="0" borderId="25" xfId="0" applyFont="1" applyBorder="1"/>
    <xf numFmtId="0" fontId="5" fillId="0" borderId="27" xfId="0" applyFont="1" applyBorder="1"/>
    <xf numFmtId="0" fontId="6" fillId="2" borderId="24" xfId="0" applyFont="1" applyFill="1" applyBorder="1" applyAlignment="1">
      <alignment horizontal="center" vertical="center" textRotation="90" wrapText="1"/>
    </xf>
    <xf numFmtId="0" fontId="5" fillId="0" borderId="26" xfId="0" applyFont="1" applyBorder="1"/>
    <xf numFmtId="0" fontId="5" fillId="0" borderId="28" xfId="0" applyFont="1" applyBorder="1"/>
    <xf numFmtId="0" fontId="1" fillId="0" borderId="20" xfId="0" applyFont="1" applyBorder="1" applyAlignment="1">
      <alignment horizontal="center"/>
    </xf>
    <xf numFmtId="0" fontId="5" fillId="0" borderId="20" xfId="0" applyFont="1" applyBorder="1"/>
    <xf numFmtId="0" fontId="4" fillId="0" borderId="21" xfId="0" applyFont="1" applyBorder="1" applyAlignment="1">
      <alignment horizontal="center"/>
    </xf>
    <xf numFmtId="0" fontId="5" fillId="0" borderId="22" xfId="0" applyFont="1" applyBorder="1"/>
    <xf numFmtId="0" fontId="5" fillId="0" borderId="23" xfId="0" applyFont="1" applyBorder="1"/>
    <xf numFmtId="0" fontId="7" fillId="6" borderId="29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left" vertical="center"/>
    </xf>
    <xf numFmtId="2" fontId="7" fillId="6" borderId="29" xfId="0" applyNumberFormat="1" applyFont="1" applyFill="1" applyBorder="1" applyAlignment="1">
      <alignment horizontal="center" vertical="center"/>
    </xf>
    <xf numFmtId="0" fontId="13" fillId="6" borderId="0" xfId="0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Z1000"/>
  <sheetViews>
    <sheetView topLeftCell="A29" workbookViewId="0">
      <selection activeCell="E41" sqref="E41"/>
    </sheetView>
  </sheetViews>
  <sheetFormatPr defaultColWidth="14.42578125" defaultRowHeight="15" customHeight="1"/>
  <cols>
    <col min="1" max="1" width="4.85546875" customWidth="1"/>
    <col min="2" max="2" width="6.5703125" customWidth="1"/>
    <col min="3" max="3" width="40.42578125" customWidth="1"/>
    <col min="4" max="14" width="6.7109375" customWidth="1"/>
    <col min="15" max="15" width="12.7109375" customWidth="1"/>
    <col min="16" max="17" width="6.7109375" customWidth="1"/>
    <col min="18" max="18" width="11.28515625" customWidth="1"/>
  </cols>
  <sheetData>
    <row r="1" spans="1:19" ht="15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1"/>
      <c r="Q1" s="1"/>
      <c r="R1" s="1"/>
    </row>
    <row r="2" spans="1:19" ht="15" customHeight="1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1"/>
      <c r="Q2" s="1"/>
      <c r="R2" s="1"/>
    </row>
    <row r="3" spans="1:19" ht="15" customHeight="1">
      <c r="A3" s="49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1"/>
      <c r="Q3" s="1"/>
      <c r="R3" s="1"/>
    </row>
    <row r="4" spans="1:19" ht="15" customHeight="1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1"/>
      <c r="Q4" s="1"/>
      <c r="R4" s="1"/>
    </row>
    <row r="5" spans="1:19" ht="15" customHeight="1">
      <c r="A5" s="47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1"/>
      <c r="Q5" s="1"/>
      <c r="R5" s="1"/>
      <c r="S5" s="31"/>
    </row>
    <row r="6" spans="1:19" ht="15" customHeight="1">
      <c r="A6" s="47" t="s">
        <v>5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1"/>
      <c r="Q6" s="1"/>
      <c r="R6" s="1"/>
    </row>
    <row r="7" spans="1:19" ht="15" customHeight="1">
      <c r="A7" s="53" t="s">
        <v>6</v>
      </c>
      <c r="B7" s="45" t="s">
        <v>7</v>
      </c>
      <c r="C7" s="45" t="s">
        <v>8</v>
      </c>
      <c r="D7" s="50" t="s">
        <v>9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2"/>
    </row>
    <row r="8" spans="1:19" ht="15" customHeight="1">
      <c r="A8" s="40"/>
      <c r="B8" s="40"/>
      <c r="C8" s="40"/>
      <c r="D8" s="39" t="s">
        <v>10</v>
      </c>
      <c r="E8" s="39" t="s">
        <v>11</v>
      </c>
      <c r="F8" s="39" t="s">
        <v>12</v>
      </c>
      <c r="G8" s="39" t="s">
        <v>13</v>
      </c>
      <c r="H8" s="39" t="s">
        <v>14</v>
      </c>
      <c r="I8" s="39" t="s">
        <v>15</v>
      </c>
      <c r="J8" s="39" t="s">
        <v>16</v>
      </c>
      <c r="K8" s="39" t="s">
        <v>17</v>
      </c>
      <c r="L8" s="39" t="s">
        <v>18</v>
      </c>
      <c r="M8" s="39" t="s">
        <v>19</v>
      </c>
      <c r="N8" s="39" t="s">
        <v>20</v>
      </c>
      <c r="O8" s="39" t="s">
        <v>21</v>
      </c>
      <c r="P8" s="39" t="s">
        <v>22</v>
      </c>
      <c r="Q8" s="39" t="s">
        <v>23</v>
      </c>
      <c r="R8" s="42" t="s">
        <v>24</v>
      </c>
    </row>
    <row r="9" spans="1:19" ht="1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3"/>
    </row>
    <row r="10" spans="1:19" ht="99.75" customHeight="1">
      <c r="A10" s="46"/>
      <c r="B10" s="46"/>
      <c r="C10" s="46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4"/>
    </row>
    <row r="11" spans="1:19" ht="15" customHeight="1">
      <c r="A11" s="2" t="s">
        <v>25</v>
      </c>
      <c r="B11" s="3">
        <v>1</v>
      </c>
      <c r="C11" s="4" t="s">
        <v>26</v>
      </c>
      <c r="D11" s="5">
        <v>9</v>
      </c>
      <c r="E11" s="6">
        <v>10</v>
      </c>
      <c r="F11" s="7">
        <v>9</v>
      </c>
      <c r="G11" s="6">
        <v>9</v>
      </c>
      <c r="H11" s="7">
        <v>10</v>
      </c>
      <c r="I11" s="7">
        <v>10</v>
      </c>
      <c r="J11" s="6">
        <v>10</v>
      </c>
      <c r="K11" s="6">
        <v>9</v>
      </c>
      <c r="L11" s="7">
        <v>7</v>
      </c>
      <c r="M11" s="7">
        <v>10</v>
      </c>
      <c r="N11" s="7">
        <v>10</v>
      </c>
      <c r="O11" s="6">
        <v>9</v>
      </c>
      <c r="P11" s="6">
        <v>9</v>
      </c>
      <c r="Q11" s="6">
        <v>10</v>
      </c>
      <c r="R11" s="8">
        <f t="shared" ref="R11:R38" si="0">AVERAGE(D11:Q11)</f>
        <v>9.3571428571428577</v>
      </c>
    </row>
    <row r="12" spans="1:19" ht="15" customHeight="1">
      <c r="A12" s="2" t="s">
        <v>27</v>
      </c>
      <c r="B12" s="3">
        <v>2</v>
      </c>
      <c r="C12" s="4" t="s">
        <v>28</v>
      </c>
      <c r="D12" s="5">
        <v>8</v>
      </c>
      <c r="E12" s="6">
        <v>8</v>
      </c>
      <c r="F12" s="7">
        <v>6</v>
      </c>
      <c r="G12" s="6">
        <v>7</v>
      </c>
      <c r="H12" s="7">
        <v>6</v>
      </c>
      <c r="I12" s="7">
        <v>8</v>
      </c>
      <c r="J12" s="6">
        <v>8</v>
      </c>
      <c r="K12" s="6">
        <v>8</v>
      </c>
      <c r="L12" s="7">
        <v>8</v>
      </c>
      <c r="M12" s="7">
        <v>10</v>
      </c>
      <c r="N12" s="7">
        <v>9</v>
      </c>
      <c r="O12" s="6">
        <v>8</v>
      </c>
      <c r="P12" s="6">
        <v>7</v>
      </c>
      <c r="Q12" s="6">
        <v>9</v>
      </c>
      <c r="R12" s="8">
        <f t="shared" si="0"/>
        <v>7.8571428571428568</v>
      </c>
    </row>
    <row r="13" spans="1:19" ht="15" customHeight="1">
      <c r="A13" s="2" t="s">
        <v>27</v>
      </c>
      <c r="B13" s="3">
        <v>3</v>
      </c>
      <c r="C13" s="4" t="s">
        <v>29</v>
      </c>
      <c r="D13" s="5">
        <v>4</v>
      </c>
      <c r="E13" s="6">
        <v>10</v>
      </c>
      <c r="F13" s="7">
        <v>4</v>
      </c>
      <c r="G13" s="6">
        <v>6</v>
      </c>
      <c r="H13" s="7">
        <v>5</v>
      </c>
      <c r="I13" s="7">
        <v>4</v>
      </c>
      <c r="J13" s="6">
        <v>6</v>
      </c>
      <c r="K13" s="6">
        <v>6</v>
      </c>
      <c r="L13" s="7">
        <v>6</v>
      </c>
      <c r="M13" s="7">
        <v>5</v>
      </c>
      <c r="N13" s="7">
        <v>7</v>
      </c>
      <c r="O13" s="6">
        <v>8</v>
      </c>
      <c r="P13" s="6">
        <v>7</v>
      </c>
      <c r="Q13" s="6">
        <v>6</v>
      </c>
      <c r="R13" s="8">
        <f t="shared" si="0"/>
        <v>6</v>
      </c>
    </row>
    <row r="14" spans="1:19" ht="15" customHeight="1">
      <c r="A14" s="2" t="s">
        <v>27</v>
      </c>
      <c r="B14" s="3">
        <v>4</v>
      </c>
      <c r="C14" s="4" t="s">
        <v>30</v>
      </c>
      <c r="D14" s="5">
        <v>9</v>
      </c>
      <c r="E14" s="6">
        <v>8</v>
      </c>
      <c r="F14" s="7">
        <v>4</v>
      </c>
      <c r="G14" s="6">
        <v>6</v>
      </c>
      <c r="H14" s="7">
        <v>7</v>
      </c>
      <c r="I14" s="7">
        <v>7</v>
      </c>
      <c r="J14" s="6">
        <v>7</v>
      </c>
      <c r="K14" s="6">
        <v>10</v>
      </c>
      <c r="L14" s="7">
        <v>7</v>
      </c>
      <c r="M14" s="7">
        <v>7</v>
      </c>
      <c r="N14" s="7">
        <v>7</v>
      </c>
      <c r="O14" s="6">
        <v>7</v>
      </c>
      <c r="P14" s="6">
        <v>7</v>
      </c>
      <c r="Q14" s="6">
        <v>8</v>
      </c>
      <c r="R14" s="8">
        <f t="shared" si="0"/>
        <v>7.2142857142857144</v>
      </c>
    </row>
    <row r="15" spans="1:19" ht="15" customHeight="1">
      <c r="A15" s="2" t="s">
        <v>25</v>
      </c>
      <c r="B15" s="3">
        <v>5</v>
      </c>
      <c r="C15" s="4" t="s">
        <v>31</v>
      </c>
      <c r="D15" s="5">
        <v>5</v>
      </c>
      <c r="E15" s="6">
        <v>10</v>
      </c>
      <c r="F15" s="7">
        <v>4</v>
      </c>
      <c r="G15" s="6">
        <v>6</v>
      </c>
      <c r="H15" s="7">
        <v>5</v>
      </c>
      <c r="I15" s="7">
        <v>4</v>
      </c>
      <c r="J15" s="6">
        <v>9</v>
      </c>
      <c r="K15" s="6">
        <v>6</v>
      </c>
      <c r="L15" s="7">
        <v>8</v>
      </c>
      <c r="M15" s="7">
        <v>8</v>
      </c>
      <c r="N15" s="7">
        <v>4</v>
      </c>
      <c r="O15" s="6">
        <v>8</v>
      </c>
      <c r="P15" s="6">
        <v>8</v>
      </c>
      <c r="Q15" s="6">
        <v>9</v>
      </c>
      <c r="R15" s="8">
        <f t="shared" si="0"/>
        <v>6.7142857142857144</v>
      </c>
    </row>
    <row r="16" spans="1:19" ht="15" customHeight="1">
      <c r="A16" s="2" t="s">
        <v>27</v>
      </c>
      <c r="B16" s="3">
        <v>6</v>
      </c>
      <c r="C16" s="4" t="s">
        <v>32</v>
      </c>
      <c r="D16" s="5">
        <v>4</v>
      </c>
      <c r="E16" s="6">
        <v>7</v>
      </c>
      <c r="F16" s="7">
        <v>4</v>
      </c>
      <c r="G16" s="6">
        <v>4</v>
      </c>
      <c r="H16" s="7">
        <v>4</v>
      </c>
      <c r="I16" s="7">
        <v>5</v>
      </c>
      <c r="J16" s="6">
        <v>5</v>
      </c>
      <c r="K16" s="6">
        <v>4</v>
      </c>
      <c r="L16" s="7">
        <v>6</v>
      </c>
      <c r="M16" s="7">
        <v>8</v>
      </c>
      <c r="N16" s="7">
        <v>5</v>
      </c>
      <c r="O16" s="6">
        <v>6</v>
      </c>
      <c r="P16" s="6">
        <v>6</v>
      </c>
      <c r="Q16" s="6">
        <v>7</v>
      </c>
      <c r="R16" s="8">
        <f t="shared" si="0"/>
        <v>5.3571428571428568</v>
      </c>
    </row>
    <row r="17" spans="1:26" ht="15" customHeight="1">
      <c r="A17" s="2" t="s">
        <v>25</v>
      </c>
      <c r="B17" s="3">
        <v>7</v>
      </c>
      <c r="C17" s="4" t="s">
        <v>33</v>
      </c>
      <c r="D17" s="5">
        <v>9</v>
      </c>
      <c r="E17" s="6">
        <v>10</v>
      </c>
      <c r="F17" s="7">
        <v>6</v>
      </c>
      <c r="G17" s="6">
        <v>7</v>
      </c>
      <c r="H17" s="7">
        <v>7</v>
      </c>
      <c r="I17" s="7">
        <v>8</v>
      </c>
      <c r="J17" s="6">
        <v>9</v>
      </c>
      <c r="K17" s="6">
        <v>8</v>
      </c>
      <c r="L17" s="7">
        <v>8</v>
      </c>
      <c r="M17" s="7">
        <v>10</v>
      </c>
      <c r="N17" s="7">
        <v>9</v>
      </c>
      <c r="O17" s="6">
        <v>8</v>
      </c>
      <c r="P17" s="6">
        <v>8</v>
      </c>
      <c r="Q17" s="6">
        <v>9</v>
      </c>
      <c r="R17" s="8">
        <f t="shared" si="0"/>
        <v>8.2857142857142865</v>
      </c>
    </row>
    <row r="18" spans="1:26" ht="15" customHeight="1">
      <c r="A18" s="2" t="s">
        <v>25</v>
      </c>
      <c r="B18" s="3">
        <v>8</v>
      </c>
      <c r="C18" s="4" t="s">
        <v>34</v>
      </c>
      <c r="D18" s="5">
        <v>10</v>
      </c>
      <c r="E18" s="6">
        <v>8</v>
      </c>
      <c r="F18" s="7">
        <v>8</v>
      </c>
      <c r="G18" s="6">
        <v>6</v>
      </c>
      <c r="H18" s="7">
        <v>9</v>
      </c>
      <c r="I18" s="7">
        <v>9</v>
      </c>
      <c r="J18" s="6">
        <v>10</v>
      </c>
      <c r="K18" s="6">
        <v>10</v>
      </c>
      <c r="L18" s="7">
        <v>8</v>
      </c>
      <c r="M18" s="7">
        <v>10</v>
      </c>
      <c r="N18" s="7">
        <v>11</v>
      </c>
      <c r="O18" s="6">
        <v>9</v>
      </c>
      <c r="P18" s="6">
        <v>8</v>
      </c>
      <c r="Q18" s="6">
        <v>9</v>
      </c>
      <c r="R18" s="8">
        <f t="shared" si="0"/>
        <v>8.9285714285714288</v>
      </c>
    </row>
    <row r="19" spans="1:26" ht="15" customHeight="1">
      <c r="A19" s="2" t="s">
        <v>25</v>
      </c>
      <c r="B19" s="3">
        <v>9</v>
      </c>
      <c r="C19" s="4" t="s">
        <v>35</v>
      </c>
      <c r="D19" s="5">
        <v>6</v>
      </c>
      <c r="E19" s="6">
        <v>9</v>
      </c>
      <c r="F19" s="7">
        <v>4</v>
      </c>
      <c r="G19" s="6">
        <v>6</v>
      </c>
      <c r="H19" s="7">
        <v>5</v>
      </c>
      <c r="I19" s="7">
        <v>5</v>
      </c>
      <c r="J19" s="6">
        <v>4</v>
      </c>
      <c r="K19" s="6">
        <v>7</v>
      </c>
      <c r="L19" s="7">
        <v>8</v>
      </c>
      <c r="M19" s="7">
        <v>8</v>
      </c>
      <c r="N19" s="7">
        <v>6</v>
      </c>
      <c r="O19" s="6">
        <v>8</v>
      </c>
      <c r="P19" s="6">
        <v>7</v>
      </c>
      <c r="Q19" s="6">
        <v>9</v>
      </c>
      <c r="R19" s="8">
        <f t="shared" si="0"/>
        <v>6.5714285714285712</v>
      </c>
    </row>
    <row r="20" spans="1:26" ht="15.75" customHeight="1">
      <c r="A20" s="2" t="s">
        <v>27</v>
      </c>
      <c r="B20" s="3">
        <v>10</v>
      </c>
      <c r="C20" s="4" t="s">
        <v>36</v>
      </c>
      <c r="D20" s="5">
        <v>8</v>
      </c>
      <c r="E20" s="6">
        <v>7</v>
      </c>
      <c r="F20" s="7">
        <v>4</v>
      </c>
      <c r="G20" s="6">
        <v>7</v>
      </c>
      <c r="H20" s="7">
        <v>6</v>
      </c>
      <c r="I20" s="7">
        <v>8</v>
      </c>
      <c r="J20" s="6">
        <v>7</v>
      </c>
      <c r="K20" s="6">
        <v>9</v>
      </c>
      <c r="L20" s="7">
        <v>9</v>
      </c>
      <c r="M20" s="7">
        <v>10</v>
      </c>
      <c r="N20" s="7">
        <v>10</v>
      </c>
      <c r="O20" s="6">
        <v>8</v>
      </c>
      <c r="P20" s="6">
        <v>6</v>
      </c>
      <c r="Q20" s="6">
        <v>9</v>
      </c>
      <c r="R20" s="8">
        <f t="shared" si="0"/>
        <v>7.7142857142857144</v>
      </c>
    </row>
    <row r="21" spans="1:26" ht="15.75" customHeight="1">
      <c r="A21" s="2" t="s">
        <v>25</v>
      </c>
      <c r="B21" s="3">
        <v>11</v>
      </c>
      <c r="C21" s="4" t="s">
        <v>37</v>
      </c>
      <c r="D21" s="5">
        <v>9</v>
      </c>
      <c r="E21" s="6">
        <v>10</v>
      </c>
      <c r="F21" s="7">
        <v>9</v>
      </c>
      <c r="G21" s="6">
        <v>8</v>
      </c>
      <c r="H21" s="7">
        <v>8</v>
      </c>
      <c r="I21" s="7">
        <v>10</v>
      </c>
      <c r="J21" s="6">
        <v>9</v>
      </c>
      <c r="K21" s="6">
        <v>9</v>
      </c>
      <c r="L21" s="7">
        <v>7</v>
      </c>
      <c r="M21" s="7">
        <v>10</v>
      </c>
      <c r="N21" s="7">
        <v>10</v>
      </c>
      <c r="O21" s="6">
        <v>8</v>
      </c>
      <c r="P21" s="6">
        <v>7</v>
      </c>
      <c r="Q21" s="6">
        <v>9</v>
      </c>
      <c r="R21" s="8">
        <f t="shared" si="0"/>
        <v>8.7857142857142865</v>
      </c>
    </row>
    <row r="22" spans="1:26" ht="15.75" customHeight="1">
      <c r="A22" s="2" t="s">
        <v>27</v>
      </c>
      <c r="B22" s="3">
        <v>12</v>
      </c>
      <c r="C22" s="4" t="s">
        <v>38</v>
      </c>
      <c r="D22" s="5">
        <v>9</v>
      </c>
      <c r="E22" s="6">
        <v>10</v>
      </c>
      <c r="F22" s="7">
        <v>4</v>
      </c>
      <c r="G22" s="6">
        <v>7</v>
      </c>
      <c r="H22" s="7">
        <v>6</v>
      </c>
      <c r="I22" s="7">
        <v>7</v>
      </c>
      <c r="J22" s="6">
        <v>4</v>
      </c>
      <c r="K22" s="6">
        <v>10</v>
      </c>
      <c r="L22" s="7">
        <v>7</v>
      </c>
      <c r="M22" s="7">
        <v>6</v>
      </c>
      <c r="N22" s="7">
        <v>6</v>
      </c>
      <c r="O22" s="6">
        <v>7</v>
      </c>
      <c r="P22" s="6">
        <v>8</v>
      </c>
      <c r="Q22" s="6">
        <v>10</v>
      </c>
      <c r="R22" s="8">
        <f t="shared" si="0"/>
        <v>7.2142857142857144</v>
      </c>
    </row>
    <row r="23" spans="1:26" ht="15.75" customHeight="1">
      <c r="A23" s="2" t="s">
        <v>27</v>
      </c>
      <c r="B23" s="3">
        <v>13</v>
      </c>
      <c r="C23" s="4" t="s">
        <v>39</v>
      </c>
      <c r="D23" s="5">
        <v>9</v>
      </c>
      <c r="E23" s="6">
        <v>10</v>
      </c>
      <c r="F23" s="7">
        <v>7</v>
      </c>
      <c r="G23" s="6">
        <v>7</v>
      </c>
      <c r="H23" s="7">
        <v>5</v>
      </c>
      <c r="I23" s="7">
        <v>7</v>
      </c>
      <c r="J23" s="6">
        <v>10</v>
      </c>
      <c r="K23" s="6">
        <v>8</v>
      </c>
      <c r="L23" s="7">
        <v>7</v>
      </c>
      <c r="M23" s="7">
        <v>9</v>
      </c>
      <c r="N23" s="7">
        <v>6</v>
      </c>
      <c r="O23" s="6">
        <v>9</v>
      </c>
      <c r="P23" s="6">
        <v>7</v>
      </c>
      <c r="Q23" s="6">
        <v>10</v>
      </c>
      <c r="R23" s="8">
        <f t="shared" si="0"/>
        <v>7.9285714285714288</v>
      </c>
    </row>
    <row r="24" spans="1:26" ht="15.75" customHeight="1">
      <c r="A24" s="2" t="s">
        <v>25</v>
      </c>
      <c r="B24" s="3">
        <v>14</v>
      </c>
      <c r="C24" s="4" t="s">
        <v>40</v>
      </c>
      <c r="D24" s="5">
        <v>5</v>
      </c>
      <c r="E24" s="6">
        <v>9</v>
      </c>
      <c r="F24" s="7">
        <v>4</v>
      </c>
      <c r="G24" s="6">
        <v>5</v>
      </c>
      <c r="H24" s="7" t="s">
        <v>41</v>
      </c>
      <c r="I24" s="7">
        <v>6</v>
      </c>
      <c r="J24" s="6">
        <v>5</v>
      </c>
      <c r="K24" s="6">
        <v>4</v>
      </c>
      <c r="L24" s="7">
        <v>5</v>
      </c>
      <c r="M24" s="7">
        <v>6</v>
      </c>
      <c r="N24" s="7">
        <v>7</v>
      </c>
      <c r="O24" s="6">
        <v>7</v>
      </c>
      <c r="P24" s="6">
        <v>5</v>
      </c>
      <c r="Q24" s="6">
        <v>8</v>
      </c>
      <c r="R24" s="8">
        <f t="shared" si="0"/>
        <v>5.8461538461538458</v>
      </c>
    </row>
    <row r="25" spans="1:26" ht="15.75" customHeight="1">
      <c r="A25" s="2" t="s">
        <v>27</v>
      </c>
      <c r="B25" s="3">
        <v>15</v>
      </c>
      <c r="C25" s="4" t="s">
        <v>42</v>
      </c>
      <c r="D25" s="5">
        <v>9</v>
      </c>
      <c r="E25" s="6">
        <v>8</v>
      </c>
      <c r="F25" s="7">
        <v>9</v>
      </c>
      <c r="G25" s="6">
        <v>8</v>
      </c>
      <c r="H25" s="7">
        <v>6</v>
      </c>
      <c r="I25" s="7">
        <v>10</v>
      </c>
      <c r="J25" s="6">
        <v>10</v>
      </c>
      <c r="K25" s="6">
        <v>9</v>
      </c>
      <c r="L25" s="7">
        <v>9</v>
      </c>
      <c r="M25" s="7">
        <v>9</v>
      </c>
      <c r="N25" s="7">
        <v>7</v>
      </c>
      <c r="O25" s="6">
        <v>8</v>
      </c>
      <c r="P25" s="6">
        <v>9</v>
      </c>
      <c r="Q25" s="6">
        <v>10</v>
      </c>
      <c r="R25" s="8">
        <f t="shared" si="0"/>
        <v>8.6428571428571423</v>
      </c>
    </row>
    <row r="26" spans="1:26" ht="15.75" customHeight="1">
      <c r="A26" s="2" t="s">
        <v>27</v>
      </c>
      <c r="B26" s="3">
        <v>16</v>
      </c>
      <c r="C26" s="4" t="s">
        <v>43</v>
      </c>
      <c r="D26" s="5">
        <v>4</v>
      </c>
      <c r="E26" s="6">
        <v>4</v>
      </c>
      <c r="F26" s="7">
        <v>4</v>
      </c>
      <c r="G26" s="6">
        <v>4</v>
      </c>
      <c r="H26" s="7">
        <v>5</v>
      </c>
      <c r="I26" s="7">
        <v>5</v>
      </c>
      <c r="J26" s="6">
        <v>5</v>
      </c>
      <c r="K26" s="6">
        <v>4</v>
      </c>
      <c r="L26" s="7">
        <v>5</v>
      </c>
      <c r="M26" s="7">
        <v>7</v>
      </c>
      <c r="N26" s="7">
        <v>5</v>
      </c>
      <c r="O26" s="6">
        <v>6</v>
      </c>
      <c r="P26" s="6">
        <v>6</v>
      </c>
      <c r="Q26" s="7">
        <v>4</v>
      </c>
      <c r="R26" s="8">
        <f t="shared" si="0"/>
        <v>4.8571428571428568</v>
      </c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2" t="s">
        <v>25</v>
      </c>
      <c r="B27" s="3">
        <v>17</v>
      </c>
      <c r="C27" s="4" t="s">
        <v>44</v>
      </c>
      <c r="D27" s="5">
        <v>10</v>
      </c>
      <c r="E27" s="6">
        <v>10</v>
      </c>
      <c r="F27" s="7">
        <v>8</v>
      </c>
      <c r="G27" s="6">
        <v>10</v>
      </c>
      <c r="H27" s="7">
        <v>9</v>
      </c>
      <c r="I27" s="7">
        <v>10</v>
      </c>
      <c r="J27" s="6">
        <v>10</v>
      </c>
      <c r="K27" s="6">
        <v>10</v>
      </c>
      <c r="L27" s="7">
        <v>9</v>
      </c>
      <c r="M27" s="7">
        <v>10</v>
      </c>
      <c r="N27" s="7">
        <v>11</v>
      </c>
      <c r="O27" s="6">
        <v>10</v>
      </c>
      <c r="P27" s="6">
        <v>8</v>
      </c>
      <c r="Q27" s="6">
        <v>10</v>
      </c>
      <c r="R27" s="8">
        <f t="shared" si="0"/>
        <v>9.6428571428571423</v>
      </c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2" t="s">
        <v>25</v>
      </c>
      <c r="B28" s="3">
        <v>18</v>
      </c>
      <c r="C28" s="4" t="s">
        <v>45</v>
      </c>
      <c r="D28" s="5">
        <v>7</v>
      </c>
      <c r="E28" s="6">
        <v>10</v>
      </c>
      <c r="F28" s="7">
        <v>5</v>
      </c>
      <c r="G28" s="6">
        <v>6</v>
      </c>
      <c r="H28" s="7">
        <v>4</v>
      </c>
      <c r="I28" s="7">
        <v>6</v>
      </c>
      <c r="J28" s="6">
        <v>5</v>
      </c>
      <c r="K28" s="6">
        <v>7</v>
      </c>
      <c r="L28" s="7">
        <v>7</v>
      </c>
      <c r="M28" s="7">
        <v>10</v>
      </c>
      <c r="N28" s="7">
        <v>8</v>
      </c>
      <c r="O28" s="6">
        <v>7</v>
      </c>
      <c r="P28" s="6">
        <v>6</v>
      </c>
      <c r="Q28" s="6">
        <v>10</v>
      </c>
      <c r="R28" s="8">
        <f t="shared" si="0"/>
        <v>7</v>
      </c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2" t="s">
        <v>25</v>
      </c>
      <c r="B29" s="3">
        <v>19</v>
      </c>
      <c r="C29" s="4" t="s">
        <v>46</v>
      </c>
      <c r="D29" s="5">
        <v>9</v>
      </c>
      <c r="E29" s="6">
        <v>8</v>
      </c>
      <c r="F29" s="7">
        <v>4</v>
      </c>
      <c r="G29" s="6">
        <v>6</v>
      </c>
      <c r="H29" s="7">
        <v>5</v>
      </c>
      <c r="I29" s="7">
        <v>7</v>
      </c>
      <c r="J29" s="6">
        <v>6</v>
      </c>
      <c r="K29" s="6">
        <v>9</v>
      </c>
      <c r="L29" s="7">
        <v>7</v>
      </c>
      <c r="M29" s="7">
        <v>10</v>
      </c>
      <c r="N29" s="7">
        <v>7</v>
      </c>
      <c r="O29" s="6">
        <v>8</v>
      </c>
      <c r="P29" s="6">
        <v>8</v>
      </c>
      <c r="Q29" s="6">
        <v>10</v>
      </c>
      <c r="R29" s="8">
        <f t="shared" si="0"/>
        <v>7.4285714285714288</v>
      </c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2" t="s">
        <v>27</v>
      </c>
      <c r="B30" s="3">
        <v>20</v>
      </c>
      <c r="C30" s="4" t="s">
        <v>47</v>
      </c>
      <c r="D30" s="5">
        <v>4</v>
      </c>
      <c r="E30" s="6">
        <v>6</v>
      </c>
      <c r="F30" s="7">
        <v>4</v>
      </c>
      <c r="G30" s="6">
        <v>6</v>
      </c>
      <c r="H30" s="7">
        <v>5</v>
      </c>
      <c r="I30" s="7">
        <v>8</v>
      </c>
      <c r="J30" s="6">
        <v>7</v>
      </c>
      <c r="K30" s="6">
        <v>6</v>
      </c>
      <c r="L30" s="7">
        <v>7</v>
      </c>
      <c r="M30" s="7">
        <v>9</v>
      </c>
      <c r="N30" s="7">
        <v>6</v>
      </c>
      <c r="O30" s="6">
        <v>6</v>
      </c>
      <c r="P30" s="6">
        <v>7</v>
      </c>
      <c r="Q30" s="6">
        <v>8</v>
      </c>
      <c r="R30" s="8">
        <f t="shared" si="0"/>
        <v>6.3571428571428568</v>
      </c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2" t="s">
        <v>25</v>
      </c>
      <c r="B31" s="3">
        <v>21</v>
      </c>
      <c r="C31" s="4" t="s">
        <v>48</v>
      </c>
      <c r="D31" s="5">
        <v>10</v>
      </c>
      <c r="E31" s="6">
        <v>10</v>
      </c>
      <c r="F31" s="7">
        <v>7</v>
      </c>
      <c r="G31" s="6">
        <v>10</v>
      </c>
      <c r="H31" s="7">
        <v>7</v>
      </c>
      <c r="I31" s="7">
        <v>10</v>
      </c>
      <c r="J31" s="6">
        <v>9</v>
      </c>
      <c r="K31" s="6">
        <v>10</v>
      </c>
      <c r="L31" s="7">
        <v>9</v>
      </c>
      <c r="M31" s="7">
        <v>10</v>
      </c>
      <c r="N31" s="7">
        <v>11</v>
      </c>
      <c r="O31" s="6">
        <v>10</v>
      </c>
      <c r="P31" s="6">
        <v>9</v>
      </c>
      <c r="Q31" s="6">
        <v>10</v>
      </c>
      <c r="R31" s="8">
        <f t="shared" si="0"/>
        <v>9.4285714285714288</v>
      </c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2" t="s">
        <v>25</v>
      </c>
      <c r="B32" s="3">
        <v>22</v>
      </c>
      <c r="C32" s="4" t="s">
        <v>49</v>
      </c>
      <c r="D32" s="5">
        <v>6</v>
      </c>
      <c r="E32" s="6">
        <v>7</v>
      </c>
      <c r="F32" s="7">
        <v>4</v>
      </c>
      <c r="G32" s="6">
        <v>5</v>
      </c>
      <c r="H32" s="7">
        <v>6</v>
      </c>
      <c r="I32" s="7">
        <v>6</v>
      </c>
      <c r="J32" s="6">
        <v>4</v>
      </c>
      <c r="K32" s="6">
        <v>6</v>
      </c>
      <c r="L32" s="7">
        <v>4</v>
      </c>
      <c r="M32" s="7">
        <v>9</v>
      </c>
      <c r="N32" s="7">
        <v>6</v>
      </c>
      <c r="O32" s="6">
        <v>8</v>
      </c>
      <c r="P32" s="6">
        <v>6</v>
      </c>
      <c r="Q32" s="6">
        <v>8</v>
      </c>
      <c r="R32" s="8">
        <f t="shared" si="0"/>
        <v>6.0714285714285712</v>
      </c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2" t="s">
        <v>25</v>
      </c>
      <c r="B33" s="3">
        <v>23</v>
      </c>
      <c r="C33" s="4" t="s">
        <v>50</v>
      </c>
      <c r="D33" s="5">
        <v>10</v>
      </c>
      <c r="E33" s="6">
        <v>10</v>
      </c>
      <c r="F33" s="7">
        <v>9</v>
      </c>
      <c r="G33" s="6">
        <v>10</v>
      </c>
      <c r="H33" s="7">
        <v>10</v>
      </c>
      <c r="I33" s="7">
        <v>10</v>
      </c>
      <c r="J33" s="6">
        <v>10</v>
      </c>
      <c r="K33" s="6">
        <v>10</v>
      </c>
      <c r="L33" s="7">
        <v>9</v>
      </c>
      <c r="M33" s="7">
        <v>9</v>
      </c>
      <c r="N33" s="7">
        <v>10</v>
      </c>
      <c r="O33" s="6">
        <v>10</v>
      </c>
      <c r="P33" s="6">
        <v>9</v>
      </c>
      <c r="Q33" s="6">
        <v>10</v>
      </c>
      <c r="R33" s="8">
        <f t="shared" si="0"/>
        <v>9.7142857142857135</v>
      </c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2" t="s">
        <v>27</v>
      </c>
      <c r="B34" s="3">
        <v>24</v>
      </c>
      <c r="C34" s="4" t="s">
        <v>51</v>
      </c>
      <c r="D34" s="5">
        <v>9</v>
      </c>
      <c r="E34" s="6">
        <v>8</v>
      </c>
      <c r="F34" s="7">
        <v>7</v>
      </c>
      <c r="G34" s="6">
        <v>9</v>
      </c>
      <c r="H34" s="7">
        <v>8</v>
      </c>
      <c r="I34" s="7">
        <v>9</v>
      </c>
      <c r="J34" s="6">
        <v>9</v>
      </c>
      <c r="K34" s="6">
        <v>9</v>
      </c>
      <c r="L34" s="7">
        <v>8</v>
      </c>
      <c r="M34" s="7">
        <v>9</v>
      </c>
      <c r="N34" s="7">
        <v>11</v>
      </c>
      <c r="O34" s="6">
        <v>10</v>
      </c>
      <c r="P34" s="6">
        <v>8</v>
      </c>
      <c r="Q34" s="6">
        <v>9</v>
      </c>
      <c r="R34" s="8">
        <f t="shared" si="0"/>
        <v>8.7857142857142865</v>
      </c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2" t="s">
        <v>27</v>
      </c>
      <c r="B35" s="3">
        <v>25</v>
      </c>
      <c r="C35" s="4" t="s">
        <v>52</v>
      </c>
      <c r="D35" s="5">
        <v>6</v>
      </c>
      <c r="E35" s="6">
        <v>7</v>
      </c>
      <c r="F35" s="7">
        <v>4</v>
      </c>
      <c r="G35" s="6">
        <v>6</v>
      </c>
      <c r="H35" s="7">
        <v>5</v>
      </c>
      <c r="I35" s="7">
        <v>6</v>
      </c>
      <c r="J35" s="6">
        <v>7</v>
      </c>
      <c r="K35" s="6">
        <v>6</v>
      </c>
      <c r="L35" s="7">
        <v>6</v>
      </c>
      <c r="M35" s="7">
        <v>10</v>
      </c>
      <c r="N35" s="7">
        <v>6</v>
      </c>
      <c r="O35" s="6">
        <v>7</v>
      </c>
      <c r="P35" s="6">
        <v>6</v>
      </c>
      <c r="Q35" s="6">
        <v>8</v>
      </c>
      <c r="R35" s="8">
        <f t="shared" si="0"/>
        <v>6.4285714285714288</v>
      </c>
    </row>
    <row r="36" spans="1:26" ht="15.75" customHeight="1">
      <c r="A36" s="2" t="s">
        <v>27</v>
      </c>
      <c r="B36" s="3">
        <v>26</v>
      </c>
      <c r="C36" s="4" t="s">
        <v>53</v>
      </c>
      <c r="D36" s="5">
        <v>4</v>
      </c>
      <c r="E36" s="6">
        <v>8</v>
      </c>
      <c r="F36" s="7">
        <v>4</v>
      </c>
      <c r="G36" s="6">
        <v>6</v>
      </c>
      <c r="H36" s="7">
        <v>5</v>
      </c>
      <c r="I36" s="7">
        <v>5</v>
      </c>
      <c r="J36" s="6">
        <v>4</v>
      </c>
      <c r="K36" s="6">
        <v>4</v>
      </c>
      <c r="L36" s="7">
        <v>5</v>
      </c>
      <c r="M36" s="7">
        <v>5</v>
      </c>
      <c r="N36" s="7">
        <v>6</v>
      </c>
      <c r="O36" s="6">
        <v>6</v>
      </c>
      <c r="P36" s="6">
        <v>5</v>
      </c>
      <c r="Q36" s="6">
        <v>7</v>
      </c>
      <c r="R36" s="8">
        <f t="shared" si="0"/>
        <v>5.2857142857142856</v>
      </c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2" t="s">
        <v>25</v>
      </c>
      <c r="B37" s="3">
        <v>27</v>
      </c>
      <c r="C37" s="4" t="s">
        <v>54</v>
      </c>
      <c r="D37" s="5">
        <v>4</v>
      </c>
      <c r="E37" s="6">
        <v>9</v>
      </c>
      <c r="F37" s="7">
        <v>7</v>
      </c>
      <c r="G37" s="6">
        <v>7</v>
      </c>
      <c r="H37" s="7">
        <v>7</v>
      </c>
      <c r="I37" s="7">
        <v>5</v>
      </c>
      <c r="J37" s="6">
        <v>5</v>
      </c>
      <c r="K37" s="6">
        <v>5</v>
      </c>
      <c r="L37" s="7">
        <v>5</v>
      </c>
      <c r="M37" s="7">
        <v>5</v>
      </c>
      <c r="N37" s="7">
        <v>4</v>
      </c>
      <c r="O37" s="6">
        <v>7</v>
      </c>
      <c r="P37" s="6">
        <v>8</v>
      </c>
      <c r="Q37" s="6">
        <v>8</v>
      </c>
      <c r="R37" s="8">
        <f t="shared" si="0"/>
        <v>6.1428571428571432</v>
      </c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1"/>
      <c r="B38" s="1"/>
      <c r="C38" s="10" t="s">
        <v>55</v>
      </c>
      <c r="D38" s="11">
        <f t="shared" ref="D38:Q38" si="1">AVERAGE(D11:D37)</f>
        <v>7.2592592592592595</v>
      </c>
      <c r="E38" s="11">
        <f t="shared" si="1"/>
        <v>8.5555555555555554</v>
      </c>
      <c r="F38" s="11">
        <f t="shared" si="1"/>
        <v>5.666666666666667</v>
      </c>
      <c r="G38" s="11">
        <f t="shared" si="1"/>
        <v>6.8148148148148149</v>
      </c>
      <c r="H38" s="11">
        <f t="shared" si="1"/>
        <v>6.3461538461538458</v>
      </c>
      <c r="I38" s="11">
        <f t="shared" si="1"/>
        <v>7.2222222222222223</v>
      </c>
      <c r="J38" s="11">
        <f t="shared" si="1"/>
        <v>7.1851851851851851</v>
      </c>
      <c r="K38" s="11">
        <f t="shared" si="1"/>
        <v>7.5185185185185182</v>
      </c>
      <c r="L38" s="11">
        <f t="shared" si="1"/>
        <v>7.0740740740740744</v>
      </c>
      <c r="M38" s="12">
        <f t="shared" si="1"/>
        <v>8.481481481481481</v>
      </c>
      <c r="N38" s="12">
        <f t="shared" si="1"/>
        <v>7.5925925925925926</v>
      </c>
      <c r="O38" s="11">
        <f t="shared" si="1"/>
        <v>7.8888888888888893</v>
      </c>
      <c r="P38" s="13">
        <f t="shared" si="1"/>
        <v>7.2222222222222223</v>
      </c>
      <c r="Q38" s="11">
        <f t="shared" si="1"/>
        <v>8.6666666666666661</v>
      </c>
      <c r="R38" s="11">
        <f t="shared" si="0"/>
        <v>7.3924501424501434</v>
      </c>
    </row>
    <row r="39" spans="1:26" ht="15.75" customHeight="1">
      <c r="A39" s="1"/>
      <c r="B39" s="1"/>
      <c r="C39" s="14" t="s">
        <v>56</v>
      </c>
      <c r="D39" s="26">
        <f>(COUNT(D11:D37))/(COUNT(R11:R37))*100</f>
        <v>100</v>
      </c>
      <c r="E39" s="26">
        <f>(COUNT(E11:E37))/(COUNT(R11:R37))*100</f>
        <v>100</v>
      </c>
      <c r="F39" s="26">
        <f>(COUNT(F11:F37))/(COUNT(R11:R37))*100</f>
        <v>100</v>
      </c>
      <c r="G39" s="26">
        <f>(COUNT(G11:G37))/(COUNT(R11:R37))*100</f>
        <v>100</v>
      </c>
      <c r="H39" s="26">
        <f>(COUNT(H11:H37))/(COUNT(R11:R37))*100</f>
        <v>96.296296296296291</v>
      </c>
      <c r="I39" s="26">
        <f>(COUNT(I11:I37))/(COUNT(R11:R37))*100</f>
        <v>100</v>
      </c>
      <c r="J39" s="26">
        <f>(COUNT(J11:J37))/(COUNT(R11:R37))*100</f>
        <v>100</v>
      </c>
      <c r="K39" s="26">
        <f>(COUNT(K11:K37))/(COUNT(R11:R37))*100</f>
        <v>100</v>
      </c>
      <c r="L39" s="26">
        <f>(COUNT(L11:L37))/(COUNT(R11:R37))*100</f>
        <v>100</v>
      </c>
      <c r="M39" s="26">
        <f>(COUNT(M11:M37))/(COUNT(R11:R37))*100</f>
        <v>100</v>
      </c>
      <c r="N39" s="26">
        <f>(COUNT(N11:N37))/(COUNT(R11:R37))*100</f>
        <v>100</v>
      </c>
      <c r="O39" s="26">
        <f>(COUNT(O11:O37))/(COUNT(R11:R37))*100</f>
        <v>100</v>
      </c>
      <c r="P39" s="26">
        <f>(COUNT(P11:P37))/(COUNT(R11:R37))*100</f>
        <v>100</v>
      </c>
      <c r="Q39" s="26">
        <f>(COUNT(Q11:Q37))/(COUNT(R11:R37))*100</f>
        <v>100</v>
      </c>
      <c r="R39" s="15"/>
    </row>
    <row r="40" spans="1:26" ht="15.75" customHeight="1">
      <c r="A40" s="1"/>
      <c r="B40" s="1"/>
      <c r="C40" s="16" t="s">
        <v>57</v>
      </c>
      <c r="D40" s="27">
        <f>(COUNTIF(D11:D37,"&gt;6"))/(COUNT(R11:R37))*100</f>
        <v>59.259259259259252</v>
      </c>
      <c r="E40" s="27">
        <f>(COUNTIF(E11:E37,"&gt;6"))/(COUNT(R11:R37))*100</f>
        <v>92.592592592592595</v>
      </c>
      <c r="F40" s="27">
        <f>(COUNTIF(F11:F37,"&gt;6"))/(COUNT(R11:R37))*100</f>
        <v>37.037037037037038</v>
      </c>
      <c r="G40" s="27">
        <f>(COUNTIF(G11:G37,"&gt;6"))/(COUNT(R11:R37))*100</f>
        <v>48.148148148148145</v>
      </c>
      <c r="H40" s="27">
        <f>(COUNTIF(H11:H37,"&gt;6"))/(COUNT(R11:R37))*100</f>
        <v>37.037037037037038</v>
      </c>
      <c r="I40" s="27">
        <f>(COUNTIF(I11:I37,"&gt;6"))/(COUNT(R11:R37))*100</f>
        <v>59.259259259259252</v>
      </c>
      <c r="J40" s="27">
        <f>(COUNTIF(J11:J37,"&gt;6"))/(COUNT(R11:R37))*100</f>
        <v>59.259259259259252</v>
      </c>
      <c r="K40" s="27">
        <f>(COUNTIF(K11:K37,"&gt;6"))/(COUNT(R11:R37))*100</f>
        <v>62.962962962962962</v>
      </c>
      <c r="L40" s="27">
        <f>(COUNTIF(L11:L37,"&gt;6"))/(COUNT(R11:R37))*100</f>
        <v>70.370370370370367</v>
      </c>
      <c r="M40" s="27">
        <f>(COUNTIF(M11:M37,"&gt;6"))/(COUNT(R11:R37))*100</f>
        <v>81.481481481481481</v>
      </c>
      <c r="N40" s="27">
        <f>(COUNTIF(N11:N37,"&gt;6"))/(COUNT(R11:R37))*100</f>
        <v>59.259259259259252</v>
      </c>
      <c r="O40" s="27">
        <f>(COUNTIF(O11:O37,"&gt;6"))/(COUNT(R11:R37))*100</f>
        <v>85.18518518518519</v>
      </c>
      <c r="P40" s="27">
        <f>(COUNTIF(P11:P37,"&gt;6"))/(COUNT(R11:R37))*100</f>
        <v>70.370370370370367</v>
      </c>
      <c r="Q40" s="27">
        <f>(COUNTIF(Q11:Q37,"&gt;6"))/(COUNT(R11:R37))*100</f>
        <v>92.592592592592595</v>
      </c>
      <c r="R40" s="15"/>
    </row>
    <row r="41" spans="1:26" ht="15.75" customHeight="1">
      <c r="A41" s="1"/>
      <c r="B41" s="1"/>
      <c r="C41" s="16" t="s">
        <v>58</v>
      </c>
      <c r="D41" s="11">
        <f t="shared" ref="D41:D42" si="2">AVERAGE(D39:Q39)</f>
        <v>99.735449735449734</v>
      </c>
      <c r="E41" s="17"/>
      <c r="F41" s="17"/>
      <c r="G41" s="17"/>
      <c r="H41" s="17"/>
      <c r="I41" s="18"/>
      <c r="J41" s="18"/>
      <c r="K41" s="18"/>
      <c r="L41" s="18"/>
      <c r="M41" s="18"/>
      <c r="N41" s="18"/>
      <c r="O41" s="18"/>
      <c r="P41" s="18"/>
      <c r="Q41" s="18"/>
      <c r="R41" s="19"/>
    </row>
    <row r="42" spans="1:26" ht="15.75" customHeight="1">
      <c r="A42" s="1"/>
      <c r="B42" s="1"/>
      <c r="C42" s="16" t="s">
        <v>59</v>
      </c>
      <c r="D42" s="11">
        <f t="shared" si="2"/>
        <v>65.343915343915342</v>
      </c>
      <c r="E42" s="17"/>
      <c r="F42" s="17"/>
      <c r="G42" s="17"/>
      <c r="H42" s="17"/>
      <c r="I42" s="18"/>
      <c r="J42" s="18"/>
      <c r="K42" s="18"/>
      <c r="L42" s="18"/>
      <c r="M42" s="18"/>
      <c r="N42" s="18"/>
      <c r="O42" s="18"/>
      <c r="P42" s="18"/>
      <c r="Q42" s="18"/>
      <c r="R42" s="19"/>
    </row>
    <row r="43" spans="1:26" ht="15.75" customHeight="1">
      <c r="C43" s="16" t="s">
        <v>60</v>
      </c>
      <c r="D43" s="28">
        <f>COUNTIF(A11:A37,"=Б")</f>
        <v>14</v>
      </c>
    </row>
    <row r="44" spans="1:26" ht="15.75" customHeight="1">
      <c r="A44" s="9"/>
      <c r="B44" s="9"/>
      <c r="C44" s="16" t="s">
        <v>61</v>
      </c>
      <c r="D44" s="28">
        <f>COUNTIF(A11:A37,"=К")</f>
        <v>13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C45" s="16" t="s">
        <v>62</v>
      </c>
      <c r="D45" s="29">
        <v>2</v>
      </c>
    </row>
    <row r="46" spans="1:26" ht="15.75" customHeight="1">
      <c r="C46" s="16" t="s">
        <v>63</v>
      </c>
      <c r="D46" s="30">
        <f>INT(D43/100*40)</f>
        <v>5</v>
      </c>
    </row>
    <row r="47" spans="1:26" ht="15.75" customHeight="1">
      <c r="F47" s="20" t="s">
        <v>64</v>
      </c>
      <c r="G47" s="20"/>
      <c r="H47" s="20"/>
      <c r="I47" s="21"/>
      <c r="J47" s="21"/>
      <c r="K47" s="20" t="s">
        <v>65</v>
      </c>
      <c r="L47" s="20"/>
    </row>
    <row r="48" spans="1:26" ht="15.75" customHeight="1"/>
    <row r="49" spans="5:12" ht="15.75" customHeight="1">
      <c r="F49" s="20" t="s">
        <v>66</v>
      </c>
      <c r="G49" s="20"/>
      <c r="H49" s="20"/>
      <c r="I49" s="20"/>
      <c r="J49" s="20"/>
      <c r="K49" s="20" t="s">
        <v>67</v>
      </c>
      <c r="L49" s="20"/>
    </row>
    <row r="50" spans="5:12" ht="15.75" customHeight="1">
      <c r="E50" s="22"/>
    </row>
    <row r="51" spans="5:12" ht="15.75" customHeight="1"/>
    <row r="52" spans="5:12" ht="15.75" customHeight="1"/>
    <row r="53" spans="5:12" ht="15.75" customHeight="1"/>
    <row r="54" spans="5:12" ht="15.75" customHeight="1"/>
    <row r="55" spans="5:12" ht="15.75" customHeight="1"/>
    <row r="56" spans="5:12" ht="15.75" customHeight="1"/>
    <row r="57" spans="5:12" ht="15.75" customHeight="1"/>
    <row r="58" spans="5:12" ht="15.75" customHeight="1"/>
    <row r="59" spans="5:12" ht="15.75" customHeight="1"/>
    <row r="60" spans="5:12" ht="15.75" customHeight="1"/>
    <row r="61" spans="5:12" ht="15.75" customHeight="1"/>
    <row r="62" spans="5:12" ht="15.75" customHeight="1"/>
    <row r="63" spans="5:12" ht="15.75" customHeight="1"/>
    <row r="64" spans="5:12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/>
    <row r="70" spans="1:4" ht="15.75" customHeight="1"/>
    <row r="71" spans="1:4" ht="15.75" customHeight="1"/>
    <row r="72" spans="1:4" ht="15.75" customHeight="1"/>
    <row r="73" spans="1:4" ht="15.75" customHeight="1"/>
    <row r="74" spans="1:4" ht="15.75" customHeight="1"/>
    <row r="75" spans="1:4" ht="15.75" customHeight="1">
      <c r="A75" s="23">
        <f>D43</f>
        <v>14</v>
      </c>
      <c r="B75" s="23">
        <f>D44</f>
        <v>13</v>
      </c>
      <c r="C75" s="24">
        <f>D45</f>
        <v>2</v>
      </c>
      <c r="D75" s="25">
        <f>D46</f>
        <v>5</v>
      </c>
    </row>
    <row r="76" spans="1:4" ht="15.75" customHeight="1">
      <c r="A76" s="23">
        <f>D43</f>
        <v>14</v>
      </c>
      <c r="B76" s="23">
        <f>D44</f>
        <v>13</v>
      </c>
      <c r="C76" s="24">
        <f>D45</f>
        <v>2</v>
      </c>
      <c r="D76" s="25">
        <f>D46</f>
        <v>5</v>
      </c>
    </row>
    <row r="77" spans="1:4" ht="15.75" customHeight="1">
      <c r="A77" s="23">
        <f>D43</f>
        <v>14</v>
      </c>
      <c r="B77" s="23">
        <f>D44</f>
        <v>13</v>
      </c>
      <c r="C77" s="24">
        <f>D45</f>
        <v>2</v>
      </c>
      <c r="D77" s="25">
        <f>D46</f>
        <v>5</v>
      </c>
    </row>
    <row r="78" spans="1:4" ht="15.75" customHeight="1">
      <c r="A78" s="23">
        <f>D43</f>
        <v>14</v>
      </c>
      <c r="B78" s="23">
        <f>D44</f>
        <v>13</v>
      </c>
      <c r="C78" s="24">
        <f>D45</f>
        <v>2</v>
      </c>
      <c r="D78" s="25">
        <f>D46</f>
        <v>5</v>
      </c>
    </row>
    <row r="79" spans="1:4" ht="15.75" customHeight="1">
      <c r="A79" s="23">
        <f>D43</f>
        <v>14</v>
      </c>
      <c r="B79" s="23">
        <f>D44</f>
        <v>13</v>
      </c>
      <c r="C79" s="24">
        <f>D45</f>
        <v>2</v>
      </c>
      <c r="D79" s="25">
        <f>D46</f>
        <v>5</v>
      </c>
    </row>
    <row r="80" spans="1:4" ht="15.75" customHeight="1">
      <c r="A80" s="23">
        <f>D43</f>
        <v>14</v>
      </c>
      <c r="B80" s="23">
        <f>D44</f>
        <v>13</v>
      </c>
      <c r="C80" s="24">
        <f>D45</f>
        <v>2</v>
      </c>
      <c r="D80" s="25">
        <f>D46</f>
        <v>5</v>
      </c>
    </row>
    <row r="81" spans="1:4" ht="15.75" customHeight="1">
      <c r="A81" s="23">
        <f>D43</f>
        <v>14</v>
      </c>
      <c r="B81" s="23">
        <f>D44</f>
        <v>13</v>
      </c>
      <c r="C81" s="24">
        <f>D45</f>
        <v>2</v>
      </c>
      <c r="D81" s="25">
        <f>D46</f>
        <v>5</v>
      </c>
    </row>
    <row r="82" spans="1:4" ht="15.75" customHeight="1">
      <c r="A82" s="23">
        <f>D43</f>
        <v>14</v>
      </c>
      <c r="B82" s="23">
        <f>D44</f>
        <v>13</v>
      </c>
      <c r="C82" s="24">
        <f>D45</f>
        <v>2</v>
      </c>
      <c r="D82" s="25">
        <f>D46</f>
        <v>5</v>
      </c>
    </row>
    <row r="83" spans="1:4" ht="15.75" customHeight="1">
      <c r="A83" s="23">
        <f>D43</f>
        <v>14</v>
      </c>
      <c r="B83" s="23">
        <f>D44</f>
        <v>13</v>
      </c>
      <c r="C83" s="24">
        <f>D45</f>
        <v>2</v>
      </c>
      <c r="D83" s="25">
        <f>D46</f>
        <v>5</v>
      </c>
    </row>
    <row r="84" spans="1:4" ht="15.75" customHeight="1">
      <c r="A84" s="23">
        <f>D43</f>
        <v>14</v>
      </c>
      <c r="B84" s="23">
        <f>D44</f>
        <v>13</v>
      </c>
      <c r="C84" s="24">
        <f>D45</f>
        <v>2</v>
      </c>
      <c r="D84" s="25">
        <f>D46</f>
        <v>5</v>
      </c>
    </row>
    <row r="85" spans="1:4" ht="15.75" customHeight="1">
      <c r="A85" s="23">
        <f>D43</f>
        <v>14</v>
      </c>
      <c r="B85" s="23">
        <f>D44</f>
        <v>13</v>
      </c>
      <c r="C85" s="24">
        <f>D45</f>
        <v>2</v>
      </c>
      <c r="D85" s="25">
        <f>D46</f>
        <v>5</v>
      </c>
    </row>
    <row r="86" spans="1:4" ht="15.75" customHeight="1">
      <c r="A86" s="23">
        <f>D43</f>
        <v>14</v>
      </c>
      <c r="B86" s="23">
        <f>D44</f>
        <v>13</v>
      </c>
      <c r="C86" s="24">
        <f>D45</f>
        <v>2</v>
      </c>
      <c r="D86" s="25">
        <f>D46</f>
        <v>5</v>
      </c>
    </row>
    <row r="87" spans="1:4" ht="15.75" customHeight="1">
      <c r="A87" s="23">
        <f>D43</f>
        <v>14</v>
      </c>
      <c r="B87" s="23">
        <f>D44</f>
        <v>13</v>
      </c>
      <c r="C87" s="24">
        <f>D45</f>
        <v>2</v>
      </c>
      <c r="D87" s="25">
        <f>D46</f>
        <v>5</v>
      </c>
    </row>
    <row r="88" spans="1:4" ht="15.75" customHeight="1">
      <c r="A88" s="23">
        <f>D43</f>
        <v>14</v>
      </c>
      <c r="B88" s="23">
        <f>D44</f>
        <v>13</v>
      </c>
      <c r="C88" s="24">
        <f>D45</f>
        <v>2</v>
      </c>
      <c r="D88" s="25">
        <f>D46</f>
        <v>5</v>
      </c>
    </row>
    <row r="89" spans="1:4" ht="15.75" customHeight="1">
      <c r="A89" s="23">
        <f>D43</f>
        <v>14</v>
      </c>
      <c r="B89" s="23">
        <f>D44</f>
        <v>13</v>
      </c>
      <c r="C89" s="24">
        <f>D45</f>
        <v>2</v>
      </c>
      <c r="D89" s="25">
        <f>D46</f>
        <v>5</v>
      </c>
    </row>
    <row r="90" spans="1:4" ht="15.75" customHeight="1">
      <c r="A90" s="23">
        <f>D43</f>
        <v>14</v>
      </c>
      <c r="B90" s="23">
        <f>D44</f>
        <v>13</v>
      </c>
      <c r="C90" s="24">
        <f>D45</f>
        <v>2</v>
      </c>
      <c r="D90" s="25">
        <f>D46</f>
        <v>5</v>
      </c>
    </row>
    <row r="91" spans="1:4" ht="15.75" customHeight="1">
      <c r="A91" s="23">
        <f>D43</f>
        <v>14</v>
      </c>
      <c r="B91" s="23">
        <f>D44</f>
        <v>13</v>
      </c>
      <c r="C91" s="24">
        <f>D45</f>
        <v>2</v>
      </c>
      <c r="D91" s="25">
        <f>D46</f>
        <v>5</v>
      </c>
    </row>
    <row r="92" spans="1:4" ht="15.75" customHeight="1">
      <c r="A92" s="23">
        <f>D43</f>
        <v>14</v>
      </c>
      <c r="B92" s="23">
        <f>D44</f>
        <v>13</v>
      </c>
      <c r="C92" s="24">
        <f>D45</f>
        <v>2</v>
      </c>
      <c r="D92" s="25">
        <f>D46</f>
        <v>5</v>
      </c>
    </row>
    <row r="93" spans="1:4" ht="15.75" customHeight="1">
      <c r="A93" s="23">
        <f>D43</f>
        <v>14</v>
      </c>
      <c r="B93" s="23">
        <f>D44</f>
        <v>13</v>
      </c>
      <c r="C93" s="24">
        <f>D45</f>
        <v>2</v>
      </c>
      <c r="D93" s="25">
        <f>D46</f>
        <v>5</v>
      </c>
    </row>
    <row r="94" spans="1:4" ht="15.75" customHeight="1">
      <c r="A94" s="23">
        <f>D43</f>
        <v>14</v>
      </c>
      <c r="B94" s="23">
        <f>D44</f>
        <v>13</v>
      </c>
      <c r="C94" s="24">
        <f>D45</f>
        <v>2</v>
      </c>
      <c r="D94" s="25">
        <f>D46</f>
        <v>5</v>
      </c>
    </row>
    <row r="95" spans="1:4" ht="15.75" customHeight="1">
      <c r="A95" s="23">
        <f>D43</f>
        <v>14</v>
      </c>
      <c r="B95" s="23">
        <f>D44</f>
        <v>13</v>
      </c>
      <c r="C95" s="24">
        <f>D45</f>
        <v>2</v>
      </c>
      <c r="D95" s="25">
        <f>D46</f>
        <v>5</v>
      </c>
    </row>
    <row r="96" spans="1:4" ht="15.75" customHeight="1">
      <c r="A96" s="23">
        <f>D43</f>
        <v>14</v>
      </c>
      <c r="B96" s="23">
        <f>D44</f>
        <v>13</v>
      </c>
      <c r="C96" s="24">
        <f>D45</f>
        <v>2</v>
      </c>
      <c r="D96" s="25">
        <f>D46</f>
        <v>5</v>
      </c>
    </row>
    <row r="97" spans="1:4" ht="15.75" customHeight="1">
      <c r="A97" s="23">
        <f>D43</f>
        <v>14</v>
      </c>
      <c r="B97" s="23">
        <f>D44</f>
        <v>13</v>
      </c>
      <c r="C97" s="24">
        <f>D45</f>
        <v>2</v>
      </c>
      <c r="D97" s="25">
        <f>D46</f>
        <v>5</v>
      </c>
    </row>
    <row r="98" spans="1:4" ht="15.75" customHeight="1">
      <c r="A98" s="23">
        <f>D43</f>
        <v>14</v>
      </c>
      <c r="B98" s="23">
        <f>D44</f>
        <v>13</v>
      </c>
      <c r="C98" s="24">
        <f>D45</f>
        <v>2</v>
      </c>
      <c r="D98" s="25">
        <f>D46</f>
        <v>5</v>
      </c>
    </row>
    <row r="99" spans="1:4" ht="15.75" customHeight="1">
      <c r="A99" s="23">
        <f>D43</f>
        <v>14</v>
      </c>
      <c r="B99" s="23">
        <f>D44</f>
        <v>13</v>
      </c>
      <c r="C99" s="24">
        <f>D45</f>
        <v>2</v>
      </c>
      <c r="D99" s="25">
        <f>D46</f>
        <v>5</v>
      </c>
    </row>
    <row r="100" spans="1:4" ht="15.75" customHeight="1">
      <c r="A100" s="23">
        <f>D43</f>
        <v>14</v>
      </c>
      <c r="B100" s="23">
        <f>D44</f>
        <v>13</v>
      </c>
      <c r="C100" s="24">
        <f>D45</f>
        <v>2</v>
      </c>
      <c r="D100" s="25">
        <f>D46</f>
        <v>5</v>
      </c>
    </row>
    <row r="101" spans="1:4" ht="15.75" customHeight="1">
      <c r="A101" s="23">
        <f>D43</f>
        <v>14</v>
      </c>
      <c r="B101" s="23">
        <f>D44</f>
        <v>13</v>
      </c>
      <c r="C101" s="24">
        <f>D45</f>
        <v>2</v>
      </c>
      <c r="D101" s="25">
        <f>D46</f>
        <v>5</v>
      </c>
    </row>
    <row r="102" spans="1:4" ht="15.75" customHeight="1">
      <c r="A102" s="23">
        <f>D43</f>
        <v>14</v>
      </c>
      <c r="B102" s="23">
        <f>D44</f>
        <v>13</v>
      </c>
      <c r="C102" s="24">
        <f>D45</f>
        <v>2</v>
      </c>
      <c r="D102" s="25">
        <f>D46</f>
        <v>5</v>
      </c>
    </row>
    <row r="103" spans="1:4" ht="15.75" customHeight="1">
      <c r="A103" s="23">
        <f>D43</f>
        <v>14</v>
      </c>
      <c r="B103" s="23">
        <f>D44</f>
        <v>13</v>
      </c>
      <c r="C103" s="24">
        <f>D45</f>
        <v>2</v>
      </c>
      <c r="D103" s="25">
        <f>D46</f>
        <v>5</v>
      </c>
    </row>
    <row r="104" spans="1:4" ht="15.75" customHeight="1">
      <c r="A104" s="23">
        <f>D43</f>
        <v>14</v>
      </c>
      <c r="B104" s="23">
        <f>D44</f>
        <v>13</v>
      </c>
      <c r="C104" s="24">
        <f>D45</f>
        <v>2</v>
      </c>
      <c r="D104" s="25">
        <f>D46</f>
        <v>5</v>
      </c>
    </row>
    <row r="105" spans="1:4" ht="15.75" customHeight="1">
      <c r="A105" s="23">
        <f>D43</f>
        <v>14</v>
      </c>
      <c r="B105" s="23">
        <f>D44</f>
        <v>13</v>
      </c>
      <c r="C105" s="24">
        <f>D45</f>
        <v>2</v>
      </c>
      <c r="D105" s="25">
        <f>D46</f>
        <v>5</v>
      </c>
    </row>
    <row r="106" spans="1:4" ht="15.75" customHeight="1">
      <c r="A106" s="23">
        <f>D43</f>
        <v>14</v>
      </c>
      <c r="B106" s="23">
        <f>D44</f>
        <v>13</v>
      </c>
      <c r="C106" s="24">
        <f>D45</f>
        <v>2</v>
      </c>
      <c r="D106" s="25">
        <f>D46</f>
        <v>5</v>
      </c>
    </row>
    <row r="107" spans="1:4" ht="15.75" customHeight="1">
      <c r="A107" s="23">
        <f>D43</f>
        <v>14</v>
      </c>
      <c r="B107" s="23">
        <f>D44</f>
        <v>13</v>
      </c>
      <c r="C107" s="24">
        <f>D45</f>
        <v>2</v>
      </c>
      <c r="D107" s="25">
        <f>D46</f>
        <v>5</v>
      </c>
    </row>
    <row r="108" spans="1:4" ht="15.75" customHeight="1">
      <c r="A108" s="23">
        <f>D43</f>
        <v>14</v>
      </c>
      <c r="B108" s="23">
        <f>D44</f>
        <v>13</v>
      </c>
      <c r="C108" s="24">
        <f>D45</f>
        <v>2</v>
      </c>
      <c r="D108" s="25">
        <f>D46</f>
        <v>5</v>
      </c>
    </row>
    <row r="109" spans="1:4" ht="15.75" customHeight="1">
      <c r="A109" s="23">
        <f>D43</f>
        <v>14</v>
      </c>
      <c r="B109" s="23">
        <f>D44</f>
        <v>13</v>
      </c>
      <c r="C109" s="24">
        <f>D45</f>
        <v>2</v>
      </c>
      <c r="D109" s="25">
        <f>D46</f>
        <v>5</v>
      </c>
    </row>
    <row r="110" spans="1:4" ht="15.75" customHeight="1">
      <c r="A110" s="23">
        <f>D43</f>
        <v>14</v>
      </c>
      <c r="B110" s="23">
        <f>D44</f>
        <v>13</v>
      </c>
      <c r="C110" s="24">
        <f>D45</f>
        <v>2</v>
      </c>
      <c r="D110" s="25">
        <f>D46</f>
        <v>5</v>
      </c>
    </row>
    <row r="111" spans="1:4" ht="15.75" customHeight="1">
      <c r="A111" s="23">
        <f>D43</f>
        <v>14</v>
      </c>
      <c r="B111" s="23">
        <f>D44</f>
        <v>13</v>
      </c>
      <c r="C111" s="24">
        <f>D45</f>
        <v>2</v>
      </c>
      <c r="D111" s="25">
        <f>D46</f>
        <v>5</v>
      </c>
    </row>
    <row r="112" spans="1:4" ht="15.75" customHeight="1">
      <c r="A112" s="23">
        <f>D43</f>
        <v>14</v>
      </c>
      <c r="B112" s="23">
        <f>D44</f>
        <v>13</v>
      </c>
      <c r="C112" s="24">
        <f>D45</f>
        <v>2</v>
      </c>
      <c r="D112" s="25">
        <f>D46</f>
        <v>5</v>
      </c>
    </row>
    <row r="113" spans="1:4" ht="15.75" customHeight="1">
      <c r="A113" s="23">
        <f>D43</f>
        <v>14</v>
      </c>
      <c r="B113" s="23">
        <f>D44</f>
        <v>13</v>
      </c>
      <c r="C113" s="24">
        <f>D45</f>
        <v>2</v>
      </c>
      <c r="D113" s="25">
        <f>D46</f>
        <v>5</v>
      </c>
    </row>
    <row r="114" spans="1:4" ht="15.75" customHeight="1">
      <c r="A114" s="23">
        <f>D43</f>
        <v>14</v>
      </c>
      <c r="B114" s="23">
        <f>D44</f>
        <v>13</v>
      </c>
      <c r="C114" s="24">
        <f>D45</f>
        <v>2</v>
      </c>
      <c r="D114" s="25">
        <f>D46</f>
        <v>5</v>
      </c>
    </row>
    <row r="115" spans="1:4" ht="15.75" customHeight="1">
      <c r="A115" s="23">
        <f>D43</f>
        <v>14</v>
      </c>
      <c r="B115" s="23">
        <f>D44</f>
        <v>13</v>
      </c>
      <c r="C115" s="24">
        <f>D45</f>
        <v>2</v>
      </c>
      <c r="D115" s="25">
        <f>D46</f>
        <v>5</v>
      </c>
    </row>
    <row r="116" spans="1:4" ht="15.75" customHeight="1">
      <c r="A116" s="23">
        <f>D43</f>
        <v>14</v>
      </c>
      <c r="B116" s="23">
        <f>D44</f>
        <v>13</v>
      </c>
      <c r="C116" s="24">
        <f>D45</f>
        <v>2</v>
      </c>
      <c r="D116" s="25">
        <f>D46</f>
        <v>5</v>
      </c>
    </row>
    <row r="117" spans="1:4" ht="15.75" customHeight="1">
      <c r="A117" s="23">
        <f>D43</f>
        <v>14</v>
      </c>
      <c r="B117" s="23">
        <f>D44</f>
        <v>13</v>
      </c>
      <c r="C117" s="24">
        <f>D45</f>
        <v>2</v>
      </c>
      <c r="D117" s="25">
        <f>D46</f>
        <v>5</v>
      </c>
    </row>
    <row r="118" spans="1:4" ht="15.75" customHeight="1">
      <c r="A118" s="23">
        <f>D43</f>
        <v>14</v>
      </c>
      <c r="B118" s="23">
        <f>D44</f>
        <v>13</v>
      </c>
      <c r="C118" s="24">
        <f>D45</f>
        <v>2</v>
      </c>
      <c r="D118" s="25">
        <f>D46</f>
        <v>5</v>
      </c>
    </row>
    <row r="119" spans="1:4" ht="15.75" customHeight="1">
      <c r="A119" s="23">
        <f>D43</f>
        <v>14</v>
      </c>
      <c r="B119" s="23">
        <f>D44</f>
        <v>13</v>
      </c>
      <c r="C119" s="24">
        <f>D45</f>
        <v>2</v>
      </c>
      <c r="D119" s="25">
        <f>D46</f>
        <v>5</v>
      </c>
    </row>
    <row r="120" spans="1:4" ht="15.75" customHeight="1">
      <c r="A120" s="23">
        <f>D43</f>
        <v>14</v>
      </c>
      <c r="B120" s="23">
        <f>D44</f>
        <v>13</v>
      </c>
      <c r="C120" s="24">
        <f>D45</f>
        <v>2</v>
      </c>
      <c r="D120" s="25">
        <f>D46</f>
        <v>5</v>
      </c>
    </row>
    <row r="121" spans="1:4" ht="15.75" customHeight="1"/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B7:B10"/>
    <mergeCell ref="C7:C10"/>
    <mergeCell ref="A1:O1"/>
    <mergeCell ref="A2:O2"/>
    <mergeCell ref="A3:O3"/>
    <mergeCell ref="A4:O4"/>
    <mergeCell ref="A5:O5"/>
    <mergeCell ref="A6:O6"/>
    <mergeCell ref="D7:R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J8:J10"/>
    <mergeCell ref="K8:K10"/>
    <mergeCell ref="L8:L10"/>
    <mergeCell ref="M8:M10"/>
    <mergeCell ref="N8:N10"/>
    <mergeCell ref="O8:O10"/>
    <mergeCell ref="P8:P10"/>
  </mergeCells>
  <pageMargins left="0.7" right="0.7" top="0.75" bottom="0.75" header="0" footer="0"/>
  <pageSetup paperSize="9" scale="5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S1000"/>
  <sheetViews>
    <sheetView tabSelected="1" workbookViewId="0">
      <selection sqref="A1:O1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8" width="8.85546875" customWidth="1"/>
    <col min="19" max="19" width="11.28515625" customWidth="1"/>
  </cols>
  <sheetData>
    <row r="1" spans="1:19" ht="15" customHeight="1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1"/>
      <c r="Q1" s="1"/>
      <c r="R1" s="1"/>
      <c r="S1" s="1"/>
    </row>
    <row r="2" spans="1:19" ht="15" customHeight="1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1"/>
      <c r="Q2" s="1"/>
      <c r="R2" s="1"/>
      <c r="S2" s="1"/>
    </row>
    <row r="3" spans="1:19" ht="15" customHeight="1">
      <c r="A3" s="49" t="s">
        <v>68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1"/>
      <c r="Q3" s="1"/>
      <c r="R3" s="1"/>
      <c r="S3" s="1"/>
    </row>
    <row r="4" spans="1:19" ht="15" customHeight="1">
      <c r="A4" s="47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1"/>
      <c r="Q4" s="1"/>
      <c r="R4" s="1"/>
      <c r="S4" s="1"/>
    </row>
    <row r="5" spans="1:19" ht="15" customHeight="1">
      <c r="A5" s="47" t="s">
        <v>4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1"/>
      <c r="Q5" s="1"/>
      <c r="R5" s="1"/>
      <c r="S5" s="1"/>
    </row>
    <row r="6" spans="1:19" ht="15" customHeight="1">
      <c r="A6" s="60" t="s">
        <v>5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1"/>
      <c r="Q6" s="1"/>
      <c r="R6" s="1"/>
      <c r="S6" s="1"/>
    </row>
    <row r="7" spans="1:19" ht="15" customHeight="1">
      <c r="A7" s="53" t="s">
        <v>6</v>
      </c>
      <c r="B7" s="45" t="s">
        <v>7</v>
      </c>
      <c r="C7" s="45" t="s">
        <v>8</v>
      </c>
      <c r="D7" s="62" t="s">
        <v>9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4"/>
    </row>
    <row r="8" spans="1:19" ht="15" customHeight="1">
      <c r="A8" s="40"/>
      <c r="B8" s="40"/>
      <c r="C8" s="40"/>
      <c r="D8" s="39" t="s">
        <v>10</v>
      </c>
      <c r="E8" s="39" t="s">
        <v>11</v>
      </c>
      <c r="F8" s="39" t="s">
        <v>12</v>
      </c>
      <c r="G8" s="39" t="s">
        <v>13</v>
      </c>
      <c r="H8" s="39" t="s">
        <v>14</v>
      </c>
      <c r="I8" s="39" t="s">
        <v>15</v>
      </c>
      <c r="J8" s="39" t="s">
        <v>16</v>
      </c>
      <c r="K8" s="39" t="s">
        <v>17</v>
      </c>
      <c r="L8" s="39" t="s">
        <v>18</v>
      </c>
      <c r="M8" s="39" t="s">
        <v>19</v>
      </c>
      <c r="N8" s="39" t="s">
        <v>20</v>
      </c>
      <c r="O8" s="39" t="s">
        <v>21</v>
      </c>
      <c r="P8" s="39" t="s">
        <v>22</v>
      </c>
      <c r="Q8" s="39" t="s">
        <v>23</v>
      </c>
      <c r="R8" s="54" t="s">
        <v>69</v>
      </c>
      <c r="S8" s="57" t="s">
        <v>70</v>
      </c>
    </row>
    <row r="9" spans="1:19" ht="15" customHeight="1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55"/>
      <c r="S9" s="58"/>
    </row>
    <row r="10" spans="1:19" ht="71.25" customHeight="1">
      <c r="A10" s="41"/>
      <c r="B10" s="41"/>
      <c r="C10" s="46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56"/>
      <c r="S10" s="59"/>
    </row>
    <row r="11" spans="1:19" s="31" customFormat="1" ht="15.75">
      <c r="A11" s="33" t="s">
        <v>25</v>
      </c>
      <c r="B11" s="33">
        <v>1</v>
      </c>
      <c r="C11" s="34" t="s">
        <v>50</v>
      </c>
      <c r="D11" s="33">
        <v>10</v>
      </c>
      <c r="E11" s="33">
        <v>10</v>
      </c>
      <c r="F11" s="33">
        <v>9</v>
      </c>
      <c r="G11" s="33">
        <v>10</v>
      </c>
      <c r="H11" s="33">
        <v>10</v>
      </c>
      <c r="I11" s="33">
        <v>10</v>
      </c>
      <c r="J11" s="33">
        <v>10</v>
      </c>
      <c r="K11" s="33">
        <v>10</v>
      </c>
      <c r="L11" s="33">
        <v>9</v>
      </c>
      <c r="M11" s="33">
        <v>9</v>
      </c>
      <c r="N11" s="33">
        <v>10</v>
      </c>
      <c r="O11" s="33">
        <v>10</v>
      </c>
      <c r="P11" s="33">
        <v>9</v>
      </c>
      <c r="Q11" s="33">
        <v>10</v>
      </c>
      <c r="R11" s="35">
        <v>9.7142857142857135</v>
      </c>
      <c r="S11" s="35">
        <f t="shared" ref="S11:S24" si="0">R11*90/12</f>
        <v>72.857142857142847</v>
      </c>
    </row>
    <row r="12" spans="1:19" s="31" customFormat="1" ht="15.75">
      <c r="A12" s="33" t="s">
        <v>25</v>
      </c>
      <c r="B12" s="33">
        <v>2</v>
      </c>
      <c r="C12" s="34" t="s">
        <v>44</v>
      </c>
      <c r="D12" s="33">
        <v>10</v>
      </c>
      <c r="E12" s="33">
        <v>10</v>
      </c>
      <c r="F12" s="33">
        <v>8</v>
      </c>
      <c r="G12" s="33">
        <v>10</v>
      </c>
      <c r="H12" s="33">
        <v>9</v>
      </c>
      <c r="I12" s="33">
        <v>10</v>
      </c>
      <c r="J12" s="33">
        <v>10</v>
      </c>
      <c r="K12" s="33">
        <v>10</v>
      </c>
      <c r="L12" s="33">
        <v>9</v>
      </c>
      <c r="M12" s="33">
        <v>10</v>
      </c>
      <c r="N12" s="33">
        <v>11</v>
      </c>
      <c r="O12" s="33">
        <v>10</v>
      </c>
      <c r="P12" s="33">
        <v>8</v>
      </c>
      <c r="Q12" s="33">
        <v>10</v>
      </c>
      <c r="R12" s="35">
        <v>9.6428571428571423</v>
      </c>
      <c r="S12" s="35">
        <f t="shared" si="0"/>
        <v>72.321428571428569</v>
      </c>
    </row>
    <row r="13" spans="1:19" s="31" customFormat="1" ht="15.75">
      <c r="A13" s="33" t="s">
        <v>25</v>
      </c>
      <c r="B13" s="33">
        <v>3</v>
      </c>
      <c r="C13" s="34" t="s">
        <v>48</v>
      </c>
      <c r="D13" s="33">
        <v>10</v>
      </c>
      <c r="E13" s="33">
        <v>10</v>
      </c>
      <c r="F13" s="33">
        <v>7</v>
      </c>
      <c r="G13" s="33">
        <v>10</v>
      </c>
      <c r="H13" s="33">
        <v>7</v>
      </c>
      <c r="I13" s="33">
        <v>10</v>
      </c>
      <c r="J13" s="33">
        <v>9</v>
      </c>
      <c r="K13" s="33">
        <v>10</v>
      </c>
      <c r="L13" s="33">
        <v>9</v>
      </c>
      <c r="M13" s="33">
        <v>10</v>
      </c>
      <c r="N13" s="33">
        <v>11</v>
      </c>
      <c r="O13" s="33">
        <v>10</v>
      </c>
      <c r="P13" s="33">
        <v>9</v>
      </c>
      <c r="Q13" s="33">
        <v>10</v>
      </c>
      <c r="R13" s="35">
        <v>9.4285714285714288</v>
      </c>
      <c r="S13" s="35">
        <f t="shared" si="0"/>
        <v>70.714285714285708</v>
      </c>
    </row>
    <row r="14" spans="1:19" s="31" customFormat="1" ht="15.75">
      <c r="A14" s="33" t="s">
        <v>25</v>
      </c>
      <c r="B14" s="33">
        <v>4</v>
      </c>
      <c r="C14" s="34" t="s">
        <v>26</v>
      </c>
      <c r="D14" s="33">
        <v>9</v>
      </c>
      <c r="E14" s="33">
        <v>10</v>
      </c>
      <c r="F14" s="33">
        <v>9</v>
      </c>
      <c r="G14" s="33">
        <v>9</v>
      </c>
      <c r="H14" s="33">
        <v>10</v>
      </c>
      <c r="I14" s="33">
        <v>10</v>
      </c>
      <c r="J14" s="33">
        <v>10</v>
      </c>
      <c r="K14" s="33">
        <v>9</v>
      </c>
      <c r="L14" s="33">
        <v>7</v>
      </c>
      <c r="M14" s="33">
        <v>10</v>
      </c>
      <c r="N14" s="33">
        <v>10</v>
      </c>
      <c r="O14" s="33">
        <v>9</v>
      </c>
      <c r="P14" s="33">
        <v>9</v>
      </c>
      <c r="Q14" s="33">
        <v>10</v>
      </c>
      <c r="R14" s="35">
        <v>9.3571428571428577</v>
      </c>
      <c r="S14" s="35">
        <f t="shared" si="0"/>
        <v>70.178571428571431</v>
      </c>
    </row>
    <row r="15" spans="1:19" s="31" customFormat="1" ht="15.75">
      <c r="A15" s="33" t="s">
        <v>25</v>
      </c>
      <c r="B15" s="33">
        <v>5</v>
      </c>
      <c r="C15" s="34" t="s">
        <v>34</v>
      </c>
      <c r="D15" s="33">
        <v>10</v>
      </c>
      <c r="E15" s="33">
        <v>8</v>
      </c>
      <c r="F15" s="33">
        <v>8</v>
      </c>
      <c r="G15" s="33">
        <v>6</v>
      </c>
      <c r="H15" s="33">
        <v>9</v>
      </c>
      <c r="I15" s="33">
        <v>9</v>
      </c>
      <c r="J15" s="33">
        <v>10</v>
      </c>
      <c r="K15" s="33">
        <v>10</v>
      </c>
      <c r="L15" s="33">
        <v>8</v>
      </c>
      <c r="M15" s="33">
        <v>10</v>
      </c>
      <c r="N15" s="33">
        <v>11</v>
      </c>
      <c r="O15" s="33">
        <v>9</v>
      </c>
      <c r="P15" s="33">
        <v>8</v>
      </c>
      <c r="Q15" s="33">
        <v>9</v>
      </c>
      <c r="R15" s="35">
        <v>8.9285714285714288</v>
      </c>
      <c r="S15" s="35">
        <f t="shared" si="0"/>
        <v>66.964285714285708</v>
      </c>
    </row>
    <row r="16" spans="1:19" s="68" customFormat="1" ht="15.75">
      <c r="A16" s="65" t="s">
        <v>25</v>
      </c>
      <c r="B16" s="65">
        <v>6</v>
      </c>
      <c r="C16" s="66" t="s">
        <v>37</v>
      </c>
      <c r="D16" s="65">
        <v>9</v>
      </c>
      <c r="E16" s="65">
        <v>10</v>
      </c>
      <c r="F16" s="65">
        <v>9</v>
      </c>
      <c r="G16" s="65">
        <v>8</v>
      </c>
      <c r="H16" s="65">
        <v>8</v>
      </c>
      <c r="I16" s="65">
        <v>10</v>
      </c>
      <c r="J16" s="65">
        <v>9</v>
      </c>
      <c r="K16" s="65">
        <v>9</v>
      </c>
      <c r="L16" s="65">
        <v>7</v>
      </c>
      <c r="M16" s="65">
        <v>10</v>
      </c>
      <c r="N16" s="65">
        <v>10</v>
      </c>
      <c r="O16" s="65">
        <v>8</v>
      </c>
      <c r="P16" s="65">
        <v>7</v>
      </c>
      <c r="Q16" s="65">
        <v>9</v>
      </c>
      <c r="R16" s="67">
        <v>8.7857142857142865</v>
      </c>
      <c r="S16" s="67">
        <f t="shared" si="0"/>
        <v>65.892857142857153</v>
      </c>
    </row>
    <row r="17" spans="1:19" s="31" customFormat="1" ht="15.75">
      <c r="A17" s="36" t="s">
        <v>25</v>
      </c>
      <c r="B17" s="36">
        <v>7</v>
      </c>
      <c r="C17" s="37" t="s">
        <v>33</v>
      </c>
      <c r="D17" s="36">
        <v>9</v>
      </c>
      <c r="E17" s="36">
        <v>10</v>
      </c>
      <c r="F17" s="36">
        <v>6</v>
      </c>
      <c r="G17" s="36">
        <v>7</v>
      </c>
      <c r="H17" s="36">
        <v>7</v>
      </c>
      <c r="I17" s="36">
        <v>8</v>
      </c>
      <c r="J17" s="36">
        <v>9</v>
      </c>
      <c r="K17" s="36">
        <v>8</v>
      </c>
      <c r="L17" s="36">
        <v>8</v>
      </c>
      <c r="M17" s="36">
        <v>10</v>
      </c>
      <c r="N17" s="36">
        <v>9</v>
      </c>
      <c r="O17" s="36">
        <v>8</v>
      </c>
      <c r="P17" s="36">
        <v>8</v>
      </c>
      <c r="Q17" s="36">
        <v>9</v>
      </c>
      <c r="R17" s="38">
        <v>8.2857142857142865</v>
      </c>
      <c r="S17" s="38">
        <f t="shared" si="0"/>
        <v>62.142857142857146</v>
      </c>
    </row>
    <row r="18" spans="1:19" s="31" customFormat="1" ht="15.75">
      <c r="A18" s="36" t="s">
        <v>25</v>
      </c>
      <c r="B18" s="36">
        <v>8</v>
      </c>
      <c r="C18" s="37" t="s">
        <v>46</v>
      </c>
      <c r="D18" s="36">
        <v>9</v>
      </c>
      <c r="E18" s="36">
        <v>8</v>
      </c>
      <c r="F18" s="36">
        <v>4</v>
      </c>
      <c r="G18" s="36">
        <v>6</v>
      </c>
      <c r="H18" s="36">
        <v>5</v>
      </c>
      <c r="I18" s="36">
        <v>7</v>
      </c>
      <c r="J18" s="36">
        <v>6</v>
      </c>
      <c r="K18" s="36">
        <v>9</v>
      </c>
      <c r="L18" s="36">
        <v>7</v>
      </c>
      <c r="M18" s="36">
        <v>10</v>
      </c>
      <c r="N18" s="36">
        <v>7</v>
      </c>
      <c r="O18" s="36">
        <v>8</v>
      </c>
      <c r="P18" s="36">
        <v>8</v>
      </c>
      <c r="Q18" s="36">
        <v>10</v>
      </c>
      <c r="R18" s="38">
        <v>7.4285714285714288</v>
      </c>
      <c r="S18" s="38">
        <f t="shared" si="0"/>
        <v>55.714285714285715</v>
      </c>
    </row>
    <row r="19" spans="1:19" s="31" customFormat="1" ht="15.75">
      <c r="A19" s="36" t="s">
        <v>25</v>
      </c>
      <c r="B19" s="36">
        <v>9</v>
      </c>
      <c r="C19" s="37" t="s">
        <v>45</v>
      </c>
      <c r="D19" s="36">
        <v>7</v>
      </c>
      <c r="E19" s="36">
        <v>10</v>
      </c>
      <c r="F19" s="36">
        <v>5</v>
      </c>
      <c r="G19" s="36">
        <v>6</v>
      </c>
      <c r="H19" s="36">
        <v>4</v>
      </c>
      <c r="I19" s="36">
        <v>6</v>
      </c>
      <c r="J19" s="36">
        <v>5</v>
      </c>
      <c r="K19" s="36">
        <v>7</v>
      </c>
      <c r="L19" s="36">
        <v>7</v>
      </c>
      <c r="M19" s="36">
        <v>10</v>
      </c>
      <c r="N19" s="36">
        <v>8</v>
      </c>
      <c r="O19" s="36">
        <v>7</v>
      </c>
      <c r="P19" s="36">
        <v>6</v>
      </c>
      <c r="Q19" s="36">
        <v>10</v>
      </c>
      <c r="R19" s="38">
        <v>7</v>
      </c>
      <c r="S19" s="38">
        <f t="shared" si="0"/>
        <v>52.5</v>
      </c>
    </row>
    <row r="20" spans="1:19" s="31" customFormat="1" ht="15.75">
      <c r="A20" s="36" t="s">
        <v>25</v>
      </c>
      <c r="B20" s="36">
        <v>10</v>
      </c>
      <c r="C20" s="37" t="s">
        <v>31</v>
      </c>
      <c r="D20" s="36">
        <v>5</v>
      </c>
      <c r="E20" s="36">
        <v>10</v>
      </c>
      <c r="F20" s="36">
        <v>4</v>
      </c>
      <c r="G20" s="36">
        <v>6</v>
      </c>
      <c r="H20" s="36">
        <v>5</v>
      </c>
      <c r="I20" s="36">
        <v>4</v>
      </c>
      <c r="J20" s="36">
        <v>9</v>
      </c>
      <c r="K20" s="36">
        <v>6</v>
      </c>
      <c r="L20" s="36">
        <v>8</v>
      </c>
      <c r="M20" s="36">
        <v>8</v>
      </c>
      <c r="N20" s="36">
        <v>4</v>
      </c>
      <c r="O20" s="36">
        <v>8</v>
      </c>
      <c r="P20" s="36">
        <v>8</v>
      </c>
      <c r="Q20" s="36">
        <v>9</v>
      </c>
      <c r="R20" s="38">
        <v>6.7142857142857144</v>
      </c>
      <c r="S20" s="38">
        <f t="shared" si="0"/>
        <v>50.357142857142861</v>
      </c>
    </row>
    <row r="21" spans="1:19" s="31" customFormat="1" ht="15.75">
      <c r="A21" s="36" t="s">
        <v>25</v>
      </c>
      <c r="B21" s="36">
        <v>11</v>
      </c>
      <c r="C21" s="37" t="s">
        <v>35</v>
      </c>
      <c r="D21" s="36">
        <v>6</v>
      </c>
      <c r="E21" s="36">
        <v>9</v>
      </c>
      <c r="F21" s="36">
        <v>4</v>
      </c>
      <c r="G21" s="36">
        <v>6</v>
      </c>
      <c r="H21" s="36">
        <v>5</v>
      </c>
      <c r="I21" s="36">
        <v>5</v>
      </c>
      <c r="J21" s="36">
        <v>4</v>
      </c>
      <c r="K21" s="36">
        <v>7</v>
      </c>
      <c r="L21" s="36">
        <v>8</v>
      </c>
      <c r="M21" s="36">
        <v>8</v>
      </c>
      <c r="N21" s="36">
        <v>6</v>
      </c>
      <c r="O21" s="36">
        <v>8</v>
      </c>
      <c r="P21" s="36">
        <v>7</v>
      </c>
      <c r="Q21" s="36">
        <v>9</v>
      </c>
      <c r="R21" s="38">
        <v>6.5714285714285712</v>
      </c>
      <c r="S21" s="38">
        <f t="shared" si="0"/>
        <v>49.285714285714285</v>
      </c>
    </row>
    <row r="22" spans="1:19" s="31" customFormat="1" ht="15.75">
      <c r="A22" s="36" t="s">
        <v>25</v>
      </c>
      <c r="B22" s="36">
        <v>12</v>
      </c>
      <c r="C22" s="37" t="s">
        <v>54</v>
      </c>
      <c r="D22" s="36">
        <v>4</v>
      </c>
      <c r="E22" s="36">
        <v>9</v>
      </c>
      <c r="F22" s="36">
        <v>7</v>
      </c>
      <c r="G22" s="36">
        <v>7</v>
      </c>
      <c r="H22" s="36">
        <v>7</v>
      </c>
      <c r="I22" s="36">
        <v>5</v>
      </c>
      <c r="J22" s="36">
        <v>5</v>
      </c>
      <c r="K22" s="36">
        <v>5</v>
      </c>
      <c r="L22" s="36">
        <v>5</v>
      </c>
      <c r="M22" s="36">
        <v>5</v>
      </c>
      <c r="N22" s="36">
        <v>4</v>
      </c>
      <c r="O22" s="36">
        <v>7</v>
      </c>
      <c r="P22" s="36">
        <v>8</v>
      </c>
      <c r="Q22" s="36">
        <v>8</v>
      </c>
      <c r="R22" s="38">
        <v>6.1428571428571432</v>
      </c>
      <c r="S22" s="38">
        <f t="shared" si="0"/>
        <v>46.071428571428577</v>
      </c>
    </row>
    <row r="23" spans="1:19" s="31" customFormat="1" ht="15.75">
      <c r="A23" s="36" t="s">
        <v>25</v>
      </c>
      <c r="B23" s="36">
        <v>13</v>
      </c>
      <c r="C23" s="37" t="s">
        <v>49</v>
      </c>
      <c r="D23" s="36">
        <v>6</v>
      </c>
      <c r="E23" s="36">
        <v>7</v>
      </c>
      <c r="F23" s="36">
        <v>4</v>
      </c>
      <c r="G23" s="36">
        <v>5</v>
      </c>
      <c r="H23" s="36">
        <v>6</v>
      </c>
      <c r="I23" s="36">
        <v>6</v>
      </c>
      <c r="J23" s="36">
        <v>4</v>
      </c>
      <c r="K23" s="36">
        <v>6</v>
      </c>
      <c r="L23" s="36">
        <v>4</v>
      </c>
      <c r="M23" s="36">
        <v>9</v>
      </c>
      <c r="N23" s="36">
        <v>6</v>
      </c>
      <c r="O23" s="36">
        <v>8</v>
      </c>
      <c r="P23" s="36">
        <v>6</v>
      </c>
      <c r="Q23" s="36">
        <v>8</v>
      </c>
      <c r="R23" s="38">
        <v>6.0714285714285712</v>
      </c>
      <c r="S23" s="38">
        <f t="shared" si="0"/>
        <v>45.535714285714285</v>
      </c>
    </row>
    <row r="24" spans="1:19" s="31" customFormat="1" ht="15.75">
      <c r="C24" s="37" t="s">
        <v>60</v>
      </c>
      <c r="D24" s="36">
        <f>'Зведена відомість'!A103</f>
        <v>14</v>
      </c>
      <c r="S24" s="31">
        <f t="shared" si="0"/>
        <v>0</v>
      </c>
    </row>
    <row r="25" spans="1:19" s="31" customFormat="1" ht="15.75">
      <c r="C25" s="37" t="s">
        <v>61</v>
      </c>
      <c r="D25" s="36">
        <f>'Зведена відомість'!B103</f>
        <v>13</v>
      </c>
    </row>
    <row r="26" spans="1:19" s="31" customFormat="1" ht="15.75">
      <c r="C26" s="37" t="s">
        <v>62</v>
      </c>
      <c r="D26" s="36">
        <f>'Зведена відомість'!C103</f>
        <v>2</v>
      </c>
      <c r="G26" s="31" t="s">
        <v>64</v>
      </c>
      <c r="M26" s="31" t="s">
        <v>65</v>
      </c>
    </row>
    <row r="27" spans="1:19" s="31" customFormat="1" ht="15.75">
      <c r="C27" s="37" t="s">
        <v>63</v>
      </c>
      <c r="D27" s="36">
        <f>'Зведена відомість'!D103</f>
        <v>5</v>
      </c>
    </row>
    <row r="28" spans="1:19" s="31" customFormat="1">
      <c r="G28" s="31" t="s">
        <v>66</v>
      </c>
      <c r="M28" s="31" t="s">
        <v>67</v>
      </c>
    </row>
    <row r="29" spans="1:19" s="31" customFormat="1"/>
    <row r="30" spans="1:19" s="31" customFormat="1"/>
    <row r="31" spans="1:19" s="31" customFormat="1"/>
    <row r="32" spans="1:19" s="31" customFormat="1"/>
    <row r="33" s="31" customFormat="1"/>
    <row r="34" s="31" customFormat="1"/>
    <row r="35" s="31" customFormat="1"/>
    <row r="36" s="31" customFormat="1"/>
    <row r="37" s="31" customFormat="1"/>
    <row r="38" s="31" customFormat="1"/>
    <row r="39" s="31" customFormat="1"/>
    <row r="40" s="31" customFormat="1"/>
    <row r="41" s="31" customFormat="1"/>
    <row r="42" s="31" customFormat="1"/>
    <row r="43" s="31" customFormat="1"/>
    <row r="44" s="31" customFormat="1"/>
    <row r="45" s="31" customFormat="1"/>
    <row r="46" s="31" customFormat="1"/>
    <row r="47" s="31" customFormat="1"/>
    <row r="48" s="31" customFormat="1"/>
    <row r="49" s="31" customFormat="1"/>
    <row r="50" s="31" customFormat="1"/>
    <row r="51" s="32" customFormat="1"/>
    <row r="52" s="32" customFormat="1"/>
    <row r="53" s="32" customFormat="1"/>
    <row r="54" s="32" customFormat="1"/>
    <row r="55" s="32" customFormat="1"/>
    <row r="56" s="32" customFormat="1"/>
    <row r="57" s="32" customFormat="1"/>
    <row r="58" s="32" customFormat="1"/>
    <row r="59" s="32" customFormat="1"/>
    <row r="60" s="32" customFormat="1"/>
    <row r="61" s="32" customFormat="1"/>
    <row r="62" s="32" customFormat="1"/>
    <row r="63" s="32" customFormat="1"/>
    <row r="64" s="32" customFormat="1"/>
    <row r="65" spans="1:19" s="32" customFormat="1"/>
    <row r="66" spans="1:19" s="32" customFormat="1"/>
    <row r="67" spans="1:19" s="32" customFormat="1"/>
    <row r="68" spans="1:19" s="32" customFormat="1"/>
    <row r="69" spans="1:19" s="32" customFormat="1"/>
    <row r="70" spans="1:19" s="32" customFormat="1"/>
    <row r="71" spans="1:19" s="32" customFormat="1"/>
    <row r="72" spans="1:19" s="32" customFormat="1"/>
    <row r="73" spans="1:19" s="32" customFormat="1"/>
    <row r="74" spans="1:19" ht="15.75" customHeight="1">
      <c r="B74" s="32"/>
      <c r="R74" s="9"/>
      <c r="S74" s="32"/>
    </row>
    <row r="75" spans="1:19" ht="15.75" customHeight="1">
      <c r="B75" s="32"/>
      <c r="R75" s="9"/>
      <c r="S75" s="32"/>
    </row>
    <row r="76" spans="1:19" ht="15.75" customHeight="1">
      <c r="B76" s="32"/>
      <c r="R76" s="9"/>
      <c r="S76" s="32"/>
    </row>
    <row r="77" spans="1:19" ht="15.75" customHeight="1">
      <c r="B77" s="32"/>
      <c r="R77" s="9"/>
      <c r="S77" s="32"/>
    </row>
    <row r="78" spans="1:19" ht="15.75" customHeight="1">
      <c r="B78" s="32"/>
      <c r="R78" s="9"/>
      <c r="S78" s="32"/>
    </row>
    <row r="79" spans="1:19" ht="15.75" customHeight="1">
      <c r="B79" s="32"/>
      <c r="R79" s="9"/>
      <c r="S79" s="32"/>
    </row>
    <row r="80" spans="1:19" ht="15.75" customHeight="1">
      <c r="A80" s="25">
        <f>COUNTIF(A11:A40,"=Б")</f>
        <v>13</v>
      </c>
      <c r="B80" s="32"/>
      <c r="R80" s="9"/>
      <c r="S80" s="32"/>
    </row>
    <row r="81" spans="1:19" ht="15.75" customHeight="1">
      <c r="A81" s="25">
        <f>COUNTIF(A11:A40,"=Б")</f>
        <v>13</v>
      </c>
      <c r="B81" s="32"/>
      <c r="R81" s="9"/>
      <c r="S81" s="32"/>
    </row>
    <row r="82" spans="1:19" ht="15.75" customHeight="1">
      <c r="A82" s="25">
        <f>COUNTIF(A11:A40,"=Б")</f>
        <v>13</v>
      </c>
      <c r="B82" s="32"/>
      <c r="R82" s="9"/>
      <c r="S82" s="32"/>
    </row>
    <row r="83" spans="1:19" ht="15.75" customHeight="1">
      <c r="A83" s="25">
        <f>COUNTIF(A11:A40,"=Б")</f>
        <v>13</v>
      </c>
      <c r="B83" s="32"/>
      <c r="R83" s="9"/>
      <c r="S83" s="32"/>
    </row>
    <row r="84" spans="1:19" ht="15.75" customHeight="1">
      <c r="A84" s="25">
        <f>COUNTIF(A11:A40,"=Б")</f>
        <v>13</v>
      </c>
      <c r="B84" s="32"/>
      <c r="R84" s="9"/>
      <c r="S84" s="32"/>
    </row>
    <row r="85" spans="1:19" ht="15.75" customHeight="1">
      <c r="A85" s="25">
        <f>COUNTIF(A11:A40,"=Б")</f>
        <v>13</v>
      </c>
      <c r="B85" s="32"/>
      <c r="R85" s="9"/>
      <c r="S85" s="32"/>
    </row>
    <row r="86" spans="1:19" ht="15.75" customHeight="1">
      <c r="A86" s="25">
        <f>COUNTIF(A11:A40,"=Б")</f>
        <v>13</v>
      </c>
      <c r="B86" s="32"/>
      <c r="R86" s="9"/>
      <c r="S86" s="32"/>
    </row>
    <row r="87" spans="1:19" ht="15.75" customHeight="1">
      <c r="A87" s="25">
        <f>COUNTIF(A11:A40,"=Б")</f>
        <v>13</v>
      </c>
      <c r="B87" s="32"/>
      <c r="R87" s="9"/>
      <c r="S87" s="32"/>
    </row>
    <row r="88" spans="1:19" ht="15.75" customHeight="1">
      <c r="A88" s="25">
        <f>COUNTIF(A11:A40,"=Б")</f>
        <v>13</v>
      </c>
      <c r="B88" s="32"/>
      <c r="R88" s="9"/>
      <c r="S88" s="32"/>
    </row>
    <row r="89" spans="1:19" ht="15.75" customHeight="1">
      <c r="A89" s="25">
        <f>COUNTIF(A11:A40,"=Б")</f>
        <v>13</v>
      </c>
      <c r="B89" s="32"/>
      <c r="R89" s="9"/>
      <c r="S89" s="32"/>
    </row>
    <row r="90" spans="1:19" ht="15.75" customHeight="1">
      <c r="A90" s="25">
        <f>COUNTIF(A11:A40,"=Б")</f>
        <v>13</v>
      </c>
      <c r="B90" s="32"/>
      <c r="R90" s="9"/>
      <c r="S90" s="32"/>
    </row>
    <row r="91" spans="1:19" ht="15.75" customHeight="1">
      <c r="A91" s="25">
        <f>COUNTIF(A11:A40,"=Б")</f>
        <v>13</v>
      </c>
      <c r="B91" s="32"/>
      <c r="R91" s="9"/>
      <c r="S91" s="32"/>
    </row>
    <row r="92" spans="1:19" ht="15.75" customHeight="1">
      <c r="A92" s="25">
        <f>COUNTIF(A11:A40,"=Б")</f>
        <v>13</v>
      </c>
      <c r="B92" s="32"/>
      <c r="R92" s="9"/>
      <c r="S92" s="32"/>
    </row>
    <row r="93" spans="1:19" ht="15.75" customHeight="1">
      <c r="A93" s="25">
        <f>COUNTIF(A11:A40,"=Б")</f>
        <v>13</v>
      </c>
      <c r="B93" s="32"/>
      <c r="R93" s="9"/>
      <c r="S93" s="32"/>
    </row>
    <row r="94" spans="1:19" ht="15.75" customHeight="1">
      <c r="A94" s="25">
        <f>COUNTIF(A11:A40,"=Б")</f>
        <v>13</v>
      </c>
      <c r="B94" s="32"/>
      <c r="R94" s="9"/>
      <c r="S94" s="32"/>
    </row>
    <row r="95" spans="1:19" ht="15.75" customHeight="1">
      <c r="A95" s="25">
        <f>COUNTIF(A11:A40,"=Б")</f>
        <v>13</v>
      </c>
      <c r="B95" s="32"/>
      <c r="R95" s="9"/>
      <c r="S95" s="32"/>
    </row>
    <row r="96" spans="1:19" ht="15.75" customHeight="1">
      <c r="A96" s="25">
        <f>COUNTIF(A11:A40,"=Б")</f>
        <v>13</v>
      </c>
      <c r="B96" s="32"/>
      <c r="R96" s="9"/>
      <c r="S96" s="32"/>
    </row>
    <row r="97" spans="1:19" ht="15.75" customHeight="1">
      <c r="A97" s="25">
        <f>COUNTIF(A11:A40,"=Б")</f>
        <v>13</v>
      </c>
      <c r="B97" s="32"/>
      <c r="R97" s="9"/>
      <c r="S97" s="32"/>
    </row>
    <row r="98" spans="1:19" ht="15.75" customHeight="1">
      <c r="A98" s="25">
        <f>COUNTIF(A11:A40,"=Б")</f>
        <v>13</v>
      </c>
      <c r="B98" s="32"/>
      <c r="R98" s="9"/>
      <c r="S98" s="32"/>
    </row>
    <row r="99" spans="1:19" ht="15.75" customHeight="1">
      <c r="A99" s="25">
        <f>COUNTIF(A11:A40,"=Б")</f>
        <v>13</v>
      </c>
      <c r="B99" s="32"/>
      <c r="R99" s="9"/>
      <c r="S99" s="32"/>
    </row>
    <row r="100" spans="1:19" ht="15.75" customHeight="1">
      <c r="A100" s="25">
        <f>COUNTIF(A11:A40,"=Б")</f>
        <v>13</v>
      </c>
      <c r="B100" s="32"/>
      <c r="R100" s="9"/>
      <c r="S100" s="32"/>
    </row>
    <row r="101" spans="1:19" ht="15.75" customHeight="1">
      <c r="A101" s="25">
        <f>COUNTIF(A11:A40,"=Б")</f>
        <v>13</v>
      </c>
      <c r="B101" s="32"/>
      <c r="R101" s="9"/>
      <c r="S101" s="32"/>
    </row>
    <row r="102" spans="1:19" ht="15.75" customHeight="1">
      <c r="A102" s="25">
        <f>COUNTIF(A11:A40,"=Б")</f>
        <v>13</v>
      </c>
      <c r="B102" s="32"/>
      <c r="R102" s="9"/>
      <c r="S102" s="32"/>
    </row>
    <row r="103" spans="1:19" ht="15.75" customHeight="1">
      <c r="A103" s="25">
        <f>COUNTIF(A11:A40,"=Б")</f>
        <v>13</v>
      </c>
      <c r="B103" s="32"/>
      <c r="R103" s="9"/>
      <c r="S103" s="32"/>
    </row>
    <row r="104" spans="1:19" ht="15.75" customHeight="1">
      <c r="A104" s="25">
        <f>COUNTIF(A11:A40,"=Б")</f>
        <v>13</v>
      </c>
      <c r="B104" s="32"/>
      <c r="R104" s="9"/>
      <c r="S104" s="32"/>
    </row>
    <row r="105" spans="1:19" ht="15.75" customHeight="1">
      <c r="A105" s="25">
        <f>COUNTIF(A11:A40,"=Б")</f>
        <v>13</v>
      </c>
      <c r="B105" s="32"/>
      <c r="R105" s="9"/>
      <c r="S105" s="32"/>
    </row>
    <row r="106" spans="1:19" ht="15.75" customHeight="1">
      <c r="A106" s="25">
        <f>COUNTIF(A11:A40,"=Б")</f>
        <v>13</v>
      </c>
      <c r="B106" s="32"/>
      <c r="R106" s="9"/>
      <c r="S106" s="32"/>
    </row>
    <row r="107" spans="1:19" ht="15.75" customHeight="1">
      <c r="A107" s="25">
        <f>COUNTIF(A11:A40,"=Б")</f>
        <v>13</v>
      </c>
      <c r="B107" s="32"/>
      <c r="R107" s="9"/>
      <c r="S107" s="32"/>
    </row>
    <row r="108" spans="1:19" ht="15.75" customHeight="1">
      <c r="A108" s="25">
        <f>COUNTIF(A11:A40,"=Б")</f>
        <v>13</v>
      </c>
      <c r="B108" s="32"/>
      <c r="R108" s="9"/>
      <c r="S108" s="32"/>
    </row>
    <row r="109" spans="1:19" ht="15.75" customHeight="1">
      <c r="A109" s="25">
        <f>COUNTIF(A11:A40,"=Б")</f>
        <v>13</v>
      </c>
      <c r="B109" s="32"/>
      <c r="R109" s="9"/>
      <c r="S109" s="32"/>
    </row>
    <row r="110" spans="1:19" ht="15.75" customHeight="1">
      <c r="A110" s="25">
        <f>COUNTIF(A11:A40,"=Б")</f>
        <v>13</v>
      </c>
      <c r="B110" s="32"/>
      <c r="R110" s="9"/>
      <c r="S110" s="32"/>
    </row>
    <row r="111" spans="1:19" ht="15.75" customHeight="1">
      <c r="A111" s="25">
        <f>COUNTIF(A11:A40,"=Б")</f>
        <v>13</v>
      </c>
      <c r="B111" s="32"/>
      <c r="R111" s="9"/>
      <c r="S111" s="32"/>
    </row>
    <row r="112" spans="1:19" ht="15.75" customHeight="1">
      <c r="A112" s="25">
        <f>COUNTIF(A11:A40,"=Б")</f>
        <v>13</v>
      </c>
      <c r="B112" s="32"/>
      <c r="R112" s="9"/>
      <c r="S112" s="32"/>
    </row>
    <row r="113" spans="1:19" ht="15.75" customHeight="1">
      <c r="A113" s="25">
        <f>COUNTIF(A11:A40,"=Б")</f>
        <v>13</v>
      </c>
      <c r="B113" s="32"/>
      <c r="R113" s="9"/>
      <c r="S113" s="32"/>
    </row>
    <row r="114" spans="1:19" ht="15.75" customHeight="1">
      <c r="A114" s="25">
        <f>COUNTIF(A11:A40,"=Б")</f>
        <v>13</v>
      </c>
      <c r="B114" s="32"/>
      <c r="R114" s="9"/>
      <c r="S114" s="32"/>
    </row>
    <row r="115" spans="1:19" ht="15.75" customHeight="1">
      <c r="A115" s="25">
        <f>COUNTIF(A11:A40,"=Б")</f>
        <v>13</v>
      </c>
      <c r="B115" s="32"/>
      <c r="R115" s="9"/>
      <c r="S115" s="32"/>
    </row>
    <row r="116" spans="1:19" ht="15.75" customHeight="1">
      <c r="A116" s="25">
        <f>COUNTIF(A11:A40,"=Б")</f>
        <v>13</v>
      </c>
      <c r="B116" s="32"/>
      <c r="R116" s="9"/>
      <c r="S116" s="32"/>
    </row>
    <row r="117" spans="1:19" ht="15.75" customHeight="1">
      <c r="A117" s="25">
        <f>COUNTIF(A11:A40,"=Б")</f>
        <v>13</v>
      </c>
      <c r="B117" s="32"/>
      <c r="R117" s="9"/>
      <c r="S117" s="32"/>
    </row>
    <row r="118" spans="1:19" ht="15.75" customHeight="1">
      <c r="A118" s="25">
        <f>COUNTIF(A11:A40,"=Б")</f>
        <v>13</v>
      </c>
      <c r="B118" s="32"/>
      <c r="R118" s="9"/>
      <c r="S118" s="32"/>
    </row>
    <row r="119" spans="1:19" ht="15.75" customHeight="1">
      <c r="A119" s="25">
        <f>COUNTIF(A11:A40,"=Б")</f>
        <v>13</v>
      </c>
      <c r="B119" s="32"/>
      <c r="R119" s="9"/>
      <c r="S119" s="32"/>
    </row>
    <row r="120" spans="1:19" ht="15.75" customHeight="1">
      <c r="A120" s="25">
        <f>COUNTIF(A11:A40,"=Б")</f>
        <v>13</v>
      </c>
      <c r="B120" s="32"/>
      <c r="R120" s="9"/>
      <c r="S120" s="32"/>
    </row>
    <row r="121" spans="1:19" ht="15.75" customHeight="1">
      <c r="B121" s="32"/>
      <c r="R121" s="9"/>
      <c r="S121" s="32"/>
    </row>
    <row r="122" spans="1:19" ht="15.75" customHeight="1">
      <c r="B122" s="32"/>
      <c r="R122" s="9"/>
      <c r="S122" s="32"/>
    </row>
    <row r="123" spans="1:19" ht="15.75" customHeight="1">
      <c r="B123" s="32"/>
      <c r="R123" s="9"/>
      <c r="S123" s="32"/>
    </row>
    <row r="124" spans="1:19" ht="15.75" customHeight="1">
      <c r="R124" s="9"/>
      <c r="S124" s="32"/>
    </row>
    <row r="125" spans="1:19" ht="15.75" customHeight="1">
      <c r="R125" s="9"/>
    </row>
    <row r="126" spans="1:19" ht="15.75" customHeight="1">
      <c r="R126" s="9"/>
    </row>
    <row r="127" spans="1:19" ht="15.75" customHeight="1">
      <c r="R127" s="9"/>
    </row>
    <row r="128" spans="1:19" ht="15.75" customHeight="1">
      <c r="R128" s="9"/>
    </row>
    <row r="129" spans="18:18" ht="15.75" customHeight="1">
      <c r="R129" s="9"/>
    </row>
    <row r="130" spans="18:18" ht="15.75" customHeight="1">
      <c r="R130" s="9"/>
    </row>
    <row r="131" spans="18:18" ht="15.75" customHeight="1">
      <c r="R131" s="9"/>
    </row>
    <row r="132" spans="18:18" ht="15.75" customHeight="1">
      <c r="R132" s="9"/>
    </row>
    <row r="133" spans="18:18" ht="15.75" customHeight="1">
      <c r="R133" s="9"/>
    </row>
    <row r="134" spans="18:18" ht="15.75" customHeight="1">
      <c r="R134" s="9"/>
    </row>
    <row r="135" spans="18:18" ht="15.75" customHeight="1">
      <c r="R135" s="9"/>
    </row>
    <row r="136" spans="18:18" ht="15.75" customHeight="1">
      <c r="R136" s="9"/>
    </row>
    <row r="137" spans="18:18" ht="15.75" customHeight="1">
      <c r="R137" s="9"/>
    </row>
    <row r="138" spans="18:18" ht="15.75" customHeight="1">
      <c r="R138" s="9"/>
    </row>
    <row r="139" spans="18:18" ht="15.75" customHeight="1">
      <c r="R139" s="9"/>
    </row>
    <row r="140" spans="18:18" ht="15.75" customHeight="1">
      <c r="R140" s="9"/>
    </row>
    <row r="141" spans="18:18" ht="15.75" customHeight="1">
      <c r="R141" s="9"/>
    </row>
    <row r="142" spans="18:18" ht="15.75" customHeight="1">
      <c r="R142" s="9"/>
    </row>
    <row r="143" spans="18:18" ht="15.75" customHeight="1">
      <c r="R143" s="9"/>
    </row>
    <row r="144" spans="18:18" ht="15.75" customHeight="1">
      <c r="R144" s="9"/>
    </row>
    <row r="145" spans="18:18" ht="15.75" customHeight="1">
      <c r="R145" s="9"/>
    </row>
    <row r="146" spans="18:18" ht="15.75" customHeight="1">
      <c r="R146" s="9"/>
    </row>
    <row r="147" spans="18:18" ht="15.75" customHeight="1">
      <c r="R147" s="9"/>
    </row>
    <row r="148" spans="18:18" ht="15.75" customHeight="1">
      <c r="R148" s="9"/>
    </row>
    <row r="149" spans="18:18" ht="15.75" customHeight="1">
      <c r="R149" s="9"/>
    </row>
    <row r="150" spans="18:18" ht="15.75" customHeight="1">
      <c r="R150" s="9"/>
    </row>
    <row r="151" spans="18:18" ht="15.75" customHeight="1">
      <c r="R151" s="9"/>
    </row>
    <row r="152" spans="18:18" ht="15.75" customHeight="1">
      <c r="R152" s="9"/>
    </row>
    <row r="153" spans="18:18" ht="15.75" customHeight="1">
      <c r="R153" s="9"/>
    </row>
    <row r="154" spans="18:18" ht="15.75" customHeight="1">
      <c r="R154" s="9"/>
    </row>
    <row r="155" spans="18:18" ht="15.75" customHeight="1">
      <c r="R155" s="9"/>
    </row>
    <row r="156" spans="18:18" ht="15.75" customHeight="1">
      <c r="R156" s="9"/>
    </row>
    <row r="157" spans="18:18" ht="15.75" customHeight="1">
      <c r="R157" s="9"/>
    </row>
    <row r="158" spans="18:18" ht="15.75" customHeight="1">
      <c r="R158" s="9"/>
    </row>
    <row r="159" spans="18:18" ht="15.75" customHeight="1">
      <c r="R159" s="9"/>
    </row>
    <row r="160" spans="18:18" ht="15.75" customHeight="1">
      <c r="R160" s="9"/>
    </row>
    <row r="161" spans="18:18" ht="15.75" customHeight="1">
      <c r="R161" s="9"/>
    </row>
    <row r="162" spans="18:18" ht="15.75" customHeight="1">
      <c r="R162" s="9"/>
    </row>
    <row r="163" spans="18:18" ht="15.75" customHeight="1">
      <c r="R163" s="9"/>
    </row>
    <row r="164" spans="18:18" ht="15.75" customHeight="1">
      <c r="R164" s="9"/>
    </row>
    <row r="165" spans="18:18" ht="15.75" customHeight="1">
      <c r="R165" s="9"/>
    </row>
    <row r="166" spans="18:18" ht="15.75" customHeight="1">
      <c r="R166" s="9"/>
    </row>
    <row r="167" spans="18:18" ht="15.75" customHeight="1">
      <c r="R167" s="9"/>
    </row>
    <row r="168" spans="18:18" ht="15.75" customHeight="1">
      <c r="R168" s="9"/>
    </row>
    <row r="169" spans="18:18" ht="15.75" customHeight="1">
      <c r="R169" s="9"/>
    </row>
    <row r="170" spans="18:18" ht="15.75" customHeight="1">
      <c r="R170" s="9"/>
    </row>
    <row r="171" spans="18:18" ht="15.75" customHeight="1">
      <c r="R171" s="9"/>
    </row>
    <row r="172" spans="18:18" ht="15.75" customHeight="1">
      <c r="R172" s="9"/>
    </row>
    <row r="173" spans="18:18" ht="15.75" customHeight="1">
      <c r="R173" s="9"/>
    </row>
    <row r="174" spans="18:18" ht="15.75" customHeight="1">
      <c r="R174" s="9"/>
    </row>
    <row r="175" spans="18:18" ht="15.75" customHeight="1">
      <c r="R175" s="9"/>
    </row>
    <row r="176" spans="18:18" ht="15.75" customHeight="1">
      <c r="R176" s="9"/>
    </row>
    <row r="177" spans="18:18" ht="15.75" customHeight="1">
      <c r="R177" s="9"/>
    </row>
    <row r="178" spans="18:18" ht="15.75" customHeight="1">
      <c r="R178" s="9"/>
    </row>
    <row r="179" spans="18:18" ht="15.75" customHeight="1">
      <c r="R179" s="9"/>
    </row>
    <row r="180" spans="18:18" ht="15.75" customHeight="1">
      <c r="R180" s="9"/>
    </row>
    <row r="181" spans="18:18" ht="15.75" customHeight="1">
      <c r="R181" s="9"/>
    </row>
    <row r="182" spans="18:18" ht="15.75" customHeight="1">
      <c r="R182" s="9"/>
    </row>
    <row r="183" spans="18:18" ht="15.75" customHeight="1">
      <c r="R183" s="9"/>
    </row>
    <row r="184" spans="18:18" ht="15.75" customHeight="1">
      <c r="R184" s="9"/>
    </row>
    <row r="185" spans="18:18" ht="15.75" customHeight="1">
      <c r="R185" s="9"/>
    </row>
    <row r="186" spans="18:18" ht="15.75" customHeight="1">
      <c r="R186" s="9"/>
    </row>
    <row r="187" spans="18:18" ht="15.75" customHeight="1">
      <c r="R187" s="9"/>
    </row>
    <row r="188" spans="18:18" ht="15.75" customHeight="1">
      <c r="R188" s="9"/>
    </row>
    <row r="189" spans="18:18" ht="15.75" customHeight="1">
      <c r="R189" s="9"/>
    </row>
    <row r="190" spans="18:18" ht="15.75" customHeight="1">
      <c r="R190" s="9"/>
    </row>
    <row r="191" spans="18:18" ht="15.75" customHeight="1">
      <c r="R191" s="9"/>
    </row>
    <row r="192" spans="18:18" ht="15.75" customHeight="1">
      <c r="R192" s="9"/>
    </row>
    <row r="193" spans="18:18" ht="15.75" customHeight="1">
      <c r="R193" s="9"/>
    </row>
    <row r="194" spans="18:18" ht="15.75" customHeight="1">
      <c r="R194" s="9"/>
    </row>
    <row r="195" spans="18:18" ht="15.75" customHeight="1">
      <c r="R195" s="9"/>
    </row>
    <row r="196" spans="18:18" ht="15.75" customHeight="1">
      <c r="R196" s="9"/>
    </row>
    <row r="197" spans="18:18" ht="15.75" customHeight="1">
      <c r="R197" s="9"/>
    </row>
    <row r="198" spans="18:18" ht="15.75" customHeight="1">
      <c r="R198" s="9"/>
    </row>
    <row r="199" spans="18:18" ht="15.75" customHeight="1">
      <c r="R199" s="9"/>
    </row>
    <row r="200" spans="18:18" ht="15.75" customHeight="1">
      <c r="R200" s="9"/>
    </row>
    <row r="201" spans="18:18" ht="15.75" customHeight="1">
      <c r="R201" s="9"/>
    </row>
    <row r="202" spans="18:18" ht="15.75" customHeight="1">
      <c r="R202" s="9"/>
    </row>
    <row r="203" spans="18:18" ht="15.75" customHeight="1">
      <c r="R203" s="9"/>
    </row>
    <row r="204" spans="18:18" ht="15.75" customHeight="1">
      <c r="R204" s="9"/>
    </row>
    <row r="205" spans="18:18" ht="15.75" customHeight="1">
      <c r="R205" s="9"/>
    </row>
    <row r="206" spans="18:18" ht="15.75" customHeight="1">
      <c r="R206" s="9"/>
    </row>
    <row r="207" spans="18:18" ht="15.75" customHeight="1">
      <c r="R207" s="9"/>
    </row>
    <row r="208" spans="18:18" ht="15.75" customHeight="1">
      <c r="R208" s="9"/>
    </row>
    <row r="209" spans="18:18" ht="15.75" customHeight="1">
      <c r="R209" s="9"/>
    </row>
    <row r="210" spans="18:18" ht="15.75" customHeight="1">
      <c r="R210" s="9"/>
    </row>
    <row r="211" spans="18:18" ht="15.75" customHeight="1">
      <c r="R211" s="9"/>
    </row>
    <row r="212" spans="18:18" ht="15.75" customHeight="1">
      <c r="R212" s="9"/>
    </row>
    <row r="213" spans="18:18" ht="15.75" customHeight="1">
      <c r="R213" s="9"/>
    </row>
    <row r="214" spans="18:18" ht="15.75" customHeight="1">
      <c r="R214" s="9"/>
    </row>
    <row r="215" spans="18:18" ht="15.75" customHeight="1">
      <c r="R215" s="9"/>
    </row>
    <row r="216" spans="18:18" ht="15.75" customHeight="1">
      <c r="R216" s="9"/>
    </row>
    <row r="217" spans="18:18" ht="15.75" customHeight="1">
      <c r="R217" s="9"/>
    </row>
    <row r="218" spans="18:18" ht="15.75" customHeight="1">
      <c r="R218" s="9"/>
    </row>
    <row r="219" spans="18:18" ht="15.75" customHeight="1">
      <c r="R219" s="9"/>
    </row>
    <row r="220" spans="18:18" ht="15.75" customHeight="1">
      <c r="R220" s="9"/>
    </row>
    <row r="221" spans="18:18" ht="15.75" customHeight="1">
      <c r="R221" s="9"/>
    </row>
    <row r="222" spans="18:18" ht="15.75" customHeight="1">
      <c r="R222" s="9"/>
    </row>
    <row r="223" spans="18:18" ht="15.75" customHeight="1">
      <c r="R223" s="9"/>
    </row>
    <row r="224" spans="18:18" ht="15.75" customHeight="1">
      <c r="R224" s="9"/>
    </row>
    <row r="225" spans="18:18" ht="15.75" customHeight="1">
      <c r="R225" s="9"/>
    </row>
    <row r="226" spans="18:18" ht="15.75" customHeight="1">
      <c r="R226" s="9"/>
    </row>
    <row r="227" spans="18:18" ht="15.75" customHeight="1">
      <c r="R227" s="9"/>
    </row>
    <row r="228" spans="18:18" ht="15.75" customHeight="1">
      <c r="R228" s="9"/>
    </row>
    <row r="229" spans="18:18" ht="15.75" customHeight="1">
      <c r="R229" s="9"/>
    </row>
    <row r="230" spans="18:18" ht="15.75" customHeight="1">
      <c r="R230" s="9"/>
    </row>
    <row r="231" spans="18:18" ht="15.75" customHeight="1">
      <c r="R231" s="9"/>
    </row>
    <row r="232" spans="18:18" ht="15.75" customHeight="1">
      <c r="R232" s="9"/>
    </row>
    <row r="233" spans="18:18" ht="15.75" customHeight="1">
      <c r="R233" s="9"/>
    </row>
    <row r="234" spans="18:18" ht="15.75" customHeight="1">
      <c r="R234" s="9"/>
    </row>
    <row r="235" spans="18:18" ht="15.75" customHeight="1">
      <c r="R235" s="9"/>
    </row>
    <row r="236" spans="18:18" ht="15.75" customHeight="1">
      <c r="R236" s="9"/>
    </row>
    <row r="237" spans="18:18" ht="15.75" customHeight="1">
      <c r="R237" s="9"/>
    </row>
    <row r="238" spans="18:18" ht="15.75" customHeight="1">
      <c r="R238" s="9"/>
    </row>
    <row r="239" spans="18:18" ht="15.75" customHeight="1">
      <c r="R239" s="9"/>
    </row>
    <row r="240" spans="18:18" ht="15.75" customHeight="1">
      <c r="R240" s="9"/>
    </row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sortState ref="A11:AB60">
    <sortCondition descending="1" ref="S11:S60"/>
  </sortState>
  <mergeCells count="26">
    <mergeCell ref="B7:B10"/>
    <mergeCell ref="C7:C10"/>
    <mergeCell ref="A1:O1"/>
    <mergeCell ref="A2:O2"/>
    <mergeCell ref="A3:O3"/>
    <mergeCell ref="A4:O4"/>
    <mergeCell ref="A5:O5"/>
    <mergeCell ref="A6:O6"/>
    <mergeCell ref="D7:S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S8:S10"/>
    <mergeCell ref="J8:J10"/>
    <mergeCell ref="K8:K10"/>
    <mergeCell ref="L8:L10"/>
    <mergeCell ref="M8:M10"/>
    <mergeCell ref="N8:N10"/>
    <mergeCell ref="O8:O10"/>
    <mergeCell ref="P8:P10"/>
  </mergeCells>
  <pageMargins left="0.7" right="0.7" top="0.75" bottom="0.75" header="0" footer="0"/>
  <pageSetup paperSize="9" scale="6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BONDARENKO</cp:lastModifiedBy>
  <dcterms:created xsi:type="dcterms:W3CDTF">2020-12-19T20:29:55Z</dcterms:created>
  <dcterms:modified xsi:type="dcterms:W3CDTF">2021-12-30T10:49:14Z</dcterms:modified>
</cp:coreProperties>
</file>