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ЭтаКнига"/>
  <bookViews>
    <workbookView xWindow="390" yWindow="525" windowWidth="19815" windowHeight="7365"/>
  </bookViews>
  <sheets>
    <sheet name="Зведена відомість" sheetId="1" r:id="rId1"/>
    <sheet name="Рейтингова відомість" sheetId="2" r:id="rId2"/>
  </sheets>
  <definedNames>
    <definedName name="_xlnm._FilterDatabase" localSheetId="1" hidden="1">'Рейтингова відомість'!$A$11:$Z$121</definedName>
    <definedName name="Ф80">'Рейтингова відомість'!$A$17</definedName>
  </definedNames>
  <calcPr calcId="125725"/>
  <extLs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D46" i="1"/>
  <c r="R12" i="2"/>
  <c r="R13"/>
  <c r="R14"/>
  <c r="R15"/>
  <c r="R16"/>
  <c r="R17"/>
  <c r="R18"/>
  <c r="R11"/>
  <c r="S16"/>
  <c r="S15" l="1"/>
  <c r="S17"/>
  <c r="S13"/>
  <c r="S11"/>
  <c r="S18"/>
  <c r="S12"/>
  <c r="S14"/>
  <c r="D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121" l="1"/>
  <c r="C120" i="1" l="1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D44" l="1"/>
  <c r="D43"/>
  <c r="A120" l="1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D19" i="2" s="1"/>
  <c r="A96" i="1"/>
  <c r="A95"/>
  <c r="A94"/>
  <c r="A93"/>
  <c r="A92"/>
  <c r="A91"/>
  <c r="A90"/>
  <c r="A89"/>
  <c r="A88"/>
  <c r="A87"/>
  <c r="A86"/>
  <c r="A85"/>
  <c r="A84"/>
  <c r="A83"/>
  <c r="A82"/>
  <c r="A79"/>
  <c r="A75"/>
  <c r="A80"/>
  <c r="A76"/>
  <c r="A81"/>
  <c r="A77"/>
  <c r="A78"/>
  <c r="B120"/>
  <c r="B119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D20" i="2" s="1"/>
  <c r="B96" i="1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Q38"/>
  <c r="P38"/>
  <c r="O38"/>
  <c r="N38"/>
  <c r="M38"/>
  <c r="L38"/>
  <c r="K38"/>
  <c r="J38"/>
  <c r="I38"/>
  <c r="H38"/>
  <c r="G38"/>
  <c r="F38"/>
  <c r="E38"/>
  <c r="D38"/>
  <c r="R37"/>
  <c r="R36"/>
  <c r="R35"/>
  <c r="R34"/>
  <c r="R33"/>
  <c r="R32"/>
  <c r="R31"/>
  <c r="R30"/>
  <c r="R29"/>
  <c r="R28"/>
  <c r="R27"/>
  <c r="R26"/>
  <c r="R25"/>
  <c r="R24"/>
  <c r="R23"/>
  <c r="R22"/>
  <c r="R21"/>
  <c r="R20"/>
  <c r="R19"/>
  <c r="R18"/>
  <c r="R17"/>
  <c r="R16"/>
  <c r="R15"/>
  <c r="R14"/>
  <c r="R13"/>
  <c r="R12"/>
  <c r="R11"/>
  <c r="D119" l="1"/>
  <c r="D117"/>
  <c r="D115"/>
  <c r="D113"/>
  <c r="D111"/>
  <c r="D109"/>
  <c r="D107"/>
  <c r="D105"/>
  <c r="D103"/>
  <c r="D101"/>
  <c r="D99"/>
  <c r="D97"/>
  <c r="D22" i="2" s="1"/>
  <c r="D95" i="1"/>
  <c r="D93"/>
  <c r="D91"/>
  <c r="D89"/>
  <c r="D87"/>
  <c r="D85"/>
  <c r="D83"/>
  <c r="D81"/>
  <c r="D77"/>
  <c r="D78"/>
  <c r="D120"/>
  <c r="D118"/>
  <c r="D116"/>
  <c r="D114"/>
  <c r="D112"/>
  <c r="D110"/>
  <c r="D108"/>
  <c r="D106"/>
  <c r="D104"/>
  <c r="D102"/>
  <c r="D100"/>
  <c r="D98"/>
  <c r="D96"/>
  <c r="D94"/>
  <c r="D92"/>
  <c r="D90"/>
  <c r="D88"/>
  <c r="D86"/>
  <c r="D84"/>
  <c r="D82"/>
  <c r="D79"/>
  <c r="D75"/>
  <c r="D80"/>
  <c r="D76"/>
  <c r="N40"/>
  <c r="Q40"/>
  <c r="M40"/>
  <c r="I40"/>
  <c r="E40"/>
  <c r="O39"/>
  <c r="K39"/>
  <c r="G39"/>
  <c r="J40"/>
  <c r="F40"/>
  <c r="P39"/>
  <c r="L39"/>
  <c r="H39"/>
  <c r="D39"/>
  <c r="P40"/>
  <c r="L40"/>
  <c r="H40"/>
  <c r="D40"/>
  <c r="N39"/>
  <c r="J39"/>
  <c r="F39"/>
  <c r="O40"/>
  <c r="K40"/>
  <c r="G40"/>
  <c r="Q39"/>
  <c r="M39"/>
  <c r="I39"/>
  <c r="E39"/>
  <c r="R38"/>
  <c r="D42" l="1"/>
  <c r="D41"/>
</calcChain>
</file>

<file path=xl/sharedStrings.xml><?xml version="1.0" encoding="utf-8"?>
<sst xmlns="http://schemas.openxmlformats.org/spreadsheetml/2006/main" count="154" uniqueCount="71">
  <si>
    <t xml:space="preserve">ЗВЕДЕНА  ВІДОМІСТЬ  </t>
  </si>
  <si>
    <t>За І семестр 2021-2022 н.р.</t>
  </si>
  <si>
    <t>Група 21-3 курс І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</si>
  <si>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</si>
  <si>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</si>
  <si>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</si>
  <si>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</si>
  <si>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Юрченко О.Б.</t>
  </si>
  <si>
    <t>Всесвітня історія
Мельничук С.А.</t>
  </si>
  <si>
    <t>Математика
Земляна Т.М.</t>
  </si>
  <si>
    <t>Фізика
Чикіна А.В.</t>
  </si>
  <si>
    <t>Хімія
Пономарьов К.М.</t>
  </si>
  <si>
    <t>Інформатика
Редунов Г.М.</t>
  </si>
  <si>
    <t>Українська мова
Юрченко О.Б.</t>
  </si>
  <si>
    <t>Зарубіжна література
Пруднікова Я.П.</t>
  </si>
  <si>
    <t>Біологія
Богданенко О.В.</t>
  </si>
  <si>
    <t>Фізичне виховання
Галеніна І.С.</t>
  </si>
  <si>
    <t>Іноземна мова
Кубова Т.М.</t>
  </si>
  <si>
    <t>ЗУ
Лазар В.І.
Стельмах Н.Ю.</t>
  </si>
  <si>
    <t>Історія України
Левчук Т.Г.</t>
  </si>
  <si>
    <t>Географія
Наговська Т.С.</t>
  </si>
  <si>
    <t>Середній бал</t>
  </si>
  <si>
    <t>К</t>
  </si>
  <si>
    <t>Бабяк Валерія Миколаївна</t>
  </si>
  <si>
    <t>Бешенцева Дар’я Олександрівна</t>
  </si>
  <si>
    <t>Бєжина Анастасія Олексіївна</t>
  </si>
  <si>
    <t>Бєльков Данііл Валерійович</t>
  </si>
  <si>
    <t>н/а</t>
  </si>
  <si>
    <t xml:space="preserve">Боєва Ольга Андріївна </t>
  </si>
  <si>
    <t>Броннікова Кіра Олегівна</t>
  </si>
  <si>
    <t>Бурдейна Віталія Віталіївна</t>
  </si>
  <si>
    <t>Венедіктов Владислав Юрійович</t>
  </si>
  <si>
    <t>Волков Михайло Денисович</t>
  </si>
  <si>
    <t>Голубенко Юлія Вячеславівна</t>
  </si>
  <si>
    <t>Гончарик Максим Васильович</t>
  </si>
  <si>
    <t>Драло Соломія Вікторівна</t>
  </si>
  <si>
    <t>Ігнатенко Анастасія Віталіївна</t>
  </si>
  <si>
    <t>Казани Ангеліна Віталіївна</t>
  </si>
  <si>
    <t>Коваленко Карина Юріївна</t>
  </si>
  <si>
    <t>Козелецька Анастасія Віталіївна</t>
  </si>
  <si>
    <t>Колчак Анастасія Миколаївна</t>
  </si>
  <si>
    <t xml:space="preserve">Лагерева Анна Юріївна       </t>
  </si>
  <si>
    <t>Мараховська Ольга Євгенівна</t>
  </si>
  <si>
    <t xml:space="preserve">Марченко Дар’я Сергіївна   </t>
  </si>
  <si>
    <t xml:space="preserve">Потапенко Руслан Михайлович  </t>
  </si>
  <si>
    <t>Б</t>
  </si>
  <si>
    <t>Сахно Владислав Вячеславович</t>
  </si>
  <si>
    <t>Сорочан Юлія Володимирівна</t>
  </si>
  <si>
    <t>Стецюк Вікторія Вікторівна</t>
  </si>
  <si>
    <t>Тарасенко Кирило Денисович</t>
  </si>
  <si>
    <t>Толоконніков Нікіта Сергійович</t>
  </si>
  <si>
    <t>Шиян Олександра Вячеславівна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</si>
  <si>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</si>
  <si>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</si>
  <si>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</si>
  <si>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</si>
  <si>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</si>
  <si>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</si>
  <si>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</si>
  <si>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</si>
  <si>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Вийшли на стипендію</t>
  </si>
  <si>
    <t>Класний керівник</t>
  </si>
  <si>
    <t>Тетяна ЗЕЛЯНА</t>
  </si>
  <si>
    <t>Завідувач відділення ПЗСО</t>
  </si>
  <si>
    <t>Маргарита БРІТІКОВА</t>
  </si>
  <si>
    <t xml:space="preserve">РЕЙТИНГОВА  ВІДОМІСТЬ  </t>
  </si>
  <si>
    <t xml:space="preserve">Середній бал    </t>
  </si>
  <si>
    <t>Рейтинг</t>
  </si>
  <si>
    <t>Успішності студентів спеціальності 075 «Маркетинг», 076 «Підприємництво, торгівля та біржова діяльність»</t>
  </si>
  <si>
    <t>ВСП "ФАХОВИЙ КОЛЕДЖ НАФТОГАЗОВИХ ТЕХНОЛОГІЙ, ІНЖЕНЕРІЇ ТА ІНФРАСТРУКТУРИ СЕРВІСУ</t>
  </si>
  <si>
    <t>ОДЕСЬКОЇ НАЦІОНАЛЬНОЇ АКАДЕМІЇ ХАРЧОВИХ ТЕХНОЛОГІЙ"</t>
  </si>
</sst>
</file>

<file path=xl/styles.xml><?xml version="1.0" encoding="utf-8"?>
<styleSheet xmlns="http://schemas.openxmlformats.org/spreadsheetml/2006/main">
  <numFmts count="1">
    <numFmt numFmtId="164" formatCode="0.0"/>
  </numFmts>
  <fonts count="14">
    <font>
      <sz val="11"/>
      <color rgb="FF000000"/>
      <name val="Calibri"/>
    </font>
    <font>
      <sz val="14"/>
      <color theme="1"/>
      <name val="Times New Roman"/>
      <family val="1"/>
      <charset val="204"/>
    </font>
    <font>
      <sz val="16"/>
      <color theme="1"/>
      <name val="Arimo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Arimo"/>
    </font>
    <font>
      <sz val="12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1"/>
      <color theme="0"/>
      <name val="Calibri"/>
      <family val="2"/>
      <charset val="204"/>
    </font>
    <font>
      <sz val="11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2" fillId="0" borderId="0" xfId="0" applyFont="1"/>
    <xf numFmtId="0" fontId="7" fillId="0" borderId="8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64" fontId="4" fillId="3" borderId="11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4" fillId="2" borderId="13" xfId="0" applyFont="1" applyFill="1" applyBorder="1" applyAlignment="1">
      <alignment vertical="center" wrapText="1"/>
    </xf>
    <xf numFmtId="164" fontId="4" fillId="3" borderId="13" xfId="0" applyNumberFormat="1" applyFont="1" applyFill="1" applyBorder="1" applyAlignment="1">
      <alignment horizontal="center" vertical="center"/>
    </xf>
    <xf numFmtId="164" fontId="4" fillId="3" borderId="14" xfId="0" applyNumberFormat="1" applyFont="1" applyFill="1" applyBorder="1" applyAlignment="1">
      <alignment horizontal="center" vertical="center"/>
    </xf>
    <xf numFmtId="164" fontId="4" fillId="3" borderId="15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 wrapText="1"/>
    </xf>
    <xf numFmtId="164" fontId="4" fillId="4" borderId="16" xfId="0" applyNumberFormat="1" applyFont="1" applyFill="1" applyBorder="1" applyAlignment="1">
      <alignment horizontal="center" vertical="center"/>
    </xf>
    <xf numFmtId="164" fontId="4" fillId="4" borderId="8" xfId="0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0" fontId="0" fillId="0" borderId="0" xfId="0" applyFont="1"/>
    <xf numFmtId="0" fontId="8" fillId="0" borderId="0" xfId="0" applyFont="1"/>
    <xf numFmtId="0" fontId="7" fillId="0" borderId="0" xfId="0" applyFont="1"/>
    <xf numFmtId="0" fontId="10" fillId="0" borderId="0" xfId="0" applyFont="1"/>
    <xf numFmtId="0" fontId="4" fillId="2" borderId="18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4" fillId="0" borderId="7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64" fontId="12" fillId="0" borderId="0" xfId="0" applyNumberFormat="1" applyFont="1" applyAlignment="1"/>
    <xf numFmtId="1" fontId="12" fillId="0" borderId="0" xfId="0" applyNumberFormat="1" applyFont="1" applyAlignment="1"/>
    <xf numFmtId="0" fontId="12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7" fillId="5" borderId="21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left" vertical="center"/>
    </xf>
    <xf numFmtId="2" fontId="7" fillId="5" borderId="21" xfId="0" applyNumberFormat="1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2" fontId="7" fillId="0" borderId="21" xfId="0" applyNumberFormat="1" applyFont="1" applyBorder="1" applyAlignment="1">
      <alignment horizontal="center" vertical="center"/>
    </xf>
    <xf numFmtId="0" fontId="13" fillId="0" borderId="0" xfId="0" applyFont="1" applyAlignment="1"/>
    <xf numFmtId="2" fontId="7" fillId="6" borderId="2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7" xfId="0" applyFont="1" applyBorder="1"/>
    <xf numFmtId="0" fontId="5" fillId="0" borderId="6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textRotation="90" wrapText="1"/>
    </xf>
    <xf numFmtId="0" fontId="6" fillId="2" borderId="1" xfId="0" applyFont="1" applyFill="1" applyBorder="1" applyAlignment="1">
      <alignment horizontal="center" vertical="center" textRotation="90" wrapText="1"/>
    </xf>
    <xf numFmtId="0" fontId="1" fillId="0" borderId="20" xfId="0" applyFont="1" applyBorder="1" applyAlignment="1">
      <alignment horizontal="center"/>
    </xf>
    <xf numFmtId="0" fontId="5" fillId="0" borderId="20" xfId="0" applyFont="1" applyBorder="1"/>
    <xf numFmtId="0" fontId="6" fillId="0" borderId="1" xfId="0" applyFont="1" applyBorder="1" applyAlignment="1">
      <alignment horizontal="center" vertical="center" textRotation="90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Z1013"/>
  <sheetViews>
    <sheetView tabSelected="1" zoomScale="80" zoomScaleNormal="80" workbookViewId="0">
      <selection activeCell="E41" sqref="E41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14" width="6.7109375" customWidth="1"/>
    <col min="15" max="15" width="9.7109375" customWidth="1"/>
    <col min="16" max="16" width="6.7109375" customWidth="1"/>
    <col min="17" max="17" width="9.140625" customWidth="1"/>
    <col min="18" max="18" width="11.28515625" customWidth="1"/>
    <col min="20" max="26" width="14.42578125" customWidth="1"/>
    <col min="27" max="27" width="14.85546875" customWidth="1"/>
    <col min="28" max="41" width="3.7109375" customWidth="1"/>
    <col min="42" max="55" width="5.7109375" customWidth="1"/>
  </cols>
  <sheetData>
    <row r="1" spans="1:18" ht="15" customHeight="1">
      <c r="A1" s="52" t="s">
        <v>69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1"/>
      <c r="Q1" s="1"/>
      <c r="R1" s="1"/>
    </row>
    <row r="2" spans="1:18" ht="15" customHeight="1">
      <c r="A2" s="52" t="s">
        <v>70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1"/>
      <c r="Q2" s="1"/>
      <c r="R2" s="1"/>
    </row>
    <row r="3" spans="1:18" ht="15" customHeight="1">
      <c r="A3" s="54" t="s">
        <v>0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1"/>
      <c r="Q3" s="1"/>
      <c r="R3" s="1"/>
    </row>
    <row r="4" spans="1:18" ht="15" customHeight="1">
      <c r="A4" s="52" t="s">
        <v>68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1"/>
      <c r="Q4" s="1"/>
      <c r="R4" s="1"/>
    </row>
    <row r="5" spans="1:18" ht="15" customHeight="1">
      <c r="A5" s="52" t="s">
        <v>1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1"/>
      <c r="Q5" s="1"/>
      <c r="R5" s="1"/>
    </row>
    <row r="6" spans="1:18" ht="15" customHeight="1">
      <c r="A6" s="52" t="s">
        <v>2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1"/>
      <c r="Q6" s="1"/>
      <c r="R6" s="1"/>
    </row>
    <row r="7" spans="1:18" ht="15" customHeight="1">
      <c r="A7" s="58" t="s">
        <v>3</v>
      </c>
      <c r="B7" s="48" t="s">
        <v>4</v>
      </c>
      <c r="C7" s="48" t="s">
        <v>5</v>
      </c>
      <c r="D7" s="55" t="s">
        <v>6</v>
      </c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7"/>
    </row>
    <row r="8" spans="1:18" ht="15" customHeight="1">
      <c r="A8" s="49"/>
      <c r="B8" s="49"/>
      <c r="C8" s="49"/>
      <c r="D8" s="59" t="s">
        <v>7</v>
      </c>
      <c r="E8" s="59" t="s">
        <v>8</v>
      </c>
      <c r="F8" s="59" t="s">
        <v>9</v>
      </c>
      <c r="G8" s="59" t="s">
        <v>10</v>
      </c>
      <c r="H8" s="59" t="s">
        <v>11</v>
      </c>
      <c r="I8" s="59" t="s">
        <v>12</v>
      </c>
      <c r="J8" s="59" t="s">
        <v>13</v>
      </c>
      <c r="K8" s="59" t="s">
        <v>14</v>
      </c>
      <c r="L8" s="59" t="s">
        <v>15</v>
      </c>
      <c r="M8" s="59" t="s">
        <v>16</v>
      </c>
      <c r="N8" s="59" t="s">
        <v>17</v>
      </c>
      <c r="O8" s="59" t="s">
        <v>18</v>
      </c>
      <c r="P8" s="59" t="s">
        <v>19</v>
      </c>
      <c r="Q8" s="59" t="s">
        <v>20</v>
      </c>
      <c r="R8" s="60" t="s">
        <v>21</v>
      </c>
    </row>
    <row r="9" spans="1:18" ht="15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</row>
    <row r="10" spans="1:18" ht="100.5" customHeight="1">
      <c r="A10" s="51"/>
      <c r="B10" s="50"/>
      <c r="C10" s="51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</row>
    <row r="11" spans="1:18" ht="15" customHeight="1">
      <c r="A11" s="2" t="s">
        <v>22</v>
      </c>
      <c r="B11" s="3">
        <v>1</v>
      </c>
      <c r="C11" s="4" t="s">
        <v>23</v>
      </c>
      <c r="D11" s="5">
        <v>8</v>
      </c>
      <c r="E11" s="6">
        <v>8</v>
      </c>
      <c r="F11" s="7">
        <v>4</v>
      </c>
      <c r="G11" s="6">
        <v>7</v>
      </c>
      <c r="H11" s="7">
        <v>6</v>
      </c>
      <c r="I11" s="7">
        <v>7</v>
      </c>
      <c r="J11" s="7">
        <v>7</v>
      </c>
      <c r="K11" s="6">
        <v>7</v>
      </c>
      <c r="L11" s="7">
        <v>5</v>
      </c>
      <c r="M11" s="7">
        <v>9</v>
      </c>
      <c r="N11" s="7">
        <v>7</v>
      </c>
      <c r="O11" s="7">
        <v>8</v>
      </c>
      <c r="P11" s="6">
        <v>8</v>
      </c>
      <c r="Q11" s="6">
        <v>8</v>
      </c>
      <c r="R11" s="8">
        <f t="shared" ref="R11:R38" si="0">AVERAGE(D11:Q11)</f>
        <v>7.0714285714285712</v>
      </c>
    </row>
    <row r="12" spans="1:18" ht="15" customHeight="1">
      <c r="A12" s="2" t="s">
        <v>22</v>
      </c>
      <c r="B12" s="9">
        <v>2</v>
      </c>
      <c r="C12" s="4" t="s">
        <v>24</v>
      </c>
      <c r="D12" s="5">
        <v>6</v>
      </c>
      <c r="E12" s="6">
        <v>10</v>
      </c>
      <c r="F12" s="7">
        <v>6</v>
      </c>
      <c r="G12" s="6">
        <v>8</v>
      </c>
      <c r="H12" s="7">
        <v>9</v>
      </c>
      <c r="I12" s="7">
        <v>7</v>
      </c>
      <c r="J12" s="7">
        <v>6</v>
      </c>
      <c r="K12" s="6">
        <v>6</v>
      </c>
      <c r="L12" s="7">
        <v>5</v>
      </c>
      <c r="M12" s="7">
        <v>9</v>
      </c>
      <c r="N12" s="7">
        <v>8</v>
      </c>
      <c r="O12" s="7">
        <v>8</v>
      </c>
      <c r="P12" s="6">
        <v>6</v>
      </c>
      <c r="Q12" s="6">
        <v>8</v>
      </c>
      <c r="R12" s="8">
        <f t="shared" si="0"/>
        <v>7.2857142857142856</v>
      </c>
    </row>
    <row r="13" spans="1:18" ht="15" customHeight="1">
      <c r="A13" s="2" t="s">
        <v>22</v>
      </c>
      <c r="B13" s="3">
        <v>3</v>
      </c>
      <c r="C13" s="4" t="s">
        <v>25</v>
      </c>
      <c r="D13" s="5">
        <v>4</v>
      </c>
      <c r="E13" s="6">
        <v>9</v>
      </c>
      <c r="F13" s="7">
        <v>4</v>
      </c>
      <c r="G13" s="6">
        <v>7</v>
      </c>
      <c r="H13" s="7">
        <v>6</v>
      </c>
      <c r="I13" s="7">
        <v>7</v>
      </c>
      <c r="J13" s="7">
        <v>7</v>
      </c>
      <c r="K13" s="6">
        <v>4</v>
      </c>
      <c r="L13" s="7">
        <v>6</v>
      </c>
      <c r="M13" s="7">
        <v>5</v>
      </c>
      <c r="N13" s="7">
        <v>6</v>
      </c>
      <c r="O13" s="7">
        <v>6</v>
      </c>
      <c r="P13" s="6">
        <v>7</v>
      </c>
      <c r="Q13" s="6">
        <v>8</v>
      </c>
      <c r="R13" s="8">
        <f t="shared" si="0"/>
        <v>6.1428571428571432</v>
      </c>
    </row>
    <row r="14" spans="1:18" ht="15" customHeight="1">
      <c r="A14" s="2" t="s">
        <v>22</v>
      </c>
      <c r="B14" s="9">
        <v>4</v>
      </c>
      <c r="C14" s="4" t="s">
        <v>26</v>
      </c>
      <c r="D14" s="5">
        <v>4</v>
      </c>
      <c r="E14" s="6">
        <v>5</v>
      </c>
      <c r="F14" s="7">
        <v>4</v>
      </c>
      <c r="G14" s="6">
        <v>4</v>
      </c>
      <c r="H14" s="7">
        <v>4</v>
      </c>
      <c r="I14" s="7">
        <v>4</v>
      </c>
      <c r="J14" s="7">
        <v>4</v>
      </c>
      <c r="K14" s="6">
        <v>4</v>
      </c>
      <c r="L14" s="7" t="s">
        <v>27</v>
      </c>
      <c r="M14" s="7">
        <v>9</v>
      </c>
      <c r="N14" s="7">
        <v>4</v>
      </c>
      <c r="O14" s="7">
        <v>6</v>
      </c>
      <c r="P14" s="6">
        <v>7</v>
      </c>
      <c r="Q14" s="6">
        <v>7</v>
      </c>
      <c r="R14" s="8">
        <f t="shared" si="0"/>
        <v>5.0769230769230766</v>
      </c>
    </row>
    <row r="15" spans="1:18" ht="15" customHeight="1">
      <c r="A15" s="2" t="s">
        <v>22</v>
      </c>
      <c r="B15" s="3">
        <v>5</v>
      </c>
      <c r="C15" s="4" t="s">
        <v>28</v>
      </c>
      <c r="D15" s="5">
        <v>4</v>
      </c>
      <c r="E15" s="6">
        <v>5</v>
      </c>
      <c r="F15" s="7">
        <v>4</v>
      </c>
      <c r="G15" s="6">
        <v>5</v>
      </c>
      <c r="H15" s="7">
        <v>4</v>
      </c>
      <c r="I15" s="7">
        <v>4</v>
      </c>
      <c r="J15" s="7">
        <v>6</v>
      </c>
      <c r="K15" s="6">
        <v>10</v>
      </c>
      <c r="L15" s="7">
        <v>8</v>
      </c>
      <c r="M15" s="7">
        <v>5</v>
      </c>
      <c r="N15" s="7">
        <v>7</v>
      </c>
      <c r="O15" s="7">
        <v>7</v>
      </c>
      <c r="P15" s="6">
        <v>7</v>
      </c>
      <c r="Q15" s="6">
        <v>8</v>
      </c>
      <c r="R15" s="8">
        <f t="shared" si="0"/>
        <v>6</v>
      </c>
    </row>
    <row r="16" spans="1:18" ht="15" customHeight="1">
      <c r="A16" s="32" t="s">
        <v>45</v>
      </c>
      <c r="B16" s="9">
        <v>6</v>
      </c>
      <c r="C16" s="4" t="s">
        <v>29</v>
      </c>
      <c r="D16" s="5">
        <v>8</v>
      </c>
      <c r="E16" s="6">
        <v>9</v>
      </c>
      <c r="F16" s="7">
        <v>6</v>
      </c>
      <c r="G16" s="6">
        <v>7</v>
      </c>
      <c r="H16" s="7">
        <v>7</v>
      </c>
      <c r="I16" s="7">
        <v>9</v>
      </c>
      <c r="J16" s="7">
        <v>6</v>
      </c>
      <c r="K16" s="6">
        <v>9</v>
      </c>
      <c r="L16" s="7">
        <v>7</v>
      </c>
      <c r="M16" s="7">
        <v>10</v>
      </c>
      <c r="N16" s="7">
        <v>9</v>
      </c>
      <c r="O16" s="7">
        <v>8</v>
      </c>
      <c r="P16" s="6">
        <v>8</v>
      </c>
      <c r="Q16" s="6">
        <v>9</v>
      </c>
      <c r="R16" s="8">
        <f t="shared" si="0"/>
        <v>8</v>
      </c>
    </row>
    <row r="17" spans="1:18" ht="15" customHeight="1">
      <c r="A17" s="2" t="s">
        <v>22</v>
      </c>
      <c r="B17" s="3">
        <v>7</v>
      </c>
      <c r="C17" s="4" t="s">
        <v>30</v>
      </c>
      <c r="D17" s="5">
        <v>5</v>
      </c>
      <c r="E17" s="6">
        <v>7</v>
      </c>
      <c r="F17" s="7">
        <v>4</v>
      </c>
      <c r="G17" s="6">
        <v>4</v>
      </c>
      <c r="H17" s="7">
        <v>5</v>
      </c>
      <c r="I17" s="7">
        <v>5</v>
      </c>
      <c r="J17" s="7">
        <v>7</v>
      </c>
      <c r="K17" s="6">
        <v>6</v>
      </c>
      <c r="L17" s="7">
        <v>4</v>
      </c>
      <c r="M17" s="7">
        <v>8</v>
      </c>
      <c r="N17" s="7">
        <v>4</v>
      </c>
      <c r="O17" s="7">
        <v>6</v>
      </c>
      <c r="P17" s="6">
        <v>8</v>
      </c>
      <c r="Q17" s="6">
        <v>8</v>
      </c>
      <c r="R17" s="8">
        <f t="shared" si="0"/>
        <v>5.7857142857142856</v>
      </c>
    </row>
    <row r="18" spans="1:18" ht="15" customHeight="1">
      <c r="A18" s="2" t="s">
        <v>22</v>
      </c>
      <c r="B18" s="9">
        <v>8</v>
      </c>
      <c r="C18" s="4" t="s">
        <v>31</v>
      </c>
      <c r="D18" s="5">
        <v>4</v>
      </c>
      <c r="E18" s="6">
        <v>7</v>
      </c>
      <c r="F18" s="7">
        <v>4</v>
      </c>
      <c r="G18" s="6">
        <v>6</v>
      </c>
      <c r="H18" s="7">
        <v>5</v>
      </c>
      <c r="I18" s="7">
        <v>5</v>
      </c>
      <c r="J18" s="7">
        <v>6</v>
      </c>
      <c r="K18" s="6">
        <v>4</v>
      </c>
      <c r="L18" s="7">
        <v>4</v>
      </c>
      <c r="M18" s="7">
        <v>5</v>
      </c>
      <c r="N18" s="7">
        <v>5</v>
      </c>
      <c r="O18" s="7">
        <v>6</v>
      </c>
      <c r="P18" s="6">
        <v>7</v>
      </c>
      <c r="Q18" s="6">
        <v>7</v>
      </c>
      <c r="R18" s="8">
        <f t="shared" si="0"/>
        <v>5.3571428571428568</v>
      </c>
    </row>
    <row r="19" spans="1:18" ht="15" customHeight="1">
      <c r="A19" s="2" t="s">
        <v>22</v>
      </c>
      <c r="B19" s="3">
        <v>9</v>
      </c>
      <c r="C19" s="4" t="s">
        <v>32</v>
      </c>
      <c r="D19" s="5">
        <v>5</v>
      </c>
      <c r="E19" s="6">
        <v>7</v>
      </c>
      <c r="F19" s="7">
        <v>4</v>
      </c>
      <c r="G19" s="6">
        <v>5</v>
      </c>
      <c r="H19" s="7">
        <v>4</v>
      </c>
      <c r="I19" s="7">
        <v>8</v>
      </c>
      <c r="J19" s="7">
        <v>8</v>
      </c>
      <c r="K19" s="6">
        <v>5</v>
      </c>
      <c r="L19" s="7">
        <v>4</v>
      </c>
      <c r="M19" s="7">
        <v>9</v>
      </c>
      <c r="N19" s="7">
        <v>7</v>
      </c>
      <c r="O19" s="7">
        <v>7</v>
      </c>
      <c r="P19" s="6">
        <v>7</v>
      </c>
      <c r="Q19" s="6">
        <v>7</v>
      </c>
      <c r="R19" s="8">
        <f t="shared" si="0"/>
        <v>6.2142857142857144</v>
      </c>
    </row>
    <row r="20" spans="1:18" ht="15" customHeight="1">
      <c r="A20" s="2" t="s">
        <v>22</v>
      </c>
      <c r="B20" s="9">
        <v>10</v>
      </c>
      <c r="C20" s="4" t="s">
        <v>33</v>
      </c>
      <c r="D20" s="5">
        <v>5</v>
      </c>
      <c r="E20" s="6">
        <v>10</v>
      </c>
      <c r="F20" s="7">
        <v>4</v>
      </c>
      <c r="G20" s="6">
        <v>7</v>
      </c>
      <c r="H20" s="7">
        <v>4</v>
      </c>
      <c r="I20" s="7">
        <v>10</v>
      </c>
      <c r="J20" s="7">
        <v>6</v>
      </c>
      <c r="K20" s="6">
        <v>6</v>
      </c>
      <c r="L20" s="7">
        <v>7</v>
      </c>
      <c r="M20" s="7">
        <v>9</v>
      </c>
      <c r="N20" s="7">
        <v>7</v>
      </c>
      <c r="O20" s="7">
        <v>9</v>
      </c>
      <c r="P20" s="6">
        <v>6</v>
      </c>
      <c r="Q20" s="6">
        <v>9</v>
      </c>
      <c r="R20" s="8">
        <f t="shared" si="0"/>
        <v>7.0714285714285712</v>
      </c>
    </row>
    <row r="21" spans="1:18" ht="15" customHeight="1">
      <c r="A21" s="2" t="s">
        <v>22</v>
      </c>
      <c r="B21" s="3">
        <v>11</v>
      </c>
      <c r="C21" s="4" t="s">
        <v>34</v>
      </c>
      <c r="D21" s="5">
        <v>4</v>
      </c>
      <c r="E21" s="6">
        <v>7</v>
      </c>
      <c r="F21" s="7">
        <v>4</v>
      </c>
      <c r="G21" s="6">
        <v>5</v>
      </c>
      <c r="H21" s="7">
        <v>5</v>
      </c>
      <c r="I21" s="7">
        <v>4</v>
      </c>
      <c r="J21" s="7">
        <v>6</v>
      </c>
      <c r="K21" s="6">
        <v>4</v>
      </c>
      <c r="L21" s="7">
        <v>4</v>
      </c>
      <c r="M21" s="7">
        <v>9</v>
      </c>
      <c r="N21" s="7">
        <v>4</v>
      </c>
      <c r="O21" s="7">
        <v>7</v>
      </c>
      <c r="P21" s="6">
        <v>6</v>
      </c>
      <c r="Q21" s="6">
        <v>7</v>
      </c>
      <c r="R21" s="8">
        <f t="shared" si="0"/>
        <v>5.4285714285714288</v>
      </c>
    </row>
    <row r="22" spans="1:18" ht="15" customHeight="1">
      <c r="A22" s="2" t="s">
        <v>22</v>
      </c>
      <c r="B22" s="9">
        <v>12</v>
      </c>
      <c r="C22" s="4" t="s">
        <v>35</v>
      </c>
      <c r="D22" s="5">
        <v>10</v>
      </c>
      <c r="E22" s="6">
        <v>10</v>
      </c>
      <c r="F22" s="7">
        <v>8</v>
      </c>
      <c r="G22" s="6">
        <v>9</v>
      </c>
      <c r="H22" s="7">
        <v>8</v>
      </c>
      <c r="I22" s="7">
        <v>10</v>
      </c>
      <c r="J22" s="7">
        <v>8</v>
      </c>
      <c r="K22" s="6">
        <v>10</v>
      </c>
      <c r="L22" s="7">
        <v>9</v>
      </c>
      <c r="M22" s="7">
        <v>10</v>
      </c>
      <c r="N22" s="7">
        <v>10</v>
      </c>
      <c r="O22" s="7">
        <v>10</v>
      </c>
      <c r="P22" s="6">
        <v>10</v>
      </c>
      <c r="Q22" s="6">
        <v>10</v>
      </c>
      <c r="R22" s="8">
        <f t="shared" si="0"/>
        <v>9.4285714285714288</v>
      </c>
    </row>
    <row r="23" spans="1:18" ht="15" customHeight="1">
      <c r="A23" s="2" t="s">
        <v>22</v>
      </c>
      <c r="B23" s="3">
        <v>13</v>
      </c>
      <c r="C23" s="4" t="s">
        <v>36</v>
      </c>
      <c r="D23" s="5">
        <v>7</v>
      </c>
      <c r="E23" s="6">
        <v>10</v>
      </c>
      <c r="F23" s="7">
        <v>5</v>
      </c>
      <c r="G23" s="6">
        <v>8</v>
      </c>
      <c r="H23" s="7">
        <v>8</v>
      </c>
      <c r="I23" s="7">
        <v>8</v>
      </c>
      <c r="J23" s="7">
        <v>7</v>
      </c>
      <c r="K23" s="6">
        <v>10</v>
      </c>
      <c r="L23" s="7">
        <v>9</v>
      </c>
      <c r="M23" s="7">
        <v>10</v>
      </c>
      <c r="N23" s="7">
        <v>9</v>
      </c>
      <c r="O23" s="7">
        <v>10</v>
      </c>
      <c r="P23" s="6">
        <v>8</v>
      </c>
      <c r="Q23" s="6">
        <v>9</v>
      </c>
      <c r="R23" s="8">
        <f t="shared" si="0"/>
        <v>8.4285714285714288</v>
      </c>
    </row>
    <row r="24" spans="1:18" ht="15" customHeight="1">
      <c r="A24" s="2" t="s">
        <v>22</v>
      </c>
      <c r="B24" s="9">
        <v>14</v>
      </c>
      <c r="C24" s="4" t="s">
        <v>37</v>
      </c>
      <c r="D24" s="5">
        <v>10</v>
      </c>
      <c r="E24" s="6">
        <v>8</v>
      </c>
      <c r="F24" s="7">
        <v>4</v>
      </c>
      <c r="G24" s="6">
        <v>6</v>
      </c>
      <c r="H24" s="7">
        <v>7</v>
      </c>
      <c r="I24" s="7">
        <v>5</v>
      </c>
      <c r="J24" s="7">
        <v>4</v>
      </c>
      <c r="K24" s="6">
        <v>6</v>
      </c>
      <c r="L24" s="7">
        <v>4</v>
      </c>
      <c r="M24" s="7">
        <v>9</v>
      </c>
      <c r="N24" s="7">
        <v>6</v>
      </c>
      <c r="O24" s="7">
        <v>7</v>
      </c>
      <c r="P24" s="6">
        <v>9</v>
      </c>
      <c r="Q24" s="6">
        <v>8</v>
      </c>
      <c r="R24" s="8">
        <f t="shared" si="0"/>
        <v>6.6428571428571432</v>
      </c>
    </row>
    <row r="25" spans="1:18" ht="15" customHeight="1">
      <c r="A25" s="2" t="s">
        <v>22</v>
      </c>
      <c r="B25" s="3">
        <v>15</v>
      </c>
      <c r="C25" s="4" t="s">
        <v>38</v>
      </c>
      <c r="D25" s="10">
        <v>9</v>
      </c>
      <c r="E25" s="10">
        <v>9</v>
      </c>
      <c r="F25" s="10">
        <v>8</v>
      </c>
      <c r="G25" s="10">
        <v>9</v>
      </c>
      <c r="H25" s="10">
        <v>11</v>
      </c>
      <c r="I25" s="10">
        <v>10</v>
      </c>
      <c r="J25" s="10">
        <v>8</v>
      </c>
      <c r="K25" s="10">
        <v>10</v>
      </c>
      <c r="L25" s="10">
        <v>7</v>
      </c>
      <c r="M25" s="10">
        <v>8</v>
      </c>
      <c r="N25" s="10">
        <v>8</v>
      </c>
      <c r="O25" s="10">
        <v>9</v>
      </c>
      <c r="P25" s="10">
        <v>9</v>
      </c>
      <c r="Q25" s="10">
        <v>10</v>
      </c>
      <c r="R25" s="8">
        <f t="shared" si="0"/>
        <v>8.9285714285714288</v>
      </c>
    </row>
    <row r="26" spans="1:18" ht="15" customHeight="1">
      <c r="A26" s="2" t="s">
        <v>22</v>
      </c>
      <c r="B26" s="9">
        <v>16</v>
      </c>
      <c r="C26" s="4" t="s">
        <v>39</v>
      </c>
      <c r="D26" s="7">
        <v>4</v>
      </c>
      <c r="E26" s="6">
        <v>9</v>
      </c>
      <c r="F26" s="7">
        <v>4</v>
      </c>
      <c r="G26" s="6">
        <v>6</v>
      </c>
      <c r="H26" s="7">
        <v>9</v>
      </c>
      <c r="I26" s="7">
        <v>10</v>
      </c>
      <c r="J26" s="7">
        <v>4</v>
      </c>
      <c r="K26" s="6">
        <v>8</v>
      </c>
      <c r="L26" s="7">
        <v>7</v>
      </c>
      <c r="M26" s="7">
        <v>10</v>
      </c>
      <c r="N26" s="7">
        <v>7</v>
      </c>
      <c r="O26" s="7">
        <v>8</v>
      </c>
      <c r="P26" s="6">
        <v>8</v>
      </c>
      <c r="Q26" s="6">
        <v>7</v>
      </c>
      <c r="R26" s="8">
        <f t="shared" si="0"/>
        <v>7.2142857142857144</v>
      </c>
    </row>
    <row r="27" spans="1:18" ht="15" customHeight="1">
      <c r="A27" s="2" t="s">
        <v>22</v>
      </c>
      <c r="B27" s="3">
        <v>17</v>
      </c>
      <c r="C27" s="4" t="s">
        <v>40</v>
      </c>
      <c r="D27" s="7">
        <v>4</v>
      </c>
      <c r="E27" s="6">
        <v>7</v>
      </c>
      <c r="F27" s="7">
        <v>4</v>
      </c>
      <c r="G27" s="6">
        <v>6</v>
      </c>
      <c r="H27" s="7">
        <v>6</v>
      </c>
      <c r="I27" s="7">
        <v>8</v>
      </c>
      <c r="J27" s="7">
        <v>6</v>
      </c>
      <c r="K27" s="6">
        <v>4</v>
      </c>
      <c r="L27" s="7">
        <v>5</v>
      </c>
      <c r="M27" s="7">
        <v>9</v>
      </c>
      <c r="N27" s="7">
        <v>5</v>
      </c>
      <c r="O27" s="7">
        <v>5</v>
      </c>
      <c r="P27" s="6">
        <v>7</v>
      </c>
      <c r="Q27" s="6">
        <v>10</v>
      </c>
      <c r="R27" s="8">
        <f t="shared" si="0"/>
        <v>6.1428571428571432</v>
      </c>
    </row>
    <row r="28" spans="1:18" ht="15" customHeight="1">
      <c r="A28" s="2" t="s">
        <v>45</v>
      </c>
      <c r="B28" s="9">
        <v>18</v>
      </c>
      <c r="C28" s="4" t="s">
        <v>41</v>
      </c>
      <c r="D28" s="7">
        <v>6</v>
      </c>
      <c r="E28" s="6">
        <v>9</v>
      </c>
      <c r="F28" s="7">
        <v>4</v>
      </c>
      <c r="G28" s="6">
        <v>8</v>
      </c>
      <c r="H28" s="7">
        <v>6</v>
      </c>
      <c r="I28" s="7">
        <v>5</v>
      </c>
      <c r="J28" s="7">
        <v>6</v>
      </c>
      <c r="K28" s="6">
        <v>8</v>
      </c>
      <c r="L28" s="7">
        <v>6</v>
      </c>
      <c r="M28" s="7">
        <v>9</v>
      </c>
      <c r="N28" s="7">
        <v>7</v>
      </c>
      <c r="O28" s="7">
        <v>8</v>
      </c>
      <c r="P28" s="6">
        <v>8</v>
      </c>
      <c r="Q28" s="6">
        <v>9</v>
      </c>
      <c r="R28" s="8">
        <f t="shared" si="0"/>
        <v>7.0714285714285712</v>
      </c>
    </row>
    <row r="29" spans="1:18" ht="15" customHeight="1">
      <c r="A29" s="2" t="s">
        <v>22</v>
      </c>
      <c r="B29" s="3">
        <v>19</v>
      </c>
      <c r="C29" s="4" t="s">
        <v>42</v>
      </c>
      <c r="D29" s="7">
        <v>8</v>
      </c>
      <c r="E29" s="6">
        <v>10</v>
      </c>
      <c r="F29" s="7">
        <v>4</v>
      </c>
      <c r="G29" s="6">
        <v>7</v>
      </c>
      <c r="H29" s="7">
        <v>7</v>
      </c>
      <c r="I29" s="7">
        <v>8</v>
      </c>
      <c r="J29" s="7">
        <v>9</v>
      </c>
      <c r="K29" s="6">
        <v>10</v>
      </c>
      <c r="L29" s="7">
        <v>7</v>
      </c>
      <c r="M29" s="7">
        <v>10</v>
      </c>
      <c r="N29" s="7">
        <v>9</v>
      </c>
      <c r="O29" s="7">
        <v>8</v>
      </c>
      <c r="P29" s="6">
        <v>9</v>
      </c>
      <c r="Q29" s="6">
        <v>9</v>
      </c>
      <c r="R29" s="8">
        <f t="shared" si="0"/>
        <v>8.2142857142857135</v>
      </c>
    </row>
    <row r="30" spans="1:18" ht="15" customHeight="1">
      <c r="A30" s="2" t="s">
        <v>22</v>
      </c>
      <c r="B30" s="9">
        <v>20</v>
      </c>
      <c r="C30" s="4" t="s">
        <v>43</v>
      </c>
      <c r="D30" s="7">
        <v>7</v>
      </c>
      <c r="E30" s="6">
        <v>9</v>
      </c>
      <c r="F30" s="7">
        <v>6</v>
      </c>
      <c r="G30" s="6">
        <v>7</v>
      </c>
      <c r="H30" s="7">
        <v>7</v>
      </c>
      <c r="I30" s="7">
        <v>8</v>
      </c>
      <c r="J30" s="7">
        <v>8</v>
      </c>
      <c r="K30" s="6">
        <v>10</v>
      </c>
      <c r="L30" s="7">
        <v>8</v>
      </c>
      <c r="M30" s="7">
        <v>10</v>
      </c>
      <c r="N30" s="7">
        <v>8</v>
      </c>
      <c r="O30" s="7">
        <v>9</v>
      </c>
      <c r="P30" s="6">
        <v>8</v>
      </c>
      <c r="Q30" s="6">
        <v>8</v>
      </c>
      <c r="R30" s="8">
        <f t="shared" si="0"/>
        <v>8.0714285714285712</v>
      </c>
    </row>
    <row r="31" spans="1:18" ht="15" customHeight="1">
      <c r="A31" s="2" t="s">
        <v>22</v>
      </c>
      <c r="B31" s="3">
        <v>21</v>
      </c>
      <c r="C31" s="4" t="s">
        <v>44</v>
      </c>
      <c r="D31" s="7">
        <v>4</v>
      </c>
      <c r="E31" s="6">
        <v>5</v>
      </c>
      <c r="F31" s="7" t="s">
        <v>27</v>
      </c>
      <c r="G31" s="6" t="s">
        <v>27</v>
      </c>
      <c r="H31" s="7" t="s">
        <v>27</v>
      </c>
      <c r="I31" s="7" t="s">
        <v>27</v>
      </c>
      <c r="J31" s="7">
        <v>4</v>
      </c>
      <c r="K31" s="6" t="s">
        <v>27</v>
      </c>
      <c r="L31" s="7" t="s">
        <v>27</v>
      </c>
      <c r="M31" s="7" t="s">
        <v>27</v>
      </c>
      <c r="N31" s="7" t="s">
        <v>27</v>
      </c>
      <c r="O31" s="7" t="s">
        <v>27</v>
      </c>
      <c r="P31" s="6" t="s">
        <v>27</v>
      </c>
      <c r="Q31" s="6" t="s">
        <v>27</v>
      </c>
      <c r="R31" s="8">
        <f t="shared" si="0"/>
        <v>4.333333333333333</v>
      </c>
    </row>
    <row r="32" spans="1:18" ht="15" customHeight="1">
      <c r="A32" s="2" t="s">
        <v>45</v>
      </c>
      <c r="B32" s="9">
        <v>22</v>
      </c>
      <c r="C32" s="4" t="s">
        <v>46</v>
      </c>
      <c r="D32" s="7">
        <v>7</v>
      </c>
      <c r="E32" s="6">
        <v>8</v>
      </c>
      <c r="F32" s="7">
        <v>5</v>
      </c>
      <c r="G32" s="6">
        <v>7</v>
      </c>
      <c r="H32" s="7">
        <v>7</v>
      </c>
      <c r="I32" s="7">
        <v>10</v>
      </c>
      <c r="J32" s="7">
        <v>6</v>
      </c>
      <c r="K32" s="6">
        <v>9</v>
      </c>
      <c r="L32" s="7">
        <v>8</v>
      </c>
      <c r="M32" s="7">
        <v>9</v>
      </c>
      <c r="N32" s="7">
        <v>6</v>
      </c>
      <c r="O32" s="7">
        <v>8</v>
      </c>
      <c r="P32" s="6">
        <v>8</v>
      </c>
      <c r="Q32" s="6">
        <v>8</v>
      </c>
      <c r="R32" s="8">
        <f t="shared" si="0"/>
        <v>7.5714285714285712</v>
      </c>
    </row>
    <row r="33" spans="1:26" ht="15" customHeight="1">
      <c r="A33" s="32" t="s">
        <v>45</v>
      </c>
      <c r="B33" s="3">
        <v>23</v>
      </c>
      <c r="C33" s="4" t="s">
        <v>47</v>
      </c>
      <c r="D33" s="7">
        <v>7</v>
      </c>
      <c r="E33" s="6">
        <v>8</v>
      </c>
      <c r="F33" s="7">
        <v>4</v>
      </c>
      <c r="G33" s="6">
        <v>7</v>
      </c>
      <c r="H33" s="7">
        <v>4</v>
      </c>
      <c r="I33" s="7">
        <v>9</v>
      </c>
      <c r="J33" s="7">
        <v>6</v>
      </c>
      <c r="K33" s="6">
        <v>9</v>
      </c>
      <c r="L33" s="7">
        <v>6</v>
      </c>
      <c r="M33" s="7">
        <v>8</v>
      </c>
      <c r="N33" s="7">
        <v>5</v>
      </c>
      <c r="O33" s="7">
        <v>7</v>
      </c>
      <c r="P33" s="6">
        <v>5</v>
      </c>
      <c r="Q33" s="6">
        <v>8</v>
      </c>
      <c r="R33" s="8">
        <f t="shared" si="0"/>
        <v>6.6428571428571432</v>
      </c>
    </row>
    <row r="34" spans="1:26" ht="15" customHeight="1">
      <c r="A34" s="2" t="s">
        <v>45</v>
      </c>
      <c r="B34" s="9">
        <v>24</v>
      </c>
      <c r="C34" s="4" t="s">
        <v>48</v>
      </c>
      <c r="D34" s="7">
        <v>8</v>
      </c>
      <c r="E34" s="6">
        <v>10</v>
      </c>
      <c r="F34" s="7">
        <v>7</v>
      </c>
      <c r="G34" s="6">
        <v>8</v>
      </c>
      <c r="H34" s="7">
        <v>5</v>
      </c>
      <c r="I34" s="7">
        <v>8</v>
      </c>
      <c r="J34" s="7">
        <v>7</v>
      </c>
      <c r="K34" s="6">
        <v>10</v>
      </c>
      <c r="L34" s="7">
        <v>7</v>
      </c>
      <c r="M34" s="7">
        <v>10</v>
      </c>
      <c r="N34" s="7">
        <v>9</v>
      </c>
      <c r="O34" s="7">
        <v>7</v>
      </c>
      <c r="P34" s="6">
        <v>7</v>
      </c>
      <c r="Q34" s="6">
        <v>10</v>
      </c>
      <c r="R34" s="8">
        <f t="shared" si="0"/>
        <v>8.0714285714285712</v>
      </c>
    </row>
    <row r="35" spans="1:26" ht="15" customHeight="1">
      <c r="A35" s="2" t="s">
        <v>45</v>
      </c>
      <c r="B35" s="3">
        <v>25</v>
      </c>
      <c r="C35" s="4" t="s">
        <v>49</v>
      </c>
      <c r="D35" s="7">
        <v>10</v>
      </c>
      <c r="E35" s="6">
        <v>8</v>
      </c>
      <c r="F35" s="7">
        <v>9</v>
      </c>
      <c r="G35" s="6">
        <v>10</v>
      </c>
      <c r="H35" s="7">
        <v>11</v>
      </c>
      <c r="I35" s="7">
        <v>10</v>
      </c>
      <c r="J35" s="7">
        <v>8</v>
      </c>
      <c r="K35" s="6">
        <v>10</v>
      </c>
      <c r="L35" s="7">
        <v>9</v>
      </c>
      <c r="M35" s="7">
        <v>10</v>
      </c>
      <c r="N35" s="7">
        <v>8</v>
      </c>
      <c r="O35" s="7">
        <v>9</v>
      </c>
      <c r="P35" s="6">
        <v>9</v>
      </c>
      <c r="Q35" s="6">
        <v>10</v>
      </c>
      <c r="R35" s="8">
        <f t="shared" si="0"/>
        <v>9.3571428571428577</v>
      </c>
    </row>
    <row r="36" spans="1:26" ht="15" customHeight="1">
      <c r="A36" s="2" t="s">
        <v>45</v>
      </c>
      <c r="B36" s="28">
        <v>26</v>
      </c>
      <c r="C36" s="4" t="s">
        <v>50</v>
      </c>
      <c r="D36" s="7">
        <v>5</v>
      </c>
      <c r="E36" s="6">
        <v>8</v>
      </c>
      <c r="F36" s="7">
        <v>5</v>
      </c>
      <c r="G36" s="6">
        <v>6</v>
      </c>
      <c r="H36" s="7">
        <v>6</v>
      </c>
      <c r="I36" s="7">
        <v>4</v>
      </c>
      <c r="J36" s="7">
        <v>8</v>
      </c>
      <c r="K36" s="6">
        <v>6</v>
      </c>
      <c r="L36" s="7">
        <v>6</v>
      </c>
      <c r="M36" s="7">
        <v>9</v>
      </c>
      <c r="N36" s="7">
        <v>8</v>
      </c>
      <c r="O36" s="7">
        <v>6</v>
      </c>
      <c r="P36" s="6">
        <v>6</v>
      </c>
      <c r="Q36" s="6">
        <v>8</v>
      </c>
      <c r="R36" s="8">
        <f t="shared" si="0"/>
        <v>6.5</v>
      </c>
    </row>
    <row r="37" spans="1:26" ht="15" customHeight="1">
      <c r="A37" s="29" t="s">
        <v>45</v>
      </c>
      <c r="B37" s="31">
        <v>27</v>
      </c>
      <c r="C37" s="30" t="s">
        <v>51</v>
      </c>
      <c r="D37" s="7">
        <v>8</v>
      </c>
      <c r="E37" s="6">
        <v>8</v>
      </c>
      <c r="F37" s="7">
        <v>6</v>
      </c>
      <c r="G37" s="6">
        <v>8</v>
      </c>
      <c r="H37" s="7">
        <v>7</v>
      </c>
      <c r="I37" s="7">
        <v>10</v>
      </c>
      <c r="J37" s="7">
        <v>8</v>
      </c>
      <c r="K37" s="6">
        <v>9</v>
      </c>
      <c r="L37" s="7">
        <v>6</v>
      </c>
      <c r="M37" s="7">
        <v>10</v>
      </c>
      <c r="N37" s="7">
        <v>9</v>
      </c>
      <c r="O37" s="7">
        <v>10</v>
      </c>
      <c r="P37" s="6">
        <v>8</v>
      </c>
      <c r="Q37" s="6">
        <v>9</v>
      </c>
      <c r="R37" s="8">
        <f t="shared" si="0"/>
        <v>8.2857142857142865</v>
      </c>
    </row>
    <row r="38" spans="1:26" ht="15.75" customHeight="1">
      <c r="A38" s="1"/>
      <c r="B38" s="1"/>
      <c r="C38" s="11" t="s">
        <v>52</v>
      </c>
      <c r="D38" s="12">
        <f t="shared" ref="D38:Q38" si="1">AVERAGE(D11:D35)</f>
        <v>6.32</v>
      </c>
      <c r="E38" s="12">
        <f t="shared" si="1"/>
        <v>8.16</v>
      </c>
      <c r="F38" s="12">
        <f t="shared" si="1"/>
        <v>5</v>
      </c>
      <c r="G38" s="12">
        <f t="shared" si="1"/>
        <v>6.791666666666667</v>
      </c>
      <c r="H38" s="12">
        <f t="shared" si="1"/>
        <v>6.458333333333333</v>
      </c>
      <c r="I38" s="12">
        <f t="shared" si="1"/>
        <v>7.458333333333333</v>
      </c>
      <c r="J38" s="12">
        <f t="shared" si="1"/>
        <v>6.4</v>
      </c>
      <c r="K38" s="12">
        <f t="shared" si="1"/>
        <v>7.458333333333333</v>
      </c>
      <c r="L38" s="12">
        <f t="shared" si="1"/>
        <v>6.3478260869565215</v>
      </c>
      <c r="M38" s="13">
        <f t="shared" si="1"/>
        <v>8.7083333333333339</v>
      </c>
      <c r="N38" s="13">
        <f t="shared" si="1"/>
        <v>6.875</v>
      </c>
      <c r="O38" s="12">
        <f t="shared" si="1"/>
        <v>7.625</v>
      </c>
      <c r="P38" s="14">
        <f t="shared" si="1"/>
        <v>7.583333333333333</v>
      </c>
      <c r="Q38" s="12">
        <f t="shared" si="1"/>
        <v>8.4166666666666661</v>
      </c>
      <c r="R38" s="12">
        <f t="shared" si="0"/>
        <v>7.1144875776397516</v>
      </c>
    </row>
    <row r="39" spans="1:26" ht="15.75" customHeight="1">
      <c r="A39" s="1"/>
      <c r="B39" s="1"/>
      <c r="C39" s="15" t="s">
        <v>53</v>
      </c>
      <c r="D39" s="16">
        <f>(COUNT(D11:D37))/(COUNT(R11:R37))*100</f>
        <v>100</v>
      </c>
      <c r="E39" s="16">
        <f>(COUNT(E11:E37))/(COUNT(R11:R37))*100</f>
        <v>100</v>
      </c>
      <c r="F39" s="16">
        <f>(COUNT(F11:F37))/(COUNT(R11:R37))*100</f>
        <v>96.296296296296291</v>
      </c>
      <c r="G39" s="16">
        <f>(COUNT(G11:G37))/(COUNT(R11:R37))*100</f>
        <v>96.296296296296291</v>
      </c>
      <c r="H39" s="16">
        <f>(COUNT(H11:H37))/(COUNT(R11:R37))*100</f>
        <v>96.296296296296291</v>
      </c>
      <c r="I39" s="16">
        <f>(COUNT(I11:I37))/(COUNT(R11:R37))*100</f>
        <v>96.296296296296291</v>
      </c>
      <c r="J39" s="16">
        <f>(COUNT(J11:J37))/(COUNT(R11:R37))*100</f>
        <v>100</v>
      </c>
      <c r="K39" s="16">
        <f>(COUNT(K11:K37))/(COUNT(R11:R37))*100</f>
        <v>96.296296296296291</v>
      </c>
      <c r="L39" s="16">
        <f>(COUNT(L11:L37))/(COUNT(R11:R37))*100</f>
        <v>92.592592592592595</v>
      </c>
      <c r="M39" s="16">
        <f>(COUNT(M11:M37))/(COUNT(R11:R37))*100</f>
        <v>96.296296296296291</v>
      </c>
      <c r="N39" s="16">
        <f>(COUNT(N11:N37))/(COUNT(R11:R37))*100</f>
        <v>96.296296296296291</v>
      </c>
      <c r="O39" s="16">
        <f>(COUNT(O11:O37))/(COUNT(R11:R37))*100</f>
        <v>96.296296296296291</v>
      </c>
      <c r="P39" s="16">
        <f>(COUNT(P11:P37))/(COUNT(R11:R37))*100</f>
        <v>96.296296296296291</v>
      </c>
      <c r="Q39" s="16">
        <f>(COUNT(Q11:Q37))/(COUNT(R11:R37))*100</f>
        <v>96.296296296296291</v>
      </c>
      <c r="R39" s="18"/>
    </row>
    <row r="40" spans="1:26" ht="15.75" customHeight="1">
      <c r="A40" s="1"/>
      <c r="B40" s="1"/>
      <c r="C40" s="19" t="s">
        <v>54</v>
      </c>
      <c r="D40" s="17">
        <f>(COUNTIF(D11:D37,"&gt;6"))/(COUNT(R11:R37))*100</f>
        <v>48.148148148148145</v>
      </c>
      <c r="E40" s="17">
        <f>(COUNTIF(E11:E37,"&gt;6"))/(COUNT(R11:R37))*100</f>
        <v>88.888888888888886</v>
      </c>
      <c r="F40" s="17">
        <f>(COUNTIF(F11:F37,"&gt;6"))/(COUNT(R11:R37))*100</f>
        <v>14.814814814814813</v>
      </c>
      <c r="G40" s="17">
        <f>(COUNTIF(G11:G37,"&gt;6"))/(COUNT(R11:R37))*100</f>
        <v>59.259259259259252</v>
      </c>
      <c r="H40" s="17">
        <f>(COUNTIF(H11:H37,"&gt;6"))/(COUNT(R11:R37))*100</f>
        <v>44.444444444444443</v>
      </c>
      <c r="I40" s="17">
        <f>(COUNTIF(I11:I37,"&gt;6"))/(COUNT(R11:R37))*100</f>
        <v>66.666666666666657</v>
      </c>
      <c r="J40" s="17">
        <f>(COUNTIF(J11:J37,"&gt;6"))/(COUNT(R11:R37))*100</f>
        <v>48.148148148148145</v>
      </c>
      <c r="K40" s="17">
        <f>(COUNTIF(K11:K37,"&gt;6"))/(COUNT(R11:R37))*100</f>
        <v>55.555555555555557</v>
      </c>
      <c r="L40" s="17">
        <f>(COUNTIF(L11:L37,"&gt;6"))/(COUNT(R11:R37))*100</f>
        <v>44.444444444444443</v>
      </c>
      <c r="M40" s="17">
        <f>(COUNTIF(M11:M37,"&gt;6"))/(COUNT(R11:R37))*100</f>
        <v>85.18518518518519</v>
      </c>
      <c r="N40" s="17">
        <f>(COUNTIF(N11:N37,"&gt;6"))/(COUNT(R11:R37))*100</f>
        <v>62.962962962962962</v>
      </c>
      <c r="O40" s="17">
        <f>(COUNTIF(O11:O37,"&gt;6"))/(COUNT(R11:R37))*100</f>
        <v>74.074074074074076</v>
      </c>
      <c r="P40" s="17">
        <f>(COUNTIF(P11:P37,"&gt;6"))/(COUNT(R11:R37))*100</f>
        <v>77.777777777777786</v>
      </c>
      <c r="Q40" s="17">
        <f>(COUNTIF(Q11:Q37,"&gt;6"))/(COUNT(R11:R37))*100</f>
        <v>96.296296296296291</v>
      </c>
      <c r="R40" s="18"/>
    </row>
    <row r="41" spans="1:26" ht="15.75" customHeight="1">
      <c r="A41" s="1"/>
      <c r="B41" s="1"/>
      <c r="C41" s="19" t="s">
        <v>55</v>
      </c>
      <c r="D41" s="12">
        <f t="shared" ref="D41:D42" si="2">AVERAGE(D39:Q39)</f>
        <v>96.825396825396837</v>
      </c>
      <c r="E41" s="20"/>
      <c r="F41" s="20"/>
      <c r="G41" s="20"/>
      <c r="H41" s="20"/>
      <c r="I41" s="21"/>
      <c r="J41" s="21"/>
      <c r="K41" s="21"/>
      <c r="L41" s="21"/>
      <c r="M41" s="21"/>
      <c r="N41" s="21"/>
      <c r="O41" s="21"/>
      <c r="P41" s="21"/>
      <c r="Q41" s="21"/>
      <c r="R41" s="22"/>
    </row>
    <row r="42" spans="1:26" ht="15.75" customHeight="1">
      <c r="A42" s="1"/>
      <c r="B42" s="1"/>
      <c r="C42" s="19" t="s">
        <v>56</v>
      </c>
      <c r="D42" s="12">
        <f t="shared" si="2"/>
        <v>61.904761904761912</v>
      </c>
      <c r="E42" s="20"/>
      <c r="F42" s="20"/>
      <c r="G42" s="20"/>
      <c r="H42" s="20"/>
      <c r="I42" s="21"/>
      <c r="J42" s="21"/>
      <c r="K42" s="21"/>
      <c r="L42" s="21"/>
      <c r="M42" s="21"/>
      <c r="N42" s="21"/>
      <c r="O42" s="21"/>
      <c r="P42" s="21"/>
      <c r="Q42" s="21"/>
      <c r="R42" s="22"/>
    </row>
    <row r="43" spans="1:26" ht="15.75" customHeight="1">
      <c r="C43" s="19" t="s">
        <v>57</v>
      </c>
      <c r="D43" s="23">
        <f>COUNTIF(A11:A37,"=Б")</f>
        <v>8</v>
      </c>
    </row>
    <row r="44" spans="1:26" ht="15.75" customHeight="1">
      <c r="A44" s="24"/>
      <c r="B44" s="24"/>
      <c r="C44" s="19" t="s">
        <v>58</v>
      </c>
      <c r="D44" s="23">
        <f>COUNTIF(A11:A37,"=К")</f>
        <v>19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5.75" customHeight="1">
      <c r="C45" s="19" t="s">
        <v>59</v>
      </c>
      <c r="D45" s="34">
        <v>2</v>
      </c>
    </row>
    <row r="46" spans="1:26" ht="15.75" customHeight="1">
      <c r="C46" s="19" t="s">
        <v>60</v>
      </c>
      <c r="D46" s="33">
        <f>INT(D43/100*40)</f>
        <v>3</v>
      </c>
    </row>
    <row r="47" spans="1:26" ht="15.75" customHeight="1">
      <c r="F47" s="26" t="s">
        <v>61</v>
      </c>
      <c r="G47" s="26"/>
      <c r="H47" s="26"/>
      <c r="I47" s="27"/>
      <c r="J47" s="27"/>
      <c r="L47" s="26"/>
      <c r="M47" s="26" t="s">
        <v>62</v>
      </c>
    </row>
    <row r="48" spans="1:26" ht="15.75" customHeight="1"/>
    <row r="49" spans="5:13" ht="15.75" customHeight="1">
      <c r="F49" s="26" t="s">
        <v>63</v>
      </c>
      <c r="G49" s="26"/>
      <c r="H49" s="26"/>
      <c r="I49" s="26"/>
      <c r="J49" s="26"/>
      <c r="L49" s="26"/>
      <c r="M49" s="26" t="s">
        <v>64</v>
      </c>
    </row>
    <row r="50" spans="5:13" ht="15.75" customHeight="1">
      <c r="E50" s="25"/>
    </row>
    <row r="51" spans="5:13" ht="15.75" customHeight="1"/>
    <row r="52" spans="5:13" ht="15.75" customHeight="1"/>
    <row r="53" spans="5:13" ht="15.75" customHeight="1"/>
    <row r="54" spans="5:13" ht="15.75" customHeight="1"/>
    <row r="55" spans="5:13" ht="15.75" customHeight="1"/>
    <row r="56" spans="5:13" ht="15.75" customHeight="1"/>
    <row r="57" spans="5:13" ht="15.75" customHeight="1"/>
    <row r="58" spans="5:13" ht="15.75" customHeight="1"/>
    <row r="59" spans="5:13" ht="15.75" customHeight="1"/>
    <row r="60" spans="5:13" ht="15.75" customHeight="1"/>
    <row r="61" spans="5:13" ht="15.75" customHeight="1"/>
    <row r="62" spans="5:13" ht="15.75" customHeight="1"/>
    <row r="63" spans="5:13" ht="15.75" customHeight="1"/>
    <row r="64" spans="5:13" ht="15.75" customHeight="1"/>
    <row r="65" spans="1:4" ht="15.75" customHeight="1"/>
    <row r="66" spans="1:4" ht="15.75" customHeight="1"/>
    <row r="67" spans="1:4" ht="15.75" customHeight="1"/>
    <row r="68" spans="1:4" ht="15.75" customHeight="1"/>
    <row r="69" spans="1:4" ht="15.75" customHeight="1"/>
    <row r="70" spans="1:4" ht="15.75" customHeight="1"/>
    <row r="71" spans="1:4" ht="15.75" customHeight="1"/>
    <row r="72" spans="1:4" ht="15.75" customHeight="1"/>
    <row r="73" spans="1:4" ht="15.75" customHeight="1"/>
    <row r="74" spans="1:4" ht="15.75" customHeight="1"/>
    <row r="75" spans="1:4" ht="15.75" customHeight="1">
      <c r="A75" s="35">
        <f>D43</f>
        <v>8</v>
      </c>
      <c r="B75" s="35">
        <f>D44</f>
        <v>19</v>
      </c>
      <c r="C75" s="36">
        <f>D45</f>
        <v>2</v>
      </c>
      <c r="D75" s="37">
        <f>D46</f>
        <v>3</v>
      </c>
    </row>
    <row r="76" spans="1:4" ht="15.75" customHeight="1">
      <c r="A76" s="35">
        <f>D43</f>
        <v>8</v>
      </c>
      <c r="B76" s="35">
        <f>D44</f>
        <v>19</v>
      </c>
      <c r="C76" s="36">
        <f>D45</f>
        <v>2</v>
      </c>
      <c r="D76" s="37">
        <f>D46</f>
        <v>3</v>
      </c>
    </row>
    <row r="77" spans="1:4" ht="15.75" customHeight="1">
      <c r="A77" s="35">
        <f>D43</f>
        <v>8</v>
      </c>
      <c r="B77" s="35">
        <f>D44</f>
        <v>19</v>
      </c>
      <c r="C77" s="36">
        <f>D45</f>
        <v>2</v>
      </c>
      <c r="D77" s="37">
        <f>D46</f>
        <v>3</v>
      </c>
    </row>
    <row r="78" spans="1:4" ht="15.75" customHeight="1">
      <c r="A78" s="35">
        <f>D43</f>
        <v>8</v>
      </c>
      <c r="B78" s="35">
        <f>D44</f>
        <v>19</v>
      </c>
      <c r="C78" s="36">
        <f>D45</f>
        <v>2</v>
      </c>
      <c r="D78" s="37">
        <f>D46</f>
        <v>3</v>
      </c>
    </row>
    <row r="79" spans="1:4" ht="15.75" customHeight="1">
      <c r="A79" s="35">
        <f>D43</f>
        <v>8</v>
      </c>
      <c r="B79" s="35">
        <f>D44</f>
        <v>19</v>
      </c>
      <c r="C79" s="36">
        <f>D45</f>
        <v>2</v>
      </c>
      <c r="D79" s="37">
        <f>D46</f>
        <v>3</v>
      </c>
    </row>
    <row r="80" spans="1:4" ht="15.75" customHeight="1">
      <c r="A80" s="35">
        <f>D43</f>
        <v>8</v>
      </c>
      <c r="B80" s="35">
        <f>D44</f>
        <v>19</v>
      </c>
      <c r="C80" s="36">
        <f>D45</f>
        <v>2</v>
      </c>
      <c r="D80" s="37">
        <f>D46</f>
        <v>3</v>
      </c>
    </row>
    <row r="81" spans="1:4" ht="15.75" customHeight="1">
      <c r="A81" s="35">
        <f>D43</f>
        <v>8</v>
      </c>
      <c r="B81" s="35">
        <f>D44</f>
        <v>19</v>
      </c>
      <c r="C81" s="36">
        <f>D45</f>
        <v>2</v>
      </c>
      <c r="D81" s="37">
        <f>D46</f>
        <v>3</v>
      </c>
    </row>
    <row r="82" spans="1:4" ht="15.75" customHeight="1">
      <c r="A82" s="35">
        <f>D43</f>
        <v>8</v>
      </c>
      <c r="B82" s="35">
        <f>D44</f>
        <v>19</v>
      </c>
      <c r="C82" s="36">
        <f>D45</f>
        <v>2</v>
      </c>
      <c r="D82" s="37">
        <f>D46</f>
        <v>3</v>
      </c>
    </row>
    <row r="83" spans="1:4" ht="15.75" customHeight="1">
      <c r="A83" s="35">
        <f>D43</f>
        <v>8</v>
      </c>
      <c r="B83" s="35">
        <f>D44</f>
        <v>19</v>
      </c>
      <c r="C83" s="36">
        <f>D45</f>
        <v>2</v>
      </c>
      <c r="D83" s="37">
        <f>D46</f>
        <v>3</v>
      </c>
    </row>
    <row r="84" spans="1:4" ht="15.75" customHeight="1">
      <c r="A84" s="35">
        <f>D43</f>
        <v>8</v>
      </c>
      <c r="B84" s="35">
        <f>D44</f>
        <v>19</v>
      </c>
      <c r="C84" s="36">
        <f>D45</f>
        <v>2</v>
      </c>
      <c r="D84" s="37">
        <f>D46</f>
        <v>3</v>
      </c>
    </row>
    <row r="85" spans="1:4" ht="15.75" customHeight="1">
      <c r="A85" s="35">
        <f>D43</f>
        <v>8</v>
      </c>
      <c r="B85" s="35">
        <f>D44</f>
        <v>19</v>
      </c>
      <c r="C85" s="36">
        <f>D45</f>
        <v>2</v>
      </c>
      <c r="D85" s="37">
        <f>D46</f>
        <v>3</v>
      </c>
    </row>
    <row r="86" spans="1:4" ht="15.75" customHeight="1">
      <c r="A86" s="35">
        <f>D43</f>
        <v>8</v>
      </c>
      <c r="B86" s="35">
        <f>D44</f>
        <v>19</v>
      </c>
      <c r="C86" s="36">
        <f>D45</f>
        <v>2</v>
      </c>
      <c r="D86" s="37">
        <f>D46</f>
        <v>3</v>
      </c>
    </row>
    <row r="87" spans="1:4" ht="15.75" customHeight="1">
      <c r="A87" s="35">
        <f>D43</f>
        <v>8</v>
      </c>
      <c r="B87" s="35">
        <f>D44</f>
        <v>19</v>
      </c>
      <c r="C87" s="36">
        <f>D45</f>
        <v>2</v>
      </c>
      <c r="D87" s="37">
        <f>D46</f>
        <v>3</v>
      </c>
    </row>
    <row r="88" spans="1:4" ht="15.75" customHeight="1">
      <c r="A88" s="35">
        <f>D43</f>
        <v>8</v>
      </c>
      <c r="B88" s="35">
        <f>D44</f>
        <v>19</v>
      </c>
      <c r="C88" s="36">
        <f>D45</f>
        <v>2</v>
      </c>
      <c r="D88" s="37">
        <f>D46</f>
        <v>3</v>
      </c>
    </row>
    <row r="89" spans="1:4" ht="15.75" customHeight="1">
      <c r="A89" s="35">
        <f>D43</f>
        <v>8</v>
      </c>
      <c r="B89" s="35">
        <f>D44</f>
        <v>19</v>
      </c>
      <c r="C89" s="36">
        <f>D45</f>
        <v>2</v>
      </c>
      <c r="D89" s="37">
        <f>D46</f>
        <v>3</v>
      </c>
    </row>
    <row r="90" spans="1:4" ht="15.75" customHeight="1">
      <c r="A90" s="35">
        <f>D43</f>
        <v>8</v>
      </c>
      <c r="B90" s="35">
        <f>D44</f>
        <v>19</v>
      </c>
      <c r="C90" s="36">
        <f>D45</f>
        <v>2</v>
      </c>
      <c r="D90" s="37">
        <f>D46</f>
        <v>3</v>
      </c>
    </row>
    <row r="91" spans="1:4" ht="15.75" customHeight="1">
      <c r="A91" s="35">
        <f>D43</f>
        <v>8</v>
      </c>
      <c r="B91" s="35">
        <f>D44</f>
        <v>19</v>
      </c>
      <c r="C91" s="36">
        <f>D45</f>
        <v>2</v>
      </c>
      <c r="D91" s="37">
        <f>D46</f>
        <v>3</v>
      </c>
    </row>
    <row r="92" spans="1:4" ht="15.75" customHeight="1">
      <c r="A92" s="35">
        <f>D43</f>
        <v>8</v>
      </c>
      <c r="B92" s="35">
        <f>D44</f>
        <v>19</v>
      </c>
      <c r="C92" s="36">
        <f>D45</f>
        <v>2</v>
      </c>
      <c r="D92" s="37">
        <f>D46</f>
        <v>3</v>
      </c>
    </row>
    <row r="93" spans="1:4" ht="15.75" customHeight="1">
      <c r="A93" s="35">
        <f>D43</f>
        <v>8</v>
      </c>
      <c r="B93" s="35">
        <f>D44</f>
        <v>19</v>
      </c>
      <c r="C93" s="36">
        <f>D45</f>
        <v>2</v>
      </c>
      <c r="D93" s="37">
        <f>D46</f>
        <v>3</v>
      </c>
    </row>
    <row r="94" spans="1:4" ht="15.75" customHeight="1">
      <c r="A94" s="35">
        <f>D43</f>
        <v>8</v>
      </c>
      <c r="B94" s="35">
        <f>D44</f>
        <v>19</v>
      </c>
      <c r="C94" s="36">
        <f>D45</f>
        <v>2</v>
      </c>
      <c r="D94" s="37">
        <f>D46</f>
        <v>3</v>
      </c>
    </row>
    <row r="95" spans="1:4" ht="15.75" customHeight="1">
      <c r="A95" s="35">
        <f>D43</f>
        <v>8</v>
      </c>
      <c r="B95" s="35">
        <f>D44</f>
        <v>19</v>
      </c>
      <c r="C95" s="36">
        <f>D45</f>
        <v>2</v>
      </c>
      <c r="D95" s="37">
        <f>D46</f>
        <v>3</v>
      </c>
    </row>
    <row r="96" spans="1:4" ht="15.75" customHeight="1">
      <c r="A96" s="35">
        <f>D43</f>
        <v>8</v>
      </c>
      <c r="B96" s="35">
        <f>D44</f>
        <v>19</v>
      </c>
      <c r="C96" s="36">
        <f>D45</f>
        <v>2</v>
      </c>
      <c r="D96" s="37">
        <f>D46</f>
        <v>3</v>
      </c>
    </row>
    <row r="97" spans="1:4" ht="15.75" customHeight="1">
      <c r="A97" s="35">
        <f>D43</f>
        <v>8</v>
      </c>
      <c r="B97" s="35">
        <f>D44</f>
        <v>19</v>
      </c>
      <c r="C97" s="36">
        <f>D45</f>
        <v>2</v>
      </c>
      <c r="D97" s="37">
        <f>D46</f>
        <v>3</v>
      </c>
    </row>
    <row r="98" spans="1:4" ht="15.75" customHeight="1">
      <c r="A98" s="35">
        <f>D43</f>
        <v>8</v>
      </c>
      <c r="B98" s="35">
        <f>D44</f>
        <v>19</v>
      </c>
      <c r="C98" s="36">
        <f>D45</f>
        <v>2</v>
      </c>
      <c r="D98" s="37">
        <f>D46</f>
        <v>3</v>
      </c>
    </row>
    <row r="99" spans="1:4" ht="15.75" customHeight="1">
      <c r="A99" s="35">
        <f>D43</f>
        <v>8</v>
      </c>
      <c r="B99" s="35">
        <f>D44</f>
        <v>19</v>
      </c>
      <c r="C99" s="36">
        <f>D45</f>
        <v>2</v>
      </c>
      <c r="D99" s="37">
        <f>D46</f>
        <v>3</v>
      </c>
    </row>
    <row r="100" spans="1:4" ht="15.75" customHeight="1">
      <c r="A100" s="35">
        <f>D43</f>
        <v>8</v>
      </c>
      <c r="B100" s="35">
        <f>D44</f>
        <v>19</v>
      </c>
      <c r="C100" s="36">
        <f>D45</f>
        <v>2</v>
      </c>
      <c r="D100" s="37">
        <f>D46</f>
        <v>3</v>
      </c>
    </row>
    <row r="101" spans="1:4" ht="15.75" customHeight="1">
      <c r="A101" s="35">
        <f>D43</f>
        <v>8</v>
      </c>
      <c r="B101" s="35">
        <f>D44</f>
        <v>19</v>
      </c>
      <c r="C101" s="36">
        <f>D45</f>
        <v>2</v>
      </c>
      <c r="D101" s="37">
        <f>D46</f>
        <v>3</v>
      </c>
    </row>
    <row r="102" spans="1:4" ht="15.75" customHeight="1">
      <c r="A102" s="35">
        <f>D43</f>
        <v>8</v>
      </c>
      <c r="B102" s="35">
        <f>D44</f>
        <v>19</v>
      </c>
      <c r="C102" s="36">
        <f>D45</f>
        <v>2</v>
      </c>
      <c r="D102" s="37">
        <f>D46</f>
        <v>3</v>
      </c>
    </row>
    <row r="103" spans="1:4" ht="15.75" customHeight="1">
      <c r="A103" s="35">
        <f>D43</f>
        <v>8</v>
      </c>
      <c r="B103" s="35">
        <f>D44</f>
        <v>19</v>
      </c>
      <c r="C103" s="36">
        <f>D45</f>
        <v>2</v>
      </c>
      <c r="D103" s="37">
        <f>D46</f>
        <v>3</v>
      </c>
    </row>
    <row r="104" spans="1:4" ht="15.75" customHeight="1">
      <c r="A104" s="35">
        <f>D43</f>
        <v>8</v>
      </c>
      <c r="B104" s="35">
        <f>D44</f>
        <v>19</v>
      </c>
      <c r="C104" s="36">
        <f>D45</f>
        <v>2</v>
      </c>
      <c r="D104" s="37">
        <f>D46</f>
        <v>3</v>
      </c>
    </row>
    <row r="105" spans="1:4" ht="15.75" customHeight="1">
      <c r="A105" s="35">
        <f>D43</f>
        <v>8</v>
      </c>
      <c r="B105" s="35">
        <f>D44</f>
        <v>19</v>
      </c>
      <c r="C105" s="36">
        <f>D45</f>
        <v>2</v>
      </c>
      <c r="D105" s="37">
        <f>D46</f>
        <v>3</v>
      </c>
    </row>
    <row r="106" spans="1:4" ht="15.75" customHeight="1">
      <c r="A106" s="35">
        <f>D43</f>
        <v>8</v>
      </c>
      <c r="B106" s="35">
        <f>D44</f>
        <v>19</v>
      </c>
      <c r="C106" s="36">
        <f>D45</f>
        <v>2</v>
      </c>
      <c r="D106" s="37">
        <f>D46</f>
        <v>3</v>
      </c>
    </row>
    <row r="107" spans="1:4" ht="15.75" customHeight="1">
      <c r="A107" s="35">
        <f>D43</f>
        <v>8</v>
      </c>
      <c r="B107" s="35">
        <f>D44</f>
        <v>19</v>
      </c>
      <c r="C107" s="36">
        <f>D45</f>
        <v>2</v>
      </c>
      <c r="D107" s="37">
        <f>D46</f>
        <v>3</v>
      </c>
    </row>
    <row r="108" spans="1:4" ht="15.75" customHeight="1">
      <c r="A108" s="35">
        <f>D43</f>
        <v>8</v>
      </c>
      <c r="B108" s="35">
        <f>D44</f>
        <v>19</v>
      </c>
      <c r="C108" s="36">
        <f>D45</f>
        <v>2</v>
      </c>
      <c r="D108" s="37">
        <f>D46</f>
        <v>3</v>
      </c>
    </row>
    <row r="109" spans="1:4" ht="15.75" customHeight="1">
      <c r="A109" s="35">
        <f>D43</f>
        <v>8</v>
      </c>
      <c r="B109" s="35">
        <f>D44</f>
        <v>19</v>
      </c>
      <c r="C109" s="36">
        <f>D45</f>
        <v>2</v>
      </c>
      <c r="D109" s="37">
        <f>D46</f>
        <v>3</v>
      </c>
    </row>
    <row r="110" spans="1:4" ht="15.75" customHeight="1">
      <c r="A110" s="35">
        <f>D43</f>
        <v>8</v>
      </c>
      <c r="B110" s="35">
        <f>D44</f>
        <v>19</v>
      </c>
      <c r="C110" s="36">
        <f>D45</f>
        <v>2</v>
      </c>
      <c r="D110" s="37">
        <f>D46</f>
        <v>3</v>
      </c>
    </row>
    <row r="111" spans="1:4" ht="15.75" customHeight="1">
      <c r="A111" s="35">
        <f>D43</f>
        <v>8</v>
      </c>
      <c r="B111" s="35">
        <f>D44</f>
        <v>19</v>
      </c>
      <c r="C111" s="36">
        <f>D45</f>
        <v>2</v>
      </c>
      <c r="D111" s="37">
        <f>D46</f>
        <v>3</v>
      </c>
    </row>
    <row r="112" spans="1:4" ht="15.75" customHeight="1">
      <c r="A112" s="35">
        <f>D43</f>
        <v>8</v>
      </c>
      <c r="B112" s="35">
        <f>D44</f>
        <v>19</v>
      </c>
      <c r="C112" s="36">
        <f>D45</f>
        <v>2</v>
      </c>
      <c r="D112" s="37">
        <f>D46</f>
        <v>3</v>
      </c>
    </row>
    <row r="113" spans="1:4" ht="15.75" customHeight="1">
      <c r="A113" s="35">
        <f>D43</f>
        <v>8</v>
      </c>
      <c r="B113" s="35">
        <f>D44</f>
        <v>19</v>
      </c>
      <c r="C113" s="36">
        <f>D45</f>
        <v>2</v>
      </c>
      <c r="D113" s="37">
        <f>D46</f>
        <v>3</v>
      </c>
    </row>
    <row r="114" spans="1:4" ht="15.75" customHeight="1">
      <c r="A114" s="35">
        <f>D43</f>
        <v>8</v>
      </c>
      <c r="B114" s="35">
        <f>D44</f>
        <v>19</v>
      </c>
      <c r="C114" s="36">
        <f>D45</f>
        <v>2</v>
      </c>
      <c r="D114" s="37">
        <f>D46</f>
        <v>3</v>
      </c>
    </row>
    <row r="115" spans="1:4" ht="15.75" customHeight="1">
      <c r="A115" s="35">
        <f>D43</f>
        <v>8</v>
      </c>
      <c r="B115" s="35">
        <f>D44</f>
        <v>19</v>
      </c>
      <c r="C115" s="36">
        <f>D45</f>
        <v>2</v>
      </c>
      <c r="D115" s="37">
        <f>D46</f>
        <v>3</v>
      </c>
    </row>
    <row r="116" spans="1:4" ht="15.75" customHeight="1">
      <c r="A116" s="35">
        <f>D43</f>
        <v>8</v>
      </c>
      <c r="B116" s="35">
        <f>D44</f>
        <v>19</v>
      </c>
      <c r="C116" s="36">
        <f>D45</f>
        <v>2</v>
      </c>
      <c r="D116" s="37">
        <f>D46</f>
        <v>3</v>
      </c>
    </row>
    <row r="117" spans="1:4" ht="15.75" customHeight="1">
      <c r="A117" s="35">
        <f>D43</f>
        <v>8</v>
      </c>
      <c r="B117" s="35">
        <f>D44</f>
        <v>19</v>
      </c>
      <c r="C117" s="36">
        <f>D45</f>
        <v>2</v>
      </c>
      <c r="D117" s="37">
        <f>D46</f>
        <v>3</v>
      </c>
    </row>
    <row r="118" spans="1:4" ht="15.75" customHeight="1">
      <c r="A118" s="35">
        <f>D43</f>
        <v>8</v>
      </c>
      <c r="B118" s="35">
        <f>D44</f>
        <v>19</v>
      </c>
      <c r="C118" s="36">
        <f>D45</f>
        <v>2</v>
      </c>
      <c r="D118" s="37">
        <f>D46</f>
        <v>3</v>
      </c>
    </row>
    <row r="119" spans="1:4" ht="15.75" customHeight="1">
      <c r="A119" s="35">
        <f>D43</f>
        <v>8</v>
      </c>
      <c r="B119" s="35">
        <f>D44</f>
        <v>19</v>
      </c>
      <c r="C119" s="36">
        <f>D45</f>
        <v>2</v>
      </c>
      <c r="D119" s="37">
        <f>D46</f>
        <v>3</v>
      </c>
    </row>
    <row r="120" spans="1:4" ht="15.75" customHeight="1">
      <c r="A120" s="35">
        <f>D43</f>
        <v>8</v>
      </c>
      <c r="B120" s="35">
        <f>D44</f>
        <v>19</v>
      </c>
      <c r="C120" s="36">
        <f>D45</f>
        <v>2</v>
      </c>
      <c r="D120" s="37">
        <f>D46</f>
        <v>3</v>
      </c>
    </row>
    <row r="121" spans="1:4" ht="15.75" customHeight="1"/>
    <row r="122" spans="1:4" ht="15.75" customHeight="1"/>
    <row r="123" spans="1:4" ht="15.75" customHeight="1"/>
    <row r="124" spans="1:4" ht="15.75" customHeight="1"/>
    <row r="125" spans="1:4" ht="15.75" customHeight="1"/>
    <row r="126" spans="1:4" ht="15.75" customHeight="1"/>
    <row r="127" spans="1:4" ht="15.75" customHeight="1"/>
    <row r="128" spans="1:4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sortState ref="A11:Q37">
    <sortCondition ref="C11:C37"/>
  </sortState>
  <mergeCells count="25">
    <mergeCell ref="Q8:Q10"/>
    <mergeCell ref="R8:R10"/>
    <mergeCell ref="J8:J10"/>
    <mergeCell ref="K8:K10"/>
    <mergeCell ref="L8:L10"/>
    <mergeCell ref="M8:M10"/>
    <mergeCell ref="N8:N10"/>
    <mergeCell ref="O8:O10"/>
    <mergeCell ref="P8:P10"/>
    <mergeCell ref="B7:B10"/>
    <mergeCell ref="C7:C10"/>
    <mergeCell ref="A1:O1"/>
    <mergeCell ref="A2:O2"/>
    <mergeCell ref="A3:O3"/>
    <mergeCell ref="A4:O4"/>
    <mergeCell ref="A5:O5"/>
    <mergeCell ref="A6:O6"/>
    <mergeCell ref="D7:R7"/>
    <mergeCell ref="A7:A10"/>
    <mergeCell ref="D8:D10"/>
    <mergeCell ref="E8:E10"/>
    <mergeCell ref="F8:F10"/>
    <mergeCell ref="G8:G10"/>
    <mergeCell ref="H8:H10"/>
    <mergeCell ref="I8:I10"/>
  </mergeCells>
  <pageMargins left="0.70866141732283472" right="0.70866141732283472" top="0.74803149606299213" bottom="0.74803149606299213" header="0" footer="0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Z993"/>
  <sheetViews>
    <sheetView zoomScale="80" zoomScaleNormal="80" workbookViewId="0">
      <selection activeCell="Q4" sqref="Q4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8" width="8.85546875" customWidth="1"/>
    <col min="19" max="19" width="11.28515625" customWidth="1"/>
  </cols>
  <sheetData>
    <row r="1" spans="1:26" ht="15" customHeight="1">
      <c r="A1" s="52" t="s">
        <v>69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1"/>
      <c r="Q1" s="1"/>
      <c r="R1" s="1"/>
      <c r="S1" s="1"/>
      <c r="T1" s="24"/>
      <c r="U1" s="24"/>
      <c r="V1" s="24"/>
      <c r="W1" s="24"/>
      <c r="X1" s="24"/>
      <c r="Y1" s="24"/>
      <c r="Z1" s="24"/>
    </row>
    <row r="2" spans="1:26" ht="15" customHeight="1">
      <c r="A2" s="52" t="s">
        <v>70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1"/>
      <c r="Q2" s="1"/>
      <c r="R2" s="1"/>
      <c r="S2" s="1"/>
      <c r="T2" s="24"/>
      <c r="U2" s="24"/>
      <c r="V2" s="24"/>
      <c r="W2" s="24"/>
      <c r="X2" s="24"/>
      <c r="Y2" s="24"/>
      <c r="Z2" s="24"/>
    </row>
    <row r="3" spans="1:26" ht="15" customHeight="1">
      <c r="A3" s="54" t="s">
        <v>65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1"/>
      <c r="Q3" s="1"/>
      <c r="R3" s="1"/>
      <c r="S3" s="1"/>
      <c r="T3" s="24"/>
      <c r="U3" s="24"/>
      <c r="V3" s="24"/>
      <c r="W3" s="24"/>
      <c r="X3" s="24"/>
      <c r="Y3" s="24"/>
      <c r="Z3" s="24"/>
    </row>
    <row r="4" spans="1:26" ht="15" customHeight="1">
      <c r="A4" s="52" t="s">
        <v>68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1"/>
      <c r="Q4" s="1"/>
      <c r="R4" s="1"/>
      <c r="S4" s="1"/>
      <c r="T4" s="24"/>
      <c r="U4" s="24"/>
      <c r="V4" s="24"/>
      <c r="W4" s="24"/>
      <c r="X4" s="24"/>
      <c r="Y4" s="24"/>
      <c r="Z4" s="24"/>
    </row>
    <row r="5" spans="1:26" ht="15" customHeight="1">
      <c r="A5" s="52" t="s">
        <v>1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1"/>
      <c r="Q5" s="1"/>
      <c r="R5" s="1"/>
      <c r="S5" s="1"/>
      <c r="T5" s="24"/>
      <c r="U5" s="24"/>
      <c r="V5" s="24"/>
      <c r="W5" s="24"/>
      <c r="X5" s="24"/>
      <c r="Y5" s="24"/>
      <c r="Z5" s="24"/>
    </row>
    <row r="6" spans="1:26" ht="15" customHeight="1">
      <c r="A6" s="61" t="s">
        <v>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1"/>
      <c r="Q6" s="1"/>
      <c r="R6" s="1"/>
      <c r="S6" s="1"/>
      <c r="T6" s="24"/>
      <c r="U6" s="24"/>
      <c r="V6" s="24"/>
      <c r="W6" s="24"/>
      <c r="X6" s="24"/>
      <c r="Y6" s="24"/>
      <c r="Z6" s="24"/>
    </row>
    <row r="7" spans="1:26" ht="15" customHeight="1">
      <c r="A7" s="58" t="s">
        <v>3</v>
      </c>
      <c r="B7" s="48" t="s">
        <v>4</v>
      </c>
      <c r="C7" s="48" t="s">
        <v>5</v>
      </c>
      <c r="D7" s="55" t="s">
        <v>6</v>
      </c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7"/>
      <c r="T7" s="24"/>
      <c r="U7" s="24"/>
      <c r="V7" s="24"/>
      <c r="W7" s="24"/>
      <c r="X7" s="24"/>
      <c r="Y7" s="24"/>
      <c r="Z7" s="24"/>
    </row>
    <row r="8" spans="1:26" ht="15" customHeight="1">
      <c r="A8" s="49"/>
      <c r="B8" s="49"/>
      <c r="C8" s="49"/>
      <c r="D8" s="59" t="s">
        <v>7</v>
      </c>
      <c r="E8" s="59" t="s">
        <v>8</v>
      </c>
      <c r="F8" s="59" t="s">
        <v>9</v>
      </c>
      <c r="G8" s="59" t="s">
        <v>10</v>
      </c>
      <c r="H8" s="59" t="s">
        <v>11</v>
      </c>
      <c r="I8" s="59" t="s">
        <v>12</v>
      </c>
      <c r="J8" s="59" t="s">
        <v>13</v>
      </c>
      <c r="K8" s="59" t="s">
        <v>14</v>
      </c>
      <c r="L8" s="59" t="s">
        <v>15</v>
      </c>
      <c r="M8" s="59" t="s">
        <v>16</v>
      </c>
      <c r="N8" s="59" t="s">
        <v>17</v>
      </c>
      <c r="O8" s="59" t="s">
        <v>18</v>
      </c>
      <c r="P8" s="59" t="s">
        <v>19</v>
      </c>
      <c r="Q8" s="59" t="s">
        <v>20</v>
      </c>
      <c r="R8" s="63" t="s">
        <v>66</v>
      </c>
      <c r="S8" s="60" t="s">
        <v>67</v>
      </c>
      <c r="T8" s="24"/>
      <c r="U8" s="24"/>
      <c r="V8" s="24"/>
      <c r="W8" s="24"/>
      <c r="X8" s="24"/>
      <c r="Y8" s="24"/>
      <c r="Z8" s="24"/>
    </row>
    <row r="9" spans="1:26" ht="15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24"/>
      <c r="U9" s="24"/>
      <c r="V9" s="24"/>
      <c r="W9" s="24"/>
      <c r="X9" s="24"/>
      <c r="Y9" s="24"/>
      <c r="Z9" s="24"/>
    </row>
    <row r="10" spans="1:26" ht="98.25" customHeight="1">
      <c r="A10" s="50"/>
      <c r="B10" s="50"/>
      <c r="C10" s="51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24"/>
      <c r="U10" s="24"/>
      <c r="V10" s="24"/>
      <c r="W10" s="24"/>
      <c r="X10" s="24"/>
      <c r="Y10" s="24"/>
      <c r="Z10" s="24"/>
    </row>
    <row r="11" spans="1:26" s="46" customFormat="1" ht="15.75">
      <c r="A11" s="40" t="s">
        <v>45</v>
      </c>
      <c r="B11" s="40">
        <v>1</v>
      </c>
      <c r="C11" s="41" t="s">
        <v>49</v>
      </c>
      <c r="D11" s="40">
        <v>10</v>
      </c>
      <c r="E11" s="40">
        <v>8</v>
      </c>
      <c r="F11" s="40">
        <v>9</v>
      </c>
      <c r="G11" s="40">
        <v>10</v>
      </c>
      <c r="H11" s="40">
        <v>11</v>
      </c>
      <c r="I11" s="40">
        <v>10</v>
      </c>
      <c r="J11" s="40">
        <v>8</v>
      </c>
      <c r="K11" s="40">
        <v>10</v>
      </c>
      <c r="L11" s="40">
        <v>9</v>
      </c>
      <c r="M11" s="40">
        <v>10</v>
      </c>
      <c r="N11" s="40">
        <v>8</v>
      </c>
      <c r="O11" s="40">
        <v>9</v>
      </c>
      <c r="P11" s="40">
        <v>9</v>
      </c>
      <c r="Q11" s="40">
        <v>10</v>
      </c>
      <c r="R11" s="42">
        <f>AVERAGE(D11:Q11)</f>
        <v>9.3571428571428577</v>
      </c>
      <c r="S11" s="42">
        <f t="shared" ref="S11:S18" si="0">R11*90/12</f>
        <v>70.178571428571431</v>
      </c>
    </row>
    <row r="12" spans="1:26" s="46" customFormat="1" ht="15.75">
      <c r="A12" s="40" t="s">
        <v>45</v>
      </c>
      <c r="B12" s="40">
        <v>2</v>
      </c>
      <c r="C12" s="41" t="s">
        <v>51</v>
      </c>
      <c r="D12" s="40">
        <v>8</v>
      </c>
      <c r="E12" s="40">
        <v>8</v>
      </c>
      <c r="F12" s="40">
        <v>6</v>
      </c>
      <c r="G12" s="40">
        <v>8</v>
      </c>
      <c r="H12" s="40">
        <v>7</v>
      </c>
      <c r="I12" s="40">
        <v>10</v>
      </c>
      <c r="J12" s="40">
        <v>8</v>
      </c>
      <c r="K12" s="40">
        <v>9</v>
      </c>
      <c r="L12" s="40">
        <v>6</v>
      </c>
      <c r="M12" s="40">
        <v>10</v>
      </c>
      <c r="N12" s="40">
        <v>9</v>
      </c>
      <c r="O12" s="40">
        <v>10</v>
      </c>
      <c r="P12" s="40">
        <v>8</v>
      </c>
      <c r="Q12" s="40">
        <v>9</v>
      </c>
      <c r="R12" s="42">
        <f t="shared" ref="R12:R18" si="1">AVERAGE(D12:Q12)</f>
        <v>8.2857142857142865</v>
      </c>
      <c r="S12" s="42">
        <f t="shared" si="0"/>
        <v>62.142857142857146</v>
      </c>
    </row>
    <row r="13" spans="1:26" s="46" customFormat="1" ht="15.75">
      <c r="A13" s="40" t="s">
        <v>45</v>
      </c>
      <c r="B13" s="40">
        <v>3</v>
      </c>
      <c r="C13" s="41" t="s">
        <v>48</v>
      </c>
      <c r="D13" s="40">
        <v>8</v>
      </c>
      <c r="E13" s="40">
        <v>10</v>
      </c>
      <c r="F13" s="40">
        <v>7</v>
      </c>
      <c r="G13" s="40">
        <v>8</v>
      </c>
      <c r="H13" s="40">
        <v>5</v>
      </c>
      <c r="I13" s="40">
        <v>8</v>
      </c>
      <c r="J13" s="40">
        <v>7</v>
      </c>
      <c r="K13" s="40">
        <v>10</v>
      </c>
      <c r="L13" s="40">
        <v>7</v>
      </c>
      <c r="M13" s="40">
        <v>10</v>
      </c>
      <c r="N13" s="40">
        <v>9</v>
      </c>
      <c r="O13" s="40">
        <v>7</v>
      </c>
      <c r="P13" s="40">
        <v>7</v>
      </c>
      <c r="Q13" s="40">
        <v>10</v>
      </c>
      <c r="R13" s="42">
        <f t="shared" si="1"/>
        <v>8.0714285714285712</v>
      </c>
      <c r="S13" s="42">
        <f t="shared" si="0"/>
        <v>60.535714285714285</v>
      </c>
    </row>
    <row r="14" spans="1:26" s="46" customFormat="1" ht="15.75">
      <c r="A14" s="43" t="s">
        <v>45</v>
      </c>
      <c r="B14" s="43">
        <v>4</v>
      </c>
      <c r="C14" s="44" t="s">
        <v>29</v>
      </c>
      <c r="D14" s="43">
        <v>8</v>
      </c>
      <c r="E14" s="43">
        <v>9</v>
      </c>
      <c r="F14" s="43">
        <v>6</v>
      </c>
      <c r="G14" s="43">
        <v>7</v>
      </c>
      <c r="H14" s="43">
        <v>7</v>
      </c>
      <c r="I14" s="43">
        <v>9</v>
      </c>
      <c r="J14" s="43">
        <v>6</v>
      </c>
      <c r="K14" s="43">
        <v>9</v>
      </c>
      <c r="L14" s="43">
        <v>7</v>
      </c>
      <c r="M14" s="43">
        <v>10</v>
      </c>
      <c r="N14" s="43">
        <v>9</v>
      </c>
      <c r="O14" s="43">
        <v>8</v>
      </c>
      <c r="P14" s="43">
        <v>8</v>
      </c>
      <c r="Q14" s="43">
        <v>9</v>
      </c>
      <c r="R14" s="47">
        <f t="shared" si="1"/>
        <v>8</v>
      </c>
      <c r="S14" s="45">
        <f t="shared" si="0"/>
        <v>60</v>
      </c>
    </row>
    <row r="15" spans="1:26" s="46" customFormat="1" ht="15.75">
      <c r="A15" s="43" t="s">
        <v>45</v>
      </c>
      <c r="B15" s="43">
        <v>5</v>
      </c>
      <c r="C15" s="44" t="s">
        <v>46</v>
      </c>
      <c r="D15" s="43">
        <v>7</v>
      </c>
      <c r="E15" s="43">
        <v>8</v>
      </c>
      <c r="F15" s="43">
        <v>5</v>
      </c>
      <c r="G15" s="43">
        <v>7</v>
      </c>
      <c r="H15" s="43">
        <v>7</v>
      </c>
      <c r="I15" s="43">
        <v>10</v>
      </c>
      <c r="J15" s="43">
        <v>6</v>
      </c>
      <c r="K15" s="43">
        <v>9</v>
      </c>
      <c r="L15" s="43">
        <v>8</v>
      </c>
      <c r="M15" s="43">
        <v>9</v>
      </c>
      <c r="N15" s="43">
        <v>6</v>
      </c>
      <c r="O15" s="43">
        <v>8</v>
      </c>
      <c r="P15" s="43">
        <v>8</v>
      </c>
      <c r="Q15" s="43">
        <v>8</v>
      </c>
      <c r="R15" s="47">
        <f t="shared" si="1"/>
        <v>7.5714285714285712</v>
      </c>
      <c r="S15" s="45">
        <f t="shared" si="0"/>
        <v>56.785714285714285</v>
      </c>
    </row>
    <row r="16" spans="1:26" s="39" customFormat="1" ht="15" customHeight="1">
      <c r="A16" s="2" t="s">
        <v>45</v>
      </c>
      <c r="B16" s="9">
        <v>6</v>
      </c>
      <c r="C16" s="4" t="s">
        <v>41</v>
      </c>
      <c r="D16" s="7">
        <v>6</v>
      </c>
      <c r="E16" s="7">
        <v>9</v>
      </c>
      <c r="F16" s="7">
        <v>4</v>
      </c>
      <c r="G16" s="7">
        <v>8</v>
      </c>
      <c r="H16" s="7">
        <v>6</v>
      </c>
      <c r="I16" s="7">
        <v>5</v>
      </c>
      <c r="J16" s="7">
        <v>6</v>
      </c>
      <c r="K16" s="7">
        <v>8</v>
      </c>
      <c r="L16" s="7">
        <v>6</v>
      </c>
      <c r="M16" s="7">
        <v>9</v>
      </c>
      <c r="N16" s="7">
        <v>7</v>
      </c>
      <c r="O16" s="7">
        <v>8</v>
      </c>
      <c r="P16" s="7">
        <v>8</v>
      </c>
      <c r="Q16" s="7">
        <v>9</v>
      </c>
      <c r="R16" s="47">
        <f t="shared" si="1"/>
        <v>7.0714285714285712</v>
      </c>
      <c r="S16" s="45">
        <f t="shared" si="0"/>
        <v>53.035714285714285</v>
      </c>
    </row>
    <row r="17" spans="1:19" s="46" customFormat="1" ht="15.75">
      <c r="A17" s="43" t="s">
        <v>45</v>
      </c>
      <c r="B17" s="43">
        <v>7</v>
      </c>
      <c r="C17" s="44" t="s">
        <v>47</v>
      </c>
      <c r="D17" s="43">
        <v>7</v>
      </c>
      <c r="E17" s="43">
        <v>8</v>
      </c>
      <c r="F17" s="43">
        <v>4</v>
      </c>
      <c r="G17" s="43">
        <v>7</v>
      </c>
      <c r="H17" s="43">
        <v>4</v>
      </c>
      <c r="I17" s="43">
        <v>9</v>
      </c>
      <c r="J17" s="43">
        <v>6</v>
      </c>
      <c r="K17" s="43">
        <v>9</v>
      </c>
      <c r="L17" s="43">
        <v>6</v>
      </c>
      <c r="M17" s="43">
        <v>8</v>
      </c>
      <c r="N17" s="43">
        <v>5</v>
      </c>
      <c r="O17" s="43">
        <v>7</v>
      </c>
      <c r="P17" s="43">
        <v>5</v>
      </c>
      <c r="Q17" s="43">
        <v>8</v>
      </c>
      <c r="R17" s="47">
        <f t="shared" si="1"/>
        <v>6.6428571428571432</v>
      </c>
      <c r="S17" s="45">
        <f t="shared" si="0"/>
        <v>49.821428571428577</v>
      </c>
    </row>
    <row r="18" spans="1:19" s="46" customFormat="1" ht="15.75">
      <c r="A18" s="43" t="s">
        <v>45</v>
      </c>
      <c r="B18" s="43">
        <v>8</v>
      </c>
      <c r="C18" s="44" t="s">
        <v>50</v>
      </c>
      <c r="D18" s="43">
        <v>5</v>
      </c>
      <c r="E18" s="43">
        <v>8</v>
      </c>
      <c r="F18" s="43">
        <v>5</v>
      </c>
      <c r="G18" s="43">
        <v>6</v>
      </c>
      <c r="H18" s="43">
        <v>6</v>
      </c>
      <c r="I18" s="43">
        <v>4</v>
      </c>
      <c r="J18" s="43">
        <v>8</v>
      </c>
      <c r="K18" s="43">
        <v>6</v>
      </c>
      <c r="L18" s="43">
        <v>6</v>
      </c>
      <c r="M18" s="43">
        <v>9</v>
      </c>
      <c r="N18" s="43">
        <v>8</v>
      </c>
      <c r="O18" s="43">
        <v>6</v>
      </c>
      <c r="P18" s="43">
        <v>6</v>
      </c>
      <c r="Q18" s="43">
        <v>8</v>
      </c>
      <c r="R18" s="47">
        <f t="shared" si="1"/>
        <v>6.5</v>
      </c>
      <c r="S18" s="45">
        <f t="shared" si="0"/>
        <v>48.75</v>
      </c>
    </row>
    <row r="19" spans="1:19" s="46" customFormat="1" ht="15.75">
      <c r="C19" s="44" t="s">
        <v>57</v>
      </c>
      <c r="D19" s="43">
        <f>'Зведена відомість'!A97</f>
        <v>8</v>
      </c>
    </row>
    <row r="20" spans="1:19" s="46" customFormat="1" ht="15.75">
      <c r="C20" s="44" t="s">
        <v>58</v>
      </c>
      <c r="D20" s="43">
        <f>'Зведена відомість'!B97</f>
        <v>19</v>
      </c>
      <c r="H20" s="46" t="s">
        <v>61</v>
      </c>
      <c r="O20" s="46" t="s">
        <v>62</v>
      </c>
    </row>
    <row r="21" spans="1:19" s="46" customFormat="1" ht="15.75">
      <c r="C21" s="44" t="s">
        <v>59</v>
      </c>
      <c r="D21" s="43">
        <f>'Зведена відомість'!C97</f>
        <v>2</v>
      </c>
    </row>
    <row r="22" spans="1:19" s="46" customFormat="1" ht="15.75">
      <c r="C22" s="44" t="s">
        <v>60</v>
      </c>
      <c r="D22" s="43">
        <f>'Зведена відомість'!D97</f>
        <v>3</v>
      </c>
      <c r="H22" s="46" t="s">
        <v>63</v>
      </c>
      <c r="O22" s="46" t="s">
        <v>64</v>
      </c>
    </row>
    <row r="23" spans="1:19" s="46" customFormat="1"/>
    <row r="24" spans="1:19" s="46" customFormat="1"/>
    <row r="25" spans="1:19" s="46" customFormat="1"/>
    <row r="26" spans="1:19" s="46" customFormat="1"/>
    <row r="27" spans="1:19" s="46" customFormat="1"/>
    <row r="28" spans="1:19" s="46" customFormat="1"/>
    <row r="29" spans="1:19" s="46" customFormat="1"/>
    <row r="30" spans="1:19" s="46" customFormat="1"/>
    <row r="31" spans="1:19" s="46" customFormat="1"/>
    <row r="32" spans="1:19" s="46" customFormat="1"/>
    <row r="33" s="46" customFormat="1"/>
    <row r="34" s="46" customFormat="1"/>
    <row r="35" s="46" customFormat="1"/>
    <row r="36" s="46" customFormat="1"/>
    <row r="37" s="46" customFormat="1"/>
    <row r="38" s="46" customFormat="1"/>
    <row r="39" s="46" customFormat="1"/>
    <row r="40" s="46" customFormat="1"/>
    <row r="41" s="46" customFormat="1"/>
    <row r="42" s="46" customFormat="1"/>
    <row r="43" s="46" customFormat="1"/>
    <row r="44" s="46" customFormat="1"/>
    <row r="45" s="46" customFormat="1"/>
    <row r="46" s="46" customFormat="1"/>
    <row r="47" s="46" customFormat="1"/>
    <row r="48" s="46" customFormat="1"/>
    <row r="49" s="46" customFormat="1"/>
    <row r="50" s="46" customFormat="1"/>
    <row r="51" s="46" customFormat="1"/>
    <row r="52" s="38" customFormat="1"/>
    <row r="53" s="38" customFormat="1"/>
    <row r="54" s="38" customFormat="1"/>
    <row r="55" s="38" customFormat="1"/>
    <row r="56" s="38" customFormat="1"/>
    <row r="57" s="38" customFormat="1"/>
    <row r="58" s="38" customFormat="1"/>
    <row r="59" s="38" customFormat="1"/>
    <row r="60" s="38" customFormat="1"/>
    <row r="61" s="38" customFormat="1"/>
    <row r="62" s="38" customFormat="1"/>
    <row r="63" s="38" customFormat="1"/>
    <row r="64" s="38" customFormat="1"/>
    <row r="65" spans="1:26" s="38" customFormat="1"/>
    <row r="66" spans="1:26" s="38" customFormat="1"/>
    <row r="67" spans="1:26" s="38" customFormat="1"/>
    <row r="68" spans="1:26" s="38" customFormat="1"/>
    <row r="69" spans="1:26" ht="15.75" customHeight="1">
      <c r="A69" s="24"/>
      <c r="B69" s="38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38"/>
      <c r="T69" s="24"/>
      <c r="U69" s="24"/>
      <c r="V69" s="24"/>
      <c r="W69" s="24"/>
      <c r="X69" s="24"/>
      <c r="Y69" s="24"/>
      <c r="Z69" s="24"/>
    </row>
    <row r="70" spans="1:26" ht="15.75" customHeight="1">
      <c r="A70" s="24"/>
      <c r="B70" s="38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38"/>
      <c r="T70" s="24"/>
      <c r="U70" s="24"/>
      <c r="V70" s="24"/>
      <c r="W70" s="24"/>
      <c r="X70" s="24"/>
      <c r="Y70" s="24"/>
      <c r="Z70" s="24"/>
    </row>
    <row r="71" spans="1:26" ht="15.75" customHeight="1">
      <c r="A71" s="24"/>
      <c r="B71" s="38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38"/>
      <c r="T71" s="24"/>
      <c r="U71" s="24"/>
      <c r="V71" s="24"/>
      <c r="W71" s="24"/>
      <c r="X71" s="24"/>
      <c r="Y71" s="24"/>
      <c r="Z71" s="24"/>
    </row>
    <row r="72" spans="1:26" ht="15.75" customHeight="1">
      <c r="A72" s="24"/>
      <c r="B72" s="38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38"/>
      <c r="T72" s="24"/>
      <c r="U72" s="24"/>
      <c r="V72" s="24"/>
      <c r="W72" s="24"/>
      <c r="X72" s="24"/>
      <c r="Y72" s="24"/>
      <c r="Z72" s="24"/>
    </row>
    <row r="73" spans="1:26" ht="15.75" customHeight="1">
      <c r="A73" s="24"/>
      <c r="B73" s="38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38"/>
      <c r="T73" s="24"/>
      <c r="U73" s="24"/>
      <c r="V73" s="24"/>
      <c r="W73" s="24"/>
      <c r="X73" s="24"/>
      <c r="Y73" s="24"/>
      <c r="Z73" s="24"/>
    </row>
    <row r="74" spans="1:26" ht="15.75" customHeight="1">
      <c r="A74" s="24"/>
      <c r="B74" s="38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38"/>
      <c r="T74" s="24"/>
      <c r="U74" s="24"/>
      <c r="V74" s="24"/>
      <c r="W74" s="24"/>
      <c r="X74" s="24"/>
      <c r="Y74" s="24"/>
      <c r="Z74" s="24"/>
    </row>
    <row r="75" spans="1:26" ht="15.75" customHeight="1">
      <c r="A75" s="24"/>
      <c r="B75" s="38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38"/>
      <c r="T75" s="24"/>
      <c r="U75" s="24"/>
      <c r="V75" s="24"/>
      <c r="W75" s="24"/>
      <c r="X75" s="24"/>
      <c r="Y75" s="24"/>
      <c r="Z75" s="24"/>
    </row>
    <row r="76" spans="1:26" ht="15.75" customHeight="1">
      <c r="A76" s="24"/>
      <c r="B76" s="38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38"/>
      <c r="T76" s="24"/>
      <c r="U76" s="24"/>
      <c r="V76" s="24"/>
      <c r="W76" s="24"/>
      <c r="X76" s="24"/>
      <c r="Y76" s="24"/>
      <c r="Z76" s="24"/>
    </row>
    <row r="77" spans="1:26" ht="15.75" customHeight="1">
      <c r="A77" s="24"/>
      <c r="B77" s="38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38"/>
      <c r="T77" s="24"/>
      <c r="U77" s="24"/>
      <c r="V77" s="24"/>
      <c r="W77" s="24"/>
      <c r="X77" s="24"/>
      <c r="Y77" s="24"/>
      <c r="Z77" s="24"/>
    </row>
    <row r="78" spans="1:26" ht="15.75" customHeight="1">
      <c r="A78" s="24"/>
      <c r="B78" s="38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38"/>
      <c r="T78" s="24"/>
      <c r="U78" s="24"/>
      <c r="V78" s="24"/>
      <c r="W78" s="24"/>
      <c r="X78" s="24"/>
      <c r="Y78" s="24"/>
      <c r="Z78" s="24"/>
    </row>
    <row r="79" spans="1:26" ht="15.75" customHeight="1">
      <c r="A79" s="24"/>
      <c r="B79" s="38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38"/>
      <c r="T79" s="24"/>
      <c r="U79" s="24"/>
      <c r="V79" s="24"/>
      <c r="W79" s="24"/>
      <c r="X79" s="24"/>
      <c r="Y79" s="24"/>
      <c r="Z79" s="24"/>
    </row>
    <row r="80" spans="1:26" ht="15.75" customHeight="1">
      <c r="A80" s="37">
        <f>COUNTIF(A11:A40,"=Б")</f>
        <v>8</v>
      </c>
      <c r="B80" s="38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38"/>
      <c r="T80" s="24"/>
      <c r="U80" s="24"/>
      <c r="V80" s="24"/>
      <c r="W80" s="24"/>
      <c r="X80" s="24"/>
      <c r="Y80" s="24"/>
      <c r="Z80" s="24"/>
    </row>
    <row r="81" spans="1:26" ht="15.75" customHeight="1">
      <c r="A81" s="37">
        <f>COUNTIF(A11:A40,"=Б")</f>
        <v>8</v>
      </c>
      <c r="B81" s="38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38"/>
      <c r="T81" s="24"/>
      <c r="U81" s="24"/>
      <c r="V81" s="24"/>
      <c r="W81" s="24"/>
      <c r="X81" s="24"/>
      <c r="Y81" s="24"/>
      <c r="Z81" s="24"/>
    </row>
    <row r="82" spans="1:26" ht="15.75" customHeight="1">
      <c r="A82" s="37">
        <f>COUNTIF(A11:A40,"=Б")</f>
        <v>8</v>
      </c>
      <c r="B82" s="38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8"/>
      <c r="T82" s="24"/>
      <c r="U82" s="24"/>
      <c r="V82" s="24"/>
      <c r="W82" s="24"/>
      <c r="X82" s="24"/>
      <c r="Y82" s="24"/>
      <c r="Z82" s="24"/>
    </row>
    <row r="83" spans="1:26" ht="15.75" customHeight="1">
      <c r="A83" s="37">
        <f>COUNTIF(A11:A40,"=Б")</f>
        <v>8</v>
      </c>
      <c r="B83" s="38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38"/>
      <c r="T83" s="24"/>
      <c r="U83" s="24"/>
      <c r="V83" s="24"/>
      <c r="W83" s="24"/>
      <c r="X83" s="24"/>
      <c r="Y83" s="24"/>
      <c r="Z83" s="24"/>
    </row>
    <row r="84" spans="1:26" ht="15.75" customHeight="1">
      <c r="A84" s="37">
        <f>COUNTIF(A11:A40,"=Б")</f>
        <v>8</v>
      </c>
      <c r="B84" s="38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38"/>
      <c r="T84" s="24"/>
      <c r="U84" s="24"/>
      <c r="V84" s="24"/>
      <c r="W84" s="24"/>
      <c r="X84" s="24"/>
      <c r="Y84" s="24"/>
      <c r="Z84" s="24"/>
    </row>
    <row r="85" spans="1:26" ht="15.75" customHeight="1">
      <c r="A85" s="37">
        <f>COUNTIF(A11:A40,"=Б")</f>
        <v>8</v>
      </c>
      <c r="B85" s="38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38"/>
      <c r="T85" s="24"/>
      <c r="U85" s="24"/>
      <c r="V85" s="24"/>
      <c r="W85" s="24"/>
      <c r="X85" s="24"/>
      <c r="Y85" s="24"/>
      <c r="Z85" s="24"/>
    </row>
    <row r="86" spans="1:26" ht="15.75" customHeight="1">
      <c r="A86" s="37">
        <f>COUNTIF(A11:A40,"=Б")</f>
        <v>8</v>
      </c>
      <c r="B86" s="38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38"/>
      <c r="T86" s="24"/>
      <c r="U86" s="24"/>
      <c r="V86" s="24"/>
      <c r="W86" s="24"/>
      <c r="X86" s="24"/>
      <c r="Y86" s="24"/>
      <c r="Z86" s="24"/>
    </row>
    <row r="87" spans="1:26" ht="15.75" customHeight="1">
      <c r="A87" s="37">
        <f>COUNTIF(A11:A40,"=Б")</f>
        <v>8</v>
      </c>
      <c r="B87" s="38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38"/>
      <c r="T87" s="24"/>
      <c r="U87" s="24"/>
      <c r="V87" s="24"/>
      <c r="W87" s="24"/>
      <c r="X87" s="24"/>
      <c r="Y87" s="24"/>
      <c r="Z87" s="24"/>
    </row>
    <row r="88" spans="1:26" ht="15.75" customHeight="1">
      <c r="A88" s="37">
        <f>COUNTIF(A11:A40,"=Б")</f>
        <v>8</v>
      </c>
      <c r="B88" s="38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38"/>
      <c r="T88" s="24"/>
      <c r="U88" s="24"/>
      <c r="V88" s="24"/>
      <c r="W88" s="24"/>
      <c r="X88" s="24"/>
      <c r="Y88" s="24"/>
      <c r="Z88" s="24"/>
    </row>
    <row r="89" spans="1:26" ht="15.75" customHeight="1">
      <c r="A89" s="37">
        <f>COUNTIF(A11:A40,"=Б")</f>
        <v>8</v>
      </c>
      <c r="B89" s="38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38"/>
      <c r="T89" s="24"/>
      <c r="U89" s="24"/>
      <c r="V89" s="24"/>
      <c r="W89" s="24"/>
      <c r="X89" s="24"/>
      <c r="Y89" s="24"/>
      <c r="Z89" s="24"/>
    </row>
    <row r="90" spans="1:26" ht="15.75" customHeight="1">
      <c r="A90" s="37">
        <f>COUNTIF(A11:A40,"=Б")</f>
        <v>8</v>
      </c>
      <c r="B90" s="38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38"/>
      <c r="T90" s="24"/>
      <c r="U90" s="24"/>
      <c r="V90" s="24"/>
      <c r="W90" s="24"/>
      <c r="X90" s="24"/>
      <c r="Y90" s="24"/>
      <c r="Z90" s="24"/>
    </row>
    <row r="91" spans="1:26" ht="15.75" customHeight="1">
      <c r="A91" s="37">
        <f>COUNTIF(A11:A40,"=Б")</f>
        <v>8</v>
      </c>
      <c r="B91" s="38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38"/>
      <c r="T91" s="24"/>
      <c r="U91" s="24"/>
      <c r="V91" s="24"/>
      <c r="W91" s="24"/>
      <c r="X91" s="24"/>
      <c r="Y91" s="24"/>
      <c r="Z91" s="24"/>
    </row>
    <row r="92" spans="1:26" ht="15.75" customHeight="1">
      <c r="A92" s="37">
        <f>COUNTIF(A11:A40,"=Б")</f>
        <v>8</v>
      </c>
      <c r="B92" s="38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38"/>
      <c r="T92" s="24"/>
      <c r="U92" s="24"/>
      <c r="V92" s="24"/>
      <c r="W92" s="24"/>
      <c r="X92" s="24"/>
      <c r="Y92" s="24"/>
      <c r="Z92" s="24"/>
    </row>
    <row r="93" spans="1:26" ht="15.75" customHeight="1">
      <c r="A93" s="37">
        <f>COUNTIF(A11:A40,"=Б")</f>
        <v>8</v>
      </c>
      <c r="B93" s="38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38"/>
      <c r="T93" s="24"/>
      <c r="U93" s="24"/>
      <c r="V93" s="24"/>
      <c r="W93" s="24"/>
      <c r="X93" s="24"/>
      <c r="Y93" s="24"/>
      <c r="Z93" s="24"/>
    </row>
    <row r="94" spans="1:26" ht="15.75" customHeight="1">
      <c r="A94" s="37">
        <f>COUNTIF(A11:A40,"=Б")</f>
        <v>8</v>
      </c>
      <c r="B94" s="38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38"/>
      <c r="T94" s="24"/>
      <c r="U94" s="24"/>
      <c r="V94" s="24"/>
      <c r="W94" s="24"/>
      <c r="X94" s="24"/>
      <c r="Y94" s="24"/>
      <c r="Z94" s="24"/>
    </row>
    <row r="95" spans="1:26" ht="15.75" customHeight="1">
      <c r="A95" s="37">
        <f>COUNTIF(A11:A40,"=Б")</f>
        <v>8</v>
      </c>
      <c r="B95" s="38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38"/>
      <c r="T95" s="24"/>
      <c r="U95" s="24"/>
      <c r="V95" s="24"/>
      <c r="W95" s="24"/>
      <c r="X95" s="24"/>
      <c r="Y95" s="24"/>
      <c r="Z95" s="24"/>
    </row>
    <row r="96" spans="1:26" ht="15.75" customHeight="1">
      <c r="A96" s="37">
        <f>COUNTIF(A11:A40,"=Б")</f>
        <v>8</v>
      </c>
      <c r="B96" s="38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38"/>
      <c r="T96" s="24"/>
      <c r="U96" s="24"/>
      <c r="V96" s="24"/>
      <c r="W96" s="24"/>
      <c r="X96" s="24"/>
      <c r="Y96" s="24"/>
      <c r="Z96" s="24"/>
    </row>
    <row r="97" spans="1:26" ht="15.75" customHeight="1">
      <c r="A97" s="37">
        <f>COUNTIF(A11:A40,"=Б")</f>
        <v>8</v>
      </c>
      <c r="B97" s="38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38"/>
      <c r="T97" s="24"/>
      <c r="U97" s="24"/>
      <c r="V97" s="24"/>
      <c r="W97" s="24"/>
      <c r="X97" s="24"/>
      <c r="Y97" s="24"/>
      <c r="Z97" s="24"/>
    </row>
    <row r="98" spans="1:26" ht="15.75" customHeight="1">
      <c r="A98" s="37">
        <f>COUNTIF(A11:A40,"=Б")</f>
        <v>8</v>
      </c>
      <c r="B98" s="38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38"/>
      <c r="T98" s="24"/>
      <c r="U98" s="24"/>
      <c r="V98" s="24"/>
      <c r="W98" s="24"/>
      <c r="X98" s="24"/>
      <c r="Y98" s="24"/>
      <c r="Z98" s="24"/>
    </row>
    <row r="99" spans="1:26" ht="15.75" customHeight="1">
      <c r="A99" s="37">
        <f>COUNTIF(A11:A40,"=Б")</f>
        <v>8</v>
      </c>
      <c r="B99" s="38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38"/>
      <c r="T99" s="24"/>
      <c r="U99" s="24"/>
      <c r="V99" s="24"/>
      <c r="W99" s="24"/>
      <c r="X99" s="24"/>
      <c r="Y99" s="24"/>
      <c r="Z99" s="24"/>
    </row>
    <row r="100" spans="1:26" ht="15.75" customHeight="1">
      <c r="A100" s="37">
        <f>COUNTIF(A11:A40,"=Б")</f>
        <v>8</v>
      </c>
      <c r="B100" s="38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38"/>
      <c r="T100" s="24"/>
      <c r="U100" s="24"/>
      <c r="V100" s="24"/>
      <c r="W100" s="24"/>
      <c r="X100" s="24"/>
      <c r="Y100" s="24"/>
      <c r="Z100" s="24"/>
    </row>
    <row r="101" spans="1:26" ht="15.75" customHeight="1">
      <c r="A101" s="37">
        <f>COUNTIF(A11:A40,"=Б")</f>
        <v>8</v>
      </c>
      <c r="B101" s="38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38"/>
      <c r="T101" s="24"/>
      <c r="U101" s="24"/>
      <c r="V101" s="24"/>
      <c r="W101" s="24"/>
      <c r="X101" s="24"/>
      <c r="Y101" s="24"/>
      <c r="Z101" s="24"/>
    </row>
    <row r="102" spans="1:26" ht="15.75" customHeight="1">
      <c r="A102" s="37">
        <f>COUNTIF(A11:A40,"=Б")</f>
        <v>8</v>
      </c>
      <c r="B102" s="38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8"/>
      <c r="T102" s="24"/>
      <c r="U102" s="24"/>
      <c r="V102" s="24"/>
      <c r="W102" s="24"/>
      <c r="X102" s="24"/>
      <c r="Y102" s="24"/>
      <c r="Z102" s="24"/>
    </row>
    <row r="103" spans="1:26" ht="15.75" customHeight="1">
      <c r="A103" s="37">
        <f>COUNTIF(A11:A40,"=Б")</f>
        <v>8</v>
      </c>
      <c r="B103" s="38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38"/>
      <c r="T103" s="24"/>
      <c r="U103" s="24"/>
      <c r="V103" s="24"/>
      <c r="W103" s="24"/>
      <c r="X103" s="24"/>
      <c r="Y103" s="24"/>
      <c r="Z103" s="24"/>
    </row>
    <row r="104" spans="1:26" ht="15.75" customHeight="1">
      <c r="A104" s="37">
        <f>COUNTIF(A11:A40,"=Б")</f>
        <v>8</v>
      </c>
      <c r="B104" s="38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38"/>
      <c r="T104" s="24"/>
      <c r="U104" s="24"/>
      <c r="V104" s="24"/>
      <c r="W104" s="24"/>
      <c r="X104" s="24"/>
      <c r="Y104" s="24"/>
      <c r="Z104" s="24"/>
    </row>
    <row r="105" spans="1:26" ht="15.75" customHeight="1">
      <c r="A105" s="37">
        <f>COUNTIF(A11:A40,"=Б")</f>
        <v>8</v>
      </c>
      <c r="B105" s="38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38"/>
      <c r="T105" s="24"/>
      <c r="U105" s="24"/>
      <c r="V105" s="24"/>
      <c r="W105" s="24"/>
      <c r="X105" s="24"/>
      <c r="Y105" s="24"/>
      <c r="Z105" s="24"/>
    </row>
    <row r="106" spans="1:26" ht="15.75" customHeight="1">
      <c r="A106" s="37">
        <f>COUNTIF(A11:A40,"=Б")</f>
        <v>8</v>
      </c>
      <c r="B106" s="38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38"/>
      <c r="T106" s="24"/>
      <c r="U106" s="24"/>
      <c r="V106" s="24"/>
      <c r="W106" s="24"/>
      <c r="X106" s="24"/>
      <c r="Y106" s="24"/>
      <c r="Z106" s="24"/>
    </row>
    <row r="107" spans="1:26" ht="15.75" customHeight="1">
      <c r="A107" s="37">
        <f>COUNTIF(A11:A40,"=Б")</f>
        <v>8</v>
      </c>
      <c r="B107" s="38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38"/>
      <c r="T107" s="24"/>
      <c r="U107" s="24"/>
      <c r="V107" s="24"/>
      <c r="W107" s="24"/>
      <c r="X107" s="24"/>
      <c r="Y107" s="24"/>
      <c r="Z107" s="24"/>
    </row>
    <row r="108" spans="1:26" ht="15.75" customHeight="1">
      <c r="A108" s="37">
        <f>COUNTIF(A11:A40,"=Б")</f>
        <v>8</v>
      </c>
      <c r="B108" s="38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38"/>
      <c r="T108" s="24"/>
      <c r="U108" s="24"/>
      <c r="V108" s="24"/>
      <c r="W108" s="24"/>
      <c r="X108" s="24"/>
      <c r="Y108" s="24"/>
      <c r="Z108" s="24"/>
    </row>
    <row r="109" spans="1:26" ht="15.75" customHeight="1">
      <c r="A109" s="37">
        <f>COUNTIF(A11:A40,"=Б")</f>
        <v>8</v>
      </c>
      <c r="B109" s="38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38"/>
      <c r="T109" s="24"/>
      <c r="U109" s="24"/>
      <c r="V109" s="24"/>
      <c r="W109" s="24"/>
      <c r="X109" s="24"/>
      <c r="Y109" s="24"/>
      <c r="Z109" s="24"/>
    </row>
    <row r="110" spans="1:26" ht="15.75" customHeight="1">
      <c r="A110" s="37">
        <f>COUNTIF(A11:A40,"=Б")</f>
        <v>8</v>
      </c>
      <c r="B110" s="38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38"/>
      <c r="T110" s="24"/>
      <c r="U110" s="24"/>
      <c r="V110" s="24"/>
      <c r="W110" s="24"/>
      <c r="X110" s="24"/>
      <c r="Y110" s="24"/>
      <c r="Z110" s="24"/>
    </row>
    <row r="111" spans="1:26" ht="15.75" customHeight="1">
      <c r="A111" s="37">
        <f>COUNTIF(A11:A40,"=Б")</f>
        <v>8</v>
      </c>
      <c r="B111" s="38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38"/>
      <c r="T111" s="24"/>
      <c r="U111" s="24"/>
      <c r="V111" s="24"/>
      <c r="W111" s="24"/>
      <c r="X111" s="24"/>
      <c r="Y111" s="24"/>
      <c r="Z111" s="24"/>
    </row>
    <row r="112" spans="1:26" ht="15.75" customHeight="1">
      <c r="A112" s="37">
        <f>COUNTIF(A11:A40,"=Б")</f>
        <v>8</v>
      </c>
      <c r="B112" s="38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38"/>
      <c r="T112" s="24"/>
      <c r="U112" s="24"/>
      <c r="V112" s="24"/>
      <c r="W112" s="24"/>
      <c r="X112" s="24"/>
      <c r="Y112" s="24"/>
      <c r="Z112" s="24"/>
    </row>
    <row r="113" spans="1:26" ht="15.75" customHeight="1">
      <c r="A113" s="37">
        <f>COUNTIF(A11:A40,"=Б")</f>
        <v>8</v>
      </c>
      <c r="B113" s="38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38"/>
      <c r="T113" s="24"/>
      <c r="U113" s="24"/>
      <c r="V113" s="24"/>
      <c r="W113" s="24"/>
      <c r="X113" s="24"/>
      <c r="Y113" s="24"/>
      <c r="Z113" s="24"/>
    </row>
    <row r="114" spans="1:26" ht="15.75" customHeight="1">
      <c r="A114" s="37">
        <f>COUNTIF(A11:A40,"=Б")</f>
        <v>8</v>
      </c>
      <c r="B114" s="38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38"/>
      <c r="T114" s="24"/>
      <c r="U114" s="24"/>
      <c r="V114" s="24"/>
      <c r="W114" s="24"/>
      <c r="X114" s="24"/>
      <c r="Y114" s="24"/>
      <c r="Z114" s="24"/>
    </row>
    <row r="115" spans="1:26" ht="15.75" customHeight="1">
      <c r="A115" s="37">
        <f>COUNTIF(A11:A40,"=Б")</f>
        <v>8</v>
      </c>
      <c r="B115" s="38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38"/>
      <c r="T115" s="24"/>
      <c r="U115" s="24"/>
      <c r="V115" s="24"/>
      <c r="W115" s="24"/>
      <c r="X115" s="24"/>
      <c r="Y115" s="24"/>
      <c r="Z115" s="24"/>
    </row>
    <row r="116" spans="1:26" ht="15.75" customHeight="1">
      <c r="A116" s="37">
        <f>COUNTIF(A11:A40,"=Б")</f>
        <v>8</v>
      </c>
      <c r="B116" s="38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38"/>
      <c r="T116" s="24"/>
      <c r="U116" s="24"/>
      <c r="V116" s="24"/>
      <c r="W116" s="24"/>
      <c r="X116" s="24"/>
      <c r="Y116" s="24"/>
      <c r="Z116" s="24"/>
    </row>
    <row r="117" spans="1:26" ht="15.75" customHeight="1">
      <c r="A117" s="37">
        <f>COUNTIF(A11:A40,"=Б")</f>
        <v>8</v>
      </c>
      <c r="B117" s="38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38"/>
      <c r="T117" s="24"/>
      <c r="U117" s="24"/>
      <c r="V117" s="24"/>
      <c r="W117" s="24"/>
      <c r="X117" s="24"/>
      <c r="Y117" s="24"/>
      <c r="Z117" s="24"/>
    </row>
    <row r="118" spans="1:26" ht="15.75" customHeight="1">
      <c r="A118" s="37">
        <f>COUNTIF(A11:A40,"=Б")</f>
        <v>8</v>
      </c>
      <c r="B118" s="38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38"/>
      <c r="T118" s="24"/>
      <c r="U118" s="24"/>
      <c r="V118" s="24"/>
      <c r="W118" s="24"/>
      <c r="X118" s="24"/>
      <c r="Y118" s="24"/>
      <c r="Z118" s="24"/>
    </row>
    <row r="119" spans="1:26" ht="15.75" customHeight="1">
      <c r="A119" s="37">
        <f>COUNTIF(A11:A40,"=Б")</f>
        <v>8</v>
      </c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38"/>
      <c r="T119" s="24"/>
      <c r="U119" s="24"/>
      <c r="V119" s="24"/>
      <c r="W119" s="24"/>
      <c r="X119" s="24"/>
      <c r="Y119" s="24"/>
      <c r="Z119" s="24"/>
    </row>
    <row r="120" spans="1:26" ht="15.75" customHeight="1">
      <c r="A120" s="37">
        <f>COUNTIF(A11:A40,"=Б")</f>
        <v>8</v>
      </c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5.75" customHeight="1">
      <c r="A121" s="35">
        <f>D44</f>
        <v>0</v>
      </c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17" ht="1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</row>
  </sheetData>
  <sortState ref="A11:AB60">
    <sortCondition descending="1" ref="S11:S60"/>
  </sortState>
  <mergeCells count="26">
    <mergeCell ref="Q8:Q10"/>
    <mergeCell ref="R8:R10"/>
    <mergeCell ref="S8:S10"/>
    <mergeCell ref="J8:J10"/>
    <mergeCell ref="K8:K10"/>
    <mergeCell ref="L8:L10"/>
    <mergeCell ref="M8:M10"/>
    <mergeCell ref="N8:N10"/>
    <mergeCell ref="O8:O10"/>
    <mergeCell ref="P8:P10"/>
    <mergeCell ref="B7:B10"/>
    <mergeCell ref="C7:C10"/>
    <mergeCell ref="A1:O1"/>
    <mergeCell ref="A2:O2"/>
    <mergeCell ref="A3:O3"/>
    <mergeCell ref="A4:O4"/>
    <mergeCell ref="A5:O5"/>
    <mergeCell ref="A6:O6"/>
    <mergeCell ref="D7:S7"/>
    <mergeCell ref="A7:A10"/>
    <mergeCell ref="D8:D10"/>
    <mergeCell ref="E8:E10"/>
    <mergeCell ref="F8:F10"/>
    <mergeCell ref="G8:G10"/>
    <mergeCell ref="H8:H10"/>
    <mergeCell ref="I8:I10"/>
  </mergeCells>
  <printOptions horizontalCentered="1" verticalCentered="1"/>
  <pageMargins left="0.70866141732283472" right="0.70866141732283472" top="2.1259842519685042" bottom="0.74803149606299213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Зведена відомість</vt:lpstr>
      <vt:lpstr>Рейтингова відомість</vt:lpstr>
      <vt:lpstr>Ф80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BONDARENKO</cp:lastModifiedBy>
  <cp:lastPrinted>2021-12-28T08:59:17Z</cp:lastPrinted>
  <dcterms:created xsi:type="dcterms:W3CDTF">2006-09-28T05:33:49Z</dcterms:created>
  <dcterms:modified xsi:type="dcterms:W3CDTF">2021-12-30T10:51:07Z</dcterms:modified>
</cp:coreProperties>
</file>