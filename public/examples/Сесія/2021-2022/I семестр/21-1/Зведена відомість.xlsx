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/>
  <bookViews>
    <workbookView xWindow="270" yWindow="645" windowWidth="19980" windowHeight="7110" activeTab="1"/>
  </bookViews>
  <sheets>
    <sheet name="Зведена відомість" sheetId="1" r:id="rId1"/>
    <sheet name="Рейтингова відомість" sheetId="2" r:id="rId2"/>
  </sheets>
  <definedNames>
    <definedName name="_xlnm._FilterDatabase" localSheetId="1" hidden="1">'Рейтингова відомість'!$A$11:$S$120</definedName>
  </definedNames>
  <calcPr calcId="144525"/>
  <extLst>
    <ext uri="GoogleSheetsCustomDataVersion1">
      <go:sheetsCustomData xmlns:go="http://customooxmlschemas.google.com/" r:id="" roundtripDataSignature="AMtx7mgOPsm6FEJDIGCEJTby++OVfUJwtg=="/>
    </ext>
  </extLst>
</workbook>
</file>

<file path=xl/calcChain.xml><?xml version="1.0" encoding="utf-8"?>
<calcChain xmlns="http://schemas.openxmlformats.org/spreadsheetml/2006/main">
  <c r="S15" i="2" l="1"/>
  <c r="S17" i="2"/>
  <c r="S13" i="2"/>
  <c r="S14" i="2"/>
  <c r="S21" i="2"/>
  <c r="S18" i="2"/>
  <c r="S16" i="2"/>
  <c r="S12" i="2"/>
  <c r="S11" i="2"/>
  <c r="S22" i="2"/>
  <c r="S23" i="2"/>
  <c r="S19" i="2"/>
  <c r="S20" i="2"/>
  <c r="A120" i="2" l="1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C120" i="1" l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D26" i="2" s="1"/>
  <c r="C102" i="1"/>
  <c r="C101" i="1"/>
  <c r="C100" i="1"/>
  <c r="C99" i="1" l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D44" i="1"/>
  <c r="D43" i="1"/>
  <c r="D46" i="1" s="1"/>
  <c r="D89" i="1" l="1"/>
  <c r="A107" i="1"/>
  <c r="A118" i="1"/>
  <c r="A110" i="1"/>
  <c r="A102" i="1"/>
  <c r="A113" i="1"/>
  <c r="A105" i="1"/>
  <c r="A120" i="1"/>
  <c r="A116" i="1"/>
  <c r="A112" i="1"/>
  <c r="A108" i="1"/>
  <c r="A104" i="1"/>
  <c r="A100" i="1"/>
  <c r="A119" i="1"/>
  <c r="A115" i="1"/>
  <c r="A111" i="1"/>
  <c r="A103" i="1"/>
  <c r="D24" i="2" s="1"/>
  <c r="A114" i="1"/>
  <c r="A106" i="1"/>
  <c r="A117" i="1"/>
  <c r="A109" i="1"/>
  <c r="A101" i="1"/>
  <c r="B113" i="1"/>
  <c r="B105" i="1"/>
  <c r="B108" i="1"/>
  <c r="B100" i="1"/>
  <c r="B119" i="1"/>
  <c r="B115" i="1"/>
  <c r="B111" i="1"/>
  <c r="B107" i="1"/>
  <c r="B103" i="1"/>
  <c r="D25" i="2" s="1"/>
  <c r="B118" i="1"/>
  <c r="B114" i="1"/>
  <c r="B110" i="1"/>
  <c r="B106" i="1"/>
  <c r="B102" i="1"/>
  <c r="B117" i="1"/>
  <c r="B109" i="1"/>
  <c r="B101" i="1"/>
  <c r="B120" i="1"/>
  <c r="B116" i="1"/>
  <c r="B112" i="1"/>
  <c r="B104" i="1"/>
  <c r="A75" i="1"/>
  <c r="A79" i="1"/>
  <c r="A83" i="1"/>
  <c r="A87" i="1"/>
  <c r="A91" i="1"/>
  <c r="A95" i="1"/>
  <c r="A99" i="1"/>
  <c r="B77" i="1"/>
  <c r="B81" i="1"/>
  <c r="B85" i="1"/>
  <c r="B89" i="1"/>
  <c r="B93" i="1"/>
  <c r="B97" i="1"/>
  <c r="A76" i="1"/>
  <c r="A80" i="1"/>
  <c r="A84" i="1"/>
  <c r="A88" i="1"/>
  <c r="A92" i="1"/>
  <c r="A96" i="1"/>
  <c r="B78" i="1"/>
  <c r="B82" i="1"/>
  <c r="B86" i="1"/>
  <c r="B90" i="1"/>
  <c r="B94" i="1"/>
  <c r="B98" i="1"/>
  <c r="A77" i="1"/>
  <c r="A81" i="1"/>
  <c r="A85" i="1"/>
  <c r="A89" i="1"/>
  <c r="A93" i="1"/>
  <c r="A97" i="1"/>
  <c r="B75" i="1"/>
  <c r="B79" i="1"/>
  <c r="B83" i="1"/>
  <c r="B87" i="1"/>
  <c r="B91" i="1"/>
  <c r="B95" i="1"/>
  <c r="B99" i="1"/>
  <c r="A78" i="1"/>
  <c r="A82" i="1"/>
  <c r="A86" i="1"/>
  <c r="A90" i="1"/>
  <c r="A94" i="1"/>
  <c r="A98" i="1"/>
  <c r="B76" i="1"/>
  <c r="B80" i="1"/>
  <c r="B84" i="1"/>
  <c r="B88" i="1"/>
  <c r="B92" i="1"/>
  <c r="B96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D77" i="1" l="1"/>
  <c r="D86" i="1"/>
  <c r="D92" i="1"/>
  <c r="D87" i="1"/>
  <c r="D80" i="1"/>
  <c r="D85" i="1"/>
  <c r="D84" i="1"/>
  <c r="D75" i="1"/>
  <c r="D78" i="1"/>
  <c r="D91" i="1"/>
  <c r="D94" i="1"/>
  <c r="D81" i="1"/>
  <c r="D95" i="1"/>
  <c r="D97" i="1"/>
  <c r="D96" i="1"/>
  <c r="D76" i="1"/>
  <c r="D79" i="1"/>
  <c r="D90" i="1"/>
  <c r="D93" i="1"/>
  <c r="D88" i="1"/>
  <c r="D99" i="1"/>
  <c r="D83" i="1"/>
  <c r="D98" i="1"/>
  <c r="D82" i="1"/>
  <c r="D120" i="1"/>
  <c r="D112" i="1"/>
  <c r="D103" i="1"/>
  <c r="D27" i="2" s="1"/>
  <c r="D106" i="1"/>
  <c r="D117" i="1"/>
  <c r="D113" i="1"/>
  <c r="D109" i="1"/>
  <c r="D105" i="1"/>
  <c r="D101" i="1"/>
  <c r="D116" i="1"/>
  <c r="D108" i="1"/>
  <c r="D104" i="1"/>
  <c r="D100" i="1"/>
  <c r="D119" i="1"/>
  <c r="D115" i="1"/>
  <c r="D111" i="1"/>
  <c r="D107" i="1"/>
  <c r="D118" i="1"/>
  <c r="D114" i="1"/>
  <c r="D110" i="1"/>
  <c r="D102" i="1"/>
  <c r="R38" i="1"/>
  <c r="O40" i="1"/>
  <c r="K40" i="1"/>
  <c r="Q39" i="1"/>
  <c r="M39" i="1"/>
  <c r="I39" i="1"/>
  <c r="E39" i="1"/>
  <c r="N40" i="1"/>
  <c r="P39" i="1"/>
  <c r="H39" i="1"/>
  <c r="Q40" i="1"/>
  <c r="M40" i="1"/>
  <c r="I40" i="1"/>
  <c r="E40" i="1"/>
  <c r="O39" i="1"/>
  <c r="K39" i="1"/>
  <c r="G39" i="1"/>
  <c r="F40" i="1"/>
  <c r="P40" i="1"/>
  <c r="L40" i="1"/>
  <c r="H40" i="1"/>
  <c r="D40" i="1"/>
  <c r="N39" i="1"/>
  <c r="J39" i="1"/>
  <c r="F39" i="1"/>
  <c r="G40" i="1"/>
  <c r="J40" i="1"/>
  <c r="L39" i="1"/>
  <c r="D39" i="1"/>
  <c r="D42" i="1" l="1"/>
  <c r="D41" i="1"/>
</calcChain>
</file>

<file path=xl/sharedStrings.xml><?xml version="1.0" encoding="utf-8"?>
<sst xmlns="http://schemas.openxmlformats.org/spreadsheetml/2006/main" count="160" uniqueCount="73">
  <si>
    <t>ФАХОВИЙ КОЛЕДЖ НАФТОГАЗОВИХ ТЕХНОЛОГІЙ, ІНЖЕНЕРІЇ ТА ІНФРАСТРУКТУРИ СЕРВІСУ</t>
  </si>
  <si>
    <t>ОДЕСЬКОЇ НАЦІОНАЛЬНОЇ АКАДЕМІЇ ХАРЧОВИХ ТЕХНОЛОГІЙ</t>
  </si>
  <si>
    <t xml:space="preserve">ЗВЕДЕНА  ВІДОМІСТЬ  </t>
  </si>
  <si>
    <t>Успішності студентів спеціальності 075 "Маркетинг"</t>
  </si>
  <si>
    <t>За І семестр 2021-2022 н.р.</t>
  </si>
  <si>
    <t>Група 21-1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</si>
  <si>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</si>
  <si>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</si>
  <si>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</si>
  <si>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</si>
  <si>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Грубіна О.П.</t>
  </si>
  <si>
    <t>Всесвітня історія
Мельничук С.А.</t>
  </si>
  <si>
    <t>Математика
Ромчук В.В.</t>
  </si>
  <si>
    <t>Фізика
Чикіна А.В.</t>
  </si>
  <si>
    <t>Хімія
Сахно Н.О.</t>
  </si>
  <si>
    <t>Інформатика
Вівдіч М.І.</t>
  </si>
  <si>
    <t>Українська мова
Грубіна О.П.</t>
  </si>
  <si>
    <t>Зарубіжна література
Пруднікова Я.П.</t>
  </si>
  <si>
    <t>Біологія
Богданенко О.В.</t>
  </si>
  <si>
    <t>Фізичне виховання
Галеніна І.С.</t>
  </si>
  <si>
    <t>Іноземна мова
Кубова Т.М.</t>
  </si>
  <si>
    <t>ЗУ
Лазар В.І.
Стельмах Н.Ю.
Черкашин А.Д.</t>
  </si>
  <si>
    <t>Історія України
Левчук Т.Г.</t>
  </si>
  <si>
    <t>Географія
Наговська Т.С.</t>
  </si>
  <si>
    <t>Середній бал</t>
  </si>
  <si>
    <t>Б</t>
  </si>
  <si>
    <t>Антонов Гліб Артемович</t>
  </si>
  <si>
    <t>Бузіян Анастасія Володимирівна</t>
  </si>
  <si>
    <t>Гілка Анна Вадимівна</t>
  </si>
  <si>
    <t>Городецька Олена Сергіївна</t>
  </si>
  <si>
    <t>К</t>
  </si>
  <si>
    <t>Демченко Анастасія Вадимівна</t>
  </si>
  <si>
    <t>Звєркова Анастасія Олександрів.</t>
  </si>
  <si>
    <t>Кірнична Вероніка Сергіївна</t>
  </si>
  <si>
    <t>Котанчян Поліна Тігранівна</t>
  </si>
  <si>
    <t>н/а</t>
  </si>
  <si>
    <t>Кулик Дар’я Вікторівна</t>
  </si>
  <si>
    <t>Мельниченко Поліна Олександрів</t>
  </si>
  <si>
    <t>Михалкевич Валерія Олексіївна</t>
  </si>
  <si>
    <t>Панкова Марія Олегівна</t>
  </si>
  <si>
    <t>Панчев Бариш Сахібович</t>
  </si>
  <si>
    <t>Плем’яник Крістіна Ігорівна</t>
  </si>
  <si>
    <t>Поліщук  Дар’я Ігорівна</t>
  </si>
  <si>
    <t>Сарафанова Крістіна Ігорівна</t>
  </si>
  <si>
    <t>Семенюк Даніїл Дмитрович</t>
  </si>
  <si>
    <t>Скок Марія Олегівна</t>
  </si>
  <si>
    <t>Соломатіна Поліна Андріївна</t>
  </si>
  <si>
    <t>Тареліна Ульяна Іванівна</t>
  </si>
  <si>
    <t>Тарусова Кіра Юріївна</t>
  </si>
  <si>
    <t>Татаренко Даяна Андріївна</t>
  </si>
  <si>
    <t>Телефанько Діана Ігорівна</t>
  </si>
  <si>
    <t>Тітєнькін Павло Юрійович</t>
  </si>
  <si>
    <t>Троїцька Катерина Олександрівна</t>
  </si>
  <si>
    <t>Хаджи Анна Георгіївна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</si>
  <si>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</si>
  <si>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</si>
  <si>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</si>
  <si>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</si>
  <si>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</si>
  <si>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</si>
  <si>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</si>
  <si>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</si>
  <si>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</si>
  <si>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</si>
  <si>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Майя ВІВДІЧ</t>
  </si>
  <si>
    <t>Завідувач відділення ПЗСО</t>
  </si>
  <si>
    <t>Маргарита БРІТІКОВА</t>
  </si>
  <si>
    <t xml:space="preserve">РЕЙТИНГОВА  ВІДОМІСТЬ  </t>
  </si>
  <si>
    <t>Українська література
Юрченко О.Б.</t>
  </si>
  <si>
    <t xml:space="preserve">Середній бал    </t>
  </si>
  <si>
    <t>Рейтинг</t>
  </si>
  <si>
    <t>Смислова Валерія Русланївна</t>
  </si>
  <si>
    <t>Смислова Валерія Русланівна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</si>
</sst>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Arimo"/>
    </font>
    <font>
      <sz val="12"/>
      <color rgb="FF000000"/>
      <name val="Calibri"/>
      <family val="2"/>
      <charset val="204"/>
    </font>
    <font>
      <sz val="11"/>
      <color theme="0"/>
      <name val="Calibri"/>
      <family val="2"/>
      <charset val="204"/>
    </font>
    <font>
      <sz val="16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2" fillId="0" borderId="0" xfId="0" applyFont="1"/>
    <xf numFmtId="0" fontId="7" fillId="0" borderId="8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164" fontId="4" fillId="3" borderId="13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Font="1"/>
    <xf numFmtId="0" fontId="4" fillId="2" borderId="13" xfId="0" applyFont="1" applyFill="1" applyBorder="1" applyAlignment="1">
      <alignment vertical="center" wrapText="1"/>
    </xf>
    <xf numFmtId="164" fontId="4" fillId="3" borderId="18" xfId="0" applyNumberFormat="1" applyFont="1" applyFill="1" applyBorder="1" applyAlignment="1">
      <alignment horizontal="center" vertical="center"/>
    </xf>
    <xf numFmtId="164" fontId="4" fillId="3" borderId="19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20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164" fontId="4" fillId="4" borderId="21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11" fillId="0" borderId="0" xfId="0" applyFont="1"/>
    <xf numFmtId="164" fontId="4" fillId="0" borderId="13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/>
    </xf>
    <xf numFmtId="164" fontId="12" fillId="0" borderId="0" xfId="0" applyNumberFormat="1" applyFont="1" applyAlignment="1"/>
    <xf numFmtId="1" fontId="12" fillId="0" borderId="0" xfId="0" applyNumberFormat="1" applyFont="1" applyAlignment="1"/>
    <xf numFmtId="0" fontId="12" fillId="0" borderId="0" xfId="0" applyFont="1" applyAlignment="1"/>
    <xf numFmtId="0" fontId="7" fillId="5" borderId="26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left" vertical="center"/>
    </xf>
    <xf numFmtId="2" fontId="7" fillId="5" borderId="26" xfId="0" applyNumberFormat="1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2" fontId="7" fillId="0" borderId="26" xfId="0" applyNumberFormat="1" applyFont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left" vertical="center"/>
    </xf>
    <xf numFmtId="2" fontId="7" fillId="6" borderId="2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7" xfId="0" applyFont="1" applyBorder="1"/>
    <xf numFmtId="0" fontId="5" fillId="0" borderId="6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textRotation="90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4" fillId="2" borderId="23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textRotation="90" wrapText="1"/>
    </xf>
    <xf numFmtId="0" fontId="9" fillId="0" borderId="0" xfId="0" applyFont="1" applyAlignment="1"/>
    <xf numFmtId="0" fontId="13" fillId="0" borderId="0" xfId="0" applyFont="1"/>
    <xf numFmtId="0" fontId="9" fillId="0" borderId="0" xfId="0" applyFont="1" applyAlignment="1"/>
    <xf numFmtId="0" fontId="14" fillId="0" borderId="12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24" xfId="0" applyFont="1" applyBorder="1"/>
    <xf numFmtId="0" fontId="14" fillId="0" borderId="7" xfId="0" applyFont="1" applyBorder="1"/>
    <xf numFmtId="0" fontId="14" fillId="0" borderId="25" xfId="0" applyFont="1" applyBorder="1"/>
    <xf numFmtId="0" fontId="9" fillId="6" borderId="0" xfId="0" applyFont="1" applyFill="1" applyAlignment="1"/>
    <xf numFmtId="0" fontId="15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1000"/>
  <sheetViews>
    <sheetView topLeftCell="A37" workbookViewId="0">
      <selection activeCell="J53" sqref="J53"/>
    </sheetView>
  </sheetViews>
  <sheetFormatPr defaultColWidth="14.42578125" defaultRowHeight="15" customHeight="1"/>
  <cols>
    <col min="1" max="1" width="5.140625" customWidth="1"/>
    <col min="2" max="2" width="6.5703125" customWidth="1"/>
    <col min="3" max="3" width="40.42578125" customWidth="1"/>
    <col min="4" max="4" width="6.140625" customWidth="1"/>
    <col min="5" max="14" width="6.7109375" customWidth="1"/>
    <col min="15" max="15" width="12.7109375" customWidth="1"/>
    <col min="16" max="17" width="6.7109375" customWidth="1"/>
    <col min="18" max="18" width="11.28515625" customWidth="1"/>
  </cols>
  <sheetData>
    <row r="1" spans="1:18" ht="15" customHeight="1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1"/>
      <c r="Q1" s="1"/>
      <c r="R1" s="1"/>
    </row>
    <row r="2" spans="1:18" ht="15" customHeight="1">
      <c r="A2" s="66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1"/>
      <c r="Q2" s="1"/>
      <c r="R2" s="1"/>
    </row>
    <row r="3" spans="1:18" ht="15" customHeight="1">
      <c r="A3" s="68" t="s">
        <v>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1"/>
      <c r="Q3" s="1"/>
      <c r="R3" s="1"/>
    </row>
    <row r="4" spans="1:18" ht="15" customHeight="1">
      <c r="A4" s="66" t="s">
        <v>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"/>
      <c r="Q4" s="1"/>
      <c r="R4" s="1"/>
    </row>
    <row r="5" spans="1:18" ht="15" customHeight="1">
      <c r="A5" s="66" t="s">
        <v>4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1"/>
      <c r="Q5" s="1"/>
      <c r="R5" s="1"/>
    </row>
    <row r="6" spans="1:18" ht="15" customHeight="1">
      <c r="A6" s="66" t="s">
        <v>5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1"/>
      <c r="Q6" s="1"/>
      <c r="R6" s="1"/>
    </row>
    <row r="7" spans="1:18" ht="15" customHeight="1">
      <c r="A7" s="72" t="s">
        <v>6</v>
      </c>
      <c r="B7" s="62" t="s">
        <v>7</v>
      </c>
      <c r="C7" s="62" t="s">
        <v>8</v>
      </c>
      <c r="D7" s="69" t="s">
        <v>9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1"/>
    </row>
    <row r="8" spans="1:18" ht="15" customHeight="1">
      <c r="A8" s="63"/>
      <c r="B8" s="63"/>
      <c r="C8" s="63"/>
      <c r="D8" s="73" t="s">
        <v>10</v>
      </c>
      <c r="E8" s="73" t="s">
        <v>11</v>
      </c>
      <c r="F8" s="73" t="s">
        <v>12</v>
      </c>
      <c r="G8" s="73" t="s">
        <v>13</v>
      </c>
      <c r="H8" s="73" t="s">
        <v>14</v>
      </c>
      <c r="I8" s="73" t="s">
        <v>15</v>
      </c>
      <c r="J8" s="73" t="s">
        <v>16</v>
      </c>
      <c r="K8" s="73" t="s">
        <v>17</v>
      </c>
      <c r="L8" s="73" t="s">
        <v>18</v>
      </c>
      <c r="M8" s="73" t="s">
        <v>19</v>
      </c>
      <c r="N8" s="73" t="s">
        <v>20</v>
      </c>
      <c r="O8" s="73" t="s">
        <v>21</v>
      </c>
      <c r="P8" s="73" t="s">
        <v>22</v>
      </c>
      <c r="Q8" s="73" t="s">
        <v>23</v>
      </c>
      <c r="R8" s="74" t="s">
        <v>24</v>
      </c>
    </row>
    <row r="9" spans="1:18" ht="15" customHeight="1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</row>
    <row r="10" spans="1:18" ht="101.25" customHeight="1">
      <c r="A10" s="65"/>
      <c r="B10" s="64"/>
      <c r="C10" s="65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spans="1:18" ht="15" customHeight="1">
      <c r="A11" s="2" t="s">
        <v>25</v>
      </c>
      <c r="B11" s="3">
        <v>1</v>
      </c>
      <c r="C11" s="4" t="s">
        <v>26</v>
      </c>
      <c r="D11" s="5">
        <v>5</v>
      </c>
      <c r="E11" s="6">
        <v>9</v>
      </c>
      <c r="F11" s="6">
        <v>7</v>
      </c>
      <c r="G11" s="7">
        <v>6</v>
      </c>
      <c r="H11" s="8">
        <v>7</v>
      </c>
      <c r="I11" s="9">
        <v>8</v>
      </c>
      <c r="J11" s="10">
        <v>6</v>
      </c>
      <c r="K11" s="10">
        <v>5</v>
      </c>
      <c r="L11" s="11">
        <v>7</v>
      </c>
      <c r="M11" s="12">
        <v>10</v>
      </c>
      <c r="N11" s="13">
        <v>6</v>
      </c>
      <c r="O11" s="14">
        <v>8</v>
      </c>
      <c r="P11" s="15">
        <v>7</v>
      </c>
      <c r="Q11" s="6">
        <v>7</v>
      </c>
      <c r="R11" s="16">
        <f t="shared" ref="R11:R38" si="0">AVERAGE(D11:Q11)</f>
        <v>7</v>
      </c>
    </row>
    <row r="12" spans="1:18" ht="15" customHeight="1">
      <c r="A12" s="2" t="s">
        <v>25</v>
      </c>
      <c r="B12" s="17">
        <v>2</v>
      </c>
      <c r="C12" s="4" t="s">
        <v>27</v>
      </c>
      <c r="D12" s="18">
        <v>7</v>
      </c>
      <c r="E12" s="19">
        <v>9</v>
      </c>
      <c r="F12" s="19">
        <v>8</v>
      </c>
      <c r="G12" s="20">
        <v>7</v>
      </c>
      <c r="H12" s="21">
        <v>7</v>
      </c>
      <c r="I12" s="22">
        <v>10</v>
      </c>
      <c r="J12" s="23">
        <v>8</v>
      </c>
      <c r="K12" s="23">
        <v>9</v>
      </c>
      <c r="L12" s="24">
        <v>9</v>
      </c>
      <c r="M12" s="25">
        <v>10</v>
      </c>
      <c r="N12" s="26">
        <v>8</v>
      </c>
      <c r="O12" s="27">
        <v>9</v>
      </c>
      <c r="P12" s="28">
        <v>8</v>
      </c>
      <c r="Q12" s="2">
        <v>10</v>
      </c>
      <c r="R12" s="16">
        <f t="shared" si="0"/>
        <v>8.5</v>
      </c>
    </row>
    <row r="13" spans="1:18" ht="15" customHeight="1">
      <c r="A13" s="2" t="s">
        <v>25</v>
      </c>
      <c r="B13" s="17">
        <v>3</v>
      </c>
      <c r="C13" s="4" t="s">
        <v>28</v>
      </c>
      <c r="D13" s="18">
        <v>8</v>
      </c>
      <c r="E13" s="19">
        <v>9</v>
      </c>
      <c r="F13" s="19">
        <v>8</v>
      </c>
      <c r="G13" s="19">
        <v>8</v>
      </c>
      <c r="H13" s="8">
        <v>7</v>
      </c>
      <c r="I13" s="22">
        <v>9</v>
      </c>
      <c r="J13" s="23">
        <v>7</v>
      </c>
      <c r="K13" s="23">
        <v>8</v>
      </c>
      <c r="L13" s="24">
        <v>9</v>
      </c>
      <c r="M13" s="25">
        <v>10</v>
      </c>
      <c r="N13" s="26">
        <v>9</v>
      </c>
      <c r="O13" s="27">
        <v>8</v>
      </c>
      <c r="P13" s="28">
        <v>8</v>
      </c>
      <c r="Q13" s="2">
        <v>9</v>
      </c>
      <c r="R13" s="16">
        <f t="shared" si="0"/>
        <v>8.3571428571428577</v>
      </c>
    </row>
    <row r="14" spans="1:18" ht="15" customHeight="1">
      <c r="A14" s="2" t="s">
        <v>25</v>
      </c>
      <c r="B14" s="17">
        <v>4</v>
      </c>
      <c r="C14" s="4" t="s">
        <v>29</v>
      </c>
      <c r="D14" s="18">
        <v>8</v>
      </c>
      <c r="E14" s="19">
        <v>9</v>
      </c>
      <c r="F14" s="19">
        <v>8</v>
      </c>
      <c r="G14" s="19">
        <v>9</v>
      </c>
      <c r="H14" s="21">
        <v>9</v>
      </c>
      <c r="I14" s="22">
        <v>10</v>
      </c>
      <c r="J14" s="23">
        <v>8</v>
      </c>
      <c r="K14" s="23">
        <v>10</v>
      </c>
      <c r="L14" s="24">
        <v>8</v>
      </c>
      <c r="M14" s="25">
        <v>10</v>
      </c>
      <c r="N14" s="26">
        <v>10</v>
      </c>
      <c r="O14" s="27">
        <v>10</v>
      </c>
      <c r="P14" s="28">
        <v>8</v>
      </c>
      <c r="Q14" s="2">
        <v>10</v>
      </c>
      <c r="R14" s="16">
        <f t="shared" si="0"/>
        <v>9.0714285714285712</v>
      </c>
    </row>
    <row r="15" spans="1:18" ht="15" customHeight="1">
      <c r="A15" s="2" t="s">
        <v>30</v>
      </c>
      <c r="B15" s="17">
        <v>5</v>
      </c>
      <c r="C15" s="4" t="s">
        <v>31</v>
      </c>
      <c r="D15" s="18">
        <v>7</v>
      </c>
      <c r="E15" s="19">
        <v>9</v>
      </c>
      <c r="F15" s="19">
        <v>7</v>
      </c>
      <c r="G15" s="19">
        <v>8</v>
      </c>
      <c r="H15" s="21">
        <v>8</v>
      </c>
      <c r="I15" s="22">
        <v>8</v>
      </c>
      <c r="J15" s="23">
        <v>7</v>
      </c>
      <c r="K15" s="23">
        <v>9</v>
      </c>
      <c r="L15" s="24">
        <v>9</v>
      </c>
      <c r="M15" s="25">
        <v>10</v>
      </c>
      <c r="N15" s="26">
        <v>11</v>
      </c>
      <c r="O15" s="27">
        <v>9</v>
      </c>
      <c r="P15" s="28">
        <v>7</v>
      </c>
      <c r="Q15" s="2">
        <v>9</v>
      </c>
      <c r="R15" s="16">
        <f t="shared" si="0"/>
        <v>8.4285714285714288</v>
      </c>
    </row>
    <row r="16" spans="1:18" ht="15" customHeight="1">
      <c r="A16" s="2" t="s">
        <v>25</v>
      </c>
      <c r="B16" s="17">
        <v>6</v>
      </c>
      <c r="C16" s="4" t="s">
        <v>32</v>
      </c>
      <c r="D16" s="18">
        <v>8</v>
      </c>
      <c r="E16" s="19">
        <v>10</v>
      </c>
      <c r="F16" s="19">
        <v>8</v>
      </c>
      <c r="G16" s="19">
        <v>9</v>
      </c>
      <c r="H16" s="21">
        <v>7</v>
      </c>
      <c r="I16" s="22">
        <v>10</v>
      </c>
      <c r="J16" s="23">
        <v>8</v>
      </c>
      <c r="K16" s="23">
        <v>8</v>
      </c>
      <c r="L16" s="24">
        <v>9</v>
      </c>
      <c r="M16" s="25">
        <v>10</v>
      </c>
      <c r="N16" s="26">
        <v>8</v>
      </c>
      <c r="O16" s="27">
        <v>10</v>
      </c>
      <c r="P16" s="28">
        <v>8</v>
      </c>
      <c r="Q16" s="2">
        <v>10</v>
      </c>
      <c r="R16" s="16">
        <f t="shared" si="0"/>
        <v>8.7857142857142865</v>
      </c>
    </row>
    <row r="17" spans="1:26" ht="15" customHeight="1">
      <c r="A17" s="2" t="s">
        <v>25</v>
      </c>
      <c r="B17" s="17">
        <v>7</v>
      </c>
      <c r="C17" s="4" t="s">
        <v>33</v>
      </c>
      <c r="D17" s="18">
        <v>4</v>
      </c>
      <c r="E17" s="19">
        <v>8</v>
      </c>
      <c r="F17" s="19">
        <v>7</v>
      </c>
      <c r="G17" s="19">
        <v>8</v>
      </c>
      <c r="H17" s="21">
        <v>7</v>
      </c>
      <c r="I17" s="22">
        <v>7</v>
      </c>
      <c r="J17" s="23">
        <v>4</v>
      </c>
      <c r="K17" s="23">
        <v>6</v>
      </c>
      <c r="L17" s="24">
        <v>7</v>
      </c>
      <c r="M17" s="25">
        <v>9</v>
      </c>
      <c r="N17" s="26">
        <v>6</v>
      </c>
      <c r="O17" s="27">
        <v>7</v>
      </c>
      <c r="P17" s="28">
        <v>6</v>
      </c>
      <c r="Q17" s="2">
        <v>8</v>
      </c>
      <c r="R17" s="16">
        <f t="shared" si="0"/>
        <v>6.7142857142857144</v>
      </c>
    </row>
    <row r="18" spans="1:26" ht="15" customHeight="1">
      <c r="A18" s="2" t="s">
        <v>30</v>
      </c>
      <c r="B18" s="17">
        <v>8</v>
      </c>
      <c r="C18" s="4" t="s">
        <v>34</v>
      </c>
      <c r="D18" s="18" t="s">
        <v>35</v>
      </c>
      <c r="E18" s="19">
        <v>6</v>
      </c>
      <c r="F18" s="19">
        <v>6</v>
      </c>
      <c r="G18" s="19">
        <v>4</v>
      </c>
      <c r="H18" s="21">
        <v>5</v>
      </c>
      <c r="I18" s="22">
        <v>4</v>
      </c>
      <c r="J18" s="24" t="s">
        <v>35</v>
      </c>
      <c r="K18" s="24" t="s">
        <v>35</v>
      </c>
      <c r="L18" s="24" t="s">
        <v>35</v>
      </c>
      <c r="M18" s="24" t="s">
        <v>35</v>
      </c>
      <c r="N18" s="26">
        <v>4</v>
      </c>
      <c r="O18" s="27">
        <v>4</v>
      </c>
      <c r="P18" s="28" t="s">
        <v>35</v>
      </c>
      <c r="Q18" s="2" t="s">
        <v>35</v>
      </c>
      <c r="R18" s="16">
        <f t="shared" si="0"/>
        <v>4.7142857142857144</v>
      </c>
    </row>
    <row r="19" spans="1:26" ht="15" customHeight="1">
      <c r="A19" s="2" t="s">
        <v>25</v>
      </c>
      <c r="B19" s="17">
        <v>9</v>
      </c>
      <c r="C19" s="4" t="s">
        <v>36</v>
      </c>
      <c r="D19" s="18">
        <v>7</v>
      </c>
      <c r="E19" s="19">
        <v>7</v>
      </c>
      <c r="F19" s="19">
        <v>7</v>
      </c>
      <c r="G19" s="19">
        <v>7</v>
      </c>
      <c r="H19" s="21">
        <v>5</v>
      </c>
      <c r="I19" s="22">
        <v>7</v>
      </c>
      <c r="J19" s="23">
        <v>7</v>
      </c>
      <c r="K19" s="23">
        <v>4</v>
      </c>
      <c r="L19" s="24">
        <v>7</v>
      </c>
      <c r="M19" s="24">
        <v>5</v>
      </c>
      <c r="N19" s="24" t="s">
        <v>35</v>
      </c>
      <c r="O19" s="27">
        <v>7</v>
      </c>
      <c r="P19" s="28">
        <v>7</v>
      </c>
      <c r="Q19" s="2">
        <v>9</v>
      </c>
      <c r="R19" s="16">
        <f t="shared" si="0"/>
        <v>6.615384615384615</v>
      </c>
    </row>
    <row r="20" spans="1:26" ht="15.75" customHeight="1">
      <c r="A20" s="2" t="s">
        <v>30</v>
      </c>
      <c r="B20" s="17">
        <v>10</v>
      </c>
      <c r="C20" s="4" t="s">
        <v>37</v>
      </c>
      <c r="D20" s="18">
        <v>6</v>
      </c>
      <c r="E20" s="19">
        <v>10</v>
      </c>
      <c r="F20" s="19">
        <v>5</v>
      </c>
      <c r="G20" s="19">
        <v>7</v>
      </c>
      <c r="H20" s="21">
        <v>7</v>
      </c>
      <c r="I20" s="22">
        <v>8</v>
      </c>
      <c r="J20" s="23">
        <v>7</v>
      </c>
      <c r="K20" s="23">
        <v>7</v>
      </c>
      <c r="L20" s="24">
        <v>6</v>
      </c>
      <c r="M20" s="25">
        <v>7</v>
      </c>
      <c r="N20" s="26">
        <v>6</v>
      </c>
      <c r="O20" s="27">
        <v>6</v>
      </c>
      <c r="P20" s="28">
        <v>7</v>
      </c>
      <c r="Q20" s="2">
        <v>8</v>
      </c>
      <c r="R20" s="16">
        <f t="shared" si="0"/>
        <v>6.9285714285714288</v>
      </c>
    </row>
    <row r="21" spans="1:26" ht="15.75" customHeight="1">
      <c r="A21" s="2" t="s">
        <v>25</v>
      </c>
      <c r="B21" s="17">
        <v>11</v>
      </c>
      <c r="C21" s="4" t="s">
        <v>38</v>
      </c>
      <c r="D21" s="18">
        <v>7</v>
      </c>
      <c r="E21" s="19">
        <v>8</v>
      </c>
      <c r="F21" s="19">
        <v>8</v>
      </c>
      <c r="G21" s="19">
        <v>8</v>
      </c>
      <c r="H21" s="21">
        <v>7</v>
      </c>
      <c r="I21" s="22">
        <v>9</v>
      </c>
      <c r="J21" s="23">
        <v>7</v>
      </c>
      <c r="K21" s="23">
        <v>9</v>
      </c>
      <c r="L21" s="24">
        <v>6</v>
      </c>
      <c r="M21" s="25">
        <v>9</v>
      </c>
      <c r="N21" s="26">
        <v>7</v>
      </c>
      <c r="O21" s="27">
        <v>10</v>
      </c>
      <c r="P21" s="28">
        <v>7</v>
      </c>
      <c r="Q21" s="2">
        <v>9</v>
      </c>
      <c r="R21" s="16">
        <f t="shared" si="0"/>
        <v>7.9285714285714288</v>
      </c>
    </row>
    <row r="22" spans="1:26" ht="15.75" customHeight="1">
      <c r="A22" s="2" t="s">
        <v>30</v>
      </c>
      <c r="B22" s="17">
        <v>12</v>
      </c>
      <c r="C22" s="4" t="s">
        <v>39</v>
      </c>
      <c r="D22" s="18">
        <v>8</v>
      </c>
      <c r="E22" s="19">
        <v>10</v>
      </c>
      <c r="F22" s="19">
        <v>7</v>
      </c>
      <c r="G22" s="19">
        <v>10</v>
      </c>
      <c r="H22" s="21">
        <v>8</v>
      </c>
      <c r="I22" s="22">
        <v>8</v>
      </c>
      <c r="J22" s="23">
        <v>8</v>
      </c>
      <c r="K22" s="23">
        <v>10</v>
      </c>
      <c r="L22" s="24">
        <v>8</v>
      </c>
      <c r="M22" s="25">
        <v>10</v>
      </c>
      <c r="N22" s="26">
        <v>9</v>
      </c>
      <c r="O22" s="27">
        <v>9</v>
      </c>
      <c r="P22" s="28">
        <v>10</v>
      </c>
      <c r="Q22" s="2">
        <v>10</v>
      </c>
      <c r="R22" s="16">
        <f t="shared" si="0"/>
        <v>8.9285714285714288</v>
      </c>
    </row>
    <row r="23" spans="1:26" ht="15.75" customHeight="1">
      <c r="A23" s="2" t="s">
        <v>30</v>
      </c>
      <c r="B23" s="17">
        <v>13</v>
      </c>
      <c r="C23" s="4" t="s">
        <v>40</v>
      </c>
      <c r="D23" s="18">
        <v>5</v>
      </c>
      <c r="E23" s="19">
        <v>6</v>
      </c>
      <c r="F23" s="19">
        <v>5</v>
      </c>
      <c r="G23" s="19">
        <v>5</v>
      </c>
      <c r="H23" s="21">
        <v>6</v>
      </c>
      <c r="I23" s="29">
        <v>6</v>
      </c>
      <c r="J23" s="23">
        <v>5</v>
      </c>
      <c r="K23" s="23">
        <v>6</v>
      </c>
      <c r="L23" s="24">
        <v>6</v>
      </c>
      <c r="M23" s="25">
        <v>10</v>
      </c>
      <c r="N23" s="26">
        <v>4</v>
      </c>
      <c r="O23" s="27">
        <v>5</v>
      </c>
      <c r="P23" s="28">
        <v>6</v>
      </c>
      <c r="Q23" s="2">
        <v>7</v>
      </c>
      <c r="R23" s="16">
        <f t="shared" si="0"/>
        <v>5.8571428571428568</v>
      </c>
    </row>
    <row r="24" spans="1:26" ht="15.75" customHeight="1">
      <c r="A24" s="2" t="s">
        <v>25</v>
      </c>
      <c r="B24" s="17">
        <v>14</v>
      </c>
      <c r="C24" s="4" t="s">
        <v>41</v>
      </c>
      <c r="D24" s="18">
        <v>7</v>
      </c>
      <c r="E24" s="19">
        <v>8</v>
      </c>
      <c r="F24" s="19">
        <v>8</v>
      </c>
      <c r="G24" s="19">
        <v>8</v>
      </c>
      <c r="H24" s="21">
        <v>7</v>
      </c>
      <c r="I24" s="29">
        <v>10</v>
      </c>
      <c r="J24" s="23">
        <v>8</v>
      </c>
      <c r="K24" s="23">
        <v>10</v>
      </c>
      <c r="L24" s="24">
        <v>9</v>
      </c>
      <c r="M24" s="25">
        <v>10</v>
      </c>
      <c r="N24" s="26">
        <v>6</v>
      </c>
      <c r="O24" s="27">
        <v>9</v>
      </c>
      <c r="P24" s="28">
        <v>8</v>
      </c>
      <c r="Q24" s="2">
        <v>10</v>
      </c>
      <c r="R24" s="16">
        <f t="shared" si="0"/>
        <v>8.4285714285714288</v>
      </c>
    </row>
    <row r="25" spans="1:26" ht="15.75" customHeight="1">
      <c r="A25" s="2" t="s">
        <v>30</v>
      </c>
      <c r="B25" s="17">
        <v>15</v>
      </c>
      <c r="C25" s="4" t="s">
        <v>42</v>
      </c>
      <c r="D25" s="18">
        <v>7</v>
      </c>
      <c r="E25" s="19">
        <v>9</v>
      </c>
      <c r="F25" s="19">
        <v>8</v>
      </c>
      <c r="G25" s="19">
        <v>7</v>
      </c>
      <c r="H25" s="21">
        <v>6</v>
      </c>
      <c r="I25" s="29">
        <v>7</v>
      </c>
      <c r="J25" s="23">
        <v>6</v>
      </c>
      <c r="K25" s="23">
        <v>6</v>
      </c>
      <c r="L25" s="24">
        <v>8</v>
      </c>
      <c r="M25" s="25">
        <v>9</v>
      </c>
      <c r="N25" s="26">
        <v>9</v>
      </c>
      <c r="O25" s="27">
        <v>8</v>
      </c>
      <c r="P25" s="28">
        <v>8</v>
      </c>
      <c r="Q25" s="2">
        <v>9</v>
      </c>
      <c r="R25" s="16">
        <f t="shared" si="0"/>
        <v>7.6428571428571432</v>
      </c>
    </row>
    <row r="26" spans="1:26" ht="15.75" customHeight="1">
      <c r="A26" s="2" t="s">
        <v>30</v>
      </c>
      <c r="B26" s="17">
        <v>16</v>
      </c>
      <c r="C26" s="4" t="s">
        <v>43</v>
      </c>
      <c r="D26" s="18">
        <v>5</v>
      </c>
      <c r="E26" s="19">
        <v>8</v>
      </c>
      <c r="F26" s="19">
        <v>6</v>
      </c>
      <c r="G26" s="19">
        <v>7</v>
      </c>
      <c r="H26" s="21">
        <v>4</v>
      </c>
      <c r="I26" s="29">
        <v>7</v>
      </c>
      <c r="J26" s="23">
        <v>6</v>
      </c>
      <c r="K26" s="23">
        <v>10</v>
      </c>
      <c r="L26" s="24">
        <v>7</v>
      </c>
      <c r="M26" s="25">
        <v>9</v>
      </c>
      <c r="N26" s="26">
        <v>5</v>
      </c>
      <c r="O26" s="27">
        <v>7</v>
      </c>
      <c r="P26" s="28">
        <v>7</v>
      </c>
      <c r="Q26" s="2">
        <v>8</v>
      </c>
      <c r="R26" s="16">
        <f t="shared" si="0"/>
        <v>6.8571428571428568</v>
      </c>
      <c r="S26" s="30"/>
      <c r="T26" s="30"/>
      <c r="U26" s="30"/>
      <c r="V26" s="30"/>
      <c r="W26" s="30"/>
      <c r="X26" s="30"/>
      <c r="Y26" s="30"/>
      <c r="Z26" s="30"/>
    </row>
    <row r="27" spans="1:26" ht="15.75" customHeight="1">
      <c r="A27" s="2" t="s">
        <v>30</v>
      </c>
      <c r="B27" s="17">
        <v>17</v>
      </c>
      <c r="C27" s="4" t="s">
        <v>44</v>
      </c>
      <c r="D27" s="18">
        <v>6</v>
      </c>
      <c r="E27" s="19">
        <v>8</v>
      </c>
      <c r="F27" s="19">
        <v>6</v>
      </c>
      <c r="G27" s="19">
        <v>6</v>
      </c>
      <c r="H27" s="21">
        <v>7</v>
      </c>
      <c r="I27" s="29">
        <v>7</v>
      </c>
      <c r="J27" s="23">
        <v>7</v>
      </c>
      <c r="K27" s="23">
        <v>10</v>
      </c>
      <c r="L27" s="24">
        <v>5</v>
      </c>
      <c r="M27" s="25">
        <v>10</v>
      </c>
      <c r="N27" s="26">
        <v>8</v>
      </c>
      <c r="O27" s="27">
        <v>8</v>
      </c>
      <c r="P27" s="28">
        <v>7</v>
      </c>
      <c r="Q27" s="2">
        <v>8</v>
      </c>
      <c r="R27" s="16">
        <f t="shared" si="0"/>
        <v>7.3571428571428568</v>
      </c>
      <c r="S27" s="30"/>
      <c r="T27" s="30"/>
      <c r="U27" s="30"/>
      <c r="V27" s="30"/>
      <c r="W27" s="30"/>
      <c r="X27" s="30"/>
      <c r="Y27" s="30"/>
      <c r="Z27" s="30"/>
    </row>
    <row r="28" spans="1:26" ht="15.75" customHeight="1">
      <c r="A28" s="2" t="s">
        <v>30</v>
      </c>
      <c r="B28" s="17">
        <v>18</v>
      </c>
      <c r="C28" s="4" t="s">
        <v>45</v>
      </c>
      <c r="D28" s="18">
        <v>7</v>
      </c>
      <c r="E28" s="19">
        <v>9</v>
      </c>
      <c r="F28" s="19">
        <v>6</v>
      </c>
      <c r="G28" s="19">
        <v>8</v>
      </c>
      <c r="H28" s="21">
        <v>7</v>
      </c>
      <c r="I28" s="29">
        <v>6</v>
      </c>
      <c r="J28" s="23">
        <v>6</v>
      </c>
      <c r="K28" s="23">
        <v>9</v>
      </c>
      <c r="L28" s="24">
        <v>7</v>
      </c>
      <c r="M28" s="25">
        <v>10</v>
      </c>
      <c r="N28" s="26">
        <v>10</v>
      </c>
      <c r="O28" s="27">
        <v>8</v>
      </c>
      <c r="P28" s="28">
        <v>8</v>
      </c>
      <c r="Q28" s="2">
        <v>9</v>
      </c>
      <c r="R28" s="16">
        <f t="shared" si="0"/>
        <v>7.8571428571428568</v>
      </c>
      <c r="S28" s="30"/>
      <c r="T28" s="30"/>
      <c r="U28" s="30"/>
      <c r="V28" s="30"/>
      <c r="W28" s="30"/>
      <c r="X28" s="30"/>
      <c r="Y28" s="30"/>
      <c r="Z28" s="30"/>
    </row>
    <row r="29" spans="1:26" ht="15.75" customHeight="1">
      <c r="A29" s="2" t="s">
        <v>25</v>
      </c>
      <c r="B29" s="17">
        <v>19</v>
      </c>
      <c r="C29" s="4" t="s">
        <v>71</v>
      </c>
      <c r="D29" s="18">
        <v>9</v>
      </c>
      <c r="E29" s="19">
        <v>10</v>
      </c>
      <c r="F29" s="19">
        <v>8</v>
      </c>
      <c r="G29" s="19">
        <v>8</v>
      </c>
      <c r="H29" s="21">
        <v>9</v>
      </c>
      <c r="I29" s="29">
        <v>10</v>
      </c>
      <c r="J29" s="23">
        <v>7</v>
      </c>
      <c r="K29" s="23">
        <v>10</v>
      </c>
      <c r="L29" s="24">
        <v>9</v>
      </c>
      <c r="M29" s="25">
        <v>10</v>
      </c>
      <c r="N29" s="26">
        <v>11</v>
      </c>
      <c r="O29" s="27">
        <v>10</v>
      </c>
      <c r="P29" s="28">
        <v>9</v>
      </c>
      <c r="Q29" s="2">
        <v>10</v>
      </c>
      <c r="R29" s="16">
        <f t="shared" si="0"/>
        <v>9.2857142857142865</v>
      </c>
      <c r="S29" s="30"/>
      <c r="T29" s="30"/>
      <c r="U29" s="30"/>
      <c r="V29" s="30"/>
      <c r="W29" s="30"/>
      <c r="X29" s="30"/>
      <c r="Y29" s="30"/>
      <c r="Z29" s="30"/>
    </row>
    <row r="30" spans="1:26" ht="15.75" customHeight="1">
      <c r="A30" s="2" t="s">
        <v>25</v>
      </c>
      <c r="B30" s="17">
        <v>20</v>
      </c>
      <c r="C30" s="4" t="s">
        <v>46</v>
      </c>
      <c r="D30" s="18">
        <v>10</v>
      </c>
      <c r="E30" s="19">
        <v>10</v>
      </c>
      <c r="F30" s="19">
        <v>7</v>
      </c>
      <c r="G30" s="19">
        <v>9</v>
      </c>
      <c r="H30" s="21">
        <v>9</v>
      </c>
      <c r="I30" s="29">
        <v>11</v>
      </c>
      <c r="J30" s="23">
        <v>9</v>
      </c>
      <c r="K30" s="23">
        <v>10</v>
      </c>
      <c r="L30" s="24">
        <v>9</v>
      </c>
      <c r="M30" s="25">
        <v>10</v>
      </c>
      <c r="N30" s="26">
        <v>10</v>
      </c>
      <c r="O30" s="27">
        <v>9</v>
      </c>
      <c r="P30" s="28">
        <v>10</v>
      </c>
      <c r="Q30" s="2">
        <v>10</v>
      </c>
      <c r="R30" s="16">
        <f t="shared" si="0"/>
        <v>9.5</v>
      </c>
      <c r="S30" s="30"/>
      <c r="T30" s="30"/>
      <c r="U30" s="30"/>
      <c r="V30" s="30"/>
      <c r="W30" s="30"/>
      <c r="X30" s="30"/>
      <c r="Y30" s="30"/>
      <c r="Z30" s="30"/>
    </row>
    <row r="31" spans="1:26" ht="15.75" customHeight="1">
      <c r="A31" s="2" t="s">
        <v>30</v>
      </c>
      <c r="B31" s="17">
        <v>21</v>
      </c>
      <c r="C31" s="4" t="s">
        <v>47</v>
      </c>
      <c r="D31" s="18">
        <v>7</v>
      </c>
      <c r="E31" s="19">
        <v>7</v>
      </c>
      <c r="F31" s="19">
        <v>5</v>
      </c>
      <c r="G31" s="19">
        <v>6</v>
      </c>
      <c r="H31" s="21">
        <v>7</v>
      </c>
      <c r="I31" s="29">
        <v>8</v>
      </c>
      <c r="J31" s="23">
        <v>6</v>
      </c>
      <c r="K31" s="23">
        <v>7</v>
      </c>
      <c r="L31" s="24">
        <v>7</v>
      </c>
      <c r="M31" s="25">
        <v>10</v>
      </c>
      <c r="N31" s="26">
        <v>6</v>
      </c>
      <c r="O31" s="27">
        <v>7</v>
      </c>
      <c r="P31" s="28">
        <v>7</v>
      </c>
      <c r="Q31" s="2">
        <v>9</v>
      </c>
      <c r="R31" s="16">
        <f t="shared" si="0"/>
        <v>7.0714285714285712</v>
      </c>
      <c r="S31" s="30"/>
      <c r="T31" s="30"/>
      <c r="U31" s="30"/>
      <c r="V31" s="30"/>
      <c r="W31" s="30"/>
      <c r="X31" s="30"/>
      <c r="Y31" s="30"/>
      <c r="Z31" s="30"/>
    </row>
    <row r="32" spans="1:26" ht="15.75" customHeight="1">
      <c r="A32" s="2" t="s">
        <v>30</v>
      </c>
      <c r="B32" s="17">
        <v>22</v>
      </c>
      <c r="C32" s="4" t="s">
        <v>48</v>
      </c>
      <c r="D32" s="18">
        <v>7</v>
      </c>
      <c r="E32" s="19">
        <v>8</v>
      </c>
      <c r="F32" s="19">
        <v>5</v>
      </c>
      <c r="G32" s="19">
        <v>7</v>
      </c>
      <c r="H32" s="21">
        <v>7</v>
      </c>
      <c r="I32" s="29">
        <v>8</v>
      </c>
      <c r="J32" s="23">
        <v>7</v>
      </c>
      <c r="K32" s="23">
        <v>9</v>
      </c>
      <c r="L32" s="24">
        <v>8</v>
      </c>
      <c r="M32" s="25">
        <v>8</v>
      </c>
      <c r="N32" s="26">
        <v>10</v>
      </c>
      <c r="O32" s="27">
        <v>8</v>
      </c>
      <c r="P32" s="28">
        <v>7</v>
      </c>
      <c r="Q32" s="2">
        <v>9</v>
      </c>
      <c r="R32" s="16">
        <f t="shared" si="0"/>
        <v>7.7142857142857144</v>
      </c>
      <c r="S32" s="30"/>
      <c r="T32" s="30"/>
      <c r="U32" s="30"/>
      <c r="V32" s="30"/>
      <c r="W32" s="30"/>
      <c r="X32" s="30"/>
      <c r="Y32" s="30"/>
      <c r="Z32" s="30"/>
    </row>
    <row r="33" spans="1:26" ht="15.75" customHeight="1">
      <c r="A33" s="2" t="s">
        <v>25</v>
      </c>
      <c r="B33" s="17">
        <v>23</v>
      </c>
      <c r="C33" s="4" t="s">
        <v>49</v>
      </c>
      <c r="D33" s="18">
        <v>6</v>
      </c>
      <c r="E33" s="19">
        <v>8</v>
      </c>
      <c r="F33" s="19">
        <v>5</v>
      </c>
      <c r="G33" s="19">
        <v>6</v>
      </c>
      <c r="H33" s="21">
        <v>6</v>
      </c>
      <c r="I33" s="29">
        <v>6</v>
      </c>
      <c r="J33" s="23">
        <v>6</v>
      </c>
      <c r="K33" s="23">
        <v>6</v>
      </c>
      <c r="L33" s="24">
        <v>6</v>
      </c>
      <c r="M33" s="25">
        <v>10</v>
      </c>
      <c r="N33" s="26">
        <v>5</v>
      </c>
      <c r="O33" s="27">
        <v>9</v>
      </c>
      <c r="P33" s="28">
        <v>7</v>
      </c>
      <c r="Q33" s="2">
        <v>7</v>
      </c>
      <c r="R33" s="16">
        <f t="shared" si="0"/>
        <v>6.6428571428571432</v>
      </c>
      <c r="S33" s="30"/>
      <c r="T33" s="30"/>
      <c r="U33" s="30"/>
      <c r="V33" s="30"/>
      <c r="W33" s="30"/>
      <c r="X33" s="30"/>
      <c r="Y33" s="30"/>
      <c r="Z33" s="30"/>
    </row>
    <row r="34" spans="1:26" ht="15.75" customHeight="1">
      <c r="A34" s="2" t="s">
        <v>30</v>
      </c>
      <c r="B34" s="17">
        <v>24</v>
      </c>
      <c r="C34" s="4" t="s">
        <v>50</v>
      </c>
      <c r="D34" s="18">
        <v>6</v>
      </c>
      <c r="E34" s="19">
        <v>7</v>
      </c>
      <c r="F34" s="19">
        <v>4</v>
      </c>
      <c r="G34" s="19">
        <v>6</v>
      </c>
      <c r="H34" s="21">
        <v>4</v>
      </c>
      <c r="I34" s="29">
        <v>6</v>
      </c>
      <c r="J34" s="23">
        <v>5</v>
      </c>
      <c r="K34" s="23">
        <v>4</v>
      </c>
      <c r="L34" s="24">
        <v>7</v>
      </c>
      <c r="M34" s="25">
        <v>8</v>
      </c>
      <c r="N34" s="26">
        <v>4</v>
      </c>
      <c r="O34" s="27">
        <v>6</v>
      </c>
      <c r="P34" s="28">
        <v>6</v>
      </c>
      <c r="Q34" s="2">
        <v>8</v>
      </c>
      <c r="R34" s="16">
        <f t="shared" si="0"/>
        <v>5.7857142857142856</v>
      </c>
      <c r="S34" s="30"/>
      <c r="T34" s="30"/>
      <c r="U34" s="30"/>
      <c r="V34" s="30"/>
      <c r="W34" s="30"/>
      <c r="X34" s="30"/>
      <c r="Y34" s="30"/>
      <c r="Z34" s="30"/>
    </row>
    <row r="35" spans="1:26" ht="15.75" customHeight="1">
      <c r="A35" s="2" t="s">
        <v>25</v>
      </c>
      <c r="B35" s="17">
        <v>25</v>
      </c>
      <c r="C35" s="4" t="s">
        <v>51</v>
      </c>
      <c r="D35" s="18">
        <v>4</v>
      </c>
      <c r="E35" s="19">
        <v>10</v>
      </c>
      <c r="F35" s="19">
        <v>4</v>
      </c>
      <c r="G35" s="19">
        <v>6</v>
      </c>
      <c r="H35" s="21">
        <v>7</v>
      </c>
      <c r="I35" s="29">
        <v>6</v>
      </c>
      <c r="J35" s="23">
        <v>5</v>
      </c>
      <c r="K35" s="23">
        <v>5</v>
      </c>
      <c r="L35" s="24">
        <v>7</v>
      </c>
      <c r="M35" s="25">
        <v>10</v>
      </c>
      <c r="N35" s="26">
        <v>4</v>
      </c>
      <c r="O35" s="27">
        <v>6</v>
      </c>
      <c r="P35" s="28">
        <v>6</v>
      </c>
      <c r="Q35" s="2">
        <v>8</v>
      </c>
      <c r="R35" s="16">
        <f t="shared" si="0"/>
        <v>6.2857142857142856</v>
      </c>
      <c r="S35" s="30"/>
      <c r="T35" s="30"/>
      <c r="U35" s="30"/>
      <c r="V35" s="30"/>
      <c r="W35" s="30"/>
      <c r="X35" s="30"/>
      <c r="Y35" s="30"/>
      <c r="Z35" s="30"/>
    </row>
    <row r="36" spans="1:26" ht="15.75" customHeight="1">
      <c r="A36" s="2" t="s">
        <v>25</v>
      </c>
      <c r="B36" s="17">
        <v>26</v>
      </c>
      <c r="C36" s="4" t="s">
        <v>52</v>
      </c>
      <c r="D36" s="18">
        <v>7</v>
      </c>
      <c r="E36" s="19">
        <v>7</v>
      </c>
      <c r="F36" s="19">
        <v>6</v>
      </c>
      <c r="G36" s="19">
        <v>6</v>
      </c>
      <c r="H36" s="21">
        <v>7</v>
      </c>
      <c r="I36" s="29">
        <v>9</v>
      </c>
      <c r="J36" s="23">
        <v>8</v>
      </c>
      <c r="K36" s="23">
        <v>7</v>
      </c>
      <c r="L36" s="24">
        <v>8</v>
      </c>
      <c r="M36" s="25">
        <v>9</v>
      </c>
      <c r="N36" s="26">
        <v>9</v>
      </c>
      <c r="O36" s="27">
        <v>8</v>
      </c>
      <c r="P36" s="28">
        <v>5</v>
      </c>
      <c r="Q36" s="2">
        <v>8</v>
      </c>
      <c r="R36" s="16">
        <f t="shared" si="0"/>
        <v>7.4285714285714288</v>
      </c>
      <c r="S36" s="30"/>
      <c r="T36" s="30"/>
      <c r="U36" s="30"/>
      <c r="V36" s="30"/>
      <c r="W36" s="30"/>
      <c r="X36" s="30"/>
      <c r="Y36" s="30"/>
      <c r="Z36" s="30"/>
    </row>
    <row r="37" spans="1:26" ht="15.75" customHeight="1">
      <c r="A37" s="2" t="s">
        <v>30</v>
      </c>
      <c r="B37" s="17">
        <v>27</v>
      </c>
      <c r="C37" s="4" t="s">
        <v>53</v>
      </c>
      <c r="D37" s="18">
        <v>9</v>
      </c>
      <c r="E37" s="19">
        <v>8</v>
      </c>
      <c r="F37" s="19">
        <v>7</v>
      </c>
      <c r="G37" s="19">
        <v>9</v>
      </c>
      <c r="H37" s="21">
        <v>8</v>
      </c>
      <c r="I37" s="29">
        <v>11</v>
      </c>
      <c r="J37" s="23">
        <v>8</v>
      </c>
      <c r="K37" s="23">
        <v>10</v>
      </c>
      <c r="L37" s="24">
        <v>9</v>
      </c>
      <c r="M37" s="25">
        <v>10</v>
      </c>
      <c r="N37" s="26">
        <v>9</v>
      </c>
      <c r="O37" s="27">
        <v>10</v>
      </c>
      <c r="P37" s="28">
        <v>10</v>
      </c>
      <c r="Q37" s="2">
        <v>9</v>
      </c>
      <c r="R37" s="16">
        <f t="shared" si="0"/>
        <v>9.0714285714285712</v>
      </c>
      <c r="S37" s="30"/>
      <c r="T37" s="30"/>
      <c r="U37" s="30"/>
      <c r="V37" s="30"/>
      <c r="W37" s="30"/>
      <c r="X37" s="30"/>
      <c r="Y37" s="30"/>
      <c r="Z37" s="30"/>
    </row>
    <row r="38" spans="1:26" ht="15.75" customHeight="1">
      <c r="A38" s="1"/>
      <c r="B38" s="1"/>
      <c r="C38" s="31" t="s">
        <v>54</v>
      </c>
      <c r="D38" s="16">
        <f t="shared" ref="D38:Q38" si="1">AVERAGE(D11:D37)</f>
        <v>6.8076923076923075</v>
      </c>
      <c r="E38" s="16">
        <f t="shared" si="1"/>
        <v>8.4074074074074066</v>
      </c>
      <c r="F38" s="16">
        <f t="shared" si="1"/>
        <v>6.5185185185185182</v>
      </c>
      <c r="G38" s="16">
        <f t="shared" si="1"/>
        <v>7.2222222222222223</v>
      </c>
      <c r="H38" s="16">
        <f t="shared" si="1"/>
        <v>6.8518518518518521</v>
      </c>
      <c r="I38" s="16">
        <f t="shared" si="1"/>
        <v>8</v>
      </c>
      <c r="J38" s="16">
        <f t="shared" si="1"/>
        <v>6.7692307692307692</v>
      </c>
      <c r="K38" s="16">
        <f t="shared" si="1"/>
        <v>7.8461538461538458</v>
      </c>
      <c r="L38" s="16">
        <f t="shared" si="1"/>
        <v>7.5769230769230766</v>
      </c>
      <c r="M38" s="32">
        <f t="shared" si="1"/>
        <v>9.3461538461538467</v>
      </c>
      <c r="N38" s="33">
        <f t="shared" si="1"/>
        <v>7.4615384615384617</v>
      </c>
      <c r="O38" s="34">
        <f t="shared" si="1"/>
        <v>7.9629629629629628</v>
      </c>
      <c r="P38" s="35">
        <f t="shared" si="1"/>
        <v>7.4615384615384617</v>
      </c>
      <c r="Q38" s="34">
        <f t="shared" si="1"/>
        <v>8.7692307692307701</v>
      </c>
      <c r="R38" s="16">
        <f t="shared" si="0"/>
        <v>7.6429588929588936</v>
      </c>
    </row>
    <row r="39" spans="1:26" ht="15.75" customHeight="1">
      <c r="A39" s="1"/>
      <c r="B39" s="1"/>
      <c r="C39" s="36" t="s">
        <v>55</v>
      </c>
      <c r="D39" s="37">
        <f>(COUNT(D11:D37))/(COUNT(R11:R37))*100</f>
        <v>96.296296296296291</v>
      </c>
      <c r="E39" s="37">
        <f>(COUNT(E11:E37))/(COUNT(R11:R37))*100</f>
        <v>100</v>
      </c>
      <c r="F39" s="37">
        <f>(COUNT(F11:F37))/(COUNT(R11:R37))*100</f>
        <v>100</v>
      </c>
      <c r="G39" s="37">
        <f>(COUNT(G11:G37))/(COUNT(R11:R37))*100</f>
        <v>100</v>
      </c>
      <c r="H39" s="37">
        <f>(COUNT(H11:H37))/(COUNT(R11:R37))*100</f>
        <v>100</v>
      </c>
      <c r="I39" s="37">
        <f>(COUNT(I11:I37))/(COUNT(R11:R37))*100</f>
        <v>100</v>
      </c>
      <c r="J39" s="37">
        <f>(COUNT(J11:J37))/(COUNT(R11:R37))*100</f>
        <v>96.296296296296291</v>
      </c>
      <c r="K39" s="37">
        <f>(COUNT(K11:K37))/(COUNT(R11:R37))*100</f>
        <v>96.296296296296291</v>
      </c>
      <c r="L39" s="37">
        <f>(COUNT(L11:L37))/(COUNT(R11:R37))*100</f>
        <v>96.296296296296291</v>
      </c>
      <c r="M39" s="37">
        <f>(COUNT(M11:M37))/(COUNT(R11:R37))*100</f>
        <v>96.296296296296291</v>
      </c>
      <c r="N39" s="37">
        <f>(COUNT(N11:N37))/(COUNT(R11:R37))*100</f>
        <v>96.296296296296291</v>
      </c>
      <c r="O39" s="37">
        <f>(COUNT(O11:O37))/(COUNT(R11:R37))*100</f>
        <v>100</v>
      </c>
      <c r="P39" s="37">
        <f>(COUNT(P11:P37))/(COUNT(R11:R37))*100</f>
        <v>96.296296296296291</v>
      </c>
      <c r="Q39" s="37">
        <f>(COUNT(Q11:Q37))/(COUNT(R11:R37))*100</f>
        <v>96.296296296296291</v>
      </c>
      <c r="R39" s="39"/>
    </row>
    <row r="40" spans="1:26" ht="15.75" customHeight="1">
      <c r="A40" s="1"/>
      <c r="B40" s="1"/>
      <c r="C40" s="40" t="s">
        <v>56</v>
      </c>
      <c r="D40" s="38">
        <f>(COUNTIF(D11:D37,"&gt;6"))/(COUNT(R11:R37))*100</f>
        <v>62.962962962962962</v>
      </c>
      <c r="E40" s="38">
        <f>(COUNTIF(E11:E37,"&gt;6"))/(COUNT(R11:R37))*100</f>
        <v>92.592592592592595</v>
      </c>
      <c r="F40" s="38">
        <f>(COUNTIF(F11:F37,"&gt;6"))/(COUNT(R11:R37))*100</f>
        <v>55.555555555555557</v>
      </c>
      <c r="G40" s="38">
        <f>(COUNTIF(G11:G37,"&gt;6"))/(COUNT(R11:R37))*100</f>
        <v>66.666666666666657</v>
      </c>
      <c r="H40" s="38">
        <f>(COUNTIF(H11:H37,"&gt;6"))/(COUNT(R11:R37))*100</f>
        <v>74.074074074074076</v>
      </c>
      <c r="I40" s="38">
        <f>(COUNTIF(I11:I37,"&gt;6"))/(COUNT(R11:R37))*100</f>
        <v>77.777777777777786</v>
      </c>
      <c r="J40" s="38">
        <f>(COUNTIF(J11:J37,"&gt;6"))/(COUNT(R11:R37))*100</f>
        <v>59.259259259259252</v>
      </c>
      <c r="K40" s="38">
        <f>(COUNTIF(K11:K37,"&gt;6"))/(COUNT(R11:R37))*100</f>
        <v>66.666666666666657</v>
      </c>
      <c r="L40" s="38">
        <f>(COUNTIF(L11:L37,"&gt;6"))/(COUNT(R11:R37))*100</f>
        <v>77.777777777777786</v>
      </c>
      <c r="M40" s="38">
        <f>(COUNTIF(M11:M37,"&gt;6"))/(COUNT(R11:R37))*100</f>
        <v>92.592592592592595</v>
      </c>
      <c r="N40" s="38">
        <f>(COUNTIF(N11:N37,"&gt;6"))/(COUNT(R11:R37))*100</f>
        <v>55.555555555555557</v>
      </c>
      <c r="O40" s="38">
        <f>(COUNTIF(O11:O37,"&gt;6"))/(COUNT(R11:R37))*100</f>
        <v>81.481481481481481</v>
      </c>
      <c r="P40" s="38">
        <f>(COUNTIF(P11:P37,"&gt;6"))/(COUNT(R11:R37))*100</f>
        <v>77.777777777777786</v>
      </c>
      <c r="Q40" s="38">
        <f>(COUNTIF(Q11:Q37,"&gt;6"))/(COUNT(R11:R37))*100</f>
        <v>96.296296296296291</v>
      </c>
      <c r="R40" s="39"/>
    </row>
    <row r="41" spans="1:26" ht="15.75" customHeight="1">
      <c r="A41" s="1"/>
      <c r="B41" s="1"/>
      <c r="C41" s="40" t="s">
        <v>57</v>
      </c>
      <c r="D41" s="16">
        <f t="shared" ref="D41:D42" si="2">AVERAGE(D39:Q39)</f>
        <v>97.883597883597886</v>
      </c>
      <c r="E41" s="41"/>
      <c r="F41" s="41"/>
      <c r="G41" s="41"/>
      <c r="H41" s="41"/>
      <c r="I41" s="42"/>
      <c r="J41" s="42"/>
      <c r="K41" s="42"/>
      <c r="L41" s="42"/>
      <c r="M41" s="42"/>
      <c r="N41" s="42"/>
      <c r="O41" s="42"/>
      <c r="P41" s="42"/>
      <c r="Q41" s="42"/>
      <c r="R41" s="43"/>
    </row>
    <row r="42" spans="1:26" ht="15.75" customHeight="1">
      <c r="A42" s="1"/>
      <c r="B42" s="1"/>
      <c r="C42" s="40" t="s">
        <v>58</v>
      </c>
      <c r="D42" s="16">
        <f t="shared" si="2"/>
        <v>74.074074074074062</v>
      </c>
      <c r="E42" s="41"/>
      <c r="F42" s="41"/>
      <c r="G42" s="41"/>
      <c r="H42" s="41"/>
      <c r="I42" s="42"/>
      <c r="J42" s="42"/>
      <c r="K42" s="42"/>
      <c r="L42" s="42"/>
      <c r="M42" s="42"/>
      <c r="N42" s="42"/>
      <c r="O42" s="42"/>
      <c r="P42" s="42"/>
      <c r="Q42" s="42"/>
      <c r="R42" s="43"/>
    </row>
    <row r="43" spans="1:26" ht="15.75" customHeight="1">
      <c r="C43" s="40" t="s">
        <v>59</v>
      </c>
      <c r="D43" s="47">
        <f>COUNTIF(A11:A37,"=Б")</f>
        <v>14</v>
      </c>
    </row>
    <row r="44" spans="1:26" ht="15.75" customHeight="1">
      <c r="A44" s="30"/>
      <c r="B44" s="30"/>
      <c r="C44" s="40" t="s">
        <v>60</v>
      </c>
      <c r="D44" s="47">
        <f>COUNTIF(A11:A37,"=К")</f>
        <v>13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customHeight="1">
      <c r="C45" s="40" t="s">
        <v>61</v>
      </c>
      <c r="D45" s="48">
        <v>2</v>
      </c>
    </row>
    <row r="46" spans="1:26" ht="15.75" customHeight="1">
      <c r="C46" s="40" t="s">
        <v>62</v>
      </c>
      <c r="D46" s="49">
        <f>INT(D43/100*40)</f>
        <v>5</v>
      </c>
    </row>
    <row r="47" spans="1:26" ht="15.75" customHeight="1"/>
    <row r="48" spans="1:26" ht="15.75" customHeight="1">
      <c r="G48" s="30"/>
      <c r="H48" s="30"/>
    </row>
    <row r="49" spans="5:11" ht="15.75" customHeight="1"/>
    <row r="50" spans="5:11" ht="15.75" customHeight="1">
      <c r="E50" s="44"/>
      <c r="F50" s="44"/>
      <c r="G50" s="44"/>
    </row>
    <row r="51" spans="5:11" ht="15.75" customHeight="1">
      <c r="E51" s="45" t="s">
        <v>63</v>
      </c>
      <c r="F51" s="45"/>
      <c r="G51" s="45"/>
      <c r="H51" s="46"/>
      <c r="I51" s="46"/>
      <c r="J51" s="45" t="s">
        <v>64</v>
      </c>
      <c r="K51" s="45"/>
    </row>
    <row r="52" spans="5:11" ht="15.75" customHeight="1"/>
    <row r="53" spans="5:11" ht="15.75" customHeight="1">
      <c r="E53" s="45" t="s">
        <v>65</v>
      </c>
      <c r="F53" s="45"/>
      <c r="G53" s="45"/>
      <c r="H53" s="45"/>
      <c r="I53" s="45"/>
      <c r="J53" s="45" t="s">
        <v>66</v>
      </c>
      <c r="K53" s="45"/>
    </row>
    <row r="54" spans="5:11" ht="15.75" customHeight="1"/>
    <row r="55" spans="5:11" ht="15.75" customHeight="1"/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/>
    <row r="73" spans="1:4" ht="15.75" customHeight="1"/>
    <row r="74" spans="1:4" ht="15.75" customHeight="1"/>
    <row r="75" spans="1:4" ht="15.75" customHeight="1">
      <c r="A75" s="50">
        <f>D43</f>
        <v>14</v>
      </c>
      <c r="B75" s="50">
        <f>D44</f>
        <v>13</v>
      </c>
      <c r="C75" s="51">
        <f>D45</f>
        <v>2</v>
      </c>
      <c r="D75" s="52">
        <f>D46</f>
        <v>5</v>
      </c>
    </row>
    <row r="76" spans="1:4" ht="15.75" customHeight="1">
      <c r="A76" s="50">
        <f>D43</f>
        <v>14</v>
      </c>
      <c r="B76" s="50">
        <f>D44</f>
        <v>13</v>
      </c>
      <c r="C76" s="51">
        <f>D45</f>
        <v>2</v>
      </c>
      <c r="D76" s="52">
        <f>D46</f>
        <v>5</v>
      </c>
    </row>
    <row r="77" spans="1:4" ht="15.75" customHeight="1">
      <c r="A77" s="50">
        <f>D43</f>
        <v>14</v>
      </c>
      <c r="B77" s="50">
        <f>D44</f>
        <v>13</v>
      </c>
      <c r="C77" s="51">
        <f>D45</f>
        <v>2</v>
      </c>
      <c r="D77" s="52">
        <f>D46</f>
        <v>5</v>
      </c>
    </row>
    <row r="78" spans="1:4" ht="15.75" customHeight="1">
      <c r="A78" s="50">
        <f>D43</f>
        <v>14</v>
      </c>
      <c r="B78" s="50">
        <f>D44</f>
        <v>13</v>
      </c>
      <c r="C78" s="51">
        <f>D45</f>
        <v>2</v>
      </c>
      <c r="D78" s="52">
        <f>D46</f>
        <v>5</v>
      </c>
    </row>
    <row r="79" spans="1:4" ht="15.75" customHeight="1">
      <c r="A79" s="50">
        <f>D43</f>
        <v>14</v>
      </c>
      <c r="B79" s="50">
        <f>D44</f>
        <v>13</v>
      </c>
      <c r="C79" s="51">
        <f>D45</f>
        <v>2</v>
      </c>
      <c r="D79" s="52">
        <f>D46</f>
        <v>5</v>
      </c>
    </row>
    <row r="80" spans="1:4" ht="15.75" customHeight="1">
      <c r="A80" s="50">
        <f>D43</f>
        <v>14</v>
      </c>
      <c r="B80" s="50">
        <f>D44</f>
        <v>13</v>
      </c>
      <c r="C80" s="51">
        <f>D45</f>
        <v>2</v>
      </c>
      <c r="D80" s="52">
        <f>D46</f>
        <v>5</v>
      </c>
    </row>
    <row r="81" spans="1:4" ht="15.75" customHeight="1">
      <c r="A81" s="50">
        <f>D43</f>
        <v>14</v>
      </c>
      <c r="B81" s="50">
        <f>D44</f>
        <v>13</v>
      </c>
      <c r="C81" s="51">
        <f>D45</f>
        <v>2</v>
      </c>
      <c r="D81" s="52">
        <f>D46</f>
        <v>5</v>
      </c>
    </row>
    <row r="82" spans="1:4" ht="15.75" customHeight="1">
      <c r="A82" s="50">
        <f>D43</f>
        <v>14</v>
      </c>
      <c r="B82" s="50">
        <f>D44</f>
        <v>13</v>
      </c>
      <c r="C82" s="51">
        <f>D45</f>
        <v>2</v>
      </c>
      <c r="D82" s="52">
        <f>D46</f>
        <v>5</v>
      </c>
    </row>
    <row r="83" spans="1:4" ht="15.75" customHeight="1">
      <c r="A83" s="50">
        <f>D43</f>
        <v>14</v>
      </c>
      <c r="B83" s="50">
        <f>D44</f>
        <v>13</v>
      </c>
      <c r="C83" s="51">
        <f>D45</f>
        <v>2</v>
      </c>
      <c r="D83" s="52">
        <f>D46</f>
        <v>5</v>
      </c>
    </row>
    <row r="84" spans="1:4" ht="15.75" customHeight="1">
      <c r="A84" s="50">
        <f>D43</f>
        <v>14</v>
      </c>
      <c r="B84" s="50">
        <f>D44</f>
        <v>13</v>
      </c>
      <c r="C84" s="51">
        <f>D45</f>
        <v>2</v>
      </c>
      <c r="D84" s="52">
        <f>D46</f>
        <v>5</v>
      </c>
    </row>
    <row r="85" spans="1:4" ht="15.75" customHeight="1">
      <c r="A85" s="50">
        <f>D43</f>
        <v>14</v>
      </c>
      <c r="B85" s="50">
        <f>D44</f>
        <v>13</v>
      </c>
      <c r="C85" s="51">
        <f>D45</f>
        <v>2</v>
      </c>
      <c r="D85" s="52">
        <f>D46</f>
        <v>5</v>
      </c>
    </row>
    <row r="86" spans="1:4" ht="15.75" customHeight="1">
      <c r="A86" s="50">
        <f>D43</f>
        <v>14</v>
      </c>
      <c r="B86" s="50">
        <f>D44</f>
        <v>13</v>
      </c>
      <c r="C86" s="51">
        <f>D45</f>
        <v>2</v>
      </c>
      <c r="D86" s="52">
        <f>D46</f>
        <v>5</v>
      </c>
    </row>
    <row r="87" spans="1:4" ht="15.75" customHeight="1">
      <c r="A87" s="50">
        <f>D43</f>
        <v>14</v>
      </c>
      <c r="B87" s="50">
        <f>D44</f>
        <v>13</v>
      </c>
      <c r="C87" s="51">
        <f>D45</f>
        <v>2</v>
      </c>
      <c r="D87" s="52">
        <f>D46</f>
        <v>5</v>
      </c>
    </row>
    <row r="88" spans="1:4" ht="15.75" customHeight="1">
      <c r="A88" s="50">
        <f>D43</f>
        <v>14</v>
      </c>
      <c r="B88" s="50">
        <f>D44</f>
        <v>13</v>
      </c>
      <c r="C88" s="51">
        <f>D45</f>
        <v>2</v>
      </c>
      <c r="D88" s="52">
        <f>D46</f>
        <v>5</v>
      </c>
    </row>
    <row r="89" spans="1:4" ht="15.75" customHeight="1">
      <c r="A89" s="50">
        <f>D43</f>
        <v>14</v>
      </c>
      <c r="B89" s="50">
        <f>D44</f>
        <v>13</v>
      </c>
      <c r="C89" s="51">
        <f>D45</f>
        <v>2</v>
      </c>
      <c r="D89" s="52">
        <f>D46</f>
        <v>5</v>
      </c>
    </row>
    <row r="90" spans="1:4" ht="15.75" customHeight="1">
      <c r="A90" s="50">
        <f>D43</f>
        <v>14</v>
      </c>
      <c r="B90" s="50">
        <f>D44</f>
        <v>13</v>
      </c>
      <c r="C90" s="51">
        <f>D45</f>
        <v>2</v>
      </c>
      <c r="D90" s="52">
        <f>D46</f>
        <v>5</v>
      </c>
    </row>
    <row r="91" spans="1:4" ht="15.75" customHeight="1">
      <c r="A91" s="50">
        <f>D43</f>
        <v>14</v>
      </c>
      <c r="B91" s="50">
        <f>D44</f>
        <v>13</v>
      </c>
      <c r="C91" s="51">
        <f>D45</f>
        <v>2</v>
      </c>
      <c r="D91" s="52">
        <f>D46</f>
        <v>5</v>
      </c>
    </row>
    <row r="92" spans="1:4" ht="15.75" customHeight="1">
      <c r="A92" s="50">
        <f>D43</f>
        <v>14</v>
      </c>
      <c r="B92" s="50">
        <f>D44</f>
        <v>13</v>
      </c>
      <c r="C92" s="51">
        <f>D45</f>
        <v>2</v>
      </c>
      <c r="D92" s="52">
        <f>D46</f>
        <v>5</v>
      </c>
    </row>
    <row r="93" spans="1:4" ht="15.75" customHeight="1">
      <c r="A93" s="50">
        <f>D43</f>
        <v>14</v>
      </c>
      <c r="B93" s="50">
        <f>D44</f>
        <v>13</v>
      </c>
      <c r="C93" s="51">
        <f>D45</f>
        <v>2</v>
      </c>
      <c r="D93" s="52">
        <f>D46</f>
        <v>5</v>
      </c>
    </row>
    <row r="94" spans="1:4" ht="15.75" customHeight="1">
      <c r="A94" s="50">
        <f>D43</f>
        <v>14</v>
      </c>
      <c r="B94" s="50">
        <f>D44</f>
        <v>13</v>
      </c>
      <c r="C94" s="51">
        <f>D45</f>
        <v>2</v>
      </c>
      <c r="D94" s="52">
        <f>D46</f>
        <v>5</v>
      </c>
    </row>
    <row r="95" spans="1:4" ht="15.75" customHeight="1">
      <c r="A95" s="50">
        <f>D43</f>
        <v>14</v>
      </c>
      <c r="B95" s="50">
        <f>D44</f>
        <v>13</v>
      </c>
      <c r="C95" s="51">
        <f>D45</f>
        <v>2</v>
      </c>
      <c r="D95" s="52">
        <f>D46</f>
        <v>5</v>
      </c>
    </row>
    <row r="96" spans="1:4" ht="15.75" customHeight="1">
      <c r="A96" s="50">
        <f>D43</f>
        <v>14</v>
      </c>
      <c r="B96" s="50">
        <f>D44</f>
        <v>13</v>
      </c>
      <c r="C96" s="51">
        <f>D45</f>
        <v>2</v>
      </c>
      <c r="D96" s="52">
        <f>D46</f>
        <v>5</v>
      </c>
    </row>
    <row r="97" spans="1:4" ht="15.75" customHeight="1">
      <c r="A97" s="50">
        <f>D43</f>
        <v>14</v>
      </c>
      <c r="B97" s="50">
        <f>D44</f>
        <v>13</v>
      </c>
      <c r="C97" s="51">
        <f>D45</f>
        <v>2</v>
      </c>
      <c r="D97" s="52">
        <f>D46</f>
        <v>5</v>
      </c>
    </row>
    <row r="98" spans="1:4" ht="15.75" customHeight="1">
      <c r="A98" s="50">
        <f>D43</f>
        <v>14</v>
      </c>
      <c r="B98" s="50">
        <f>D44</f>
        <v>13</v>
      </c>
      <c r="C98" s="51">
        <f>D45</f>
        <v>2</v>
      </c>
      <c r="D98" s="52">
        <f>D46</f>
        <v>5</v>
      </c>
    </row>
    <row r="99" spans="1:4" ht="15.75" customHeight="1">
      <c r="A99" s="50">
        <f>D43</f>
        <v>14</v>
      </c>
      <c r="B99" s="50">
        <f>D44</f>
        <v>13</v>
      </c>
      <c r="C99" s="51">
        <f>D45</f>
        <v>2</v>
      </c>
      <c r="D99" s="52">
        <f>D46</f>
        <v>5</v>
      </c>
    </row>
    <row r="100" spans="1:4" ht="15.75" customHeight="1">
      <c r="A100" s="50">
        <f>D43</f>
        <v>14</v>
      </c>
      <c r="B100" s="50">
        <f>D44</f>
        <v>13</v>
      </c>
      <c r="C100" s="51">
        <f>D45</f>
        <v>2</v>
      </c>
      <c r="D100" s="52">
        <f>D46</f>
        <v>5</v>
      </c>
    </row>
    <row r="101" spans="1:4" ht="15.75" customHeight="1">
      <c r="A101" s="50">
        <f>D43</f>
        <v>14</v>
      </c>
      <c r="B101" s="50">
        <f>D44</f>
        <v>13</v>
      </c>
      <c r="C101" s="51">
        <f>D45</f>
        <v>2</v>
      </c>
      <c r="D101" s="52">
        <f>D46</f>
        <v>5</v>
      </c>
    </row>
    <row r="102" spans="1:4" ht="15.75" customHeight="1">
      <c r="A102" s="50">
        <f>D43</f>
        <v>14</v>
      </c>
      <c r="B102" s="50">
        <f>D44</f>
        <v>13</v>
      </c>
      <c r="C102" s="51">
        <f>D45</f>
        <v>2</v>
      </c>
      <c r="D102" s="52">
        <f>D46</f>
        <v>5</v>
      </c>
    </row>
    <row r="103" spans="1:4" ht="15.75" customHeight="1">
      <c r="A103" s="50">
        <f>D43</f>
        <v>14</v>
      </c>
      <c r="B103" s="50">
        <f>D44</f>
        <v>13</v>
      </c>
      <c r="C103" s="51">
        <f>D45</f>
        <v>2</v>
      </c>
      <c r="D103" s="52">
        <f>D46</f>
        <v>5</v>
      </c>
    </row>
    <row r="104" spans="1:4" ht="15.75" customHeight="1">
      <c r="A104" s="50">
        <f>D43</f>
        <v>14</v>
      </c>
      <c r="B104" s="50">
        <f>D44</f>
        <v>13</v>
      </c>
      <c r="C104" s="51">
        <f>D45</f>
        <v>2</v>
      </c>
      <c r="D104" s="52">
        <f>D46</f>
        <v>5</v>
      </c>
    </row>
    <row r="105" spans="1:4" ht="15.75" customHeight="1">
      <c r="A105" s="50">
        <f>D43</f>
        <v>14</v>
      </c>
      <c r="B105" s="50">
        <f>D44</f>
        <v>13</v>
      </c>
      <c r="C105" s="51">
        <f>D45</f>
        <v>2</v>
      </c>
      <c r="D105" s="52">
        <f>D46</f>
        <v>5</v>
      </c>
    </row>
    <row r="106" spans="1:4" ht="15.75" customHeight="1">
      <c r="A106" s="50">
        <f>D43</f>
        <v>14</v>
      </c>
      <c r="B106" s="50">
        <f>D44</f>
        <v>13</v>
      </c>
      <c r="C106" s="51">
        <f>D45</f>
        <v>2</v>
      </c>
      <c r="D106" s="52">
        <f>D46</f>
        <v>5</v>
      </c>
    </row>
    <row r="107" spans="1:4" ht="15.75" customHeight="1">
      <c r="A107" s="50">
        <f>D43</f>
        <v>14</v>
      </c>
      <c r="B107" s="50">
        <f>D44</f>
        <v>13</v>
      </c>
      <c r="C107" s="51">
        <f>D45</f>
        <v>2</v>
      </c>
      <c r="D107" s="52">
        <f>D46</f>
        <v>5</v>
      </c>
    </row>
    <row r="108" spans="1:4" ht="15.75" customHeight="1">
      <c r="A108" s="50">
        <f>D43</f>
        <v>14</v>
      </c>
      <c r="B108" s="50">
        <f>D44</f>
        <v>13</v>
      </c>
      <c r="C108" s="51">
        <f>D45</f>
        <v>2</v>
      </c>
      <c r="D108" s="52">
        <f>D46</f>
        <v>5</v>
      </c>
    </row>
    <row r="109" spans="1:4" ht="15.75" customHeight="1">
      <c r="A109" s="50">
        <f>D43</f>
        <v>14</v>
      </c>
      <c r="B109" s="50">
        <f>D44</f>
        <v>13</v>
      </c>
      <c r="C109" s="51">
        <f>D45</f>
        <v>2</v>
      </c>
      <c r="D109" s="52">
        <f>D46</f>
        <v>5</v>
      </c>
    </row>
    <row r="110" spans="1:4" ht="15.75" customHeight="1">
      <c r="A110" s="50">
        <f>D43</f>
        <v>14</v>
      </c>
      <c r="B110" s="50">
        <f>D44</f>
        <v>13</v>
      </c>
      <c r="C110" s="51">
        <f>D45</f>
        <v>2</v>
      </c>
      <c r="D110" s="52">
        <f>D46</f>
        <v>5</v>
      </c>
    </row>
    <row r="111" spans="1:4" ht="15.75" customHeight="1">
      <c r="A111" s="50">
        <f>D43</f>
        <v>14</v>
      </c>
      <c r="B111" s="50">
        <f>D44</f>
        <v>13</v>
      </c>
      <c r="C111" s="51">
        <f>D45</f>
        <v>2</v>
      </c>
      <c r="D111" s="52">
        <f>D46</f>
        <v>5</v>
      </c>
    </row>
    <row r="112" spans="1:4" ht="15.75" customHeight="1">
      <c r="A112" s="50">
        <f>D43</f>
        <v>14</v>
      </c>
      <c r="B112" s="50">
        <f>D44</f>
        <v>13</v>
      </c>
      <c r="C112" s="51">
        <f>D45</f>
        <v>2</v>
      </c>
      <c r="D112" s="52">
        <f>D46</f>
        <v>5</v>
      </c>
    </row>
    <row r="113" spans="1:4" ht="15.75" customHeight="1">
      <c r="A113" s="50">
        <f>D43</f>
        <v>14</v>
      </c>
      <c r="B113" s="50">
        <f>D44</f>
        <v>13</v>
      </c>
      <c r="C113" s="51">
        <f>D45</f>
        <v>2</v>
      </c>
      <c r="D113" s="52">
        <f>D46</f>
        <v>5</v>
      </c>
    </row>
    <row r="114" spans="1:4" ht="15.75" customHeight="1">
      <c r="A114" s="50">
        <f>D43</f>
        <v>14</v>
      </c>
      <c r="B114" s="50">
        <f>D44</f>
        <v>13</v>
      </c>
      <c r="C114" s="51">
        <f>D45</f>
        <v>2</v>
      </c>
      <c r="D114" s="52">
        <f>D46</f>
        <v>5</v>
      </c>
    </row>
    <row r="115" spans="1:4" ht="15.75" customHeight="1">
      <c r="A115" s="50">
        <f>D43</f>
        <v>14</v>
      </c>
      <c r="B115" s="50">
        <f>D44</f>
        <v>13</v>
      </c>
      <c r="C115" s="51">
        <f>D45</f>
        <v>2</v>
      </c>
      <c r="D115" s="52">
        <f>D46</f>
        <v>5</v>
      </c>
    </row>
    <row r="116" spans="1:4" ht="15.75" customHeight="1">
      <c r="A116" s="50">
        <f>D43</f>
        <v>14</v>
      </c>
      <c r="B116" s="50">
        <f>D44</f>
        <v>13</v>
      </c>
      <c r="C116" s="51">
        <f>D45</f>
        <v>2</v>
      </c>
      <c r="D116" s="52">
        <f>D46</f>
        <v>5</v>
      </c>
    </row>
    <row r="117" spans="1:4" ht="15.75" customHeight="1">
      <c r="A117" s="50">
        <f>D43</f>
        <v>14</v>
      </c>
      <c r="B117" s="50">
        <f>D44</f>
        <v>13</v>
      </c>
      <c r="C117" s="51">
        <f>D45</f>
        <v>2</v>
      </c>
      <c r="D117" s="52">
        <f>D46</f>
        <v>5</v>
      </c>
    </row>
    <row r="118" spans="1:4" ht="15.75" customHeight="1">
      <c r="A118" s="50">
        <f>D43</f>
        <v>14</v>
      </c>
      <c r="B118" s="50">
        <f>D44</f>
        <v>13</v>
      </c>
      <c r="C118" s="51">
        <f>D45</f>
        <v>2</v>
      </c>
      <c r="D118" s="52">
        <f>D46</f>
        <v>5</v>
      </c>
    </row>
    <row r="119" spans="1:4" ht="15.75" customHeight="1">
      <c r="A119" s="50">
        <f>D43</f>
        <v>14</v>
      </c>
      <c r="B119" s="50">
        <f>D44</f>
        <v>13</v>
      </c>
      <c r="C119" s="51">
        <f>D45</f>
        <v>2</v>
      </c>
      <c r="D119" s="52">
        <f>D46</f>
        <v>5</v>
      </c>
    </row>
    <row r="120" spans="1:4" ht="15.75" customHeight="1">
      <c r="A120" s="50">
        <f>D43</f>
        <v>14</v>
      </c>
      <c r="B120" s="50">
        <f>D44</f>
        <v>13</v>
      </c>
      <c r="C120" s="51">
        <f>D45</f>
        <v>2</v>
      </c>
      <c r="D120" s="52">
        <f>D46</f>
        <v>5</v>
      </c>
    </row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Q8:Q10"/>
    <mergeCell ref="R8:R10"/>
    <mergeCell ref="J8:J10"/>
    <mergeCell ref="K8:K10"/>
    <mergeCell ref="L8:L10"/>
    <mergeCell ref="M8:M10"/>
    <mergeCell ref="N8:N10"/>
    <mergeCell ref="O8:O10"/>
    <mergeCell ref="P8:P10"/>
    <mergeCell ref="B7:B10"/>
    <mergeCell ref="C7:C10"/>
    <mergeCell ref="A1:O1"/>
    <mergeCell ref="A2:O2"/>
    <mergeCell ref="A3:O3"/>
    <mergeCell ref="A4:O4"/>
    <mergeCell ref="A5:O5"/>
    <mergeCell ref="A6:O6"/>
    <mergeCell ref="D7:R7"/>
    <mergeCell ref="A7:A10"/>
    <mergeCell ref="D8:D10"/>
    <mergeCell ref="E8:E10"/>
    <mergeCell ref="F8:F10"/>
    <mergeCell ref="G8:G10"/>
    <mergeCell ref="H8:H10"/>
    <mergeCell ref="I8:I10"/>
  </mergeCells>
  <pageMargins left="0.7" right="0.7" top="0.75" bottom="0.75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S1000"/>
  <sheetViews>
    <sheetView tabSelected="1" workbookViewId="0">
      <selection activeCell="A24" sqref="A24"/>
    </sheetView>
  </sheetViews>
  <sheetFormatPr defaultColWidth="14.42578125" defaultRowHeight="15" customHeight="1"/>
  <cols>
    <col min="1" max="1" width="4.140625" style="80" customWidth="1"/>
    <col min="2" max="2" width="6.5703125" style="80" customWidth="1"/>
    <col min="3" max="3" width="40.42578125" style="80" customWidth="1"/>
    <col min="4" max="14" width="6.7109375" style="80" customWidth="1"/>
    <col min="15" max="15" width="12.7109375" style="80" customWidth="1"/>
    <col min="16" max="17" width="6.7109375" style="80" customWidth="1"/>
    <col min="18" max="18" width="8.85546875" style="80" customWidth="1"/>
    <col min="19" max="19" width="11.28515625" style="80" customWidth="1"/>
    <col min="20" max="16384" width="14.42578125" style="80"/>
  </cols>
  <sheetData>
    <row r="1" spans="1:19" ht="15" customHeight="1">
      <c r="A1" s="66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  <c r="S1" s="79"/>
    </row>
    <row r="2" spans="1:19" ht="15" customHeight="1">
      <c r="A2" s="66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9"/>
      <c r="Q2" s="79"/>
      <c r="R2" s="79"/>
      <c r="S2" s="79"/>
    </row>
    <row r="3" spans="1:19" ht="15" customHeight="1">
      <c r="A3" s="68" t="s">
        <v>67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  <c r="Q3" s="79"/>
      <c r="R3" s="79"/>
      <c r="S3" s="79"/>
    </row>
    <row r="4" spans="1:19" ht="15" customHeight="1">
      <c r="A4" s="66" t="s">
        <v>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9"/>
      <c r="Q4" s="79"/>
      <c r="R4" s="79"/>
      <c r="S4" s="79"/>
    </row>
    <row r="5" spans="1:19" ht="15" customHeight="1">
      <c r="A5" s="66" t="s">
        <v>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9"/>
      <c r="Q5" s="79"/>
      <c r="R5" s="79"/>
      <c r="S5" s="79"/>
    </row>
    <row r="6" spans="1:19" ht="15" customHeight="1">
      <c r="A6" s="76" t="s">
        <v>5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79"/>
      <c r="Q6" s="79"/>
      <c r="R6" s="79"/>
      <c r="S6" s="79"/>
    </row>
    <row r="7" spans="1:19" ht="15" customHeight="1">
      <c r="A7" s="72" t="s">
        <v>6</v>
      </c>
      <c r="B7" s="62" t="s">
        <v>7</v>
      </c>
      <c r="C7" s="75" t="s">
        <v>8</v>
      </c>
      <c r="D7" s="69" t="s">
        <v>9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3"/>
    </row>
    <row r="8" spans="1:19" ht="15" customHeight="1">
      <c r="A8" s="84"/>
      <c r="B8" s="84"/>
      <c r="C8" s="85"/>
      <c r="D8" s="73" t="s">
        <v>68</v>
      </c>
      <c r="E8" s="73" t="s">
        <v>11</v>
      </c>
      <c r="F8" s="73" t="s">
        <v>12</v>
      </c>
      <c r="G8" s="73" t="s">
        <v>13</v>
      </c>
      <c r="H8" s="73" t="s">
        <v>14</v>
      </c>
      <c r="I8" s="73" t="s">
        <v>15</v>
      </c>
      <c r="J8" s="73" t="s">
        <v>16</v>
      </c>
      <c r="K8" s="73" t="s">
        <v>17</v>
      </c>
      <c r="L8" s="73" t="s">
        <v>18</v>
      </c>
      <c r="M8" s="73" t="s">
        <v>19</v>
      </c>
      <c r="N8" s="73" t="s">
        <v>20</v>
      </c>
      <c r="O8" s="73" t="s">
        <v>21</v>
      </c>
      <c r="P8" s="73" t="s">
        <v>22</v>
      </c>
      <c r="Q8" s="73" t="s">
        <v>23</v>
      </c>
      <c r="R8" s="77" t="s">
        <v>69</v>
      </c>
      <c r="S8" s="74" t="s">
        <v>70</v>
      </c>
    </row>
    <row r="9" spans="1:19" ht="15" customHeight="1">
      <c r="A9" s="84"/>
      <c r="B9" s="84"/>
      <c r="C9" s="85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</row>
    <row r="10" spans="1:19" ht="99.75" customHeight="1">
      <c r="A10" s="86"/>
      <c r="B10" s="86"/>
      <c r="C10" s="87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</row>
    <row r="11" spans="1:19" ht="15.75">
      <c r="A11" s="53" t="s">
        <v>25</v>
      </c>
      <c r="B11" s="53">
        <v>1</v>
      </c>
      <c r="C11" s="54" t="s">
        <v>46</v>
      </c>
      <c r="D11" s="53">
        <v>10</v>
      </c>
      <c r="E11" s="53">
        <v>10</v>
      </c>
      <c r="F11" s="53">
        <v>7</v>
      </c>
      <c r="G11" s="53">
        <v>9</v>
      </c>
      <c r="H11" s="53">
        <v>9</v>
      </c>
      <c r="I11" s="53">
        <v>11</v>
      </c>
      <c r="J11" s="53">
        <v>9</v>
      </c>
      <c r="K11" s="53">
        <v>10</v>
      </c>
      <c r="L11" s="53">
        <v>9</v>
      </c>
      <c r="M11" s="53">
        <v>10</v>
      </c>
      <c r="N11" s="53">
        <v>10</v>
      </c>
      <c r="O11" s="53">
        <v>9</v>
      </c>
      <c r="P11" s="53">
        <v>10</v>
      </c>
      <c r="Q11" s="53">
        <v>10</v>
      </c>
      <c r="R11" s="55">
        <v>9.5</v>
      </c>
      <c r="S11" s="55">
        <f t="shared" ref="S11:S23" si="0">R11*90/12</f>
        <v>71.25</v>
      </c>
    </row>
    <row r="12" spans="1:19" ht="15.75">
      <c r="A12" s="53" t="s">
        <v>25</v>
      </c>
      <c r="B12" s="53">
        <v>2</v>
      </c>
      <c r="C12" s="54" t="s">
        <v>72</v>
      </c>
      <c r="D12" s="53">
        <v>9</v>
      </c>
      <c r="E12" s="53">
        <v>10</v>
      </c>
      <c r="F12" s="53">
        <v>8</v>
      </c>
      <c r="G12" s="53">
        <v>8</v>
      </c>
      <c r="H12" s="53">
        <v>9</v>
      </c>
      <c r="I12" s="53">
        <v>10</v>
      </c>
      <c r="J12" s="53">
        <v>7</v>
      </c>
      <c r="K12" s="53">
        <v>10</v>
      </c>
      <c r="L12" s="53">
        <v>9</v>
      </c>
      <c r="M12" s="53">
        <v>10</v>
      </c>
      <c r="N12" s="53">
        <v>11</v>
      </c>
      <c r="O12" s="53">
        <v>10</v>
      </c>
      <c r="P12" s="53">
        <v>9</v>
      </c>
      <c r="Q12" s="53">
        <v>10</v>
      </c>
      <c r="R12" s="55">
        <v>9.2857142857142865</v>
      </c>
      <c r="S12" s="55">
        <f t="shared" si="0"/>
        <v>69.642857142857153</v>
      </c>
    </row>
    <row r="13" spans="1:19" ht="15.75">
      <c r="A13" s="53" t="s">
        <v>25</v>
      </c>
      <c r="B13" s="53">
        <v>3</v>
      </c>
      <c r="C13" s="54" t="s">
        <v>29</v>
      </c>
      <c r="D13" s="53">
        <v>8</v>
      </c>
      <c r="E13" s="53">
        <v>9</v>
      </c>
      <c r="F13" s="53">
        <v>8</v>
      </c>
      <c r="G13" s="53">
        <v>9</v>
      </c>
      <c r="H13" s="53">
        <v>9</v>
      </c>
      <c r="I13" s="53">
        <v>10</v>
      </c>
      <c r="J13" s="53">
        <v>8</v>
      </c>
      <c r="K13" s="53">
        <v>10</v>
      </c>
      <c r="L13" s="53">
        <v>8</v>
      </c>
      <c r="M13" s="53">
        <v>10</v>
      </c>
      <c r="N13" s="53">
        <v>10</v>
      </c>
      <c r="O13" s="53">
        <v>10</v>
      </c>
      <c r="P13" s="53">
        <v>8</v>
      </c>
      <c r="Q13" s="53">
        <v>10</v>
      </c>
      <c r="R13" s="55">
        <v>9.0714285714285712</v>
      </c>
      <c r="S13" s="55">
        <f t="shared" si="0"/>
        <v>68.035714285714292</v>
      </c>
    </row>
    <row r="14" spans="1:19" ht="15.75">
      <c r="A14" s="53" t="s">
        <v>25</v>
      </c>
      <c r="B14" s="53">
        <v>4</v>
      </c>
      <c r="C14" s="54" t="s">
        <v>32</v>
      </c>
      <c r="D14" s="53">
        <v>8</v>
      </c>
      <c r="E14" s="53">
        <v>10</v>
      </c>
      <c r="F14" s="53">
        <v>8</v>
      </c>
      <c r="G14" s="53">
        <v>9</v>
      </c>
      <c r="H14" s="53">
        <v>7</v>
      </c>
      <c r="I14" s="53">
        <v>10</v>
      </c>
      <c r="J14" s="53">
        <v>8</v>
      </c>
      <c r="K14" s="53">
        <v>8</v>
      </c>
      <c r="L14" s="53">
        <v>9</v>
      </c>
      <c r="M14" s="53">
        <v>10</v>
      </c>
      <c r="N14" s="53">
        <v>8</v>
      </c>
      <c r="O14" s="53">
        <v>10</v>
      </c>
      <c r="P14" s="53">
        <v>8</v>
      </c>
      <c r="Q14" s="53">
        <v>10</v>
      </c>
      <c r="R14" s="55">
        <v>8.7857142857142865</v>
      </c>
      <c r="S14" s="55">
        <f t="shared" si="0"/>
        <v>65.892857142857153</v>
      </c>
    </row>
    <row r="15" spans="1:19" ht="15.75">
      <c r="A15" s="53" t="s">
        <v>25</v>
      </c>
      <c r="B15" s="53">
        <v>5</v>
      </c>
      <c r="C15" s="54" t="s">
        <v>27</v>
      </c>
      <c r="D15" s="53">
        <v>7</v>
      </c>
      <c r="E15" s="53">
        <v>9</v>
      </c>
      <c r="F15" s="53">
        <v>8</v>
      </c>
      <c r="G15" s="53">
        <v>7</v>
      </c>
      <c r="H15" s="53">
        <v>7</v>
      </c>
      <c r="I15" s="53">
        <v>10</v>
      </c>
      <c r="J15" s="53">
        <v>8</v>
      </c>
      <c r="K15" s="53">
        <v>9</v>
      </c>
      <c r="L15" s="53">
        <v>9</v>
      </c>
      <c r="M15" s="53">
        <v>10</v>
      </c>
      <c r="N15" s="53">
        <v>8</v>
      </c>
      <c r="O15" s="53">
        <v>9</v>
      </c>
      <c r="P15" s="53">
        <v>8</v>
      </c>
      <c r="Q15" s="53">
        <v>10</v>
      </c>
      <c r="R15" s="55">
        <v>8.5</v>
      </c>
      <c r="S15" s="55">
        <f t="shared" si="0"/>
        <v>63.75</v>
      </c>
    </row>
    <row r="16" spans="1:19" s="88" customFormat="1" ht="15.75">
      <c r="A16" s="59" t="s">
        <v>25</v>
      </c>
      <c r="B16" s="59">
        <v>6</v>
      </c>
      <c r="C16" s="60" t="s">
        <v>41</v>
      </c>
      <c r="D16" s="59">
        <v>7</v>
      </c>
      <c r="E16" s="59">
        <v>8</v>
      </c>
      <c r="F16" s="59">
        <v>8</v>
      </c>
      <c r="G16" s="59">
        <v>8</v>
      </c>
      <c r="H16" s="59">
        <v>7</v>
      </c>
      <c r="I16" s="59">
        <v>10</v>
      </c>
      <c r="J16" s="59">
        <v>8</v>
      </c>
      <c r="K16" s="59">
        <v>10</v>
      </c>
      <c r="L16" s="59">
        <v>9</v>
      </c>
      <c r="M16" s="59">
        <v>10</v>
      </c>
      <c r="N16" s="59">
        <v>6</v>
      </c>
      <c r="O16" s="59">
        <v>9</v>
      </c>
      <c r="P16" s="59">
        <v>8</v>
      </c>
      <c r="Q16" s="59">
        <v>10</v>
      </c>
      <c r="R16" s="61">
        <v>8.4285714285714288</v>
      </c>
      <c r="S16" s="61">
        <f t="shared" si="0"/>
        <v>63.214285714285715</v>
      </c>
    </row>
    <row r="17" spans="1:19" ht="15.75">
      <c r="A17" s="56" t="s">
        <v>25</v>
      </c>
      <c r="B17" s="56">
        <v>7</v>
      </c>
      <c r="C17" s="57" t="s">
        <v>28</v>
      </c>
      <c r="D17" s="56">
        <v>8</v>
      </c>
      <c r="E17" s="56">
        <v>9</v>
      </c>
      <c r="F17" s="56">
        <v>8</v>
      </c>
      <c r="G17" s="56">
        <v>8</v>
      </c>
      <c r="H17" s="56">
        <v>7</v>
      </c>
      <c r="I17" s="56">
        <v>9</v>
      </c>
      <c r="J17" s="56">
        <v>7</v>
      </c>
      <c r="K17" s="56">
        <v>8</v>
      </c>
      <c r="L17" s="56">
        <v>9</v>
      </c>
      <c r="M17" s="56">
        <v>10</v>
      </c>
      <c r="N17" s="56">
        <v>9</v>
      </c>
      <c r="O17" s="56">
        <v>8</v>
      </c>
      <c r="P17" s="56">
        <v>8</v>
      </c>
      <c r="Q17" s="56">
        <v>9</v>
      </c>
      <c r="R17" s="58">
        <v>8.3571428571428577</v>
      </c>
      <c r="S17" s="58">
        <f t="shared" si="0"/>
        <v>62.678571428571438</v>
      </c>
    </row>
    <row r="18" spans="1:19" ht="15.75">
      <c r="A18" s="56" t="s">
        <v>25</v>
      </c>
      <c r="B18" s="56">
        <v>8</v>
      </c>
      <c r="C18" s="57" t="s">
        <v>38</v>
      </c>
      <c r="D18" s="56">
        <v>7</v>
      </c>
      <c r="E18" s="56">
        <v>8</v>
      </c>
      <c r="F18" s="56">
        <v>8</v>
      </c>
      <c r="G18" s="56">
        <v>8</v>
      </c>
      <c r="H18" s="56">
        <v>7</v>
      </c>
      <c r="I18" s="56">
        <v>9</v>
      </c>
      <c r="J18" s="56">
        <v>7</v>
      </c>
      <c r="K18" s="56">
        <v>9</v>
      </c>
      <c r="L18" s="56">
        <v>6</v>
      </c>
      <c r="M18" s="56">
        <v>9</v>
      </c>
      <c r="N18" s="56">
        <v>7</v>
      </c>
      <c r="O18" s="56">
        <v>10</v>
      </c>
      <c r="P18" s="56">
        <v>7</v>
      </c>
      <c r="Q18" s="56">
        <v>9</v>
      </c>
      <c r="R18" s="58">
        <v>7.9285714285714288</v>
      </c>
      <c r="S18" s="58">
        <f t="shared" si="0"/>
        <v>59.464285714285715</v>
      </c>
    </row>
    <row r="19" spans="1:19" ht="15.75">
      <c r="A19" s="56" t="s">
        <v>25</v>
      </c>
      <c r="B19" s="56">
        <v>9</v>
      </c>
      <c r="C19" s="57" t="s">
        <v>52</v>
      </c>
      <c r="D19" s="56">
        <v>7</v>
      </c>
      <c r="E19" s="56">
        <v>7</v>
      </c>
      <c r="F19" s="56">
        <v>6</v>
      </c>
      <c r="G19" s="56">
        <v>6</v>
      </c>
      <c r="H19" s="56">
        <v>7</v>
      </c>
      <c r="I19" s="56">
        <v>9</v>
      </c>
      <c r="J19" s="56">
        <v>8</v>
      </c>
      <c r="K19" s="56">
        <v>7</v>
      </c>
      <c r="L19" s="56">
        <v>8</v>
      </c>
      <c r="M19" s="56">
        <v>9</v>
      </c>
      <c r="N19" s="56">
        <v>9</v>
      </c>
      <c r="O19" s="56">
        <v>8</v>
      </c>
      <c r="P19" s="56">
        <v>5</v>
      </c>
      <c r="Q19" s="56">
        <v>8</v>
      </c>
      <c r="R19" s="58">
        <v>7.4285714285714288</v>
      </c>
      <c r="S19" s="58">
        <f t="shared" si="0"/>
        <v>55.714285714285715</v>
      </c>
    </row>
    <row r="20" spans="1:19" ht="15.75">
      <c r="A20" s="56" t="s">
        <v>25</v>
      </c>
      <c r="B20" s="56">
        <v>10</v>
      </c>
      <c r="C20" s="57" t="s">
        <v>26</v>
      </c>
      <c r="D20" s="56">
        <v>5</v>
      </c>
      <c r="E20" s="56">
        <v>9</v>
      </c>
      <c r="F20" s="56">
        <v>7</v>
      </c>
      <c r="G20" s="56">
        <v>6</v>
      </c>
      <c r="H20" s="56">
        <v>7</v>
      </c>
      <c r="I20" s="56">
        <v>8</v>
      </c>
      <c r="J20" s="56">
        <v>6</v>
      </c>
      <c r="K20" s="56">
        <v>5</v>
      </c>
      <c r="L20" s="56">
        <v>7</v>
      </c>
      <c r="M20" s="56">
        <v>10</v>
      </c>
      <c r="N20" s="56">
        <v>6</v>
      </c>
      <c r="O20" s="56">
        <v>8</v>
      </c>
      <c r="P20" s="56">
        <v>7</v>
      </c>
      <c r="Q20" s="56">
        <v>7</v>
      </c>
      <c r="R20" s="58">
        <v>7</v>
      </c>
      <c r="S20" s="58">
        <f t="shared" si="0"/>
        <v>52.5</v>
      </c>
    </row>
    <row r="21" spans="1:19" ht="15.75">
      <c r="A21" s="56" t="s">
        <v>25</v>
      </c>
      <c r="B21" s="56">
        <v>11</v>
      </c>
      <c r="C21" s="57" t="s">
        <v>33</v>
      </c>
      <c r="D21" s="56">
        <v>4</v>
      </c>
      <c r="E21" s="56">
        <v>8</v>
      </c>
      <c r="F21" s="56">
        <v>7</v>
      </c>
      <c r="G21" s="56">
        <v>8</v>
      </c>
      <c r="H21" s="56">
        <v>7</v>
      </c>
      <c r="I21" s="56">
        <v>7</v>
      </c>
      <c r="J21" s="56">
        <v>4</v>
      </c>
      <c r="K21" s="56">
        <v>6</v>
      </c>
      <c r="L21" s="56">
        <v>7</v>
      </c>
      <c r="M21" s="56">
        <v>9</v>
      </c>
      <c r="N21" s="56">
        <v>6</v>
      </c>
      <c r="O21" s="56">
        <v>7</v>
      </c>
      <c r="P21" s="56">
        <v>6</v>
      </c>
      <c r="Q21" s="56">
        <v>8</v>
      </c>
      <c r="R21" s="58">
        <v>6.7142857142857144</v>
      </c>
      <c r="S21" s="58">
        <f t="shared" si="0"/>
        <v>50.357142857142861</v>
      </c>
    </row>
    <row r="22" spans="1:19" ht="15.75">
      <c r="A22" s="56" t="s">
        <v>25</v>
      </c>
      <c r="B22" s="56">
        <v>12</v>
      </c>
      <c r="C22" s="57" t="s">
        <v>49</v>
      </c>
      <c r="D22" s="56">
        <v>6</v>
      </c>
      <c r="E22" s="56">
        <v>8</v>
      </c>
      <c r="F22" s="56">
        <v>5</v>
      </c>
      <c r="G22" s="56">
        <v>6</v>
      </c>
      <c r="H22" s="56">
        <v>6</v>
      </c>
      <c r="I22" s="56">
        <v>6</v>
      </c>
      <c r="J22" s="56">
        <v>6</v>
      </c>
      <c r="K22" s="56">
        <v>6</v>
      </c>
      <c r="L22" s="56">
        <v>6</v>
      </c>
      <c r="M22" s="56">
        <v>10</v>
      </c>
      <c r="N22" s="56">
        <v>5</v>
      </c>
      <c r="O22" s="56">
        <v>9</v>
      </c>
      <c r="P22" s="56">
        <v>7</v>
      </c>
      <c r="Q22" s="56">
        <v>7</v>
      </c>
      <c r="R22" s="58">
        <v>6.6428571428571432</v>
      </c>
      <c r="S22" s="58">
        <f t="shared" si="0"/>
        <v>49.821428571428577</v>
      </c>
    </row>
    <row r="23" spans="1:19" ht="15.75">
      <c r="A23" s="56" t="s">
        <v>25</v>
      </c>
      <c r="B23" s="56">
        <v>13</v>
      </c>
      <c r="C23" s="57" t="s">
        <v>51</v>
      </c>
      <c r="D23" s="56">
        <v>4</v>
      </c>
      <c r="E23" s="56">
        <v>10</v>
      </c>
      <c r="F23" s="56">
        <v>4</v>
      </c>
      <c r="G23" s="56">
        <v>6</v>
      </c>
      <c r="H23" s="56">
        <v>7</v>
      </c>
      <c r="I23" s="56">
        <v>6</v>
      </c>
      <c r="J23" s="56">
        <v>5</v>
      </c>
      <c r="K23" s="56">
        <v>5</v>
      </c>
      <c r="L23" s="56">
        <v>7</v>
      </c>
      <c r="M23" s="56">
        <v>10</v>
      </c>
      <c r="N23" s="56">
        <v>4</v>
      </c>
      <c r="O23" s="56">
        <v>6</v>
      </c>
      <c r="P23" s="56">
        <v>6</v>
      </c>
      <c r="Q23" s="56">
        <v>8</v>
      </c>
      <c r="R23" s="58">
        <v>6.2857142857142856</v>
      </c>
      <c r="S23" s="58">
        <f t="shared" si="0"/>
        <v>47.142857142857139</v>
      </c>
    </row>
    <row r="24" spans="1:19" ht="15.75">
      <c r="C24" s="57" t="s">
        <v>59</v>
      </c>
      <c r="D24" s="56">
        <f>'Зведена відомість'!A103</f>
        <v>14</v>
      </c>
    </row>
    <row r="25" spans="1:19" ht="15.75">
      <c r="C25" s="57" t="s">
        <v>60</v>
      </c>
      <c r="D25" s="56">
        <f>'Зведена відомість'!B103</f>
        <v>13</v>
      </c>
    </row>
    <row r="26" spans="1:19" ht="15.75">
      <c r="C26" s="57" t="s">
        <v>61</v>
      </c>
      <c r="D26" s="56">
        <f>'Зведена відомість'!C103</f>
        <v>2</v>
      </c>
      <c r="H26" s="80" t="s">
        <v>63</v>
      </c>
      <c r="O26" s="80" t="s">
        <v>64</v>
      </c>
    </row>
    <row r="27" spans="1:19" ht="15.75">
      <c r="C27" s="57" t="s">
        <v>62</v>
      </c>
      <c r="D27" s="56">
        <f>'Зведена відомість'!D103</f>
        <v>5</v>
      </c>
    </row>
    <row r="28" spans="1:19">
      <c r="H28" s="80" t="s">
        <v>65</v>
      </c>
      <c r="O28" s="80" t="s">
        <v>66</v>
      </c>
    </row>
    <row r="75" spans="1:18" ht="15.75" customHeight="1">
      <c r="R75" s="44"/>
    </row>
    <row r="76" spans="1:18" ht="15.75" customHeight="1">
      <c r="R76" s="44"/>
    </row>
    <row r="77" spans="1:18" ht="15.75" customHeight="1">
      <c r="R77" s="44"/>
    </row>
    <row r="78" spans="1:18" ht="15.75" customHeight="1">
      <c r="R78" s="44"/>
    </row>
    <row r="79" spans="1:18" ht="15.75" customHeight="1">
      <c r="R79" s="44"/>
    </row>
    <row r="80" spans="1:18" ht="15.75" customHeight="1">
      <c r="A80" s="89">
        <f>COUNTIF(A11:A40,"=Б")</f>
        <v>13</v>
      </c>
      <c r="R80" s="44"/>
    </row>
    <row r="81" spans="1:18" ht="15.75" customHeight="1">
      <c r="A81" s="89">
        <f>COUNTIF(A11:A40,"=Б")</f>
        <v>13</v>
      </c>
      <c r="R81" s="44"/>
    </row>
    <row r="82" spans="1:18" ht="15.75" customHeight="1">
      <c r="A82" s="89">
        <f>COUNTIF(A11:A40,"=Б")</f>
        <v>13</v>
      </c>
      <c r="R82" s="44"/>
    </row>
    <row r="83" spans="1:18" ht="15.75" customHeight="1">
      <c r="A83" s="89">
        <f>COUNTIF(A11:A40,"=Б")</f>
        <v>13</v>
      </c>
      <c r="R83" s="44"/>
    </row>
    <row r="84" spans="1:18" ht="15.75" customHeight="1">
      <c r="A84" s="89">
        <f>COUNTIF(A11:A40,"=Б")</f>
        <v>13</v>
      </c>
      <c r="R84" s="44"/>
    </row>
    <row r="85" spans="1:18" ht="15.75" customHeight="1">
      <c r="A85" s="89">
        <f>COUNTIF(A11:A40,"=Б")</f>
        <v>13</v>
      </c>
      <c r="R85" s="44"/>
    </row>
    <row r="86" spans="1:18" ht="15.75" customHeight="1">
      <c r="A86" s="89">
        <f>COUNTIF(A11:A40,"=Б")</f>
        <v>13</v>
      </c>
      <c r="R86" s="44"/>
    </row>
    <row r="87" spans="1:18" ht="15.75" customHeight="1">
      <c r="A87" s="89">
        <f>COUNTIF(A11:A40,"=Б")</f>
        <v>13</v>
      </c>
      <c r="R87" s="44"/>
    </row>
    <row r="88" spans="1:18" ht="15.75" customHeight="1">
      <c r="A88" s="89">
        <f>COUNTIF(A11:A40,"=Б")</f>
        <v>13</v>
      </c>
      <c r="R88" s="44"/>
    </row>
    <row r="89" spans="1:18" ht="15.75" customHeight="1">
      <c r="A89" s="89">
        <f>COUNTIF(A11:A40,"=Б")</f>
        <v>13</v>
      </c>
      <c r="R89" s="44"/>
    </row>
    <row r="90" spans="1:18" ht="15.75" customHeight="1">
      <c r="A90" s="89">
        <f>COUNTIF(A11:A40,"=Б")</f>
        <v>13</v>
      </c>
      <c r="R90" s="44"/>
    </row>
    <row r="91" spans="1:18" ht="15.75" customHeight="1">
      <c r="A91" s="89">
        <f>COUNTIF(A11:A40,"=Б")</f>
        <v>13</v>
      </c>
      <c r="R91" s="44"/>
    </row>
    <row r="92" spans="1:18" ht="15.75" customHeight="1">
      <c r="A92" s="89">
        <f>COUNTIF(A11:A40,"=Б")</f>
        <v>13</v>
      </c>
      <c r="R92" s="44"/>
    </row>
    <row r="93" spans="1:18" ht="15.75" customHeight="1">
      <c r="A93" s="89">
        <f>COUNTIF(A11:A40,"=Б")</f>
        <v>13</v>
      </c>
      <c r="R93" s="44"/>
    </row>
    <row r="94" spans="1:18" ht="15.75" customHeight="1">
      <c r="A94" s="89">
        <f>COUNTIF(A11:A40,"=Б")</f>
        <v>13</v>
      </c>
      <c r="R94" s="44"/>
    </row>
    <row r="95" spans="1:18" ht="15.75" customHeight="1">
      <c r="A95" s="89">
        <f>COUNTIF(A11:A40,"=Б")</f>
        <v>13</v>
      </c>
      <c r="R95" s="44"/>
    </row>
    <row r="96" spans="1:18" ht="15.75" customHeight="1">
      <c r="A96" s="89">
        <f>COUNTIF(A11:A40,"=Б")</f>
        <v>13</v>
      </c>
      <c r="R96" s="44"/>
    </row>
    <row r="97" spans="1:18" ht="15.75" customHeight="1">
      <c r="A97" s="89">
        <f>COUNTIF(A11:A40,"=Б")</f>
        <v>13</v>
      </c>
      <c r="R97" s="44"/>
    </row>
    <row r="98" spans="1:18" ht="15.75" customHeight="1">
      <c r="A98" s="89">
        <f>COUNTIF(A11:A40,"=Б")</f>
        <v>13</v>
      </c>
      <c r="R98" s="44"/>
    </row>
    <row r="99" spans="1:18" ht="15.75" customHeight="1">
      <c r="A99" s="89">
        <f>COUNTIF(A11:A40,"=Б")</f>
        <v>13</v>
      </c>
      <c r="R99" s="44"/>
    </row>
    <row r="100" spans="1:18" ht="15.75" customHeight="1">
      <c r="A100" s="89">
        <f>COUNTIF(A11:A40,"=Б")</f>
        <v>13</v>
      </c>
      <c r="R100" s="44"/>
    </row>
    <row r="101" spans="1:18" ht="15.75" customHeight="1">
      <c r="A101" s="89">
        <f>COUNTIF(A11:A40,"=Б")</f>
        <v>13</v>
      </c>
      <c r="R101" s="44"/>
    </row>
    <row r="102" spans="1:18" ht="15.75" customHeight="1">
      <c r="A102" s="89">
        <f>COUNTIF(A11:A40,"=Б")</f>
        <v>13</v>
      </c>
      <c r="R102" s="44"/>
    </row>
    <row r="103" spans="1:18" ht="15.75" customHeight="1">
      <c r="A103" s="89">
        <f>COUNTIF(A11:A40,"=Б")</f>
        <v>13</v>
      </c>
      <c r="R103" s="44"/>
    </row>
    <row r="104" spans="1:18" ht="15.75" customHeight="1">
      <c r="A104" s="89">
        <f>COUNTIF(A11:A40,"=Б")</f>
        <v>13</v>
      </c>
      <c r="R104" s="44"/>
    </row>
    <row r="105" spans="1:18" ht="15.75" customHeight="1">
      <c r="A105" s="89">
        <f>COUNTIF(A11:A40,"=Б")</f>
        <v>13</v>
      </c>
      <c r="R105" s="44"/>
    </row>
    <row r="106" spans="1:18" ht="15.75" customHeight="1">
      <c r="A106" s="89">
        <f>COUNTIF(A11:A40,"=Б")</f>
        <v>13</v>
      </c>
      <c r="R106" s="44"/>
    </row>
    <row r="107" spans="1:18" ht="15.75" customHeight="1">
      <c r="A107" s="89">
        <f>COUNTIF(A11:A40,"=Б")</f>
        <v>13</v>
      </c>
      <c r="R107" s="44"/>
    </row>
    <row r="108" spans="1:18" ht="15.75" customHeight="1">
      <c r="A108" s="89">
        <f>COUNTIF(A11:A40,"=Б")</f>
        <v>13</v>
      </c>
      <c r="R108" s="44"/>
    </row>
    <row r="109" spans="1:18" ht="15.75" customHeight="1">
      <c r="A109" s="89">
        <f>COUNTIF(A11:A40,"=Б")</f>
        <v>13</v>
      </c>
      <c r="R109" s="44"/>
    </row>
    <row r="110" spans="1:18" ht="15.75" customHeight="1">
      <c r="A110" s="89">
        <f>COUNTIF(A11:A40,"=Б")</f>
        <v>13</v>
      </c>
      <c r="R110" s="44"/>
    </row>
    <row r="111" spans="1:18" ht="15.75" customHeight="1">
      <c r="A111" s="89">
        <f>COUNTIF(A11:A40,"=Б")</f>
        <v>13</v>
      </c>
      <c r="R111" s="44"/>
    </row>
    <row r="112" spans="1:18" ht="15.75" customHeight="1">
      <c r="A112" s="89">
        <f>COUNTIF(A11:A40,"=Б")</f>
        <v>13</v>
      </c>
      <c r="R112" s="44"/>
    </row>
    <row r="113" spans="1:18" ht="15.75" customHeight="1">
      <c r="A113" s="89">
        <f>COUNTIF(A11:A40,"=Б")</f>
        <v>13</v>
      </c>
      <c r="R113" s="44"/>
    </row>
    <row r="114" spans="1:18" ht="15.75" customHeight="1">
      <c r="A114" s="89">
        <f>COUNTIF(A11:A40,"=Б")</f>
        <v>13</v>
      </c>
      <c r="R114" s="44"/>
    </row>
    <row r="115" spans="1:18" ht="15.75" customHeight="1">
      <c r="A115" s="89">
        <f>COUNTIF(A11:A40,"=Б")</f>
        <v>13</v>
      </c>
      <c r="R115" s="44"/>
    </row>
    <row r="116" spans="1:18" ht="15.75" customHeight="1">
      <c r="A116" s="89">
        <f>COUNTIF(A11:A40,"=Б")</f>
        <v>13</v>
      </c>
      <c r="R116" s="44"/>
    </row>
    <row r="117" spans="1:18" ht="15.75" customHeight="1">
      <c r="A117" s="89">
        <f>COUNTIF(A11:A40,"=Б")</f>
        <v>13</v>
      </c>
      <c r="R117" s="44"/>
    </row>
    <row r="118" spans="1:18" ht="15.75" customHeight="1">
      <c r="A118" s="89">
        <f>COUNTIF(A11:A40,"=Б")</f>
        <v>13</v>
      </c>
      <c r="R118" s="44"/>
    </row>
    <row r="119" spans="1:18" ht="15.75" customHeight="1">
      <c r="A119" s="89">
        <f>COUNTIF(A11:A40,"=Б")</f>
        <v>13</v>
      </c>
      <c r="R119" s="44"/>
    </row>
    <row r="120" spans="1:18" ht="15.75" customHeight="1">
      <c r="A120" s="89">
        <f>COUNTIF(A11:A40,"=Б")</f>
        <v>13</v>
      </c>
      <c r="R120" s="44"/>
    </row>
    <row r="121" spans="1:18" ht="15.75" customHeight="1">
      <c r="R121" s="44"/>
    </row>
    <row r="122" spans="1:18" ht="15.75" customHeight="1">
      <c r="R122" s="44"/>
    </row>
    <row r="123" spans="1:18" ht="15.75" customHeight="1">
      <c r="R123" s="44"/>
    </row>
    <row r="124" spans="1:18" ht="15.75" customHeight="1">
      <c r="R124" s="44"/>
    </row>
    <row r="125" spans="1:18" ht="15.75" customHeight="1">
      <c r="R125" s="44"/>
    </row>
    <row r="126" spans="1:18" ht="15.75" customHeight="1">
      <c r="R126" s="44"/>
    </row>
    <row r="127" spans="1:18" ht="15.75" customHeight="1">
      <c r="R127" s="44"/>
    </row>
    <row r="128" spans="1:18" ht="15.75" customHeight="1">
      <c r="R128" s="44"/>
    </row>
    <row r="129" spans="18:18" ht="15.75" customHeight="1">
      <c r="R129" s="44"/>
    </row>
    <row r="130" spans="18:18" ht="15.75" customHeight="1">
      <c r="R130" s="44"/>
    </row>
    <row r="131" spans="18:18" ht="15.75" customHeight="1">
      <c r="R131" s="44"/>
    </row>
    <row r="132" spans="18:18" ht="15.75" customHeight="1">
      <c r="R132" s="44"/>
    </row>
    <row r="133" spans="18:18" ht="15.75" customHeight="1">
      <c r="R133" s="44"/>
    </row>
    <row r="134" spans="18:18" ht="15.75" customHeight="1">
      <c r="R134" s="44"/>
    </row>
    <row r="135" spans="18:18" ht="15.75" customHeight="1">
      <c r="R135" s="44"/>
    </row>
    <row r="136" spans="18:18" ht="15.75" customHeight="1">
      <c r="R136" s="44"/>
    </row>
    <row r="137" spans="18:18" ht="15.75" customHeight="1">
      <c r="R137" s="44"/>
    </row>
    <row r="138" spans="18:18" ht="15.75" customHeight="1">
      <c r="R138" s="44"/>
    </row>
    <row r="139" spans="18:18" ht="15.75" customHeight="1">
      <c r="R139" s="44"/>
    </row>
    <row r="140" spans="18:18" ht="15.75" customHeight="1">
      <c r="R140" s="44"/>
    </row>
    <row r="141" spans="18:18" ht="15.75" customHeight="1">
      <c r="R141" s="44"/>
    </row>
    <row r="142" spans="18:18" ht="15.75" customHeight="1">
      <c r="R142" s="44"/>
    </row>
    <row r="143" spans="18:18" ht="15.75" customHeight="1">
      <c r="R143" s="44"/>
    </row>
    <row r="144" spans="18:18" ht="15.75" customHeight="1">
      <c r="R144" s="44"/>
    </row>
    <row r="145" spans="18:18" ht="15.75" customHeight="1">
      <c r="R145" s="44"/>
    </row>
    <row r="146" spans="18:18" ht="15.75" customHeight="1">
      <c r="R146" s="44"/>
    </row>
    <row r="147" spans="18:18" ht="15.75" customHeight="1">
      <c r="R147" s="44"/>
    </row>
    <row r="148" spans="18:18" ht="15.75" customHeight="1">
      <c r="R148" s="44"/>
    </row>
    <row r="149" spans="18:18" ht="15.75" customHeight="1">
      <c r="R149" s="44"/>
    </row>
    <row r="150" spans="18:18" ht="15.75" customHeight="1">
      <c r="R150" s="44"/>
    </row>
    <row r="151" spans="18:18" ht="15.75" customHeight="1">
      <c r="R151" s="44"/>
    </row>
    <row r="152" spans="18:18" ht="15.75" customHeight="1">
      <c r="R152" s="44"/>
    </row>
    <row r="153" spans="18:18" ht="15.75" customHeight="1">
      <c r="R153" s="44"/>
    </row>
    <row r="154" spans="18:18" ht="15.75" customHeight="1">
      <c r="R154" s="44"/>
    </row>
    <row r="155" spans="18:18" ht="15.75" customHeight="1">
      <c r="R155" s="44"/>
    </row>
    <row r="156" spans="18:18" ht="15.75" customHeight="1">
      <c r="R156" s="44"/>
    </row>
    <row r="157" spans="18:18" ht="15.75" customHeight="1">
      <c r="R157" s="44"/>
    </row>
    <row r="158" spans="18:18" ht="15.75" customHeight="1">
      <c r="R158" s="44"/>
    </row>
    <row r="159" spans="18:18" ht="15.75" customHeight="1">
      <c r="R159" s="44"/>
    </row>
    <row r="160" spans="18:18" ht="15.75" customHeight="1">
      <c r="R160" s="44"/>
    </row>
    <row r="161" spans="18:18" ht="15.75" customHeight="1">
      <c r="R161" s="44"/>
    </row>
    <row r="162" spans="18:18" ht="15.75" customHeight="1">
      <c r="R162" s="44"/>
    </row>
    <row r="163" spans="18:18" ht="15.75" customHeight="1">
      <c r="R163" s="44"/>
    </row>
    <row r="164" spans="18:18" ht="15.75" customHeight="1">
      <c r="R164" s="44"/>
    </row>
    <row r="165" spans="18:18" ht="15.75" customHeight="1">
      <c r="R165" s="44"/>
    </row>
    <row r="166" spans="18:18" ht="15.75" customHeight="1">
      <c r="R166" s="44"/>
    </row>
    <row r="167" spans="18:18" ht="15.75" customHeight="1">
      <c r="R167" s="44"/>
    </row>
    <row r="168" spans="18:18" ht="15.75" customHeight="1">
      <c r="R168" s="44"/>
    </row>
    <row r="169" spans="18:18" ht="15.75" customHeight="1">
      <c r="R169" s="44"/>
    </row>
    <row r="170" spans="18:18" ht="15.75" customHeight="1">
      <c r="R170" s="44"/>
    </row>
    <row r="171" spans="18:18" ht="15.75" customHeight="1">
      <c r="R171" s="44"/>
    </row>
    <row r="172" spans="18:18" ht="15.75" customHeight="1">
      <c r="R172" s="44"/>
    </row>
    <row r="173" spans="18:18" ht="15.75" customHeight="1">
      <c r="R173" s="44"/>
    </row>
    <row r="174" spans="18:18" ht="15.75" customHeight="1">
      <c r="R174" s="44"/>
    </row>
    <row r="175" spans="18:18" ht="15.75" customHeight="1">
      <c r="R175" s="44"/>
    </row>
    <row r="176" spans="18:18" ht="15.75" customHeight="1">
      <c r="R176" s="44"/>
    </row>
    <row r="177" spans="18:18" ht="15.75" customHeight="1">
      <c r="R177" s="44"/>
    </row>
    <row r="178" spans="18:18" ht="15.75" customHeight="1">
      <c r="R178" s="44"/>
    </row>
    <row r="179" spans="18:18" ht="15.75" customHeight="1">
      <c r="R179" s="44"/>
    </row>
    <row r="180" spans="18:18" ht="15.75" customHeight="1">
      <c r="R180" s="44"/>
    </row>
    <row r="181" spans="18:18" ht="15.75" customHeight="1">
      <c r="R181" s="44"/>
    </row>
    <row r="182" spans="18:18" ht="15.75" customHeight="1">
      <c r="R182" s="44"/>
    </row>
    <row r="183" spans="18:18" ht="15.75" customHeight="1">
      <c r="R183" s="44"/>
    </row>
    <row r="184" spans="18:18" ht="15.75" customHeight="1">
      <c r="R184" s="44"/>
    </row>
    <row r="185" spans="18:18" ht="15.75" customHeight="1">
      <c r="R185" s="44"/>
    </row>
    <row r="186" spans="18:18" ht="15.75" customHeight="1">
      <c r="R186" s="44"/>
    </row>
    <row r="187" spans="18:18" ht="15.75" customHeight="1">
      <c r="R187" s="44"/>
    </row>
    <row r="188" spans="18:18" ht="15.75" customHeight="1">
      <c r="R188" s="44"/>
    </row>
    <row r="189" spans="18:18" ht="15.75" customHeight="1">
      <c r="R189" s="44"/>
    </row>
    <row r="190" spans="18:18" ht="15.75" customHeight="1">
      <c r="R190" s="44"/>
    </row>
    <row r="191" spans="18:18" ht="15.75" customHeight="1">
      <c r="R191" s="44"/>
    </row>
    <row r="192" spans="18:18" ht="15.75" customHeight="1">
      <c r="R192" s="44"/>
    </row>
    <row r="193" spans="18:18" ht="15.75" customHeight="1">
      <c r="R193" s="44"/>
    </row>
    <row r="194" spans="18:18" ht="15.75" customHeight="1">
      <c r="R194" s="44"/>
    </row>
    <row r="195" spans="18:18" ht="15.75" customHeight="1">
      <c r="R195" s="44"/>
    </row>
    <row r="196" spans="18:18" ht="15.75" customHeight="1">
      <c r="R196" s="44"/>
    </row>
    <row r="197" spans="18:18" ht="15.75" customHeight="1">
      <c r="R197" s="44"/>
    </row>
    <row r="198" spans="18:18" ht="15.75" customHeight="1">
      <c r="R198" s="44"/>
    </row>
    <row r="199" spans="18:18" ht="15.75" customHeight="1">
      <c r="R199" s="44"/>
    </row>
    <row r="200" spans="18:18" ht="15.75" customHeight="1">
      <c r="R200" s="44"/>
    </row>
    <row r="201" spans="18:18" ht="15.75" customHeight="1">
      <c r="R201" s="44"/>
    </row>
    <row r="202" spans="18:18" ht="15.75" customHeight="1">
      <c r="R202" s="44"/>
    </row>
    <row r="203" spans="18:18" ht="15.75" customHeight="1">
      <c r="R203" s="44"/>
    </row>
    <row r="204" spans="18:18" ht="15.75" customHeight="1">
      <c r="R204" s="44"/>
    </row>
    <row r="205" spans="18:18" ht="15.75" customHeight="1">
      <c r="R205" s="44"/>
    </row>
    <row r="206" spans="18:18" ht="15.75" customHeight="1">
      <c r="R206" s="44"/>
    </row>
    <row r="207" spans="18:18" ht="15.75" customHeight="1">
      <c r="R207" s="44"/>
    </row>
    <row r="208" spans="18:18" ht="15.75" customHeight="1">
      <c r="R208" s="44"/>
    </row>
    <row r="209" spans="18:18" ht="15.75" customHeight="1">
      <c r="R209" s="44"/>
    </row>
    <row r="210" spans="18:18" ht="15.75" customHeight="1">
      <c r="R210" s="44"/>
    </row>
    <row r="211" spans="18:18" ht="15.75" customHeight="1">
      <c r="R211" s="44"/>
    </row>
    <row r="212" spans="18:18" ht="15.75" customHeight="1">
      <c r="R212" s="44"/>
    </row>
    <row r="213" spans="18:18" ht="15.75" customHeight="1">
      <c r="R213" s="44"/>
    </row>
    <row r="214" spans="18:18" ht="15.75" customHeight="1">
      <c r="R214" s="44"/>
    </row>
    <row r="215" spans="18:18" ht="15.75" customHeight="1">
      <c r="R215" s="44"/>
    </row>
    <row r="216" spans="18:18" ht="15.75" customHeight="1">
      <c r="R216" s="44"/>
    </row>
    <row r="217" spans="18:18" ht="15.75" customHeight="1">
      <c r="R217" s="44"/>
    </row>
    <row r="218" spans="18:18" ht="15.75" customHeight="1">
      <c r="R218" s="44"/>
    </row>
    <row r="219" spans="18:18" ht="15.75" customHeight="1">
      <c r="R219" s="44"/>
    </row>
    <row r="220" spans="18:18" ht="15.75" customHeight="1">
      <c r="R220" s="44"/>
    </row>
    <row r="221" spans="18:18" ht="15.75" customHeight="1">
      <c r="R221" s="44"/>
    </row>
    <row r="222" spans="18:18" ht="15.75" customHeight="1">
      <c r="R222" s="44"/>
    </row>
    <row r="223" spans="18:18" ht="15.75" customHeight="1">
      <c r="R223" s="44"/>
    </row>
    <row r="224" spans="18:18" ht="15.75" customHeight="1">
      <c r="R224" s="44"/>
    </row>
    <row r="225" spans="18:18" ht="15.75" customHeight="1">
      <c r="R225" s="44"/>
    </row>
    <row r="226" spans="18:18" ht="15.75" customHeight="1">
      <c r="R226" s="44"/>
    </row>
    <row r="227" spans="18:18" ht="15.75" customHeight="1">
      <c r="R227" s="44"/>
    </row>
    <row r="228" spans="18:18" ht="15.75" customHeight="1">
      <c r="R228" s="44"/>
    </row>
    <row r="229" spans="18:18" ht="15.75" customHeight="1">
      <c r="R229" s="44"/>
    </row>
    <row r="230" spans="18:18" ht="15.75" customHeight="1">
      <c r="R230" s="44"/>
    </row>
    <row r="231" spans="18:18" ht="15.75" customHeight="1">
      <c r="R231" s="44"/>
    </row>
    <row r="232" spans="18:18" ht="15.75" customHeight="1">
      <c r="R232" s="44"/>
    </row>
    <row r="233" spans="18:18" ht="15.75" customHeight="1">
      <c r="R233" s="44"/>
    </row>
    <row r="234" spans="18:18" ht="15.75" customHeight="1">
      <c r="R234" s="44"/>
    </row>
    <row r="235" spans="18:18" ht="15.75" customHeight="1">
      <c r="R235" s="44"/>
    </row>
    <row r="236" spans="18:18" ht="15.75" customHeight="1">
      <c r="R236" s="44"/>
    </row>
    <row r="237" spans="18:18" ht="15.75" customHeight="1">
      <c r="R237" s="44"/>
    </row>
    <row r="238" spans="18:18" ht="15.75" customHeight="1">
      <c r="R238" s="44"/>
    </row>
    <row r="239" spans="18:18" ht="15.75" customHeight="1">
      <c r="R239" s="44"/>
    </row>
    <row r="240" spans="18:18" ht="15.75" customHeight="1">
      <c r="R240" s="44"/>
    </row>
    <row r="241" spans="18:18" ht="15.75" customHeight="1">
      <c r="R241" s="44"/>
    </row>
    <row r="242" spans="18:18" ht="15.75" customHeight="1">
      <c r="R242" s="44"/>
    </row>
    <row r="243" spans="18:18" ht="15.75" customHeight="1">
      <c r="R243" s="44"/>
    </row>
    <row r="244" spans="18:18" ht="15.75" customHeight="1">
      <c r="R244" s="44"/>
    </row>
    <row r="245" spans="18:18" ht="15.75" customHeight="1">
      <c r="R245" s="44"/>
    </row>
    <row r="246" spans="18:18" ht="15.75" customHeight="1">
      <c r="R246" s="44"/>
    </row>
    <row r="247" spans="18:18" ht="15.75" customHeight="1">
      <c r="R247" s="44"/>
    </row>
    <row r="248" spans="18:18" ht="15.75" customHeight="1">
      <c r="R248" s="44"/>
    </row>
    <row r="249" spans="18:18" ht="15.75" customHeight="1">
      <c r="R249" s="44"/>
    </row>
    <row r="250" spans="18:18" ht="15.75" customHeight="1">
      <c r="R250" s="44"/>
    </row>
    <row r="251" spans="18:18" ht="15.75" customHeight="1">
      <c r="R251" s="44"/>
    </row>
    <row r="252" spans="18:18" ht="15.75" customHeight="1">
      <c r="R252" s="44"/>
    </row>
    <row r="253" spans="18:18" ht="15.75" customHeight="1">
      <c r="R253" s="44"/>
    </row>
    <row r="254" spans="18:18" ht="15.75" customHeight="1">
      <c r="R254" s="44"/>
    </row>
    <row r="255" spans="18:18" ht="15.75" customHeight="1">
      <c r="R255" s="44"/>
    </row>
    <row r="256" spans="18:18" ht="15.75" customHeight="1">
      <c r="R256" s="44"/>
    </row>
    <row r="257" spans="18:18" ht="15.75" customHeight="1">
      <c r="R257" s="44"/>
    </row>
    <row r="258" spans="18:18" ht="15.75" customHeight="1">
      <c r="R258" s="44"/>
    </row>
    <row r="259" spans="18:18" ht="15.75" customHeight="1">
      <c r="R259" s="44"/>
    </row>
    <row r="260" spans="18:18" ht="15.75" customHeight="1">
      <c r="R260" s="44"/>
    </row>
    <row r="261" spans="18:18" ht="15.75" customHeight="1">
      <c r="R261" s="44"/>
    </row>
    <row r="262" spans="18:18" ht="15.75" customHeight="1">
      <c r="R262" s="44"/>
    </row>
    <row r="263" spans="18:18" ht="15.75" customHeight="1">
      <c r="R263" s="44"/>
    </row>
    <row r="264" spans="18:18" ht="15.75" customHeight="1">
      <c r="R264" s="44"/>
    </row>
    <row r="265" spans="18:18" ht="15.75" customHeight="1">
      <c r="R265" s="44"/>
    </row>
    <row r="266" spans="18:18" ht="15.75" customHeight="1">
      <c r="R266" s="44"/>
    </row>
    <row r="267" spans="18:18" ht="15.75" customHeight="1">
      <c r="R267" s="44"/>
    </row>
    <row r="268" spans="18:18" ht="15.75" customHeight="1">
      <c r="R268" s="44"/>
    </row>
    <row r="269" spans="18:18" ht="15.75" customHeight="1">
      <c r="R269" s="44"/>
    </row>
    <row r="270" spans="18:18" ht="15.75" customHeight="1">
      <c r="R270" s="44"/>
    </row>
    <row r="271" spans="18:18" ht="15.75" customHeight="1">
      <c r="R271" s="44"/>
    </row>
    <row r="272" spans="18:18" ht="15.75" customHeight="1">
      <c r="R272" s="44"/>
    </row>
    <row r="273" spans="18:18" ht="15.75" customHeight="1">
      <c r="R273" s="44"/>
    </row>
    <row r="274" spans="18:18" ht="15.75" customHeight="1">
      <c r="R274" s="44"/>
    </row>
    <row r="275" spans="18:18" ht="15.75" customHeight="1">
      <c r="R275" s="44"/>
    </row>
    <row r="276" spans="18:18" ht="15.75" customHeight="1">
      <c r="R276" s="44"/>
    </row>
    <row r="277" spans="18:18" ht="15.75" customHeight="1">
      <c r="R277" s="44"/>
    </row>
    <row r="278" spans="18:18" ht="15.75" customHeight="1">
      <c r="R278" s="44"/>
    </row>
    <row r="279" spans="18:18" ht="15.75" customHeight="1">
      <c r="R279" s="44"/>
    </row>
    <row r="280" spans="18:18" ht="15.75" customHeight="1">
      <c r="R280" s="44"/>
    </row>
    <row r="281" spans="18:18" ht="15.75" customHeight="1">
      <c r="R281" s="44"/>
    </row>
    <row r="282" spans="18:18" ht="15.75" customHeight="1">
      <c r="R282" s="44"/>
    </row>
    <row r="283" spans="18:18" ht="15.75" customHeight="1">
      <c r="R283" s="44"/>
    </row>
    <row r="284" spans="18:18" ht="15.75" customHeight="1">
      <c r="R284" s="44"/>
    </row>
    <row r="285" spans="18:18" ht="15.75" customHeight="1">
      <c r="R285" s="44"/>
    </row>
    <row r="286" spans="18:18" ht="15.75" customHeight="1">
      <c r="R286" s="44"/>
    </row>
    <row r="287" spans="18:18" ht="15.75" customHeight="1">
      <c r="R287" s="44"/>
    </row>
    <row r="288" spans="18:18" ht="15.75" customHeight="1">
      <c r="R288" s="44"/>
    </row>
    <row r="289" spans="18:18" ht="15.75" customHeight="1">
      <c r="R289" s="44"/>
    </row>
    <row r="290" spans="18:18" ht="15.75" customHeight="1">
      <c r="R290" s="44"/>
    </row>
    <row r="291" spans="18:18" ht="15.75" customHeight="1">
      <c r="R291" s="44"/>
    </row>
    <row r="292" spans="18:18" ht="15.75" customHeight="1">
      <c r="R292" s="44"/>
    </row>
    <row r="293" spans="18:18" ht="15.75" customHeight="1">
      <c r="R293" s="44"/>
    </row>
    <row r="294" spans="18:18" ht="15.75" customHeight="1">
      <c r="R294" s="44"/>
    </row>
    <row r="295" spans="18:18" ht="15.75" customHeight="1">
      <c r="R295" s="44"/>
    </row>
    <row r="296" spans="18:18" ht="15.75" customHeight="1">
      <c r="R296" s="44"/>
    </row>
    <row r="297" spans="18:18" ht="15.75" customHeight="1">
      <c r="R297" s="44"/>
    </row>
    <row r="298" spans="18:18" ht="15.75" customHeight="1">
      <c r="R298" s="44"/>
    </row>
    <row r="299" spans="18:18" ht="15.75" customHeight="1">
      <c r="R299" s="44"/>
    </row>
    <row r="300" spans="18:18" ht="15.75" customHeight="1">
      <c r="R300" s="44"/>
    </row>
    <row r="301" spans="18:18" ht="15.75" customHeight="1">
      <c r="R301" s="44"/>
    </row>
    <row r="302" spans="18:18" ht="15.75" customHeight="1">
      <c r="R302" s="44"/>
    </row>
    <row r="303" spans="18:18" ht="15.75" customHeight="1">
      <c r="R303" s="44"/>
    </row>
    <row r="304" spans="18:18" ht="15.75" customHeight="1">
      <c r="R304" s="44"/>
    </row>
    <row r="305" spans="18:18" ht="15.75" customHeight="1">
      <c r="R305" s="44"/>
    </row>
    <row r="306" spans="18:18" ht="15.75" customHeight="1">
      <c r="R306" s="44"/>
    </row>
    <row r="307" spans="18:18" ht="15.75" customHeight="1">
      <c r="R307" s="44"/>
    </row>
    <row r="308" spans="18:18" ht="15.75" customHeight="1">
      <c r="R308" s="44"/>
    </row>
    <row r="309" spans="18:18" ht="15.75" customHeight="1">
      <c r="R309" s="44"/>
    </row>
    <row r="310" spans="18:18" ht="15.75" customHeight="1">
      <c r="R310" s="44"/>
    </row>
    <row r="311" spans="18:18" ht="15.75" customHeight="1">
      <c r="R311" s="44"/>
    </row>
    <row r="312" spans="18:18" ht="15.75" customHeight="1">
      <c r="R312" s="44"/>
    </row>
    <row r="313" spans="18:18" ht="15.75" customHeight="1">
      <c r="R313" s="44"/>
    </row>
    <row r="314" spans="18:18" ht="15.75" customHeight="1">
      <c r="R314" s="44"/>
    </row>
    <row r="315" spans="18:18" ht="15.75" customHeight="1">
      <c r="R315" s="44"/>
    </row>
    <row r="316" spans="18:18" ht="15.75" customHeight="1">
      <c r="R316" s="44"/>
    </row>
    <row r="317" spans="18:18" ht="15.75" customHeight="1">
      <c r="R317" s="44"/>
    </row>
    <row r="318" spans="18:18" ht="15.75" customHeight="1">
      <c r="R318" s="44"/>
    </row>
    <row r="319" spans="18:18" ht="15.75" customHeight="1">
      <c r="R319" s="44"/>
    </row>
    <row r="320" spans="18:18" ht="15.75" customHeight="1">
      <c r="R320" s="44"/>
    </row>
    <row r="321" spans="18:18" ht="15.75" customHeight="1">
      <c r="R321" s="44"/>
    </row>
    <row r="322" spans="18:18" ht="15.75" customHeight="1">
      <c r="R322" s="44"/>
    </row>
    <row r="323" spans="18:18" ht="15.75" customHeight="1">
      <c r="R323" s="44"/>
    </row>
    <row r="324" spans="18:18" ht="15.75" customHeight="1">
      <c r="R324" s="44"/>
    </row>
    <row r="325" spans="18:18" ht="15.75" customHeight="1">
      <c r="R325" s="44"/>
    </row>
    <row r="326" spans="18:18" ht="15.75" customHeight="1">
      <c r="R326" s="44"/>
    </row>
    <row r="327" spans="18:18" ht="15.75" customHeight="1">
      <c r="R327" s="44"/>
    </row>
    <row r="328" spans="18:18" ht="15.75" customHeight="1">
      <c r="R328" s="44"/>
    </row>
    <row r="329" spans="18:18" ht="15.75" customHeight="1">
      <c r="R329" s="44"/>
    </row>
    <row r="330" spans="18:18" ht="15.75" customHeight="1">
      <c r="R330" s="44"/>
    </row>
    <row r="331" spans="18:18" ht="15.75" customHeight="1">
      <c r="R331" s="44"/>
    </row>
    <row r="332" spans="18:18" ht="15.75" customHeight="1">
      <c r="R332" s="44"/>
    </row>
    <row r="333" spans="18:18" ht="15.75" customHeight="1">
      <c r="R333" s="44"/>
    </row>
    <row r="334" spans="18:18" ht="15.75" customHeight="1">
      <c r="R334" s="44"/>
    </row>
    <row r="335" spans="18:18" ht="15.75" customHeight="1">
      <c r="R335" s="44"/>
    </row>
    <row r="336" spans="18:18" ht="15.75" customHeight="1">
      <c r="R336" s="44"/>
    </row>
    <row r="337" spans="18:18" ht="15.75" customHeight="1">
      <c r="R337" s="44"/>
    </row>
    <row r="338" spans="18:18" ht="15.75" customHeight="1">
      <c r="R338" s="44"/>
    </row>
    <row r="339" spans="18:18" ht="15.75" customHeight="1">
      <c r="R339" s="44"/>
    </row>
    <row r="340" spans="18:18" ht="15.75" customHeight="1">
      <c r="R340" s="44"/>
    </row>
    <row r="341" spans="18:18" ht="15.75" customHeight="1">
      <c r="R341" s="44"/>
    </row>
    <row r="342" spans="18:18" ht="15.75" customHeight="1">
      <c r="R342" s="44"/>
    </row>
    <row r="343" spans="18:18" ht="15.75" customHeight="1">
      <c r="R343" s="44"/>
    </row>
    <row r="344" spans="18:18" ht="15.75" customHeight="1">
      <c r="R344" s="44"/>
    </row>
    <row r="345" spans="18:18" ht="15.75" customHeight="1">
      <c r="R345" s="44"/>
    </row>
    <row r="346" spans="18:18" ht="15.75" customHeight="1">
      <c r="R346" s="44"/>
    </row>
    <row r="347" spans="18:18" ht="15.75" customHeight="1">
      <c r="R347" s="44"/>
    </row>
    <row r="348" spans="18:18" ht="15.75" customHeight="1">
      <c r="R348" s="44"/>
    </row>
    <row r="349" spans="18:18" ht="15.75" customHeight="1">
      <c r="R349" s="44"/>
    </row>
    <row r="350" spans="18:18" ht="15.75" customHeight="1">
      <c r="R350" s="44"/>
    </row>
    <row r="351" spans="18:18" ht="15.75" customHeight="1">
      <c r="R351" s="44"/>
    </row>
    <row r="352" spans="18:18" ht="15.75" customHeight="1">
      <c r="R352" s="44"/>
    </row>
    <row r="353" spans="18:18" ht="15.75" customHeight="1">
      <c r="R353" s="44"/>
    </row>
    <row r="354" spans="18:18" ht="15.75" customHeight="1">
      <c r="R354" s="44"/>
    </row>
    <row r="355" spans="18:18" ht="15.75" customHeight="1">
      <c r="R355" s="44"/>
    </row>
    <row r="356" spans="18:18" ht="15.75" customHeight="1">
      <c r="R356" s="44"/>
    </row>
    <row r="357" spans="18:18" ht="15.75" customHeight="1">
      <c r="R357" s="44"/>
    </row>
    <row r="358" spans="18:18" ht="15.75" customHeight="1">
      <c r="R358" s="44"/>
    </row>
    <row r="359" spans="18:18" ht="15.75" customHeight="1">
      <c r="R359" s="44"/>
    </row>
    <row r="360" spans="18:18" ht="15.75" customHeight="1">
      <c r="R360" s="44"/>
    </row>
    <row r="361" spans="18:18" ht="15.75" customHeight="1">
      <c r="R361" s="44"/>
    </row>
    <row r="362" spans="18:18" ht="15.75" customHeight="1">
      <c r="R362" s="44"/>
    </row>
    <row r="363" spans="18:18" ht="15.75" customHeight="1">
      <c r="R363" s="44"/>
    </row>
    <row r="364" spans="18:18" ht="15.75" customHeight="1">
      <c r="R364" s="44"/>
    </row>
    <row r="365" spans="18:18" ht="15.75" customHeight="1">
      <c r="R365" s="44"/>
    </row>
    <row r="366" spans="18:18" ht="15.75" customHeight="1">
      <c r="R366" s="44"/>
    </row>
    <row r="367" spans="18:18" ht="15.75" customHeight="1">
      <c r="R367" s="44"/>
    </row>
    <row r="368" spans="18:18" ht="15.75" customHeight="1">
      <c r="R368" s="44"/>
    </row>
    <row r="369" spans="18:18" ht="15.75" customHeight="1">
      <c r="R369" s="44"/>
    </row>
    <row r="370" spans="18:18" ht="15.75" customHeight="1">
      <c r="R370" s="44"/>
    </row>
    <row r="371" spans="18:18" ht="15.75" customHeight="1">
      <c r="R371" s="44"/>
    </row>
    <row r="372" spans="18:18" ht="15.75" customHeight="1">
      <c r="R372" s="44"/>
    </row>
    <row r="373" spans="18:18" ht="15.75" customHeight="1">
      <c r="R373" s="44"/>
    </row>
    <row r="374" spans="18:18" ht="15.75" customHeight="1">
      <c r="R374" s="44"/>
    </row>
    <row r="375" spans="18:18" ht="15.75" customHeight="1">
      <c r="R375" s="44"/>
    </row>
    <row r="376" spans="18:18" ht="15.75" customHeight="1">
      <c r="R376" s="44"/>
    </row>
    <row r="377" spans="18:18" ht="15.75" customHeight="1">
      <c r="R377" s="44"/>
    </row>
    <row r="378" spans="18:18" ht="15.75" customHeight="1">
      <c r="R378" s="44"/>
    </row>
    <row r="379" spans="18:18" ht="15.75" customHeight="1">
      <c r="R379" s="44"/>
    </row>
    <row r="380" spans="18:18" ht="15.75" customHeight="1">
      <c r="R380" s="44"/>
    </row>
    <row r="381" spans="18:18" ht="15.75" customHeight="1">
      <c r="R381" s="44"/>
    </row>
    <row r="382" spans="18:18" ht="15.75" customHeight="1">
      <c r="R382" s="44"/>
    </row>
    <row r="383" spans="18:18" ht="15.75" customHeight="1">
      <c r="R383" s="44"/>
    </row>
    <row r="384" spans="18:18" ht="15.75" customHeight="1">
      <c r="R384" s="44"/>
    </row>
    <row r="385" spans="18:18" ht="15.75" customHeight="1">
      <c r="R385" s="44"/>
    </row>
    <row r="386" spans="18:18" ht="15.75" customHeight="1">
      <c r="R386" s="44"/>
    </row>
    <row r="387" spans="18:18" ht="15.75" customHeight="1">
      <c r="R387" s="44"/>
    </row>
    <row r="388" spans="18:18" ht="15.75" customHeight="1">
      <c r="R388" s="44"/>
    </row>
    <row r="389" spans="18:18" ht="15.75" customHeight="1">
      <c r="R389" s="44"/>
    </row>
    <row r="390" spans="18:18" ht="15.75" customHeight="1">
      <c r="R390" s="44"/>
    </row>
    <row r="391" spans="18:18" ht="15.75" customHeight="1">
      <c r="R391" s="44"/>
    </row>
    <row r="392" spans="18:18" ht="15.75" customHeight="1">
      <c r="R392" s="44"/>
    </row>
    <row r="393" spans="18:18" ht="15.75" customHeight="1">
      <c r="R393" s="44"/>
    </row>
    <row r="394" spans="18:18" ht="15.75" customHeight="1">
      <c r="R394" s="44"/>
    </row>
    <row r="395" spans="18:18" ht="15.75" customHeight="1">
      <c r="R395" s="44"/>
    </row>
    <row r="396" spans="18:18" ht="15.75" customHeight="1">
      <c r="R396" s="44"/>
    </row>
    <row r="397" spans="18:18" ht="15.75" customHeight="1">
      <c r="R397" s="44"/>
    </row>
    <row r="398" spans="18:18" ht="15.75" customHeight="1">
      <c r="R398" s="44"/>
    </row>
    <row r="399" spans="18:18" ht="15.75" customHeight="1">
      <c r="R399" s="44"/>
    </row>
    <row r="400" spans="18:18" ht="15.75" customHeight="1">
      <c r="R400" s="44"/>
    </row>
    <row r="401" spans="18:18" ht="15.75" customHeight="1">
      <c r="R401" s="44"/>
    </row>
    <row r="402" spans="18:18" ht="15.75" customHeight="1">
      <c r="R402" s="44"/>
    </row>
    <row r="403" spans="18:18" ht="15.75" customHeight="1">
      <c r="R403" s="44"/>
    </row>
    <row r="404" spans="18:18" ht="15.75" customHeight="1">
      <c r="R404" s="44"/>
    </row>
    <row r="405" spans="18:18" ht="15.75" customHeight="1">
      <c r="R405" s="44"/>
    </row>
    <row r="406" spans="18:18" ht="15.75" customHeight="1">
      <c r="R406" s="44"/>
    </row>
    <row r="407" spans="18:18" ht="15.75" customHeight="1">
      <c r="R407" s="44"/>
    </row>
    <row r="408" spans="18:18" ht="15.75" customHeight="1">
      <c r="R408" s="44"/>
    </row>
    <row r="409" spans="18:18" ht="15.75" customHeight="1">
      <c r="R409" s="44"/>
    </row>
    <row r="410" spans="18:18" ht="15.75" customHeight="1">
      <c r="R410" s="44"/>
    </row>
    <row r="411" spans="18:18" ht="15.75" customHeight="1">
      <c r="R411" s="44"/>
    </row>
    <row r="412" spans="18:18" ht="15.75" customHeight="1">
      <c r="R412" s="44"/>
    </row>
    <row r="413" spans="18:18" ht="15.75" customHeight="1">
      <c r="R413" s="44"/>
    </row>
    <row r="414" spans="18:18" ht="15.75" customHeight="1">
      <c r="R414" s="44"/>
    </row>
    <row r="415" spans="18:18" ht="15.75" customHeight="1">
      <c r="R415" s="44"/>
    </row>
    <row r="416" spans="18:18" ht="15.75" customHeight="1">
      <c r="R416" s="44"/>
    </row>
    <row r="417" spans="18:18" ht="15.75" customHeight="1">
      <c r="R417" s="44"/>
    </row>
    <row r="418" spans="18:18" ht="15.75" customHeight="1">
      <c r="R418" s="44"/>
    </row>
    <row r="419" spans="18:18" ht="15.75" customHeight="1">
      <c r="R419" s="44"/>
    </row>
    <row r="420" spans="18:18" ht="15.75" customHeight="1">
      <c r="R420" s="44"/>
    </row>
    <row r="421" spans="18:18" ht="15.75" customHeight="1">
      <c r="R421" s="44"/>
    </row>
    <row r="422" spans="18:18" ht="15.75" customHeight="1">
      <c r="R422" s="44"/>
    </row>
    <row r="423" spans="18:18" ht="15.75" customHeight="1">
      <c r="R423" s="44"/>
    </row>
    <row r="424" spans="18:18" ht="15.75" customHeight="1">
      <c r="R424" s="44"/>
    </row>
    <row r="425" spans="18:18" ht="15.75" customHeight="1">
      <c r="R425" s="44"/>
    </row>
    <row r="426" spans="18:18" ht="15.75" customHeight="1">
      <c r="R426" s="44"/>
    </row>
    <row r="427" spans="18:18" ht="15.75" customHeight="1">
      <c r="R427" s="44"/>
    </row>
    <row r="428" spans="18:18" ht="15.75" customHeight="1">
      <c r="R428" s="44"/>
    </row>
    <row r="429" spans="18:18" ht="15.75" customHeight="1">
      <c r="R429" s="44"/>
    </row>
    <row r="430" spans="18:18" ht="15.75" customHeight="1">
      <c r="R430" s="44"/>
    </row>
    <row r="431" spans="18:18" ht="15.75" customHeight="1">
      <c r="R431" s="44"/>
    </row>
    <row r="432" spans="18:18" ht="15.75" customHeight="1">
      <c r="R432" s="44"/>
    </row>
    <row r="433" spans="18:18" ht="15.75" customHeight="1">
      <c r="R433" s="44"/>
    </row>
    <row r="434" spans="18:18" ht="15.75" customHeight="1">
      <c r="R434" s="44"/>
    </row>
    <row r="435" spans="18:18" ht="15.75" customHeight="1">
      <c r="R435" s="44"/>
    </row>
    <row r="436" spans="18:18" ht="15.75" customHeight="1">
      <c r="R436" s="44"/>
    </row>
    <row r="437" spans="18:18" ht="15.75" customHeight="1">
      <c r="R437" s="44"/>
    </row>
    <row r="438" spans="18:18" ht="15.75" customHeight="1">
      <c r="R438" s="44"/>
    </row>
    <row r="439" spans="18:18" ht="15.75" customHeight="1">
      <c r="R439" s="44"/>
    </row>
    <row r="440" spans="18:18" ht="15.75" customHeight="1">
      <c r="R440" s="44"/>
    </row>
    <row r="441" spans="18:18" ht="15.75" customHeight="1">
      <c r="R441" s="44"/>
    </row>
    <row r="442" spans="18:18" ht="15.75" customHeight="1">
      <c r="R442" s="44"/>
    </row>
    <row r="443" spans="18:18" ht="15.75" customHeight="1">
      <c r="R443" s="44"/>
    </row>
    <row r="444" spans="18:18" ht="15.75" customHeight="1">
      <c r="R444" s="44"/>
    </row>
    <row r="445" spans="18:18" ht="15.75" customHeight="1">
      <c r="R445" s="44"/>
    </row>
    <row r="446" spans="18:18" ht="15.75" customHeight="1">
      <c r="R446" s="44"/>
    </row>
    <row r="447" spans="18:18" ht="15.75" customHeight="1">
      <c r="R447" s="44"/>
    </row>
    <row r="448" spans="18:18" ht="15.75" customHeight="1">
      <c r="R448" s="44"/>
    </row>
    <row r="449" spans="18:18" ht="15.75" customHeight="1">
      <c r="R449" s="44"/>
    </row>
    <row r="450" spans="18:18" ht="15.75" customHeight="1">
      <c r="R450" s="44"/>
    </row>
    <row r="451" spans="18:18" ht="15.75" customHeight="1">
      <c r="R451" s="44"/>
    </row>
    <row r="452" spans="18:18" ht="15.75" customHeight="1">
      <c r="R452" s="44"/>
    </row>
    <row r="453" spans="18:18" ht="15.75" customHeight="1">
      <c r="R453" s="44"/>
    </row>
    <row r="454" spans="18:18" ht="15.75" customHeight="1">
      <c r="R454" s="44"/>
    </row>
    <row r="455" spans="18:18" ht="15.75" customHeight="1">
      <c r="R455" s="44"/>
    </row>
    <row r="456" spans="18:18" ht="15.75" customHeight="1">
      <c r="R456" s="44"/>
    </row>
    <row r="457" spans="18:18" ht="15.75" customHeight="1">
      <c r="R457" s="44"/>
    </row>
    <row r="458" spans="18:18" ht="15.75" customHeight="1">
      <c r="R458" s="44"/>
    </row>
    <row r="459" spans="18:18" ht="15.75" customHeight="1">
      <c r="R459" s="44"/>
    </row>
    <row r="460" spans="18:18" ht="15.75" customHeight="1">
      <c r="R460" s="44"/>
    </row>
    <row r="461" spans="18:18" ht="15.75" customHeight="1">
      <c r="R461" s="44"/>
    </row>
    <row r="462" spans="18:18" ht="15.75" customHeight="1">
      <c r="R462" s="44"/>
    </row>
    <row r="463" spans="18:18" ht="15.75" customHeight="1">
      <c r="R463" s="44"/>
    </row>
    <row r="464" spans="18:18" ht="15.75" customHeight="1">
      <c r="R464" s="44"/>
    </row>
    <row r="465" spans="18:18" ht="15.75" customHeight="1">
      <c r="R465" s="44"/>
    </row>
    <row r="466" spans="18:18" ht="15.75" customHeight="1">
      <c r="R466" s="44"/>
    </row>
    <row r="467" spans="18:18" ht="15.75" customHeight="1">
      <c r="R467" s="44"/>
    </row>
    <row r="468" spans="18:18" ht="15.75" customHeight="1">
      <c r="R468" s="44"/>
    </row>
    <row r="469" spans="18:18" ht="15.75" customHeight="1">
      <c r="R469" s="44"/>
    </row>
    <row r="470" spans="18:18" ht="15.75" customHeight="1">
      <c r="R470" s="44"/>
    </row>
    <row r="471" spans="18:18" ht="15.75" customHeight="1">
      <c r="R471" s="44"/>
    </row>
    <row r="472" spans="18:18" ht="15.75" customHeight="1">
      <c r="R472" s="44"/>
    </row>
    <row r="473" spans="18:18" ht="15.75" customHeight="1">
      <c r="R473" s="44"/>
    </row>
    <row r="474" spans="18:18" ht="15.75" customHeight="1">
      <c r="R474" s="44"/>
    </row>
    <row r="475" spans="18:18" ht="15.75" customHeight="1">
      <c r="R475" s="44"/>
    </row>
    <row r="476" spans="18:18" ht="15.75" customHeight="1">
      <c r="R476" s="44"/>
    </row>
    <row r="477" spans="18:18" ht="15.75" customHeight="1">
      <c r="R477" s="44"/>
    </row>
    <row r="478" spans="18:18" ht="15.75" customHeight="1">
      <c r="R478" s="44"/>
    </row>
    <row r="479" spans="18:18" ht="15.75" customHeight="1">
      <c r="R479" s="44"/>
    </row>
    <row r="480" spans="18:18" ht="15.75" customHeight="1">
      <c r="R480" s="44"/>
    </row>
    <row r="481" spans="18:18" ht="15.75" customHeight="1">
      <c r="R481" s="44"/>
    </row>
    <row r="482" spans="18:18" ht="15.75" customHeight="1">
      <c r="R482" s="44"/>
    </row>
    <row r="483" spans="18:18" ht="15.75" customHeight="1">
      <c r="R483" s="44"/>
    </row>
    <row r="484" spans="18:18" ht="15.75" customHeight="1">
      <c r="R484" s="44"/>
    </row>
    <row r="485" spans="18:18" ht="15.75" customHeight="1">
      <c r="R485" s="44"/>
    </row>
    <row r="486" spans="18:18" ht="15.75" customHeight="1">
      <c r="R486" s="44"/>
    </row>
    <row r="487" spans="18:18" ht="15.75" customHeight="1">
      <c r="R487" s="44"/>
    </row>
    <row r="488" spans="18:18" ht="15.75" customHeight="1">
      <c r="R488" s="44"/>
    </row>
    <row r="489" spans="18:18" ht="15.75" customHeight="1">
      <c r="R489" s="44"/>
    </row>
    <row r="490" spans="18:18" ht="15.75" customHeight="1">
      <c r="R490" s="44"/>
    </row>
    <row r="491" spans="18:18" ht="15.75" customHeight="1">
      <c r="R491" s="44"/>
    </row>
    <row r="492" spans="18:18" ht="15.75" customHeight="1">
      <c r="R492" s="44"/>
    </row>
    <row r="493" spans="18:18" ht="15.75" customHeight="1">
      <c r="R493" s="44"/>
    </row>
    <row r="494" spans="18:18" ht="15.75" customHeight="1">
      <c r="R494" s="44"/>
    </row>
    <row r="495" spans="18:18" ht="15.75" customHeight="1">
      <c r="R495" s="44"/>
    </row>
    <row r="496" spans="18:18" ht="15.75" customHeight="1">
      <c r="R496" s="44"/>
    </row>
    <row r="497" spans="18:18" ht="15.75" customHeight="1">
      <c r="R497" s="44"/>
    </row>
    <row r="498" spans="18:18" ht="15.75" customHeight="1">
      <c r="R498" s="44"/>
    </row>
    <row r="499" spans="18:18" ht="15.75" customHeight="1">
      <c r="R499" s="44"/>
    </row>
    <row r="500" spans="18:18" ht="15.75" customHeight="1">
      <c r="R500" s="44"/>
    </row>
    <row r="501" spans="18:18" ht="15.75" customHeight="1">
      <c r="R501" s="44"/>
    </row>
    <row r="502" spans="18:18" ht="15.75" customHeight="1">
      <c r="R502" s="44"/>
    </row>
    <row r="503" spans="18:18" ht="15.75" customHeight="1">
      <c r="R503" s="44"/>
    </row>
    <row r="504" spans="18:18" ht="15.75" customHeight="1">
      <c r="R504" s="44"/>
    </row>
    <row r="505" spans="18:18" ht="15.75" customHeight="1">
      <c r="R505" s="44"/>
    </row>
    <row r="506" spans="18:18" ht="15.75" customHeight="1">
      <c r="R506" s="44"/>
    </row>
    <row r="507" spans="18:18" ht="15.75" customHeight="1">
      <c r="R507" s="44"/>
    </row>
    <row r="508" spans="18:18" ht="15.75" customHeight="1">
      <c r="R508" s="44"/>
    </row>
    <row r="509" spans="18:18" ht="15.75" customHeight="1">
      <c r="R509" s="44"/>
    </row>
    <row r="510" spans="18:18" ht="15.75" customHeight="1">
      <c r="R510" s="44"/>
    </row>
    <row r="511" spans="18:18" ht="15.75" customHeight="1">
      <c r="R511" s="44"/>
    </row>
    <row r="512" spans="18:18" ht="15.75" customHeight="1">
      <c r="R512" s="44"/>
    </row>
    <row r="513" spans="18:18" ht="15.75" customHeight="1">
      <c r="R513" s="44"/>
    </row>
    <row r="514" spans="18:18" ht="15.75" customHeight="1">
      <c r="R514" s="44"/>
    </row>
    <row r="515" spans="18:18" ht="15.75" customHeight="1">
      <c r="R515" s="44"/>
    </row>
    <row r="516" spans="18:18" ht="15.75" customHeight="1">
      <c r="R516" s="44"/>
    </row>
    <row r="517" spans="18:18" ht="15.75" customHeight="1">
      <c r="R517" s="44"/>
    </row>
    <row r="518" spans="18:18" ht="15.75" customHeight="1">
      <c r="R518" s="44"/>
    </row>
    <row r="519" spans="18:18" ht="15.75" customHeight="1">
      <c r="R519" s="44"/>
    </row>
    <row r="520" spans="18:18" ht="15.75" customHeight="1">
      <c r="R520" s="44"/>
    </row>
    <row r="521" spans="18:18" ht="15.75" customHeight="1">
      <c r="R521" s="44"/>
    </row>
    <row r="522" spans="18:18" ht="15.75" customHeight="1">
      <c r="R522" s="44"/>
    </row>
    <row r="523" spans="18:18" ht="15.75" customHeight="1">
      <c r="R523" s="44"/>
    </row>
    <row r="524" spans="18:18" ht="15.75" customHeight="1">
      <c r="R524" s="44"/>
    </row>
    <row r="525" spans="18:18" ht="15.75" customHeight="1">
      <c r="R525" s="44"/>
    </row>
    <row r="526" spans="18:18" ht="15.75" customHeight="1">
      <c r="R526" s="44"/>
    </row>
    <row r="527" spans="18:18" ht="15.75" customHeight="1">
      <c r="R527" s="44"/>
    </row>
    <row r="528" spans="18:18" ht="15.75" customHeight="1">
      <c r="R528" s="44"/>
    </row>
    <row r="529" spans="18:18" ht="15.75" customHeight="1">
      <c r="R529" s="44"/>
    </row>
    <row r="530" spans="18:18" ht="15.75" customHeight="1">
      <c r="R530" s="44"/>
    </row>
    <row r="531" spans="18:18" ht="15.75" customHeight="1">
      <c r="R531" s="44"/>
    </row>
    <row r="532" spans="18:18" ht="15.75" customHeight="1">
      <c r="R532" s="44"/>
    </row>
    <row r="533" spans="18:18" ht="15.75" customHeight="1">
      <c r="R533" s="44"/>
    </row>
    <row r="534" spans="18:18" ht="15.75" customHeight="1">
      <c r="R534" s="44"/>
    </row>
    <row r="535" spans="18:18" ht="15.75" customHeight="1">
      <c r="R535" s="44"/>
    </row>
    <row r="536" spans="18:18" ht="15.75" customHeight="1">
      <c r="R536" s="44"/>
    </row>
    <row r="537" spans="18:18" ht="15.75" customHeight="1">
      <c r="R537" s="44"/>
    </row>
    <row r="538" spans="18:18" ht="15.75" customHeight="1">
      <c r="R538" s="44"/>
    </row>
    <row r="539" spans="18:18" ht="15.75" customHeight="1">
      <c r="R539" s="44"/>
    </row>
    <row r="540" spans="18:18" ht="15.75" customHeight="1">
      <c r="R540" s="44"/>
    </row>
    <row r="541" spans="18:18" ht="15.75" customHeight="1">
      <c r="R541" s="44"/>
    </row>
    <row r="542" spans="18:18" ht="15.75" customHeight="1">
      <c r="R542" s="44"/>
    </row>
    <row r="543" spans="18:18" ht="15.75" customHeight="1">
      <c r="R543" s="44"/>
    </row>
    <row r="544" spans="18:18" ht="15.75" customHeight="1">
      <c r="R544" s="44"/>
    </row>
    <row r="545" spans="18:18" ht="15.75" customHeight="1">
      <c r="R545" s="44"/>
    </row>
    <row r="546" spans="18:18" ht="15.75" customHeight="1">
      <c r="R546" s="44"/>
    </row>
    <row r="547" spans="18:18" ht="15.75" customHeight="1">
      <c r="R547" s="44"/>
    </row>
    <row r="548" spans="18:18" ht="15.75" customHeight="1">
      <c r="R548" s="44"/>
    </row>
    <row r="549" spans="18:18" ht="15.75" customHeight="1">
      <c r="R549" s="44"/>
    </row>
    <row r="550" spans="18:18" ht="15.75" customHeight="1">
      <c r="R550" s="44"/>
    </row>
    <row r="551" spans="18:18" ht="15.75" customHeight="1">
      <c r="R551" s="44"/>
    </row>
    <row r="552" spans="18:18" ht="15.75" customHeight="1">
      <c r="R552" s="44"/>
    </row>
    <row r="553" spans="18:18" ht="15.75" customHeight="1">
      <c r="R553" s="44"/>
    </row>
    <row r="554" spans="18:18" ht="15.75" customHeight="1">
      <c r="R554" s="44"/>
    </row>
    <row r="555" spans="18:18" ht="15.75" customHeight="1">
      <c r="R555" s="44"/>
    </row>
    <row r="556" spans="18:18" ht="15.75" customHeight="1">
      <c r="R556" s="44"/>
    </row>
    <row r="557" spans="18:18" ht="15.75" customHeight="1">
      <c r="R557" s="44"/>
    </row>
    <row r="558" spans="18:18" ht="15.75" customHeight="1">
      <c r="R558" s="44"/>
    </row>
    <row r="559" spans="18:18" ht="15.75" customHeight="1">
      <c r="R559" s="44"/>
    </row>
    <row r="560" spans="18:18" ht="15.75" customHeight="1">
      <c r="R560" s="44"/>
    </row>
    <row r="561" spans="18:18" ht="15.75" customHeight="1">
      <c r="R561" s="44"/>
    </row>
    <row r="562" spans="18:18" ht="15.75" customHeight="1">
      <c r="R562" s="44"/>
    </row>
    <row r="563" spans="18:18" ht="15.75" customHeight="1">
      <c r="R563" s="44"/>
    </row>
    <row r="564" spans="18:18" ht="15.75" customHeight="1">
      <c r="R564" s="44"/>
    </row>
    <row r="565" spans="18:18" ht="15.75" customHeight="1">
      <c r="R565" s="44"/>
    </row>
    <row r="566" spans="18:18" ht="15.75" customHeight="1">
      <c r="R566" s="44"/>
    </row>
    <row r="567" spans="18:18" ht="15.75" customHeight="1">
      <c r="R567" s="44"/>
    </row>
    <row r="568" spans="18:18" ht="15.75" customHeight="1">
      <c r="R568" s="44"/>
    </row>
    <row r="569" spans="18:18" ht="15.75" customHeight="1">
      <c r="R569" s="44"/>
    </row>
    <row r="570" spans="18:18" ht="15.75" customHeight="1">
      <c r="R570" s="44"/>
    </row>
    <row r="571" spans="18:18" ht="15.75" customHeight="1">
      <c r="R571" s="44"/>
    </row>
    <row r="572" spans="18:18" ht="15.75" customHeight="1">
      <c r="R572" s="44"/>
    </row>
    <row r="573" spans="18:18" ht="15.75" customHeight="1">
      <c r="R573" s="44"/>
    </row>
    <row r="574" spans="18:18" ht="15.75" customHeight="1">
      <c r="R574" s="44"/>
    </row>
    <row r="575" spans="18:18" ht="15.75" customHeight="1">
      <c r="R575" s="44"/>
    </row>
    <row r="576" spans="18:18" ht="15.75" customHeight="1">
      <c r="R576" s="44"/>
    </row>
    <row r="577" spans="18:18" ht="15.75" customHeight="1">
      <c r="R577" s="44"/>
    </row>
    <row r="578" spans="18:18" ht="15.75" customHeight="1">
      <c r="R578" s="44"/>
    </row>
    <row r="579" spans="18:18" ht="15.75" customHeight="1">
      <c r="R579" s="44"/>
    </row>
    <row r="580" spans="18:18" ht="15.75" customHeight="1">
      <c r="R580" s="44"/>
    </row>
    <row r="581" spans="18:18" ht="15.75" customHeight="1">
      <c r="R581" s="44"/>
    </row>
    <row r="582" spans="18:18" ht="15.75" customHeight="1">
      <c r="R582" s="44"/>
    </row>
    <row r="583" spans="18:18" ht="15.75" customHeight="1">
      <c r="R583" s="44"/>
    </row>
    <row r="584" spans="18:18" ht="15.75" customHeight="1">
      <c r="R584" s="44"/>
    </row>
    <row r="585" spans="18:18" ht="15.75" customHeight="1">
      <c r="R585" s="44"/>
    </row>
    <row r="586" spans="18:18" ht="15.75" customHeight="1">
      <c r="R586" s="44"/>
    </row>
    <row r="587" spans="18:18" ht="15.75" customHeight="1">
      <c r="R587" s="44"/>
    </row>
    <row r="588" spans="18:18" ht="15.75" customHeight="1">
      <c r="R588" s="44"/>
    </row>
    <row r="589" spans="18:18" ht="15.75" customHeight="1">
      <c r="R589" s="44"/>
    </row>
    <row r="590" spans="18:18" ht="15.75" customHeight="1">
      <c r="R590" s="44"/>
    </row>
    <row r="591" spans="18:18" ht="15.75" customHeight="1">
      <c r="R591" s="44"/>
    </row>
    <row r="592" spans="18:18" ht="15.75" customHeight="1">
      <c r="R592" s="44"/>
    </row>
    <row r="593" spans="18:18" ht="15.75" customHeight="1">
      <c r="R593" s="44"/>
    </row>
    <row r="594" spans="18:18" ht="15.75" customHeight="1">
      <c r="R594" s="44"/>
    </row>
    <row r="595" spans="18:18" ht="15.75" customHeight="1">
      <c r="R595" s="44"/>
    </row>
    <row r="596" spans="18:18" ht="15.75" customHeight="1">
      <c r="R596" s="44"/>
    </row>
    <row r="597" spans="18:18" ht="15.75" customHeight="1">
      <c r="R597" s="44"/>
    </row>
    <row r="598" spans="18:18" ht="15.75" customHeight="1">
      <c r="R598" s="44"/>
    </row>
    <row r="599" spans="18:18" ht="15.75" customHeight="1">
      <c r="R599" s="44"/>
    </row>
    <row r="600" spans="18:18" ht="15.75" customHeight="1">
      <c r="R600" s="44"/>
    </row>
    <row r="601" spans="18:18" ht="15.75" customHeight="1">
      <c r="R601" s="44"/>
    </row>
    <row r="602" spans="18:18" ht="15.75" customHeight="1">
      <c r="R602" s="44"/>
    </row>
    <row r="603" spans="18:18" ht="15.75" customHeight="1">
      <c r="R603" s="44"/>
    </row>
    <row r="604" spans="18:18" ht="15.75" customHeight="1">
      <c r="R604" s="44"/>
    </row>
    <row r="605" spans="18:18" ht="15.75" customHeight="1">
      <c r="R605" s="44"/>
    </row>
    <row r="606" spans="18:18" ht="15.75" customHeight="1">
      <c r="R606" s="44"/>
    </row>
    <row r="607" spans="18:18" ht="15.75" customHeight="1">
      <c r="R607" s="44"/>
    </row>
    <row r="608" spans="18:18" ht="15.75" customHeight="1">
      <c r="R608" s="44"/>
    </row>
    <row r="609" spans="18:18" ht="15.75" customHeight="1">
      <c r="R609" s="44"/>
    </row>
    <row r="610" spans="18:18" ht="15.75" customHeight="1">
      <c r="R610" s="44"/>
    </row>
    <row r="611" spans="18:18" ht="15.75" customHeight="1">
      <c r="R611" s="44"/>
    </row>
    <row r="612" spans="18:18" ht="15.75" customHeight="1">
      <c r="R612" s="44"/>
    </row>
    <row r="613" spans="18:18" ht="15.75" customHeight="1">
      <c r="R613" s="44"/>
    </row>
    <row r="614" spans="18:18" ht="15.75" customHeight="1">
      <c r="R614" s="44"/>
    </row>
    <row r="615" spans="18:18" ht="15.75" customHeight="1">
      <c r="R615" s="44"/>
    </row>
    <row r="616" spans="18:18" ht="15.75" customHeight="1">
      <c r="R616" s="44"/>
    </row>
    <row r="617" spans="18:18" ht="15.75" customHeight="1">
      <c r="R617" s="44"/>
    </row>
    <row r="618" spans="18:18" ht="15.75" customHeight="1">
      <c r="R618" s="44"/>
    </row>
    <row r="619" spans="18:18" ht="15.75" customHeight="1">
      <c r="R619" s="44"/>
    </row>
    <row r="620" spans="18:18" ht="15.75" customHeight="1">
      <c r="R620" s="44"/>
    </row>
    <row r="621" spans="18:18" ht="15.75" customHeight="1">
      <c r="R621" s="44"/>
    </row>
    <row r="622" spans="18:18" ht="15.75" customHeight="1">
      <c r="R622" s="44"/>
    </row>
    <row r="623" spans="18:18" ht="15.75" customHeight="1">
      <c r="R623" s="44"/>
    </row>
    <row r="624" spans="18:18" ht="15.75" customHeight="1">
      <c r="R624" s="44"/>
    </row>
    <row r="625" spans="18:18" ht="15.75" customHeight="1">
      <c r="R625" s="44"/>
    </row>
    <row r="626" spans="18:18" ht="15.75" customHeight="1">
      <c r="R626" s="44"/>
    </row>
    <row r="627" spans="18:18" ht="15.75" customHeight="1">
      <c r="R627" s="44"/>
    </row>
    <row r="628" spans="18:18" ht="15.75" customHeight="1">
      <c r="R628" s="44"/>
    </row>
    <row r="629" spans="18:18" ht="15.75" customHeight="1">
      <c r="R629" s="44"/>
    </row>
    <row r="630" spans="18:18" ht="15.75" customHeight="1">
      <c r="R630" s="44"/>
    </row>
    <row r="631" spans="18:18" ht="15.75" customHeight="1">
      <c r="R631" s="44"/>
    </row>
    <row r="632" spans="18:18" ht="15.75" customHeight="1">
      <c r="R632" s="44"/>
    </row>
    <row r="633" spans="18:18" ht="15.75" customHeight="1">
      <c r="R633" s="44"/>
    </row>
    <row r="634" spans="18:18" ht="15.75" customHeight="1">
      <c r="R634" s="44"/>
    </row>
    <row r="635" spans="18:18" ht="15.75" customHeight="1">
      <c r="R635" s="44"/>
    </row>
    <row r="636" spans="18:18" ht="15.75" customHeight="1">
      <c r="R636" s="44"/>
    </row>
    <row r="637" spans="18:18" ht="15.75" customHeight="1">
      <c r="R637" s="44"/>
    </row>
    <row r="638" spans="18:18" ht="15.75" customHeight="1">
      <c r="R638" s="44"/>
    </row>
    <row r="639" spans="18:18" ht="15.75" customHeight="1">
      <c r="R639" s="44"/>
    </row>
    <row r="640" spans="18:18" ht="15.75" customHeight="1">
      <c r="R640" s="44"/>
    </row>
    <row r="641" spans="18:18" ht="15.75" customHeight="1">
      <c r="R641" s="44"/>
    </row>
    <row r="642" spans="18:18" ht="15.75" customHeight="1">
      <c r="R642" s="44"/>
    </row>
    <row r="643" spans="18:18" ht="15.75" customHeight="1">
      <c r="R643" s="44"/>
    </row>
    <row r="644" spans="18:18" ht="15.75" customHeight="1">
      <c r="R644" s="44"/>
    </row>
    <row r="645" spans="18:18" ht="15.75" customHeight="1">
      <c r="R645" s="44"/>
    </row>
    <row r="646" spans="18:18" ht="15.75" customHeight="1">
      <c r="R646" s="44"/>
    </row>
    <row r="647" spans="18:18" ht="15.75" customHeight="1">
      <c r="R647" s="44"/>
    </row>
    <row r="648" spans="18:18" ht="15.75" customHeight="1">
      <c r="R648" s="44"/>
    </row>
    <row r="649" spans="18:18" ht="15.75" customHeight="1">
      <c r="R649" s="44"/>
    </row>
    <row r="650" spans="18:18" ht="15.75" customHeight="1">
      <c r="R650" s="44"/>
    </row>
    <row r="651" spans="18:18" ht="15.75" customHeight="1">
      <c r="R651" s="44"/>
    </row>
    <row r="652" spans="18:18" ht="15.75" customHeight="1">
      <c r="R652" s="44"/>
    </row>
    <row r="653" spans="18:18" ht="15.75" customHeight="1">
      <c r="R653" s="44"/>
    </row>
    <row r="654" spans="18:18" ht="15.75" customHeight="1">
      <c r="R654" s="44"/>
    </row>
    <row r="655" spans="18:18" ht="15.75" customHeight="1">
      <c r="R655" s="44"/>
    </row>
    <row r="656" spans="18:18" ht="15.75" customHeight="1">
      <c r="R656" s="44"/>
    </row>
    <row r="657" spans="18:18" ht="15.75" customHeight="1">
      <c r="R657" s="44"/>
    </row>
    <row r="658" spans="18:18" ht="15.75" customHeight="1">
      <c r="R658" s="44"/>
    </row>
    <row r="659" spans="18:18" ht="15.75" customHeight="1">
      <c r="R659" s="44"/>
    </row>
    <row r="660" spans="18:18" ht="15.75" customHeight="1">
      <c r="R660" s="44"/>
    </row>
    <row r="661" spans="18:18" ht="15.75" customHeight="1">
      <c r="R661" s="44"/>
    </row>
    <row r="662" spans="18:18" ht="15.75" customHeight="1">
      <c r="R662" s="44"/>
    </row>
    <row r="663" spans="18:18" ht="15.75" customHeight="1">
      <c r="R663" s="44"/>
    </row>
    <row r="664" spans="18:18" ht="15.75" customHeight="1">
      <c r="R664" s="44"/>
    </row>
    <row r="665" spans="18:18" ht="15.75" customHeight="1">
      <c r="R665" s="44"/>
    </row>
    <row r="666" spans="18:18" ht="15.75" customHeight="1">
      <c r="R666" s="44"/>
    </row>
    <row r="667" spans="18:18" ht="15.75" customHeight="1">
      <c r="R667" s="44"/>
    </row>
    <row r="668" spans="18:18" ht="15.75" customHeight="1">
      <c r="R668" s="44"/>
    </row>
    <row r="669" spans="18:18" ht="15.75" customHeight="1">
      <c r="R669" s="44"/>
    </row>
    <row r="670" spans="18:18" ht="15.75" customHeight="1">
      <c r="R670" s="44"/>
    </row>
    <row r="671" spans="18:18" ht="15.75" customHeight="1">
      <c r="R671" s="44"/>
    </row>
    <row r="672" spans="18:18" ht="15.75" customHeight="1">
      <c r="R672" s="44"/>
    </row>
    <row r="673" spans="18:18" ht="15.75" customHeight="1">
      <c r="R673" s="44"/>
    </row>
    <row r="674" spans="18:18" ht="15.75" customHeight="1">
      <c r="R674" s="44"/>
    </row>
    <row r="675" spans="18:18" ht="15.75" customHeight="1">
      <c r="R675" s="44"/>
    </row>
    <row r="676" spans="18:18" ht="15.75" customHeight="1">
      <c r="R676" s="44"/>
    </row>
    <row r="677" spans="18:18" ht="15.75" customHeight="1">
      <c r="R677" s="44"/>
    </row>
    <row r="678" spans="18:18" ht="15.75" customHeight="1">
      <c r="R678" s="44"/>
    </row>
    <row r="679" spans="18:18" ht="15.75" customHeight="1">
      <c r="R679" s="44"/>
    </row>
    <row r="680" spans="18:18" ht="15.75" customHeight="1">
      <c r="R680" s="44"/>
    </row>
    <row r="681" spans="18:18" ht="15.75" customHeight="1">
      <c r="R681" s="44"/>
    </row>
    <row r="682" spans="18:18" ht="15.75" customHeight="1">
      <c r="R682" s="44"/>
    </row>
    <row r="683" spans="18:18" ht="15.75" customHeight="1">
      <c r="R683" s="44"/>
    </row>
    <row r="684" spans="18:18" ht="15.75" customHeight="1">
      <c r="R684" s="44"/>
    </row>
    <row r="685" spans="18:18" ht="15.75" customHeight="1">
      <c r="R685" s="44"/>
    </row>
    <row r="686" spans="18:18" ht="15.75" customHeight="1">
      <c r="R686" s="44"/>
    </row>
    <row r="687" spans="18:18" ht="15.75" customHeight="1">
      <c r="R687" s="44"/>
    </row>
    <row r="688" spans="18:18" ht="15.75" customHeight="1">
      <c r="R688" s="44"/>
    </row>
    <row r="689" spans="18:18" ht="15.75" customHeight="1">
      <c r="R689" s="44"/>
    </row>
    <row r="690" spans="18:18" ht="15.75" customHeight="1">
      <c r="R690" s="44"/>
    </row>
    <row r="691" spans="18:18" ht="15.75" customHeight="1">
      <c r="R691" s="44"/>
    </row>
    <row r="692" spans="18:18" ht="15.75" customHeight="1">
      <c r="R692" s="44"/>
    </row>
    <row r="693" spans="18:18" ht="15.75" customHeight="1">
      <c r="R693" s="44"/>
    </row>
    <row r="694" spans="18:18" ht="15.75" customHeight="1">
      <c r="R694" s="44"/>
    </row>
    <row r="695" spans="18:18" ht="15.75" customHeight="1">
      <c r="R695" s="44"/>
    </row>
    <row r="696" spans="18:18" ht="15.75" customHeight="1">
      <c r="R696" s="44"/>
    </row>
    <row r="697" spans="18:18" ht="15.75" customHeight="1">
      <c r="R697" s="44"/>
    </row>
    <row r="698" spans="18:18" ht="15.75" customHeight="1">
      <c r="R698" s="44"/>
    </row>
    <row r="699" spans="18:18" ht="15.75" customHeight="1">
      <c r="R699" s="44"/>
    </row>
    <row r="700" spans="18:18" ht="15.75" customHeight="1">
      <c r="R700" s="44"/>
    </row>
    <row r="701" spans="18:18" ht="15.75" customHeight="1">
      <c r="R701" s="44"/>
    </row>
    <row r="702" spans="18:18" ht="15.75" customHeight="1">
      <c r="R702" s="44"/>
    </row>
    <row r="703" spans="18:18" ht="15.75" customHeight="1">
      <c r="R703" s="44"/>
    </row>
    <row r="704" spans="18:18" ht="15.75" customHeight="1">
      <c r="R704" s="44"/>
    </row>
    <row r="705" spans="18:18" ht="15.75" customHeight="1">
      <c r="R705" s="44"/>
    </row>
    <row r="706" spans="18:18" ht="15.75" customHeight="1">
      <c r="R706" s="44"/>
    </row>
    <row r="707" spans="18:18" ht="15.75" customHeight="1">
      <c r="R707" s="44"/>
    </row>
    <row r="708" spans="18:18" ht="15.75" customHeight="1">
      <c r="R708" s="44"/>
    </row>
    <row r="709" spans="18:18" ht="15.75" customHeight="1">
      <c r="R709" s="44"/>
    </row>
    <row r="710" spans="18:18" ht="15.75" customHeight="1">
      <c r="R710" s="44"/>
    </row>
    <row r="711" spans="18:18" ht="15.75" customHeight="1">
      <c r="R711" s="44"/>
    </row>
    <row r="712" spans="18:18" ht="15.75" customHeight="1">
      <c r="R712" s="44"/>
    </row>
    <row r="713" spans="18:18" ht="15.75" customHeight="1">
      <c r="R713" s="44"/>
    </row>
    <row r="714" spans="18:18" ht="15.75" customHeight="1">
      <c r="R714" s="44"/>
    </row>
    <row r="715" spans="18:18" ht="15.75" customHeight="1">
      <c r="R715" s="44"/>
    </row>
    <row r="716" spans="18:18" ht="15.75" customHeight="1">
      <c r="R716" s="44"/>
    </row>
    <row r="717" spans="18:18" ht="15.75" customHeight="1">
      <c r="R717" s="44"/>
    </row>
    <row r="718" spans="18:18" ht="15.75" customHeight="1">
      <c r="R718" s="44"/>
    </row>
    <row r="719" spans="18:18" ht="15.75" customHeight="1">
      <c r="R719" s="44"/>
    </row>
    <row r="720" spans="18:18" ht="15.75" customHeight="1">
      <c r="R720" s="44"/>
    </row>
    <row r="721" spans="18:18" ht="15.75" customHeight="1">
      <c r="R721" s="44"/>
    </row>
    <row r="722" spans="18:18" ht="15.75" customHeight="1">
      <c r="R722" s="44"/>
    </row>
    <row r="723" spans="18:18" ht="15.75" customHeight="1">
      <c r="R723" s="44"/>
    </row>
    <row r="724" spans="18:18" ht="15.75" customHeight="1">
      <c r="R724" s="44"/>
    </row>
    <row r="725" spans="18:18" ht="15.75" customHeight="1">
      <c r="R725" s="44"/>
    </row>
    <row r="726" spans="18:18" ht="15.75" customHeight="1">
      <c r="R726" s="44"/>
    </row>
    <row r="727" spans="18:18" ht="15.75" customHeight="1">
      <c r="R727" s="44"/>
    </row>
    <row r="728" spans="18:18" ht="15.75" customHeight="1">
      <c r="R728" s="44"/>
    </row>
    <row r="729" spans="18:18" ht="15.75" customHeight="1">
      <c r="R729" s="44"/>
    </row>
    <row r="730" spans="18:18" ht="15.75" customHeight="1">
      <c r="R730" s="44"/>
    </row>
    <row r="731" spans="18:18" ht="15.75" customHeight="1">
      <c r="R731" s="44"/>
    </row>
    <row r="732" spans="18:18" ht="15.75" customHeight="1">
      <c r="R732" s="44"/>
    </row>
    <row r="733" spans="18:18" ht="15.75" customHeight="1">
      <c r="R733" s="44"/>
    </row>
    <row r="734" spans="18:18" ht="15.75" customHeight="1">
      <c r="R734" s="44"/>
    </row>
    <row r="735" spans="18:18" ht="15.75" customHeight="1">
      <c r="R735" s="44"/>
    </row>
    <row r="736" spans="18:18" ht="15.75" customHeight="1">
      <c r="R736" s="44"/>
    </row>
    <row r="737" spans="18:18" ht="15.75" customHeight="1">
      <c r="R737" s="44"/>
    </row>
    <row r="738" spans="18:18" ht="15.75" customHeight="1">
      <c r="R738" s="44"/>
    </row>
    <row r="739" spans="18:18" ht="15.75" customHeight="1">
      <c r="R739" s="44"/>
    </row>
    <row r="740" spans="18:18" ht="15.75" customHeight="1">
      <c r="R740" s="44"/>
    </row>
    <row r="741" spans="18:18" ht="15.75" customHeight="1">
      <c r="R741" s="44"/>
    </row>
    <row r="742" spans="18:18" ht="15.75" customHeight="1">
      <c r="R742" s="44"/>
    </row>
    <row r="743" spans="18:18" ht="15.75" customHeight="1">
      <c r="R743" s="44"/>
    </row>
    <row r="744" spans="18:18" ht="15.75" customHeight="1">
      <c r="R744" s="44"/>
    </row>
    <row r="745" spans="18:18" ht="15.75" customHeight="1">
      <c r="R745" s="44"/>
    </row>
    <row r="746" spans="18:18" ht="15.75" customHeight="1">
      <c r="R746" s="44"/>
    </row>
    <row r="747" spans="18:18" ht="15.75" customHeight="1">
      <c r="R747" s="44"/>
    </row>
    <row r="748" spans="18:18" ht="15.75" customHeight="1">
      <c r="R748" s="44"/>
    </row>
    <row r="749" spans="18:18" ht="15.75" customHeight="1">
      <c r="R749" s="44"/>
    </row>
    <row r="750" spans="18:18" ht="15.75" customHeight="1">
      <c r="R750" s="44"/>
    </row>
    <row r="751" spans="18:18" ht="15.75" customHeight="1">
      <c r="R751" s="44"/>
    </row>
    <row r="752" spans="18:18" ht="15.75" customHeight="1">
      <c r="R752" s="44"/>
    </row>
    <row r="753" spans="18:18" ht="15.75" customHeight="1">
      <c r="R753" s="44"/>
    </row>
    <row r="754" spans="18:18" ht="15.75" customHeight="1">
      <c r="R754" s="44"/>
    </row>
    <row r="755" spans="18:18" ht="15.75" customHeight="1">
      <c r="R755" s="44"/>
    </row>
    <row r="756" spans="18:18" ht="15.75" customHeight="1">
      <c r="R756" s="44"/>
    </row>
    <row r="757" spans="18:18" ht="15.75" customHeight="1">
      <c r="R757" s="44"/>
    </row>
    <row r="758" spans="18:18" ht="15.75" customHeight="1">
      <c r="R758" s="44"/>
    </row>
    <row r="759" spans="18:18" ht="15.75" customHeight="1">
      <c r="R759" s="44"/>
    </row>
    <row r="760" spans="18:18" ht="15.75" customHeight="1">
      <c r="R760" s="44"/>
    </row>
    <row r="761" spans="18:18" ht="15.75" customHeight="1">
      <c r="R761" s="44"/>
    </row>
    <row r="762" spans="18:18" ht="15.75" customHeight="1">
      <c r="R762" s="44"/>
    </row>
    <row r="763" spans="18:18" ht="15.75" customHeight="1">
      <c r="R763" s="44"/>
    </row>
    <row r="764" spans="18:18" ht="15.75" customHeight="1">
      <c r="R764" s="44"/>
    </row>
    <row r="765" spans="18:18" ht="15.75" customHeight="1">
      <c r="R765" s="44"/>
    </row>
    <row r="766" spans="18:18" ht="15.75" customHeight="1">
      <c r="R766" s="44"/>
    </row>
    <row r="767" spans="18:18" ht="15.75" customHeight="1">
      <c r="R767" s="44"/>
    </row>
    <row r="768" spans="18:18" ht="15.75" customHeight="1">
      <c r="R768" s="44"/>
    </row>
    <row r="769" spans="18:18" ht="15.75" customHeight="1">
      <c r="R769" s="44"/>
    </row>
    <row r="770" spans="18:18" ht="15.75" customHeight="1">
      <c r="R770" s="44"/>
    </row>
    <row r="771" spans="18:18" ht="15.75" customHeight="1">
      <c r="R771" s="44"/>
    </row>
    <row r="772" spans="18:18" ht="15.75" customHeight="1">
      <c r="R772" s="44"/>
    </row>
    <row r="773" spans="18:18" ht="15.75" customHeight="1">
      <c r="R773" s="44"/>
    </row>
    <row r="774" spans="18:18" ht="15.75" customHeight="1">
      <c r="R774" s="44"/>
    </row>
    <row r="775" spans="18:18" ht="15.75" customHeight="1">
      <c r="R775" s="44"/>
    </row>
    <row r="776" spans="18:18" ht="15.75" customHeight="1">
      <c r="R776" s="44"/>
    </row>
    <row r="777" spans="18:18" ht="15.75" customHeight="1">
      <c r="R777" s="44"/>
    </row>
    <row r="778" spans="18:18" ht="15.75" customHeight="1">
      <c r="R778" s="44"/>
    </row>
    <row r="779" spans="18:18" ht="15.75" customHeight="1">
      <c r="R779" s="44"/>
    </row>
    <row r="780" spans="18:18" ht="15.75" customHeight="1">
      <c r="R780" s="44"/>
    </row>
    <row r="781" spans="18:18" ht="15.75" customHeight="1">
      <c r="R781" s="44"/>
    </row>
    <row r="782" spans="18:18" ht="15.75" customHeight="1">
      <c r="R782" s="44"/>
    </row>
    <row r="783" spans="18:18" ht="15.75" customHeight="1">
      <c r="R783" s="44"/>
    </row>
    <row r="784" spans="18:18" ht="15.75" customHeight="1">
      <c r="R784" s="44"/>
    </row>
    <row r="785" spans="18:18" ht="15.75" customHeight="1">
      <c r="R785" s="44"/>
    </row>
    <row r="786" spans="18:18" ht="15.75" customHeight="1">
      <c r="R786" s="44"/>
    </row>
    <row r="787" spans="18:18" ht="15.75" customHeight="1">
      <c r="R787" s="44"/>
    </row>
    <row r="788" spans="18:18" ht="15.75" customHeight="1">
      <c r="R788" s="44"/>
    </row>
    <row r="789" spans="18:18" ht="15.75" customHeight="1">
      <c r="R789" s="44"/>
    </row>
    <row r="790" spans="18:18" ht="15.75" customHeight="1">
      <c r="R790" s="44"/>
    </row>
    <row r="791" spans="18:18" ht="15.75" customHeight="1">
      <c r="R791" s="44"/>
    </row>
    <row r="792" spans="18:18" ht="15.75" customHeight="1">
      <c r="R792" s="44"/>
    </row>
    <row r="793" spans="18:18" ht="15.75" customHeight="1">
      <c r="R793" s="44"/>
    </row>
    <row r="794" spans="18:18" ht="15.75" customHeight="1">
      <c r="R794" s="44"/>
    </row>
    <row r="795" spans="18:18" ht="15.75" customHeight="1">
      <c r="R795" s="44"/>
    </row>
    <row r="796" spans="18:18" ht="15.75" customHeight="1">
      <c r="R796" s="44"/>
    </row>
    <row r="797" spans="18:18" ht="15.75" customHeight="1">
      <c r="R797" s="44"/>
    </row>
    <row r="798" spans="18:18" ht="15.75" customHeight="1">
      <c r="R798" s="44"/>
    </row>
    <row r="799" spans="18:18" ht="15.75" customHeight="1">
      <c r="R799" s="44"/>
    </row>
    <row r="800" spans="18:18" ht="15.75" customHeight="1">
      <c r="R800" s="44"/>
    </row>
    <row r="801" spans="18:18" ht="15.75" customHeight="1">
      <c r="R801" s="44"/>
    </row>
    <row r="802" spans="18:18" ht="15.75" customHeight="1">
      <c r="R802" s="44"/>
    </row>
    <row r="803" spans="18:18" ht="15.75" customHeight="1">
      <c r="R803" s="44"/>
    </row>
    <row r="804" spans="18:18" ht="15.75" customHeight="1">
      <c r="R804" s="44"/>
    </row>
    <row r="805" spans="18:18" ht="15.75" customHeight="1">
      <c r="R805" s="44"/>
    </row>
    <row r="806" spans="18:18" ht="15.75" customHeight="1">
      <c r="R806" s="44"/>
    </row>
    <row r="807" spans="18:18" ht="15.75" customHeight="1">
      <c r="R807" s="44"/>
    </row>
    <row r="808" spans="18:18" ht="15.75" customHeight="1">
      <c r="R808" s="44"/>
    </row>
    <row r="809" spans="18:18" ht="15.75" customHeight="1">
      <c r="R809" s="44"/>
    </row>
    <row r="810" spans="18:18" ht="15.75" customHeight="1">
      <c r="R810" s="44"/>
    </row>
    <row r="811" spans="18:18" ht="15.75" customHeight="1">
      <c r="R811" s="44"/>
    </row>
    <row r="812" spans="18:18" ht="15.75" customHeight="1">
      <c r="R812" s="44"/>
    </row>
    <row r="813" spans="18:18" ht="15.75" customHeight="1">
      <c r="R813" s="44"/>
    </row>
    <row r="814" spans="18:18" ht="15.75" customHeight="1">
      <c r="R814" s="44"/>
    </row>
    <row r="815" spans="18:18" ht="15.75" customHeight="1">
      <c r="R815" s="44"/>
    </row>
    <row r="816" spans="18:18" ht="15.75" customHeight="1">
      <c r="R816" s="44"/>
    </row>
    <row r="817" spans="18:18" ht="15.75" customHeight="1">
      <c r="R817" s="44"/>
    </row>
    <row r="818" spans="18:18" ht="15.75" customHeight="1">
      <c r="R818" s="44"/>
    </row>
    <row r="819" spans="18:18" ht="15.75" customHeight="1">
      <c r="R819" s="44"/>
    </row>
    <row r="820" spans="18:18" ht="15.75" customHeight="1">
      <c r="R820" s="44"/>
    </row>
    <row r="821" spans="18:18" ht="15.75" customHeight="1">
      <c r="R821" s="44"/>
    </row>
    <row r="822" spans="18:18" ht="15.75" customHeight="1">
      <c r="R822" s="44"/>
    </row>
    <row r="823" spans="18:18" ht="15.75" customHeight="1">
      <c r="R823" s="44"/>
    </row>
    <row r="824" spans="18:18" ht="15.75" customHeight="1">
      <c r="R824" s="44"/>
    </row>
    <row r="825" spans="18:18" ht="15.75" customHeight="1">
      <c r="R825" s="44"/>
    </row>
    <row r="826" spans="18:18" ht="15.75" customHeight="1">
      <c r="R826" s="44"/>
    </row>
    <row r="827" spans="18:18" ht="15.75" customHeight="1">
      <c r="R827" s="44"/>
    </row>
    <row r="828" spans="18:18" ht="15.75" customHeight="1">
      <c r="R828" s="44"/>
    </row>
    <row r="829" spans="18:18" ht="15.75" customHeight="1">
      <c r="R829" s="44"/>
    </row>
    <row r="830" spans="18:18" ht="15.75" customHeight="1">
      <c r="R830" s="44"/>
    </row>
    <row r="831" spans="18:18" ht="15.75" customHeight="1">
      <c r="R831" s="44"/>
    </row>
    <row r="832" spans="18:18" ht="15.75" customHeight="1">
      <c r="R832" s="44"/>
    </row>
    <row r="833" spans="18:18" ht="15.75" customHeight="1">
      <c r="R833" s="44"/>
    </row>
    <row r="834" spans="18:18" ht="15.75" customHeight="1">
      <c r="R834" s="44"/>
    </row>
    <row r="835" spans="18:18" ht="15.75" customHeight="1">
      <c r="R835" s="44"/>
    </row>
    <row r="836" spans="18:18" ht="15.75" customHeight="1">
      <c r="R836" s="44"/>
    </row>
    <row r="837" spans="18:18" ht="15.75" customHeight="1">
      <c r="R837" s="44"/>
    </row>
    <row r="838" spans="18:18" ht="15.75" customHeight="1">
      <c r="R838" s="44"/>
    </row>
    <row r="839" spans="18:18" ht="15.75" customHeight="1">
      <c r="R839" s="44"/>
    </row>
    <row r="840" spans="18:18" ht="15.75" customHeight="1">
      <c r="R840" s="44"/>
    </row>
    <row r="841" spans="18:18" ht="15.75" customHeight="1">
      <c r="R841" s="44"/>
    </row>
    <row r="842" spans="18:18" ht="15.75" customHeight="1">
      <c r="R842" s="44"/>
    </row>
    <row r="843" spans="18:18" ht="15.75" customHeight="1">
      <c r="R843" s="44"/>
    </row>
    <row r="844" spans="18:18" ht="15.75" customHeight="1">
      <c r="R844" s="44"/>
    </row>
    <row r="845" spans="18:18" ht="15.75" customHeight="1">
      <c r="R845" s="44"/>
    </row>
    <row r="846" spans="18:18" ht="15.75" customHeight="1">
      <c r="R846" s="44"/>
    </row>
    <row r="847" spans="18:18" ht="15.75" customHeight="1">
      <c r="R847" s="44"/>
    </row>
    <row r="848" spans="18:18" ht="15.75" customHeight="1">
      <c r="R848" s="44"/>
    </row>
    <row r="849" spans="18:18" ht="15.75" customHeight="1">
      <c r="R849" s="44"/>
    </row>
    <row r="850" spans="18:18" ht="15.75" customHeight="1">
      <c r="R850" s="44"/>
    </row>
    <row r="851" spans="18:18" ht="15.75" customHeight="1">
      <c r="R851" s="44"/>
    </row>
    <row r="852" spans="18:18" ht="15.75" customHeight="1">
      <c r="R852" s="44"/>
    </row>
    <row r="853" spans="18:18" ht="15.75" customHeight="1">
      <c r="R853" s="44"/>
    </row>
    <row r="854" spans="18:18" ht="15.75" customHeight="1">
      <c r="R854" s="44"/>
    </row>
    <row r="855" spans="18:18" ht="15.75" customHeight="1">
      <c r="R855" s="44"/>
    </row>
    <row r="856" spans="18:18" ht="15.75" customHeight="1">
      <c r="R856" s="44"/>
    </row>
    <row r="857" spans="18:18" ht="15.75" customHeight="1">
      <c r="R857" s="44"/>
    </row>
    <row r="858" spans="18:18" ht="15.75" customHeight="1">
      <c r="R858" s="44"/>
    </row>
    <row r="859" spans="18:18" ht="15.75" customHeight="1">
      <c r="R859" s="44"/>
    </row>
    <row r="860" spans="18:18" ht="15.75" customHeight="1">
      <c r="R860" s="44"/>
    </row>
    <row r="861" spans="18:18" ht="15.75" customHeight="1">
      <c r="R861" s="44"/>
    </row>
    <row r="862" spans="18:18" ht="15.75" customHeight="1">
      <c r="R862" s="44"/>
    </row>
    <row r="863" spans="18:18" ht="15.75" customHeight="1">
      <c r="R863" s="44"/>
    </row>
    <row r="864" spans="18:18" ht="15.75" customHeight="1">
      <c r="R864" s="44"/>
    </row>
    <row r="865" spans="18:18" ht="15.75" customHeight="1">
      <c r="R865" s="44"/>
    </row>
    <row r="866" spans="18:18" ht="15.75" customHeight="1">
      <c r="R866" s="44"/>
    </row>
    <row r="867" spans="18:18" ht="15.75" customHeight="1">
      <c r="R867" s="44"/>
    </row>
    <row r="868" spans="18:18" ht="15.75" customHeight="1">
      <c r="R868" s="44"/>
    </row>
    <row r="869" spans="18:18" ht="15.75" customHeight="1">
      <c r="R869" s="44"/>
    </row>
    <row r="870" spans="18:18" ht="15.75" customHeight="1">
      <c r="R870" s="44"/>
    </row>
    <row r="871" spans="18:18" ht="15.75" customHeight="1">
      <c r="R871" s="44"/>
    </row>
    <row r="872" spans="18:18" ht="15.75" customHeight="1">
      <c r="R872" s="44"/>
    </row>
    <row r="873" spans="18:18" ht="15.75" customHeight="1">
      <c r="R873" s="44"/>
    </row>
    <row r="874" spans="18:18" ht="15.75" customHeight="1">
      <c r="R874" s="44"/>
    </row>
    <row r="875" spans="18:18" ht="15.75" customHeight="1">
      <c r="R875" s="44"/>
    </row>
    <row r="876" spans="18:18" ht="15.75" customHeight="1">
      <c r="R876" s="44"/>
    </row>
    <row r="877" spans="18:18" ht="15.75" customHeight="1">
      <c r="R877" s="44"/>
    </row>
    <row r="878" spans="18:18" ht="15.75" customHeight="1">
      <c r="R878" s="44"/>
    </row>
    <row r="879" spans="18:18" ht="15.75" customHeight="1">
      <c r="R879" s="44"/>
    </row>
    <row r="880" spans="18:18" ht="15.75" customHeight="1">
      <c r="R880" s="44"/>
    </row>
    <row r="881" spans="18:18" ht="15.75" customHeight="1">
      <c r="R881" s="44"/>
    </row>
    <row r="882" spans="18:18" ht="15.75" customHeight="1">
      <c r="R882" s="44"/>
    </row>
    <row r="883" spans="18:18" ht="15.75" customHeight="1">
      <c r="R883" s="44"/>
    </row>
    <row r="884" spans="18:18" ht="15.75" customHeight="1">
      <c r="R884" s="44"/>
    </row>
    <row r="885" spans="18:18" ht="15.75" customHeight="1">
      <c r="R885" s="44"/>
    </row>
    <row r="886" spans="18:18" ht="15.75" customHeight="1">
      <c r="R886" s="44"/>
    </row>
    <row r="887" spans="18:18" ht="15.75" customHeight="1">
      <c r="R887" s="44"/>
    </row>
    <row r="888" spans="18:18" ht="15.75" customHeight="1">
      <c r="R888" s="44"/>
    </row>
    <row r="889" spans="18:18" ht="15.75" customHeight="1">
      <c r="R889" s="44"/>
    </row>
    <row r="890" spans="18:18" ht="15.75" customHeight="1">
      <c r="R890" s="44"/>
    </row>
    <row r="891" spans="18:18" ht="15.75" customHeight="1">
      <c r="R891" s="44"/>
    </row>
    <row r="892" spans="18:18" ht="15.75" customHeight="1">
      <c r="R892" s="44"/>
    </row>
    <row r="893" spans="18:18" ht="15.75" customHeight="1">
      <c r="R893" s="44"/>
    </row>
    <row r="894" spans="18:18" ht="15.75" customHeight="1">
      <c r="R894" s="44"/>
    </row>
    <row r="895" spans="18:18" ht="15.75" customHeight="1">
      <c r="R895" s="44"/>
    </row>
    <row r="896" spans="18:18" ht="15.75" customHeight="1">
      <c r="R896" s="44"/>
    </row>
    <row r="897" spans="18:18" ht="15.75" customHeight="1">
      <c r="R897" s="44"/>
    </row>
    <row r="898" spans="18:18" ht="15.75" customHeight="1">
      <c r="R898" s="44"/>
    </row>
    <row r="899" spans="18:18" ht="15.75" customHeight="1">
      <c r="R899" s="44"/>
    </row>
    <row r="900" spans="18:18" ht="15.75" customHeight="1">
      <c r="R900" s="44"/>
    </row>
    <row r="901" spans="18:18" ht="15.75" customHeight="1">
      <c r="R901" s="44"/>
    </row>
    <row r="902" spans="18:18" ht="15.75" customHeight="1">
      <c r="R902" s="44"/>
    </row>
    <row r="903" spans="18:18" ht="15.75" customHeight="1">
      <c r="R903" s="44"/>
    </row>
    <row r="904" spans="18:18" ht="15.75" customHeight="1">
      <c r="R904" s="44"/>
    </row>
    <row r="905" spans="18:18" ht="15.75" customHeight="1">
      <c r="R905" s="44"/>
    </row>
    <row r="906" spans="18:18" ht="15.75" customHeight="1">
      <c r="R906" s="44"/>
    </row>
    <row r="907" spans="18:18" ht="15.75" customHeight="1">
      <c r="R907" s="44"/>
    </row>
    <row r="908" spans="18:18" ht="15.75" customHeight="1">
      <c r="R908" s="44"/>
    </row>
    <row r="909" spans="18:18" ht="15.75" customHeight="1">
      <c r="R909" s="44"/>
    </row>
    <row r="910" spans="18:18" ht="15.75" customHeight="1">
      <c r="R910" s="44"/>
    </row>
    <row r="911" spans="18:18" ht="15.75" customHeight="1">
      <c r="R911" s="44"/>
    </row>
    <row r="912" spans="18:18" ht="15.75" customHeight="1">
      <c r="R912" s="44"/>
    </row>
    <row r="913" spans="18:18" ht="15.75" customHeight="1">
      <c r="R913" s="44"/>
    </row>
    <row r="914" spans="18:18" ht="15.75" customHeight="1">
      <c r="R914" s="44"/>
    </row>
    <row r="915" spans="18:18" ht="15.75" customHeight="1">
      <c r="R915" s="44"/>
    </row>
    <row r="916" spans="18:18" ht="15.75" customHeight="1">
      <c r="R916" s="44"/>
    </row>
    <row r="917" spans="18:18" ht="15.75" customHeight="1">
      <c r="R917" s="44"/>
    </row>
    <row r="918" spans="18:18" ht="15.75" customHeight="1">
      <c r="R918" s="44"/>
    </row>
    <row r="919" spans="18:18" ht="15.75" customHeight="1">
      <c r="R919" s="44"/>
    </row>
    <row r="920" spans="18:18" ht="15.75" customHeight="1">
      <c r="R920" s="44"/>
    </row>
    <row r="921" spans="18:18" ht="15.75" customHeight="1">
      <c r="R921" s="44"/>
    </row>
    <row r="922" spans="18:18" ht="15.75" customHeight="1">
      <c r="R922" s="44"/>
    </row>
    <row r="923" spans="18:18" ht="15.75" customHeight="1">
      <c r="R923" s="44"/>
    </row>
    <row r="924" spans="18:18" ht="15.75" customHeight="1">
      <c r="R924" s="44"/>
    </row>
    <row r="925" spans="18:18" ht="15.75" customHeight="1">
      <c r="R925" s="44"/>
    </row>
    <row r="926" spans="18:18" ht="15.75" customHeight="1">
      <c r="R926" s="44"/>
    </row>
    <row r="927" spans="18:18" ht="15.75" customHeight="1">
      <c r="R927" s="44"/>
    </row>
    <row r="928" spans="18:18" ht="15.75" customHeight="1">
      <c r="R928" s="44"/>
    </row>
    <row r="929" spans="18:18" ht="15.75" customHeight="1">
      <c r="R929" s="44"/>
    </row>
    <row r="930" spans="18:18" ht="15.75" customHeight="1">
      <c r="R930" s="44"/>
    </row>
    <row r="931" spans="18:18" ht="15.75" customHeight="1">
      <c r="R931" s="44"/>
    </row>
    <row r="932" spans="18:18" ht="15.75" customHeight="1">
      <c r="R932" s="44"/>
    </row>
    <row r="933" spans="18:18" ht="15.75" customHeight="1">
      <c r="R933" s="44"/>
    </row>
    <row r="934" spans="18:18" ht="15.75" customHeight="1">
      <c r="R934" s="44"/>
    </row>
    <row r="935" spans="18:18" ht="15.75" customHeight="1">
      <c r="R935" s="44"/>
    </row>
    <row r="936" spans="18:18" ht="15.75" customHeight="1">
      <c r="R936" s="44"/>
    </row>
    <row r="937" spans="18:18" ht="15.75" customHeight="1">
      <c r="R937" s="44"/>
    </row>
    <row r="938" spans="18:18" ht="15.75" customHeight="1">
      <c r="R938" s="44"/>
    </row>
    <row r="939" spans="18:18" ht="15.75" customHeight="1">
      <c r="R939" s="44"/>
    </row>
    <row r="940" spans="18:18" ht="15.75" customHeight="1">
      <c r="R940" s="44"/>
    </row>
    <row r="941" spans="18:18" ht="15.75" customHeight="1">
      <c r="R941" s="44"/>
    </row>
    <row r="942" spans="18:18" ht="15.75" customHeight="1">
      <c r="R942" s="44"/>
    </row>
    <row r="943" spans="18:18" ht="15.75" customHeight="1">
      <c r="R943" s="44"/>
    </row>
    <row r="944" spans="18:18" ht="15.75" customHeight="1">
      <c r="R944" s="44"/>
    </row>
    <row r="945" spans="18:18" ht="15.75" customHeight="1">
      <c r="R945" s="44"/>
    </row>
    <row r="946" spans="18:18" ht="15.75" customHeight="1">
      <c r="R946" s="44"/>
    </row>
    <row r="947" spans="18:18" ht="15.75" customHeight="1">
      <c r="R947" s="44"/>
    </row>
    <row r="948" spans="18:18" ht="15.75" customHeight="1">
      <c r="R948" s="44"/>
    </row>
    <row r="949" spans="18:18" ht="15.75" customHeight="1">
      <c r="R949" s="44"/>
    </row>
    <row r="950" spans="18:18" ht="15.75" customHeight="1">
      <c r="R950" s="44"/>
    </row>
    <row r="951" spans="18:18" ht="15.75" customHeight="1">
      <c r="R951" s="44"/>
    </row>
    <row r="952" spans="18:18" ht="15.75" customHeight="1">
      <c r="R952" s="44"/>
    </row>
    <row r="953" spans="18:18" ht="15.75" customHeight="1">
      <c r="R953" s="44"/>
    </row>
    <row r="954" spans="18:18" ht="15.75" customHeight="1">
      <c r="R954" s="44"/>
    </row>
    <row r="955" spans="18:18" ht="15.75" customHeight="1">
      <c r="R955" s="44"/>
    </row>
    <row r="956" spans="18:18" ht="15.75" customHeight="1">
      <c r="R956" s="44"/>
    </row>
    <row r="957" spans="18:18" ht="15.75" customHeight="1">
      <c r="R957" s="44"/>
    </row>
    <row r="958" spans="18:18" ht="15.75" customHeight="1">
      <c r="R958" s="44"/>
    </row>
    <row r="959" spans="18:18" ht="15.75" customHeight="1">
      <c r="R959" s="44"/>
    </row>
    <row r="960" spans="18:18" ht="15.75" customHeight="1">
      <c r="R960" s="44"/>
    </row>
    <row r="961" spans="18:18" ht="15.75" customHeight="1">
      <c r="R961" s="44"/>
    </row>
    <row r="962" spans="18:18" ht="15.75" customHeight="1">
      <c r="R962" s="44"/>
    </row>
    <row r="963" spans="18:18" ht="15.75" customHeight="1">
      <c r="R963" s="44"/>
    </row>
    <row r="964" spans="18:18" ht="15.75" customHeight="1">
      <c r="R964" s="44"/>
    </row>
    <row r="965" spans="18:18" ht="15.75" customHeight="1">
      <c r="R965" s="44"/>
    </row>
    <row r="966" spans="18:18" ht="15.75" customHeight="1">
      <c r="R966" s="44"/>
    </row>
    <row r="967" spans="18:18" ht="15.75" customHeight="1">
      <c r="R967" s="44"/>
    </row>
    <row r="968" spans="18:18" ht="15.75" customHeight="1">
      <c r="R968" s="44"/>
    </row>
    <row r="969" spans="18:18" ht="15.75" customHeight="1">
      <c r="R969" s="44"/>
    </row>
    <row r="970" spans="18:18" ht="15.75" customHeight="1">
      <c r="R970" s="44"/>
    </row>
    <row r="971" spans="18:18" ht="15.75" customHeight="1">
      <c r="R971" s="44"/>
    </row>
    <row r="972" spans="18:18" ht="15.75" customHeight="1">
      <c r="R972" s="44"/>
    </row>
    <row r="973" spans="18:18" ht="15.75" customHeight="1">
      <c r="R973" s="44"/>
    </row>
    <row r="974" spans="18:18" ht="15.75" customHeight="1">
      <c r="R974" s="44"/>
    </row>
    <row r="975" spans="18:18" ht="15.75" customHeight="1">
      <c r="R975" s="44"/>
    </row>
    <row r="976" spans="18:18" ht="15.75" customHeight="1">
      <c r="R976" s="44"/>
    </row>
    <row r="977" spans="18:18" ht="15.75" customHeight="1">
      <c r="R977" s="44"/>
    </row>
    <row r="978" spans="18:18" ht="15.75" customHeight="1">
      <c r="R978" s="44"/>
    </row>
    <row r="979" spans="18:18" ht="15.75" customHeight="1">
      <c r="R979" s="44"/>
    </row>
    <row r="980" spans="18:18" ht="15.75" customHeight="1">
      <c r="R980" s="44"/>
    </row>
    <row r="981" spans="18:18" ht="15.75" customHeight="1">
      <c r="R981" s="44"/>
    </row>
    <row r="982" spans="18:18" ht="15.75" customHeight="1">
      <c r="R982" s="44"/>
    </row>
    <row r="983" spans="18:18" ht="15.75" customHeight="1">
      <c r="R983" s="44"/>
    </row>
    <row r="984" spans="18:18" ht="15.75" customHeight="1">
      <c r="R984" s="44"/>
    </row>
    <row r="985" spans="18:18" ht="15.75" customHeight="1">
      <c r="R985" s="44"/>
    </row>
    <row r="986" spans="18:18" ht="15.75" customHeight="1">
      <c r="R986" s="44"/>
    </row>
    <row r="987" spans="18:18" ht="15.75" customHeight="1">
      <c r="R987" s="44"/>
    </row>
    <row r="988" spans="18:18" ht="15.75" customHeight="1">
      <c r="R988" s="44"/>
    </row>
    <row r="989" spans="18:18" ht="15.75" customHeight="1">
      <c r="R989" s="44"/>
    </row>
    <row r="990" spans="18:18" ht="15.75" customHeight="1">
      <c r="R990" s="44"/>
    </row>
    <row r="991" spans="18:18" ht="15.75" customHeight="1">
      <c r="R991" s="44"/>
    </row>
    <row r="992" spans="18:18" ht="15.75" customHeight="1">
      <c r="R992" s="44"/>
    </row>
    <row r="993" spans="18:18" ht="15.75" customHeight="1">
      <c r="R993" s="44"/>
    </row>
    <row r="994" spans="18:18" ht="15.75" customHeight="1">
      <c r="R994" s="44"/>
    </row>
    <row r="995" spans="18:18" ht="15.75" customHeight="1">
      <c r="R995" s="44"/>
    </row>
    <row r="996" spans="18:18" ht="15.75" customHeight="1">
      <c r="R996" s="44"/>
    </row>
    <row r="997" spans="18:18" ht="15.75" customHeight="1">
      <c r="R997" s="44"/>
    </row>
    <row r="998" spans="18:18" ht="15.75" customHeight="1">
      <c r="R998" s="44"/>
    </row>
    <row r="999" spans="18:18" ht="15.75" customHeight="1">
      <c r="R999" s="44"/>
    </row>
    <row r="1000" spans="18:18" ht="15.75" customHeight="1">
      <c r="R1000" s="44"/>
    </row>
  </sheetData>
  <sortState ref="A11:AB60">
    <sortCondition descending="1" ref="S11:S60"/>
  </sortState>
  <mergeCells count="26"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P8:P10"/>
    <mergeCell ref="B7:B10"/>
    <mergeCell ref="C7:C10"/>
    <mergeCell ref="A1:O1"/>
    <mergeCell ref="A2:O2"/>
    <mergeCell ref="A3:O3"/>
    <mergeCell ref="A4:O4"/>
    <mergeCell ref="A5:O5"/>
    <mergeCell ref="A6:O6"/>
    <mergeCell ref="D7:S7"/>
    <mergeCell ref="A7:A10"/>
    <mergeCell ref="D8:D10"/>
    <mergeCell ref="E8:E10"/>
    <mergeCell ref="F8:F10"/>
    <mergeCell ref="G8:G10"/>
    <mergeCell ref="H8:H10"/>
    <mergeCell ref="I8:I10"/>
  </mergeCells>
  <printOptions horizontalCentered="1" verticalCentered="1"/>
  <pageMargins left="0" right="0" top="0.94488188976377963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Альбина</cp:lastModifiedBy>
  <cp:lastPrinted>2021-12-30T10:47:48Z</cp:lastPrinted>
  <dcterms:created xsi:type="dcterms:W3CDTF">2006-09-28T05:33:49Z</dcterms:created>
  <dcterms:modified xsi:type="dcterms:W3CDTF">2022-01-31T16:52:16Z</dcterms:modified>
</cp:coreProperties>
</file>