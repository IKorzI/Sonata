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відомість'!$A$11:$Z$120</definedName>
  </definedNames>
  <calcPr calcId="125725"/>
  <extLst>
    <ext uri="GoogleSheetsCustomDataVersion1">
      <go:sheetsCustomData xmlns:go="http://customooxmlschemas.google.com/" r:id="" roundtripDataSignature="AMtx7mhq/ElzPOHdHW2dJ1mbsmHfV98PVQ=="/>
    </ext>
  </extLst>
</workbook>
</file>

<file path=xl/calcChain.xml><?xml version="1.0" encoding="utf-8"?>
<calcChain xmlns="http://schemas.openxmlformats.org/spreadsheetml/2006/main">
  <c r="S16" i="2"/>
  <c r="S15"/>
  <c r="S13"/>
  <c r="S12"/>
  <c r="S24"/>
  <c r="S14"/>
  <c r="S17"/>
  <c r="S21"/>
  <c r="S11"/>
  <c r="S18"/>
  <c r="S25"/>
  <c r="S20"/>
  <c r="S23"/>
  <c r="S22"/>
  <c r="S19"/>
  <c r="D43" i="1"/>
  <c r="D42"/>
  <c r="D45" s="1"/>
  <c r="M37" l="1"/>
  <c r="L37"/>
  <c r="J37"/>
  <c r="D37"/>
  <c r="O37"/>
  <c r="E37"/>
  <c r="F37"/>
  <c r="A120" i="2" l="1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Q37" i="1"/>
  <c r="P37"/>
  <c r="N37"/>
  <c r="K37"/>
  <c r="I37"/>
  <c r="H37"/>
  <c r="G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P39" l="1"/>
  <c r="N39"/>
  <c r="L39"/>
  <c r="J39"/>
  <c r="H39"/>
  <c r="F39"/>
  <c r="D39"/>
  <c r="P38"/>
  <c r="N38"/>
  <c r="L38"/>
  <c r="J38"/>
  <c r="H38"/>
  <c r="F38"/>
  <c r="D38"/>
  <c r="Q39"/>
  <c r="O39"/>
  <c r="M39"/>
  <c r="K39"/>
  <c r="I39"/>
  <c r="G39"/>
  <c r="E39"/>
  <c r="Q38"/>
  <c r="O38"/>
  <c r="M38"/>
  <c r="K38"/>
  <c r="I38"/>
  <c r="G38"/>
  <c r="E38"/>
  <c r="R37"/>
  <c r="D41" l="1"/>
  <c r="D40"/>
</calcChain>
</file>

<file path=xl/sharedStrings.xml><?xml version="1.0" encoding="utf-8"?>
<sst xmlns="http://schemas.openxmlformats.org/spreadsheetml/2006/main" count="211" uniqueCount="70">
  <si>
    <t xml:space="preserve">ЗВЕДЕНА  ВІДОМІСТЬ  </t>
  </si>
  <si>
    <t>За І семестр 2021-2022 н.р.</t>
  </si>
  <si>
    <t>Група 21-7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</si>
  <si>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</si>
  <si>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</si>
  <si>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</si>
  <si>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</si>
  <si>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</si>
  <si>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</si>
  <si>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</si>
  <si>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Швець М.В.</t>
  </si>
  <si>
    <t>Хімія
Пономарьов К.Н.</t>
  </si>
  <si>
    <t>Інформатика
Охримчук В.С.</t>
  </si>
  <si>
    <t>Українська мова
Нестеренко А.О.</t>
  </si>
  <si>
    <t>Зарубіжна література
Пруднікова Я.П.</t>
  </si>
  <si>
    <t>Біологія
Богданенко О.В.</t>
  </si>
  <si>
    <t>Фізичне виховання
Акрабова О.Г.</t>
  </si>
  <si>
    <t>Іноземна мова
Нічик Н.О.</t>
  </si>
  <si>
    <t>ЗУ
Лазар В.І.
Стельмах Н.Ю.
Черкашин А.Д.</t>
  </si>
  <si>
    <t>Історія України
Левчук Т.Г.</t>
  </si>
  <si>
    <t>Географія
Наговська Т.С.</t>
  </si>
  <si>
    <t>Середній бал</t>
  </si>
  <si>
    <t>Б</t>
  </si>
  <si>
    <t>Аль-Фарра Давід Баширович</t>
  </si>
  <si>
    <t>н/а</t>
  </si>
  <si>
    <t xml:space="preserve">Бакланов Михайло Віталійович </t>
  </si>
  <si>
    <t>Бальжик Даніель Сергійович</t>
  </si>
  <si>
    <t>Бурлака Михайло Аркадійович</t>
  </si>
  <si>
    <t>К</t>
  </si>
  <si>
    <t>Волошина Віолета Миколаївна</t>
  </si>
  <si>
    <t>Джасімов Масуд Оскарович</t>
  </si>
  <si>
    <t>Єнчев Денис Сергійович</t>
  </si>
  <si>
    <t>Ільясов Ільяс Азерович</t>
  </si>
  <si>
    <t xml:space="preserve">Колосов Ілля Олександрович </t>
  </si>
  <si>
    <t>Лисейко Іван Богданович</t>
  </si>
  <si>
    <t>Любченко Ірина Володимирів.</t>
  </si>
  <si>
    <t>Нікольська Діана Геннадіївна</t>
  </si>
  <si>
    <t>Новік Олексій Олексійович</t>
  </si>
  <si>
    <t>Паскалов Микола Миколайов.</t>
  </si>
  <si>
    <t>Післарь Валерія Віталіївна</t>
  </si>
  <si>
    <t>Попов Максим Данилович</t>
  </si>
  <si>
    <t>Трушковська Анастасія Юріїв.</t>
  </si>
  <si>
    <t>Туриця Дарія Олексіївна</t>
  </si>
  <si>
    <t>Фенько Михайло Олександров.</t>
  </si>
  <si>
    <t>Фурик Дарія Василівна</t>
  </si>
  <si>
    <t>Чебан Максим Павлович</t>
  </si>
  <si>
    <t>Чернов Владислав Олексійович</t>
  </si>
  <si>
    <t>Чумак Мар’я Владиславівна</t>
  </si>
  <si>
    <t>Шевченко Олександр Володим.</t>
  </si>
  <si>
    <t>Ярмолович Данило Олегович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</si>
  <si>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</si>
  <si>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</si>
  <si>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</si>
  <si>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</si>
  <si>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</si>
  <si>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</si>
  <si>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</si>
  <si>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</si>
  <si>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</si>
  <si>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</si>
  <si>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Марія ЖУРАВЛЬОВА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</si>
  <si>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</si>
  <si>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</si>
  <si>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</si>
  <si>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</si>
  <si>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</si>
  <si>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ВСП "ФАХОВИЙ КОЛЕДЖ НАФТОГАЗОВИХ ТЕХНОЛОГІЙ, ІНЖЕНЕРІЇ ТА ІНФРАСТРУКТУРИ СЕРВІСУ</t>
  </si>
  <si>
    <t>ОДЕСЬКОЇ НАЦІОНАЛЬНОЇ АКАДЕМІЇ ХАРЧОВИХ ТЕХНОЛОГІЙ"</t>
  </si>
  <si>
    <t>Успішності студентів спеціальності 172 «Телекомунікації та радіотехніка», 185 «Нафтогазова інженерія та технологі»</t>
  </si>
  <si>
    <t>Самбуров Микола Вікторович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</si>
</sst>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2" fillId="0" borderId="0" xfId="0" applyFont="1"/>
    <xf numFmtId="0" fontId="0" fillId="0" borderId="0" xfId="0" applyFont="1"/>
    <xf numFmtId="0" fontId="7" fillId="0" borderId="8" xfId="0" applyFont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164" fontId="4" fillId="3" borderId="16" xfId="0" applyNumberFormat="1" applyFont="1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164" fontId="4" fillId="4" borderId="19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 applyAlignment="1"/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2" fontId="7" fillId="0" borderId="25" xfId="0" applyNumberFormat="1" applyFont="1" applyBorder="1" applyAlignment="1">
      <alignment horizontal="center" vertical="center"/>
    </xf>
    <xf numFmtId="0" fontId="12" fillId="0" borderId="0" xfId="0" applyFont="1" applyAlignment="1"/>
    <xf numFmtId="0" fontId="0" fillId="0" borderId="0" xfId="0" applyFont="1" applyAlignment="1"/>
    <xf numFmtId="164" fontId="4" fillId="0" borderId="1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left" vertical="center"/>
    </xf>
    <xf numFmtId="2" fontId="7" fillId="6" borderId="25" xfId="0" applyNumberFormat="1" applyFont="1" applyFill="1" applyBorder="1" applyAlignment="1">
      <alignment horizontal="center" vertical="center"/>
    </xf>
    <xf numFmtId="0" fontId="12" fillId="5" borderId="0" xfId="0" applyFont="1" applyFill="1" applyAlignment="1"/>
    <xf numFmtId="0" fontId="7" fillId="0" borderId="0" xfId="0" applyFont="1" applyAlignment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7" xfId="0" applyFont="1" applyBorder="1"/>
    <xf numFmtId="0" fontId="6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4" fillId="2" borderId="22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Z1015"/>
  <sheetViews>
    <sheetView tabSelected="1" topLeftCell="A13" workbookViewId="0">
      <selection activeCell="C27" sqref="C27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11.28515625" customWidth="1"/>
  </cols>
  <sheetData>
    <row r="1" spans="1:26" ht="15" customHeight="1">
      <c r="A1" s="64" t="s">
        <v>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64" t="s">
        <v>67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  <c r="Q2" s="1"/>
      <c r="R2" s="1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6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64" t="s">
        <v>68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1"/>
      <c r="Q4" s="1"/>
      <c r="R4" s="1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64" t="s">
        <v>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1"/>
      <c r="Q5" s="1"/>
      <c r="R5" s="1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64" t="s">
        <v>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1"/>
      <c r="Q6" s="1"/>
      <c r="R6" s="1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0" t="s">
        <v>3</v>
      </c>
      <c r="B7" s="62" t="s">
        <v>4</v>
      </c>
      <c r="C7" s="62" t="s">
        <v>5</v>
      </c>
      <c r="D7" s="67" t="s">
        <v>6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9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59"/>
      <c r="B8" s="59"/>
      <c r="C8" s="59"/>
      <c r="D8" s="58" t="s">
        <v>7</v>
      </c>
      <c r="E8" s="58" t="s">
        <v>8</v>
      </c>
      <c r="F8" s="58" t="s">
        <v>9</v>
      </c>
      <c r="G8" s="58" t="s">
        <v>10</v>
      </c>
      <c r="H8" s="58" t="s">
        <v>11</v>
      </c>
      <c r="I8" s="58" t="s">
        <v>12</v>
      </c>
      <c r="J8" s="58" t="s">
        <v>13</v>
      </c>
      <c r="K8" s="58" t="s">
        <v>14</v>
      </c>
      <c r="L8" s="58" t="s">
        <v>15</v>
      </c>
      <c r="M8" s="58" t="s">
        <v>16</v>
      </c>
      <c r="N8" s="58" t="s">
        <v>17</v>
      </c>
      <c r="O8" s="58" t="s">
        <v>18</v>
      </c>
      <c r="P8" s="58" t="s">
        <v>19</v>
      </c>
      <c r="Q8" s="58" t="s">
        <v>20</v>
      </c>
      <c r="R8" s="61" t="s">
        <v>21</v>
      </c>
      <c r="S8" s="2"/>
      <c r="T8" s="2"/>
      <c r="U8" s="2"/>
      <c r="V8" s="2"/>
      <c r="W8" s="2"/>
      <c r="X8" s="2"/>
      <c r="Y8" s="2"/>
      <c r="Z8" s="2"/>
    </row>
    <row r="9" spans="1:26" ht="15" customHeight="1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2"/>
      <c r="T9" s="2"/>
      <c r="U9" s="2"/>
      <c r="V9" s="2"/>
      <c r="W9" s="2"/>
      <c r="X9" s="2"/>
      <c r="Y9" s="2"/>
      <c r="Z9" s="2"/>
    </row>
    <row r="10" spans="1:26" ht="102" customHeight="1">
      <c r="A10" s="63"/>
      <c r="B10" s="63"/>
      <c r="C10" s="63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" t="s">
        <v>22</v>
      </c>
      <c r="B11" s="4">
        <v>1</v>
      </c>
      <c r="C11" s="5" t="s">
        <v>23</v>
      </c>
      <c r="D11" s="6">
        <v>4</v>
      </c>
      <c r="E11" s="7">
        <v>4</v>
      </c>
      <c r="F11" s="7" t="s">
        <v>24</v>
      </c>
      <c r="G11" s="8">
        <v>4</v>
      </c>
      <c r="H11" s="7">
        <v>4</v>
      </c>
      <c r="I11" s="6" t="s">
        <v>24</v>
      </c>
      <c r="J11" s="7">
        <v>6</v>
      </c>
      <c r="K11" s="7">
        <v>4</v>
      </c>
      <c r="L11" s="9">
        <v>4</v>
      </c>
      <c r="M11" s="10" t="s">
        <v>24</v>
      </c>
      <c r="N11" s="11">
        <v>4</v>
      </c>
      <c r="O11" s="12" t="s">
        <v>24</v>
      </c>
      <c r="P11" s="13" t="s">
        <v>24</v>
      </c>
      <c r="Q11" s="7" t="s">
        <v>24</v>
      </c>
      <c r="R11" s="14">
        <f t="shared" ref="R11:R37" si="0">AVERAGE(D11:Q11)</f>
        <v>4.25</v>
      </c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3" t="s">
        <v>22</v>
      </c>
      <c r="B12" s="4">
        <v>2</v>
      </c>
      <c r="C12" s="5" t="s">
        <v>25</v>
      </c>
      <c r="D12" s="15">
        <v>4</v>
      </c>
      <c r="E12" s="16">
        <v>4</v>
      </c>
      <c r="F12" s="16">
        <v>4</v>
      </c>
      <c r="G12" s="17" t="s">
        <v>24</v>
      </c>
      <c r="H12" s="16">
        <v>5</v>
      </c>
      <c r="I12" s="15">
        <v>6</v>
      </c>
      <c r="J12" s="16">
        <v>6</v>
      </c>
      <c r="K12" s="16">
        <v>4</v>
      </c>
      <c r="L12" s="18">
        <v>5</v>
      </c>
      <c r="M12" s="19">
        <v>8</v>
      </c>
      <c r="N12" s="20">
        <v>4</v>
      </c>
      <c r="O12" s="21" t="s">
        <v>24</v>
      </c>
      <c r="P12" s="22">
        <v>4</v>
      </c>
      <c r="Q12" s="23">
        <v>6</v>
      </c>
      <c r="R12" s="14">
        <f t="shared" si="0"/>
        <v>5</v>
      </c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3" t="s">
        <v>22</v>
      </c>
      <c r="B13" s="4">
        <v>3</v>
      </c>
      <c r="C13" s="5" t="s">
        <v>26</v>
      </c>
      <c r="D13" s="15">
        <v>7</v>
      </c>
      <c r="E13" s="16">
        <v>5</v>
      </c>
      <c r="F13" s="16">
        <v>4</v>
      </c>
      <c r="G13" s="16">
        <v>4</v>
      </c>
      <c r="H13" s="7">
        <v>9</v>
      </c>
      <c r="I13" s="15">
        <v>10</v>
      </c>
      <c r="J13" s="16">
        <v>4</v>
      </c>
      <c r="K13" s="16">
        <v>4</v>
      </c>
      <c r="L13" s="18">
        <v>6</v>
      </c>
      <c r="M13" s="19">
        <v>10</v>
      </c>
      <c r="N13" s="20">
        <v>9</v>
      </c>
      <c r="O13" s="21">
        <v>7</v>
      </c>
      <c r="P13" s="22">
        <v>6</v>
      </c>
      <c r="Q13" s="16">
        <v>6</v>
      </c>
      <c r="R13" s="14">
        <f t="shared" si="0"/>
        <v>6.5</v>
      </c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3" t="s">
        <v>22</v>
      </c>
      <c r="B14" s="4">
        <v>4</v>
      </c>
      <c r="C14" s="5" t="s">
        <v>27</v>
      </c>
      <c r="D14" s="15">
        <v>7</v>
      </c>
      <c r="E14" s="16">
        <v>9</v>
      </c>
      <c r="F14" s="16">
        <v>6</v>
      </c>
      <c r="G14" s="16">
        <v>6</v>
      </c>
      <c r="H14" s="16">
        <v>4</v>
      </c>
      <c r="I14" s="15">
        <v>9</v>
      </c>
      <c r="J14" s="16">
        <v>7</v>
      </c>
      <c r="K14" s="16">
        <v>7</v>
      </c>
      <c r="L14" s="18">
        <v>9</v>
      </c>
      <c r="M14" s="19">
        <v>10</v>
      </c>
      <c r="N14" s="20">
        <v>7</v>
      </c>
      <c r="O14" s="21">
        <v>10</v>
      </c>
      <c r="P14" s="22">
        <v>7</v>
      </c>
      <c r="Q14" s="23">
        <v>9</v>
      </c>
      <c r="R14" s="14">
        <f t="shared" si="0"/>
        <v>7.6428571428571432</v>
      </c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3" t="s">
        <v>28</v>
      </c>
      <c r="B15" s="4">
        <v>5</v>
      </c>
      <c r="C15" s="5" t="s">
        <v>29</v>
      </c>
      <c r="D15" s="15">
        <v>6</v>
      </c>
      <c r="E15" s="16">
        <v>8</v>
      </c>
      <c r="F15" s="16">
        <v>4</v>
      </c>
      <c r="G15" s="16">
        <v>5</v>
      </c>
      <c r="H15" s="16">
        <v>5</v>
      </c>
      <c r="I15" s="15">
        <v>9</v>
      </c>
      <c r="J15" s="16">
        <v>6</v>
      </c>
      <c r="K15" s="16">
        <v>5</v>
      </c>
      <c r="L15" s="18">
        <v>7</v>
      </c>
      <c r="M15" s="19">
        <v>9</v>
      </c>
      <c r="N15" s="20">
        <v>5</v>
      </c>
      <c r="O15" s="21">
        <v>9</v>
      </c>
      <c r="P15" s="22">
        <v>5</v>
      </c>
      <c r="Q15" s="23">
        <v>8</v>
      </c>
      <c r="R15" s="14">
        <f t="shared" si="0"/>
        <v>6.5</v>
      </c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3" t="s">
        <v>28</v>
      </c>
      <c r="B16" s="4">
        <v>6</v>
      </c>
      <c r="C16" s="5" t="s">
        <v>30</v>
      </c>
      <c r="D16" s="15">
        <v>4</v>
      </c>
      <c r="E16" s="16">
        <v>4</v>
      </c>
      <c r="F16" s="16" t="s">
        <v>24</v>
      </c>
      <c r="G16" s="16">
        <v>4</v>
      </c>
      <c r="H16" s="16">
        <v>4</v>
      </c>
      <c r="I16" s="15">
        <v>6</v>
      </c>
      <c r="J16" s="16" t="s">
        <v>24</v>
      </c>
      <c r="K16" s="16">
        <v>4</v>
      </c>
      <c r="L16" s="18">
        <v>4</v>
      </c>
      <c r="M16" s="19" t="s">
        <v>24</v>
      </c>
      <c r="N16" s="20">
        <v>4</v>
      </c>
      <c r="O16" s="21" t="s">
        <v>24</v>
      </c>
      <c r="P16" s="22" t="s">
        <v>24</v>
      </c>
      <c r="Q16" s="23" t="s">
        <v>24</v>
      </c>
      <c r="R16" s="14">
        <f t="shared" si="0"/>
        <v>4.25</v>
      </c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3" t="s">
        <v>22</v>
      </c>
      <c r="B17" s="4">
        <v>7</v>
      </c>
      <c r="C17" s="5" t="s">
        <v>31</v>
      </c>
      <c r="D17" s="15">
        <v>9</v>
      </c>
      <c r="E17" s="16">
        <v>9</v>
      </c>
      <c r="F17" s="16">
        <v>7</v>
      </c>
      <c r="G17" s="16">
        <v>5</v>
      </c>
      <c r="H17" s="16">
        <v>8</v>
      </c>
      <c r="I17" s="15">
        <v>7</v>
      </c>
      <c r="J17" s="16">
        <v>9</v>
      </c>
      <c r="K17" s="16">
        <v>8</v>
      </c>
      <c r="L17" s="18">
        <v>6</v>
      </c>
      <c r="M17" s="19">
        <v>10</v>
      </c>
      <c r="N17" s="20">
        <v>10</v>
      </c>
      <c r="O17" s="21">
        <v>6</v>
      </c>
      <c r="P17" s="22">
        <v>8</v>
      </c>
      <c r="Q17" s="23">
        <v>7</v>
      </c>
      <c r="R17" s="14">
        <f t="shared" si="0"/>
        <v>7.7857142857142856</v>
      </c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3" t="s">
        <v>22</v>
      </c>
      <c r="B18" s="4">
        <v>8</v>
      </c>
      <c r="C18" s="5" t="s">
        <v>32</v>
      </c>
      <c r="D18" s="15">
        <v>4</v>
      </c>
      <c r="E18" s="16">
        <v>4</v>
      </c>
      <c r="F18" s="16" t="s">
        <v>24</v>
      </c>
      <c r="G18" s="16">
        <v>4</v>
      </c>
      <c r="H18" s="16" t="s">
        <v>24</v>
      </c>
      <c r="I18" s="15" t="s">
        <v>24</v>
      </c>
      <c r="J18" s="16" t="s">
        <v>24</v>
      </c>
      <c r="K18" s="16">
        <v>4</v>
      </c>
      <c r="L18" s="18" t="s">
        <v>24</v>
      </c>
      <c r="M18" s="19" t="s">
        <v>24</v>
      </c>
      <c r="N18" s="20">
        <v>8</v>
      </c>
      <c r="O18" s="21" t="s">
        <v>24</v>
      </c>
      <c r="P18" s="22" t="s">
        <v>24</v>
      </c>
      <c r="Q18" s="23" t="s">
        <v>24</v>
      </c>
      <c r="R18" s="14">
        <f t="shared" si="0"/>
        <v>4.8</v>
      </c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3" t="s">
        <v>22</v>
      </c>
      <c r="B19" s="4">
        <v>9</v>
      </c>
      <c r="C19" s="5" t="s">
        <v>33</v>
      </c>
      <c r="D19" s="15">
        <v>9</v>
      </c>
      <c r="E19" s="16">
        <v>10</v>
      </c>
      <c r="F19" s="16">
        <v>6</v>
      </c>
      <c r="G19" s="16">
        <v>7</v>
      </c>
      <c r="H19" s="16">
        <v>8</v>
      </c>
      <c r="I19" s="15">
        <v>9</v>
      </c>
      <c r="J19" s="16">
        <v>9</v>
      </c>
      <c r="K19" s="16">
        <v>7</v>
      </c>
      <c r="L19" s="18">
        <v>7</v>
      </c>
      <c r="M19" s="19">
        <v>10</v>
      </c>
      <c r="N19" s="20">
        <v>8</v>
      </c>
      <c r="O19" s="21">
        <v>8</v>
      </c>
      <c r="P19" s="22">
        <v>7</v>
      </c>
      <c r="Q19" s="23">
        <v>9</v>
      </c>
      <c r="R19" s="14">
        <f t="shared" si="0"/>
        <v>8.1428571428571423</v>
      </c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3" t="s">
        <v>22</v>
      </c>
      <c r="B20" s="4">
        <v>10</v>
      </c>
      <c r="C20" s="5" t="s">
        <v>34</v>
      </c>
      <c r="D20" s="15">
        <v>9</v>
      </c>
      <c r="E20" s="16">
        <v>10</v>
      </c>
      <c r="F20" s="16">
        <v>6</v>
      </c>
      <c r="G20" s="16">
        <v>7</v>
      </c>
      <c r="H20" s="16">
        <v>7</v>
      </c>
      <c r="I20" s="15">
        <v>9</v>
      </c>
      <c r="J20" s="16">
        <v>10</v>
      </c>
      <c r="K20" s="16">
        <v>10</v>
      </c>
      <c r="L20" s="18">
        <v>7</v>
      </c>
      <c r="M20" s="19">
        <v>10</v>
      </c>
      <c r="N20" s="20">
        <v>8</v>
      </c>
      <c r="O20" s="21">
        <v>9</v>
      </c>
      <c r="P20" s="22">
        <v>7</v>
      </c>
      <c r="Q20" s="23">
        <v>10</v>
      </c>
      <c r="R20" s="14">
        <f t="shared" si="0"/>
        <v>8.5</v>
      </c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3" t="s">
        <v>22</v>
      </c>
      <c r="B21" s="4">
        <v>11</v>
      </c>
      <c r="C21" s="5" t="s">
        <v>35</v>
      </c>
      <c r="D21" s="15">
        <v>9</v>
      </c>
      <c r="E21" s="16">
        <v>5</v>
      </c>
      <c r="F21" s="16">
        <v>4</v>
      </c>
      <c r="G21" s="16">
        <v>5</v>
      </c>
      <c r="H21" s="16">
        <v>5</v>
      </c>
      <c r="I21" s="15">
        <v>7</v>
      </c>
      <c r="J21" s="16">
        <v>7</v>
      </c>
      <c r="K21" s="16">
        <v>4</v>
      </c>
      <c r="L21" s="18">
        <v>5</v>
      </c>
      <c r="M21" s="19">
        <v>8</v>
      </c>
      <c r="N21" s="20">
        <v>4</v>
      </c>
      <c r="O21" s="21">
        <v>5</v>
      </c>
      <c r="P21" s="22">
        <v>5</v>
      </c>
      <c r="Q21" s="23">
        <v>8</v>
      </c>
      <c r="R21" s="14">
        <f t="shared" si="0"/>
        <v>5.7857142857142856</v>
      </c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3" t="s">
        <v>22</v>
      </c>
      <c r="B22" s="4">
        <v>12</v>
      </c>
      <c r="C22" s="5" t="s">
        <v>36</v>
      </c>
      <c r="D22" s="6">
        <v>7</v>
      </c>
      <c r="E22" s="7">
        <v>9</v>
      </c>
      <c r="F22" s="7" t="s">
        <v>24</v>
      </c>
      <c r="G22" s="8">
        <v>5</v>
      </c>
      <c r="H22" s="7">
        <v>7</v>
      </c>
      <c r="I22" s="6">
        <v>9</v>
      </c>
      <c r="J22" s="7">
        <v>7</v>
      </c>
      <c r="K22" s="7">
        <v>4</v>
      </c>
      <c r="L22" s="9">
        <v>7</v>
      </c>
      <c r="M22" s="10">
        <v>8</v>
      </c>
      <c r="N22" s="11">
        <v>4</v>
      </c>
      <c r="O22" s="12">
        <v>6</v>
      </c>
      <c r="P22" s="13">
        <v>7</v>
      </c>
      <c r="Q22" s="24">
        <v>8</v>
      </c>
      <c r="R22" s="14">
        <f t="shared" si="0"/>
        <v>6.7692307692307692</v>
      </c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3" t="s">
        <v>22</v>
      </c>
      <c r="B23" s="4">
        <v>13</v>
      </c>
      <c r="C23" s="5" t="s">
        <v>37</v>
      </c>
      <c r="D23" s="15">
        <v>9</v>
      </c>
      <c r="E23" s="16">
        <v>8</v>
      </c>
      <c r="F23" s="16">
        <v>4</v>
      </c>
      <c r="G23" s="17">
        <v>6</v>
      </c>
      <c r="H23" s="16">
        <v>8</v>
      </c>
      <c r="I23" s="15">
        <v>7</v>
      </c>
      <c r="J23" s="16">
        <v>10</v>
      </c>
      <c r="K23" s="16">
        <v>9</v>
      </c>
      <c r="L23" s="18">
        <v>7</v>
      </c>
      <c r="M23" s="19">
        <v>10</v>
      </c>
      <c r="N23" s="20">
        <v>8</v>
      </c>
      <c r="O23" s="21">
        <v>9</v>
      </c>
      <c r="P23" s="22">
        <v>8</v>
      </c>
      <c r="Q23" s="23">
        <v>8</v>
      </c>
      <c r="R23" s="14">
        <f t="shared" si="0"/>
        <v>7.9285714285714288</v>
      </c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3" t="s">
        <v>22</v>
      </c>
      <c r="B24" s="4">
        <v>14</v>
      </c>
      <c r="C24" s="5" t="s">
        <v>38</v>
      </c>
      <c r="D24" s="15" t="s">
        <v>24</v>
      </c>
      <c r="E24" s="16">
        <v>5</v>
      </c>
      <c r="F24" s="16" t="s">
        <v>24</v>
      </c>
      <c r="G24" s="16">
        <v>4</v>
      </c>
      <c r="H24" s="7">
        <v>4</v>
      </c>
      <c r="I24" s="15">
        <v>4</v>
      </c>
      <c r="J24" s="16">
        <v>6</v>
      </c>
      <c r="K24" s="16" t="s">
        <v>24</v>
      </c>
      <c r="L24" s="18" t="s">
        <v>24</v>
      </c>
      <c r="M24" s="19">
        <v>8</v>
      </c>
      <c r="N24" s="20">
        <v>4</v>
      </c>
      <c r="O24" s="21">
        <v>4</v>
      </c>
      <c r="P24" s="22" t="s">
        <v>24</v>
      </c>
      <c r="Q24" s="23">
        <v>5</v>
      </c>
      <c r="R24" s="14">
        <f t="shared" si="0"/>
        <v>4.8888888888888893</v>
      </c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3" t="s">
        <v>22</v>
      </c>
      <c r="B25" s="4">
        <v>15</v>
      </c>
      <c r="C25" s="5" t="s">
        <v>39</v>
      </c>
      <c r="D25" s="15">
        <v>6</v>
      </c>
      <c r="E25" s="16">
        <v>9</v>
      </c>
      <c r="F25" s="16">
        <v>4</v>
      </c>
      <c r="G25" s="16">
        <v>6</v>
      </c>
      <c r="H25" s="16">
        <v>7</v>
      </c>
      <c r="I25" s="15">
        <v>9</v>
      </c>
      <c r="J25" s="16">
        <v>8</v>
      </c>
      <c r="K25" s="16">
        <v>9</v>
      </c>
      <c r="L25" s="18">
        <v>9</v>
      </c>
      <c r="M25" s="19">
        <v>10</v>
      </c>
      <c r="N25" s="20">
        <v>4</v>
      </c>
      <c r="O25" s="21">
        <v>8</v>
      </c>
      <c r="P25" s="22">
        <v>8</v>
      </c>
      <c r="Q25" s="23">
        <v>10</v>
      </c>
      <c r="R25" s="14">
        <f t="shared" si="0"/>
        <v>7.6428571428571432</v>
      </c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3" t="s">
        <v>28</v>
      </c>
      <c r="B26" s="4">
        <v>16</v>
      </c>
      <c r="C26" s="5" t="s">
        <v>40</v>
      </c>
      <c r="D26" s="15">
        <v>4</v>
      </c>
      <c r="E26" s="16">
        <v>8</v>
      </c>
      <c r="F26" s="16">
        <v>4</v>
      </c>
      <c r="G26" s="16">
        <v>5</v>
      </c>
      <c r="H26" s="16">
        <v>5</v>
      </c>
      <c r="I26" s="15">
        <v>8</v>
      </c>
      <c r="J26" s="16">
        <v>7</v>
      </c>
      <c r="K26" s="16">
        <v>4</v>
      </c>
      <c r="L26" s="18">
        <v>8</v>
      </c>
      <c r="M26" s="19">
        <v>8</v>
      </c>
      <c r="N26" s="20">
        <v>4</v>
      </c>
      <c r="O26" s="21">
        <v>4</v>
      </c>
      <c r="P26" s="22">
        <v>6</v>
      </c>
      <c r="Q26" s="23" t="s">
        <v>24</v>
      </c>
      <c r="R26" s="14">
        <f t="shared" si="0"/>
        <v>5.7692307692307692</v>
      </c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3" t="s">
        <v>28</v>
      </c>
      <c r="B27" s="4">
        <v>17</v>
      </c>
      <c r="C27" s="5" t="s">
        <v>69</v>
      </c>
      <c r="D27" s="15">
        <v>4</v>
      </c>
      <c r="E27" s="16" t="s">
        <v>24</v>
      </c>
      <c r="F27" s="16" t="s">
        <v>24</v>
      </c>
      <c r="G27" s="16" t="s">
        <v>24</v>
      </c>
      <c r="H27" s="16" t="s">
        <v>24</v>
      </c>
      <c r="I27" s="15" t="s">
        <v>24</v>
      </c>
      <c r="J27" s="16" t="s">
        <v>24</v>
      </c>
      <c r="K27" s="16">
        <v>4</v>
      </c>
      <c r="L27" s="18" t="s">
        <v>24</v>
      </c>
      <c r="M27" s="19" t="s">
        <v>24</v>
      </c>
      <c r="N27" s="20" t="s">
        <v>24</v>
      </c>
      <c r="O27" s="21" t="s">
        <v>24</v>
      </c>
      <c r="P27" s="22" t="s">
        <v>24</v>
      </c>
      <c r="Q27" s="23" t="s">
        <v>24</v>
      </c>
      <c r="R27" s="14">
        <f t="shared" si="0"/>
        <v>4</v>
      </c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3" t="s">
        <v>22</v>
      </c>
      <c r="B28" s="4">
        <v>18</v>
      </c>
      <c r="C28" s="5" t="s">
        <v>41</v>
      </c>
      <c r="D28" s="15">
        <v>6</v>
      </c>
      <c r="E28" s="16">
        <v>9</v>
      </c>
      <c r="F28" s="16">
        <v>4</v>
      </c>
      <c r="G28" s="16">
        <v>5</v>
      </c>
      <c r="H28" s="16">
        <v>6</v>
      </c>
      <c r="I28" s="15">
        <v>9</v>
      </c>
      <c r="J28" s="16">
        <v>8</v>
      </c>
      <c r="K28" s="16">
        <v>4</v>
      </c>
      <c r="L28" s="18">
        <v>6</v>
      </c>
      <c r="M28" s="19">
        <v>9</v>
      </c>
      <c r="N28" s="20">
        <v>4</v>
      </c>
      <c r="O28" s="21">
        <v>7</v>
      </c>
      <c r="P28" s="22">
        <v>6</v>
      </c>
      <c r="Q28" s="23">
        <v>7</v>
      </c>
      <c r="R28" s="14">
        <f t="shared" si="0"/>
        <v>6.4285714285714288</v>
      </c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3" t="s">
        <v>22</v>
      </c>
      <c r="B29" s="4">
        <v>19</v>
      </c>
      <c r="C29" s="5" t="s">
        <v>42</v>
      </c>
      <c r="D29" s="15">
        <v>9</v>
      </c>
      <c r="E29" s="16">
        <v>9</v>
      </c>
      <c r="F29" s="16">
        <v>5</v>
      </c>
      <c r="G29" s="16">
        <v>7</v>
      </c>
      <c r="H29" s="16">
        <v>7</v>
      </c>
      <c r="I29" s="15">
        <v>10</v>
      </c>
      <c r="J29" s="16">
        <v>10</v>
      </c>
      <c r="K29" s="16">
        <v>10</v>
      </c>
      <c r="L29" s="18">
        <v>9</v>
      </c>
      <c r="M29" s="19">
        <v>10</v>
      </c>
      <c r="N29" s="20">
        <v>7</v>
      </c>
      <c r="O29" s="21">
        <v>9</v>
      </c>
      <c r="P29" s="22">
        <v>8</v>
      </c>
      <c r="Q29" s="23">
        <v>10</v>
      </c>
      <c r="R29" s="14">
        <f t="shared" si="0"/>
        <v>8.5714285714285712</v>
      </c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3" t="s">
        <v>22</v>
      </c>
      <c r="B30" s="4">
        <v>20</v>
      </c>
      <c r="C30" s="5" t="s">
        <v>43</v>
      </c>
      <c r="D30" s="15">
        <v>5</v>
      </c>
      <c r="E30" s="16">
        <v>8</v>
      </c>
      <c r="F30" s="16">
        <v>4</v>
      </c>
      <c r="G30" s="16">
        <v>5</v>
      </c>
      <c r="H30" s="16" t="s">
        <v>24</v>
      </c>
      <c r="I30" s="15">
        <v>6</v>
      </c>
      <c r="J30" s="16">
        <v>4</v>
      </c>
      <c r="K30" s="16" t="s">
        <v>24</v>
      </c>
      <c r="L30" s="18">
        <v>4</v>
      </c>
      <c r="M30" s="19">
        <v>5</v>
      </c>
      <c r="N30" s="20">
        <v>4</v>
      </c>
      <c r="O30" s="21">
        <v>7</v>
      </c>
      <c r="P30" s="22">
        <v>7</v>
      </c>
      <c r="Q30" s="23">
        <v>5</v>
      </c>
      <c r="R30" s="14">
        <f t="shared" si="0"/>
        <v>5.333333333333333</v>
      </c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3" t="s">
        <v>22</v>
      </c>
      <c r="B31" s="4">
        <v>21</v>
      </c>
      <c r="C31" s="5" t="s">
        <v>44</v>
      </c>
      <c r="D31" s="15">
        <v>7</v>
      </c>
      <c r="E31" s="16">
        <v>10</v>
      </c>
      <c r="F31" s="16">
        <v>4</v>
      </c>
      <c r="G31" s="16">
        <v>7</v>
      </c>
      <c r="H31" s="16">
        <v>7</v>
      </c>
      <c r="I31" s="15">
        <v>8</v>
      </c>
      <c r="J31" s="16">
        <v>8</v>
      </c>
      <c r="K31" s="25">
        <v>7</v>
      </c>
      <c r="L31" s="18">
        <v>7</v>
      </c>
      <c r="M31" s="19">
        <v>10</v>
      </c>
      <c r="N31" s="20">
        <v>7</v>
      </c>
      <c r="O31" s="21">
        <v>8</v>
      </c>
      <c r="P31" s="22">
        <v>7</v>
      </c>
      <c r="Q31" s="23">
        <v>8</v>
      </c>
      <c r="R31" s="14">
        <f t="shared" si="0"/>
        <v>7.5</v>
      </c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3" t="s">
        <v>22</v>
      </c>
      <c r="B32" s="4">
        <v>22</v>
      </c>
      <c r="C32" s="5" t="s">
        <v>45</v>
      </c>
      <c r="D32" s="15">
        <v>7</v>
      </c>
      <c r="E32" s="16">
        <v>8</v>
      </c>
      <c r="F32" s="16">
        <v>6</v>
      </c>
      <c r="G32" s="16">
        <v>4</v>
      </c>
      <c r="H32" s="16">
        <v>4</v>
      </c>
      <c r="I32" s="15">
        <v>6</v>
      </c>
      <c r="J32" s="16">
        <v>7</v>
      </c>
      <c r="K32" s="16">
        <v>4</v>
      </c>
      <c r="L32" s="18">
        <v>4</v>
      </c>
      <c r="M32" s="19">
        <v>9</v>
      </c>
      <c r="N32" s="20">
        <v>4</v>
      </c>
      <c r="O32" s="21">
        <v>5</v>
      </c>
      <c r="P32" s="26">
        <v>6</v>
      </c>
      <c r="Q32" s="23">
        <v>7</v>
      </c>
      <c r="R32" s="14">
        <f t="shared" si="0"/>
        <v>5.7857142857142856</v>
      </c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3" t="s">
        <v>22</v>
      </c>
      <c r="B33" s="4">
        <v>23</v>
      </c>
      <c r="C33" s="5" t="s">
        <v>46</v>
      </c>
      <c r="D33" s="15">
        <v>8</v>
      </c>
      <c r="E33" s="16">
        <v>8</v>
      </c>
      <c r="F33" s="16">
        <v>4</v>
      </c>
      <c r="G33" s="16">
        <v>5</v>
      </c>
      <c r="H33" s="16">
        <v>5</v>
      </c>
      <c r="I33" s="15">
        <v>7</v>
      </c>
      <c r="J33" s="16">
        <v>8</v>
      </c>
      <c r="K33" s="16">
        <v>5</v>
      </c>
      <c r="L33" s="18">
        <v>7</v>
      </c>
      <c r="M33" s="19">
        <v>10</v>
      </c>
      <c r="N33" s="20">
        <v>4</v>
      </c>
      <c r="O33" s="21">
        <v>7</v>
      </c>
      <c r="P33" s="16">
        <v>6</v>
      </c>
      <c r="Q33" s="23">
        <v>7</v>
      </c>
      <c r="R33" s="14">
        <f t="shared" si="0"/>
        <v>6.5</v>
      </c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3" t="s">
        <v>22</v>
      </c>
      <c r="B34" s="4">
        <v>24</v>
      </c>
      <c r="C34" s="5" t="s">
        <v>47</v>
      </c>
      <c r="D34" s="15">
        <v>6</v>
      </c>
      <c r="E34" s="16">
        <v>8</v>
      </c>
      <c r="F34" s="16">
        <v>4</v>
      </c>
      <c r="G34" s="16">
        <v>6</v>
      </c>
      <c r="H34" s="16">
        <v>6</v>
      </c>
      <c r="I34" s="27">
        <v>6</v>
      </c>
      <c r="J34" s="16">
        <v>7</v>
      </c>
      <c r="K34" s="16">
        <v>5</v>
      </c>
      <c r="L34" s="18">
        <v>6</v>
      </c>
      <c r="M34" s="19">
        <v>6</v>
      </c>
      <c r="N34" s="20">
        <v>5</v>
      </c>
      <c r="O34" s="21">
        <v>8</v>
      </c>
      <c r="P34" s="22">
        <v>5</v>
      </c>
      <c r="Q34" s="23">
        <v>7</v>
      </c>
      <c r="R34" s="14">
        <f t="shared" si="0"/>
        <v>6.0714285714285712</v>
      </c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3" t="s">
        <v>28</v>
      </c>
      <c r="B35" s="4">
        <v>25</v>
      </c>
      <c r="C35" s="5" t="s">
        <v>48</v>
      </c>
      <c r="D35" s="15" t="s">
        <v>24</v>
      </c>
      <c r="E35" s="16" t="s">
        <v>24</v>
      </c>
      <c r="F35" s="16" t="s">
        <v>24</v>
      </c>
      <c r="G35" s="16" t="s">
        <v>24</v>
      </c>
      <c r="H35" s="16" t="s">
        <v>24</v>
      </c>
      <c r="I35" s="27" t="s">
        <v>24</v>
      </c>
      <c r="J35" s="16" t="s">
        <v>24</v>
      </c>
      <c r="K35" s="16" t="s">
        <v>24</v>
      </c>
      <c r="L35" s="18" t="s">
        <v>24</v>
      </c>
      <c r="M35" s="19" t="s">
        <v>24</v>
      </c>
      <c r="N35" s="20">
        <v>4</v>
      </c>
      <c r="O35" s="21" t="s">
        <v>24</v>
      </c>
      <c r="P35" s="22" t="s">
        <v>24</v>
      </c>
      <c r="Q35" s="23" t="s">
        <v>24</v>
      </c>
      <c r="R35" s="14">
        <f t="shared" si="0"/>
        <v>4</v>
      </c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3" t="s">
        <v>22</v>
      </c>
      <c r="B36" s="4">
        <v>26</v>
      </c>
      <c r="C36" s="5" t="s">
        <v>49</v>
      </c>
      <c r="D36" s="15">
        <v>9</v>
      </c>
      <c r="E36" s="16">
        <v>9</v>
      </c>
      <c r="F36" s="16">
        <v>4</v>
      </c>
      <c r="G36" s="16">
        <v>5</v>
      </c>
      <c r="H36" s="16">
        <v>6</v>
      </c>
      <c r="I36" s="27">
        <v>5</v>
      </c>
      <c r="J36" s="16">
        <v>7</v>
      </c>
      <c r="K36" s="16">
        <v>7</v>
      </c>
      <c r="L36" s="18">
        <v>5</v>
      </c>
      <c r="M36" s="19">
        <v>10</v>
      </c>
      <c r="N36" s="20">
        <v>6</v>
      </c>
      <c r="O36" s="21">
        <v>5</v>
      </c>
      <c r="P36" s="22">
        <v>6</v>
      </c>
      <c r="Q36" s="23">
        <v>6</v>
      </c>
      <c r="R36" s="14">
        <f t="shared" si="0"/>
        <v>6.4285714285714288</v>
      </c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1"/>
      <c r="C37" s="28" t="s">
        <v>50</v>
      </c>
      <c r="D37" s="14">
        <f>AVERAGE(D11:D34)</f>
        <v>6.5217391304347823</v>
      </c>
      <c r="E37" s="14">
        <f>AVERAGE(E11:E34)</f>
        <v>7.4347826086956523</v>
      </c>
      <c r="F37" s="14">
        <f>AVERAGE(F11:F34)</f>
        <v>4.666666666666667</v>
      </c>
      <c r="G37" s="14">
        <f t="shared" ref="G37:Q37" si="1">AVERAGE(G11:G29)</f>
        <v>5.2352941176470589</v>
      </c>
      <c r="H37" s="14">
        <f t="shared" si="1"/>
        <v>6.0588235294117645</v>
      </c>
      <c r="I37" s="14">
        <f t="shared" si="1"/>
        <v>8</v>
      </c>
      <c r="J37" s="14">
        <f>AVERAGE(J11:J34)</f>
        <v>7.333333333333333</v>
      </c>
      <c r="K37" s="14">
        <f t="shared" si="1"/>
        <v>5.833333333333333</v>
      </c>
      <c r="L37" s="14">
        <f>AVERAGE(L11:L34)</f>
        <v>6.3809523809523814</v>
      </c>
      <c r="M37" s="29">
        <f>AVERAGE(M11:M34)</f>
        <v>8.9</v>
      </c>
      <c r="N37" s="30">
        <f t="shared" si="1"/>
        <v>5.8888888888888893</v>
      </c>
      <c r="O37" s="31">
        <f>AVERAGE(O11:O34)</f>
        <v>7.1578947368421053</v>
      </c>
      <c r="P37" s="32">
        <f t="shared" si="1"/>
        <v>6.5714285714285712</v>
      </c>
      <c r="Q37" s="31">
        <f t="shared" si="1"/>
        <v>7.9285714285714288</v>
      </c>
      <c r="R37" s="14">
        <f t="shared" si="0"/>
        <v>6.7079791947289982</v>
      </c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1"/>
      <c r="C38" s="33" t="s">
        <v>51</v>
      </c>
      <c r="D38" s="34">
        <f>(COUNT(D10:D36))/(COUNT(R10:R36))*100</f>
        <v>92.307692307692307</v>
      </c>
      <c r="E38" s="34">
        <f>(COUNT(E10:E36))/(COUNT(R10:R36))*100</f>
        <v>92.307692307692307</v>
      </c>
      <c r="F38" s="34">
        <f>(COUNT(F10:F36))/(COUNT(R10:R36))*100</f>
        <v>73.076923076923066</v>
      </c>
      <c r="G38" s="34">
        <f>(COUNT(G10:G36))/(COUNT(R10:R36))*100</f>
        <v>88.461538461538453</v>
      </c>
      <c r="H38" s="34">
        <f>(COUNT(H10:H36))/(COUNT(R10:R36))*100</f>
        <v>84.615384615384613</v>
      </c>
      <c r="I38" s="34">
        <f>(COUNT(I10:I36))/(COUNT(R10:R36))*100</f>
        <v>84.615384615384613</v>
      </c>
      <c r="J38" s="34">
        <f>(COUNT(J10:J36))/(COUNT(R10:R36))*100</f>
        <v>84.615384615384613</v>
      </c>
      <c r="K38" s="34">
        <f>(COUNT(K10:K36))/(COUNT(R10:R36))*100</f>
        <v>88.461538461538453</v>
      </c>
      <c r="L38" s="34">
        <f>(COUNT(L10:L36))/(COUNT(R10:R36))*100</f>
        <v>84.615384615384613</v>
      </c>
      <c r="M38" s="34">
        <f>(COUNT(M10:M36))/(COUNT(R10:R36))*100</f>
        <v>80.769230769230774</v>
      </c>
      <c r="N38" s="34">
        <f>(COUNT(N10:N36))/(COUNT(R10:R36))*100</f>
        <v>96.15384615384616</v>
      </c>
      <c r="O38" s="34">
        <f>(COUNT(O10:O36))/(COUNT(R10:R36))*100</f>
        <v>76.923076923076934</v>
      </c>
      <c r="P38" s="34">
        <f>(COUNT(P10:P36))/(COUNT(R10:R36))*100</f>
        <v>76.923076923076934</v>
      </c>
      <c r="Q38" s="34">
        <f>(COUNT(Q10:Q36))/(COUNT(R10:R36))*100</f>
        <v>76.923076923076934</v>
      </c>
      <c r="R38" s="36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1"/>
      <c r="C39" s="37" t="s">
        <v>52</v>
      </c>
      <c r="D39" s="35">
        <f>(COUNTIF(D10:D36,"&gt;6"))/(COUNT(R10:R36))*100</f>
        <v>50</v>
      </c>
      <c r="E39" s="35">
        <f>(COUNTIF(E10:E36,"&gt;6"))/(COUNT(R10:R36))*100</f>
        <v>65.384615384615387</v>
      </c>
      <c r="F39" s="35">
        <f>(COUNTIF(F10:F36,"&gt;6"))/(COUNT(R10:R36))*100</f>
        <v>3.8461538461538463</v>
      </c>
      <c r="G39" s="35">
        <f>(COUNTIF(G10:G36,"&gt;6"))/(COUNT(R10:R36))*100</f>
        <v>15.384615384615385</v>
      </c>
      <c r="H39" s="35">
        <f>(COUNTIF(H10:H36,"&gt;6"))/(COUNT(R10:R36))*100</f>
        <v>34.615384615384613</v>
      </c>
      <c r="I39" s="35">
        <f>(COUNTIF(I10:I36,"&gt;6"))/(COUNT(R10:R36))*100</f>
        <v>57.692307692307686</v>
      </c>
      <c r="J39" s="35">
        <f>(COUNTIF(J10:J36,"&gt;6"))/(COUNT(R10:R36))*100</f>
        <v>61.53846153846154</v>
      </c>
      <c r="K39" s="35">
        <f>(COUNTIF(K10:K36,"&gt;6"))/(COUNT(R10:R36))*100</f>
        <v>34.615384615384613</v>
      </c>
      <c r="L39" s="35">
        <f>(COUNTIF(L10:L36,"&gt;6"))/(COUNT(R10:R36))*100</f>
        <v>42.307692307692307</v>
      </c>
      <c r="M39" s="35">
        <f>(COUNTIF(M10:M36,"&gt;6"))/(COUNT(R10:R36))*100</f>
        <v>73.076923076923066</v>
      </c>
      <c r="N39" s="35">
        <f>(COUNTIF(N10:N36,"&gt;6"))/(COUNT(R10:R36))*100</f>
        <v>34.615384615384613</v>
      </c>
      <c r="O39" s="35">
        <f>(COUNTIF(O10:O36,"&gt;6"))/(COUNT(R10:R36))*100</f>
        <v>50</v>
      </c>
      <c r="P39" s="35">
        <f>(COUNTIF(P10:P36,"&gt;6"))/(COUNT(R10:R36))*100</f>
        <v>38.461538461538467</v>
      </c>
      <c r="Q39" s="35">
        <f>(COUNTIF(Q10:Q36,"&gt;6"))/(COUNT(R10:R36))*100</f>
        <v>57.692307692307686</v>
      </c>
      <c r="R39" s="36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1"/>
      <c r="C40" s="37" t="s">
        <v>53</v>
      </c>
      <c r="D40" s="14">
        <f t="shared" ref="D40:D41" si="2">AVERAGE(D38:Q38)</f>
        <v>84.340659340659343</v>
      </c>
      <c r="E40" s="38"/>
      <c r="F40" s="38"/>
      <c r="G40" s="38"/>
      <c r="H40" s="38"/>
      <c r="I40" s="39"/>
      <c r="J40" s="39"/>
      <c r="K40" s="39"/>
      <c r="L40" s="39"/>
      <c r="M40" s="39"/>
      <c r="N40" s="39"/>
      <c r="O40" s="39"/>
      <c r="P40" s="39"/>
      <c r="Q40" s="39"/>
      <c r="R40" s="40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1"/>
      <c r="C41" s="37" t="s">
        <v>54</v>
      </c>
      <c r="D41" s="14">
        <f t="shared" si="2"/>
        <v>44.230769230769234</v>
      </c>
      <c r="E41" s="38"/>
      <c r="F41" s="38"/>
      <c r="G41" s="38"/>
      <c r="H41" s="38"/>
      <c r="I41" s="39"/>
      <c r="J41" s="39"/>
      <c r="K41" s="39"/>
      <c r="L41" s="39"/>
      <c r="M41" s="39"/>
      <c r="N41" s="39"/>
      <c r="O41" s="39"/>
      <c r="P41" s="39"/>
      <c r="Q41" s="39"/>
      <c r="R41" s="40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37" t="s">
        <v>55</v>
      </c>
      <c r="D42" s="50">
        <f>COUNTIF(A8:A36,"=Б")</f>
        <v>21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37" t="s">
        <v>56</v>
      </c>
      <c r="D43" s="50">
        <f>COUNTIF(A8:A36,"=К")</f>
        <v>5</v>
      </c>
      <c r="E43" s="2"/>
      <c r="F43" s="2"/>
      <c r="G43" s="42" t="s">
        <v>59</v>
      </c>
      <c r="H43" s="42"/>
      <c r="I43" s="42"/>
      <c r="J43" s="43"/>
      <c r="K43" s="43"/>
      <c r="M43" s="42"/>
      <c r="N43" s="42" t="s">
        <v>60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37" t="s">
        <v>57</v>
      </c>
      <c r="D44" s="51">
        <v>1</v>
      </c>
      <c r="E44" s="2"/>
      <c r="F44" s="2"/>
      <c r="G44" s="2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37" t="s">
        <v>58</v>
      </c>
      <c r="D45" s="52">
        <f>INT(D42/100*45)</f>
        <v>9</v>
      </c>
      <c r="E45" s="2"/>
      <c r="F45" s="2"/>
      <c r="G45" s="42" t="s">
        <v>61</v>
      </c>
      <c r="H45" s="42"/>
      <c r="I45" s="42"/>
      <c r="J45" s="42"/>
      <c r="K45" s="42"/>
      <c r="M45" s="42"/>
      <c r="N45" s="42" t="s">
        <v>62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41"/>
      <c r="F49" s="41"/>
      <c r="G49" s="4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</sheetData>
  <mergeCells count="25"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70866141732283472" right="0.70866141732283472" top="0" bottom="0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Z1007"/>
  <sheetViews>
    <sheetView workbookViewId="0">
      <selection activeCell="E26" sqref="E2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8.85546875" customWidth="1"/>
    <col min="19" max="19" width="11.28515625" customWidth="1"/>
  </cols>
  <sheetData>
    <row r="1" spans="1:26" ht="15" customHeight="1">
      <c r="A1" s="64" t="s">
        <v>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1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>
      <c r="A2" s="64" t="s">
        <v>67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5" customHeight="1">
      <c r="A3" s="66" t="s">
        <v>63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1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5" customHeight="1">
      <c r="A4" s="64" t="s">
        <v>68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1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5" customHeight="1">
      <c r="A5" s="64" t="s">
        <v>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1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5" customHeight="1">
      <c r="A6" s="64" t="s">
        <v>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1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15" customHeight="1">
      <c r="A7" s="70" t="s">
        <v>3</v>
      </c>
      <c r="B7" s="62" t="s">
        <v>4</v>
      </c>
      <c r="C7" s="72" t="s">
        <v>5</v>
      </c>
      <c r="D7" s="67" t="s">
        <v>6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9"/>
      <c r="T7" s="2"/>
      <c r="U7" s="2"/>
      <c r="V7" s="2"/>
      <c r="W7" s="2"/>
      <c r="X7" s="2"/>
      <c r="Y7" s="2"/>
      <c r="Z7" s="2"/>
    </row>
    <row r="8" spans="1:26" ht="15" customHeight="1">
      <c r="A8" s="59"/>
      <c r="B8" s="59"/>
      <c r="C8" s="73"/>
      <c r="D8" s="58" t="s">
        <v>7</v>
      </c>
      <c r="E8" s="58" t="s">
        <v>8</v>
      </c>
      <c r="F8" s="58" t="s">
        <v>9</v>
      </c>
      <c r="G8" s="58" t="s">
        <v>10</v>
      </c>
      <c r="H8" s="58" t="s">
        <v>11</v>
      </c>
      <c r="I8" s="58" t="s">
        <v>12</v>
      </c>
      <c r="J8" s="58" t="s">
        <v>13</v>
      </c>
      <c r="K8" s="58" t="s">
        <v>14</v>
      </c>
      <c r="L8" s="58" t="s">
        <v>15</v>
      </c>
      <c r="M8" s="58" t="s">
        <v>16</v>
      </c>
      <c r="N8" s="58" t="s">
        <v>17</v>
      </c>
      <c r="O8" s="58" t="s">
        <v>18</v>
      </c>
      <c r="P8" s="58" t="s">
        <v>19</v>
      </c>
      <c r="Q8" s="58" t="s">
        <v>20</v>
      </c>
      <c r="R8" s="71" t="s">
        <v>64</v>
      </c>
      <c r="S8" s="61" t="s">
        <v>65</v>
      </c>
      <c r="T8" s="2"/>
      <c r="U8" s="2"/>
      <c r="V8" s="2"/>
      <c r="W8" s="2"/>
      <c r="X8" s="2"/>
      <c r="Y8" s="2"/>
      <c r="Z8" s="2"/>
    </row>
    <row r="9" spans="1:26" ht="15" customHeight="1">
      <c r="A9" s="59"/>
      <c r="B9" s="59"/>
      <c r="C9" s="73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2"/>
      <c r="U9" s="2"/>
      <c r="V9" s="2"/>
      <c r="W9" s="2"/>
      <c r="X9" s="2"/>
      <c r="Y9" s="2"/>
      <c r="Z9" s="2"/>
    </row>
    <row r="10" spans="1:26" ht="98.25" customHeight="1">
      <c r="A10" s="60"/>
      <c r="B10" s="60"/>
      <c r="C10" s="74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2"/>
      <c r="U10" s="2"/>
      <c r="V10" s="2"/>
      <c r="W10" s="2"/>
      <c r="X10" s="2"/>
      <c r="Y10" s="2"/>
      <c r="Z10" s="2"/>
    </row>
    <row r="11" spans="1:26" s="56" customFormat="1" ht="15.75">
      <c r="A11" s="53" t="s">
        <v>22</v>
      </c>
      <c r="B11" s="53">
        <v>1</v>
      </c>
      <c r="C11" s="54" t="s">
        <v>42</v>
      </c>
      <c r="D11" s="53">
        <v>9</v>
      </c>
      <c r="E11" s="53">
        <v>9</v>
      </c>
      <c r="F11" s="53">
        <v>5</v>
      </c>
      <c r="G11" s="53">
        <v>7</v>
      </c>
      <c r="H11" s="53">
        <v>7</v>
      </c>
      <c r="I11" s="53">
        <v>10</v>
      </c>
      <c r="J11" s="53">
        <v>10</v>
      </c>
      <c r="K11" s="53">
        <v>10</v>
      </c>
      <c r="L11" s="53">
        <v>9</v>
      </c>
      <c r="M11" s="53">
        <v>10</v>
      </c>
      <c r="N11" s="53">
        <v>7</v>
      </c>
      <c r="O11" s="53">
        <v>9</v>
      </c>
      <c r="P11" s="53">
        <v>8</v>
      </c>
      <c r="Q11" s="53">
        <v>10</v>
      </c>
      <c r="R11" s="55">
        <v>8.5714285714285712</v>
      </c>
      <c r="S11" s="55">
        <f t="shared" ref="S11:S25" si="0">R11*90/12</f>
        <v>64.285714285714292</v>
      </c>
    </row>
    <row r="12" spans="1:26" s="56" customFormat="1" ht="15.75">
      <c r="A12" s="53" t="s">
        <v>22</v>
      </c>
      <c r="B12" s="53">
        <v>2</v>
      </c>
      <c r="C12" s="54" t="s">
        <v>34</v>
      </c>
      <c r="D12" s="53">
        <v>9</v>
      </c>
      <c r="E12" s="53">
        <v>10</v>
      </c>
      <c r="F12" s="53">
        <v>6</v>
      </c>
      <c r="G12" s="53">
        <v>7</v>
      </c>
      <c r="H12" s="53">
        <v>7</v>
      </c>
      <c r="I12" s="53">
        <v>9</v>
      </c>
      <c r="J12" s="53">
        <v>10</v>
      </c>
      <c r="K12" s="53">
        <v>10</v>
      </c>
      <c r="L12" s="53">
        <v>7</v>
      </c>
      <c r="M12" s="53">
        <v>10</v>
      </c>
      <c r="N12" s="53">
        <v>8</v>
      </c>
      <c r="O12" s="53">
        <v>9</v>
      </c>
      <c r="P12" s="53">
        <v>7</v>
      </c>
      <c r="Q12" s="53">
        <v>10</v>
      </c>
      <c r="R12" s="55">
        <v>8.5</v>
      </c>
      <c r="S12" s="55">
        <f t="shared" si="0"/>
        <v>63.75</v>
      </c>
    </row>
    <row r="13" spans="1:26" s="56" customFormat="1" ht="15.75">
      <c r="A13" s="53" t="s">
        <v>22</v>
      </c>
      <c r="B13" s="53">
        <v>3</v>
      </c>
      <c r="C13" s="54" t="s">
        <v>33</v>
      </c>
      <c r="D13" s="53">
        <v>9</v>
      </c>
      <c r="E13" s="53">
        <v>10</v>
      </c>
      <c r="F13" s="53">
        <v>6</v>
      </c>
      <c r="G13" s="53">
        <v>7</v>
      </c>
      <c r="H13" s="53">
        <v>8</v>
      </c>
      <c r="I13" s="53">
        <v>9</v>
      </c>
      <c r="J13" s="53">
        <v>9</v>
      </c>
      <c r="K13" s="53">
        <v>7</v>
      </c>
      <c r="L13" s="53">
        <v>7</v>
      </c>
      <c r="M13" s="53">
        <v>10</v>
      </c>
      <c r="N13" s="53">
        <v>8</v>
      </c>
      <c r="O13" s="53">
        <v>8</v>
      </c>
      <c r="P13" s="53">
        <v>7</v>
      </c>
      <c r="Q13" s="53">
        <v>9</v>
      </c>
      <c r="R13" s="55">
        <v>8.1428571428571423</v>
      </c>
      <c r="S13" s="55">
        <f t="shared" si="0"/>
        <v>61.071428571428562</v>
      </c>
    </row>
    <row r="14" spans="1:26" s="56" customFormat="1" ht="15.75">
      <c r="A14" s="53" t="s">
        <v>22</v>
      </c>
      <c r="B14" s="53">
        <v>4</v>
      </c>
      <c r="C14" s="54" t="s">
        <v>37</v>
      </c>
      <c r="D14" s="53">
        <v>9</v>
      </c>
      <c r="E14" s="53">
        <v>8</v>
      </c>
      <c r="F14" s="53">
        <v>4</v>
      </c>
      <c r="G14" s="53">
        <v>6</v>
      </c>
      <c r="H14" s="53">
        <v>8</v>
      </c>
      <c r="I14" s="53">
        <v>7</v>
      </c>
      <c r="J14" s="53">
        <v>10</v>
      </c>
      <c r="K14" s="53">
        <v>9</v>
      </c>
      <c r="L14" s="53">
        <v>7</v>
      </c>
      <c r="M14" s="53">
        <v>10</v>
      </c>
      <c r="N14" s="53">
        <v>8</v>
      </c>
      <c r="O14" s="53">
        <v>9</v>
      </c>
      <c r="P14" s="53">
        <v>8</v>
      </c>
      <c r="Q14" s="53">
        <v>8</v>
      </c>
      <c r="R14" s="55">
        <v>7.9285714285714288</v>
      </c>
      <c r="S14" s="55">
        <f t="shared" si="0"/>
        <v>59.464285714285715</v>
      </c>
    </row>
    <row r="15" spans="1:26" s="56" customFormat="1" ht="15.75">
      <c r="A15" s="53" t="s">
        <v>22</v>
      </c>
      <c r="B15" s="53">
        <v>5</v>
      </c>
      <c r="C15" s="54" t="s">
        <v>31</v>
      </c>
      <c r="D15" s="53">
        <v>9</v>
      </c>
      <c r="E15" s="53">
        <v>9</v>
      </c>
      <c r="F15" s="53">
        <v>7</v>
      </c>
      <c r="G15" s="53">
        <v>5</v>
      </c>
      <c r="H15" s="53">
        <v>8</v>
      </c>
      <c r="I15" s="53">
        <v>7</v>
      </c>
      <c r="J15" s="53">
        <v>9</v>
      </c>
      <c r="K15" s="53">
        <v>8</v>
      </c>
      <c r="L15" s="53">
        <v>6</v>
      </c>
      <c r="M15" s="53">
        <v>10</v>
      </c>
      <c r="N15" s="53">
        <v>10</v>
      </c>
      <c r="O15" s="53">
        <v>6</v>
      </c>
      <c r="P15" s="53">
        <v>8</v>
      </c>
      <c r="Q15" s="53">
        <v>7</v>
      </c>
      <c r="R15" s="55">
        <v>7.7857142857142856</v>
      </c>
      <c r="S15" s="55">
        <f t="shared" si="0"/>
        <v>58.392857142857139</v>
      </c>
    </row>
    <row r="16" spans="1:26" s="56" customFormat="1" ht="15.75">
      <c r="A16" s="53" t="s">
        <v>22</v>
      </c>
      <c r="B16" s="53">
        <v>6</v>
      </c>
      <c r="C16" s="54" t="s">
        <v>27</v>
      </c>
      <c r="D16" s="53">
        <v>7</v>
      </c>
      <c r="E16" s="53">
        <v>9</v>
      </c>
      <c r="F16" s="53">
        <v>6</v>
      </c>
      <c r="G16" s="53">
        <v>6</v>
      </c>
      <c r="H16" s="53">
        <v>4</v>
      </c>
      <c r="I16" s="53">
        <v>9</v>
      </c>
      <c r="J16" s="53">
        <v>7</v>
      </c>
      <c r="K16" s="53">
        <v>7</v>
      </c>
      <c r="L16" s="53">
        <v>9</v>
      </c>
      <c r="M16" s="53">
        <v>10</v>
      </c>
      <c r="N16" s="53">
        <v>7</v>
      </c>
      <c r="O16" s="53">
        <v>10</v>
      </c>
      <c r="P16" s="53">
        <v>7</v>
      </c>
      <c r="Q16" s="53">
        <v>9</v>
      </c>
      <c r="R16" s="55">
        <v>7.6428571428571432</v>
      </c>
      <c r="S16" s="55">
        <f t="shared" si="0"/>
        <v>57.321428571428577</v>
      </c>
    </row>
    <row r="17" spans="1:19" s="56" customFormat="1" ht="15.75">
      <c r="A17" s="53" t="s">
        <v>22</v>
      </c>
      <c r="B17" s="53">
        <v>7</v>
      </c>
      <c r="C17" s="54" t="s">
        <v>39</v>
      </c>
      <c r="D17" s="53">
        <v>6</v>
      </c>
      <c r="E17" s="53">
        <v>9</v>
      </c>
      <c r="F17" s="53">
        <v>4</v>
      </c>
      <c r="G17" s="53">
        <v>6</v>
      </c>
      <c r="H17" s="53">
        <v>7</v>
      </c>
      <c r="I17" s="53">
        <v>9</v>
      </c>
      <c r="J17" s="53">
        <v>8</v>
      </c>
      <c r="K17" s="53">
        <v>9</v>
      </c>
      <c r="L17" s="53">
        <v>9</v>
      </c>
      <c r="M17" s="53">
        <v>10</v>
      </c>
      <c r="N17" s="53">
        <v>4</v>
      </c>
      <c r="O17" s="53">
        <v>8</v>
      </c>
      <c r="P17" s="53">
        <v>8</v>
      </c>
      <c r="Q17" s="53">
        <v>10</v>
      </c>
      <c r="R17" s="55">
        <v>7.6428571428571432</v>
      </c>
      <c r="S17" s="55">
        <f t="shared" si="0"/>
        <v>57.321428571428577</v>
      </c>
    </row>
    <row r="18" spans="1:19" s="56" customFormat="1" ht="15.75">
      <c r="A18" s="53" t="s">
        <v>22</v>
      </c>
      <c r="B18" s="53">
        <v>8</v>
      </c>
      <c r="C18" s="54" t="s">
        <v>44</v>
      </c>
      <c r="D18" s="53">
        <v>7</v>
      </c>
      <c r="E18" s="53">
        <v>10</v>
      </c>
      <c r="F18" s="53">
        <v>4</v>
      </c>
      <c r="G18" s="53">
        <v>7</v>
      </c>
      <c r="H18" s="53">
        <v>7</v>
      </c>
      <c r="I18" s="53">
        <v>8</v>
      </c>
      <c r="J18" s="53">
        <v>8</v>
      </c>
      <c r="K18" s="53">
        <v>7</v>
      </c>
      <c r="L18" s="53">
        <v>7</v>
      </c>
      <c r="M18" s="53">
        <v>10</v>
      </c>
      <c r="N18" s="53">
        <v>7</v>
      </c>
      <c r="O18" s="53">
        <v>8</v>
      </c>
      <c r="P18" s="53">
        <v>7</v>
      </c>
      <c r="Q18" s="53">
        <v>8</v>
      </c>
      <c r="R18" s="55">
        <v>7.5</v>
      </c>
      <c r="S18" s="55">
        <f t="shared" si="0"/>
        <v>56.25</v>
      </c>
    </row>
    <row r="19" spans="1:19" s="56" customFormat="1" ht="15.75">
      <c r="A19" s="53" t="s">
        <v>22</v>
      </c>
      <c r="B19" s="53">
        <v>9</v>
      </c>
      <c r="C19" s="54" t="s">
        <v>26</v>
      </c>
      <c r="D19" s="53">
        <v>7</v>
      </c>
      <c r="E19" s="53">
        <v>5</v>
      </c>
      <c r="F19" s="53">
        <v>4</v>
      </c>
      <c r="G19" s="53">
        <v>4</v>
      </c>
      <c r="H19" s="53">
        <v>9</v>
      </c>
      <c r="I19" s="53">
        <v>10</v>
      </c>
      <c r="J19" s="53">
        <v>4</v>
      </c>
      <c r="K19" s="53">
        <v>4</v>
      </c>
      <c r="L19" s="53">
        <v>6</v>
      </c>
      <c r="M19" s="53">
        <v>10</v>
      </c>
      <c r="N19" s="53">
        <v>9</v>
      </c>
      <c r="O19" s="53">
        <v>7</v>
      </c>
      <c r="P19" s="53">
        <v>6</v>
      </c>
      <c r="Q19" s="53">
        <v>6</v>
      </c>
      <c r="R19" s="55">
        <v>6.5</v>
      </c>
      <c r="S19" s="55">
        <f t="shared" si="0"/>
        <v>48.75</v>
      </c>
    </row>
    <row r="20" spans="1:19" s="48" customFormat="1" ht="15.75">
      <c r="A20" s="45" t="s">
        <v>22</v>
      </c>
      <c r="B20" s="45">
        <v>10</v>
      </c>
      <c r="C20" s="46" t="s">
        <v>46</v>
      </c>
      <c r="D20" s="45">
        <v>8</v>
      </c>
      <c r="E20" s="45">
        <v>8</v>
      </c>
      <c r="F20" s="45">
        <v>4</v>
      </c>
      <c r="G20" s="45">
        <v>5</v>
      </c>
      <c r="H20" s="45">
        <v>5</v>
      </c>
      <c r="I20" s="45">
        <v>7</v>
      </c>
      <c r="J20" s="45">
        <v>8</v>
      </c>
      <c r="K20" s="45">
        <v>5</v>
      </c>
      <c r="L20" s="45">
        <v>7</v>
      </c>
      <c r="M20" s="45">
        <v>10</v>
      </c>
      <c r="N20" s="45">
        <v>4</v>
      </c>
      <c r="O20" s="45">
        <v>7</v>
      </c>
      <c r="P20" s="45">
        <v>6</v>
      </c>
      <c r="Q20" s="45">
        <v>7</v>
      </c>
      <c r="R20" s="47">
        <v>6.5</v>
      </c>
      <c r="S20" s="47">
        <f t="shared" si="0"/>
        <v>48.75</v>
      </c>
    </row>
    <row r="21" spans="1:19" s="48" customFormat="1" ht="15.75">
      <c r="A21" s="45" t="s">
        <v>22</v>
      </c>
      <c r="B21" s="45">
        <v>11</v>
      </c>
      <c r="C21" s="46" t="s">
        <v>41</v>
      </c>
      <c r="D21" s="45">
        <v>6</v>
      </c>
      <c r="E21" s="45">
        <v>9</v>
      </c>
      <c r="F21" s="45">
        <v>4</v>
      </c>
      <c r="G21" s="45">
        <v>5</v>
      </c>
      <c r="H21" s="45">
        <v>6</v>
      </c>
      <c r="I21" s="45">
        <v>9</v>
      </c>
      <c r="J21" s="45">
        <v>8</v>
      </c>
      <c r="K21" s="45">
        <v>4</v>
      </c>
      <c r="L21" s="45">
        <v>6</v>
      </c>
      <c r="M21" s="45">
        <v>9</v>
      </c>
      <c r="N21" s="45">
        <v>4</v>
      </c>
      <c r="O21" s="45">
        <v>7</v>
      </c>
      <c r="P21" s="45">
        <v>6</v>
      </c>
      <c r="Q21" s="45">
        <v>7</v>
      </c>
      <c r="R21" s="47">
        <v>6.4285714285714288</v>
      </c>
      <c r="S21" s="47">
        <f t="shared" si="0"/>
        <v>48.214285714285715</v>
      </c>
    </row>
    <row r="22" spans="1:19" s="48" customFormat="1" ht="15.75">
      <c r="A22" s="45" t="s">
        <v>22</v>
      </c>
      <c r="B22" s="45">
        <v>12</v>
      </c>
      <c r="C22" s="46" t="s">
        <v>49</v>
      </c>
      <c r="D22" s="45">
        <v>9</v>
      </c>
      <c r="E22" s="45">
        <v>9</v>
      </c>
      <c r="F22" s="45">
        <v>4</v>
      </c>
      <c r="G22" s="45">
        <v>5</v>
      </c>
      <c r="H22" s="45">
        <v>6</v>
      </c>
      <c r="I22" s="45">
        <v>5</v>
      </c>
      <c r="J22" s="45">
        <v>7</v>
      </c>
      <c r="K22" s="45">
        <v>7</v>
      </c>
      <c r="L22" s="45">
        <v>5</v>
      </c>
      <c r="M22" s="45">
        <v>10</v>
      </c>
      <c r="N22" s="45">
        <v>6</v>
      </c>
      <c r="O22" s="45">
        <v>5</v>
      </c>
      <c r="P22" s="45">
        <v>6</v>
      </c>
      <c r="Q22" s="45">
        <v>6</v>
      </c>
      <c r="R22" s="47">
        <v>6.4285714285714288</v>
      </c>
      <c r="S22" s="47">
        <f t="shared" si="0"/>
        <v>48.214285714285715</v>
      </c>
    </row>
    <row r="23" spans="1:19" s="48" customFormat="1" ht="15.75">
      <c r="A23" s="45" t="s">
        <v>22</v>
      </c>
      <c r="B23" s="45">
        <v>13</v>
      </c>
      <c r="C23" s="46" t="s">
        <v>47</v>
      </c>
      <c r="D23" s="45">
        <v>6</v>
      </c>
      <c r="E23" s="45">
        <v>8</v>
      </c>
      <c r="F23" s="45">
        <v>4</v>
      </c>
      <c r="G23" s="45">
        <v>6</v>
      </c>
      <c r="H23" s="45">
        <v>6</v>
      </c>
      <c r="I23" s="45">
        <v>6</v>
      </c>
      <c r="J23" s="45">
        <v>7</v>
      </c>
      <c r="K23" s="45">
        <v>5</v>
      </c>
      <c r="L23" s="45">
        <v>6</v>
      </c>
      <c r="M23" s="45">
        <v>6</v>
      </c>
      <c r="N23" s="45">
        <v>5</v>
      </c>
      <c r="O23" s="45">
        <v>8</v>
      </c>
      <c r="P23" s="45">
        <v>5</v>
      </c>
      <c r="Q23" s="45">
        <v>7</v>
      </c>
      <c r="R23" s="47">
        <v>6.0714285714285712</v>
      </c>
      <c r="S23" s="47">
        <f t="shared" si="0"/>
        <v>45.535714285714285</v>
      </c>
    </row>
    <row r="24" spans="1:19" s="48" customFormat="1" ht="15.75">
      <c r="A24" s="45" t="s">
        <v>22</v>
      </c>
      <c r="B24" s="45">
        <v>14</v>
      </c>
      <c r="C24" s="46" t="s">
        <v>35</v>
      </c>
      <c r="D24" s="45">
        <v>9</v>
      </c>
      <c r="E24" s="45">
        <v>5</v>
      </c>
      <c r="F24" s="45">
        <v>4</v>
      </c>
      <c r="G24" s="45">
        <v>5</v>
      </c>
      <c r="H24" s="45">
        <v>5</v>
      </c>
      <c r="I24" s="45">
        <v>7</v>
      </c>
      <c r="J24" s="45">
        <v>7</v>
      </c>
      <c r="K24" s="45">
        <v>4</v>
      </c>
      <c r="L24" s="45">
        <v>5</v>
      </c>
      <c r="M24" s="45">
        <v>8</v>
      </c>
      <c r="N24" s="45">
        <v>4</v>
      </c>
      <c r="O24" s="45">
        <v>5</v>
      </c>
      <c r="P24" s="45">
        <v>5</v>
      </c>
      <c r="Q24" s="45">
        <v>8</v>
      </c>
      <c r="R24" s="47">
        <v>5.7857142857142856</v>
      </c>
      <c r="S24" s="47">
        <f t="shared" si="0"/>
        <v>43.392857142857139</v>
      </c>
    </row>
    <row r="25" spans="1:19" s="48" customFormat="1" ht="15.75">
      <c r="A25" s="45" t="s">
        <v>22</v>
      </c>
      <c r="B25" s="45">
        <v>15</v>
      </c>
      <c r="C25" s="46" t="s">
        <v>45</v>
      </c>
      <c r="D25" s="45">
        <v>7</v>
      </c>
      <c r="E25" s="45">
        <v>8</v>
      </c>
      <c r="F25" s="45">
        <v>6</v>
      </c>
      <c r="G25" s="45">
        <v>4</v>
      </c>
      <c r="H25" s="45">
        <v>4</v>
      </c>
      <c r="I25" s="45">
        <v>6</v>
      </c>
      <c r="J25" s="45">
        <v>7</v>
      </c>
      <c r="K25" s="45">
        <v>4</v>
      </c>
      <c r="L25" s="45">
        <v>4</v>
      </c>
      <c r="M25" s="45">
        <v>9</v>
      </c>
      <c r="N25" s="45">
        <v>4</v>
      </c>
      <c r="O25" s="45">
        <v>5</v>
      </c>
      <c r="P25" s="45">
        <v>6</v>
      </c>
      <c r="Q25" s="45">
        <v>7</v>
      </c>
      <c r="R25" s="47">
        <v>5.7857142857142856</v>
      </c>
      <c r="S25" s="47">
        <f t="shared" si="0"/>
        <v>43.392857142857139</v>
      </c>
    </row>
    <row r="26" spans="1:19" s="48" customFormat="1" ht="15.75">
      <c r="C26" s="46" t="s">
        <v>55</v>
      </c>
      <c r="D26" s="45">
        <v>21</v>
      </c>
    </row>
    <row r="27" spans="1:19" s="48" customFormat="1" ht="15.75">
      <c r="C27" s="46" t="s">
        <v>56</v>
      </c>
      <c r="D27" s="45">
        <v>5</v>
      </c>
    </row>
    <row r="28" spans="1:19" s="48" customFormat="1" ht="15.75">
      <c r="C28" s="46" t="s">
        <v>57</v>
      </c>
      <c r="D28" s="45">
        <v>1</v>
      </c>
      <c r="G28" s="57" t="s">
        <v>59</v>
      </c>
      <c r="H28" s="57"/>
      <c r="I28" s="57"/>
      <c r="J28" s="57"/>
      <c r="K28" s="57"/>
      <c r="L28" s="57"/>
      <c r="M28" s="57"/>
      <c r="N28" s="57" t="s">
        <v>60</v>
      </c>
    </row>
    <row r="29" spans="1:19" s="48" customFormat="1" ht="15.75">
      <c r="C29" s="46" t="s">
        <v>58</v>
      </c>
      <c r="D29" s="45">
        <v>9</v>
      </c>
      <c r="G29" s="57"/>
      <c r="H29" s="57"/>
      <c r="I29" s="57"/>
      <c r="J29" s="57"/>
      <c r="K29" s="57"/>
      <c r="L29" s="57"/>
      <c r="M29" s="57"/>
      <c r="N29" s="57"/>
    </row>
    <row r="30" spans="1:19" s="48" customFormat="1" ht="15.75">
      <c r="G30" s="57" t="s">
        <v>61</v>
      </c>
      <c r="H30" s="57"/>
      <c r="I30" s="57"/>
      <c r="J30" s="57"/>
      <c r="K30" s="57"/>
      <c r="L30" s="57"/>
      <c r="M30" s="57"/>
      <c r="N30" s="57" t="s">
        <v>62</v>
      </c>
    </row>
    <row r="31" spans="1:19" s="48" customFormat="1" ht="15.75">
      <c r="G31" s="57"/>
      <c r="H31" s="57"/>
      <c r="I31" s="57"/>
      <c r="J31" s="57"/>
      <c r="K31" s="57"/>
      <c r="L31" s="57"/>
      <c r="M31" s="57"/>
      <c r="N31" s="57"/>
    </row>
    <row r="32" spans="1:19" s="48" customFormat="1"/>
    <row r="33" s="48" customFormat="1"/>
    <row r="34" s="48" customFormat="1"/>
    <row r="35" s="48" customFormat="1"/>
    <row r="36" s="48" customFormat="1"/>
    <row r="37" s="48" customFormat="1"/>
    <row r="38" s="48" customFormat="1"/>
    <row r="39" s="48" customFormat="1"/>
    <row r="40" s="48" customFormat="1"/>
    <row r="41" s="48" customFormat="1"/>
    <row r="42" s="48" customFormat="1"/>
    <row r="43" s="48" customFormat="1"/>
    <row r="44" s="48" customFormat="1"/>
    <row r="45" s="48" customFormat="1"/>
    <row r="46" s="48" customFormat="1"/>
    <row r="47" s="48" customFormat="1"/>
    <row r="48" s="48" customFormat="1"/>
    <row r="49" s="48" customFormat="1"/>
    <row r="50" s="48" customFormat="1"/>
    <row r="51" s="49" customFormat="1"/>
    <row r="52" s="49" customFormat="1"/>
    <row r="53" s="49" customFormat="1"/>
    <row r="54" s="49" customFormat="1"/>
    <row r="55" s="49" customFormat="1"/>
    <row r="56" s="49" customFormat="1"/>
    <row r="57" s="49" customFormat="1"/>
    <row r="58" s="49" customFormat="1"/>
    <row r="59" s="49" customFormat="1"/>
    <row r="60" s="49" customFormat="1"/>
    <row r="61" s="49" customFormat="1"/>
    <row r="62" s="49" customFormat="1"/>
    <row r="63" s="49" customFormat="1"/>
    <row r="64" s="49" customFormat="1"/>
    <row r="65" spans="1:26" s="49" customFormat="1"/>
    <row r="66" spans="1:26" s="49" customFormat="1"/>
    <row r="67" spans="1:26" s="49" customFormat="1"/>
    <row r="68" spans="1:26" s="49" customFormat="1"/>
    <row r="69" spans="1:26" s="49" customFormat="1"/>
    <row r="70" spans="1:26" s="49" customFormat="1"/>
    <row r="71" spans="1:26" s="49" customFormat="1"/>
    <row r="72" spans="1:26" s="49" customFormat="1"/>
    <row r="73" spans="1:26" s="49" customFormat="1"/>
    <row r="74" spans="1:26" s="49" customFormat="1"/>
    <row r="75" spans="1:26" s="49" customFormat="1"/>
    <row r="76" spans="1:26" ht="15.75" customHeight="1">
      <c r="A76" s="2"/>
      <c r="B76" s="4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49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4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49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4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49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4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49"/>
      <c r="T79" s="2"/>
      <c r="U79" s="2"/>
      <c r="V79" s="2"/>
      <c r="W79" s="2"/>
      <c r="X79" s="2"/>
      <c r="Y79" s="2"/>
      <c r="Z79" s="2"/>
    </row>
    <row r="80" spans="1:26" ht="15.75" customHeight="1">
      <c r="A80" s="44">
        <f>COUNTIF(A11:A40,"=Б")</f>
        <v>15</v>
      </c>
      <c r="B80" s="4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49"/>
      <c r="T80" s="2"/>
      <c r="U80" s="2"/>
      <c r="V80" s="2"/>
      <c r="W80" s="2"/>
      <c r="X80" s="2"/>
      <c r="Y80" s="2"/>
      <c r="Z80" s="2"/>
    </row>
    <row r="81" spans="1:26" ht="15.75" customHeight="1">
      <c r="A81" s="44">
        <f>COUNTIF(A11:A40,"=Б")</f>
        <v>15</v>
      </c>
      <c r="B81" s="4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49"/>
      <c r="T81" s="2"/>
      <c r="U81" s="2"/>
      <c r="V81" s="2"/>
      <c r="W81" s="2"/>
      <c r="X81" s="2"/>
      <c r="Y81" s="2"/>
      <c r="Z81" s="2"/>
    </row>
    <row r="82" spans="1:26" ht="15.75" customHeight="1">
      <c r="A82" s="44">
        <f>COUNTIF(A11:A40,"=Б")</f>
        <v>15</v>
      </c>
      <c r="B82" s="4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49"/>
      <c r="T82" s="2"/>
      <c r="U82" s="2"/>
      <c r="V82" s="2"/>
      <c r="W82" s="2"/>
      <c r="X82" s="2"/>
      <c r="Y82" s="2"/>
      <c r="Z82" s="2"/>
    </row>
    <row r="83" spans="1:26" ht="15.75" customHeight="1">
      <c r="A83" s="44">
        <f>COUNTIF(A11:A40,"=Б")</f>
        <v>15</v>
      </c>
      <c r="B83" s="4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49"/>
      <c r="T83" s="2"/>
      <c r="U83" s="2"/>
      <c r="V83" s="2"/>
      <c r="W83" s="2"/>
      <c r="X83" s="2"/>
      <c r="Y83" s="2"/>
      <c r="Z83" s="2"/>
    </row>
    <row r="84" spans="1:26" ht="15.75" customHeight="1">
      <c r="A84" s="44">
        <f>COUNTIF(A11:A40,"=Б")</f>
        <v>15</v>
      </c>
      <c r="B84" s="4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49"/>
      <c r="T84" s="2"/>
      <c r="U84" s="2"/>
      <c r="V84" s="2"/>
      <c r="W84" s="2"/>
      <c r="X84" s="2"/>
      <c r="Y84" s="2"/>
      <c r="Z84" s="2"/>
    </row>
    <row r="85" spans="1:26" ht="15.75" customHeight="1">
      <c r="A85" s="44">
        <f>COUNTIF(A11:A40,"=Б")</f>
        <v>15</v>
      </c>
      <c r="B85" s="4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49"/>
      <c r="T85" s="2"/>
      <c r="U85" s="2"/>
      <c r="V85" s="2"/>
      <c r="W85" s="2"/>
      <c r="X85" s="2"/>
      <c r="Y85" s="2"/>
      <c r="Z85" s="2"/>
    </row>
    <row r="86" spans="1:26" ht="15.75" customHeight="1">
      <c r="A86" s="44">
        <f>COUNTIF(A11:A40,"=Б")</f>
        <v>15</v>
      </c>
      <c r="B86" s="4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49"/>
      <c r="T86" s="2"/>
      <c r="U86" s="2"/>
      <c r="V86" s="2"/>
      <c r="W86" s="2"/>
      <c r="X86" s="2"/>
      <c r="Y86" s="2"/>
      <c r="Z86" s="2"/>
    </row>
    <row r="87" spans="1:26" ht="15.75" customHeight="1">
      <c r="A87" s="44">
        <f>COUNTIF(A11:A40,"=Б")</f>
        <v>15</v>
      </c>
      <c r="B87" s="4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49"/>
      <c r="T87" s="2"/>
      <c r="U87" s="2"/>
      <c r="V87" s="2"/>
      <c r="W87" s="2"/>
      <c r="X87" s="2"/>
      <c r="Y87" s="2"/>
      <c r="Z87" s="2"/>
    </row>
    <row r="88" spans="1:26" ht="15.75" customHeight="1">
      <c r="A88" s="44">
        <f>COUNTIF(A11:A40,"=Б")</f>
        <v>15</v>
      </c>
      <c r="B88" s="4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49"/>
      <c r="T88" s="2"/>
      <c r="U88" s="2"/>
      <c r="V88" s="2"/>
      <c r="W88" s="2"/>
      <c r="X88" s="2"/>
      <c r="Y88" s="2"/>
      <c r="Z88" s="2"/>
    </row>
    <row r="89" spans="1:26" ht="15.75" customHeight="1">
      <c r="A89" s="44">
        <f>COUNTIF(A11:A40,"=Б")</f>
        <v>15</v>
      </c>
      <c r="B89" s="4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49"/>
      <c r="T89" s="2"/>
      <c r="U89" s="2"/>
      <c r="V89" s="2"/>
      <c r="W89" s="2"/>
      <c r="X89" s="2"/>
      <c r="Y89" s="2"/>
      <c r="Z89" s="2"/>
    </row>
    <row r="90" spans="1:26" ht="15.75" customHeight="1">
      <c r="A90" s="44">
        <f>COUNTIF(A11:A40,"=Б")</f>
        <v>15</v>
      </c>
      <c r="B90" s="4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49"/>
      <c r="T90" s="2"/>
      <c r="U90" s="2"/>
      <c r="V90" s="2"/>
      <c r="W90" s="2"/>
      <c r="X90" s="2"/>
      <c r="Y90" s="2"/>
      <c r="Z90" s="2"/>
    </row>
    <row r="91" spans="1:26" ht="15.75" customHeight="1">
      <c r="A91" s="44">
        <f>COUNTIF(A11:A40,"=Б")</f>
        <v>15</v>
      </c>
      <c r="B91" s="4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49"/>
      <c r="T91" s="2"/>
      <c r="U91" s="2"/>
      <c r="V91" s="2"/>
      <c r="W91" s="2"/>
      <c r="X91" s="2"/>
      <c r="Y91" s="2"/>
      <c r="Z91" s="2"/>
    </row>
    <row r="92" spans="1:26" ht="15.75" customHeight="1">
      <c r="A92" s="44">
        <f>COUNTIF(A11:A40,"=Б")</f>
        <v>15</v>
      </c>
      <c r="B92" s="4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49"/>
      <c r="T92" s="2"/>
      <c r="U92" s="2"/>
      <c r="V92" s="2"/>
      <c r="W92" s="2"/>
      <c r="X92" s="2"/>
      <c r="Y92" s="2"/>
      <c r="Z92" s="2"/>
    </row>
    <row r="93" spans="1:26" ht="15.75" customHeight="1">
      <c r="A93" s="44">
        <f>COUNTIF(A11:A40,"=Б")</f>
        <v>15</v>
      </c>
      <c r="B93" s="4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49"/>
      <c r="T93" s="2"/>
      <c r="U93" s="2"/>
      <c r="V93" s="2"/>
      <c r="W93" s="2"/>
      <c r="X93" s="2"/>
      <c r="Y93" s="2"/>
      <c r="Z93" s="2"/>
    </row>
    <row r="94" spans="1:26" ht="15.75" customHeight="1">
      <c r="A94" s="44">
        <f>COUNTIF(A11:A40,"=Б")</f>
        <v>15</v>
      </c>
      <c r="B94" s="4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49"/>
      <c r="T94" s="2"/>
      <c r="U94" s="2"/>
      <c r="V94" s="2"/>
      <c r="W94" s="2"/>
      <c r="X94" s="2"/>
      <c r="Y94" s="2"/>
      <c r="Z94" s="2"/>
    </row>
    <row r="95" spans="1:26" ht="15.75" customHeight="1">
      <c r="A95" s="44">
        <f>COUNTIF(A11:A40,"=Б")</f>
        <v>15</v>
      </c>
      <c r="B95" s="4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49"/>
      <c r="T95" s="2"/>
      <c r="U95" s="2"/>
      <c r="V95" s="2"/>
      <c r="W95" s="2"/>
      <c r="X95" s="2"/>
      <c r="Y95" s="2"/>
      <c r="Z95" s="2"/>
    </row>
    <row r="96" spans="1:26" ht="15.75" customHeight="1">
      <c r="A96" s="44">
        <f>COUNTIF(A11:A40,"=Б")</f>
        <v>15</v>
      </c>
      <c r="B96" s="4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49"/>
      <c r="T96" s="2"/>
      <c r="U96" s="2"/>
      <c r="V96" s="2"/>
      <c r="W96" s="2"/>
      <c r="X96" s="2"/>
      <c r="Y96" s="2"/>
      <c r="Z96" s="2"/>
    </row>
    <row r="97" spans="1:26" ht="15.75" customHeight="1">
      <c r="A97" s="44">
        <f>COUNTIF(A11:A40,"=Б")</f>
        <v>15</v>
      </c>
      <c r="B97" s="4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49"/>
      <c r="T97" s="2"/>
      <c r="U97" s="2"/>
      <c r="V97" s="2"/>
      <c r="W97" s="2"/>
      <c r="X97" s="2"/>
      <c r="Y97" s="2"/>
      <c r="Z97" s="2"/>
    </row>
    <row r="98" spans="1:26" ht="15.75" customHeight="1">
      <c r="A98" s="44">
        <f>COUNTIF(A11:A40,"=Б")</f>
        <v>15</v>
      </c>
      <c r="B98" s="4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49"/>
      <c r="T98" s="2"/>
      <c r="U98" s="2"/>
      <c r="V98" s="2"/>
      <c r="W98" s="2"/>
      <c r="X98" s="2"/>
      <c r="Y98" s="2"/>
      <c r="Z98" s="2"/>
    </row>
    <row r="99" spans="1:26" ht="15.75" customHeight="1">
      <c r="A99" s="44">
        <f>COUNTIF(A11:A40,"=Б")</f>
        <v>15</v>
      </c>
      <c r="B99" s="4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49"/>
      <c r="T99" s="2"/>
      <c r="U99" s="2"/>
      <c r="V99" s="2"/>
      <c r="W99" s="2"/>
      <c r="X99" s="2"/>
      <c r="Y99" s="2"/>
      <c r="Z99" s="2"/>
    </row>
    <row r="100" spans="1:26" ht="15.75" customHeight="1">
      <c r="A100" s="44">
        <f>COUNTIF(A11:A40,"=Б")</f>
        <v>15</v>
      </c>
      <c r="B100" s="4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49"/>
      <c r="T100" s="2"/>
      <c r="U100" s="2"/>
      <c r="V100" s="2"/>
      <c r="W100" s="2"/>
      <c r="X100" s="2"/>
      <c r="Y100" s="2"/>
      <c r="Z100" s="2"/>
    </row>
    <row r="101" spans="1:26" ht="15.75" customHeight="1">
      <c r="A101" s="44">
        <f>COUNTIF(A11:A40,"=Б")</f>
        <v>15</v>
      </c>
      <c r="B101" s="4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49"/>
      <c r="T101" s="2"/>
      <c r="U101" s="2"/>
      <c r="V101" s="2"/>
      <c r="W101" s="2"/>
      <c r="X101" s="2"/>
      <c r="Y101" s="2"/>
      <c r="Z101" s="2"/>
    </row>
    <row r="102" spans="1:26" ht="15.75" customHeight="1">
      <c r="A102" s="44">
        <f>COUNTIF(A11:A40,"=Б")</f>
        <v>15</v>
      </c>
      <c r="B102" s="4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49"/>
      <c r="T102" s="2"/>
      <c r="U102" s="2"/>
      <c r="V102" s="2"/>
      <c r="W102" s="2"/>
      <c r="X102" s="2"/>
      <c r="Y102" s="2"/>
      <c r="Z102" s="2"/>
    </row>
    <row r="103" spans="1:26" ht="15.75" customHeight="1">
      <c r="A103" s="44">
        <f>COUNTIF(A11:A40,"=Б")</f>
        <v>15</v>
      </c>
      <c r="B103" s="4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49"/>
      <c r="T103" s="2"/>
      <c r="U103" s="2"/>
      <c r="V103" s="2"/>
      <c r="W103" s="2"/>
      <c r="X103" s="2"/>
      <c r="Y103" s="2"/>
      <c r="Z103" s="2"/>
    </row>
    <row r="104" spans="1:26" ht="15.75" customHeight="1">
      <c r="A104" s="44">
        <f>COUNTIF(A11:A40,"=Б")</f>
        <v>15</v>
      </c>
      <c r="B104" s="4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49"/>
      <c r="T104" s="2"/>
      <c r="U104" s="2"/>
      <c r="V104" s="2"/>
      <c r="W104" s="2"/>
      <c r="X104" s="2"/>
      <c r="Y104" s="2"/>
      <c r="Z104" s="2"/>
    </row>
    <row r="105" spans="1:26" ht="15.75" customHeight="1">
      <c r="A105" s="44">
        <f>COUNTIF(A11:A40,"=Б")</f>
        <v>15</v>
      </c>
      <c r="B105" s="4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49"/>
      <c r="T105" s="2"/>
      <c r="U105" s="2"/>
      <c r="V105" s="2"/>
      <c r="W105" s="2"/>
      <c r="X105" s="2"/>
      <c r="Y105" s="2"/>
      <c r="Z105" s="2"/>
    </row>
    <row r="106" spans="1:26" ht="15.75" customHeight="1">
      <c r="A106" s="44">
        <f>COUNTIF(A11:A40,"=Б")</f>
        <v>15</v>
      </c>
      <c r="B106" s="4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49"/>
      <c r="T106" s="2"/>
      <c r="U106" s="2"/>
      <c r="V106" s="2"/>
      <c r="W106" s="2"/>
      <c r="X106" s="2"/>
      <c r="Y106" s="2"/>
      <c r="Z106" s="2"/>
    </row>
    <row r="107" spans="1:26" ht="15.75" customHeight="1">
      <c r="A107" s="44">
        <f>COUNTIF(A11:A40,"=Б")</f>
        <v>15</v>
      </c>
      <c r="B107" s="4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49"/>
      <c r="T107" s="2"/>
      <c r="U107" s="2"/>
      <c r="V107" s="2"/>
      <c r="W107" s="2"/>
      <c r="X107" s="2"/>
      <c r="Y107" s="2"/>
      <c r="Z107" s="2"/>
    </row>
    <row r="108" spans="1:26" ht="15.75" customHeight="1">
      <c r="A108" s="44">
        <f>COUNTIF(A11:A40,"=Б")</f>
        <v>15</v>
      </c>
      <c r="B108" s="4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49"/>
      <c r="T108" s="2"/>
      <c r="U108" s="2"/>
      <c r="V108" s="2"/>
      <c r="W108" s="2"/>
      <c r="X108" s="2"/>
      <c r="Y108" s="2"/>
      <c r="Z108" s="2"/>
    </row>
    <row r="109" spans="1:26" ht="15.75" customHeight="1">
      <c r="A109" s="44">
        <f>COUNTIF(A11:A40,"=Б")</f>
        <v>15</v>
      </c>
      <c r="B109" s="4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49"/>
      <c r="T109" s="2"/>
      <c r="U109" s="2"/>
      <c r="V109" s="2"/>
      <c r="W109" s="2"/>
      <c r="X109" s="2"/>
      <c r="Y109" s="2"/>
      <c r="Z109" s="2"/>
    </row>
    <row r="110" spans="1:26" ht="15.75" customHeight="1">
      <c r="A110" s="44">
        <f>COUNTIF(A11:A40,"=Б")</f>
        <v>15</v>
      </c>
      <c r="B110" s="4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49"/>
      <c r="T110" s="2"/>
      <c r="U110" s="2"/>
      <c r="V110" s="2"/>
      <c r="W110" s="2"/>
      <c r="X110" s="2"/>
      <c r="Y110" s="2"/>
      <c r="Z110" s="2"/>
    </row>
    <row r="111" spans="1:26" ht="15.75" customHeight="1">
      <c r="A111" s="44">
        <f>COUNTIF(A11:A40,"=Б")</f>
        <v>15</v>
      </c>
      <c r="B111" s="4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49"/>
      <c r="T111" s="2"/>
      <c r="U111" s="2"/>
      <c r="V111" s="2"/>
      <c r="W111" s="2"/>
      <c r="X111" s="2"/>
      <c r="Y111" s="2"/>
      <c r="Z111" s="2"/>
    </row>
    <row r="112" spans="1:26" ht="15.75" customHeight="1">
      <c r="A112" s="44">
        <f>COUNTIF(A11:A40,"=Б")</f>
        <v>15</v>
      </c>
      <c r="B112" s="4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49"/>
      <c r="T112" s="2"/>
      <c r="U112" s="2"/>
      <c r="V112" s="2"/>
      <c r="W112" s="2"/>
      <c r="X112" s="2"/>
      <c r="Y112" s="2"/>
      <c r="Z112" s="2"/>
    </row>
    <row r="113" spans="1:26" ht="15.75" customHeight="1">
      <c r="A113" s="44">
        <f>COUNTIF(A11:A40,"=Б")</f>
        <v>15</v>
      </c>
      <c r="B113" s="4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49"/>
      <c r="T113" s="2"/>
      <c r="U113" s="2"/>
      <c r="V113" s="2"/>
      <c r="W113" s="2"/>
      <c r="X113" s="2"/>
      <c r="Y113" s="2"/>
      <c r="Z113" s="2"/>
    </row>
    <row r="114" spans="1:26" ht="15.75" customHeight="1">
      <c r="A114" s="44">
        <f>COUNTIF(A11:A40,"=Б")</f>
        <v>15</v>
      </c>
      <c r="B114" s="4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49"/>
      <c r="T114" s="2"/>
      <c r="U114" s="2"/>
      <c r="V114" s="2"/>
      <c r="W114" s="2"/>
      <c r="X114" s="2"/>
      <c r="Y114" s="2"/>
      <c r="Z114" s="2"/>
    </row>
    <row r="115" spans="1:26" ht="15.75" customHeight="1">
      <c r="A115" s="44">
        <f>COUNTIF(A11:A40,"=Б")</f>
        <v>15</v>
      </c>
      <c r="B115" s="4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49"/>
      <c r="T115" s="2"/>
      <c r="U115" s="2"/>
      <c r="V115" s="2"/>
      <c r="W115" s="2"/>
      <c r="X115" s="2"/>
      <c r="Y115" s="2"/>
      <c r="Z115" s="2"/>
    </row>
    <row r="116" spans="1:26" ht="15.75" customHeight="1">
      <c r="A116" s="44">
        <f>COUNTIF(A11:A40,"=Б")</f>
        <v>15</v>
      </c>
      <c r="B116" s="4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49"/>
      <c r="T116" s="2"/>
      <c r="U116" s="2"/>
      <c r="V116" s="2"/>
      <c r="W116" s="2"/>
      <c r="X116" s="2"/>
      <c r="Y116" s="2"/>
      <c r="Z116" s="2"/>
    </row>
    <row r="117" spans="1:26" ht="15.75" customHeight="1">
      <c r="A117" s="44">
        <f>COUNTIF(A11:A40,"=Б")</f>
        <v>15</v>
      </c>
      <c r="B117" s="4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49"/>
      <c r="T117" s="2"/>
      <c r="U117" s="2"/>
      <c r="V117" s="2"/>
      <c r="W117" s="2"/>
      <c r="X117" s="2"/>
      <c r="Y117" s="2"/>
      <c r="Z117" s="2"/>
    </row>
    <row r="118" spans="1:26" ht="15.75" customHeight="1">
      <c r="A118" s="44">
        <f>COUNTIF(A11:A40,"=Б")</f>
        <v>15</v>
      </c>
      <c r="B118" s="4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49"/>
      <c r="T118" s="2"/>
      <c r="U118" s="2"/>
      <c r="V118" s="2"/>
      <c r="W118" s="2"/>
      <c r="X118" s="2"/>
      <c r="Y118" s="2"/>
      <c r="Z118" s="2"/>
    </row>
    <row r="119" spans="1:26" ht="15.75" customHeight="1">
      <c r="A119" s="44">
        <f>COUNTIF(A11:A40,"=Б")</f>
        <v>15</v>
      </c>
      <c r="B119" s="4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49"/>
      <c r="T119" s="2"/>
      <c r="U119" s="2"/>
      <c r="V119" s="2"/>
      <c r="W119" s="2"/>
      <c r="X119" s="2"/>
      <c r="Y119" s="2"/>
      <c r="Z119" s="2"/>
    </row>
    <row r="120" spans="1:26" ht="15.75" customHeight="1">
      <c r="A120" s="44">
        <f>COUNTIF(A11:A40,"=Б")</f>
        <v>15</v>
      </c>
      <c r="B120" s="4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49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4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49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4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49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4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49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4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49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4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49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49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sortState ref="A11:AB60">
    <sortCondition descending="1" ref="S11:S60"/>
  </sortState>
  <mergeCells count="26"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59055118110236227" right="0" top="0.78740157480314965" bottom="0" header="0" footer="0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SURKOV</cp:lastModifiedBy>
  <cp:lastPrinted>2021-12-29T08:44:36Z</cp:lastPrinted>
  <dcterms:created xsi:type="dcterms:W3CDTF">2006-09-28T05:33:49Z</dcterms:created>
  <dcterms:modified xsi:type="dcterms:W3CDTF">2022-01-18T07:31:22Z</dcterms:modified>
</cp:coreProperties>
</file>