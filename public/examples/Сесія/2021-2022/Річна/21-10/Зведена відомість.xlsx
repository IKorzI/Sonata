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/>
  <bookViews>
    <workbookView xWindow="270" yWindow="615" windowWidth="19980" windowHeight="7110"/>
  </bookViews>
  <sheets>
    <sheet name="Зведена відомість 181" sheetId="1" r:id="rId1"/>
    <sheet name="Зведена відомість 242" sheetId="2" r:id="rId2"/>
  </sheets>
  <calcPr calcId="125725"/>
  <extLst>
    <ext uri="GoogleSheetsCustomDataVersion1">
      <go:sheetsCustomData xmlns:go="http://customooxmlschemas.google.com/" r:id="" roundtripDataSignature="AMtx7mgSeL79grlBhy/or0pQEmMpSnXveQ=="/>
    </ext>
  </extLst>
</workbook>
</file>

<file path=xl/calcChain.xml><?xml version="1.0" encoding="utf-8"?>
<calcChain xmlns="http://schemas.openxmlformats.org/spreadsheetml/2006/main">
  <c r="R35" i="2"/>
  <c r="Q35"/>
  <c r="P35"/>
  <c r="O35"/>
  <c r="N35"/>
  <c r="M35"/>
  <c r="L35"/>
  <c r="K35"/>
  <c r="J35"/>
  <c r="I35"/>
  <c r="H35"/>
  <c r="G35"/>
  <c r="F35"/>
  <c r="E35"/>
  <c r="D35"/>
  <c r="R34"/>
  <c r="Q34"/>
  <c r="P34"/>
  <c r="O34"/>
  <c r="N34"/>
  <c r="M34"/>
  <c r="L34"/>
  <c r="K34"/>
  <c r="J34"/>
  <c r="I34"/>
  <c r="H34"/>
  <c r="G34"/>
  <c r="F34"/>
  <c r="E34"/>
  <c r="D34"/>
  <c r="R33"/>
  <c r="Q33"/>
  <c r="P33"/>
  <c r="O33"/>
  <c r="N33"/>
  <c r="M33"/>
  <c r="L33"/>
  <c r="K33"/>
  <c r="J33"/>
  <c r="I33"/>
  <c r="H33"/>
  <c r="G33"/>
  <c r="F33"/>
  <c r="E33"/>
  <c r="D33"/>
  <c r="R23" i="1"/>
  <c r="Q23"/>
  <c r="P23"/>
  <c r="O23"/>
  <c r="N23"/>
  <c r="M23"/>
  <c r="L23"/>
  <c r="K23"/>
  <c r="J23"/>
  <c r="I23"/>
  <c r="H23"/>
  <c r="G23"/>
  <c r="F23"/>
  <c r="E23"/>
  <c r="D23"/>
  <c r="R22"/>
  <c r="Q22"/>
  <c r="P22"/>
  <c r="O22"/>
  <c r="N22"/>
  <c r="M22"/>
  <c r="L22"/>
  <c r="K22"/>
  <c r="J22"/>
  <c r="I22"/>
  <c r="H22"/>
  <c r="G22"/>
  <c r="F22"/>
  <c r="E22"/>
  <c r="D22"/>
  <c r="R21"/>
  <c r="Q21"/>
  <c r="P21"/>
  <c r="O21"/>
  <c r="N21"/>
  <c r="M21"/>
  <c r="L21"/>
  <c r="K21"/>
  <c r="J21"/>
  <c r="I21"/>
  <c r="H21"/>
  <c r="G21"/>
  <c r="F21"/>
  <c r="E21"/>
  <c r="D21"/>
  <c r="S11"/>
  <c r="S12"/>
  <c r="S13"/>
  <c r="S14"/>
  <c r="S15"/>
  <c r="S16"/>
  <c r="S17"/>
  <c r="S18"/>
  <c r="S19"/>
  <c r="S20"/>
  <c r="S11" i="2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21" i="1" l="1"/>
  <c r="S33" i="2"/>
  <c r="D37"/>
  <c r="D36"/>
  <c r="D24" i="1"/>
  <c r="D25"/>
</calcChain>
</file>

<file path=xl/sharedStrings.xml><?xml version="1.0" encoding="utf-8"?>
<sst xmlns="http://schemas.openxmlformats.org/spreadsheetml/2006/main" count="134" uniqueCount="69">
  <si>
    <t xml:space="preserve">ЗВЕДЕНА  ВІДОМІСТЬ  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</si>
  <si>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</si>
  <si>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</si>
  <si>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</si>
  <si>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</si>
  <si>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Антропова Л.І.</t>
  </si>
  <si>
    <t>Всесвітня історія
Мельничук С.А.</t>
  </si>
  <si>
    <t>Математика
Нужна Н.В.</t>
  </si>
  <si>
    <t>Фізика
Калюта Н.М.</t>
  </si>
  <si>
    <t>Хімія
Пономарьов К.М.</t>
  </si>
  <si>
    <t>Інформатика
Охримчук В.С.</t>
  </si>
  <si>
    <t>Українська мова
Антропова Л.І.</t>
  </si>
  <si>
    <t>Зарубіжна література
Пруднікова Я.П.</t>
  </si>
  <si>
    <t>Біологія
Богданенко О.В.</t>
  </si>
  <si>
    <t>Іноземна мова
Галинська Т.С.</t>
  </si>
  <si>
    <t>Історія України
Левчук Т.Г.</t>
  </si>
  <si>
    <t>Географія
Наговська Т.С.</t>
  </si>
  <si>
    <t>Середній бал</t>
  </si>
  <si>
    <t>К</t>
  </si>
  <si>
    <t>Воропай Михайло Петрович</t>
  </si>
  <si>
    <t>Діанова Кіра Федорівна</t>
  </si>
  <si>
    <t>Єсін Максим Русланович</t>
  </si>
  <si>
    <t>Загайчук Дар’я Олександрівна</t>
  </si>
  <si>
    <t>Зеленчук Микола Олегович</t>
  </si>
  <si>
    <t>Марар Ксенія Андріївна</t>
  </si>
  <si>
    <t>Романенко Олег Миколайович</t>
  </si>
  <si>
    <t>Снігур Максим Вікторович</t>
  </si>
  <si>
    <t>Фучило Софія Валеріївна</t>
  </si>
  <si>
    <t>Шумков Микита Васильович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</si>
  <si>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</si>
  <si>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</si>
  <si>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</si>
  <si>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</si>
  <si>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</si>
  <si>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Класний керівник</t>
  </si>
  <si>
    <t>Завідувач відділення ПЗСО</t>
  </si>
  <si>
    <t>Маргарита БРІТІКОВА</t>
  </si>
  <si>
    <t xml:space="preserve">Беженар Таїсія Михайлівна </t>
  </si>
  <si>
    <t xml:space="preserve">Бєлочук Аліна Володимирівна </t>
  </si>
  <si>
    <t>Бондар Катерина Андріївна</t>
  </si>
  <si>
    <t>Вакулич Олександра Володим.</t>
  </si>
  <si>
    <t>Губіч Беатриса</t>
  </si>
  <si>
    <t xml:space="preserve">Давидова Вікторія Євгенівна </t>
  </si>
  <si>
    <t>Дишкант Аріна Ігорівна</t>
  </si>
  <si>
    <t>Дієнко Марія Олегівна</t>
  </si>
  <si>
    <t>Жигульова Тетяна Валеріївна</t>
  </si>
  <si>
    <t>Зелінська Олександра Юріївна</t>
  </si>
  <si>
    <t>Золотарьова Дар’я Родіонівна</t>
  </si>
  <si>
    <t>Карагуца Марія Сергіївна</t>
  </si>
  <si>
    <t>Кошелапенко Вікторія Волод.</t>
  </si>
  <si>
    <t>Крижановська Софія Сергіївна</t>
  </si>
  <si>
    <t xml:space="preserve">Мотуз Максим Дмитрович </t>
  </si>
  <si>
    <t>Падалка Кіра Олександрівна</t>
  </si>
  <si>
    <t>Самуренко Марія Сергіївна</t>
  </si>
  <si>
    <t>Сташенко Жасмін Ростислав.</t>
  </si>
  <si>
    <t>Суворов Владислав Вікторович</t>
  </si>
  <si>
    <t>Халавко Діана Денисівна</t>
  </si>
  <si>
    <t>Шеремета Надія Вадимівна</t>
  </si>
  <si>
    <t>Шкодовський Дмитро Валент.</t>
  </si>
  <si>
    <t>Сергій МЕЛЬНИЧУК</t>
  </si>
  <si>
    <t>Група 21-10 курс І</t>
  </si>
  <si>
    <t>Успішності студентів спеціальності 181 «Харчові технології»</t>
  </si>
  <si>
    <t>Астрономія
Калюта Н.М.</t>
  </si>
  <si>
    <t>ЗВ
Лазар В.І.</t>
  </si>
  <si>
    <t>Успішності студентів спеціальності 242 «Туризм»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</si>
  <si>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</si>
  <si>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</si>
  <si>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Фізична культура
Акрабова О.Г.</t>
  </si>
  <si>
    <t>Річна 2021-2022 н.р.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</si>
</sst>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1"/>
      <color rgb="FF000000"/>
      <name val="Calibri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13"/>
  </cellStyleXfs>
  <cellXfs count="54">
    <xf numFmtId="0" fontId="0" fillId="0" borderId="0" xfId="0" applyFont="1" applyAlignment="1"/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2" borderId="15" xfId="0" applyFont="1" applyFill="1" applyBorder="1" applyAlignment="1">
      <alignment vertical="center" wrapText="1"/>
    </xf>
    <xf numFmtId="164" fontId="3" fillId="3" borderId="15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3" fillId="2" borderId="17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7" fillId="0" borderId="0" xfId="0" applyFont="1"/>
    <xf numFmtId="0" fontId="6" fillId="0" borderId="0" xfId="0" applyFont="1" applyAlignment="1"/>
    <xf numFmtId="0" fontId="9" fillId="0" borderId="0" xfId="0" applyFont="1"/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7" fillId="0" borderId="0" xfId="0" applyFont="1" applyAlignment="1"/>
    <xf numFmtId="164" fontId="11" fillId="4" borderId="15" xfId="1" applyNumberFormat="1" applyFont="1" applyFill="1" applyBorder="1" applyAlignment="1">
      <alignment horizontal="center" vertical="center"/>
    </xf>
    <xf numFmtId="164" fontId="11" fillId="5" borderId="17" xfId="1" applyNumberFormat="1" applyFont="1" applyFill="1" applyBorder="1" applyAlignment="1">
      <alignment horizontal="center" vertical="center"/>
    </xf>
    <xf numFmtId="164" fontId="11" fillId="5" borderId="2" xfId="1" applyNumberFormat="1" applyFont="1" applyFill="1" applyBorder="1" applyAlignment="1">
      <alignment horizontal="center" vertical="center"/>
    </xf>
    <xf numFmtId="164" fontId="11" fillId="5" borderId="10" xfId="1" applyNumberFormat="1" applyFont="1" applyFill="1" applyBorder="1" applyAlignment="1">
      <alignment horizontal="center" vertical="center"/>
    </xf>
    <xf numFmtId="164" fontId="11" fillId="5" borderId="18" xfId="1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8" fillId="0" borderId="8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8" fillId="0" borderId="9" xfId="0" applyFont="1" applyBorder="1"/>
    <xf numFmtId="0" fontId="3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19" xfId="0" applyFont="1" applyBorder="1"/>
    <xf numFmtId="0" fontId="8" fillId="0" borderId="5" xfId="0" applyFont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textRotation="90" wrapText="1"/>
    </xf>
    <xf numFmtId="0" fontId="3" fillId="0" borderId="6" xfId="0" applyFont="1" applyBorder="1" applyAlignment="1">
      <alignment horizontal="center" textRotation="90" wrapText="1"/>
    </xf>
    <xf numFmtId="0" fontId="3" fillId="0" borderId="8" xfId="0" applyFont="1" applyBorder="1" applyAlignment="1">
      <alignment horizont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3" fillId="0" borderId="17" xfId="0" applyFont="1" applyBorder="1" applyAlignment="1">
      <alignment horizontal="center" textRotation="90" wrapText="1"/>
    </xf>
    <xf numFmtId="0" fontId="8" fillId="0" borderId="20" xfId="0" applyFont="1" applyBorder="1"/>
    <xf numFmtId="0" fontId="8" fillId="0" borderId="15" xfId="0" applyFont="1" applyBorder="1"/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AA1000"/>
  <sheetViews>
    <sheetView tabSelected="1" workbookViewId="0">
      <selection sqref="A1:S1"/>
    </sheetView>
  </sheetViews>
  <sheetFormatPr defaultColWidth="14.42578125" defaultRowHeight="15" customHeight="1"/>
  <cols>
    <col min="1" max="1" width="4.140625" style="20" customWidth="1"/>
    <col min="2" max="2" width="6.5703125" style="20" customWidth="1"/>
    <col min="3" max="3" width="40.42578125" style="20" customWidth="1"/>
    <col min="4" max="18" width="6.7109375" style="20" customWidth="1"/>
    <col min="19" max="19" width="11.28515625" style="20" customWidth="1"/>
    <col min="20" max="27" width="8.7109375" style="20" customWidth="1"/>
    <col min="28" max="16384" width="14.42578125" style="20"/>
  </cols>
  <sheetData>
    <row r="1" spans="1:27" ht="15" customHeight="1">
      <c r="A1" s="32" t="s">
        <v>65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27" ht="15" customHeight="1">
      <c r="A2" s="32" t="s">
        <v>66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27" ht="15" customHeight="1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27" ht="15" customHeight="1">
      <c r="A4" s="34" t="s">
        <v>61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27" ht="15" customHeight="1">
      <c r="A5" s="34" t="s">
        <v>68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27" ht="15" customHeight="1">
      <c r="A6" s="35" t="s">
        <v>60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7" spans="1:27" ht="15.75">
      <c r="A7" s="46" t="s">
        <v>1</v>
      </c>
      <c r="B7" s="36" t="s">
        <v>2</v>
      </c>
      <c r="C7" s="39" t="s">
        <v>3</v>
      </c>
      <c r="D7" s="42" t="s">
        <v>4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4"/>
      <c r="S7" s="45"/>
    </row>
    <row r="8" spans="1:27" ht="15" customHeight="1">
      <c r="A8" s="37"/>
      <c r="B8" s="37"/>
      <c r="C8" s="40"/>
      <c r="D8" s="47" t="s">
        <v>62</v>
      </c>
      <c r="E8" s="47" t="s">
        <v>13</v>
      </c>
      <c r="F8" s="47" t="s">
        <v>6</v>
      </c>
      <c r="G8" s="47" t="s">
        <v>16</v>
      </c>
      <c r="H8" s="47" t="s">
        <v>12</v>
      </c>
      <c r="I8" s="47" t="s">
        <v>63</v>
      </c>
      <c r="J8" s="47" t="s">
        <v>14</v>
      </c>
      <c r="K8" s="47" t="s">
        <v>10</v>
      </c>
      <c r="L8" s="47" t="s">
        <v>15</v>
      </c>
      <c r="M8" s="47" t="s">
        <v>7</v>
      </c>
      <c r="N8" s="47" t="s">
        <v>5</v>
      </c>
      <c r="O8" s="47" t="s">
        <v>11</v>
      </c>
      <c r="P8" s="47" t="s">
        <v>8</v>
      </c>
      <c r="Q8" s="47" t="s">
        <v>67</v>
      </c>
      <c r="R8" s="51" t="s">
        <v>9</v>
      </c>
      <c r="S8" s="50" t="s">
        <v>17</v>
      </c>
    </row>
    <row r="9" spans="1:27" ht="15" customHeight="1">
      <c r="A9" s="37"/>
      <c r="B9" s="37"/>
      <c r="C9" s="40"/>
      <c r="D9" s="48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52"/>
      <c r="S9" s="37"/>
    </row>
    <row r="10" spans="1:27" ht="101.25" customHeight="1">
      <c r="A10" s="38"/>
      <c r="B10" s="38"/>
      <c r="C10" s="41"/>
      <c r="D10" s="49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53"/>
      <c r="S10" s="38"/>
    </row>
    <row r="11" spans="1:27" ht="15.75" customHeight="1">
      <c r="A11" s="1" t="s">
        <v>18</v>
      </c>
      <c r="B11" s="2">
        <v>1</v>
      </c>
      <c r="C11" s="3" t="s">
        <v>19</v>
      </c>
      <c r="D11" s="4">
        <v>9</v>
      </c>
      <c r="E11" s="5">
        <v>10</v>
      </c>
      <c r="F11" s="5">
        <v>10</v>
      </c>
      <c r="G11" s="5">
        <v>10</v>
      </c>
      <c r="H11" s="5">
        <v>10</v>
      </c>
      <c r="I11" s="5">
        <v>9</v>
      </c>
      <c r="J11" s="5">
        <v>10</v>
      </c>
      <c r="K11" s="5">
        <v>6</v>
      </c>
      <c r="L11" s="5">
        <v>8</v>
      </c>
      <c r="M11" s="5">
        <v>7</v>
      </c>
      <c r="N11" s="5">
        <v>8</v>
      </c>
      <c r="O11" s="5">
        <v>9</v>
      </c>
      <c r="P11" s="5">
        <v>8</v>
      </c>
      <c r="Q11" s="5">
        <v>9</v>
      </c>
      <c r="R11" s="18">
        <v>7</v>
      </c>
      <c r="S11" s="6">
        <f>IF(COUNTIF(D11:R11,"=*")&gt;0,"-",(AVERAGE(D11:R11)))</f>
        <v>8.6666666666666661</v>
      </c>
    </row>
    <row r="12" spans="1:27" ht="15.75" customHeight="1">
      <c r="A12" s="1" t="s">
        <v>18</v>
      </c>
      <c r="B12" s="7">
        <v>2</v>
      </c>
      <c r="C12" s="3" t="s">
        <v>20</v>
      </c>
      <c r="D12" s="5">
        <v>9</v>
      </c>
      <c r="E12" s="5">
        <v>9</v>
      </c>
      <c r="F12" s="5">
        <v>10</v>
      </c>
      <c r="G12" s="5">
        <v>9</v>
      </c>
      <c r="H12" s="5">
        <v>7</v>
      </c>
      <c r="I12" s="5">
        <v>9</v>
      </c>
      <c r="J12" s="5">
        <v>8</v>
      </c>
      <c r="K12" s="5">
        <v>8</v>
      </c>
      <c r="L12" s="5">
        <v>8</v>
      </c>
      <c r="M12" s="5">
        <v>8</v>
      </c>
      <c r="N12" s="8">
        <v>9</v>
      </c>
      <c r="O12" s="9">
        <v>9</v>
      </c>
      <c r="P12" s="5">
        <v>8</v>
      </c>
      <c r="Q12" s="9">
        <v>10</v>
      </c>
      <c r="R12" s="18">
        <v>6</v>
      </c>
      <c r="S12" s="6">
        <f t="shared" ref="S12:S21" si="0">IF(COUNTIF(D12:R12,"=*")&gt;0,"-",(AVERAGE(D12:R12)))</f>
        <v>8.4666666666666668</v>
      </c>
      <c r="T12" s="15"/>
      <c r="U12" s="15"/>
      <c r="V12" s="15"/>
      <c r="Z12" s="15"/>
      <c r="AA12" s="15"/>
    </row>
    <row r="13" spans="1:27" ht="15.75">
      <c r="A13" s="1" t="s">
        <v>18</v>
      </c>
      <c r="B13" s="2">
        <v>3</v>
      </c>
      <c r="C13" s="3" t="s">
        <v>21</v>
      </c>
      <c r="D13" s="5">
        <v>7</v>
      </c>
      <c r="E13" s="5">
        <v>4</v>
      </c>
      <c r="F13" s="5">
        <v>7</v>
      </c>
      <c r="G13" s="5">
        <v>5</v>
      </c>
      <c r="H13" s="5">
        <v>4</v>
      </c>
      <c r="I13" s="5">
        <v>7</v>
      </c>
      <c r="J13" s="5">
        <v>4</v>
      </c>
      <c r="K13" s="5">
        <v>7</v>
      </c>
      <c r="L13" s="5">
        <v>8</v>
      </c>
      <c r="M13" s="5">
        <v>5</v>
      </c>
      <c r="N13" s="8">
        <v>6</v>
      </c>
      <c r="O13" s="9">
        <v>7</v>
      </c>
      <c r="P13" s="5">
        <v>4</v>
      </c>
      <c r="Q13" s="9">
        <v>6</v>
      </c>
      <c r="R13" s="18">
        <v>8</v>
      </c>
      <c r="S13" s="6">
        <f t="shared" si="0"/>
        <v>5.9333333333333336</v>
      </c>
      <c r="T13" s="15"/>
      <c r="U13" s="15"/>
      <c r="V13" s="15"/>
      <c r="Z13" s="15"/>
      <c r="AA13" s="15"/>
    </row>
    <row r="14" spans="1:27" ht="15.75" customHeight="1">
      <c r="A14" s="1" t="s">
        <v>18</v>
      </c>
      <c r="B14" s="7">
        <v>4</v>
      </c>
      <c r="C14" s="3" t="s">
        <v>22</v>
      </c>
      <c r="D14" s="5">
        <v>11</v>
      </c>
      <c r="E14" s="5">
        <v>10</v>
      </c>
      <c r="F14" s="5">
        <v>10</v>
      </c>
      <c r="G14" s="5">
        <v>9</v>
      </c>
      <c r="H14" s="5">
        <v>8</v>
      </c>
      <c r="I14" s="5">
        <v>10</v>
      </c>
      <c r="J14" s="5">
        <v>10</v>
      </c>
      <c r="K14" s="5">
        <v>10</v>
      </c>
      <c r="L14" s="5">
        <v>9</v>
      </c>
      <c r="M14" s="5">
        <v>9</v>
      </c>
      <c r="N14" s="8">
        <v>10</v>
      </c>
      <c r="O14" s="9">
        <v>10</v>
      </c>
      <c r="P14" s="5">
        <v>9</v>
      </c>
      <c r="Q14" s="9">
        <v>10</v>
      </c>
      <c r="R14" s="18">
        <v>9</v>
      </c>
      <c r="S14" s="6">
        <f t="shared" si="0"/>
        <v>9.6</v>
      </c>
      <c r="T14" s="15"/>
      <c r="U14" s="15"/>
      <c r="V14" s="15"/>
      <c r="Z14" s="15"/>
      <c r="AA14" s="15"/>
    </row>
    <row r="15" spans="1:27" ht="15.75" customHeight="1">
      <c r="A15" s="1" t="s">
        <v>18</v>
      </c>
      <c r="B15" s="2">
        <v>5</v>
      </c>
      <c r="C15" s="3" t="s">
        <v>23</v>
      </c>
      <c r="D15" s="5">
        <v>8</v>
      </c>
      <c r="E15" s="5">
        <v>8</v>
      </c>
      <c r="F15" s="5">
        <v>10</v>
      </c>
      <c r="G15" s="5">
        <v>9</v>
      </c>
      <c r="H15" s="5">
        <v>6</v>
      </c>
      <c r="I15" s="5">
        <v>6</v>
      </c>
      <c r="J15" s="5">
        <v>8</v>
      </c>
      <c r="K15" s="5">
        <v>7</v>
      </c>
      <c r="L15" s="5">
        <v>7</v>
      </c>
      <c r="M15" s="5">
        <v>7</v>
      </c>
      <c r="N15" s="8">
        <v>9</v>
      </c>
      <c r="O15" s="9">
        <v>8</v>
      </c>
      <c r="P15" s="5">
        <v>7</v>
      </c>
      <c r="Q15" s="9">
        <v>10</v>
      </c>
      <c r="R15" s="18">
        <v>6</v>
      </c>
      <c r="S15" s="6">
        <f t="shared" si="0"/>
        <v>7.7333333333333334</v>
      </c>
      <c r="T15" s="15"/>
      <c r="U15" s="15"/>
      <c r="V15" s="15"/>
      <c r="Z15" s="15"/>
      <c r="AA15" s="15"/>
    </row>
    <row r="16" spans="1:27" ht="15.75" customHeight="1">
      <c r="A16" s="1" t="s">
        <v>18</v>
      </c>
      <c r="B16" s="7">
        <v>6</v>
      </c>
      <c r="C16" s="3" t="s">
        <v>24</v>
      </c>
      <c r="D16" s="5">
        <v>6</v>
      </c>
      <c r="E16" s="5">
        <v>7</v>
      </c>
      <c r="F16" s="5">
        <v>10</v>
      </c>
      <c r="G16" s="5">
        <v>9</v>
      </c>
      <c r="H16" s="5">
        <v>7</v>
      </c>
      <c r="I16" s="5">
        <v>7</v>
      </c>
      <c r="J16" s="5">
        <v>7</v>
      </c>
      <c r="K16" s="5">
        <v>8</v>
      </c>
      <c r="L16" s="5">
        <v>6</v>
      </c>
      <c r="M16" s="5">
        <v>7</v>
      </c>
      <c r="N16" s="8">
        <v>8</v>
      </c>
      <c r="O16" s="9">
        <v>8</v>
      </c>
      <c r="P16" s="5">
        <v>6</v>
      </c>
      <c r="Q16" s="9">
        <v>9</v>
      </c>
      <c r="R16" s="18">
        <v>6</v>
      </c>
      <c r="S16" s="6">
        <f t="shared" si="0"/>
        <v>7.4</v>
      </c>
      <c r="T16" s="15"/>
      <c r="U16" s="15"/>
      <c r="V16" s="15"/>
      <c r="Z16" s="15"/>
      <c r="AA16" s="15"/>
    </row>
    <row r="17" spans="1:27" ht="15.75" customHeight="1">
      <c r="A17" s="1" t="s">
        <v>18</v>
      </c>
      <c r="B17" s="2">
        <v>7</v>
      </c>
      <c r="C17" s="3" t="s">
        <v>25</v>
      </c>
      <c r="D17" s="5">
        <v>4</v>
      </c>
      <c r="E17" s="5">
        <v>4</v>
      </c>
      <c r="F17" s="5">
        <v>7</v>
      </c>
      <c r="G17" s="5">
        <v>5</v>
      </c>
      <c r="H17" s="5">
        <v>4</v>
      </c>
      <c r="I17" s="5">
        <v>4</v>
      </c>
      <c r="J17" s="5">
        <v>4</v>
      </c>
      <c r="K17" s="5">
        <v>4</v>
      </c>
      <c r="L17" s="5">
        <v>4</v>
      </c>
      <c r="M17" s="5">
        <v>4</v>
      </c>
      <c r="N17" s="8">
        <v>4</v>
      </c>
      <c r="O17" s="9">
        <v>4</v>
      </c>
      <c r="P17" s="5">
        <v>4</v>
      </c>
      <c r="Q17" s="9">
        <v>5</v>
      </c>
      <c r="R17" s="18">
        <v>4</v>
      </c>
      <c r="S17" s="6">
        <f t="shared" si="0"/>
        <v>4.333333333333333</v>
      </c>
      <c r="T17" s="15"/>
      <c r="U17" s="15"/>
      <c r="V17" s="15"/>
      <c r="Z17" s="15"/>
      <c r="AA17" s="15"/>
    </row>
    <row r="18" spans="1:27" ht="15.75" customHeight="1">
      <c r="A18" s="1" t="s">
        <v>18</v>
      </c>
      <c r="B18" s="7">
        <v>8</v>
      </c>
      <c r="C18" s="3" t="s">
        <v>26</v>
      </c>
      <c r="D18" s="5">
        <v>4</v>
      </c>
      <c r="E18" s="5">
        <v>9</v>
      </c>
      <c r="F18" s="5">
        <v>10</v>
      </c>
      <c r="G18" s="5">
        <v>8</v>
      </c>
      <c r="H18" s="5">
        <v>8</v>
      </c>
      <c r="I18" s="5">
        <v>4</v>
      </c>
      <c r="J18" s="5">
        <v>8</v>
      </c>
      <c r="K18" s="5">
        <v>8</v>
      </c>
      <c r="L18" s="5">
        <v>8</v>
      </c>
      <c r="M18" s="5">
        <v>6</v>
      </c>
      <c r="N18" s="8">
        <v>8</v>
      </c>
      <c r="O18" s="9">
        <v>9</v>
      </c>
      <c r="P18" s="5">
        <v>6</v>
      </c>
      <c r="Q18" s="9">
        <v>9</v>
      </c>
      <c r="R18" s="18">
        <v>6</v>
      </c>
      <c r="S18" s="6">
        <f t="shared" si="0"/>
        <v>7.4</v>
      </c>
      <c r="T18" s="15"/>
      <c r="U18" s="15"/>
      <c r="V18" s="15"/>
      <c r="Z18" s="15"/>
      <c r="AA18" s="15"/>
    </row>
    <row r="19" spans="1:27" ht="15.75" customHeight="1">
      <c r="A19" s="1" t="s">
        <v>18</v>
      </c>
      <c r="B19" s="2">
        <v>9</v>
      </c>
      <c r="C19" s="3" t="s">
        <v>27</v>
      </c>
      <c r="D19" s="5">
        <v>9</v>
      </c>
      <c r="E19" s="5">
        <v>7</v>
      </c>
      <c r="F19" s="5">
        <v>9</v>
      </c>
      <c r="G19" s="5">
        <v>8</v>
      </c>
      <c r="H19" s="5">
        <v>5</v>
      </c>
      <c r="I19" s="5">
        <v>6</v>
      </c>
      <c r="J19" s="5">
        <v>7</v>
      </c>
      <c r="K19" s="5">
        <v>8</v>
      </c>
      <c r="L19" s="5">
        <v>7</v>
      </c>
      <c r="M19" s="5">
        <v>6</v>
      </c>
      <c r="N19" s="8">
        <v>8</v>
      </c>
      <c r="O19" s="9">
        <v>8</v>
      </c>
      <c r="P19" s="5">
        <v>8</v>
      </c>
      <c r="Q19" s="9">
        <v>7</v>
      </c>
      <c r="R19" s="18">
        <v>5</v>
      </c>
      <c r="S19" s="6">
        <f t="shared" si="0"/>
        <v>7.2</v>
      </c>
      <c r="T19" s="15"/>
      <c r="U19" s="15"/>
      <c r="V19" s="15"/>
      <c r="Z19" s="15"/>
      <c r="AA19" s="15"/>
    </row>
    <row r="20" spans="1:27" ht="15.75" customHeight="1">
      <c r="A20" s="1" t="s">
        <v>18</v>
      </c>
      <c r="B20" s="1">
        <v>10</v>
      </c>
      <c r="C20" s="3" t="s">
        <v>28</v>
      </c>
      <c r="D20" s="5">
        <v>4</v>
      </c>
      <c r="E20" s="5">
        <v>9</v>
      </c>
      <c r="F20" s="5">
        <v>10</v>
      </c>
      <c r="G20" s="5">
        <v>8</v>
      </c>
      <c r="H20" s="5">
        <v>11</v>
      </c>
      <c r="I20" s="5">
        <v>5</v>
      </c>
      <c r="J20" s="5">
        <v>7</v>
      </c>
      <c r="K20" s="5">
        <v>5</v>
      </c>
      <c r="L20" s="5">
        <v>7</v>
      </c>
      <c r="M20" s="5">
        <v>4</v>
      </c>
      <c r="N20" s="8">
        <v>6</v>
      </c>
      <c r="O20" s="9">
        <v>6</v>
      </c>
      <c r="P20" s="5">
        <v>6</v>
      </c>
      <c r="Q20" s="9">
        <v>8</v>
      </c>
      <c r="R20" s="18">
        <v>4</v>
      </c>
      <c r="S20" s="6">
        <f t="shared" si="0"/>
        <v>6.666666666666667</v>
      </c>
      <c r="T20" s="15"/>
      <c r="U20" s="15"/>
      <c r="V20" s="15"/>
      <c r="Z20" s="15"/>
      <c r="AA20" s="15"/>
    </row>
    <row r="21" spans="1:27" ht="15.75" customHeight="1">
      <c r="A21" s="21"/>
      <c r="B21" s="21"/>
      <c r="C21" s="10" t="s">
        <v>29</v>
      </c>
      <c r="D21" s="25">
        <f>SUM(D11:D20)/B20</f>
        <v>7.1</v>
      </c>
      <c r="E21" s="25">
        <f>SUM(E11:E20)/B20</f>
        <v>7.7</v>
      </c>
      <c r="F21" s="25">
        <f>SUM(F11:F20)/B20</f>
        <v>9.3000000000000007</v>
      </c>
      <c r="G21" s="25">
        <f>SUM(G11:G20)/B20</f>
        <v>8</v>
      </c>
      <c r="H21" s="25">
        <f>SUM(H11:H20)/B20</f>
        <v>7</v>
      </c>
      <c r="I21" s="25">
        <f>SUM(I11:I20)/B20</f>
        <v>6.7</v>
      </c>
      <c r="J21" s="25">
        <f>SUM(J11:J20)/B20</f>
        <v>7.3</v>
      </c>
      <c r="K21" s="25">
        <f>SUM(K11:K20)/B20</f>
        <v>7.1</v>
      </c>
      <c r="L21" s="25">
        <f>SUM(L11:L20)/B20</f>
        <v>7.2</v>
      </c>
      <c r="M21" s="25">
        <f>SUM(M11:M20)/B20</f>
        <v>6.3</v>
      </c>
      <c r="N21" s="25">
        <f>SUM(N11:N20)/B20</f>
        <v>7.6</v>
      </c>
      <c r="O21" s="25">
        <f>SUM(O11:O20)/B20</f>
        <v>7.8</v>
      </c>
      <c r="P21" s="25">
        <f>SUM(P11:P20)/B20</f>
        <v>6.6</v>
      </c>
      <c r="Q21" s="25">
        <f>SUM(Q11:Q20)/B20</f>
        <v>8.3000000000000007</v>
      </c>
      <c r="R21" s="25">
        <f>SUM(R11:R20)/B20</f>
        <v>6.1</v>
      </c>
      <c r="S21" s="6">
        <f t="shared" si="0"/>
        <v>7.339999999999999</v>
      </c>
    </row>
    <row r="22" spans="1:27" ht="15.75" customHeight="1">
      <c r="A22" s="21"/>
      <c r="B22" s="21"/>
      <c r="C22" s="12" t="s">
        <v>30</v>
      </c>
      <c r="D22" s="26">
        <f>(COUNT(D11:D20))/B20*100</f>
        <v>100</v>
      </c>
      <c r="E22" s="26">
        <f>(COUNT(E11:E20))/B20*100</f>
        <v>100</v>
      </c>
      <c r="F22" s="26">
        <f>(COUNT(F11:F20))/B20*100</f>
        <v>100</v>
      </c>
      <c r="G22" s="26">
        <f>(COUNT(G11:G20))/B20*100</f>
        <v>100</v>
      </c>
      <c r="H22" s="26">
        <f>(COUNT(H11:H20))/B20*100</f>
        <v>100</v>
      </c>
      <c r="I22" s="26">
        <f>(COUNT(I11:I20))/B20*100</f>
        <v>100</v>
      </c>
      <c r="J22" s="26">
        <f>(COUNT(J11:J20))/B20*100</f>
        <v>100</v>
      </c>
      <c r="K22" s="26">
        <f>(COUNT(K11:K20))/B20*100</f>
        <v>100</v>
      </c>
      <c r="L22" s="26">
        <f>(COUNT(L11:L20))/B20*100</f>
        <v>100</v>
      </c>
      <c r="M22" s="26">
        <f>(COUNT(M11:M20))/B20*100</f>
        <v>100</v>
      </c>
      <c r="N22" s="26">
        <f>(COUNT(N11:N20))/B20*100</f>
        <v>100</v>
      </c>
      <c r="O22" s="26">
        <f>(COUNT(O11:O20))/B20*100</f>
        <v>100</v>
      </c>
      <c r="P22" s="26">
        <f>(COUNT(P11:P20))/B20*100</f>
        <v>100</v>
      </c>
      <c r="Q22" s="26">
        <f>(COUNT(Q11:Q20))/B20*100</f>
        <v>100</v>
      </c>
      <c r="R22" s="27">
        <f>(COUNT(R11:R20))/B20*100</f>
        <v>100</v>
      </c>
    </row>
    <row r="23" spans="1:27" ht="15.75" customHeight="1">
      <c r="A23" s="21"/>
      <c r="B23" s="21"/>
      <c r="C23" s="13" t="s">
        <v>31</v>
      </c>
      <c r="D23" s="28">
        <f>(COUNTIF(D11:D20,"&gt;=7"))/B20*100</f>
        <v>60</v>
      </c>
      <c r="E23" s="28">
        <f>(COUNTIF(E11:E20,"&gt;=7"))/B20*100</f>
        <v>80</v>
      </c>
      <c r="F23" s="28">
        <f>(COUNTIF(F11:F20,"&gt;=7"))/B20*100</f>
        <v>100</v>
      </c>
      <c r="G23" s="28">
        <f>(COUNTIF(G11:G20,"&gt;=7"))/B20*100</f>
        <v>80</v>
      </c>
      <c r="H23" s="28">
        <f>(COUNTIF(H11:H20,"&gt;=7"))/B20*100</f>
        <v>60</v>
      </c>
      <c r="I23" s="28">
        <f>(COUNTIF(I11:I20,"&gt;=7"))/B20*100</f>
        <v>50</v>
      </c>
      <c r="J23" s="28">
        <f>(COUNTIF(J11:J20,"&gt;=7"))/B20*100</f>
        <v>80</v>
      </c>
      <c r="K23" s="28">
        <f>(COUNTIF(K11:K20,"&gt;=7"))/B20*100</f>
        <v>70</v>
      </c>
      <c r="L23" s="28">
        <f>(COUNTIF(L11:L20,"&gt;=7"))/B20*100</f>
        <v>80</v>
      </c>
      <c r="M23" s="28">
        <f>(COUNTIF(M11:M20,"&gt;=7"))/B20*100</f>
        <v>50</v>
      </c>
      <c r="N23" s="28">
        <f>(COUNTIF(N11:N20,"&gt;=7"))/B20*100</f>
        <v>70</v>
      </c>
      <c r="O23" s="28">
        <f>(COUNTIF(O11:O20,"&gt;=7"))/B20*100</f>
        <v>80</v>
      </c>
      <c r="P23" s="28">
        <f>(COUNTIF(P11:P20,"&gt;=7"))/B20*100</f>
        <v>50</v>
      </c>
      <c r="Q23" s="28">
        <f>(COUNTIF(Q11:Q20,"&gt;=7"))/B20*100</f>
        <v>80</v>
      </c>
      <c r="R23" s="29">
        <f>(COUNTIF(R11:R20,"&gt;=7"))/B20*100</f>
        <v>30</v>
      </c>
    </row>
    <row r="24" spans="1:27" ht="15.75" customHeight="1">
      <c r="A24" s="21"/>
      <c r="B24" s="21"/>
      <c r="C24" s="13" t="s">
        <v>32</v>
      </c>
      <c r="D24" s="11">
        <f>AVERAGE(D22:R22)</f>
        <v>100</v>
      </c>
      <c r="E24" s="14"/>
      <c r="F24" s="14"/>
      <c r="G24" s="14"/>
      <c r="H24" s="14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</row>
    <row r="25" spans="1:27" ht="15.75" customHeight="1">
      <c r="A25" s="21"/>
      <c r="B25" s="21"/>
      <c r="C25" s="13" t="s">
        <v>33</v>
      </c>
      <c r="D25" s="11">
        <f>AVERAGE(D23:R23)</f>
        <v>68</v>
      </c>
      <c r="E25" s="14"/>
      <c r="F25" s="19" t="s">
        <v>34</v>
      </c>
      <c r="G25" s="19"/>
      <c r="H25" s="19"/>
      <c r="I25" s="19"/>
      <c r="J25" s="19"/>
      <c r="K25" s="24"/>
      <c r="L25" s="19" t="s">
        <v>59</v>
      </c>
      <c r="M25" s="22"/>
      <c r="N25" s="22"/>
      <c r="O25" s="22"/>
      <c r="P25" s="22"/>
      <c r="Q25" s="22"/>
      <c r="R25" s="22"/>
      <c r="S25" s="23"/>
    </row>
    <row r="26" spans="1:27" ht="15.75" customHeight="1">
      <c r="A26" s="15"/>
      <c r="B26" s="15"/>
      <c r="C26" s="15"/>
      <c r="D26" s="15"/>
      <c r="E26" s="15"/>
      <c r="F26" s="19"/>
      <c r="G26" s="19"/>
      <c r="H26" s="19"/>
      <c r="I26" s="19"/>
      <c r="J26" s="19"/>
      <c r="K26" s="24"/>
      <c r="L26" s="19"/>
      <c r="M26" s="15"/>
      <c r="N26" s="15"/>
      <c r="O26" s="15"/>
      <c r="P26" s="15"/>
      <c r="Q26" s="15"/>
      <c r="R26" s="15"/>
      <c r="S26" s="15"/>
    </row>
    <row r="27" spans="1:27" ht="15.75" customHeight="1">
      <c r="A27" s="15"/>
      <c r="B27" s="15"/>
      <c r="C27" s="15"/>
      <c r="D27" s="15"/>
      <c r="E27" s="15"/>
      <c r="F27" s="19" t="s">
        <v>35</v>
      </c>
      <c r="G27" s="19"/>
      <c r="H27" s="19"/>
      <c r="I27" s="19"/>
      <c r="J27" s="19"/>
      <c r="K27" s="24"/>
      <c r="L27" s="19" t="s">
        <v>36</v>
      </c>
      <c r="M27" s="15"/>
      <c r="N27" s="15"/>
      <c r="O27" s="15"/>
      <c r="P27" s="15"/>
      <c r="Q27" s="15"/>
      <c r="R27" s="15"/>
      <c r="S27" s="15"/>
    </row>
    <row r="28" spans="1:27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27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1:27" ht="15.75" customHeight="1">
      <c r="A30" s="15"/>
      <c r="B30" s="15"/>
      <c r="C30" s="15"/>
      <c r="D30" s="15"/>
      <c r="K30" s="16"/>
      <c r="L30" s="15"/>
      <c r="M30" s="15"/>
      <c r="N30" s="15"/>
      <c r="O30" s="15"/>
      <c r="P30" s="15"/>
      <c r="Q30" s="15"/>
      <c r="R30" s="15"/>
      <c r="S30" s="15"/>
    </row>
    <row r="31" spans="1:27" ht="15.75" customHeight="1">
      <c r="A31" s="15"/>
      <c r="B31" s="15"/>
      <c r="C31" s="15"/>
      <c r="D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27" ht="15.75" customHeight="1">
      <c r="A32" s="15"/>
      <c r="B32" s="15"/>
      <c r="C32" s="15"/>
      <c r="D32" s="15"/>
      <c r="K32" s="16"/>
      <c r="L32" s="15"/>
      <c r="M32" s="15"/>
      <c r="N32" s="15"/>
      <c r="O32" s="15"/>
      <c r="P32" s="15"/>
      <c r="Q32" s="15"/>
      <c r="R32" s="15"/>
      <c r="S32" s="1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ref="W8:Y22">
    <sortCondition ref="W8"/>
  </sortState>
  <mergeCells count="26">
    <mergeCell ref="M8:M10"/>
    <mergeCell ref="N8:N10"/>
    <mergeCell ref="O8:O10"/>
    <mergeCell ref="P8:P10"/>
    <mergeCell ref="R8:R10"/>
    <mergeCell ref="A6:S6"/>
    <mergeCell ref="B7:B10"/>
    <mergeCell ref="C7:C10"/>
    <mergeCell ref="D7:S7"/>
    <mergeCell ref="A7:A10"/>
    <mergeCell ref="D8:D10"/>
    <mergeCell ref="E8:E10"/>
    <mergeCell ref="F8:F10"/>
    <mergeCell ref="G8:G10"/>
    <mergeCell ref="H8:H10"/>
    <mergeCell ref="I8:I10"/>
    <mergeCell ref="Q8:Q10"/>
    <mergeCell ref="S8:S10"/>
    <mergeCell ref="J8:J10"/>
    <mergeCell ref="K8:K10"/>
    <mergeCell ref="L8:L10"/>
    <mergeCell ref="A1:S1"/>
    <mergeCell ref="A2:S2"/>
    <mergeCell ref="A3:S3"/>
    <mergeCell ref="A4:S4"/>
    <mergeCell ref="A5:S5"/>
  </mergeCells>
  <pageMargins left="0.7" right="0.7" top="0.75" bottom="0.75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AA1000"/>
  <sheetViews>
    <sheetView workbookViewId="0">
      <selection sqref="A1:S1"/>
    </sheetView>
  </sheetViews>
  <sheetFormatPr defaultColWidth="14.42578125" defaultRowHeight="15" customHeight="1"/>
  <cols>
    <col min="1" max="1" width="4.42578125" style="20" customWidth="1"/>
    <col min="2" max="2" width="6.5703125" style="20" customWidth="1"/>
    <col min="3" max="3" width="40.42578125" style="20" customWidth="1"/>
    <col min="4" max="18" width="6.7109375" style="20" customWidth="1"/>
    <col min="19" max="19" width="11.28515625" style="20" customWidth="1"/>
    <col min="20" max="16384" width="14.42578125" style="20"/>
  </cols>
  <sheetData>
    <row r="1" spans="1:19" ht="15" customHeight="1">
      <c r="A1" s="34" t="s">
        <v>65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15" customHeight="1">
      <c r="A2" s="34" t="s">
        <v>66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15" customHeight="1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ht="15" customHeight="1">
      <c r="A4" s="34" t="s">
        <v>64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15" customHeight="1">
      <c r="A5" s="34" t="s">
        <v>68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19" ht="15" customHeight="1">
      <c r="A6" s="35" t="s">
        <v>60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7" spans="1:19" ht="15" customHeight="1">
      <c r="A7" s="46" t="s">
        <v>1</v>
      </c>
      <c r="B7" s="36" t="s">
        <v>2</v>
      </c>
      <c r="C7" s="39" t="s">
        <v>3</v>
      </c>
      <c r="D7" s="42" t="s">
        <v>4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4"/>
      <c r="S7" s="45"/>
    </row>
    <row r="8" spans="1:19" ht="15" customHeight="1">
      <c r="A8" s="37"/>
      <c r="B8" s="37"/>
      <c r="C8" s="40"/>
      <c r="D8" s="47" t="s">
        <v>62</v>
      </c>
      <c r="E8" s="47" t="s">
        <v>13</v>
      </c>
      <c r="F8" s="47" t="s">
        <v>6</v>
      </c>
      <c r="G8" s="47" t="s">
        <v>16</v>
      </c>
      <c r="H8" s="47" t="s">
        <v>12</v>
      </c>
      <c r="I8" s="47" t="s">
        <v>63</v>
      </c>
      <c r="J8" s="47" t="s">
        <v>14</v>
      </c>
      <c r="K8" s="47" t="s">
        <v>10</v>
      </c>
      <c r="L8" s="47" t="s">
        <v>15</v>
      </c>
      <c r="M8" s="47" t="s">
        <v>7</v>
      </c>
      <c r="N8" s="47" t="s">
        <v>5</v>
      </c>
      <c r="O8" s="47" t="s">
        <v>11</v>
      </c>
      <c r="P8" s="47" t="s">
        <v>8</v>
      </c>
      <c r="Q8" s="47" t="s">
        <v>67</v>
      </c>
      <c r="R8" s="51" t="s">
        <v>9</v>
      </c>
      <c r="S8" s="50" t="s">
        <v>17</v>
      </c>
    </row>
    <row r="9" spans="1:19" ht="15" customHeight="1">
      <c r="A9" s="37"/>
      <c r="B9" s="37"/>
      <c r="C9" s="40"/>
      <c r="D9" s="48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52"/>
      <c r="S9" s="37"/>
    </row>
    <row r="10" spans="1:19" ht="100.5" customHeight="1">
      <c r="A10" s="38"/>
      <c r="B10" s="38"/>
      <c r="C10" s="41"/>
      <c r="D10" s="49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53"/>
      <c r="S10" s="38"/>
    </row>
    <row r="11" spans="1:19" ht="15" customHeight="1">
      <c r="A11" s="17" t="s">
        <v>18</v>
      </c>
      <c r="B11" s="7">
        <v>1</v>
      </c>
      <c r="C11" s="3" t="s">
        <v>37</v>
      </c>
      <c r="D11" s="4">
        <v>9</v>
      </c>
      <c r="E11" s="5">
        <v>8</v>
      </c>
      <c r="F11" s="5">
        <v>10</v>
      </c>
      <c r="G11" s="5">
        <v>10</v>
      </c>
      <c r="H11" s="5">
        <v>10</v>
      </c>
      <c r="I11" s="5">
        <v>8</v>
      </c>
      <c r="J11" s="5">
        <v>9</v>
      </c>
      <c r="K11" s="5">
        <v>9</v>
      </c>
      <c r="L11" s="5">
        <v>8</v>
      </c>
      <c r="M11" s="5">
        <v>7</v>
      </c>
      <c r="N11" s="5">
        <v>10</v>
      </c>
      <c r="O11" s="5">
        <v>10</v>
      </c>
      <c r="P11" s="5">
        <v>9</v>
      </c>
      <c r="Q11" s="5">
        <v>10</v>
      </c>
      <c r="R11" s="18">
        <v>6</v>
      </c>
      <c r="S11" s="6">
        <f>IF(COUNTIF(D11:R11,"=*")&gt;0,"-",(AVERAGE(D11:R11)))</f>
        <v>8.8666666666666671</v>
      </c>
    </row>
    <row r="12" spans="1:19" ht="15" customHeight="1">
      <c r="A12" s="17" t="s">
        <v>18</v>
      </c>
      <c r="B12" s="2">
        <v>2</v>
      </c>
      <c r="C12" s="3" t="s">
        <v>38</v>
      </c>
      <c r="D12" s="4">
        <v>4</v>
      </c>
      <c r="E12" s="5">
        <v>8</v>
      </c>
      <c r="F12" s="5">
        <v>10</v>
      </c>
      <c r="G12" s="5">
        <v>9</v>
      </c>
      <c r="H12" s="5">
        <v>6</v>
      </c>
      <c r="I12" s="5">
        <v>6</v>
      </c>
      <c r="J12" s="5">
        <v>6</v>
      </c>
      <c r="K12" s="5">
        <v>8</v>
      </c>
      <c r="L12" s="5">
        <v>7</v>
      </c>
      <c r="M12" s="5">
        <v>7</v>
      </c>
      <c r="N12" s="5">
        <v>6</v>
      </c>
      <c r="O12" s="5">
        <v>8</v>
      </c>
      <c r="P12" s="5">
        <v>5</v>
      </c>
      <c r="Q12" s="5">
        <v>9</v>
      </c>
      <c r="R12" s="18">
        <v>9</v>
      </c>
      <c r="S12" s="6">
        <f t="shared" ref="S12:S33" si="0">IF(COUNTIF(D12:R12,"=*")&gt;0,"-",(AVERAGE(D12:R12)))</f>
        <v>7.2</v>
      </c>
    </row>
    <row r="13" spans="1:19" ht="15" customHeight="1">
      <c r="A13" s="17" t="s">
        <v>18</v>
      </c>
      <c r="B13" s="2">
        <v>3</v>
      </c>
      <c r="C13" s="3" t="s">
        <v>39</v>
      </c>
      <c r="D13" s="4">
        <v>6</v>
      </c>
      <c r="E13" s="5">
        <v>6</v>
      </c>
      <c r="F13" s="5">
        <v>10</v>
      </c>
      <c r="G13" s="5">
        <v>8</v>
      </c>
      <c r="H13" s="5">
        <v>6</v>
      </c>
      <c r="I13" s="5">
        <v>5</v>
      </c>
      <c r="J13" s="5">
        <v>5</v>
      </c>
      <c r="K13" s="5">
        <v>8</v>
      </c>
      <c r="L13" s="5">
        <v>7</v>
      </c>
      <c r="M13" s="5">
        <v>5</v>
      </c>
      <c r="N13" s="5">
        <v>7</v>
      </c>
      <c r="O13" s="5">
        <v>8</v>
      </c>
      <c r="P13" s="5">
        <v>6</v>
      </c>
      <c r="Q13" s="5">
        <v>7</v>
      </c>
      <c r="R13" s="18">
        <v>6</v>
      </c>
      <c r="S13" s="6">
        <f t="shared" si="0"/>
        <v>6.666666666666667</v>
      </c>
    </row>
    <row r="14" spans="1:19" ht="15" customHeight="1">
      <c r="A14" s="17" t="s">
        <v>18</v>
      </c>
      <c r="B14" s="2">
        <v>4</v>
      </c>
      <c r="C14" s="3" t="s">
        <v>40</v>
      </c>
      <c r="D14" s="4">
        <v>4</v>
      </c>
      <c r="E14" s="5">
        <v>7</v>
      </c>
      <c r="F14" s="5">
        <v>8</v>
      </c>
      <c r="G14" s="5">
        <v>6</v>
      </c>
      <c r="H14" s="5">
        <v>4</v>
      </c>
      <c r="I14" s="5">
        <v>6</v>
      </c>
      <c r="J14" s="5">
        <v>5</v>
      </c>
      <c r="K14" s="5">
        <v>7</v>
      </c>
      <c r="L14" s="5">
        <v>5</v>
      </c>
      <c r="M14" s="5">
        <v>5</v>
      </c>
      <c r="N14" s="5">
        <v>6</v>
      </c>
      <c r="O14" s="5">
        <v>7</v>
      </c>
      <c r="P14" s="5">
        <v>5</v>
      </c>
      <c r="Q14" s="5">
        <v>7</v>
      </c>
      <c r="R14" s="18">
        <v>4</v>
      </c>
      <c r="S14" s="6">
        <f t="shared" si="0"/>
        <v>5.7333333333333334</v>
      </c>
    </row>
    <row r="15" spans="1:19" ht="15" customHeight="1">
      <c r="A15" s="17" t="s">
        <v>18</v>
      </c>
      <c r="B15" s="2">
        <v>5</v>
      </c>
      <c r="C15" s="3" t="s">
        <v>41</v>
      </c>
      <c r="D15" s="4">
        <v>4</v>
      </c>
      <c r="E15" s="5">
        <v>4</v>
      </c>
      <c r="F15" s="5">
        <v>8</v>
      </c>
      <c r="G15" s="5">
        <v>5</v>
      </c>
      <c r="H15" s="5">
        <v>5</v>
      </c>
      <c r="I15" s="5">
        <v>4</v>
      </c>
      <c r="J15" s="5">
        <v>6</v>
      </c>
      <c r="K15" s="5">
        <v>7</v>
      </c>
      <c r="L15" s="5">
        <v>5</v>
      </c>
      <c r="M15" s="5">
        <v>4</v>
      </c>
      <c r="N15" s="5">
        <v>6</v>
      </c>
      <c r="O15" s="5">
        <v>5</v>
      </c>
      <c r="P15" s="5">
        <v>4</v>
      </c>
      <c r="Q15" s="5">
        <v>5</v>
      </c>
      <c r="R15" s="18">
        <v>4</v>
      </c>
      <c r="S15" s="6">
        <f t="shared" si="0"/>
        <v>5.0666666666666664</v>
      </c>
    </row>
    <row r="16" spans="1:19" ht="15" customHeight="1">
      <c r="A16" s="17" t="s">
        <v>18</v>
      </c>
      <c r="B16" s="2">
        <v>6</v>
      </c>
      <c r="C16" s="3" t="s">
        <v>42</v>
      </c>
      <c r="D16" s="4">
        <v>5</v>
      </c>
      <c r="E16" s="5">
        <v>4</v>
      </c>
      <c r="F16" s="5">
        <v>9</v>
      </c>
      <c r="G16" s="5">
        <v>8</v>
      </c>
      <c r="H16" s="5">
        <v>4</v>
      </c>
      <c r="I16" s="5">
        <v>4</v>
      </c>
      <c r="J16" s="5">
        <v>5</v>
      </c>
      <c r="K16" s="5">
        <v>7</v>
      </c>
      <c r="L16" s="5">
        <v>5</v>
      </c>
      <c r="M16" s="5">
        <v>4</v>
      </c>
      <c r="N16" s="5">
        <v>6</v>
      </c>
      <c r="O16" s="5">
        <v>6</v>
      </c>
      <c r="P16" s="5">
        <v>5</v>
      </c>
      <c r="Q16" s="5">
        <v>7</v>
      </c>
      <c r="R16" s="18">
        <v>4</v>
      </c>
      <c r="S16" s="6">
        <f t="shared" si="0"/>
        <v>5.5333333333333332</v>
      </c>
    </row>
    <row r="17" spans="1:27" ht="15" customHeight="1">
      <c r="A17" s="17" t="s">
        <v>18</v>
      </c>
      <c r="B17" s="2">
        <v>7</v>
      </c>
      <c r="C17" s="3" t="s">
        <v>43</v>
      </c>
      <c r="D17" s="4">
        <v>8</v>
      </c>
      <c r="E17" s="5">
        <v>9</v>
      </c>
      <c r="F17" s="5">
        <v>10</v>
      </c>
      <c r="G17" s="5">
        <v>9</v>
      </c>
      <c r="H17" s="5">
        <v>7</v>
      </c>
      <c r="I17" s="5">
        <v>8</v>
      </c>
      <c r="J17" s="5">
        <v>7</v>
      </c>
      <c r="K17" s="5">
        <v>8</v>
      </c>
      <c r="L17" s="5">
        <v>8</v>
      </c>
      <c r="M17" s="5">
        <v>7</v>
      </c>
      <c r="N17" s="5">
        <v>9</v>
      </c>
      <c r="O17" s="5">
        <v>9</v>
      </c>
      <c r="P17" s="5">
        <v>7</v>
      </c>
      <c r="Q17" s="5">
        <v>10</v>
      </c>
      <c r="R17" s="18">
        <v>6</v>
      </c>
      <c r="S17" s="6">
        <f t="shared" si="0"/>
        <v>8.1333333333333329</v>
      </c>
    </row>
    <row r="18" spans="1:27" ht="15" customHeight="1">
      <c r="A18" s="17" t="s">
        <v>18</v>
      </c>
      <c r="B18" s="2">
        <v>8</v>
      </c>
      <c r="C18" s="3" t="s">
        <v>44</v>
      </c>
      <c r="D18" s="4">
        <v>5</v>
      </c>
      <c r="E18" s="5">
        <v>5</v>
      </c>
      <c r="F18" s="5">
        <v>9</v>
      </c>
      <c r="G18" s="5">
        <v>8</v>
      </c>
      <c r="H18" s="5">
        <v>5</v>
      </c>
      <c r="I18" s="5">
        <v>5</v>
      </c>
      <c r="J18" s="5">
        <v>6</v>
      </c>
      <c r="K18" s="5">
        <v>9</v>
      </c>
      <c r="L18" s="5">
        <v>6</v>
      </c>
      <c r="M18" s="5">
        <v>7</v>
      </c>
      <c r="N18" s="5">
        <v>8</v>
      </c>
      <c r="O18" s="5">
        <v>8</v>
      </c>
      <c r="P18" s="5">
        <v>5</v>
      </c>
      <c r="Q18" s="5">
        <v>6</v>
      </c>
      <c r="R18" s="18">
        <v>5</v>
      </c>
      <c r="S18" s="6">
        <f t="shared" si="0"/>
        <v>6.4666666666666668</v>
      </c>
    </row>
    <row r="19" spans="1:27" ht="15" customHeight="1">
      <c r="A19" s="17" t="s">
        <v>18</v>
      </c>
      <c r="B19" s="2">
        <v>9</v>
      </c>
      <c r="C19" s="3" t="s">
        <v>45</v>
      </c>
      <c r="D19" s="4">
        <v>4</v>
      </c>
      <c r="E19" s="5">
        <v>7</v>
      </c>
      <c r="F19" s="5">
        <v>9</v>
      </c>
      <c r="G19" s="5">
        <v>6</v>
      </c>
      <c r="H19" s="5">
        <v>5</v>
      </c>
      <c r="I19" s="5">
        <v>6</v>
      </c>
      <c r="J19" s="5">
        <v>5</v>
      </c>
      <c r="K19" s="5">
        <v>7</v>
      </c>
      <c r="L19" s="5">
        <v>5</v>
      </c>
      <c r="M19" s="5">
        <v>4</v>
      </c>
      <c r="N19" s="5">
        <v>6</v>
      </c>
      <c r="O19" s="5">
        <v>6</v>
      </c>
      <c r="P19" s="5">
        <v>5</v>
      </c>
      <c r="Q19" s="5">
        <v>5</v>
      </c>
      <c r="R19" s="18">
        <v>4</v>
      </c>
      <c r="S19" s="6">
        <f t="shared" si="0"/>
        <v>5.6</v>
      </c>
    </row>
    <row r="20" spans="1:27" ht="15.75" customHeight="1">
      <c r="A20" s="17" t="s">
        <v>18</v>
      </c>
      <c r="B20" s="2">
        <v>10</v>
      </c>
      <c r="C20" s="3" t="s">
        <v>46</v>
      </c>
      <c r="D20" s="4">
        <v>4</v>
      </c>
      <c r="E20" s="5">
        <v>6</v>
      </c>
      <c r="F20" s="5">
        <v>6</v>
      </c>
      <c r="G20" s="5">
        <v>6</v>
      </c>
      <c r="H20" s="5">
        <v>5</v>
      </c>
      <c r="I20" s="5">
        <v>5</v>
      </c>
      <c r="J20" s="5">
        <v>5</v>
      </c>
      <c r="K20" s="5">
        <v>7</v>
      </c>
      <c r="L20" s="5">
        <v>6</v>
      </c>
      <c r="M20" s="5">
        <v>4</v>
      </c>
      <c r="N20" s="5">
        <v>5</v>
      </c>
      <c r="O20" s="5">
        <v>5</v>
      </c>
      <c r="P20" s="5">
        <v>4</v>
      </c>
      <c r="Q20" s="5">
        <v>8</v>
      </c>
      <c r="R20" s="18">
        <v>4</v>
      </c>
      <c r="S20" s="6">
        <f t="shared" si="0"/>
        <v>5.333333333333333</v>
      </c>
    </row>
    <row r="21" spans="1:27" ht="15.75" customHeight="1">
      <c r="A21" s="17" t="s">
        <v>18</v>
      </c>
      <c r="B21" s="2">
        <v>11</v>
      </c>
      <c r="C21" s="3" t="s">
        <v>47</v>
      </c>
      <c r="D21" s="4">
        <v>10</v>
      </c>
      <c r="E21" s="5">
        <v>9</v>
      </c>
      <c r="F21" s="5">
        <v>10</v>
      </c>
      <c r="G21" s="5">
        <v>10</v>
      </c>
      <c r="H21" s="5">
        <v>10</v>
      </c>
      <c r="I21" s="5">
        <v>10</v>
      </c>
      <c r="J21" s="5">
        <v>11</v>
      </c>
      <c r="K21" s="5">
        <v>8</v>
      </c>
      <c r="L21" s="5">
        <v>9</v>
      </c>
      <c r="M21" s="5">
        <v>7</v>
      </c>
      <c r="N21" s="5">
        <v>10</v>
      </c>
      <c r="O21" s="5">
        <v>10</v>
      </c>
      <c r="P21" s="5">
        <v>7</v>
      </c>
      <c r="Q21" s="5">
        <v>10</v>
      </c>
      <c r="R21" s="18">
        <v>8</v>
      </c>
      <c r="S21" s="6">
        <f t="shared" si="0"/>
        <v>9.2666666666666675</v>
      </c>
    </row>
    <row r="22" spans="1:27" ht="15.75" customHeight="1">
      <c r="A22" s="17" t="s">
        <v>18</v>
      </c>
      <c r="B22" s="2">
        <v>12</v>
      </c>
      <c r="C22" s="3" t="s">
        <v>48</v>
      </c>
      <c r="D22" s="4">
        <v>4</v>
      </c>
      <c r="E22" s="5">
        <v>7</v>
      </c>
      <c r="F22" s="5">
        <v>9</v>
      </c>
      <c r="G22" s="5">
        <v>7</v>
      </c>
      <c r="H22" s="5">
        <v>6</v>
      </c>
      <c r="I22" s="5">
        <v>6</v>
      </c>
      <c r="J22" s="5">
        <v>5</v>
      </c>
      <c r="K22" s="5">
        <v>7</v>
      </c>
      <c r="L22" s="5">
        <v>5</v>
      </c>
      <c r="M22" s="5">
        <v>5</v>
      </c>
      <c r="N22" s="5">
        <v>6</v>
      </c>
      <c r="O22" s="5">
        <v>9</v>
      </c>
      <c r="P22" s="5">
        <v>5</v>
      </c>
      <c r="Q22" s="5">
        <v>6</v>
      </c>
      <c r="R22" s="18">
        <v>5</v>
      </c>
      <c r="S22" s="6">
        <f t="shared" si="0"/>
        <v>6.1333333333333337</v>
      </c>
    </row>
    <row r="23" spans="1:27" ht="15.75" customHeight="1">
      <c r="A23" s="17" t="s">
        <v>18</v>
      </c>
      <c r="B23" s="2">
        <v>13</v>
      </c>
      <c r="C23" s="3" t="s">
        <v>49</v>
      </c>
      <c r="D23" s="4">
        <v>4</v>
      </c>
      <c r="E23" s="5">
        <v>4</v>
      </c>
      <c r="F23" s="5">
        <v>5</v>
      </c>
      <c r="G23" s="5">
        <v>5</v>
      </c>
      <c r="H23" s="5">
        <v>4</v>
      </c>
      <c r="I23" s="5">
        <v>4</v>
      </c>
      <c r="J23" s="5">
        <v>4</v>
      </c>
      <c r="K23" s="5">
        <v>7</v>
      </c>
      <c r="L23" s="5">
        <v>5</v>
      </c>
      <c r="M23" s="5">
        <v>4</v>
      </c>
      <c r="N23" s="5">
        <v>5</v>
      </c>
      <c r="O23" s="5">
        <v>5</v>
      </c>
      <c r="P23" s="5">
        <v>4</v>
      </c>
      <c r="Q23" s="5">
        <v>4</v>
      </c>
      <c r="R23" s="18">
        <v>4</v>
      </c>
      <c r="S23" s="6">
        <f t="shared" si="0"/>
        <v>4.5333333333333332</v>
      </c>
    </row>
    <row r="24" spans="1:27" ht="15.75" customHeight="1">
      <c r="A24" s="17" t="s">
        <v>18</v>
      </c>
      <c r="B24" s="2">
        <v>14</v>
      </c>
      <c r="C24" s="3" t="s">
        <v>50</v>
      </c>
      <c r="D24" s="4">
        <v>4</v>
      </c>
      <c r="E24" s="5">
        <v>4</v>
      </c>
      <c r="F24" s="5">
        <v>5</v>
      </c>
      <c r="G24" s="5">
        <v>5</v>
      </c>
      <c r="H24" s="5">
        <v>4</v>
      </c>
      <c r="I24" s="5">
        <v>5</v>
      </c>
      <c r="J24" s="5">
        <v>4</v>
      </c>
      <c r="K24" s="5">
        <v>4</v>
      </c>
      <c r="L24" s="5">
        <v>4</v>
      </c>
      <c r="M24" s="5">
        <v>4</v>
      </c>
      <c r="N24" s="5">
        <v>5</v>
      </c>
      <c r="O24" s="5">
        <v>5</v>
      </c>
      <c r="P24" s="5">
        <v>4</v>
      </c>
      <c r="Q24" s="5">
        <v>5</v>
      </c>
      <c r="R24" s="18">
        <v>4</v>
      </c>
      <c r="S24" s="6">
        <f t="shared" si="0"/>
        <v>4.4000000000000004</v>
      </c>
    </row>
    <row r="25" spans="1:27" ht="15.75" customHeight="1">
      <c r="A25" s="17" t="s">
        <v>18</v>
      </c>
      <c r="B25" s="2">
        <v>15</v>
      </c>
      <c r="C25" s="3" t="s">
        <v>51</v>
      </c>
      <c r="D25" s="4">
        <v>4</v>
      </c>
      <c r="E25" s="5">
        <v>4</v>
      </c>
      <c r="F25" s="5">
        <v>6</v>
      </c>
      <c r="G25" s="5">
        <v>6</v>
      </c>
      <c r="H25" s="5">
        <v>4</v>
      </c>
      <c r="I25" s="5">
        <v>4</v>
      </c>
      <c r="J25" s="5">
        <v>4</v>
      </c>
      <c r="K25" s="5">
        <v>4</v>
      </c>
      <c r="L25" s="5">
        <v>5</v>
      </c>
      <c r="M25" s="5">
        <v>4</v>
      </c>
      <c r="N25" s="5">
        <v>5</v>
      </c>
      <c r="O25" s="5">
        <v>4</v>
      </c>
      <c r="P25" s="5">
        <v>4</v>
      </c>
      <c r="Q25" s="5">
        <v>6</v>
      </c>
      <c r="R25" s="18">
        <v>4</v>
      </c>
      <c r="S25" s="6">
        <f t="shared" si="0"/>
        <v>4.5333333333333332</v>
      </c>
    </row>
    <row r="26" spans="1:27" ht="15.75" customHeight="1">
      <c r="A26" s="17" t="s">
        <v>18</v>
      </c>
      <c r="B26" s="2">
        <v>16</v>
      </c>
      <c r="C26" s="3" t="s">
        <v>52</v>
      </c>
      <c r="D26" s="4">
        <v>4</v>
      </c>
      <c r="E26" s="5">
        <v>7</v>
      </c>
      <c r="F26" s="5">
        <v>8</v>
      </c>
      <c r="G26" s="5">
        <v>6</v>
      </c>
      <c r="H26" s="5">
        <v>5</v>
      </c>
      <c r="I26" s="5">
        <v>5</v>
      </c>
      <c r="J26" s="5">
        <v>5</v>
      </c>
      <c r="K26" s="5">
        <v>4</v>
      </c>
      <c r="L26" s="5">
        <v>4</v>
      </c>
      <c r="M26" s="5">
        <v>4</v>
      </c>
      <c r="N26" s="5">
        <v>6</v>
      </c>
      <c r="O26" s="5">
        <v>6</v>
      </c>
      <c r="P26" s="5">
        <v>4</v>
      </c>
      <c r="Q26" s="5">
        <v>8</v>
      </c>
      <c r="R26" s="18">
        <v>4</v>
      </c>
      <c r="S26" s="6">
        <f t="shared" si="0"/>
        <v>5.333333333333333</v>
      </c>
      <c r="T26" s="15"/>
      <c r="U26" s="15"/>
      <c r="V26" s="15"/>
      <c r="W26" s="15"/>
      <c r="X26" s="15"/>
      <c r="Y26" s="15"/>
      <c r="Z26" s="15"/>
      <c r="AA26" s="15"/>
    </row>
    <row r="27" spans="1:27" ht="15.75" customHeight="1">
      <c r="A27" s="17" t="s">
        <v>18</v>
      </c>
      <c r="B27" s="2">
        <v>17</v>
      </c>
      <c r="C27" s="3" t="s">
        <v>53</v>
      </c>
      <c r="D27" s="4">
        <v>6</v>
      </c>
      <c r="E27" s="5">
        <v>4</v>
      </c>
      <c r="F27" s="5">
        <v>7</v>
      </c>
      <c r="G27" s="5">
        <v>7</v>
      </c>
      <c r="H27" s="5">
        <v>7</v>
      </c>
      <c r="I27" s="5">
        <v>4</v>
      </c>
      <c r="J27" s="5">
        <v>6</v>
      </c>
      <c r="K27" s="5">
        <v>6</v>
      </c>
      <c r="L27" s="5">
        <v>5</v>
      </c>
      <c r="M27" s="5">
        <v>4</v>
      </c>
      <c r="N27" s="5">
        <v>9</v>
      </c>
      <c r="O27" s="5">
        <v>8</v>
      </c>
      <c r="P27" s="5">
        <v>5</v>
      </c>
      <c r="Q27" s="5">
        <v>5</v>
      </c>
      <c r="R27" s="18">
        <v>4</v>
      </c>
      <c r="S27" s="6">
        <f t="shared" si="0"/>
        <v>5.8</v>
      </c>
      <c r="T27" s="15"/>
      <c r="U27" s="15"/>
      <c r="V27" s="15"/>
      <c r="W27" s="15"/>
      <c r="X27" s="15"/>
      <c r="Y27" s="15"/>
      <c r="Z27" s="15"/>
      <c r="AA27" s="15"/>
    </row>
    <row r="28" spans="1:27" ht="15.75" customHeight="1">
      <c r="A28" s="17" t="s">
        <v>18</v>
      </c>
      <c r="B28" s="2">
        <v>18</v>
      </c>
      <c r="C28" s="3" t="s">
        <v>54</v>
      </c>
      <c r="D28" s="4">
        <v>9</v>
      </c>
      <c r="E28" s="5">
        <v>9</v>
      </c>
      <c r="F28" s="5">
        <v>10</v>
      </c>
      <c r="G28" s="5">
        <v>10</v>
      </c>
      <c r="H28" s="5">
        <v>8</v>
      </c>
      <c r="I28" s="5">
        <v>8</v>
      </c>
      <c r="J28" s="5">
        <v>10</v>
      </c>
      <c r="K28" s="5">
        <v>10</v>
      </c>
      <c r="L28" s="5">
        <v>8</v>
      </c>
      <c r="M28" s="5">
        <v>8</v>
      </c>
      <c r="N28" s="5">
        <v>10</v>
      </c>
      <c r="O28" s="5">
        <v>9</v>
      </c>
      <c r="P28" s="5">
        <v>9</v>
      </c>
      <c r="Q28" s="5">
        <v>10</v>
      </c>
      <c r="R28" s="18">
        <v>8</v>
      </c>
      <c r="S28" s="6">
        <f t="shared" si="0"/>
        <v>9.0666666666666664</v>
      </c>
      <c r="T28" s="15"/>
      <c r="U28" s="15"/>
      <c r="V28" s="15"/>
      <c r="W28" s="15"/>
      <c r="X28" s="15"/>
      <c r="Y28" s="15"/>
      <c r="Z28" s="15"/>
      <c r="AA28" s="15"/>
    </row>
    <row r="29" spans="1:27" ht="15.75" customHeight="1">
      <c r="A29" s="17" t="s">
        <v>18</v>
      </c>
      <c r="B29" s="2">
        <v>19</v>
      </c>
      <c r="C29" s="3" t="s">
        <v>55</v>
      </c>
      <c r="D29" s="4">
        <v>11</v>
      </c>
      <c r="E29" s="5">
        <v>9</v>
      </c>
      <c r="F29" s="5">
        <v>10</v>
      </c>
      <c r="G29" s="5">
        <v>10</v>
      </c>
      <c r="H29" s="5">
        <v>10</v>
      </c>
      <c r="I29" s="5">
        <v>10</v>
      </c>
      <c r="J29" s="5">
        <v>11</v>
      </c>
      <c r="K29" s="5">
        <v>9</v>
      </c>
      <c r="L29" s="5">
        <v>9</v>
      </c>
      <c r="M29" s="5">
        <v>10</v>
      </c>
      <c r="N29" s="5">
        <v>9</v>
      </c>
      <c r="O29" s="5">
        <v>10</v>
      </c>
      <c r="P29" s="5">
        <v>9</v>
      </c>
      <c r="Q29" s="5">
        <v>10</v>
      </c>
      <c r="R29" s="18">
        <v>8</v>
      </c>
      <c r="S29" s="6">
        <f t="shared" si="0"/>
        <v>9.6666666666666661</v>
      </c>
      <c r="T29" s="15"/>
      <c r="U29" s="15"/>
      <c r="V29" s="15"/>
      <c r="W29" s="15"/>
      <c r="X29" s="15"/>
      <c r="Y29" s="15"/>
      <c r="Z29" s="15"/>
      <c r="AA29" s="15"/>
    </row>
    <row r="30" spans="1:27" ht="15.75" customHeight="1">
      <c r="A30" s="17" t="s">
        <v>18</v>
      </c>
      <c r="B30" s="2">
        <v>20</v>
      </c>
      <c r="C30" s="3" t="s">
        <v>56</v>
      </c>
      <c r="D30" s="4">
        <v>9</v>
      </c>
      <c r="E30" s="5">
        <v>9</v>
      </c>
      <c r="F30" s="5">
        <v>10</v>
      </c>
      <c r="G30" s="5">
        <v>10</v>
      </c>
      <c r="H30" s="5">
        <v>10</v>
      </c>
      <c r="I30" s="5">
        <v>10</v>
      </c>
      <c r="J30" s="5">
        <v>7</v>
      </c>
      <c r="K30" s="5">
        <v>10</v>
      </c>
      <c r="L30" s="5">
        <v>8</v>
      </c>
      <c r="M30" s="5">
        <v>9</v>
      </c>
      <c r="N30" s="5">
        <v>10</v>
      </c>
      <c r="O30" s="5">
        <v>10</v>
      </c>
      <c r="P30" s="5">
        <v>9</v>
      </c>
      <c r="Q30" s="5">
        <v>10</v>
      </c>
      <c r="R30" s="18">
        <v>9</v>
      </c>
      <c r="S30" s="6">
        <f t="shared" si="0"/>
        <v>9.3333333333333339</v>
      </c>
      <c r="T30" s="15"/>
      <c r="U30" s="15"/>
      <c r="V30" s="15"/>
      <c r="W30" s="15"/>
      <c r="X30" s="15"/>
      <c r="Y30" s="15"/>
      <c r="Z30" s="15"/>
      <c r="AA30" s="15"/>
    </row>
    <row r="31" spans="1:27" ht="15.75" customHeight="1">
      <c r="A31" s="17" t="s">
        <v>18</v>
      </c>
      <c r="B31" s="2">
        <v>21</v>
      </c>
      <c r="C31" s="3" t="s">
        <v>57</v>
      </c>
      <c r="D31" s="4">
        <v>4</v>
      </c>
      <c r="E31" s="5">
        <v>7</v>
      </c>
      <c r="F31" s="5">
        <v>10</v>
      </c>
      <c r="G31" s="5">
        <v>6</v>
      </c>
      <c r="H31" s="5">
        <v>6</v>
      </c>
      <c r="I31" s="5">
        <v>7</v>
      </c>
      <c r="J31" s="5">
        <v>8</v>
      </c>
      <c r="K31" s="5">
        <v>6</v>
      </c>
      <c r="L31" s="5">
        <v>7</v>
      </c>
      <c r="M31" s="5">
        <v>5</v>
      </c>
      <c r="N31" s="5">
        <v>8</v>
      </c>
      <c r="O31" s="5">
        <v>9</v>
      </c>
      <c r="P31" s="5">
        <v>4</v>
      </c>
      <c r="Q31" s="5">
        <v>6</v>
      </c>
      <c r="R31" s="18">
        <v>5</v>
      </c>
      <c r="S31" s="6">
        <f t="shared" si="0"/>
        <v>6.5333333333333332</v>
      </c>
      <c r="T31" s="15"/>
      <c r="U31" s="15"/>
      <c r="V31" s="15"/>
      <c r="W31" s="15"/>
      <c r="X31" s="15"/>
      <c r="Y31" s="15"/>
      <c r="Z31" s="15"/>
      <c r="AA31" s="15"/>
    </row>
    <row r="32" spans="1:27" ht="15.75" customHeight="1">
      <c r="A32" s="31" t="s">
        <v>18</v>
      </c>
      <c r="B32" s="30">
        <v>22</v>
      </c>
      <c r="C32" s="3" t="s">
        <v>58</v>
      </c>
      <c r="D32" s="4">
        <v>6</v>
      </c>
      <c r="E32" s="5">
        <v>8</v>
      </c>
      <c r="F32" s="5">
        <v>10</v>
      </c>
      <c r="G32" s="5">
        <v>8</v>
      </c>
      <c r="H32" s="5">
        <v>8</v>
      </c>
      <c r="I32" s="5">
        <v>8</v>
      </c>
      <c r="J32" s="5">
        <v>9</v>
      </c>
      <c r="K32" s="5">
        <v>8</v>
      </c>
      <c r="L32" s="5">
        <v>7</v>
      </c>
      <c r="M32" s="5">
        <v>6</v>
      </c>
      <c r="N32" s="5">
        <v>7</v>
      </c>
      <c r="O32" s="5">
        <v>8</v>
      </c>
      <c r="P32" s="5">
        <v>6</v>
      </c>
      <c r="Q32" s="5">
        <v>9</v>
      </c>
      <c r="R32" s="18">
        <v>5</v>
      </c>
      <c r="S32" s="6">
        <f t="shared" si="0"/>
        <v>7.5333333333333332</v>
      </c>
      <c r="T32" s="15"/>
      <c r="U32" s="15"/>
      <c r="V32" s="15"/>
      <c r="W32" s="15"/>
      <c r="X32" s="15"/>
      <c r="Y32" s="15"/>
      <c r="Z32" s="15"/>
      <c r="AA32" s="15"/>
    </row>
    <row r="33" spans="1:19" ht="15.75" customHeight="1">
      <c r="A33" s="21"/>
      <c r="B33" s="21"/>
      <c r="C33" s="10" t="s">
        <v>29</v>
      </c>
      <c r="D33" s="25">
        <f>SUM(D11:D32)/B32</f>
        <v>5.8181818181818183</v>
      </c>
      <c r="E33" s="25">
        <f>SUM(E11:E32)/B32</f>
        <v>6.5909090909090908</v>
      </c>
      <c r="F33" s="25">
        <f>SUM(F11:F32)/B32</f>
        <v>8.5909090909090917</v>
      </c>
      <c r="G33" s="25">
        <f>SUM(G11:G32)/B32</f>
        <v>7.5</v>
      </c>
      <c r="H33" s="25">
        <f>SUM(H11:H32)/B32</f>
        <v>6.3181818181818183</v>
      </c>
      <c r="I33" s="25">
        <f>SUM(I11:I32)/B32</f>
        <v>6.2727272727272725</v>
      </c>
      <c r="J33" s="25">
        <f>SUM(J11:J32)/B32</f>
        <v>6.5</v>
      </c>
      <c r="K33" s="25">
        <f>SUM(K11:K32)/B32</f>
        <v>7.2727272727272725</v>
      </c>
      <c r="L33" s="25">
        <f>SUM(L11:L32)/B32</f>
        <v>6.2727272727272725</v>
      </c>
      <c r="M33" s="25">
        <f>SUM(M11:M32)/B32</f>
        <v>5.6363636363636367</v>
      </c>
      <c r="N33" s="25">
        <f>SUM(N11:N32)/B32</f>
        <v>7.2272727272727275</v>
      </c>
      <c r="O33" s="25">
        <f>SUM(O11:O32)/B32</f>
        <v>7.5</v>
      </c>
      <c r="P33" s="25">
        <f>SUM(P11:P32)/B32</f>
        <v>5.6818181818181817</v>
      </c>
      <c r="Q33" s="25">
        <f>SUM(Q11:Q32)/B32</f>
        <v>7.4090909090909092</v>
      </c>
      <c r="R33" s="25">
        <f>SUM(R11:R32)/B32</f>
        <v>5.4545454545454541</v>
      </c>
      <c r="S33" s="6">
        <f t="shared" si="0"/>
        <v>6.6696969696969708</v>
      </c>
    </row>
    <row r="34" spans="1:19" ht="15.75" customHeight="1">
      <c r="A34" s="21"/>
      <c r="B34" s="21"/>
      <c r="C34" s="12" t="s">
        <v>30</v>
      </c>
      <c r="D34" s="26">
        <f>(COUNT(D11:D32))/B32*100</f>
        <v>100</v>
      </c>
      <c r="E34" s="26">
        <f>(COUNT(E11:E32))/B32*100</f>
        <v>100</v>
      </c>
      <c r="F34" s="26">
        <f>(COUNT(F11:F32))/B32*100</f>
        <v>100</v>
      </c>
      <c r="G34" s="26">
        <f>(COUNT(G11:G32))/B32*100</f>
        <v>100</v>
      </c>
      <c r="H34" s="26">
        <f>(COUNT(H11:H32))/B32*100</f>
        <v>100</v>
      </c>
      <c r="I34" s="26">
        <f>(COUNT(I11:I32))/B32*100</f>
        <v>100</v>
      </c>
      <c r="J34" s="26">
        <f>(COUNT(J11:J32))/B32*100</f>
        <v>100</v>
      </c>
      <c r="K34" s="26">
        <f>(COUNT(K11:K32))/B32*100</f>
        <v>100</v>
      </c>
      <c r="L34" s="26">
        <f>(COUNT(L11:L32))/B32*100</f>
        <v>100</v>
      </c>
      <c r="M34" s="26">
        <f>(COUNT(M11:M32))/B32*100</f>
        <v>100</v>
      </c>
      <c r="N34" s="26">
        <f>(COUNT(N11:N32))/B32*100</f>
        <v>100</v>
      </c>
      <c r="O34" s="26">
        <f>(COUNT(O11:O32))/B32*100</f>
        <v>100</v>
      </c>
      <c r="P34" s="26">
        <f>(COUNT(P11:P32))/B32*100</f>
        <v>100</v>
      </c>
      <c r="Q34" s="26">
        <f>(COUNT(Q11:Q32))/B32*100</f>
        <v>100</v>
      </c>
      <c r="R34" s="27">
        <f>(COUNT(R11:R32))/B32*100</f>
        <v>100</v>
      </c>
    </row>
    <row r="35" spans="1:19" ht="15.75" customHeight="1">
      <c r="A35" s="21"/>
      <c r="B35" s="21"/>
      <c r="C35" s="13" t="s">
        <v>31</v>
      </c>
      <c r="D35" s="28">
        <f>(COUNTIF(D11:D32,"&gt;=7"))/B32*100</f>
        <v>27.27272727272727</v>
      </c>
      <c r="E35" s="28">
        <f>(COUNTIF(E11:E32,"&gt;=7"))/B32*100</f>
        <v>59.090909090909093</v>
      </c>
      <c r="F35" s="28">
        <f>(COUNTIF(F11:F32,"&gt;=7"))/B32*100</f>
        <v>81.818181818181827</v>
      </c>
      <c r="G35" s="28">
        <f>(COUNTIF(G11:G32,"&gt;=7"))/B32*100</f>
        <v>59.090909090909093</v>
      </c>
      <c r="H35" s="28">
        <f>(COUNTIF(H11:H32,"&gt;=7"))/B32*100</f>
        <v>36.363636363636367</v>
      </c>
      <c r="I35" s="28">
        <f>(COUNTIF(I11:I32,"&gt;=7"))/B32*100</f>
        <v>36.363636363636367</v>
      </c>
      <c r="J35" s="28">
        <f>(COUNTIF(J11:J32,"&gt;=7"))/B32*100</f>
        <v>36.363636363636367</v>
      </c>
      <c r="K35" s="28">
        <f>(COUNTIF(K11:K32,"&gt;=7"))/B32*100</f>
        <v>77.272727272727266</v>
      </c>
      <c r="L35" s="28">
        <f>(COUNTIF(L11:L32,"&gt;=7"))/B32*100</f>
        <v>45.454545454545453</v>
      </c>
      <c r="M35" s="28">
        <f>(COUNTIF(M11:M32,"&gt;=7"))/B32*100</f>
        <v>36.363636363636367</v>
      </c>
      <c r="N35" s="28">
        <f>(COUNTIF(N11:N32,"&gt;=7"))/B32*100</f>
        <v>50</v>
      </c>
      <c r="O35" s="28">
        <f>(COUNTIF(O11:O32,"&gt;=7"))/B32*100</f>
        <v>63.636363636363633</v>
      </c>
      <c r="P35" s="28">
        <f>(COUNTIF(P11:P32,"&gt;=7"))/B32*100</f>
        <v>27.27272727272727</v>
      </c>
      <c r="Q35" s="28">
        <f>(COUNTIF(Q11:Q32,"&gt;=7"))/B32*100</f>
        <v>59.090909090909093</v>
      </c>
      <c r="R35" s="29">
        <f>(COUNTIF(R11:R32,"&gt;=7"))/B32*100</f>
        <v>22.727272727272727</v>
      </c>
    </row>
    <row r="36" spans="1:19" ht="15.75" customHeight="1">
      <c r="A36" s="21"/>
      <c r="B36" s="21"/>
      <c r="C36" s="13" t="s">
        <v>32</v>
      </c>
      <c r="D36" s="11">
        <f>AVERAGE(D34:R34)</f>
        <v>100</v>
      </c>
      <c r="E36" s="14"/>
      <c r="F36" s="14"/>
      <c r="G36" s="14"/>
      <c r="H36" s="14"/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 spans="1:19" ht="15.75" customHeight="1">
      <c r="A37" s="21"/>
      <c r="B37" s="21"/>
      <c r="C37" s="13" t="s">
        <v>33</v>
      </c>
      <c r="D37" s="11">
        <f>AVERAGE(D35:R35)</f>
        <v>47.878787878787882</v>
      </c>
      <c r="E37" s="14"/>
      <c r="F37" s="19" t="s">
        <v>34</v>
      </c>
      <c r="G37" s="24"/>
      <c r="H37" s="19"/>
      <c r="I37" s="19"/>
      <c r="J37" s="24"/>
      <c r="L37" s="19" t="s">
        <v>59</v>
      </c>
      <c r="M37" s="22"/>
      <c r="N37" s="22"/>
      <c r="O37" s="22"/>
      <c r="P37" s="22"/>
      <c r="Q37" s="22"/>
      <c r="R37" s="22"/>
    </row>
    <row r="38" spans="1:19" ht="15.75" customHeight="1">
      <c r="A38" s="15"/>
      <c r="B38" s="15"/>
      <c r="C38" s="15"/>
      <c r="D38" s="15"/>
      <c r="F38" s="24"/>
      <c r="G38" s="24"/>
      <c r="H38" s="24"/>
      <c r="I38" s="24"/>
      <c r="J38" s="24"/>
      <c r="L38" s="24"/>
      <c r="M38" s="15"/>
      <c r="N38" s="15"/>
      <c r="O38" s="15"/>
      <c r="P38" s="15"/>
      <c r="Q38" s="15"/>
      <c r="R38" s="15"/>
    </row>
    <row r="39" spans="1:19" ht="15.75" customHeight="1">
      <c r="F39" s="19" t="s">
        <v>35</v>
      </c>
      <c r="G39" s="19"/>
      <c r="H39" s="19"/>
      <c r="I39" s="19"/>
      <c r="J39" s="19"/>
      <c r="L39" s="19" t="s">
        <v>36</v>
      </c>
    </row>
    <row r="40" spans="1:19" ht="15.75" customHeight="1">
      <c r="L40" s="16"/>
    </row>
    <row r="41" spans="1:19" ht="15.75" customHeight="1">
      <c r="E41" s="15"/>
      <c r="F41" s="15"/>
      <c r="G41" s="15"/>
    </row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P8:P10"/>
    <mergeCell ref="B7:B10"/>
    <mergeCell ref="C7:C10"/>
    <mergeCell ref="A7:A10"/>
    <mergeCell ref="D8:D10"/>
    <mergeCell ref="E8:E10"/>
    <mergeCell ref="F8:F10"/>
    <mergeCell ref="G8:G10"/>
    <mergeCell ref="H8:H10"/>
    <mergeCell ref="I8:I10"/>
    <mergeCell ref="A6:S6"/>
    <mergeCell ref="D7:S7"/>
    <mergeCell ref="S8:S10"/>
    <mergeCell ref="R8:R10"/>
    <mergeCell ref="A1:S1"/>
    <mergeCell ref="A2:S2"/>
    <mergeCell ref="A3:S3"/>
    <mergeCell ref="A4:S4"/>
    <mergeCell ref="A5:S5"/>
    <mergeCell ref="Q8:Q10"/>
    <mergeCell ref="J8:J10"/>
    <mergeCell ref="K8:K10"/>
    <mergeCell ref="L8:L10"/>
    <mergeCell ref="M8:M10"/>
    <mergeCell ref="N8:N10"/>
    <mergeCell ref="O8:O10"/>
  </mergeCells>
  <pageMargins left="0.7" right="0.7" top="0.75" bottom="0.75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SURKOV</cp:lastModifiedBy>
  <dcterms:created xsi:type="dcterms:W3CDTF">2006-09-28T05:33:49Z</dcterms:created>
  <dcterms:modified xsi:type="dcterms:W3CDTF">2022-09-06T06:15:24Z</dcterms:modified>
</cp:coreProperties>
</file>