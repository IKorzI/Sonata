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/>
  <bookViews>
    <workbookView xWindow="390" yWindow="525" windowWidth="19815" windowHeight="7365"/>
  </bookViews>
  <sheets>
    <sheet name="Зведена відомість 101" sheetId="14" r:id="rId1"/>
    <sheet name="Зведена відомість 161" sheetId="13" r:id="rId2"/>
  </sheets>
  <definedNames>
    <definedName name="A1048577">#REF!</definedName>
    <definedName name="Ф80">#REF!</definedName>
  </definedNames>
  <calcPr calcId="125725"/>
  <extLst>
    <ext uri="GoogleSheetsCustomDataVersion1">
      <go:sheetsCustomData xmlns:go="http://customooxmlschemas.google.com/" r:id="" roundtripDataSignature="AMtx7mghx6taQuHc7uS4SJCONmedY8yUGQ=="/>
    </ext>
  </extLst>
</workbook>
</file>

<file path=xl/calcChain.xml><?xml version="1.0" encoding="utf-8"?>
<calcChain xmlns="http://schemas.openxmlformats.org/spreadsheetml/2006/main">
  <c r="S12" i="13"/>
  <c r="S13"/>
  <c r="S14"/>
  <c r="S15"/>
  <c r="S16"/>
  <c r="S17"/>
  <c r="S18"/>
  <c r="S19"/>
  <c r="S20"/>
  <c r="S21"/>
  <c r="S11"/>
  <c r="D28"/>
  <c r="B105" s="1"/>
  <c r="D27"/>
  <c r="R24"/>
  <c r="Q24"/>
  <c r="P24"/>
  <c r="O24"/>
  <c r="N24"/>
  <c r="M24"/>
  <c r="L24"/>
  <c r="K24"/>
  <c r="J24"/>
  <c r="I24"/>
  <c r="H24"/>
  <c r="G24"/>
  <c r="F24"/>
  <c r="E24"/>
  <c r="D24"/>
  <c r="R23"/>
  <c r="Q23"/>
  <c r="P23"/>
  <c r="O23"/>
  <c r="N23"/>
  <c r="M23"/>
  <c r="L23"/>
  <c r="K23"/>
  <c r="J23"/>
  <c r="I23"/>
  <c r="H23"/>
  <c r="G23"/>
  <c r="F23"/>
  <c r="E23"/>
  <c r="D23"/>
  <c r="R22"/>
  <c r="Q22"/>
  <c r="P22"/>
  <c r="O22"/>
  <c r="N22"/>
  <c r="M22"/>
  <c r="L22"/>
  <c r="K22"/>
  <c r="J22"/>
  <c r="I22"/>
  <c r="H22"/>
  <c r="G22"/>
  <c r="F22"/>
  <c r="E22"/>
  <c r="D22"/>
  <c r="S12" i="14"/>
  <c r="S13"/>
  <c r="S14"/>
  <c r="S15"/>
  <c r="S16"/>
  <c r="S17"/>
  <c r="S18"/>
  <c r="S19"/>
  <c r="S20"/>
  <c r="S21"/>
  <c r="S22"/>
  <c r="S23"/>
  <c r="S24"/>
  <c r="S25"/>
  <c r="S11"/>
  <c r="D32"/>
  <c r="D31"/>
  <c r="R28"/>
  <c r="Q28"/>
  <c r="P28"/>
  <c r="O28"/>
  <c r="N28"/>
  <c r="M28"/>
  <c r="L28"/>
  <c r="K28"/>
  <c r="J28"/>
  <c r="I28"/>
  <c r="H28"/>
  <c r="G28"/>
  <c r="F28"/>
  <c r="E28"/>
  <c r="D28"/>
  <c r="R27"/>
  <c r="Q27"/>
  <c r="P27"/>
  <c r="O27"/>
  <c r="N27"/>
  <c r="M27"/>
  <c r="L27"/>
  <c r="K27"/>
  <c r="J27"/>
  <c r="I27"/>
  <c r="H27"/>
  <c r="G27"/>
  <c r="F27"/>
  <c r="E27"/>
  <c r="D27"/>
  <c r="R26"/>
  <c r="Q26"/>
  <c r="P26"/>
  <c r="O26"/>
  <c r="N26"/>
  <c r="M26"/>
  <c r="L26"/>
  <c r="K26"/>
  <c r="J26"/>
  <c r="I26"/>
  <c r="H26"/>
  <c r="G26"/>
  <c r="F26"/>
  <c r="E26"/>
  <c r="D26"/>
  <c r="C104" i="13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S22" l="1"/>
  <c r="D26"/>
  <c r="D29" i="14"/>
  <c r="D25" i="13"/>
  <c r="S26" i="14"/>
  <c r="D30"/>
  <c r="B60" i="13"/>
  <c r="B61"/>
  <c r="B62"/>
  <c r="B63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D104" l="1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59"/>
  <c r="D60"/>
</calcChain>
</file>

<file path=xl/sharedStrings.xml><?xml version="1.0" encoding="utf-8"?>
<sst xmlns="http://schemas.openxmlformats.org/spreadsheetml/2006/main" count="128" uniqueCount="67">
  <si>
    <t xml:space="preserve">ЗВЕДЕНА  ВІДОМІСТЬ  </t>
  </si>
  <si>
    <t>Успішності студентів спеціальності 101 «Екологія»</t>
  </si>
  <si>
    <t>Група 21-4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</si>
  <si>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</si>
  <si>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</si>
  <si>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</si>
  <si>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</si>
  <si>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Грубіна О.П.</t>
  </si>
  <si>
    <t>Всесвітня історія
Мельничук С.А.</t>
  </si>
  <si>
    <t>Математика
Земляна Т.М.</t>
  </si>
  <si>
    <t>Фізика
Калюта Н.М.</t>
  </si>
  <si>
    <t>Хімія
Сахно Н.О.</t>
  </si>
  <si>
    <t>Інформатика
Охримчук В.С.</t>
  </si>
  <si>
    <t>Українська мова
Грубіна О.П.</t>
  </si>
  <si>
    <t>Зарубіжна література
Пруднікова Я.П.</t>
  </si>
  <si>
    <t>Біологія
Богданенко О.В.</t>
  </si>
  <si>
    <t>Іноземна мова
Кубова Т.М.</t>
  </si>
  <si>
    <t>Історія України
Левчук Т.Г.</t>
  </si>
  <si>
    <t>Географія
Наговська Т.С.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</si>
  <si>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</si>
  <si>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</si>
  <si>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</si>
  <si>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</si>
  <si>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</si>
  <si>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</si>
  <si>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</si>
  <si>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</si>
  <si>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контрактників</t>
  </si>
  <si>
    <t>Кількість бюджетників</t>
  </si>
  <si>
    <t>Кількість соціального контингенту</t>
  </si>
  <si>
    <t>Класний керівник</t>
  </si>
  <si>
    <t>Ярослава ПРУДНІКОВА</t>
  </si>
  <si>
    <t>Завідувач відділення ПЗСО</t>
  </si>
  <si>
    <t>Маргарита БРІТІКОВА</t>
  </si>
  <si>
    <t>Успішності студентів спеціальності 161 «Хімічні технології та інженерія»</t>
  </si>
  <si>
    <t>Беспалько В’ячеслав Геннадійович</t>
  </si>
  <si>
    <t>Білий Ніл Олександрович</t>
  </si>
  <si>
    <t>Будко Володимир Володимирович</t>
  </si>
  <si>
    <t>Гайдаржи Олександр Микол.</t>
  </si>
  <si>
    <t>Дімітрова Василіка Віталіївна</t>
  </si>
  <si>
    <t>Казанджій Богдан Миколайович</t>
  </si>
  <si>
    <t xml:space="preserve">Калінку Дарія Андріївна </t>
  </si>
  <si>
    <t>Мешкова Вікторія Ігорівна</t>
  </si>
  <si>
    <t>Пасічник Артем Сергійович</t>
  </si>
  <si>
    <t xml:space="preserve">Салтанова Катерина Ігорівна </t>
  </si>
  <si>
    <t>Цуканов Іван Павлович</t>
  </si>
  <si>
    <t>Абабіна Ірина Олександрівна</t>
  </si>
  <si>
    <t>Варьоха Вероніка Андріївна</t>
  </si>
  <si>
    <t>Дорошук Олена Володимирівна</t>
  </si>
  <si>
    <t>Жуковська Олександра Олександрівна</t>
  </si>
  <si>
    <t>Карпенко Анна Сергіївна</t>
  </si>
  <si>
    <t>Катуніна Валерія Євгенівна</t>
  </si>
  <si>
    <t>Ковальов Максим Олегович</t>
  </si>
  <si>
    <t>Козуб Станіслав Валентинович</t>
  </si>
  <si>
    <t>Максимова Віолетта Олександрівна</t>
  </si>
  <si>
    <t>Михайленко Марія Вячесавівн</t>
  </si>
  <si>
    <t>Нєдов Ярослав Васильович</t>
  </si>
  <si>
    <t xml:space="preserve">Петренко Софія Сергіївна </t>
  </si>
  <si>
    <t>Ротар Софія Василівна</t>
  </si>
  <si>
    <t>Хемій Мирослава Василівна</t>
  </si>
  <si>
    <t>Храмченкова Єва Сергіївна</t>
  </si>
  <si>
    <t>Астрономія
Калюта Н.М.</t>
  </si>
  <si>
    <t>Фізична культура
Галеніна І.С.</t>
  </si>
  <si>
    <t>ЗВ
Черкашин А.Д.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</si>
  <si>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</si>
  <si>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</si>
  <si>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Річна 2021-2022 н.р.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</si>
</sst>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2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3" fillId="0" borderId="7"/>
    <xf numFmtId="0" fontId="1" fillId="0" borderId="7"/>
    <xf numFmtId="0" fontId="3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</cellStyleXfs>
  <cellXfs count="69">
    <xf numFmtId="0" fontId="0" fillId="0" borderId="0" xfId="0" applyFont="1" applyAlignment="1"/>
    <xf numFmtId="0" fontId="4" fillId="0" borderId="5" xfId="3" applyNumberFormat="1" applyFont="1" applyFill="1" applyBorder="1" applyAlignment="1">
      <alignment horizontal="center" vertical="center" wrapText="1"/>
    </xf>
    <xf numFmtId="0" fontId="4" fillId="0" borderId="5" xfId="3" applyNumberFormat="1" applyFont="1" applyFill="1" applyBorder="1" applyAlignment="1">
      <alignment horizontal="left" vertical="center" wrapText="1"/>
    </xf>
    <xf numFmtId="0" fontId="4" fillId="0" borderId="5" xfId="3" applyNumberFormat="1" applyFont="1" applyFill="1" applyBorder="1" applyAlignment="1">
      <alignment horizontal="center" vertical="center"/>
    </xf>
    <xf numFmtId="0" fontId="4" fillId="0" borderId="11" xfId="3" applyNumberFormat="1" applyFont="1" applyFill="1" applyBorder="1" applyAlignment="1">
      <alignment horizontal="center" vertical="center"/>
    </xf>
    <xf numFmtId="0" fontId="4" fillId="0" borderId="7" xfId="3" applyNumberFormat="1" applyFont="1" applyFill="1" applyBorder="1" applyAlignment="1">
      <alignment horizontal="center" vertical="center"/>
    </xf>
    <xf numFmtId="0" fontId="4" fillId="0" borderId="7" xfId="3" applyNumberFormat="1" applyFont="1" applyFill="1" applyAlignment="1">
      <alignment horizontal="center" vertical="center"/>
    </xf>
    <xf numFmtId="0" fontId="4" fillId="0" borderId="6" xfId="3" applyNumberFormat="1" applyFont="1" applyFill="1" applyBorder="1" applyAlignment="1">
      <alignment horizontal="left" vertical="center" wrapText="1"/>
    </xf>
    <xf numFmtId="164" fontId="4" fillId="2" borderId="11" xfId="3" applyNumberFormat="1" applyFont="1" applyFill="1" applyBorder="1" applyAlignment="1">
      <alignment horizontal="center" vertical="center"/>
    </xf>
    <xf numFmtId="164" fontId="4" fillId="2" borderId="7" xfId="3" applyNumberFormat="1" applyFont="1" applyFill="1" applyBorder="1" applyAlignment="1">
      <alignment horizontal="center" vertical="center"/>
    </xf>
    <xf numFmtId="164" fontId="4" fillId="3" borderId="1" xfId="3" applyNumberFormat="1" applyFont="1" applyFill="1" applyBorder="1" applyAlignment="1">
      <alignment horizontal="center" vertical="center"/>
    </xf>
    <xf numFmtId="164" fontId="4" fillId="3" borderId="11" xfId="3" applyNumberFormat="1" applyFont="1" applyFill="1" applyBorder="1" applyAlignment="1">
      <alignment horizontal="center" vertical="center"/>
    </xf>
    <xf numFmtId="2" fontId="4" fillId="2" borderId="5" xfId="3" applyNumberFormat="1" applyFont="1" applyFill="1" applyBorder="1" applyAlignment="1">
      <alignment horizontal="center" vertical="center"/>
    </xf>
    <xf numFmtId="0" fontId="6" fillId="0" borderId="7" xfId="3" applyNumberFormat="1" applyFont="1" applyFill="1" applyAlignment="1">
      <alignment horizontal="left" vertical="center"/>
    </xf>
    <xf numFmtId="0" fontId="7" fillId="0" borderId="7" xfId="3" applyNumberFormat="1" applyFont="1" applyFill="1" applyAlignment="1">
      <alignment horizontal="center" vertical="center"/>
    </xf>
    <xf numFmtId="0" fontId="6" fillId="0" borderId="7" xfId="3" applyNumberFormat="1" applyFont="1" applyFill="1" applyAlignment="1">
      <alignment horizontal="center" vertical="center"/>
    </xf>
    <xf numFmtId="0" fontId="4" fillId="0" borderId="6" xfId="3" applyNumberFormat="1" applyFont="1" applyFill="1" applyBorder="1" applyAlignment="1">
      <alignment horizontal="center" vertical="center"/>
    </xf>
    <xf numFmtId="0" fontId="6" fillId="0" borderId="7" xfId="6" applyNumberFormat="1" applyFont="1" applyFill="1" applyAlignment="1">
      <alignment horizontal="center" vertical="center"/>
    </xf>
    <xf numFmtId="0" fontId="7" fillId="0" borderId="7" xfId="6" applyNumberFormat="1" applyFont="1" applyFill="1" applyAlignment="1">
      <alignment horizontal="center" vertical="center"/>
    </xf>
    <xf numFmtId="0" fontId="4" fillId="0" borderId="7" xfId="6" applyNumberFormat="1" applyFont="1" applyFill="1" applyAlignment="1">
      <alignment horizontal="center" vertical="center"/>
    </xf>
    <xf numFmtId="0" fontId="4" fillId="0" borderId="5" xfId="6" applyNumberFormat="1" applyFont="1" applyFill="1" applyBorder="1" applyAlignment="1">
      <alignment horizontal="center" vertical="center" wrapText="1"/>
    </xf>
    <xf numFmtId="0" fontId="4" fillId="0" borderId="5" xfId="6" applyNumberFormat="1" applyFont="1" applyFill="1" applyBorder="1" applyAlignment="1">
      <alignment horizontal="left" vertical="center" wrapText="1"/>
    </xf>
    <xf numFmtId="0" fontId="4" fillId="0" borderId="5" xfId="6" applyNumberFormat="1" applyFont="1" applyFill="1" applyBorder="1" applyAlignment="1">
      <alignment horizontal="center" vertical="center"/>
    </xf>
    <xf numFmtId="2" fontId="4" fillId="2" borderId="5" xfId="6" applyNumberFormat="1" applyFont="1" applyFill="1" applyBorder="1" applyAlignment="1">
      <alignment horizontal="center" vertical="center"/>
    </xf>
    <xf numFmtId="0" fontId="4" fillId="0" borderId="7" xfId="6" applyNumberFormat="1" applyFont="1" applyFill="1" applyBorder="1" applyAlignment="1">
      <alignment horizontal="center" vertical="center"/>
    </xf>
    <xf numFmtId="0" fontId="4" fillId="0" borderId="1" xfId="6" applyNumberFormat="1" applyFont="1" applyFill="1" applyBorder="1" applyAlignment="1">
      <alignment horizontal="center" vertical="center"/>
    </xf>
    <xf numFmtId="0" fontId="4" fillId="0" borderId="6" xfId="6" applyNumberFormat="1" applyFont="1" applyFill="1" applyBorder="1" applyAlignment="1">
      <alignment horizontal="left" vertical="center" wrapText="1"/>
    </xf>
    <xf numFmtId="164" fontId="4" fillId="2" borderId="5" xfId="6" applyNumberFormat="1" applyFont="1" applyFill="1" applyBorder="1" applyAlignment="1">
      <alignment horizontal="center" vertical="center"/>
    </xf>
    <xf numFmtId="164" fontId="4" fillId="2" borderId="2" xfId="6" applyNumberFormat="1" applyFont="1" applyFill="1" applyBorder="1" applyAlignment="1">
      <alignment horizontal="center" vertical="center"/>
    </xf>
    <xf numFmtId="164" fontId="4" fillId="2" borderId="11" xfId="6" applyNumberFormat="1" applyFont="1" applyFill="1" applyBorder="1" applyAlignment="1">
      <alignment horizontal="center" vertical="center"/>
    </xf>
    <xf numFmtId="164" fontId="4" fillId="3" borderId="1" xfId="6" applyNumberFormat="1" applyFont="1" applyFill="1" applyBorder="1" applyAlignment="1">
      <alignment horizontal="center" vertical="center"/>
    </xf>
    <xf numFmtId="164" fontId="4" fillId="3" borderId="9" xfId="6" applyNumberFormat="1" applyFont="1" applyFill="1" applyBorder="1" applyAlignment="1">
      <alignment horizontal="center" vertical="center"/>
    </xf>
    <xf numFmtId="164" fontId="4" fillId="3" borderId="11" xfId="6" applyNumberFormat="1" applyFont="1" applyFill="1" applyBorder="1" applyAlignment="1">
      <alignment horizontal="center" vertical="center"/>
    </xf>
    <xf numFmtId="164" fontId="4" fillId="3" borderId="12" xfId="6" applyNumberFormat="1" applyFont="1" applyFill="1" applyBorder="1" applyAlignment="1">
      <alignment horizontal="center" vertical="center"/>
    </xf>
    <xf numFmtId="164" fontId="4" fillId="2" borderId="6" xfId="6" applyNumberFormat="1" applyFont="1" applyFill="1" applyBorder="1" applyAlignment="1">
      <alignment horizontal="center" vertical="center"/>
    </xf>
    <xf numFmtId="0" fontId="4" fillId="0" borderId="6" xfId="6" applyNumberFormat="1" applyFont="1" applyFill="1" applyBorder="1" applyAlignment="1">
      <alignment horizontal="center" vertical="center"/>
    </xf>
    <xf numFmtId="0" fontId="6" fillId="0" borderId="7" xfId="6" applyNumberFormat="1" applyFont="1" applyFill="1" applyBorder="1" applyAlignment="1">
      <alignment horizontal="left" vertical="center"/>
    </xf>
    <xf numFmtId="0" fontId="6" fillId="0" borderId="8" xfId="3" applyNumberFormat="1" applyFont="1" applyFill="1" applyBorder="1" applyAlignment="1">
      <alignment horizontal="center" vertical="center"/>
    </xf>
    <xf numFmtId="0" fontId="6" fillId="0" borderId="7" xfId="6" applyNumberFormat="1" applyFont="1" applyFill="1" applyAlignment="1">
      <alignment horizontal="center" vertical="center"/>
    </xf>
    <xf numFmtId="0" fontId="7" fillId="0" borderId="7" xfId="3" applyNumberFormat="1" applyFont="1" applyFill="1" applyAlignment="1">
      <alignment horizontal="center" vertical="center"/>
    </xf>
    <xf numFmtId="0" fontId="6" fillId="0" borderId="7" xfId="3" applyNumberFormat="1" applyFont="1" applyFill="1" applyAlignment="1">
      <alignment horizontal="center" vertical="center"/>
    </xf>
    <xf numFmtId="0" fontId="4" fillId="0" borderId="1" xfId="3" applyNumberFormat="1" applyFont="1" applyFill="1" applyBorder="1" applyAlignment="1">
      <alignment horizontal="center" vertical="center"/>
    </xf>
    <xf numFmtId="0" fontId="4" fillId="0" borderId="10" xfId="3" applyNumberFormat="1" applyFont="1" applyFill="1" applyBorder="1" applyAlignment="1">
      <alignment horizontal="center" vertical="center"/>
    </xf>
    <xf numFmtId="0" fontId="4" fillId="0" borderId="6" xfId="3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 vertical="center" wrapText="1"/>
    </xf>
    <xf numFmtId="0" fontId="4" fillId="0" borderId="2" xfId="3" applyNumberFormat="1" applyFont="1" applyFill="1" applyBorder="1" applyAlignment="1">
      <alignment horizontal="center" vertical="center"/>
    </xf>
    <xf numFmtId="0" fontId="4" fillId="0" borderId="3" xfId="3" applyNumberFormat="1" applyFont="1" applyFill="1" applyBorder="1" applyAlignment="1">
      <alignment horizontal="center" vertical="center"/>
    </xf>
    <xf numFmtId="0" fontId="4" fillId="0" borderId="4" xfId="3" applyNumberFormat="1" applyFont="1" applyFill="1" applyBorder="1" applyAlignment="1">
      <alignment horizontal="center" vertical="center"/>
    </xf>
    <xf numFmtId="0" fontId="4" fillId="0" borderId="1" xfId="6" applyNumberFormat="1" applyFont="1" applyFill="1" applyBorder="1" applyAlignment="1">
      <alignment horizontal="center" textRotation="90" wrapText="1"/>
    </xf>
    <xf numFmtId="0" fontId="4" fillId="0" borderId="10" xfId="6" applyNumberFormat="1" applyFont="1" applyFill="1" applyBorder="1" applyAlignment="1">
      <alignment horizontal="center" textRotation="90" wrapText="1"/>
    </xf>
    <xf numFmtId="0" fontId="4" fillId="0" borderId="6" xfId="6" applyNumberFormat="1" applyFont="1" applyFill="1" applyBorder="1" applyAlignment="1">
      <alignment horizontal="center" textRotation="90" wrapText="1"/>
    </xf>
    <xf numFmtId="0" fontId="4" fillId="0" borderId="10" xfId="6" applyNumberFormat="1" applyFont="1" applyFill="1" applyBorder="1" applyAlignment="1">
      <alignment horizontal="center" textRotation="90"/>
    </xf>
    <xf numFmtId="0" fontId="4" fillId="0" borderId="6" xfId="6" applyNumberFormat="1" applyFont="1" applyFill="1" applyBorder="1" applyAlignment="1">
      <alignment horizontal="center" textRotation="90"/>
    </xf>
    <xf numFmtId="0" fontId="5" fillId="0" borderId="1" xfId="3" applyNumberFormat="1" applyFont="1" applyFill="1" applyBorder="1" applyAlignment="1">
      <alignment horizontal="center" vertical="center" textRotation="90" wrapText="1"/>
    </xf>
    <xf numFmtId="0" fontId="5" fillId="0" borderId="10" xfId="3" applyNumberFormat="1" applyFont="1" applyFill="1" applyBorder="1" applyAlignment="1">
      <alignment horizontal="center" vertical="center" textRotation="90"/>
    </xf>
    <xf numFmtId="0" fontId="5" fillId="0" borderId="6" xfId="3" applyNumberFormat="1" applyFont="1" applyFill="1" applyBorder="1" applyAlignment="1">
      <alignment horizontal="center" vertical="center" textRotation="90"/>
    </xf>
    <xf numFmtId="0" fontId="6" fillId="0" borderId="8" xfId="6" applyNumberFormat="1" applyFont="1" applyFill="1" applyBorder="1" applyAlignment="1">
      <alignment horizontal="center" vertical="center"/>
    </xf>
    <xf numFmtId="0" fontId="6" fillId="0" borderId="7" xfId="6" applyNumberFormat="1" applyFont="1" applyFill="1" applyBorder="1" applyAlignment="1">
      <alignment horizontal="center" vertical="center"/>
    </xf>
    <xf numFmtId="0" fontId="7" fillId="0" borderId="7" xfId="6" applyNumberFormat="1" applyFont="1" applyFill="1" applyAlignment="1">
      <alignment horizontal="center" vertical="center"/>
    </xf>
    <xf numFmtId="0" fontId="4" fillId="0" borderId="1" xfId="6" applyNumberFormat="1" applyFont="1" applyFill="1" applyBorder="1" applyAlignment="1">
      <alignment horizontal="center" vertical="center"/>
    </xf>
    <xf numFmtId="0" fontId="4" fillId="0" borderId="10" xfId="6" applyNumberFormat="1" applyFont="1" applyFill="1" applyBorder="1" applyAlignment="1">
      <alignment horizontal="center" vertical="center"/>
    </xf>
    <xf numFmtId="0" fontId="4" fillId="0" borderId="6" xfId="6" applyNumberFormat="1" applyFont="1" applyFill="1" applyBorder="1" applyAlignment="1">
      <alignment horizontal="center" vertical="center"/>
    </xf>
    <xf numFmtId="0" fontId="4" fillId="0" borderId="1" xfId="6" applyNumberFormat="1" applyFont="1" applyFill="1" applyBorder="1" applyAlignment="1">
      <alignment horizontal="center" vertical="center" wrapText="1"/>
    </xf>
    <xf numFmtId="0" fontId="4" fillId="0" borderId="2" xfId="6" applyNumberFormat="1" applyFont="1" applyFill="1" applyBorder="1" applyAlignment="1">
      <alignment horizontal="center" vertical="center"/>
    </xf>
    <xf numFmtId="0" fontId="4" fillId="0" borderId="3" xfId="6" applyNumberFormat="1" applyFont="1" applyFill="1" applyBorder="1" applyAlignment="1">
      <alignment horizontal="center" vertical="center"/>
    </xf>
    <xf numFmtId="0" fontId="4" fillId="0" borderId="4" xfId="6" applyNumberFormat="1" applyFont="1" applyFill="1" applyBorder="1" applyAlignment="1">
      <alignment horizontal="center" vertical="center"/>
    </xf>
    <xf numFmtId="0" fontId="5" fillId="0" borderId="1" xfId="6" applyNumberFormat="1" applyFont="1" applyFill="1" applyBorder="1" applyAlignment="1">
      <alignment horizontal="center" vertical="center" textRotation="90" wrapText="1"/>
    </xf>
    <xf numFmtId="0" fontId="5" fillId="0" borderId="10" xfId="6" applyNumberFormat="1" applyFont="1" applyFill="1" applyBorder="1" applyAlignment="1">
      <alignment horizontal="center" vertical="center" textRotation="90"/>
    </xf>
    <xf numFmtId="0" fontId="5" fillId="0" borderId="6" xfId="6" applyNumberFormat="1" applyFont="1" applyFill="1" applyBorder="1" applyAlignment="1">
      <alignment horizontal="center" vertical="center" textRotation="90"/>
    </xf>
  </cellXfs>
  <cellStyles count="22">
    <cellStyle name="Обычный" xfId="0" builtinId="0"/>
    <cellStyle name="Обычный 10" xfId="4"/>
    <cellStyle name="Обычный 10 2" xfId="5"/>
    <cellStyle name="Обычный 11" xfId="2"/>
    <cellStyle name="Обычный 11 2" xfId="6"/>
    <cellStyle name="Обычный 2" xfId="1"/>
    <cellStyle name="Обычный 2 2" xfId="3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943"/>
  <sheetViews>
    <sheetView tabSelected="1" workbookViewId="0">
      <selection sqref="A1:S1"/>
    </sheetView>
  </sheetViews>
  <sheetFormatPr defaultColWidth="14.42578125" defaultRowHeight="15" customHeight="1"/>
  <cols>
    <col min="1" max="1" width="4.140625" style="6" customWidth="1"/>
    <col min="2" max="2" width="6.5703125" style="6" customWidth="1"/>
    <col min="3" max="3" width="40.42578125" style="6" customWidth="1"/>
    <col min="4" max="18" width="6.7109375" style="6" customWidth="1"/>
    <col min="19" max="19" width="11.28515625" style="6" customWidth="1"/>
    <col min="20" max="20" width="14.42578125" style="6" customWidth="1"/>
    <col min="21" max="16384" width="14.42578125" style="6"/>
  </cols>
  <sheetData>
    <row r="1" spans="1:19" s="15" customFormat="1" ht="15" customHeight="1">
      <c r="A1" s="38" t="s">
        <v>64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s="15" customFormat="1" ht="15" customHeight="1">
      <c r="A2" s="38" t="s">
        <v>65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s="14" customFormat="1" ht="15" customHeight="1">
      <c r="A3" s="39" t="s">
        <v>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4" spans="1:19" s="15" customFormat="1" ht="15" customHeight="1">
      <c r="A4" s="40" t="s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19" s="15" customFormat="1" ht="15" customHeight="1">
      <c r="A5" s="40" t="s">
        <v>66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</row>
    <row r="6" spans="1:19" s="15" customFormat="1" ht="15" customHeight="1">
      <c r="A6" s="37" t="s">
        <v>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</row>
    <row r="7" spans="1:19" ht="15" customHeight="1">
      <c r="A7" s="41" t="s">
        <v>3</v>
      </c>
      <c r="B7" s="44" t="s">
        <v>4</v>
      </c>
      <c r="C7" s="44" t="s">
        <v>5</v>
      </c>
      <c r="D7" s="45" t="s">
        <v>6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7"/>
    </row>
    <row r="8" spans="1:19" ht="15" customHeight="1">
      <c r="A8" s="42"/>
      <c r="B8" s="42"/>
      <c r="C8" s="42"/>
      <c r="D8" s="48" t="s">
        <v>61</v>
      </c>
      <c r="E8" s="48" t="s">
        <v>15</v>
      </c>
      <c r="F8" s="48" t="s">
        <v>8</v>
      </c>
      <c r="G8" s="48" t="s">
        <v>18</v>
      </c>
      <c r="H8" s="48" t="s">
        <v>14</v>
      </c>
      <c r="I8" s="48" t="s">
        <v>63</v>
      </c>
      <c r="J8" s="48" t="s">
        <v>16</v>
      </c>
      <c r="K8" s="48" t="s">
        <v>12</v>
      </c>
      <c r="L8" s="48" t="s">
        <v>17</v>
      </c>
      <c r="M8" s="48" t="s">
        <v>9</v>
      </c>
      <c r="N8" s="48" t="s">
        <v>7</v>
      </c>
      <c r="O8" s="48" t="s">
        <v>13</v>
      </c>
      <c r="P8" s="48" t="s">
        <v>10</v>
      </c>
      <c r="Q8" s="48" t="s">
        <v>62</v>
      </c>
      <c r="R8" s="48" t="s">
        <v>11</v>
      </c>
      <c r="S8" s="53" t="s">
        <v>19</v>
      </c>
    </row>
    <row r="9" spans="1:19" ht="15" customHeight="1">
      <c r="A9" s="42"/>
      <c r="B9" s="42"/>
      <c r="C9" s="42"/>
      <c r="D9" s="49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4"/>
    </row>
    <row r="10" spans="1:19" ht="97.5" customHeight="1">
      <c r="A10" s="43"/>
      <c r="B10" s="43"/>
      <c r="C10" s="43"/>
      <c r="D10" s="50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5"/>
    </row>
    <row r="11" spans="1:19" s="5" customFormat="1" ht="15" customHeight="1">
      <c r="A11" s="1" t="s">
        <v>20</v>
      </c>
      <c r="B11" s="1">
        <v>1</v>
      </c>
      <c r="C11" s="2" t="s">
        <v>46</v>
      </c>
      <c r="D11" s="3">
        <v>4</v>
      </c>
      <c r="E11" s="3">
        <v>5</v>
      </c>
      <c r="F11" s="3">
        <v>10</v>
      </c>
      <c r="G11" s="3">
        <v>8</v>
      </c>
      <c r="H11" s="3">
        <v>7</v>
      </c>
      <c r="I11" s="3">
        <v>6</v>
      </c>
      <c r="J11" s="3">
        <v>5</v>
      </c>
      <c r="K11" s="3">
        <v>8</v>
      </c>
      <c r="L11" s="3">
        <v>6</v>
      </c>
      <c r="M11" s="3">
        <v>4</v>
      </c>
      <c r="N11" s="3">
        <v>5</v>
      </c>
      <c r="O11" s="3">
        <v>5</v>
      </c>
      <c r="P11" s="3">
        <v>4</v>
      </c>
      <c r="Q11" s="3">
        <v>8</v>
      </c>
      <c r="R11" s="3">
        <v>4</v>
      </c>
      <c r="S11" s="12">
        <f>IF(COUNTIF(D11:R11,"=*")&gt;0,"-",(AVERAGE(D11:R11)))</f>
        <v>5.9333333333333336</v>
      </c>
    </row>
    <row r="12" spans="1:19" s="5" customFormat="1" ht="15" customHeight="1">
      <c r="A12" s="1" t="s">
        <v>21</v>
      </c>
      <c r="B12" s="1">
        <v>2</v>
      </c>
      <c r="C12" s="2" t="s">
        <v>47</v>
      </c>
      <c r="D12" s="3">
        <v>10</v>
      </c>
      <c r="E12" s="3">
        <v>10</v>
      </c>
      <c r="F12" s="3">
        <v>9</v>
      </c>
      <c r="G12" s="3">
        <v>9</v>
      </c>
      <c r="H12" s="3">
        <v>11</v>
      </c>
      <c r="I12" s="3">
        <v>10</v>
      </c>
      <c r="J12" s="3">
        <v>10</v>
      </c>
      <c r="K12" s="3">
        <v>9</v>
      </c>
      <c r="L12" s="3">
        <v>9</v>
      </c>
      <c r="M12" s="3">
        <v>8</v>
      </c>
      <c r="N12" s="3">
        <v>8</v>
      </c>
      <c r="O12" s="3">
        <v>8</v>
      </c>
      <c r="P12" s="3">
        <v>10</v>
      </c>
      <c r="Q12" s="3">
        <v>10</v>
      </c>
      <c r="R12" s="3">
        <v>8</v>
      </c>
      <c r="S12" s="12">
        <f t="shared" ref="S12:S26" si="0">IF(COUNTIF(D12:R12,"=*")&gt;0,"-",(AVERAGE(D12:R12)))</f>
        <v>9.2666666666666675</v>
      </c>
    </row>
    <row r="13" spans="1:19" s="5" customFormat="1" ht="15" customHeight="1">
      <c r="A13" s="1" t="s">
        <v>21</v>
      </c>
      <c r="B13" s="1">
        <v>3</v>
      </c>
      <c r="C13" s="2" t="s">
        <v>48</v>
      </c>
      <c r="D13" s="3">
        <v>9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11</v>
      </c>
      <c r="K13" s="3">
        <v>10</v>
      </c>
      <c r="L13" s="3">
        <v>9</v>
      </c>
      <c r="M13" s="3">
        <v>8</v>
      </c>
      <c r="N13" s="3">
        <v>9</v>
      </c>
      <c r="O13" s="3">
        <v>8</v>
      </c>
      <c r="P13" s="3">
        <v>9</v>
      </c>
      <c r="Q13" s="3">
        <v>9</v>
      </c>
      <c r="R13" s="3">
        <v>8</v>
      </c>
      <c r="S13" s="12">
        <f t="shared" si="0"/>
        <v>9.3333333333333339</v>
      </c>
    </row>
    <row r="14" spans="1:19" s="5" customFormat="1" ht="15" customHeight="1">
      <c r="A14" s="1" t="s">
        <v>20</v>
      </c>
      <c r="B14" s="1">
        <v>4</v>
      </c>
      <c r="C14" s="2" t="s">
        <v>49</v>
      </c>
      <c r="D14" s="3">
        <v>8</v>
      </c>
      <c r="E14" s="3">
        <v>7</v>
      </c>
      <c r="F14" s="3">
        <v>7</v>
      </c>
      <c r="G14" s="3">
        <v>8</v>
      </c>
      <c r="H14" s="3">
        <v>7</v>
      </c>
      <c r="I14" s="3">
        <v>7</v>
      </c>
      <c r="J14" s="3">
        <v>6</v>
      </c>
      <c r="K14" s="3">
        <v>7</v>
      </c>
      <c r="L14" s="3">
        <v>5</v>
      </c>
      <c r="M14" s="3">
        <v>5</v>
      </c>
      <c r="N14" s="3">
        <v>7</v>
      </c>
      <c r="O14" s="3">
        <v>6</v>
      </c>
      <c r="P14" s="3">
        <v>6</v>
      </c>
      <c r="Q14" s="3">
        <v>7</v>
      </c>
      <c r="R14" s="3">
        <v>7</v>
      </c>
      <c r="S14" s="12">
        <f t="shared" si="0"/>
        <v>6.666666666666667</v>
      </c>
    </row>
    <row r="15" spans="1:19" s="5" customFormat="1" ht="15" customHeight="1">
      <c r="A15" s="1" t="s">
        <v>21</v>
      </c>
      <c r="B15" s="1">
        <v>5</v>
      </c>
      <c r="C15" s="2" t="s">
        <v>50</v>
      </c>
      <c r="D15" s="3">
        <v>10</v>
      </c>
      <c r="E15" s="3">
        <v>9</v>
      </c>
      <c r="F15" s="3">
        <v>10</v>
      </c>
      <c r="G15" s="3">
        <v>10</v>
      </c>
      <c r="H15" s="3">
        <v>11</v>
      </c>
      <c r="I15" s="3">
        <v>9</v>
      </c>
      <c r="J15" s="3">
        <v>8</v>
      </c>
      <c r="K15" s="3">
        <v>10</v>
      </c>
      <c r="L15" s="3">
        <v>8</v>
      </c>
      <c r="M15" s="3">
        <v>8</v>
      </c>
      <c r="N15" s="3">
        <v>8</v>
      </c>
      <c r="O15" s="3">
        <v>8</v>
      </c>
      <c r="P15" s="3">
        <v>9</v>
      </c>
      <c r="Q15" s="3">
        <v>11</v>
      </c>
      <c r="R15" s="3">
        <v>8</v>
      </c>
      <c r="S15" s="12">
        <f t="shared" si="0"/>
        <v>9.1333333333333329</v>
      </c>
    </row>
    <row r="16" spans="1:19" s="5" customFormat="1" ht="15" customHeight="1">
      <c r="A16" s="1" t="s">
        <v>20</v>
      </c>
      <c r="B16" s="1">
        <v>6</v>
      </c>
      <c r="C16" s="2" t="s">
        <v>51</v>
      </c>
      <c r="D16" s="3">
        <v>9</v>
      </c>
      <c r="E16" s="3">
        <v>9</v>
      </c>
      <c r="F16" s="3">
        <v>10</v>
      </c>
      <c r="G16" s="3">
        <v>10</v>
      </c>
      <c r="H16" s="3">
        <v>10</v>
      </c>
      <c r="I16" s="3">
        <v>9</v>
      </c>
      <c r="J16" s="3">
        <v>10</v>
      </c>
      <c r="K16" s="3">
        <v>8</v>
      </c>
      <c r="L16" s="3">
        <v>8</v>
      </c>
      <c r="M16" s="3">
        <v>6</v>
      </c>
      <c r="N16" s="3">
        <v>10</v>
      </c>
      <c r="O16" s="3">
        <v>9</v>
      </c>
      <c r="P16" s="3">
        <v>8</v>
      </c>
      <c r="Q16" s="3">
        <v>11</v>
      </c>
      <c r="R16" s="3">
        <v>8</v>
      </c>
      <c r="S16" s="12">
        <f t="shared" si="0"/>
        <v>9</v>
      </c>
    </row>
    <row r="17" spans="1:22" s="5" customFormat="1" ht="15" customHeight="1">
      <c r="A17" s="1" t="s">
        <v>20</v>
      </c>
      <c r="B17" s="1">
        <v>7</v>
      </c>
      <c r="C17" s="2" t="s">
        <v>52</v>
      </c>
      <c r="D17" s="3">
        <v>4</v>
      </c>
      <c r="E17" s="3">
        <v>4</v>
      </c>
      <c r="F17" s="3">
        <v>8</v>
      </c>
      <c r="G17" s="3">
        <v>5</v>
      </c>
      <c r="H17" s="3">
        <v>5</v>
      </c>
      <c r="I17" s="3">
        <v>4</v>
      </c>
      <c r="J17" s="3">
        <v>4</v>
      </c>
      <c r="K17" s="3">
        <v>4</v>
      </c>
      <c r="L17" s="3">
        <v>5</v>
      </c>
      <c r="M17" s="3">
        <v>4</v>
      </c>
      <c r="N17" s="3">
        <v>4</v>
      </c>
      <c r="O17" s="3">
        <v>4</v>
      </c>
      <c r="P17" s="3">
        <v>5</v>
      </c>
      <c r="Q17" s="3">
        <v>5</v>
      </c>
      <c r="R17" s="3">
        <v>4</v>
      </c>
      <c r="S17" s="12">
        <f t="shared" si="0"/>
        <v>4.5999999999999996</v>
      </c>
    </row>
    <row r="18" spans="1:22" s="5" customFormat="1" ht="15" customHeight="1">
      <c r="A18" s="1" t="s">
        <v>20</v>
      </c>
      <c r="B18" s="1">
        <v>8</v>
      </c>
      <c r="C18" s="2" t="s">
        <v>53</v>
      </c>
      <c r="D18" s="3">
        <v>4</v>
      </c>
      <c r="E18" s="3">
        <v>5</v>
      </c>
      <c r="F18" s="3">
        <v>8</v>
      </c>
      <c r="G18" s="3">
        <v>6</v>
      </c>
      <c r="H18" s="3">
        <v>7</v>
      </c>
      <c r="I18" s="3">
        <v>5</v>
      </c>
      <c r="J18" s="3">
        <v>7</v>
      </c>
      <c r="K18" s="3">
        <v>5</v>
      </c>
      <c r="L18" s="3">
        <v>5</v>
      </c>
      <c r="M18" s="3">
        <v>4</v>
      </c>
      <c r="N18" s="3">
        <v>4</v>
      </c>
      <c r="O18" s="3">
        <v>4</v>
      </c>
      <c r="P18" s="3">
        <v>4</v>
      </c>
      <c r="Q18" s="3">
        <v>8</v>
      </c>
      <c r="R18" s="3">
        <v>4</v>
      </c>
      <c r="S18" s="12">
        <f t="shared" si="0"/>
        <v>5.333333333333333</v>
      </c>
    </row>
    <row r="19" spans="1:22" s="5" customFormat="1" ht="15" customHeight="1">
      <c r="A19" s="1" t="s">
        <v>21</v>
      </c>
      <c r="B19" s="1">
        <v>9</v>
      </c>
      <c r="C19" s="2" t="s">
        <v>54</v>
      </c>
      <c r="D19" s="3">
        <v>8</v>
      </c>
      <c r="E19" s="3">
        <v>10</v>
      </c>
      <c r="F19" s="3">
        <v>10</v>
      </c>
      <c r="G19" s="3">
        <v>10</v>
      </c>
      <c r="H19" s="3">
        <v>10</v>
      </c>
      <c r="I19" s="3">
        <v>9</v>
      </c>
      <c r="J19" s="3">
        <v>10</v>
      </c>
      <c r="K19" s="3">
        <v>10</v>
      </c>
      <c r="L19" s="3">
        <v>8</v>
      </c>
      <c r="M19" s="3">
        <v>7</v>
      </c>
      <c r="N19" s="3">
        <v>9</v>
      </c>
      <c r="O19" s="3">
        <v>9</v>
      </c>
      <c r="P19" s="3">
        <v>8</v>
      </c>
      <c r="Q19" s="3">
        <v>11</v>
      </c>
      <c r="R19" s="3">
        <v>8</v>
      </c>
      <c r="S19" s="12">
        <f t="shared" si="0"/>
        <v>9.1333333333333329</v>
      </c>
    </row>
    <row r="20" spans="1:22" s="5" customFormat="1" ht="15" customHeight="1">
      <c r="A20" s="1" t="s">
        <v>21</v>
      </c>
      <c r="B20" s="1">
        <v>10</v>
      </c>
      <c r="C20" s="2" t="s">
        <v>55</v>
      </c>
      <c r="D20" s="3">
        <v>5</v>
      </c>
      <c r="E20" s="3">
        <v>7</v>
      </c>
      <c r="F20" s="3">
        <v>10</v>
      </c>
      <c r="G20" s="3">
        <v>10</v>
      </c>
      <c r="H20" s="3">
        <v>9</v>
      </c>
      <c r="I20" s="3">
        <v>7</v>
      </c>
      <c r="J20" s="3">
        <v>7</v>
      </c>
      <c r="K20" s="3">
        <v>8</v>
      </c>
      <c r="L20" s="3">
        <v>7</v>
      </c>
      <c r="M20" s="3">
        <v>4</v>
      </c>
      <c r="N20" s="3">
        <v>7</v>
      </c>
      <c r="O20" s="3">
        <v>7</v>
      </c>
      <c r="P20" s="3">
        <v>4</v>
      </c>
      <c r="Q20" s="3">
        <v>6</v>
      </c>
      <c r="R20" s="3">
        <v>4</v>
      </c>
      <c r="S20" s="12">
        <f t="shared" si="0"/>
        <v>6.8</v>
      </c>
    </row>
    <row r="21" spans="1:22" s="5" customFormat="1" ht="15" customHeight="1">
      <c r="A21" s="1" t="s">
        <v>21</v>
      </c>
      <c r="B21" s="1">
        <v>11</v>
      </c>
      <c r="C21" s="2" t="s">
        <v>56</v>
      </c>
      <c r="D21" s="3">
        <v>10</v>
      </c>
      <c r="E21" s="3">
        <v>9</v>
      </c>
      <c r="F21" s="3">
        <v>10</v>
      </c>
      <c r="G21" s="3">
        <v>10</v>
      </c>
      <c r="H21" s="3">
        <v>10</v>
      </c>
      <c r="I21" s="3">
        <v>10</v>
      </c>
      <c r="J21" s="3">
        <v>9</v>
      </c>
      <c r="K21" s="3">
        <v>10</v>
      </c>
      <c r="L21" s="3">
        <v>8</v>
      </c>
      <c r="M21" s="3">
        <v>8</v>
      </c>
      <c r="N21" s="3">
        <v>8</v>
      </c>
      <c r="O21" s="3">
        <v>8</v>
      </c>
      <c r="P21" s="3">
        <v>10</v>
      </c>
      <c r="Q21" s="3">
        <v>8</v>
      </c>
      <c r="R21" s="3">
        <v>9</v>
      </c>
      <c r="S21" s="12">
        <f t="shared" si="0"/>
        <v>9.1333333333333329</v>
      </c>
    </row>
    <row r="22" spans="1:22" s="5" customFormat="1" ht="15" customHeight="1">
      <c r="A22" s="1" t="s">
        <v>21</v>
      </c>
      <c r="B22" s="1">
        <v>12</v>
      </c>
      <c r="C22" s="2" t="s">
        <v>57</v>
      </c>
      <c r="D22" s="3">
        <v>11</v>
      </c>
      <c r="E22" s="3">
        <v>11</v>
      </c>
      <c r="F22" s="3">
        <v>10</v>
      </c>
      <c r="G22" s="3">
        <v>10</v>
      </c>
      <c r="H22" s="3">
        <v>11</v>
      </c>
      <c r="I22" s="3">
        <v>10</v>
      </c>
      <c r="J22" s="3">
        <v>10</v>
      </c>
      <c r="K22" s="3">
        <v>10</v>
      </c>
      <c r="L22" s="3">
        <v>9</v>
      </c>
      <c r="M22" s="3">
        <v>10</v>
      </c>
      <c r="N22" s="3">
        <v>10</v>
      </c>
      <c r="O22" s="3">
        <v>10</v>
      </c>
      <c r="P22" s="3">
        <v>10</v>
      </c>
      <c r="Q22" s="3">
        <v>11</v>
      </c>
      <c r="R22" s="3">
        <v>10</v>
      </c>
      <c r="S22" s="12">
        <f t="shared" si="0"/>
        <v>10.199999999999999</v>
      </c>
    </row>
    <row r="23" spans="1:22" s="5" customFormat="1" ht="15" customHeight="1">
      <c r="A23" s="1" t="s">
        <v>21</v>
      </c>
      <c r="B23" s="1">
        <v>13</v>
      </c>
      <c r="C23" s="2" t="s">
        <v>58</v>
      </c>
      <c r="D23" s="3">
        <v>4</v>
      </c>
      <c r="E23" s="3">
        <v>9</v>
      </c>
      <c r="F23" s="3">
        <v>10</v>
      </c>
      <c r="G23" s="3">
        <v>9</v>
      </c>
      <c r="H23" s="3">
        <v>10</v>
      </c>
      <c r="I23" s="3">
        <v>8</v>
      </c>
      <c r="J23" s="3">
        <v>6</v>
      </c>
      <c r="K23" s="3">
        <v>7</v>
      </c>
      <c r="L23" s="3">
        <v>7</v>
      </c>
      <c r="M23" s="3">
        <v>4</v>
      </c>
      <c r="N23" s="3">
        <v>7</v>
      </c>
      <c r="O23" s="3">
        <v>7</v>
      </c>
      <c r="P23" s="3">
        <v>5</v>
      </c>
      <c r="Q23" s="3">
        <v>10</v>
      </c>
      <c r="R23" s="3">
        <v>4</v>
      </c>
      <c r="S23" s="12">
        <f t="shared" si="0"/>
        <v>7.1333333333333337</v>
      </c>
    </row>
    <row r="24" spans="1:22" s="5" customFormat="1" ht="15.75" customHeight="1">
      <c r="A24" s="1" t="s">
        <v>21</v>
      </c>
      <c r="B24" s="1">
        <v>14</v>
      </c>
      <c r="C24" s="2" t="s">
        <v>59</v>
      </c>
      <c r="D24" s="3">
        <v>7</v>
      </c>
      <c r="E24" s="3">
        <v>8</v>
      </c>
      <c r="F24" s="3">
        <v>10</v>
      </c>
      <c r="G24" s="3">
        <v>10</v>
      </c>
      <c r="H24" s="3">
        <v>10</v>
      </c>
      <c r="I24" s="3">
        <v>9</v>
      </c>
      <c r="J24" s="3">
        <v>9</v>
      </c>
      <c r="K24" s="3">
        <v>9</v>
      </c>
      <c r="L24" s="3">
        <v>8</v>
      </c>
      <c r="M24" s="3">
        <v>6</v>
      </c>
      <c r="N24" s="3">
        <v>7</v>
      </c>
      <c r="O24" s="3">
        <v>7</v>
      </c>
      <c r="P24" s="3">
        <v>8</v>
      </c>
      <c r="Q24" s="3">
        <v>8</v>
      </c>
      <c r="R24" s="3">
        <v>8</v>
      </c>
      <c r="S24" s="12">
        <f t="shared" si="0"/>
        <v>8.2666666666666675</v>
      </c>
    </row>
    <row r="25" spans="1:22" s="5" customFormat="1" ht="15.75" customHeight="1">
      <c r="A25" s="1" t="s">
        <v>21</v>
      </c>
      <c r="B25" s="1">
        <v>15</v>
      </c>
      <c r="C25" s="2" t="s">
        <v>60</v>
      </c>
      <c r="D25" s="3">
        <v>6</v>
      </c>
      <c r="E25" s="3">
        <v>6</v>
      </c>
      <c r="F25" s="3">
        <v>10</v>
      </c>
      <c r="G25" s="3">
        <v>9</v>
      </c>
      <c r="H25" s="3">
        <v>10</v>
      </c>
      <c r="I25" s="3">
        <v>7</v>
      </c>
      <c r="J25" s="3">
        <v>6</v>
      </c>
      <c r="K25" s="3">
        <v>8</v>
      </c>
      <c r="L25" s="3">
        <v>6</v>
      </c>
      <c r="M25" s="3">
        <v>4</v>
      </c>
      <c r="N25" s="3">
        <v>5</v>
      </c>
      <c r="O25" s="3">
        <v>5</v>
      </c>
      <c r="P25" s="3">
        <v>7</v>
      </c>
      <c r="Q25" s="3">
        <v>8</v>
      </c>
      <c r="R25" s="3">
        <v>7</v>
      </c>
      <c r="S25" s="12">
        <f t="shared" si="0"/>
        <v>6.9333333333333336</v>
      </c>
    </row>
    <row r="26" spans="1:22" ht="15.75" customHeight="1">
      <c r="C26" s="7" t="s">
        <v>22</v>
      </c>
      <c r="D26" s="8">
        <f t="shared" ref="D26:R26" si="1">AVERAGE(D11:D25)</f>
        <v>7.2666666666666666</v>
      </c>
      <c r="E26" s="8">
        <f t="shared" si="1"/>
        <v>7.9333333333333336</v>
      </c>
      <c r="F26" s="8">
        <f t="shared" si="1"/>
        <v>9.4666666666666668</v>
      </c>
      <c r="G26" s="8">
        <f t="shared" si="1"/>
        <v>8.9333333333333336</v>
      </c>
      <c r="H26" s="8">
        <f t="shared" si="1"/>
        <v>9.1999999999999993</v>
      </c>
      <c r="I26" s="8">
        <f t="shared" si="1"/>
        <v>8</v>
      </c>
      <c r="J26" s="8">
        <f t="shared" si="1"/>
        <v>7.8666666666666663</v>
      </c>
      <c r="K26" s="8">
        <f t="shared" si="1"/>
        <v>8.1999999999999993</v>
      </c>
      <c r="L26" s="8">
        <f t="shared" si="1"/>
        <v>7.2</v>
      </c>
      <c r="M26" s="8">
        <f t="shared" si="1"/>
        <v>6</v>
      </c>
      <c r="N26" s="8">
        <f t="shared" si="1"/>
        <v>7.2</v>
      </c>
      <c r="O26" s="8">
        <f t="shared" si="1"/>
        <v>7</v>
      </c>
      <c r="P26" s="8">
        <f t="shared" si="1"/>
        <v>7.1333333333333337</v>
      </c>
      <c r="Q26" s="8">
        <f t="shared" si="1"/>
        <v>8.7333333333333325</v>
      </c>
      <c r="R26" s="9">
        <f t="shared" si="1"/>
        <v>6.7333333333333334</v>
      </c>
      <c r="S26" s="12">
        <f t="shared" si="0"/>
        <v>7.7911111111111113</v>
      </c>
    </row>
    <row r="27" spans="1:22" ht="15.75" customHeight="1">
      <c r="C27" s="2" t="s">
        <v>23</v>
      </c>
      <c r="D27" s="10">
        <f>(COUNT(D11:D25))/(COUNT(B11:B25))*100</f>
        <v>100</v>
      </c>
      <c r="E27" s="10">
        <f>(COUNT(E11:E25))/(COUNT(B11:B25))*100</f>
        <v>100</v>
      </c>
      <c r="F27" s="10">
        <f>(COUNT(F11:F25))/(COUNT(B11:B25))*100</f>
        <v>100</v>
      </c>
      <c r="G27" s="10">
        <f>(COUNT(G11:G25))/(COUNT(B11:B25))*100</f>
        <v>100</v>
      </c>
      <c r="H27" s="10">
        <f>(COUNT(H11:H25))/(COUNT(B11:B25))*100</f>
        <v>100</v>
      </c>
      <c r="I27" s="10">
        <f>(COUNT(I11:I25))/(COUNT(B11:B25))*100</f>
        <v>100</v>
      </c>
      <c r="J27" s="10">
        <f>(COUNT(J11:J25))/(COUNT(B11:B25))*100</f>
        <v>100</v>
      </c>
      <c r="K27" s="10">
        <f>(COUNT(K11:K25))/(COUNT(B11:B25))*100</f>
        <v>100</v>
      </c>
      <c r="L27" s="10">
        <f>(COUNT(L11:L25))/(COUNT(B11:B25))*100</f>
        <v>100</v>
      </c>
      <c r="M27" s="10">
        <f>(COUNT(M11:M25))/(COUNT(B11:B25))*100</f>
        <v>100</v>
      </c>
      <c r="N27" s="10">
        <f>(COUNT(N11:N25))/(COUNT(B11:B25))*100</f>
        <v>100</v>
      </c>
      <c r="O27" s="10">
        <f>(COUNT(O11:O25))/(COUNT(B11:B25))*100</f>
        <v>100</v>
      </c>
      <c r="P27" s="10">
        <f>(COUNT(P11:P25))/(COUNT(B11:B25))*100</f>
        <v>100</v>
      </c>
      <c r="Q27" s="10">
        <f>(COUNT(Q11:Q25))/(COUNT(B11:B25))*100</f>
        <v>100</v>
      </c>
      <c r="R27" s="10">
        <f>(COUNT(R11:R25))/(COUNT(B11:B25))*100</f>
        <v>100</v>
      </c>
      <c r="S27" s="5"/>
      <c r="T27" s="5"/>
      <c r="U27" s="5"/>
      <c r="V27" s="5"/>
    </row>
    <row r="28" spans="1:22" ht="15.75" customHeight="1">
      <c r="C28" s="2" t="s">
        <v>24</v>
      </c>
      <c r="D28" s="11">
        <f>(COUNTIF(D11:D25,"&gt;=7"))/(COUNT(B11:B25))*100</f>
        <v>60</v>
      </c>
      <c r="E28" s="11">
        <f>(COUNTIF(E11:E25,"&gt;=7"))/(COUNT(B11:B25))*100</f>
        <v>73.333333333333329</v>
      </c>
      <c r="F28" s="11">
        <f>(COUNTIF(F11:F25,"&gt;=7"))/(COUNT(B11:B25))*100</f>
        <v>100</v>
      </c>
      <c r="G28" s="11">
        <f>(COUNTIF(G11:G25,"&gt;=7"))/(COUNT(B11:B25))*100</f>
        <v>86.666666666666671</v>
      </c>
      <c r="H28" s="11">
        <f>(COUNTIF(H11:H25,"&gt;=7"))/(COUNT(B11:B25))*100</f>
        <v>93.333333333333329</v>
      </c>
      <c r="I28" s="11">
        <f>(COUNTIF(I11:I25,"&gt;=7"))/(COUNT(B11:B25))*100</f>
        <v>80</v>
      </c>
      <c r="J28" s="11">
        <f>(COUNTIF(J11:J25,"&gt;=7"))/(COUNT(B11:B25))*100</f>
        <v>66.666666666666657</v>
      </c>
      <c r="K28" s="11">
        <f>(COUNTIF(K11:K25,"&gt;=7"))/(COUNT(B11:B25))*100</f>
        <v>86.666666666666671</v>
      </c>
      <c r="L28" s="11">
        <f>(COUNTIF(L11:L25,"&gt;=7"))/(COUNT(B11:B25))*100</f>
        <v>66.666666666666657</v>
      </c>
      <c r="M28" s="11">
        <f>(COUNTIF(M11:M25,"&gt;=7"))/(COUNT(B11:B25))*100</f>
        <v>40</v>
      </c>
      <c r="N28" s="11">
        <f>(COUNTIF(N11:N25,"&gt;=7"))/(COUNT(B11:B25))*100</f>
        <v>73.333333333333329</v>
      </c>
      <c r="O28" s="11">
        <f>(COUNTIF(O11:O25,"&gt;=7"))/(COUNT(B11:B25))*100</f>
        <v>66.666666666666657</v>
      </c>
      <c r="P28" s="11">
        <f>(COUNTIF(P11:P25,"&gt;=7"))/(COUNT(B11:B25))*100</f>
        <v>60</v>
      </c>
      <c r="Q28" s="11">
        <f>(COUNTIF(Q11:Q25,"&gt;=7"))/(COUNT(B11:B25))*100</f>
        <v>86.666666666666671</v>
      </c>
      <c r="R28" s="11">
        <f>(COUNTIF(R11:R25,"&gt;=7"))/(COUNT(B11:B25))*100</f>
        <v>66.666666666666657</v>
      </c>
      <c r="S28" s="5"/>
      <c r="T28" s="5"/>
      <c r="U28" s="5"/>
      <c r="V28" s="5"/>
    </row>
    <row r="29" spans="1:22" ht="15.75" customHeight="1">
      <c r="C29" s="2" t="s">
        <v>25</v>
      </c>
      <c r="D29" s="8">
        <f>AVERAGE(D27:R27)</f>
        <v>100</v>
      </c>
      <c r="S29" s="5"/>
      <c r="T29" s="5"/>
      <c r="U29" s="5"/>
      <c r="V29" s="5"/>
    </row>
    <row r="30" spans="1:22" ht="15.75" customHeight="1">
      <c r="C30" s="2" t="s">
        <v>26</v>
      </c>
      <c r="D30" s="8">
        <f>AVERAGE(D28:R28)</f>
        <v>73.777777777777786</v>
      </c>
      <c r="S30" s="5"/>
      <c r="T30" s="5"/>
      <c r="U30" s="5"/>
      <c r="V30" s="5"/>
    </row>
    <row r="31" spans="1:22" ht="15.75" customHeight="1">
      <c r="C31" s="2" t="s">
        <v>28</v>
      </c>
      <c r="D31" s="16">
        <f>COUNTIF(A11:A25,"=Б")</f>
        <v>10</v>
      </c>
      <c r="G31" s="13" t="s">
        <v>30</v>
      </c>
      <c r="N31" s="13" t="s">
        <v>31</v>
      </c>
      <c r="S31" s="5"/>
      <c r="T31" s="5"/>
      <c r="U31" s="5"/>
      <c r="V31" s="5"/>
    </row>
    <row r="32" spans="1:22" ht="15.75" customHeight="1">
      <c r="C32" s="2" t="s">
        <v>27</v>
      </c>
      <c r="D32" s="4">
        <f>COUNTIF(A11:A25,"=К")</f>
        <v>5</v>
      </c>
    </row>
    <row r="33" spans="3:14" ht="15.75" customHeight="1">
      <c r="C33" s="2" t="s">
        <v>29</v>
      </c>
      <c r="D33" s="4">
        <v>1</v>
      </c>
      <c r="G33" s="13" t="s">
        <v>32</v>
      </c>
      <c r="N33" s="13" t="s">
        <v>33</v>
      </c>
    </row>
    <row r="34" spans="3:14" ht="15.75" customHeight="1"/>
    <row r="35" spans="3:14" ht="15.75" customHeight="1"/>
    <row r="36" spans="3:14" ht="15.75" customHeight="1"/>
    <row r="37" spans="3:14" ht="15.75" customHeight="1"/>
    <row r="38" spans="3:14" ht="15.75" customHeight="1"/>
    <row r="39" spans="3:14" ht="15.75" customHeight="1"/>
    <row r="40" spans="3:14" ht="15.75" customHeight="1"/>
    <row r="41" spans="3:14" ht="15.75" customHeight="1"/>
    <row r="42" spans="3:14" ht="15.75" customHeight="1"/>
    <row r="43" spans="3:14" ht="15.75" customHeight="1"/>
    <row r="44" spans="3:14" ht="15.75" customHeight="1"/>
    <row r="45" spans="3:14" ht="15.75" customHeight="1"/>
    <row r="46" spans="3:14" ht="15.75" customHeight="1"/>
    <row r="47" spans="3:14" ht="15.75" customHeight="1"/>
    <row r="48" spans="3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</sheetData>
  <mergeCells count="26"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  <mergeCell ref="R8:R10"/>
    <mergeCell ref="S8:S10"/>
    <mergeCell ref="J8:J10"/>
    <mergeCell ref="K8:K10"/>
    <mergeCell ref="A6:S6"/>
    <mergeCell ref="A1:S1"/>
    <mergeCell ref="A2:S2"/>
    <mergeCell ref="A3:S3"/>
    <mergeCell ref="A4:S4"/>
    <mergeCell ref="A5:S5"/>
  </mergeCells>
  <pageMargins left="0.25" right="0.25" top="0.75" bottom="0.75" header="0.3" footer="0.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985"/>
  <sheetViews>
    <sheetView workbookViewId="0">
      <selection sqref="A1:S1"/>
    </sheetView>
  </sheetViews>
  <sheetFormatPr defaultColWidth="14.42578125" defaultRowHeight="15" customHeight="1"/>
  <cols>
    <col min="1" max="1" width="4.140625" style="19" customWidth="1"/>
    <col min="2" max="2" width="6.5703125" style="19" customWidth="1"/>
    <col min="3" max="3" width="40.42578125" style="19" customWidth="1"/>
    <col min="4" max="18" width="6.7109375" style="19" customWidth="1"/>
    <col min="19" max="19" width="11.28515625" style="19" customWidth="1"/>
    <col min="20" max="20" width="14.42578125" style="19" customWidth="1"/>
    <col min="21" max="16384" width="14.42578125" style="19"/>
  </cols>
  <sheetData>
    <row r="1" spans="1:24" s="17" customFormat="1" ht="15" customHeight="1">
      <c r="A1" s="57" t="s">
        <v>64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4" s="17" customFormat="1" ht="15" customHeight="1">
      <c r="A2" s="57" t="s">
        <v>65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</row>
    <row r="3" spans="1:24" s="18" customFormat="1" ht="15" customHeight="1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spans="1:24" s="17" customFormat="1" ht="15" customHeight="1">
      <c r="A4" s="38" t="s">
        <v>34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</row>
    <row r="5" spans="1:24" s="17" customFormat="1" ht="15" customHeight="1">
      <c r="A5" s="38" t="s">
        <v>66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</row>
    <row r="6" spans="1:24" s="17" customFormat="1" ht="15" customHeight="1">
      <c r="A6" s="56" t="s">
        <v>2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</row>
    <row r="7" spans="1:24" ht="15" customHeight="1">
      <c r="A7" s="59" t="s">
        <v>3</v>
      </c>
      <c r="B7" s="62" t="s">
        <v>4</v>
      </c>
      <c r="C7" s="62" t="s">
        <v>5</v>
      </c>
      <c r="D7" s="63" t="s">
        <v>6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5"/>
    </row>
    <row r="8" spans="1:24" ht="15" customHeight="1">
      <c r="A8" s="60"/>
      <c r="B8" s="60"/>
      <c r="C8" s="60"/>
      <c r="D8" s="48" t="s">
        <v>61</v>
      </c>
      <c r="E8" s="48" t="s">
        <v>15</v>
      </c>
      <c r="F8" s="48" t="s">
        <v>8</v>
      </c>
      <c r="G8" s="48" t="s">
        <v>18</v>
      </c>
      <c r="H8" s="48" t="s">
        <v>14</v>
      </c>
      <c r="I8" s="48" t="s">
        <v>63</v>
      </c>
      <c r="J8" s="48" t="s">
        <v>16</v>
      </c>
      <c r="K8" s="48" t="s">
        <v>12</v>
      </c>
      <c r="L8" s="48" t="s">
        <v>17</v>
      </c>
      <c r="M8" s="48" t="s">
        <v>9</v>
      </c>
      <c r="N8" s="48" t="s">
        <v>7</v>
      </c>
      <c r="O8" s="48" t="s">
        <v>13</v>
      </c>
      <c r="P8" s="48" t="s">
        <v>10</v>
      </c>
      <c r="Q8" s="48" t="s">
        <v>62</v>
      </c>
      <c r="R8" s="48" t="s">
        <v>11</v>
      </c>
      <c r="S8" s="66" t="s">
        <v>19</v>
      </c>
    </row>
    <row r="9" spans="1:24" ht="15" customHeight="1">
      <c r="A9" s="60"/>
      <c r="B9" s="60"/>
      <c r="C9" s="60"/>
      <c r="D9" s="49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67"/>
    </row>
    <row r="10" spans="1:24" ht="97.5" customHeight="1">
      <c r="A10" s="61"/>
      <c r="B10" s="61"/>
      <c r="C10" s="61"/>
      <c r="D10" s="50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8"/>
    </row>
    <row r="11" spans="1:24" s="24" customFormat="1" ht="15" customHeight="1">
      <c r="A11" s="20" t="s">
        <v>20</v>
      </c>
      <c r="B11" s="20">
        <v>1</v>
      </c>
      <c r="C11" s="21" t="s">
        <v>35</v>
      </c>
      <c r="D11" s="22">
        <v>4</v>
      </c>
      <c r="E11" s="22">
        <v>4</v>
      </c>
      <c r="F11" s="22">
        <v>6</v>
      </c>
      <c r="G11" s="22">
        <v>5</v>
      </c>
      <c r="H11" s="22">
        <v>7</v>
      </c>
      <c r="I11" s="22">
        <v>4</v>
      </c>
      <c r="J11" s="22">
        <v>4</v>
      </c>
      <c r="K11" s="22">
        <v>5</v>
      </c>
      <c r="L11" s="22">
        <v>5</v>
      </c>
      <c r="M11" s="22">
        <v>4</v>
      </c>
      <c r="N11" s="22">
        <v>4</v>
      </c>
      <c r="O11" s="22">
        <v>4</v>
      </c>
      <c r="P11" s="22">
        <v>4</v>
      </c>
      <c r="Q11" s="22">
        <v>5</v>
      </c>
      <c r="R11" s="22">
        <v>4</v>
      </c>
      <c r="S11" s="23">
        <f>IF(COUNTIF(D11:R11,"=*")&gt;0,"-",(AVERAGE(D11:R11)))</f>
        <v>4.5999999999999996</v>
      </c>
      <c r="V11" s="19"/>
      <c r="W11" s="19"/>
      <c r="X11" s="19"/>
    </row>
    <row r="12" spans="1:24" s="24" customFormat="1" ht="15" customHeight="1">
      <c r="A12" s="20" t="s">
        <v>21</v>
      </c>
      <c r="B12" s="20">
        <v>2</v>
      </c>
      <c r="C12" s="21" t="s">
        <v>36</v>
      </c>
      <c r="D12" s="22">
        <v>4</v>
      </c>
      <c r="E12" s="22">
        <v>5</v>
      </c>
      <c r="F12" s="22">
        <v>10</v>
      </c>
      <c r="G12" s="22">
        <v>8</v>
      </c>
      <c r="H12" s="22">
        <v>7</v>
      </c>
      <c r="I12" s="22">
        <v>6</v>
      </c>
      <c r="J12" s="22">
        <v>7</v>
      </c>
      <c r="K12" s="22">
        <v>6</v>
      </c>
      <c r="L12" s="22">
        <v>6</v>
      </c>
      <c r="M12" s="22">
        <v>4</v>
      </c>
      <c r="N12" s="22">
        <v>5</v>
      </c>
      <c r="O12" s="22">
        <v>5</v>
      </c>
      <c r="P12" s="22">
        <v>5</v>
      </c>
      <c r="Q12" s="22">
        <v>7</v>
      </c>
      <c r="R12" s="22">
        <v>4</v>
      </c>
      <c r="S12" s="23">
        <f t="shared" ref="S12:S22" si="0">IF(COUNTIF(D12:R12,"=*")&gt;0,"-",(AVERAGE(D12:R12)))</f>
        <v>5.9333333333333336</v>
      </c>
      <c r="V12" s="19"/>
      <c r="W12" s="19"/>
      <c r="X12" s="19"/>
    </row>
    <row r="13" spans="1:24" s="24" customFormat="1" ht="15" customHeight="1">
      <c r="A13" s="20" t="s">
        <v>21</v>
      </c>
      <c r="B13" s="20">
        <v>3</v>
      </c>
      <c r="C13" s="21" t="s">
        <v>37</v>
      </c>
      <c r="D13" s="22">
        <v>4</v>
      </c>
      <c r="E13" s="22">
        <v>5</v>
      </c>
      <c r="F13" s="22">
        <v>10</v>
      </c>
      <c r="G13" s="22">
        <v>7</v>
      </c>
      <c r="H13" s="22">
        <v>6</v>
      </c>
      <c r="I13" s="22">
        <v>6</v>
      </c>
      <c r="J13" s="22">
        <v>4</v>
      </c>
      <c r="K13" s="22">
        <v>6</v>
      </c>
      <c r="L13" s="22">
        <v>4</v>
      </c>
      <c r="M13" s="22">
        <v>4</v>
      </c>
      <c r="N13" s="22">
        <v>4</v>
      </c>
      <c r="O13" s="22">
        <v>4</v>
      </c>
      <c r="P13" s="22">
        <v>4</v>
      </c>
      <c r="Q13" s="22">
        <v>6</v>
      </c>
      <c r="R13" s="22">
        <v>5</v>
      </c>
      <c r="S13" s="23">
        <f t="shared" si="0"/>
        <v>5.2666666666666666</v>
      </c>
      <c r="V13" s="19"/>
      <c r="W13" s="19"/>
      <c r="X13" s="19"/>
    </row>
    <row r="14" spans="1:24" s="24" customFormat="1" ht="15" customHeight="1">
      <c r="A14" s="20" t="s">
        <v>21</v>
      </c>
      <c r="B14" s="20">
        <v>4</v>
      </c>
      <c r="C14" s="21" t="s">
        <v>38</v>
      </c>
      <c r="D14" s="22">
        <v>4</v>
      </c>
      <c r="E14" s="22">
        <v>4</v>
      </c>
      <c r="F14" s="22">
        <v>9</v>
      </c>
      <c r="G14" s="22">
        <v>4</v>
      </c>
      <c r="H14" s="22">
        <v>4</v>
      </c>
      <c r="I14" s="22">
        <v>4</v>
      </c>
      <c r="J14" s="22">
        <v>4</v>
      </c>
      <c r="K14" s="22">
        <v>4</v>
      </c>
      <c r="L14" s="22">
        <v>4</v>
      </c>
      <c r="M14" s="22">
        <v>4</v>
      </c>
      <c r="N14" s="22">
        <v>4</v>
      </c>
      <c r="O14" s="22">
        <v>4</v>
      </c>
      <c r="P14" s="22">
        <v>4</v>
      </c>
      <c r="Q14" s="22">
        <v>5</v>
      </c>
      <c r="R14" s="22">
        <v>4</v>
      </c>
      <c r="S14" s="23">
        <f t="shared" si="0"/>
        <v>4.4000000000000004</v>
      </c>
      <c r="V14" s="19"/>
      <c r="W14" s="19"/>
      <c r="X14" s="19"/>
    </row>
    <row r="15" spans="1:24" s="24" customFormat="1" ht="15" customHeight="1">
      <c r="A15" s="20" t="s">
        <v>21</v>
      </c>
      <c r="B15" s="20">
        <v>5</v>
      </c>
      <c r="C15" s="21" t="s">
        <v>39</v>
      </c>
      <c r="D15" s="22">
        <v>11</v>
      </c>
      <c r="E15" s="22">
        <v>11</v>
      </c>
      <c r="F15" s="22">
        <v>10</v>
      </c>
      <c r="G15" s="22">
        <v>11</v>
      </c>
      <c r="H15" s="22">
        <v>11</v>
      </c>
      <c r="I15" s="22">
        <v>10</v>
      </c>
      <c r="J15" s="22">
        <v>11</v>
      </c>
      <c r="K15" s="22">
        <v>10</v>
      </c>
      <c r="L15" s="22">
        <v>10</v>
      </c>
      <c r="M15" s="22">
        <v>10</v>
      </c>
      <c r="N15" s="22">
        <v>11</v>
      </c>
      <c r="O15" s="22">
        <v>10</v>
      </c>
      <c r="P15" s="22">
        <v>10</v>
      </c>
      <c r="Q15" s="22">
        <v>11</v>
      </c>
      <c r="R15" s="22">
        <v>10</v>
      </c>
      <c r="S15" s="23">
        <f t="shared" si="0"/>
        <v>10.466666666666667</v>
      </c>
      <c r="V15" s="19"/>
      <c r="W15" s="19"/>
      <c r="X15" s="19"/>
    </row>
    <row r="16" spans="1:24" s="24" customFormat="1" ht="15" customHeight="1">
      <c r="A16" s="20" t="s">
        <v>21</v>
      </c>
      <c r="B16" s="20">
        <v>6</v>
      </c>
      <c r="C16" s="21" t="s">
        <v>40</v>
      </c>
      <c r="D16" s="22">
        <v>4</v>
      </c>
      <c r="E16" s="22">
        <v>4</v>
      </c>
      <c r="F16" s="22">
        <v>6</v>
      </c>
      <c r="G16" s="22">
        <v>4</v>
      </c>
      <c r="H16" s="22">
        <v>6</v>
      </c>
      <c r="I16" s="22">
        <v>5</v>
      </c>
      <c r="J16" s="22">
        <v>4</v>
      </c>
      <c r="K16" s="22">
        <v>5</v>
      </c>
      <c r="L16" s="22">
        <v>5</v>
      </c>
      <c r="M16" s="22">
        <v>4</v>
      </c>
      <c r="N16" s="22">
        <v>4</v>
      </c>
      <c r="O16" s="22">
        <v>4</v>
      </c>
      <c r="P16" s="22">
        <v>4</v>
      </c>
      <c r="Q16" s="22">
        <v>5</v>
      </c>
      <c r="R16" s="22">
        <v>4</v>
      </c>
      <c r="S16" s="23">
        <f t="shared" si="0"/>
        <v>4.5333333333333332</v>
      </c>
      <c r="V16" s="19"/>
      <c r="W16" s="19"/>
      <c r="X16" s="19"/>
    </row>
    <row r="17" spans="1:24" s="24" customFormat="1" ht="15" customHeight="1">
      <c r="A17" s="20" t="s">
        <v>21</v>
      </c>
      <c r="B17" s="20">
        <v>7</v>
      </c>
      <c r="C17" s="21" t="s">
        <v>41</v>
      </c>
      <c r="D17" s="22">
        <v>4</v>
      </c>
      <c r="E17" s="22">
        <v>4</v>
      </c>
      <c r="F17" s="22">
        <v>4</v>
      </c>
      <c r="G17" s="22">
        <v>4</v>
      </c>
      <c r="H17" s="22">
        <v>4</v>
      </c>
      <c r="I17" s="22">
        <v>4</v>
      </c>
      <c r="J17" s="22">
        <v>4</v>
      </c>
      <c r="K17" s="22">
        <v>4</v>
      </c>
      <c r="L17" s="22">
        <v>4</v>
      </c>
      <c r="M17" s="22">
        <v>4</v>
      </c>
      <c r="N17" s="22">
        <v>4</v>
      </c>
      <c r="O17" s="22">
        <v>4</v>
      </c>
      <c r="P17" s="22">
        <v>4</v>
      </c>
      <c r="Q17" s="22">
        <v>5</v>
      </c>
      <c r="R17" s="22">
        <v>4</v>
      </c>
      <c r="S17" s="23">
        <f t="shared" si="0"/>
        <v>4.0666666666666664</v>
      </c>
      <c r="V17" s="19"/>
      <c r="W17" s="19"/>
      <c r="X17" s="19"/>
    </row>
    <row r="18" spans="1:24" s="24" customFormat="1" ht="15" customHeight="1">
      <c r="A18" s="20" t="s">
        <v>21</v>
      </c>
      <c r="B18" s="20">
        <v>8</v>
      </c>
      <c r="C18" s="21" t="s">
        <v>42</v>
      </c>
      <c r="D18" s="22">
        <v>4</v>
      </c>
      <c r="E18" s="22">
        <v>4</v>
      </c>
      <c r="F18" s="22">
        <v>6</v>
      </c>
      <c r="G18" s="22">
        <v>7</v>
      </c>
      <c r="H18" s="22">
        <v>5</v>
      </c>
      <c r="I18" s="22">
        <v>5</v>
      </c>
      <c r="J18" s="22">
        <v>4</v>
      </c>
      <c r="K18" s="22">
        <v>4</v>
      </c>
      <c r="L18" s="22">
        <v>5</v>
      </c>
      <c r="M18" s="22">
        <v>4</v>
      </c>
      <c r="N18" s="22">
        <v>4</v>
      </c>
      <c r="O18" s="22">
        <v>4</v>
      </c>
      <c r="P18" s="22">
        <v>4</v>
      </c>
      <c r="Q18" s="22">
        <v>5</v>
      </c>
      <c r="R18" s="22">
        <v>5</v>
      </c>
      <c r="S18" s="23">
        <f t="shared" si="0"/>
        <v>4.666666666666667</v>
      </c>
      <c r="V18" s="19"/>
      <c r="W18" s="19"/>
      <c r="X18" s="19"/>
    </row>
    <row r="19" spans="1:24" s="24" customFormat="1" ht="15" customHeight="1">
      <c r="A19" s="20" t="s">
        <v>21</v>
      </c>
      <c r="B19" s="20">
        <v>9</v>
      </c>
      <c r="C19" s="21" t="s">
        <v>43</v>
      </c>
      <c r="D19" s="22">
        <v>8</v>
      </c>
      <c r="E19" s="22">
        <v>6</v>
      </c>
      <c r="F19" s="22">
        <v>9</v>
      </c>
      <c r="G19" s="22">
        <v>8</v>
      </c>
      <c r="H19" s="22">
        <v>7</v>
      </c>
      <c r="I19" s="22">
        <v>7</v>
      </c>
      <c r="J19" s="22">
        <v>5</v>
      </c>
      <c r="K19" s="22">
        <v>5</v>
      </c>
      <c r="L19" s="22">
        <v>7</v>
      </c>
      <c r="M19" s="22">
        <v>4</v>
      </c>
      <c r="N19" s="22">
        <v>5</v>
      </c>
      <c r="O19" s="22">
        <v>4</v>
      </c>
      <c r="P19" s="22">
        <v>8</v>
      </c>
      <c r="Q19" s="22">
        <v>6</v>
      </c>
      <c r="R19" s="22">
        <v>7</v>
      </c>
      <c r="S19" s="23">
        <f t="shared" si="0"/>
        <v>6.4</v>
      </c>
      <c r="V19" s="19"/>
      <c r="W19" s="19"/>
      <c r="X19" s="19"/>
    </row>
    <row r="20" spans="1:24" s="24" customFormat="1" ht="15.75" customHeight="1">
      <c r="A20" s="20" t="s">
        <v>21</v>
      </c>
      <c r="B20" s="20">
        <v>10</v>
      </c>
      <c r="C20" s="21" t="s">
        <v>44</v>
      </c>
      <c r="D20" s="22">
        <v>4</v>
      </c>
      <c r="E20" s="22">
        <v>6</v>
      </c>
      <c r="F20" s="22">
        <v>9</v>
      </c>
      <c r="G20" s="22">
        <v>7</v>
      </c>
      <c r="H20" s="22">
        <v>6</v>
      </c>
      <c r="I20" s="22">
        <v>6</v>
      </c>
      <c r="J20" s="22">
        <v>4</v>
      </c>
      <c r="K20" s="22">
        <v>9</v>
      </c>
      <c r="L20" s="22">
        <v>5</v>
      </c>
      <c r="M20" s="22">
        <v>4</v>
      </c>
      <c r="N20" s="22">
        <v>5</v>
      </c>
      <c r="O20" s="22">
        <v>5</v>
      </c>
      <c r="P20" s="22">
        <v>4</v>
      </c>
      <c r="Q20" s="22">
        <v>5</v>
      </c>
      <c r="R20" s="22">
        <v>6</v>
      </c>
      <c r="S20" s="23">
        <f t="shared" si="0"/>
        <v>5.666666666666667</v>
      </c>
      <c r="V20" s="19"/>
      <c r="W20" s="19"/>
      <c r="X20" s="19"/>
    </row>
    <row r="21" spans="1:24" s="24" customFormat="1" ht="15.75" customHeight="1">
      <c r="A21" s="20" t="s">
        <v>21</v>
      </c>
      <c r="B21" s="20">
        <v>11</v>
      </c>
      <c r="C21" s="21" t="s">
        <v>45</v>
      </c>
      <c r="D21" s="22">
        <v>8</v>
      </c>
      <c r="E21" s="22">
        <v>9</v>
      </c>
      <c r="F21" s="22">
        <v>10</v>
      </c>
      <c r="G21" s="22">
        <v>9</v>
      </c>
      <c r="H21" s="22">
        <v>10</v>
      </c>
      <c r="I21" s="22">
        <v>7</v>
      </c>
      <c r="J21" s="22">
        <v>8</v>
      </c>
      <c r="K21" s="22">
        <v>7</v>
      </c>
      <c r="L21" s="22">
        <v>8</v>
      </c>
      <c r="M21" s="22">
        <v>6</v>
      </c>
      <c r="N21" s="22">
        <v>9</v>
      </c>
      <c r="O21" s="22">
        <v>7</v>
      </c>
      <c r="P21" s="22">
        <v>7</v>
      </c>
      <c r="Q21" s="22">
        <v>11</v>
      </c>
      <c r="R21" s="25">
        <v>7</v>
      </c>
      <c r="S21" s="23">
        <f t="shared" si="0"/>
        <v>8.1999999999999993</v>
      </c>
      <c r="V21" s="19"/>
      <c r="W21" s="19"/>
      <c r="X21" s="19"/>
    </row>
    <row r="22" spans="1:24" ht="15.75" customHeight="1">
      <c r="C22" s="26" t="s">
        <v>22</v>
      </c>
      <c r="D22" s="27">
        <f t="shared" ref="D22:R22" si="1">AVERAGE(D11:D21)</f>
        <v>5.3636363636363633</v>
      </c>
      <c r="E22" s="27">
        <f t="shared" si="1"/>
        <v>5.6363636363636367</v>
      </c>
      <c r="F22" s="27">
        <f t="shared" si="1"/>
        <v>8.0909090909090917</v>
      </c>
      <c r="G22" s="27">
        <f t="shared" si="1"/>
        <v>6.7272727272727275</v>
      </c>
      <c r="H22" s="27">
        <f t="shared" si="1"/>
        <v>6.6363636363636367</v>
      </c>
      <c r="I22" s="27">
        <f t="shared" si="1"/>
        <v>5.8181818181818183</v>
      </c>
      <c r="J22" s="27">
        <f t="shared" si="1"/>
        <v>5.3636363636363633</v>
      </c>
      <c r="K22" s="27">
        <f t="shared" si="1"/>
        <v>5.9090909090909092</v>
      </c>
      <c r="L22" s="27">
        <f t="shared" si="1"/>
        <v>5.7272727272727275</v>
      </c>
      <c r="M22" s="27">
        <f t="shared" si="1"/>
        <v>4.7272727272727275</v>
      </c>
      <c r="N22" s="27">
        <f t="shared" si="1"/>
        <v>5.3636363636363633</v>
      </c>
      <c r="O22" s="27">
        <f t="shared" si="1"/>
        <v>5</v>
      </c>
      <c r="P22" s="27">
        <f t="shared" si="1"/>
        <v>5.2727272727272725</v>
      </c>
      <c r="Q22" s="28">
        <f t="shared" si="1"/>
        <v>6.4545454545454541</v>
      </c>
      <c r="R22" s="29">
        <f t="shared" si="1"/>
        <v>5.4545454545454541</v>
      </c>
      <c r="S22" s="23">
        <f t="shared" si="0"/>
        <v>5.8363636363636351</v>
      </c>
    </row>
    <row r="23" spans="1:24" ht="15.75" customHeight="1">
      <c r="C23" s="21" t="s">
        <v>23</v>
      </c>
      <c r="D23" s="30">
        <f>(COUNT(D11:D21))/(COUNT(B11:B21))*100</f>
        <v>100</v>
      </c>
      <c r="E23" s="30">
        <f>(COUNT(E11:E21))/(COUNT(B11:B21))*100</f>
        <v>100</v>
      </c>
      <c r="F23" s="30">
        <f>(COUNT(F11:F21))/(COUNT(B11:B21))*100</f>
        <v>100</v>
      </c>
      <c r="G23" s="30">
        <f>(COUNT(G11:G21))/(COUNT(B11:B21))*100</f>
        <v>100</v>
      </c>
      <c r="H23" s="30">
        <f>(COUNT(H11:H21))/(COUNT(B11:B21))*100</f>
        <v>100</v>
      </c>
      <c r="I23" s="30">
        <f>(COUNT(I11:I21))/(COUNT(B11:B21))*100</f>
        <v>100</v>
      </c>
      <c r="J23" s="30">
        <f>(COUNT(J11:J21))/(COUNT(B11:B21))*100</f>
        <v>100</v>
      </c>
      <c r="K23" s="30">
        <f>(COUNT(K11:K21))/(COUNT(B11:B21))*100</f>
        <v>100</v>
      </c>
      <c r="L23" s="30">
        <f>(COUNT(L11:L21))/(COUNT(B11:B21))*100</f>
        <v>100</v>
      </c>
      <c r="M23" s="30">
        <f>(COUNT(M11:M21))/(COUNT(B11:B21))*100</f>
        <v>100</v>
      </c>
      <c r="N23" s="30">
        <f>(COUNT(N11:N21))/(COUNT(B11:B21))*100</f>
        <v>100</v>
      </c>
      <c r="O23" s="30">
        <f>(COUNT(O11:O21))/(COUNT(B11:B21))*100</f>
        <v>100</v>
      </c>
      <c r="P23" s="30">
        <f>(COUNT(P11:P21))/(COUNT(B11:B21))*100</f>
        <v>100</v>
      </c>
      <c r="Q23" s="31">
        <f>(COUNT(Q11:Q21))/(COUNT(B11:B21))*100</f>
        <v>100</v>
      </c>
      <c r="R23" s="32">
        <f>(COUNT(R11:R21))/(COUNT(B11:B21))*100</f>
        <v>100</v>
      </c>
      <c r="S23" s="24"/>
      <c r="T23" s="24"/>
      <c r="U23" s="24"/>
      <c r="V23" s="24"/>
    </row>
    <row r="24" spans="1:24" ht="15.75" customHeight="1">
      <c r="C24" s="21" t="s">
        <v>24</v>
      </c>
      <c r="D24" s="32">
        <f>(COUNTIF(D11:D21,"&gt;=7"))/(COUNT(B11:B21))*100</f>
        <v>27.27272727272727</v>
      </c>
      <c r="E24" s="32">
        <f>(COUNTIF(E11:E21,"&gt;=7"))/(COUNT(B11:B21))*100</f>
        <v>18.181818181818183</v>
      </c>
      <c r="F24" s="32">
        <f>(COUNTIF(F11:F21,"&gt;=7"))/(COUNT(B11:B21))*100</f>
        <v>63.636363636363633</v>
      </c>
      <c r="G24" s="32">
        <f>(COUNTIF(G11:G21,"&gt;=7"))/(COUNT(B11:B21))*100</f>
        <v>63.636363636363633</v>
      </c>
      <c r="H24" s="32">
        <f>(COUNTIF(H11:H21,"&gt;=7"))/(COUNT(B11:B21))*100</f>
        <v>45.454545454545453</v>
      </c>
      <c r="I24" s="32">
        <f>(COUNTIF(I11:I21,"&gt;=7"))/(COUNT(B11:B21))*100</f>
        <v>27.27272727272727</v>
      </c>
      <c r="J24" s="32">
        <f>(COUNTIF(J11:J21,"&gt;=7"))/(COUNT(B11:B21))*100</f>
        <v>27.27272727272727</v>
      </c>
      <c r="K24" s="32">
        <f>(COUNTIF(K11:K21,"&gt;=7"))/(COUNT(B11:B21))*100</f>
        <v>27.27272727272727</v>
      </c>
      <c r="L24" s="32">
        <f>(COUNTIF(L11:L21,"&gt;=7"))/(COUNT(B11:B21))*100</f>
        <v>27.27272727272727</v>
      </c>
      <c r="M24" s="32">
        <f>(COUNTIF(M11:M21,"&gt;=7"))/(COUNT(B11:B21))*100</f>
        <v>9.0909090909090917</v>
      </c>
      <c r="N24" s="32">
        <f>(COUNTIF(N11:N21,"&gt;=7"))/(COUNT(B11:B21))*100</f>
        <v>18.181818181818183</v>
      </c>
      <c r="O24" s="32">
        <f>(COUNTIF(O11:O21,"&gt;=7"))/(COUNT(B11:B21))*100</f>
        <v>18.181818181818183</v>
      </c>
      <c r="P24" s="32">
        <f>(COUNTIF(P11:P21,"&gt;=7"))/(COUNT(B11:B21))*100</f>
        <v>27.27272727272727</v>
      </c>
      <c r="Q24" s="33">
        <f>(COUNTIF(Q11:Q21,"&gt;=7"))/(COUNT(B11:B21))*100</f>
        <v>27.27272727272727</v>
      </c>
      <c r="R24" s="32">
        <f>(COUNTIF(R11:R21,"&gt;=7"))/(COUNT(B11:B21))*100</f>
        <v>27.27272727272727</v>
      </c>
      <c r="S24" s="24"/>
      <c r="T24" s="24"/>
      <c r="U24" s="24"/>
      <c r="V24" s="24"/>
    </row>
    <row r="25" spans="1:24" ht="15.75" customHeight="1">
      <c r="C25" s="21" t="s">
        <v>25</v>
      </c>
      <c r="D25" s="34">
        <f>AVERAGE(D23:R23)</f>
        <v>100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4" ht="15.75" customHeight="1">
      <c r="C26" s="21" t="s">
        <v>26</v>
      </c>
      <c r="D26" s="27">
        <f>AVERAGE(D24:R24)</f>
        <v>30.303030303030297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24" ht="15.75" customHeight="1">
      <c r="C27" s="21" t="s">
        <v>28</v>
      </c>
      <c r="D27" s="35">
        <f>COUNTIF(A11:A21,"=Б")</f>
        <v>10</v>
      </c>
      <c r="E27" s="24"/>
      <c r="F27" s="24"/>
      <c r="G27" s="36" t="s">
        <v>30</v>
      </c>
      <c r="H27" s="24"/>
      <c r="I27" s="24"/>
      <c r="J27" s="24"/>
      <c r="K27" s="24"/>
      <c r="L27" s="24"/>
      <c r="M27" s="24"/>
      <c r="N27" s="36" t="s">
        <v>31</v>
      </c>
      <c r="P27" s="24"/>
      <c r="Q27" s="24"/>
      <c r="R27" s="24"/>
      <c r="S27" s="24"/>
      <c r="T27" s="24"/>
      <c r="U27" s="24"/>
      <c r="V27" s="24"/>
    </row>
    <row r="28" spans="1:24" ht="15.75" customHeight="1">
      <c r="C28" s="21" t="s">
        <v>27</v>
      </c>
      <c r="D28" s="35">
        <f>COUNTIF(A11:A21,"=К")</f>
        <v>1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P28" s="24"/>
      <c r="Q28" s="24"/>
      <c r="R28" s="24"/>
      <c r="S28" s="24"/>
    </row>
    <row r="29" spans="1:24" ht="15.75" customHeight="1">
      <c r="C29" s="21" t="s">
        <v>29</v>
      </c>
      <c r="D29" s="35">
        <v>0</v>
      </c>
      <c r="E29" s="24"/>
      <c r="F29" s="24"/>
      <c r="G29" s="36" t="s">
        <v>32</v>
      </c>
      <c r="N29" s="36" t="s">
        <v>33</v>
      </c>
      <c r="P29" s="24"/>
      <c r="Q29" s="24"/>
      <c r="R29" s="24"/>
      <c r="S29" s="24"/>
    </row>
    <row r="30" spans="1:24" ht="15.75" customHeight="1">
      <c r="E30" s="24"/>
      <c r="F30" s="24"/>
      <c r="P30" s="24"/>
      <c r="Q30" s="24"/>
      <c r="R30" s="24"/>
      <c r="S30" s="24"/>
    </row>
    <row r="31" spans="1:24" ht="15.75" customHeight="1"/>
    <row r="32" spans="1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:4" ht="15.75" customHeight="1"/>
    <row r="50" spans="1:4" ht="15.75" customHeight="1"/>
    <row r="51" spans="1:4" ht="15.75" customHeight="1"/>
    <row r="52" spans="1:4" ht="15.75" customHeight="1"/>
    <row r="53" spans="1:4" ht="15.75" customHeight="1"/>
    <row r="54" spans="1:4" ht="15.75" customHeight="1"/>
    <row r="55" spans="1:4" ht="15.75" customHeight="1"/>
    <row r="56" spans="1:4" ht="15.75" customHeight="1"/>
    <row r="57" spans="1:4" ht="15.75" customHeight="1"/>
    <row r="58" spans="1:4" ht="15.75" customHeight="1"/>
    <row r="59" spans="1:4" ht="15.75" customHeight="1">
      <c r="C59" s="19">
        <f>D29</f>
        <v>0</v>
      </c>
      <c r="D59" s="19" t="e">
        <f>#REF!</f>
        <v>#REF!</v>
      </c>
    </row>
    <row r="60" spans="1:4" ht="15.75" customHeight="1">
      <c r="A60" s="19">
        <f>D27</f>
        <v>10</v>
      </c>
      <c r="B60" s="19">
        <f>D28</f>
        <v>1</v>
      </c>
      <c r="C60" s="19">
        <f>D29</f>
        <v>0</v>
      </c>
      <c r="D60" s="19" t="e">
        <f>#REF!</f>
        <v>#REF!</v>
      </c>
    </row>
    <row r="61" spans="1:4" ht="15.75" customHeight="1">
      <c r="A61" s="19">
        <f>D27</f>
        <v>10</v>
      </c>
      <c r="B61" s="19">
        <f>D28</f>
        <v>1</v>
      </c>
      <c r="C61" s="19">
        <f>D29</f>
        <v>0</v>
      </c>
      <c r="D61" s="19" t="e">
        <f>#REF!</f>
        <v>#REF!</v>
      </c>
    </row>
    <row r="62" spans="1:4" ht="15.75" customHeight="1">
      <c r="A62" s="19">
        <f>D27</f>
        <v>10</v>
      </c>
      <c r="B62" s="19">
        <f>D28</f>
        <v>1</v>
      </c>
      <c r="C62" s="19">
        <f>D29</f>
        <v>0</v>
      </c>
      <c r="D62" s="19" t="e">
        <f>#REF!</f>
        <v>#REF!</v>
      </c>
    </row>
    <row r="63" spans="1:4" ht="15.75" customHeight="1">
      <c r="A63" s="19">
        <f>D27</f>
        <v>10</v>
      </c>
      <c r="B63" s="19">
        <f>D28</f>
        <v>1</v>
      </c>
      <c r="C63" s="19">
        <f>D29</f>
        <v>0</v>
      </c>
      <c r="D63" s="19" t="e">
        <f>#REF!</f>
        <v>#REF!</v>
      </c>
    </row>
    <row r="64" spans="1:4" ht="15.75" customHeight="1">
      <c r="A64" s="19">
        <f>D27</f>
        <v>10</v>
      </c>
      <c r="B64" s="19">
        <f>D28</f>
        <v>1</v>
      </c>
      <c r="C64" s="19">
        <f>D29</f>
        <v>0</v>
      </c>
      <c r="D64" s="19" t="e">
        <f>#REF!</f>
        <v>#REF!</v>
      </c>
    </row>
    <row r="65" spans="1:4" ht="15.75" customHeight="1">
      <c r="A65" s="19">
        <f>D27</f>
        <v>10</v>
      </c>
      <c r="B65" s="19">
        <f>D28</f>
        <v>1</v>
      </c>
      <c r="C65" s="19">
        <f>D29</f>
        <v>0</v>
      </c>
      <c r="D65" s="19" t="e">
        <f>#REF!</f>
        <v>#REF!</v>
      </c>
    </row>
    <row r="66" spans="1:4" ht="15.75" customHeight="1">
      <c r="A66" s="19">
        <f>D27</f>
        <v>10</v>
      </c>
      <c r="B66" s="19">
        <f>D28</f>
        <v>1</v>
      </c>
      <c r="C66" s="19">
        <f>D29</f>
        <v>0</v>
      </c>
      <c r="D66" s="19" t="e">
        <f>#REF!</f>
        <v>#REF!</v>
      </c>
    </row>
    <row r="67" spans="1:4" ht="15.75" customHeight="1">
      <c r="A67" s="19">
        <f>D27</f>
        <v>10</v>
      </c>
      <c r="B67" s="19">
        <f>D28</f>
        <v>1</v>
      </c>
      <c r="C67" s="19">
        <f>D29</f>
        <v>0</v>
      </c>
      <c r="D67" s="19" t="e">
        <f>#REF!</f>
        <v>#REF!</v>
      </c>
    </row>
    <row r="68" spans="1:4" ht="15.75" customHeight="1">
      <c r="A68" s="19">
        <f>D27</f>
        <v>10</v>
      </c>
      <c r="B68" s="19">
        <f>D28</f>
        <v>1</v>
      </c>
      <c r="C68" s="19">
        <f>D29</f>
        <v>0</v>
      </c>
      <c r="D68" s="19" t="e">
        <f>#REF!</f>
        <v>#REF!</v>
      </c>
    </row>
    <row r="69" spans="1:4" ht="15.75" customHeight="1">
      <c r="A69" s="19">
        <f>D27</f>
        <v>10</v>
      </c>
      <c r="B69" s="19">
        <f>D28</f>
        <v>1</v>
      </c>
      <c r="C69" s="19">
        <f>D29</f>
        <v>0</v>
      </c>
      <c r="D69" s="19" t="e">
        <f>#REF!</f>
        <v>#REF!</v>
      </c>
    </row>
    <row r="70" spans="1:4" ht="15.75" customHeight="1">
      <c r="A70" s="19">
        <f>D27</f>
        <v>10</v>
      </c>
      <c r="B70" s="19">
        <f>D28</f>
        <v>1</v>
      </c>
      <c r="C70" s="19">
        <f>D29</f>
        <v>0</v>
      </c>
      <c r="D70" s="19" t="e">
        <f>#REF!</f>
        <v>#REF!</v>
      </c>
    </row>
    <row r="71" spans="1:4" ht="15.75" customHeight="1">
      <c r="A71" s="19">
        <f>D27</f>
        <v>10</v>
      </c>
      <c r="B71" s="19">
        <f>D28</f>
        <v>1</v>
      </c>
      <c r="C71" s="19">
        <f>D29</f>
        <v>0</v>
      </c>
      <c r="D71" s="19" t="e">
        <f>#REF!</f>
        <v>#REF!</v>
      </c>
    </row>
    <row r="72" spans="1:4" ht="15.75" customHeight="1">
      <c r="A72" s="19">
        <f>D27</f>
        <v>10</v>
      </c>
      <c r="B72" s="19">
        <f>D28</f>
        <v>1</v>
      </c>
      <c r="C72" s="19">
        <f>D29</f>
        <v>0</v>
      </c>
      <c r="D72" s="19" t="e">
        <f>#REF!</f>
        <v>#REF!</v>
      </c>
    </row>
    <row r="73" spans="1:4" ht="15.75" customHeight="1">
      <c r="A73" s="19">
        <f>D27</f>
        <v>10</v>
      </c>
      <c r="B73" s="19">
        <f>D28</f>
        <v>1</v>
      </c>
      <c r="C73" s="19">
        <f>D29</f>
        <v>0</v>
      </c>
      <c r="D73" s="19" t="e">
        <f>#REF!</f>
        <v>#REF!</v>
      </c>
    </row>
    <row r="74" spans="1:4" ht="15.75" customHeight="1">
      <c r="A74" s="19">
        <f>D27</f>
        <v>10</v>
      </c>
      <c r="B74" s="19">
        <f>D28</f>
        <v>1</v>
      </c>
      <c r="C74" s="19">
        <f>D29</f>
        <v>0</v>
      </c>
      <c r="D74" s="19" t="e">
        <f>#REF!</f>
        <v>#REF!</v>
      </c>
    </row>
    <row r="75" spans="1:4" ht="15.75" customHeight="1">
      <c r="A75" s="19">
        <f>D27</f>
        <v>10</v>
      </c>
      <c r="B75" s="19">
        <f>D28</f>
        <v>1</v>
      </c>
      <c r="C75" s="19">
        <f>D29</f>
        <v>0</v>
      </c>
      <c r="D75" s="19" t="e">
        <f>#REF!</f>
        <v>#REF!</v>
      </c>
    </row>
    <row r="76" spans="1:4" ht="15.75" customHeight="1">
      <c r="A76" s="19">
        <f>D27</f>
        <v>10</v>
      </c>
      <c r="B76" s="19">
        <f>D28</f>
        <v>1</v>
      </c>
      <c r="C76" s="19">
        <f>D29</f>
        <v>0</v>
      </c>
      <c r="D76" s="19" t="e">
        <f>#REF!</f>
        <v>#REF!</v>
      </c>
    </row>
    <row r="77" spans="1:4" ht="15.75" customHeight="1">
      <c r="A77" s="19">
        <f>D27</f>
        <v>10</v>
      </c>
      <c r="B77" s="19">
        <f>D28</f>
        <v>1</v>
      </c>
      <c r="C77" s="19">
        <f>D29</f>
        <v>0</v>
      </c>
      <c r="D77" s="19" t="e">
        <f>#REF!</f>
        <v>#REF!</v>
      </c>
    </row>
    <row r="78" spans="1:4" ht="15.75" customHeight="1">
      <c r="A78" s="19">
        <f>D27</f>
        <v>10</v>
      </c>
      <c r="B78" s="19">
        <f>D28</f>
        <v>1</v>
      </c>
      <c r="C78" s="19">
        <f>D29</f>
        <v>0</v>
      </c>
      <c r="D78" s="19" t="e">
        <f>#REF!</f>
        <v>#REF!</v>
      </c>
    </row>
    <row r="79" spans="1:4" ht="15.75" customHeight="1">
      <c r="A79" s="19">
        <f>D27</f>
        <v>10</v>
      </c>
      <c r="B79" s="19">
        <f>D28</f>
        <v>1</v>
      </c>
      <c r="C79" s="19">
        <f>D29</f>
        <v>0</v>
      </c>
      <c r="D79" s="19" t="e">
        <f>#REF!</f>
        <v>#REF!</v>
      </c>
    </row>
    <row r="80" spans="1:4" ht="15.75" customHeight="1">
      <c r="A80" s="19">
        <f>D27</f>
        <v>10</v>
      </c>
      <c r="B80" s="19">
        <f>D28</f>
        <v>1</v>
      </c>
      <c r="C80" s="19">
        <f>D29</f>
        <v>0</v>
      </c>
      <c r="D80" s="19" t="e">
        <f>#REF!</f>
        <v>#REF!</v>
      </c>
    </row>
    <row r="81" spans="1:4" ht="15.75" customHeight="1">
      <c r="A81" s="19">
        <f>D27</f>
        <v>10</v>
      </c>
      <c r="B81" s="19">
        <f>D28</f>
        <v>1</v>
      </c>
      <c r="C81" s="19">
        <f>D29</f>
        <v>0</v>
      </c>
      <c r="D81" s="19" t="e">
        <f>#REF!</f>
        <v>#REF!</v>
      </c>
    </row>
    <row r="82" spans="1:4" ht="15.75" customHeight="1">
      <c r="A82" s="19">
        <f>D27</f>
        <v>10</v>
      </c>
      <c r="B82" s="19">
        <f>D28</f>
        <v>1</v>
      </c>
      <c r="C82" s="19">
        <f>D29</f>
        <v>0</v>
      </c>
      <c r="D82" s="19" t="e">
        <f>#REF!</f>
        <v>#REF!</v>
      </c>
    </row>
    <row r="83" spans="1:4" ht="15.75" customHeight="1">
      <c r="A83" s="19">
        <f>D27</f>
        <v>10</v>
      </c>
      <c r="B83" s="19">
        <f>D28</f>
        <v>1</v>
      </c>
      <c r="C83" s="19">
        <f>D29</f>
        <v>0</v>
      </c>
      <c r="D83" s="19" t="e">
        <f>#REF!</f>
        <v>#REF!</v>
      </c>
    </row>
    <row r="84" spans="1:4" ht="15.75" customHeight="1">
      <c r="A84" s="19">
        <f>D27</f>
        <v>10</v>
      </c>
      <c r="B84" s="19">
        <f>D28</f>
        <v>1</v>
      </c>
      <c r="C84" s="19">
        <f>D29</f>
        <v>0</v>
      </c>
      <c r="D84" s="19" t="e">
        <f>#REF!</f>
        <v>#REF!</v>
      </c>
    </row>
    <row r="85" spans="1:4" ht="15.75" customHeight="1">
      <c r="A85" s="19">
        <f>D27</f>
        <v>10</v>
      </c>
      <c r="B85" s="19">
        <f>D28</f>
        <v>1</v>
      </c>
      <c r="C85" s="19">
        <f>D29</f>
        <v>0</v>
      </c>
      <c r="D85" s="19" t="e">
        <f>#REF!</f>
        <v>#REF!</v>
      </c>
    </row>
    <row r="86" spans="1:4" ht="15.75" customHeight="1">
      <c r="A86" s="19">
        <f>D27</f>
        <v>10</v>
      </c>
      <c r="B86" s="19">
        <f>D28</f>
        <v>1</v>
      </c>
      <c r="C86" s="19">
        <f>D29</f>
        <v>0</v>
      </c>
      <c r="D86" s="19" t="e">
        <f>#REF!</f>
        <v>#REF!</v>
      </c>
    </row>
    <row r="87" spans="1:4" ht="15.75" customHeight="1">
      <c r="A87" s="19">
        <f>D27</f>
        <v>10</v>
      </c>
      <c r="B87" s="19">
        <f>D28</f>
        <v>1</v>
      </c>
      <c r="C87" s="19">
        <f>D29</f>
        <v>0</v>
      </c>
      <c r="D87" s="19" t="e">
        <f>#REF!</f>
        <v>#REF!</v>
      </c>
    </row>
    <row r="88" spans="1:4" ht="15.75" customHeight="1">
      <c r="A88" s="19">
        <f>D27</f>
        <v>10</v>
      </c>
      <c r="B88" s="19">
        <f>D28</f>
        <v>1</v>
      </c>
      <c r="C88" s="19">
        <f>D29</f>
        <v>0</v>
      </c>
      <c r="D88" s="19" t="e">
        <f>#REF!</f>
        <v>#REF!</v>
      </c>
    </row>
    <row r="89" spans="1:4" ht="15.75" customHeight="1">
      <c r="A89" s="19">
        <f>D27</f>
        <v>10</v>
      </c>
      <c r="B89" s="19">
        <f>D28</f>
        <v>1</v>
      </c>
      <c r="C89" s="19">
        <f>D29</f>
        <v>0</v>
      </c>
      <c r="D89" s="19" t="e">
        <f>#REF!</f>
        <v>#REF!</v>
      </c>
    </row>
    <row r="90" spans="1:4" ht="15.75" customHeight="1">
      <c r="A90" s="19">
        <f>D27</f>
        <v>10</v>
      </c>
      <c r="B90" s="19">
        <f>D28</f>
        <v>1</v>
      </c>
      <c r="C90" s="19">
        <f>D29</f>
        <v>0</v>
      </c>
      <c r="D90" s="19" t="e">
        <f>#REF!</f>
        <v>#REF!</v>
      </c>
    </row>
    <row r="91" spans="1:4" ht="15.75" customHeight="1">
      <c r="A91" s="19">
        <f>D27</f>
        <v>10</v>
      </c>
      <c r="B91" s="19">
        <f>D28</f>
        <v>1</v>
      </c>
      <c r="C91" s="19">
        <f>D29</f>
        <v>0</v>
      </c>
      <c r="D91" s="19" t="e">
        <f>#REF!</f>
        <v>#REF!</v>
      </c>
    </row>
    <row r="92" spans="1:4" ht="15.75" customHeight="1">
      <c r="A92" s="19">
        <f>D27</f>
        <v>10</v>
      </c>
      <c r="B92" s="19">
        <f>D28</f>
        <v>1</v>
      </c>
      <c r="C92" s="19">
        <f>D29</f>
        <v>0</v>
      </c>
      <c r="D92" s="19" t="e">
        <f>#REF!</f>
        <v>#REF!</v>
      </c>
    </row>
    <row r="93" spans="1:4" ht="15.75" customHeight="1">
      <c r="A93" s="19">
        <f>D27</f>
        <v>10</v>
      </c>
      <c r="B93" s="19">
        <f>D28</f>
        <v>1</v>
      </c>
      <c r="C93" s="19">
        <f>D29</f>
        <v>0</v>
      </c>
      <c r="D93" s="19" t="e">
        <f>#REF!</f>
        <v>#REF!</v>
      </c>
    </row>
    <row r="94" spans="1:4" ht="15.75" customHeight="1">
      <c r="A94" s="19">
        <f>D27</f>
        <v>10</v>
      </c>
      <c r="B94" s="19">
        <f>D28</f>
        <v>1</v>
      </c>
      <c r="C94" s="19">
        <f>D29</f>
        <v>0</v>
      </c>
      <c r="D94" s="19" t="e">
        <f>#REF!</f>
        <v>#REF!</v>
      </c>
    </row>
    <row r="95" spans="1:4" ht="15.75" customHeight="1">
      <c r="A95" s="19">
        <f>D27</f>
        <v>10</v>
      </c>
      <c r="B95" s="19">
        <f>D28</f>
        <v>1</v>
      </c>
      <c r="C95" s="19">
        <f>D29</f>
        <v>0</v>
      </c>
      <c r="D95" s="19" t="e">
        <f>#REF!</f>
        <v>#REF!</v>
      </c>
    </row>
    <row r="96" spans="1:4" ht="15.75" customHeight="1">
      <c r="A96" s="19">
        <f>D27</f>
        <v>10</v>
      </c>
      <c r="B96" s="19">
        <f>D28</f>
        <v>1</v>
      </c>
      <c r="C96" s="19">
        <f>D29</f>
        <v>0</v>
      </c>
      <c r="D96" s="19" t="e">
        <f>#REF!</f>
        <v>#REF!</v>
      </c>
    </row>
    <row r="97" spans="1:4" ht="15.75" customHeight="1">
      <c r="A97" s="19">
        <f>D27</f>
        <v>10</v>
      </c>
      <c r="B97" s="19">
        <f>D28</f>
        <v>1</v>
      </c>
      <c r="C97" s="19">
        <f>D29</f>
        <v>0</v>
      </c>
      <c r="D97" s="19" t="e">
        <f>#REF!</f>
        <v>#REF!</v>
      </c>
    </row>
    <row r="98" spans="1:4" ht="15.75" customHeight="1">
      <c r="A98" s="19">
        <f>D27</f>
        <v>10</v>
      </c>
      <c r="B98" s="19">
        <f>D28</f>
        <v>1</v>
      </c>
      <c r="C98" s="19">
        <f>D29</f>
        <v>0</v>
      </c>
      <c r="D98" s="19" t="e">
        <f>#REF!</f>
        <v>#REF!</v>
      </c>
    </row>
    <row r="99" spans="1:4" ht="15.75" customHeight="1">
      <c r="A99" s="19">
        <f>D27</f>
        <v>10</v>
      </c>
      <c r="B99" s="19">
        <f>D28</f>
        <v>1</v>
      </c>
      <c r="C99" s="19">
        <f>D29</f>
        <v>0</v>
      </c>
      <c r="D99" s="19" t="e">
        <f>#REF!</f>
        <v>#REF!</v>
      </c>
    </row>
    <row r="100" spans="1:4" ht="15.75" customHeight="1">
      <c r="A100" s="19">
        <f>D27</f>
        <v>10</v>
      </c>
      <c r="B100" s="19">
        <f>D28</f>
        <v>1</v>
      </c>
      <c r="C100" s="19">
        <f>D29</f>
        <v>0</v>
      </c>
      <c r="D100" s="19" t="e">
        <f>#REF!</f>
        <v>#REF!</v>
      </c>
    </row>
    <row r="101" spans="1:4" ht="15.75" customHeight="1">
      <c r="A101" s="19">
        <f>D27</f>
        <v>10</v>
      </c>
      <c r="B101" s="19">
        <f>D28</f>
        <v>1</v>
      </c>
      <c r="C101" s="19">
        <f>D29</f>
        <v>0</v>
      </c>
      <c r="D101" s="19" t="e">
        <f>#REF!</f>
        <v>#REF!</v>
      </c>
    </row>
    <row r="102" spans="1:4" ht="15.75" customHeight="1">
      <c r="A102" s="19">
        <f>D27</f>
        <v>10</v>
      </c>
      <c r="B102" s="19">
        <f>D28</f>
        <v>1</v>
      </c>
      <c r="C102" s="19">
        <f>D29</f>
        <v>0</v>
      </c>
      <c r="D102" s="19" t="e">
        <f>#REF!</f>
        <v>#REF!</v>
      </c>
    </row>
    <row r="103" spans="1:4" ht="15.75" customHeight="1">
      <c r="A103" s="19">
        <f>D27</f>
        <v>10</v>
      </c>
      <c r="B103" s="19">
        <f>D28</f>
        <v>1</v>
      </c>
      <c r="C103" s="19">
        <f>D29</f>
        <v>0</v>
      </c>
      <c r="D103" s="19" t="e">
        <f>#REF!</f>
        <v>#REF!</v>
      </c>
    </row>
    <row r="104" spans="1:4" ht="15.75" customHeight="1">
      <c r="A104" s="19">
        <f>D27</f>
        <v>10</v>
      </c>
      <c r="B104" s="19">
        <f>D28</f>
        <v>1</v>
      </c>
      <c r="C104" s="19">
        <f>D29</f>
        <v>0</v>
      </c>
      <c r="D104" s="19" t="e">
        <f>#REF!</f>
        <v>#REF!</v>
      </c>
    </row>
    <row r="105" spans="1:4" ht="15.75" customHeight="1">
      <c r="A105" s="19">
        <f>D27</f>
        <v>10</v>
      </c>
      <c r="B105" s="19">
        <f>D28</f>
        <v>1</v>
      </c>
    </row>
    <row r="106" spans="1:4" ht="15.75" customHeight="1"/>
    <row r="107" spans="1:4" ht="15.75" customHeight="1"/>
    <row r="108" spans="1:4" ht="15.75" customHeight="1"/>
    <row r="109" spans="1:4" ht="15.75" customHeight="1"/>
    <row r="110" spans="1:4" ht="15.75" customHeight="1"/>
    <row r="111" spans="1:4" ht="15.75" customHeight="1"/>
    <row r="112" spans="1: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  <mergeCell ref="R8:R10"/>
    <mergeCell ref="S8:S10"/>
    <mergeCell ref="J8:J10"/>
    <mergeCell ref="K8:K10"/>
    <mergeCell ref="A6:S6"/>
    <mergeCell ref="A1:S1"/>
    <mergeCell ref="A2:S2"/>
    <mergeCell ref="A3:S3"/>
    <mergeCell ref="A4:S4"/>
    <mergeCell ref="A5:S5"/>
  </mergeCells>
  <printOptions horizontalCentered="1" verticalCentered="1"/>
  <pageMargins left="0.25" right="0.25" top="0.75" bottom="0.75" header="0.3" footer="0.3"/>
  <pageSetup paperSize="9"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101</vt:lpstr>
      <vt:lpstr>Зведена відомість 161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BONDARENKO</dc:creator>
  <cp:lastModifiedBy>SURKOV</cp:lastModifiedBy>
  <cp:lastPrinted>2022-09-05T08:28:03Z</cp:lastPrinted>
  <dcterms:created xsi:type="dcterms:W3CDTF">2006-09-28T05:33:49Z</dcterms:created>
  <dcterms:modified xsi:type="dcterms:W3CDTF">2022-09-05T11:08:27Z</dcterms:modified>
</cp:coreProperties>
</file>