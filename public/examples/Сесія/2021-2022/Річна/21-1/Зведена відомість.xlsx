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6"/>
  <workbookPr codeName="ЭтаКнига"/>
  <bookViews>
    <workbookView xWindow="270" yWindow="645" windowWidth="19980" windowHeight="7110"/>
  </bookViews>
  <sheets>
    <sheet name="Зведена відомість" sheetId="11" r:id="rId1"/>
  </sheets>
  <definedNames>
    <definedName name="A1048577">#REF!</definedName>
    <definedName name="Ф80">#REF!</definedName>
  </definedNames>
  <calcPr calcId="125725" calcMode="autoNoTable"/>
  <extLst>
    <ext uri="GoogleSheetsCustomDataVersion1">
      <go:sheetsCustomData xmlns:go="http://customooxmlschemas.google.com/" r:id="" roundtripDataSignature="AMtx7mgOPsm6FEJDIGCEJTby++OVfUJwtg=="/>
    </ext>
  </extLst>
</workbook>
</file>

<file path=xl/calcChain.xml><?xml version="1.0" encoding="utf-8"?>
<calcChain xmlns="http://schemas.openxmlformats.org/spreadsheetml/2006/main">
  <c r="S12" i="11"/>
  <c r="S13"/>
  <c r="S14"/>
  <c r="S15"/>
  <c r="S16"/>
  <c r="S17"/>
  <c r="S18"/>
  <c r="S19"/>
  <c r="S20"/>
  <c r="S21"/>
  <c r="S22"/>
  <c r="S23"/>
  <c r="S24"/>
  <c r="S25"/>
  <c r="S26"/>
  <c r="S27"/>
  <c r="S28"/>
  <c r="S29"/>
  <c r="S30"/>
  <c r="S31"/>
  <c r="S32"/>
  <c r="S33"/>
  <c r="S34"/>
  <c r="S35"/>
  <c r="S36"/>
  <c r="S37"/>
  <c r="S11"/>
  <c r="D44"/>
  <c r="D43"/>
  <c r="R40"/>
  <c r="Q40"/>
  <c r="P40"/>
  <c r="O40"/>
  <c r="N40"/>
  <c r="M40"/>
  <c r="L40"/>
  <c r="K40"/>
  <c r="J40"/>
  <c r="I40"/>
  <c r="H40"/>
  <c r="G40"/>
  <c r="F40"/>
  <c r="E40"/>
  <c r="D40"/>
  <c r="R39"/>
  <c r="Q39"/>
  <c r="P39"/>
  <c r="O39"/>
  <c r="N39"/>
  <c r="M39"/>
  <c r="L39"/>
  <c r="K39"/>
  <c r="J39"/>
  <c r="I39"/>
  <c r="H39"/>
  <c r="G39"/>
  <c r="F39"/>
  <c r="E39"/>
  <c r="D39"/>
  <c r="R38"/>
  <c r="Q38"/>
  <c r="P38"/>
  <c r="O38"/>
  <c r="N38"/>
  <c r="M38"/>
  <c r="L38"/>
  <c r="K38"/>
  <c r="J38"/>
  <c r="I38"/>
  <c r="H38"/>
  <c r="G38"/>
  <c r="F38"/>
  <c r="E38"/>
  <c r="D38"/>
  <c r="D41" l="1"/>
  <c r="S38"/>
  <c r="D42"/>
  <c r="B78"/>
  <c r="C119"/>
  <c r="C118"/>
  <c r="C117"/>
  <c r="C116"/>
  <c r="C115"/>
  <c r="C114"/>
  <c r="C113"/>
  <c r="C112"/>
  <c r="C111"/>
  <c r="C110"/>
  <c r="C109"/>
  <c r="C108"/>
  <c r="C107"/>
  <c r="C106"/>
  <c r="C105"/>
  <c r="C104"/>
  <c r="C103"/>
  <c r="C102"/>
  <c r="C101"/>
  <c r="C100"/>
  <c r="C99"/>
  <c r="C98"/>
  <c r="C97"/>
  <c r="C96"/>
  <c r="C95"/>
  <c r="C94"/>
  <c r="C93"/>
  <c r="C92"/>
  <c r="C91"/>
  <c r="C90"/>
  <c r="C89"/>
  <c r="C88"/>
  <c r="C87"/>
  <c r="C86"/>
  <c r="C85"/>
  <c r="C84"/>
  <c r="C83"/>
  <c r="C82"/>
  <c r="C81"/>
  <c r="C80"/>
  <c r="C79"/>
  <c r="C78"/>
  <c r="C77"/>
  <c r="C76"/>
  <c r="C75"/>
  <c r="C74"/>
  <c r="B75" l="1"/>
  <c r="B76"/>
  <c r="B77"/>
  <c r="A120"/>
  <c r="A119"/>
  <c r="A118"/>
  <c r="A117"/>
  <c r="A116"/>
  <c r="A115"/>
  <c r="A114"/>
  <c r="A113"/>
  <c r="A112"/>
  <c r="A111"/>
  <c r="A110"/>
  <c r="A109"/>
  <c r="A108"/>
  <c r="A107"/>
  <c r="A106"/>
  <c r="A105"/>
  <c r="A104"/>
  <c r="A103"/>
  <c r="A102"/>
  <c r="A101"/>
  <c r="A100"/>
  <c r="A99"/>
  <c r="A98"/>
  <c r="A97"/>
  <c r="A96"/>
  <c r="A95"/>
  <c r="A94"/>
  <c r="A93"/>
  <c r="A92"/>
  <c r="A91"/>
  <c r="A90"/>
  <c r="A79"/>
  <c r="A80"/>
  <c r="A81"/>
  <c r="A82"/>
  <c r="A83"/>
  <c r="A84"/>
  <c r="A85"/>
  <c r="A86"/>
  <c r="A87"/>
  <c r="A88"/>
  <c r="A89"/>
  <c r="B120"/>
  <c r="B119"/>
  <c r="B118"/>
  <c r="B117"/>
  <c r="B116"/>
  <c r="B115"/>
  <c r="B114"/>
  <c r="B113"/>
  <c r="B112"/>
  <c r="B111"/>
  <c r="B110"/>
  <c r="B109"/>
  <c r="B108"/>
  <c r="B107"/>
  <c r="B106"/>
  <c r="B105"/>
  <c r="B104"/>
  <c r="B103"/>
  <c r="B102"/>
  <c r="B101"/>
  <c r="B100"/>
  <c r="B99"/>
  <c r="B98"/>
  <c r="B97"/>
  <c r="B96"/>
  <c r="B95"/>
  <c r="B94"/>
  <c r="B93"/>
  <c r="B92"/>
  <c r="B91"/>
  <c r="B90"/>
  <c r="B89"/>
  <c r="B88"/>
  <c r="B87"/>
  <c r="B86"/>
  <c r="B85"/>
  <c r="B84"/>
  <c r="B83"/>
  <c r="B82"/>
  <c r="B81"/>
  <c r="B80"/>
  <c r="B79"/>
  <c r="A75"/>
  <c r="A76"/>
  <c r="A77"/>
  <c r="A78"/>
  <c r="D82" l="1"/>
  <c r="D102" l="1"/>
  <c r="D117"/>
  <c r="D115"/>
  <c r="D109"/>
  <c r="D101"/>
  <c r="D81"/>
  <c r="D85"/>
  <c r="D106"/>
  <c r="D119"/>
  <c r="D111"/>
  <c r="D110"/>
  <c r="D77"/>
  <c r="D93"/>
  <c r="D104"/>
  <c r="D74"/>
  <c r="D76"/>
  <c r="D112"/>
  <c r="D116"/>
  <c r="D89"/>
  <c r="D91"/>
  <c r="D80"/>
  <c r="D103"/>
  <c r="D114"/>
  <c r="D105"/>
  <c r="D86"/>
  <c r="D79"/>
  <c r="D90"/>
  <c r="D99"/>
  <c r="D118"/>
  <c r="D88"/>
  <c r="D94"/>
  <c r="D98"/>
  <c r="D100"/>
  <c r="D78"/>
  <c r="D107"/>
  <c r="D84"/>
  <c r="D96"/>
  <c r="D92"/>
  <c r="D87"/>
  <c r="D97"/>
  <c r="D75"/>
  <c r="D108"/>
  <c r="D113"/>
  <c r="D83"/>
  <c r="D95"/>
</calcChain>
</file>

<file path=xl/sharedStrings.xml><?xml version="1.0" encoding="utf-8"?>
<sst xmlns="http://schemas.openxmlformats.org/spreadsheetml/2006/main" count="92" uniqueCount="67">
  <si>
    <t xml:space="preserve">ЗВЕДЕНА  ВІДОМІСТЬ  </t>
  </si>
  <si>
    <t>Успішності студентів спеціальності 075 "Маркетинг"</t>
  </si>
  <si>
    <t>Група 21-1 курс І</t>
  </si>
  <si>
    <t>Б/К</t>
  </si>
  <si>
    <t>№ п/п</t>
  </si>
  <si>
    <t>Прізвище, ім’я по батькові</t>
  </si>
  <si>
    <t>Підсумкові оцінки дисциплін</t>
  </si>
  <si>
    <t>Українська література
Грубіна О.П.</t>
  </si>
  <si>
    <t>Всесвітня історія
Мельничук С.А.</t>
  </si>
  <si>
    <t>Математика
Ромчук В.В.</t>
  </si>
  <si>
    <t>Хімія
Сахно Н.О.</t>
  </si>
  <si>
    <t>Інформатика
Вівдіч М.І.</t>
  </si>
  <si>
    <t>Українська мова
Грубіна О.П.</t>
  </si>
  <si>
    <t>Зарубіжна література
Пруднікова Я.П.</t>
  </si>
  <si>
    <t>Біологія
Богданенко О.В.</t>
  </si>
  <si>
    <t>Іноземна мова
Кубова Т.М.</t>
  </si>
  <si>
    <t>Історія України
Левчук Т.Г.</t>
  </si>
  <si>
    <t>Географія
Наговська Т.С.</t>
  </si>
  <si>
    <t>Середній бал</t>
  </si>
  <si>
    <t>Б</t>
  </si>
  <si>
    <t>Антонов Гліб Артемович</t>
  </si>
  <si>
    <t>Бузіян Анастасія Володимирівна</t>
  </si>
  <si>
    <t>Гілка Анна Вадимівна</t>
  </si>
  <si>
    <t>Городецька Олена Сергіївна</t>
  </si>
  <si>
    <t>К</t>
  </si>
  <si>
    <t>Демченко Анастасія Вадимівна</t>
  </si>
  <si>
    <t>Звєркова Анастасія Олександрів.</t>
  </si>
  <si>
    <t>Кірнична Вероніка Сергіївна</t>
  </si>
  <si>
    <t>Котанчян Поліна Тігранівна</t>
  </si>
  <si>
    <t>Кулик Дар’я Вікторівна</t>
  </si>
  <si>
    <t>Мельниченко Поліна Олександрів</t>
  </si>
  <si>
    <t>Михалкевич Валерія Олексіївна</t>
  </si>
  <si>
    <t>Панкова Марія Олегівна</t>
  </si>
  <si>
    <t>Панчев Бариш Сахібович</t>
  </si>
  <si>
    <t>Плем’яник Крістіна Ігорівна</t>
  </si>
  <si>
    <t>Поліщук  Дар’я Ігорівна</t>
  </si>
  <si>
    <t>Сарафанова Крістіна Ігорівна</t>
  </si>
  <si>
    <t>Семенюк Даніїл Дмитрович</t>
  </si>
  <si>
    <t>Скок Марія Олегівна</t>
  </si>
  <si>
    <t>Соломатіна Поліна Андріївна</t>
  </si>
  <si>
    <t>Тареліна Ульяна Іванівна</t>
  </si>
  <si>
    <t>Тарусова Кіра Юріївна</t>
  </si>
  <si>
    <t>Татаренко Даяна Андріївна</t>
  </si>
  <si>
    <t>Телефанько Діана Ігорівна</t>
  </si>
  <si>
    <t>Тітєнькін Павло Юрійович</t>
  </si>
  <si>
    <t>Троїцька Катерина Олександрівна</t>
  </si>
  <si>
    <t>Хаджи Анна Георгіївна</t>
  </si>
  <si>
    <t>Середній бал успішності з дисципліни</t>
  </si>
  <si>
    <t>Абсолютна успішність</t>
  </si>
  <si>
    <t>Якісна успішність</t>
  </si>
  <si>
    <t>Абсолютна успішність по групі</t>
  </si>
  <si>
    <t>Якісна успішність по групі</t>
  </si>
  <si>
    <t>Кількість бюджетників</t>
  </si>
  <si>
    <t>Кількість контрактників</t>
  </si>
  <si>
    <t>Кількість соціального контингенту</t>
  </si>
  <si>
    <t>Класний керівник</t>
  </si>
  <si>
    <t>Майя ВІВДІЧ</t>
  </si>
  <si>
    <t>Завідувач відділення ПЗСО</t>
  </si>
  <si>
    <t>Маргарита БРІТІКОВА</t>
  </si>
  <si>
    <t>Смислова Валерія Русланївна</t>
  </si>
  <si>
    <t>Астрономія
Калюта Н.М.</t>
  </si>
  <si>
    <t>Фізика
Швець М.В.</t>
  </si>
  <si>
    <t>Фізичне культура
Галеніна І.С.</t>
  </si>
  <si>
    <t>ВСП «ФАХОВИЙ КОЛЕДЖ НАФТОГАЗОВИХ ТЕХНОЛОГІЙ, ІНЖЕНЕРІЇ ТА ІНФРАСТРУКТУРИ СЕРВІСУ</t>
  </si>
  <si>
    <t>ОДЕСЬКОГО НАЦІОНАЛЬНОГО ТЕХНОЛОГІЧНОГО УНІВЕРСИТЕТУ»</t>
  </si>
  <si>
    <t>ЗУ
Черкашин А.Д.</t>
  </si>
  <si>
    <t>Річна 2021-2022 н.р.</t>
  </si>
</sst>
</file>

<file path=xl/styles.xml><?xml version="1.0" encoding="utf-8"?>
<styleSheet xmlns="http://schemas.openxmlformats.org/spreadsheetml/2006/main">
  <numFmts count="1">
    <numFmt numFmtId="164" formatCode="0.0"/>
  </numFmts>
  <fonts count="7">
    <font>
      <sz val="11"/>
      <color rgb="FF000000"/>
      <name val="Calibri"/>
    </font>
    <font>
      <sz val="12"/>
      <name val="Times New Roman"/>
      <family val="1"/>
      <charset val="204"/>
    </font>
    <font>
      <sz val="11"/>
      <color rgb="FF000000"/>
      <name val="Calibri"/>
      <family val="2"/>
      <charset val="204"/>
    </font>
    <font>
      <sz val="11"/>
      <color theme="1"/>
      <name val="Calibri"/>
      <family val="2"/>
      <scheme val="minor"/>
    </font>
    <font>
      <b/>
      <sz val="12"/>
      <name val="Times New Roman"/>
      <family val="1"/>
      <charset val="204"/>
    </font>
    <font>
      <sz val="14"/>
      <name val="Times New Roman"/>
      <family val="1"/>
      <charset val="204"/>
    </font>
    <font>
      <b/>
      <sz val="14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2">
    <xf numFmtId="0" fontId="0" fillId="0" borderId="0"/>
    <xf numFmtId="0" fontId="2" fillId="0" borderId="5"/>
    <xf numFmtId="0" fontId="2" fillId="0" borderId="5"/>
    <xf numFmtId="0" fontId="2" fillId="0" borderId="5"/>
    <xf numFmtId="0" fontId="2" fillId="0" borderId="5"/>
    <xf numFmtId="0" fontId="2" fillId="0" borderId="5"/>
    <xf numFmtId="0" fontId="2" fillId="0" borderId="5"/>
    <xf numFmtId="0" fontId="2" fillId="0" borderId="5"/>
    <xf numFmtId="0" fontId="2" fillId="0" borderId="5"/>
    <xf numFmtId="0" fontId="2" fillId="0" borderId="5"/>
    <xf numFmtId="0" fontId="2" fillId="0" borderId="5"/>
    <xf numFmtId="0" fontId="2" fillId="0" borderId="5"/>
    <xf numFmtId="0" fontId="3" fillId="0" borderId="5"/>
    <xf numFmtId="0" fontId="2" fillId="0" borderId="5"/>
    <xf numFmtId="0" fontId="3" fillId="0" borderId="5"/>
    <xf numFmtId="0" fontId="2" fillId="0" borderId="5"/>
    <xf numFmtId="0" fontId="2" fillId="0" borderId="5"/>
    <xf numFmtId="0" fontId="2" fillId="0" borderId="5"/>
    <xf numFmtId="0" fontId="2" fillId="0" borderId="5"/>
    <xf numFmtId="0" fontId="2" fillId="0" borderId="5"/>
    <xf numFmtId="0" fontId="2" fillId="0" borderId="5"/>
    <xf numFmtId="0" fontId="2" fillId="0" borderId="5"/>
  </cellStyleXfs>
  <cellXfs count="52">
    <xf numFmtId="0" fontId="0" fillId="0" borderId="0" xfId="0" applyFont="1" applyAlignment="1"/>
    <xf numFmtId="0" fontId="1" fillId="0" borderId="6" xfId="1" applyNumberFormat="1" applyFont="1" applyFill="1" applyBorder="1" applyAlignment="1">
      <alignment horizontal="center" vertical="center" wrapText="1"/>
    </xf>
    <xf numFmtId="0" fontId="1" fillId="0" borderId="7" xfId="1" applyNumberFormat="1" applyFont="1" applyFill="1" applyBorder="1" applyAlignment="1">
      <alignment horizontal="center" vertical="center" wrapText="1"/>
    </xf>
    <xf numFmtId="0" fontId="1" fillId="0" borderId="13" xfId="1" applyNumberFormat="1" applyFont="1" applyFill="1" applyBorder="1" applyAlignment="1">
      <alignment horizontal="center" vertical="center" wrapText="1"/>
    </xf>
    <xf numFmtId="0" fontId="1" fillId="0" borderId="4" xfId="1" applyNumberFormat="1" applyFont="1" applyFill="1" applyBorder="1" applyAlignment="1">
      <alignment horizontal="center" vertical="center" wrapText="1"/>
    </xf>
    <xf numFmtId="0" fontId="1" fillId="0" borderId="5" xfId="1" applyNumberFormat="1" applyFont="1" applyFill="1" applyBorder="1" applyAlignment="1">
      <alignment horizontal="center" vertical="center" wrapText="1"/>
    </xf>
    <xf numFmtId="0" fontId="1" fillId="0" borderId="4" xfId="1" applyNumberFormat="1" applyFont="1" applyFill="1" applyBorder="1" applyAlignment="1">
      <alignment horizontal="left" vertical="center" wrapText="1"/>
    </xf>
    <xf numFmtId="0" fontId="1" fillId="0" borderId="9" xfId="1" applyNumberFormat="1" applyFont="1" applyFill="1" applyBorder="1" applyAlignment="1">
      <alignment horizontal="center" vertical="center" wrapText="1"/>
    </xf>
    <xf numFmtId="0" fontId="1" fillId="0" borderId="11" xfId="1" applyNumberFormat="1" applyFont="1" applyFill="1" applyBorder="1" applyAlignment="1">
      <alignment horizontal="center" vertical="center" wrapText="1"/>
    </xf>
    <xf numFmtId="0" fontId="1" fillId="0" borderId="8" xfId="1" applyNumberFormat="1" applyFont="1" applyFill="1" applyBorder="1" applyAlignment="1">
      <alignment horizontal="center" vertical="center" wrapText="1"/>
    </xf>
    <xf numFmtId="0" fontId="1" fillId="0" borderId="10" xfId="1" applyNumberFormat="1" applyFont="1" applyFill="1" applyBorder="1" applyAlignment="1">
      <alignment horizontal="center" vertical="center" wrapText="1"/>
    </xf>
    <xf numFmtId="0" fontId="1" fillId="0" borderId="2" xfId="1" applyNumberFormat="1" applyFont="1" applyFill="1" applyBorder="1" applyAlignment="1">
      <alignment horizontal="center" vertical="center" wrapText="1"/>
    </xf>
    <xf numFmtId="0" fontId="1" fillId="0" borderId="9" xfId="1" applyNumberFormat="1" applyFont="1" applyFill="1" applyBorder="1" applyAlignment="1">
      <alignment horizontal="center" vertical="center"/>
    </xf>
    <xf numFmtId="0" fontId="1" fillId="0" borderId="10" xfId="1" applyNumberFormat="1" applyFont="1" applyFill="1" applyBorder="1" applyAlignment="1">
      <alignment horizontal="center" vertical="center"/>
    </xf>
    <xf numFmtId="0" fontId="1" fillId="0" borderId="4" xfId="1" applyNumberFormat="1" applyFont="1" applyFill="1" applyBorder="1" applyAlignment="1">
      <alignment horizontal="center" vertical="center"/>
    </xf>
    <xf numFmtId="0" fontId="1" fillId="0" borderId="5" xfId="1" applyNumberFormat="1" applyFont="1" applyFill="1" applyAlignment="1">
      <alignment horizontal="center" vertical="center"/>
    </xf>
    <xf numFmtId="0" fontId="1" fillId="0" borderId="5" xfId="1" applyNumberFormat="1" applyFont="1" applyFill="1" applyBorder="1" applyAlignment="1">
      <alignment horizontal="center" vertical="center"/>
    </xf>
    <xf numFmtId="0" fontId="1" fillId="0" borderId="7" xfId="1" applyNumberFormat="1" applyFont="1" applyFill="1" applyBorder="1" applyAlignment="1">
      <alignment horizontal="left" vertical="center" wrapText="1"/>
    </xf>
    <xf numFmtId="0" fontId="1" fillId="0" borderId="10" xfId="1" applyNumberFormat="1" applyFont="1" applyFill="1" applyBorder="1" applyAlignment="1">
      <alignment horizontal="left" vertical="center" wrapText="1"/>
    </xf>
    <xf numFmtId="164" fontId="1" fillId="2" borderId="7" xfId="1" applyNumberFormat="1" applyFont="1" applyFill="1" applyBorder="1" applyAlignment="1">
      <alignment horizontal="center" vertical="center"/>
    </xf>
    <xf numFmtId="164" fontId="1" fillId="2" borderId="9" xfId="1" applyNumberFormat="1" applyFont="1" applyFill="1" applyBorder="1" applyAlignment="1">
      <alignment horizontal="center" vertical="center"/>
    </xf>
    <xf numFmtId="164" fontId="1" fillId="2" borderId="15" xfId="1" applyNumberFormat="1" applyFont="1" applyFill="1" applyBorder="1" applyAlignment="1">
      <alignment horizontal="center" vertical="center"/>
    </xf>
    <xf numFmtId="164" fontId="1" fillId="2" borderId="6" xfId="1" applyNumberFormat="1" applyFont="1" applyFill="1" applyBorder="1" applyAlignment="1">
      <alignment horizontal="center" vertical="center"/>
    </xf>
    <xf numFmtId="164" fontId="1" fillId="2" borderId="10" xfId="1" applyNumberFormat="1" applyFont="1" applyFill="1" applyBorder="1" applyAlignment="1">
      <alignment horizontal="center" vertical="center"/>
    </xf>
    <xf numFmtId="164" fontId="1" fillId="2" borderId="4" xfId="1" applyNumberFormat="1" applyFont="1" applyFill="1" applyBorder="1" applyAlignment="1">
      <alignment horizontal="center" vertical="center"/>
    </xf>
    <xf numFmtId="164" fontId="1" fillId="2" borderId="11" xfId="1" applyNumberFormat="1" applyFont="1" applyFill="1" applyBorder="1" applyAlignment="1">
      <alignment horizontal="center" vertical="center"/>
    </xf>
    <xf numFmtId="164" fontId="1" fillId="3" borderId="12" xfId="1" applyNumberFormat="1" applyFont="1" applyFill="1" applyBorder="1" applyAlignment="1">
      <alignment horizontal="center" vertical="center"/>
    </xf>
    <xf numFmtId="164" fontId="1" fillId="3" borderId="3" xfId="1" applyNumberFormat="1" applyFont="1" applyFill="1" applyBorder="1" applyAlignment="1">
      <alignment horizontal="center" vertical="center"/>
    </xf>
    <xf numFmtId="164" fontId="1" fillId="3" borderId="4" xfId="1" applyNumberFormat="1" applyFont="1" applyFill="1" applyBorder="1" applyAlignment="1">
      <alignment horizontal="center" vertical="center"/>
    </xf>
    <xf numFmtId="2" fontId="1" fillId="2" borderId="7" xfId="1" applyNumberFormat="1" applyFont="1" applyFill="1" applyBorder="1" applyAlignment="1">
      <alignment horizontal="center" vertical="center"/>
    </xf>
    <xf numFmtId="0" fontId="5" fillId="0" borderId="5" xfId="1" applyNumberFormat="1" applyFont="1" applyFill="1" applyAlignment="1">
      <alignment horizontal="left" vertical="center"/>
    </xf>
    <xf numFmtId="0" fontId="1" fillId="0" borderId="7" xfId="1" applyNumberFormat="1" applyFont="1" applyFill="1" applyBorder="1" applyAlignment="1">
      <alignment horizontal="center" vertical="center"/>
    </xf>
    <xf numFmtId="0" fontId="5" fillId="0" borderId="5" xfId="1" applyNumberFormat="1" applyFont="1" applyFill="1" applyAlignment="1">
      <alignment horizontal="center" vertical="center"/>
    </xf>
    <xf numFmtId="0" fontId="6" fillId="0" borderId="5" xfId="1" applyNumberFormat="1" applyFont="1" applyFill="1" applyAlignment="1">
      <alignment horizontal="center" vertical="center"/>
    </xf>
    <xf numFmtId="0" fontId="1" fillId="0" borderId="12" xfId="1" applyNumberFormat="1" applyFont="1" applyFill="1" applyBorder="1" applyAlignment="1">
      <alignment horizontal="center" textRotation="90" wrapText="1"/>
    </xf>
    <xf numFmtId="0" fontId="1" fillId="0" borderId="3" xfId="1" applyNumberFormat="1" applyFont="1" applyFill="1" applyBorder="1" applyAlignment="1">
      <alignment horizontal="center" textRotation="90"/>
    </xf>
    <xf numFmtId="0" fontId="1" fillId="0" borderId="7" xfId="1" applyNumberFormat="1" applyFont="1" applyFill="1" applyBorder="1" applyAlignment="1">
      <alignment horizontal="center" textRotation="90"/>
    </xf>
    <xf numFmtId="0" fontId="1" fillId="0" borderId="12" xfId="1" applyNumberFormat="1" applyFont="1" applyFill="1" applyBorder="1" applyAlignment="1">
      <alignment horizontal="center" vertical="center"/>
    </xf>
    <xf numFmtId="0" fontId="1" fillId="0" borderId="3" xfId="1" applyNumberFormat="1" applyFont="1" applyFill="1" applyBorder="1" applyAlignment="1">
      <alignment horizontal="center" vertical="center"/>
    </xf>
    <xf numFmtId="0" fontId="1" fillId="0" borderId="12" xfId="1" applyNumberFormat="1" applyFont="1" applyFill="1" applyBorder="1" applyAlignment="1">
      <alignment horizontal="center" vertical="center" wrapText="1"/>
    </xf>
    <xf numFmtId="0" fontId="1" fillId="0" borderId="7" xfId="1" applyNumberFormat="1" applyFont="1" applyFill="1" applyBorder="1" applyAlignment="1">
      <alignment horizontal="center" vertical="center"/>
    </xf>
    <xf numFmtId="0" fontId="1" fillId="0" borderId="14" xfId="1" applyNumberFormat="1" applyFont="1" applyFill="1" applyBorder="1" applyAlignment="1">
      <alignment horizontal="center" vertical="center"/>
    </xf>
    <xf numFmtId="0" fontId="1" fillId="0" borderId="1" xfId="1" applyNumberFormat="1" applyFont="1" applyFill="1" applyBorder="1" applyAlignment="1">
      <alignment horizontal="center" vertical="center"/>
    </xf>
    <xf numFmtId="0" fontId="1" fillId="0" borderId="2" xfId="1" applyNumberFormat="1" applyFont="1" applyFill="1" applyBorder="1" applyAlignment="1">
      <alignment horizontal="center" vertical="center"/>
    </xf>
    <xf numFmtId="0" fontId="1" fillId="0" borderId="3" xfId="1" applyNumberFormat="1" applyFont="1" applyFill="1" applyBorder="1" applyAlignment="1">
      <alignment horizontal="center" textRotation="90" wrapText="1"/>
    </xf>
    <xf numFmtId="0" fontId="1" fillId="0" borderId="7" xfId="1" applyNumberFormat="1" applyFont="1" applyFill="1" applyBorder="1" applyAlignment="1">
      <alignment horizontal="center" textRotation="90" wrapText="1"/>
    </xf>
    <xf numFmtId="0" fontId="4" fillId="0" borderId="12" xfId="1" applyNumberFormat="1" applyFont="1" applyFill="1" applyBorder="1" applyAlignment="1">
      <alignment horizontal="center" vertical="center" textRotation="90" wrapText="1"/>
    </xf>
    <xf numFmtId="0" fontId="4" fillId="0" borderId="3" xfId="1" applyNumberFormat="1" applyFont="1" applyFill="1" applyBorder="1" applyAlignment="1">
      <alignment horizontal="center" vertical="center" textRotation="90"/>
    </xf>
    <xf numFmtId="0" fontId="4" fillId="0" borderId="7" xfId="1" applyNumberFormat="1" applyFont="1" applyFill="1" applyBorder="1" applyAlignment="1">
      <alignment horizontal="center" vertical="center" textRotation="90"/>
    </xf>
    <xf numFmtId="0" fontId="5" fillId="0" borderId="11" xfId="1" applyNumberFormat="1" applyFont="1" applyFill="1" applyBorder="1" applyAlignment="1">
      <alignment horizontal="center" vertical="center"/>
    </xf>
    <xf numFmtId="0" fontId="5" fillId="0" borderId="5" xfId="1" applyNumberFormat="1" applyFont="1" applyFill="1" applyAlignment="1">
      <alignment horizontal="center" vertical="center"/>
    </xf>
    <xf numFmtId="0" fontId="6" fillId="0" borderId="5" xfId="1" applyNumberFormat="1" applyFont="1" applyFill="1" applyAlignment="1">
      <alignment horizontal="center" vertical="center"/>
    </xf>
  </cellXfs>
  <cellStyles count="22">
    <cellStyle name="Обычный" xfId="0" builtinId="0"/>
    <cellStyle name="Обычный 10" xfId="3"/>
    <cellStyle name="Обычный 10 2" xfId="1"/>
    <cellStyle name="Обычный 11" xfId="4"/>
    <cellStyle name="Обычный 11 2" xfId="5"/>
    <cellStyle name="Обычный 2" xfId="2"/>
    <cellStyle name="Обычный 2 2" xfId="6"/>
    <cellStyle name="Обычный 2 3" xfId="7"/>
    <cellStyle name="Обычный 2 3 2" xfId="8"/>
    <cellStyle name="Обычный 2 4" xfId="9"/>
    <cellStyle name="Обычный 2 4 2" xfId="10"/>
    <cellStyle name="Обычный 3" xfId="11"/>
    <cellStyle name="Обычный 3 2" xfId="12"/>
    <cellStyle name="Обычный 4" xfId="13"/>
    <cellStyle name="Обычный 4 2" xfId="14"/>
    <cellStyle name="Обычный 5" xfId="15"/>
    <cellStyle name="Обычный 6" xfId="16"/>
    <cellStyle name="Обычный 7" xfId="17"/>
    <cellStyle name="Обычный 8" xfId="18"/>
    <cellStyle name="Обычный 8 2" xfId="19"/>
    <cellStyle name="Обычный 9" xfId="20"/>
    <cellStyle name="Обычный 9 2" xf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1000"/>
  <sheetViews>
    <sheetView tabSelected="1" workbookViewId="0">
      <selection sqref="A1:S1"/>
    </sheetView>
  </sheetViews>
  <sheetFormatPr defaultColWidth="14.42578125" defaultRowHeight="15" customHeight="1"/>
  <cols>
    <col min="1" max="1" width="5.140625" style="15" customWidth="1"/>
    <col min="2" max="2" width="6.5703125" style="15" customWidth="1"/>
    <col min="3" max="3" width="40.42578125" style="15" customWidth="1"/>
    <col min="4" max="4" width="6.140625" style="15" customWidth="1"/>
    <col min="5" max="18" width="6.7109375" style="15" customWidth="1"/>
    <col min="19" max="19" width="11.28515625" style="15" customWidth="1"/>
    <col min="20" max="16384" width="14.42578125" style="15"/>
  </cols>
  <sheetData>
    <row r="1" spans="1:19" s="32" customFormat="1" ht="15" customHeight="1">
      <c r="A1" s="50" t="s">
        <v>63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</row>
    <row r="2" spans="1:19" s="32" customFormat="1" ht="15" customHeight="1">
      <c r="A2" s="50" t="s">
        <v>64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</row>
    <row r="3" spans="1:19" s="33" customFormat="1" ht="15" customHeight="1">
      <c r="A3" s="51" t="s">
        <v>0</v>
      </c>
      <c r="B3" s="51"/>
      <c r="C3" s="51"/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  <c r="O3" s="51"/>
      <c r="P3" s="51"/>
      <c r="Q3" s="51"/>
      <c r="R3" s="51"/>
      <c r="S3" s="51"/>
    </row>
    <row r="4" spans="1:19" s="32" customFormat="1" ht="15" customHeight="1">
      <c r="A4" s="50" t="s">
        <v>1</v>
      </c>
      <c r="B4" s="50"/>
      <c r="C4" s="50"/>
      <c r="D4" s="50"/>
      <c r="E4" s="50"/>
      <c r="F4" s="50"/>
      <c r="G4" s="50"/>
      <c r="H4" s="50"/>
      <c r="I4" s="50"/>
      <c r="J4" s="50"/>
      <c r="K4" s="50"/>
      <c r="L4" s="50"/>
      <c r="M4" s="50"/>
      <c r="N4" s="50"/>
      <c r="O4" s="50"/>
      <c r="P4" s="50"/>
      <c r="Q4" s="50"/>
      <c r="R4" s="50"/>
      <c r="S4" s="50"/>
    </row>
    <row r="5" spans="1:19" s="32" customFormat="1" ht="15" customHeight="1">
      <c r="A5" s="50" t="s">
        <v>66</v>
      </c>
      <c r="B5" s="50"/>
      <c r="C5" s="50"/>
      <c r="D5" s="50"/>
      <c r="E5" s="50"/>
      <c r="F5" s="50"/>
      <c r="G5" s="50"/>
      <c r="H5" s="50"/>
      <c r="I5" s="50"/>
      <c r="J5" s="50"/>
      <c r="K5" s="50"/>
      <c r="L5" s="50"/>
      <c r="M5" s="50"/>
      <c r="N5" s="50"/>
      <c r="O5" s="50"/>
      <c r="P5" s="50"/>
      <c r="Q5" s="50"/>
      <c r="R5" s="50"/>
      <c r="S5" s="50"/>
    </row>
    <row r="6" spans="1:19" s="32" customFormat="1" ht="15" customHeight="1">
      <c r="A6" s="49" t="s">
        <v>2</v>
      </c>
      <c r="B6" s="49"/>
      <c r="C6" s="49"/>
      <c r="D6" s="49"/>
      <c r="E6" s="49"/>
      <c r="F6" s="49"/>
      <c r="G6" s="49"/>
      <c r="H6" s="49"/>
      <c r="I6" s="49"/>
      <c r="J6" s="49"/>
      <c r="K6" s="49"/>
      <c r="L6" s="49"/>
      <c r="M6" s="49"/>
      <c r="N6" s="49"/>
      <c r="O6" s="49"/>
      <c r="P6" s="49"/>
      <c r="Q6" s="49"/>
      <c r="R6" s="49"/>
      <c r="S6" s="49"/>
    </row>
    <row r="7" spans="1:19" ht="15" customHeight="1">
      <c r="A7" s="37" t="s">
        <v>3</v>
      </c>
      <c r="B7" s="39" t="s">
        <v>4</v>
      </c>
      <c r="C7" s="39" t="s">
        <v>5</v>
      </c>
      <c r="D7" s="41" t="s">
        <v>6</v>
      </c>
      <c r="E7" s="42"/>
      <c r="F7" s="42"/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3"/>
    </row>
    <row r="8" spans="1:19" ht="15" customHeight="1">
      <c r="A8" s="38"/>
      <c r="B8" s="38"/>
      <c r="C8" s="38"/>
      <c r="D8" s="34" t="s">
        <v>60</v>
      </c>
      <c r="E8" s="34" t="s">
        <v>14</v>
      </c>
      <c r="F8" s="34" t="s">
        <v>8</v>
      </c>
      <c r="G8" s="34" t="s">
        <v>17</v>
      </c>
      <c r="H8" s="34" t="s">
        <v>13</v>
      </c>
      <c r="I8" s="34" t="s">
        <v>65</v>
      </c>
      <c r="J8" s="34" t="s">
        <v>15</v>
      </c>
      <c r="K8" s="34" t="s">
        <v>11</v>
      </c>
      <c r="L8" s="34" t="s">
        <v>16</v>
      </c>
      <c r="M8" s="34" t="s">
        <v>9</v>
      </c>
      <c r="N8" s="34" t="s">
        <v>7</v>
      </c>
      <c r="O8" s="34" t="s">
        <v>12</v>
      </c>
      <c r="P8" s="34" t="s">
        <v>61</v>
      </c>
      <c r="Q8" s="34" t="s">
        <v>62</v>
      </c>
      <c r="R8" s="34" t="s">
        <v>10</v>
      </c>
      <c r="S8" s="46" t="s">
        <v>18</v>
      </c>
    </row>
    <row r="9" spans="1:19" ht="15" customHeight="1">
      <c r="A9" s="38"/>
      <c r="B9" s="38"/>
      <c r="C9" s="38"/>
      <c r="D9" s="44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47"/>
    </row>
    <row r="10" spans="1:19" ht="101.25" customHeight="1">
      <c r="A10" s="38"/>
      <c r="B10" s="40"/>
      <c r="C10" s="38"/>
      <c r="D10" s="45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48"/>
    </row>
    <row r="11" spans="1:19" ht="15" customHeight="1">
      <c r="A11" s="4" t="s">
        <v>19</v>
      </c>
      <c r="B11" s="5">
        <v>1</v>
      </c>
      <c r="C11" s="6" t="s">
        <v>20</v>
      </c>
      <c r="D11" s="1">
        <v>8</v>
      </c>
      <c r="E11" s="2">
        <v>6</v>
      </c>
      <c r="F11" s="2">
        <v>10</v>
      </c>
      <c r="G11" s="7">
        <v>8</v>
      </c>
      <c r="H11" s="2">
        <v>7</v>
      </c>
      <c r="I11" s="1">
        <v>8</v>
      </c>
      <c r="J11" s="2">
        <v>5</v>
      </c>
      <c r="K11" s="2">
        <v>8</v>
      </c>
      <c r="L11" s="31">
        <v>7</v>
      </c>
      <c r="M11" s="12">
        <v>7</v>
      </c>
      <c r="N11" s="7">
        <v>5</v>
      </c>
      <c r="O11" s="2">
        <v>6</v>
      </c>
      <c r="P11" s="8">
        <v>7</v>
      </c>
      <c r="Q11" s="2">
        <v>8</v>
      </c>
      <c r="R11" s="2">
        <v>7</v>
      </c>
      <c r="S11" s="29">
        <f>IF(COUNTIF(D11:R11,"=*")&gt;0,"-",(AVERAGE(D11:R11)))</f>
        <v>7.1333333333333337</v>
      </c>
    </row>
    <row r="12" spans="1:19" ht="15" customHeight="1">
      <c r="A12" s="4" t="s">
        <v>19</v>
      </c>
      <c r="B12" s="9">
        <v>2</v>
      </c>
      <c r="C12" s="6" t="s">
        <v>21</v>
      </c>
      <c r="D12" s="3">
        <v>9</v>
      </c>
      <c r="E12" s="4">
        <v>10</v>
      </c>
      <c r="F12" s="4">
        <v>10</v>
      </c>
      <c r="G12" s="10">
        <v>10</v>
      </c>
      <c r="H12" s="4">
        <v>9</v>
      </c>
      <c r="I12" s="3">
        <v>9</v>
      </c>
      <c r="J12" s="4">
        <v>8</v>
      </c>
      <c r="K12" s="4">
        <v>10</v>
      </c>
      <c r="L12" s="14">
        <v>8</v>
      </c>
      <c r="M12" s="13">
        <v>9</v>
      </c>
      <c r="N12" s="10">
        <v>8</v>
      </c>
      <c r="O12" s="4">
        <v>7</v>
      </c>
      <c r="P12" s="9">
        <v>8</v>
      </c>
      <c r="Q12" s="4">
        <v>11</v>
      </c>
      <c r="R12" s="2">
        <v>7</v>
      </c>
      <c r="S12" s="29">
        <f t="shared" ref="S12:S38" si="0">IF(COUNTIF(D12:R12,"=*")&gt;0,"-",(AVERAGE(D12:R12)))</f>
        <v>8.8666666666666671</v>
      </c>
    </row>
    <row r="13" spans="1:19" ht="15" customHeight="1">
      <c r="A13" s="4" t="s">
        <v>19</v>
      </c>
      <c r="B13" s="9">
        <v>3</v>
      </c>
      <c r="C13" s="6" t="s">
        <v>22</v>
      </c>
      <c r="D13" s="3">
        <v>8</v>
      </c>
      <c r="E13" s="4">
        <v>7</v>
      </c>
      <c r="F13" s="4">
        <v>10</v>
      </c>
      <c r="G13" s="4">
        <v>10</v>
      </c>
      <c r="H13" s="2">
        <v>9</v>
      </c>
      <c r="I13" s="3">
        <v>9</v>
      </c>
      <c r="J13" s="4">
        <v>9</v>
      </c>
      <c r="K13" s="4">
        <v>10</v>
      </c>
      <c r="L13" s="14">
        <v>8</v>
      </c>
      <c r="M13" s="13">
        <v>8</v>
      </c>
      <c r="N13" s="10">
        <v>8</v>
      </c>
      <c r="O13" s="4">
        <v>8</v>
      </c>
      <c r="P13" s="9">
        <v>8</v>
      </c>
      <c r="Q13" s="4">
        <v>8</v>
      </c>
      <c r="R13" s="2">
        <v>8</v>
      </c>
      <c r="S13" s="29">
        <f t="shared" si="0"/>
        <v>8.5333333333333332</v>
      </c>
    </row>
    <row r="14" spans="1:19" ht="15" customHeight="1">
      <c r="A14" s="4" t="s">
        <v>19</v>
      </c>
      <c r="B14" s="9">
        <v>4</v>
      </c>
      <c r="C14" s="6" t="s">
        <v>23</v>
      </c>
      <c r="D14" s="3">
        <v>10</v>
      </c>
      <c r="E14" s="4">
        <v>9</v>
      </c>
      <c r="F14" s="4">
        <v>10</v>
      </c>
      <c r="G14" s="4">
        <v>10</v>
      </c>
      <c r="H14" s="4">
        <v>10</v>
      </c>
      <c r="I14" s="3">
        <v>10</v>
      </c>
      <c r="J14" s="4">
        <v>10</v>
      </c>
      <c r="K14" s="4">
        <v>11</v>
      </c>
      <c r="L14" s="14">
        <v>9</v>
      </c>
      <c r="M14" s="13">
        <v>9</v>
      </c>
      <c r="N14" s="10">
        <v>9</v>
      </c>
      <c r="O14" s="4">
        <v>9</v>
      </c>
      <c r="P14" s="9">
        <v>9</v>
      </c>
      <c r="Q14" s="4">
        <v>11</v>
      </c>
      <c r="R14" s="2">
        <v>8</v>
      </c>
      <c r="S14" s="29">
        <f t="shared" si="0"/>
        <v>9.6</v>
      </c>
    </row>
    <row r="15" spans="1:19" ht="15" customHeight="1">
      <c r="A15" s="4" t="s">
        <v>24</v>
      </c>
      <c r="B15" s="9">
        <v>5</v>
      </c>
      <c r="C15" s="6" t="s">
        <v>25</v>
      </c>
      <c r="D15" s="3">
        <v>8</v>
      </c>
      <c r="E15" s="4">
        <v>9</v>
      </c>
      <c r="F15" s="4">
        <v>10</v>
      </c>
      <c r="G15" s="4">
        <v>9</v>
      </c>
      <c r="H15" s="4">
        <v>9</v>
      </c>
      <c r="I15" s="3">
        <v>10</v>
      </c>
      <c r="J15" s="4">
        <v>11</v>
      </c>
      <c r="K15" s="4">
        <v>10</v>
      </c>
      <c r="L15" s="14">
        <v>8</v>
      </c>
      <c r="M15" s="13">
        <v>7</v>
      </c>
      <c r="N15" s="10">
        <v>7</v>
      </c>
      <c r="O15" s="4">
        <v>7</v>
      </c>
      <c r="P15" s="9">
        <v>8</v>
      </c>
      <c r="Q15" s="4">
        <v>9</v>
      </c>
      <c r="R15" s="2">
        <v>8</v>
      </c>
      <c r="S15" s="29">
        <f t="shared" si="0"/>
        <v>8.6666666666666661</v>
      </c>
    </row>
    <row r="16" spans="1:19" ht="15" customHeight="1">
      <c r="A16" s="4" t="s">
        <v>19</v>
      </c>
      <c r="B16" s="9">
        <v>6</v>
      </c>
      <c r="C16" s="6" t="s">
        <v>26</v>
      </c>
      <c r="D16" s="3">
        <v>11</v>
      </c>
      <c r="E16" s="4">
        <v>9</v>
      </c>
      <c r="F16" s="4">
        <v>10</v>
      </c>
      <c r="G16" s="4">
        <v>10</v>
      </c>
      <c r="H16" s="4">
        <v>9</v>
      </c>
      <c r="I16" s="3">
        <v>10</v>
      </c>
      <c r="J16" s="4">
        <v>9</v>
      </c>
      <c r="K16" s="4">
        <v>10</v>
      </c>
      <c r="L16" s="14">
        <v>9</v>
      </c>
      <c r="M16" s="13">
        <v>9</v>
      </c>
      <c r="N16" s="10">
        <v>9</v>
      </c>
      <c r="O16" s="4">
        <v>9</v>
      </c>
      <c r="P16" s="9">
        <v>10</v>
      </c>
      <c r="Q16" s="4">
        <v>11</v>
      </c>
      <c r="R16" s="2">
        <v>8</v>
      </c>
      <c r="S16" s="29">
        <f t="shared" si="0"/>
        <v>9.5333333333333332</v>
      </c>
    </row>
    <row r="17" spans="1:19" ht="15" customHeight="1">
      <c r="A17" s="4" t="s">
        <v>19</v>
      </c>
      <c r="B17" s="9">
        <v>7</v>
      </c>
      <c r="C17" s="6" t="s">
        <v>27</v>
      </c>
      <c r="D17" s="3">
        <v>4</v>
      </c>
      <c r="E17" s="4">
        <v>6</v>
      </c>
      <c r="F17" s="4">
        <v>9</v>
      </c>
      <c r="G17" s="4">
        <v>8</v>
      </c>
      <c r="H17" s="4">
        <v>6</v>
      </c>
      <c r="I17" s="3">
        <v>7</v>
      </c>
      <c r="J17" s="4">
        <v>5</v>
      </c>
      <c r="K17" s="4">
        <v>7</v>
      </c>
      <c r="L17" s="14">
        <v>5</v>
      </c>
      <c r="M17" s="13">
        <v>7</v>
      </c>
      <c r="N17" s="10">
        <v>4</v>
      </c>
      <c r="O17" s="4">
        <v>4</v>
      </c>
      <c r="P17" s="9">
        <v>8</v>
      </c>
      <c r="Q17" s="4">
        <v>9</v>
      </c>
      <c r="R17" s="2">
        <v>6</v>
      </c>
      <c r="S17" s="29">
        <f t="shared" si="0"/>
        <v>6.333333333333333</v>
      </c>
    </row>
    <row r="18" spans="1:19" ht="15" customHeight="1">
      <c r="A18" s="4" t="s">
        <v>24</v>
      </c>
      <c r="B18" s="9">
        <v>8</v>
      </c>
      <c r="C18" s="6" t="s">
        <v>28</v>
      </c>
      <c r="D18" s="3">
        <v>4</v>
      </c>
      <c r="E18" s="4">
        <v>4</v>
      </c>
      <c r="F18" s="4">
        <v>7</v>
      </c>
      <c r="G18" s="4">
        <v>4</v>
      </c>
      <c r="H18" s="4">
        <v>4</v>
      </c>
      <c r="I18" s="3">
        <v>4</v>
      </c>
      <c r="J18" s="14">
        <v>4</v>
      </c>
      <c r="K18" s="14">
        <v>4</v>
      </c>
      <c r="L18" s="14">
        <v>4</v>
      </c>
      <c r="M18" s="14">
        <v>6</v>
      </c>
      <c r="N18" s="10">
        <v>4</v>
      </c>
      <c r="O18" s="4">
        <v>4</v>
      </c>
      <c r="P18" s="9">
        <v>4</v>
      </c>
      <c r="Q18" s="4">
        <v>4</v>
      </c>
      <c r="R18" s="2">
        <v>4</v>
      </c>
      <c r="S18" s="29">
        <f t="shared" si="0"/>
        <v>4.333333333333333</v>
      </c>
    </row>
    <row r="19" spans="1:19" ht="15" customHeight="1">
      <c r="A19" s="4" t="s">
        <v>19</v>
      </c>
      <c r="B19" s="9">
        <v>9</v>
      </c>
      <c r="C19" s="6" t="s">
        <v>29</v>
      </c>
      <c r="D19" s="3">
        <v>4</v>
      </c>
      <c r="E19" s="4">
        <v>7</v>
      </c>
      <c r="F19" s="4">
        <v>8</v>
      </c>
      <c r="G19" s="4">
        <v>9</v>
      </c>
      <c r="H19" s="4">
        <v>4</v>
      </c>
      <c r="I19" s="3">
        <v>7</v>
      </c>
      <c r="J19" s="4">
        <v>4</v>
      </c>
      <c r="K19" s="4">
        <v>6</v>
      </c>
      <c r="L19" s="14">
        <v>7</v>
      </c>
      <c r="M19" s="14">
        <v>7</v>
      </c>
      <c r="N19" s="14">
        <v>6</v>
      </c>
      <c r="O19" s="4">
        <v>6</v>
      </c>
      <c r="P19" s="9">
        <v>7</v>
      </c>
      <c r="Q19" s="4">
        <v>6</v>
      </c>
      <c r="R19" s="2">
        <v>6</v>
      </c>
      <c r="S19" s="29">
        <f t="shared" si="0"/>
        <v>6.2666666666666666</v>
      </c>
    </row>
    <row r="20" spans="1:19" ht="15.75" customHeight="1">
      <c r="A20" s="4" t="s">
        <v>24</v>
      </c>
      <c r="B20" s="9">
        <v>10</v>
      </c>
      <c r="C20" s="6" t="s">
        <v>30</v>
      </c>
      <c r="D20" s="3">
        <v>8</v>
      </c>
      <c r="E20" s="4">
        <v>8</v>
      </c>
      <c r="F20" s="4">
        <v>10</v>
      </c>
      <c r="G20" s="4">
        <v>9</v>
      </c>
      <c r="H20" s="4">
        <v>7</v>
      </c>
      <c r="I20" s="3">
        <v>7</v>
      </c>
      <c r="J20" s="4">
        <v>7</v>
      </c>
      <c r="K20" s="4">
        <v>9</v>
      </c>
      <c r="L20" s="14">
        <v>7</v>
      </c>
      <c r="M20" s="13">
        <v>5</v>
      </c>
      <c r="N20" s="10">
        <v>6</v>
      </c>
      <c r="O20" s="4">
        <v>6</v>
      </c>
      <c r="P20" s="9">
        <v>8</v>
      </c>
      <c r="Q20" s="4">
        <v>7</v>
      </c>
      <c r="R20" s="2">
        <v>8</v>
      </c>
      <c r="S20" s="29">
        <f t="shared" si="0"/>
        <v>7.4666666666666668</v>
      </c>
    </row>
    <row r="21" spans="1:19" ht="15.75" customHeight="1">
      <c r="A21" s="4" t="s">
        <v>19</v>
      </c>
      <c r="B21" s="9">
        <v>11</v>
      </c>
      <c r="C21" s="6" t="s">
        <v>31</v>
      </c>
      <c r="D21" s="3">
        <v>8</v>
      </c>
      <c r="E21" s="4">
        <v>7</v>
      </c>
      <c r="F21" s="4">
        <v>9</v>
      </c>
      <c r="G21" s="4">
        <v>9</v>
      </c>
      <c r="H21" s="4">
        <v>8</v>
      </c>
      <c r="I21" s="3">
        <v>9</v>
      </c>
      <c r="J21" s="4">
        <v>7</v>
      </c>
      <c r="K21" s="4">
        <v>9</v>
      </c>
      <c r="L21" s="14">
        <v>8</v>
      </c>
      <c r="M21" s="13">
        <v>9</v>
      </c>
      <c r="N21" s="10">
        <v>7</v>
      </c>
      <c r="O21" s="4">
        <v>7</v>
      </c>
      <c r="P21" s="9">
        <v>8</v>
      </c>
      <c r="Q21" s="4">
        <v>10</v>
      </c>
      <c r="R21" s="2">
        <v>8</v>
      </c>
      <c r="S21" s="29">
        <f t="shared" si="0"/>
        <v>8.1999999999999993</v>
      </c>
    </row>
    <row r="22" spans="1:19" ht="15.75" customHeight="1">
      <c r="A22" s="4" t="s">
        <v>24</v>
      </c>
      <c r="B22" s="9">
        <v>12</v>
      </c>
      <c r="C22" s="6" t="s">
        <v>32</v>
      </c>
      <c r="D22" s="3">
        <v>9</v>
      </c>
      <c r="E22" s="4">
        <v>8</v>
      </c>
      <c r="F22" s="4">
        <v>10</v>
      </c>
      <c r="G22" s="4">
        <v>10</v>
      </c>
      <c r="H22" s="4">
        <v>9</v>
      </c>
      <c r="I22" s="3">
        <v>10</v>
      </c>
      <c r="J22" s="4">
        <v>8</v>
      </c>
      <c r="K22" s="4">
        <v>9</v>
      </c>
      <c r="L22" s="14">
        <v>10</v>
      </c>
      <c r="M22" s="13">
        <v>8</v>
      </c>
      <c r="N22" s="10">
        <v>9</v>
      </c>
      <c r="O22" s="4">
        <v>8</v>
      </c>
      <c r="P22" s="9">
        <v>10</v>
      </c>
      <c r="Q22" s="4">
        <v>8</v>
      </c>
      <c r="R22" s="2">
        <v>8</v>
      </c>
      <c r="S22" s="29">
        <f t="shared" si="0"/>
        <v>8.9333333333333336</v>
      </c>
    </row>
    <row r="23" spans="1:19" ht="15.75" customHeight="1">
      <c r="A23" s="4" t="s">
        <v>24</v>
      </c>
      <c r="B23" s="9">
        <v>13</v>
      </c>
      <c r="C23" s="6" t="s">
        <v>33</v>
      </c>
      <c r="D23" s="3">
        <v>4</v>
      </c>
      <c r="E23" s="4">
        <v>5</v>
      </c>
      <c r="F23" s="4">
        <v>7</v>
      </c>
      <c r="G23" s="4">
        <v>6</v>
      </c>
      <c r="H23" s="4">
        <v>7</v>
      </c>
      <c r="I23" s="11">
        <v>5</v>
      </c>
      <c r="J23" s="4">
        <v>4</v>
      </c>
      <c r="K23" s="4">
        <v>5</v>
      </c>
      <c r="L23" s="14">
        <v>6</v>
      </c>
      <c r="M23" s="13">
        <v>5</v>
      </c>
      <c r="N23" s="10">
        <v>4</v>
      </c>
      <c r="O23" s="4">
        <v>4</v>
      </c>
      <c r="P23" s="9">
        <v>5</v>
      </c>
      <c r="Q23" s="4">
        <v>8</v>
      </c>
      <c r="R23" s="2">
        <v>5</v>
      </c>
      <c r="S23" s="29">
        <f t="shared" si="0"/>
        <v>5.333333333333333</v>
      </c>
    </row>
    <row r="24" spans="1:19" ht="15.75" customHeight="1">
      <c r="A24" s="4" t="s">
        <v>19</v>
      </c>
      <c r="B24" s="9">
        <v>14</v>
      </c>
      <c r="C24" s="6" t="s">
        <v>34</v>
      </c>
      <c r="D24" s="3">
        <v>5</v>
      </c>
      <c r="E24" s="4">
        <v>8</v>
      </c>
      <c r="F24" s="4">
        <v>9</v>
      </c>
      <c r="G24" s="4">
        <v>10</v>
      </c>
      <c r="H24" s="4">
        <v>9</v>
      </c>
      <c r="I24" s="11">
        <v>9</v>
      </c>
      <c r="J24" s="4">
        <v>6</v>
      </c>
      <c r="K24" s="4">
        <v>10</v>
      </c>
      <c r="L24" s="14">
        <v>7</v>
      </c>
      <c r="M24" s="13">
        <v>8</v>
      </c>
      <c r="N24" s="10">
        <v>7</v>
      </c>
      <c r="O24" s="4">
        <v>6</v>
      </c>
      <c r="P24" s="9">
        <v>8</v>
      </c>
      <c r="Q24" s="4">
        <v>9</v>
      </c>
      <c r="R24" s="2">
        <v>7</v>
      </c>
      <c r="S24" s="29">
        <f t="shared" si="0"/>
        <v>7.8666666666666663</v>
      </c>
    </row>
    <row r="25" spans="1:19" ht="15.75" customHeight="1">
      <c r="A25" s="4" t="s">
        <v>24</v>
      </c>
      <c r="B25" s="9">
        <v>15</v>
      </c>
      <c r="C25" s="6" t="s">
        <v>35</v>
      </c>
      <c r="D25" s="3">
        <v>4</v>
      </c>
      <c r="E25" s="4">
        <v>8</v>
      </c>
      <c r="F25" s="4">
        <v>10</v>
      </c>
      <c r="G25" s="4">
        <v>7</v>
      </c>
      <c r="H25" s="4">
        <v>5</v>
      </c>
      <c r="I25" s="11">
        <v>6</v>
      </c>
      <c r="J25" s="4">
        <v>8</v>
      </c>
      <c r="K25" s="4">
        <v>6</v>
      </c>
      <c r="L25" s="14">
        <v>7</v>
      </c>
      <c r="M25" s="13">
        <v>7</v>
      </c>
      <c r="N25" s="10">
        <v>5</v>
      </c>
      <c r="O25" s="4">
        <v>5</v>
      </c>
      <c r="P25" s="9">
        <v>7</v>
      </c>
      <c r="Q25" s="4">
        <v>7</v>
      </c>
      <c r="R25" s="2">
        <v>5</v>
      </c>
      <c r="S25" s="29">
        <f t="shared" si="0"/>
        <v>6.4666666666666668</v>
      </c>
    </row>
    <row r="26" spans="1:19" ht="15.75" customHeight="1">
      <c r="A26" s="4" t="s">
        <v>24</v>
      </c>
      <c r="B26" s="9">
        <v>16</v>
      </c>
      <c r="C26" s="6" t="s">
        <v>36</v>
      </c>
      <c r="D26" s="3">
        <v>4</v>
      </c>
      <c r="E26" s="4">
        <v>6</v>
      </c>
      <c r="F26" s="4">
        <v>9</v>
      </c>
      <c r="G26" s="4">
        <v>6</v>
      </c>
      <c r="H26" s="4">
        <v>9</v>
      </c>
      <c r="I26" s="11">
        <v>6</v>
      </c>
      <c r="J26" s="4">
        <v>5</v>
      </c>
      <c r="K26" s="4">
        <v>6</v>
      </c>
      <c r="L26" s="14">
        <v>6</v>
      </c>
      <c r="M26" s="13">
        <v>6</v>
      </c>
      <c r="N26" s="10">
        <v>4</v>
      </c>
      <c r="O26" s="4">
        <v>5</v>
      </c>
      <c r="P26" s="9">
        <v>7</v>
      </c>
      <c r="Q26" s="4">
        <v>7</v>
      </c>
      <c r="R26" s="2">
        <v>4</v>
      </c>
      <c r="S26" s="29">
        <f t="shared" si="0"/>
        <v>6</v>
      </c>
    </row>
    <row r="27" spans="1:19" ht="15.75" customHeight="1">
      <c r="A27" s="4" t="s">
        <v>24</v>
      </c>
      <c r="B27" s="9">
        <v>17</v>
      </c>
      <c r="C27" s="6" t="s">
        <v>37</v>
      </c>
      <c r="D27" s="3">
        <v>5</v>
      </c>
      <c r="E27" s="4">
        <v>6</v>
      </c>
      <c r="F27" s="4">
        <v>9</v>
      </c>
      <c r="G27" s="4">
        <v>8</v>
      </c>
      <c r="H27" s="4">
        <v>9</v>
      </c>
      <c r="I27" s="11">
        <v>7</v>
      </c>
      <c r="J27" s="4">
        <v>8</v>
      </c>
      <c r="K27" s="4">
        <v>6</v>
      </c>
      <c r="L27" s="14">
        <v>7</v>
      </c>
      <c r="M27" s="13">
        <v>6</v>
      </c>
      <c r="N27" s="10">
        <v>5</v>
      </c>
      <c r="O27" s="4">
        <v>6</v>
      </c>
      <c r="P27" s="9">
        <v>7</v>
      </c>
      <c r="Q27" s="4">
        <v>9</v>
      </c>
      <c r="R27" s="2">
        <v>7</v>
      </c>
      <c r="S27" s="29">
        <f t="shared" si="0"/>
        <v>7</v>
      </c>
    </row>
    <row r="28" spans="1:19" ht="15.75" customHeight="1">
      <c r="A28" s="4" t="s">
        <v>24</v>
      </c>
      <c r="B28" s="9">
        <v>18</v>
      </c>
      <c r="C28" s="6" t="s">
        <v>38</v>
      </c>
      <c r="D28" s="3">
        <v>8</v>
      </c>
      <c r="E28" s="4">
        <v>8</v>
      </c>
      <c r="F28" s="4">
        <v>10</v>
      </c>
      <c r="G28" s="4">
        <v>9</v>
      </c>
      <c r="H28" s="4">
        <v>9</v>
      </c>
      <c r="I28" s="11">
        <v>8</v>
      </c>
      <c r="J28" s="4">
        <v>9</v>
      </c>
      <c r="K28" s="4">
        <v>7</v>
      </c>
      <c r="L28" s="14">
        <v>8</v>
      </c>
      <c r="M28" s="13">
        <v>6</v>
      </c>
      <c r="N28" s="10">
        <v>7</v>
      </c>
      <c r="O28" s="4">
        <v>7</v>
      </c>
      <c r="P28" s="9">
        <v>9</v>
      </c>
      <c r="Q28" s="4">
        <v>11</v>
      </c>
      <c r="R28" s="2">
        <v>7</v>
      </c>
      <c r="S28" s="29">
        <f t="shared" si="0"/>
        <v>8.1999999999999993</v>
      </c>
    </row>
    <row r="29" spans="1:19" ht="15.75" customHeight="1">
      <c r="A29" s="4" t="s">
        <v>19</v>
      </c>
      <c r="B29" s="9">
        <v>19</v>
      </c>
      <c r="C29" s="6" t="s">
        <v>59</v>
      </c>
      <c r="D29" s="3">
        <v>10</v>
      </c>
      <c r="E29" s="4">
        <v>10</v>
      </c>
      <c r="F29" s="4">
        <v>10</v>
      </c>
      <c r="G29" s="4">
        <v>10</v>
      </c>
      <c r="H29" s="4">
        <v>10</v>
      </c>
      <c r="I29" s="11">
        <v>10</v>
      </c>
      <c r="J29" s="4">
        <v>11</v>
      </c>
      <c r="K29" s="4">
        <v>11</v>
      </c>
      <c r="L29" s="14">
        <v>10</v>
      </c>
      <c r="M29" s="13">
        <v>9</v>
      </c>
      <c r="N29" s="10">
        <v>10</v>
      </c>
      <c r="O29" s="4">
        <v>9</v>
      </c>
      <c r="P29" s="9">
        <v>9</v>
      </c>
      <c r="Q29" s="4">
        <v>11</v>
      </c>
      <c r="R29" s="2">
        <v>8</v>
      </c>
      <c r="S29" s="29">
        <f t="shared" si="0"/>
        <v>9.8666666666666671</v>
      </c>
    </row>
    <row r="30" spans="1:19" ht="15.75" customHeight="1">
      <c r="A30" s="4" t="s">
        <v>19</v>
      </c>
      <c r="B30" s="9">
        <v>20</v>
      </c>
      <c r="C30" s="6" t="s">
        <v>39</v>
      </c>
      <c r="D30" s="3">
        <v>9</v>
      </c>
      <c r="E30" s="4">
        <v>10</v>
      </c>
      <c r="F30" s="4">
        <v>10</v>
      </c>
      <c r="G30" s="4">
        <v>10</v>
      </c>
      <c r="H30" s="4">
        <v>11</v>
      </c>
      <c r="I30" s="11">
        <v>10</v>
      </c>
      <c r="J30" s="4">
        <v>10</v>
      </c>
      <c r="K30" s="4">
        <v>11</v>
      </c>
      <c r="L30" s="14">
        <v>10</v>
      </c>
      <c r="M30" s="13">
        <v>8</v>
      </c>
      <c r="N30" s="10">
        <v>10</v>
      </c>
      <c r="O30" s="4">
        <v>9</v>
      </c>
      <c r="P30" s="9">
        <v>10</v>
      </c>
      <c r="Q30" s="4">
        <v>11</v>
      </c>
      <c r="R30" s="2">
        <v>8</v>
      </c>
      <c r="S30" s="29">
        <f t="shared" si="0"/>
        <v>9.8000000000000007</v>
      </c>
    </row>
    <row r="31" spans="1:19" ht="15.75" customHeight="1">
      <c r="A31" s="4" t="s">
        <v>24</v>
      </c>
      <c r="B31" s="9">
        <v>21</v>
      </c>
      <c r="C31" s="6" t="s">
        <v>40</v>
      </c>
      <c r="D31" s="3">
        <v>6</v>
      </c>
      <c r="E31" s="4">
        <v>7</v>
      </c>
      <c r="F31" s="4">
        <v>8</v>
      </c>
      <c r="G31" s="4">
        <v>9</v>
      </c>
      <c r="H31" s="4">
        <v>7</v>
      </c>
      <c r="I31" s="11">
        <v>7</v>
      </c>
      <c r="J31" s="4">
        <v>6</v>
      </c>
      <c r="K31" s="4">
        <v>8</v>
      </c>
      <c r="L31" s="14">
        <v>6</v>
      </c>
      <c r="M31" s="13">
        <v>5</v>
      </c>
      <c r="N31" s="10">
        <v>6</v>
      </c>
      <c r="O31" s="4">
        <v>5</v>
      </c>
      <c r="P31" s="9">
        <v>6</v>
      </c>
      <c r="Q31" s="4">
        <v>9</v>
      </c>
      <c r="R31" s="2">
        <v>6</v>
      </c>
      <c r="S31" s="29">
        <f t="shared" si="0"/>
        <v>6.7333333333333334</v>
      </c>
    </row>
    <row r="32" spans="1:19" ht="15.75" customHeight="1">
      <c r="A32" s="4" t="s">
        <v>24</v>
      </c>
      <c r="B32" s="9">
        <v>22</v>
      </c>
      <c r="C32" s="6" t="s">
        <v>41</v>
      </c>
      <c r="D32" s="3">
        <v>3</v>
      </c>
      <c r="E32" s="4">
        <v>7</v>
      </c>
      <c r="F32" s="4">
        <v>9</v>
      </c>
      <c r="G32" s="4">
        <v>8</v>
      </c>
      <c r="H32" s="4">
        <v>8</v>
      </c>
      <c r="I32" s="11">
        <v>8</v>
      </c>
      <c r="J32" s="4">
        <v>10</v>
      </c>
      <c r="K32" s="4">
        <v>8</v>
      </c>
      <c r="L32" s="14">
        <v>7</v>
      </c>
      <c r="M32" s="13">
        <v>5</v>
      </c>
      <c r="N32" s="10">
        <v>5</v>
      </c>
      <c r="O32" s="4">
        <v>5</v>
      </c>
      <c r="P32" s="9">
        <v>7</v>
      </c>
      <c r="Q32" s="4">
        <v>8</v>
      </c>
      <c r="R32" s="2">
        <v>6</v>
      </c>
      <c r="S32" s="29">
        <f t="shared" si="0"/>
        <v>6.9333333333333336</v>
      </c>
    </row>
    <row r="33" spans="1:22" ht="15.75" customHeight="1">
      <c r="A33" s="4" t="s">
        <v>19</v>
      </c>
      <c r="B33" s="9">
        <v>23</v>
      </c>
      <c r="C33" s="6" t="s">
        <v>42</v>
      </c>
      <c r="D33" s="3">
        <v>6</v>
      </c>
      <c r="E33" s="4">
        <v>4</v>
      </c>
      <c r="F33" s="4">
        <v>9</v>
      </c>
      <c r="G33" s="4">
        <v>8</v>
      </c>
      <c r="H33" s="4">
        <v>6</v>
      </c>
      <c r="I33" s="11">
        <v>9</v>
      </c>
      <c r="J33" s="4">
        <v>5</v>
      </c>
      <c r="K33" s="4">
        <v>7</v>
      </c>
      <c r="L33" s="14">
        <v>6</v>
      </c>
      <c r="M33" s="13">
        <v>5</v>
      </c>
      <c r="N33" s="10">
        <v>5</v>
      </c>
      <c r="O33" s="4">
        <v>6</v>
      </c>
      <c r="P33" s="9">
        <v>6</v>
      </c>
      <c r="Q33" s="4">
        <v>11</v>
      </c>
      <c r="R33" s="2">
        <v>7</v>
      </c>
      <c r="S33" s="29">
        <f t="shared" si="0"/>
        <v>6.666666666666667</v>
      </c>
    </row>
    <row r="34" spans="1:22" ht="15.75" customHeight="1">
      <c r="A34" s="4" t="s">
        <v>24</v>
      </c>
      <c r="B34" s="9">
        <v>24</v>
      </c>
      <c r="C34" s="6" t="s">
        <v>43</v>
      </c>
      <c r="D34" s="3">
        <v>5</v>
      </c>
      <c r="E34" s="4">
        <v>5</v>
      </c>
      <c r="F34" s="4">
        <v>8</v>
      </c>
      <c r="G34" s="4">
        <v>8</v>
      </c>
      <c r="H34" s="4">
        <v>4</v>
      </c>
      <c r="I34" s="11">
        <v>5</v>
      </c>
      <c r="J34" s="4">
        <v>4</v>
      </c>
      <c r="K34" s="4">
        <v>7</v>
      </c>
      <c r="L34" s="14">
        <v>6</v>
      </c>
      <c r="M34" s="13">
        <v>5</v>
      </c>
      <c r="N34" s="10">
        <v>5</v>
      </c>
      <c r="O34" s="4">
        <v>5</v>
      </c>
      <c r="P34" s="9">
        <v>6</v>
      </c>
      <c r="Q34" s="4">
        <v>7</v>
      </c>
      <c r="R34" s="2">
        <v>6</v>
      </c>
      <c r="S34" s="29">
        <f t="shared" si="0"/>
        <v>5.7333333333333334</v>
      </c>
    </row>
    <row r="35" spans="1:22" ht="15.75" customHeight="1">
      <c r="A35" s="4" t="s">
        <v>19</v>
      </c>
      <c r="B35" s="9">
        <v>25</v>
      </c>
      <c r="C35" s="6" t="s">
        <v>44</v>
      </c>
      <c r="D35" s="3">
        <v>4</v>
      </c>
      <c r="E35" s="4">
        <v>5</v>
      </c>
      <c r="F35" s="4">
        <v>10</v>
      </c>
      <c r="G35" s="4">
        <v>8</v>
      </c>
      <c r="H35" s="4">
        <v>6</v>
      </c>
      <c r="I35" s="11">
        <v>6</v>
      </c>
      <c r="J35" s="4">
        <v>5</v>
      </c>
      <c r="K35" s="4">
        <v>6</v>
      </c>
      <c r="L35" s="14">
        <v>6</v>
      </c>
      <c r="M35" s="13">
        <v>4</v>
      </c>
      <c r="N35" s="10">
        <v>5</v>
      </c>
      <c r="O35" s="4">
        <v>5</v>
      </c>
      <c r="P35" s="9">
        <v>6</v>
      </c>
      <c r="Q35" s="4">
        <v>8</v>
      </c>
      <c r="R35" s="2">
        <v>6</v>
      </c>
      <c r="S35" s="29">
        <f t="shared" si="0"/>
        <v>6</v>
      </c>
    </row>
    <row r="36" spans="1:22" ht="15.75" customHeight="1">
      <c r="A36" s="4" t="s">
        <v>19</v>
      </c>
      <c r="B36" s="9">
        <v>26</v>
      </c>
      <c r="C36" s="6" t="s">
        <v>45</v>
      </c>
      <c r="D36" s="3">
        <v>8</v>
      </c>
      <c r="E36" s="4">
        <v>9</v>
      </c>
      <c r="F36" s="4">
        <v>8</v>
      </c>
      <c r="G36" s="4">
        <v>8</v>
      </c>
      <c r="H36" s="4">
        <v>7</v>
      </c>
      <c r="I36" s="11">
        <v>8</v>
      </c>
      <c r="J36" s="4">
        <v>9</v>
      </c>
      <c r="K36" s="4">
        <v>8</v>
      </c>
      <c r="L36" s="14">
        <v>6</v>
      </c>
      <c r="M36" s="13">
        <v>7</v>
      </c>
      <c r="N36" s="10">
        <v>8</v>
      </c>
      <c r="O36" s="4">
        <v>8</v>
      </c>
      <c r="P36" s="9">
        <v>6</v>
      </c>
      <c r="Q36" s="4">
        <v>10</v>
      </c>
      <c r="R36" s="2">
        <v>7</v>
      </c>
      <c r="S36" s="29">
        <f t="shared" si="0"/>
        <v>7.8</v>
      </c>
    </row>
    <row r="37" spans="1:22" ht="15.75" customHeight="1">
      <c r="A37" s="4" t="s">
        <v>24</v>
      </c>
      <c r="B37" s="9">
        <v>27</v>
      </c>
      <c r="C37" s="6" t="s">
        <v>46</v>
      </c>
      <c r="D37" s="3">
        <v>10</v>
      </c>
      <c r="E37" s="4">
        <v>10</v>
      </c>
      <c r="F37" s="4">
        <v>9</v>
      </c>
      <c r="G37" s="4">
        <v>10</v>
      </c>
      <c r="H37" s="4">
        <v>10</v>
      </c>
      <c r="I37" s="11">
        <v>10</v>
      </c>
      <c r="J37" s="4">
        <v>9</v>
      </c>
      <c r="K37" s="4">
        <v>11</v>
      </c>
      <c r="L37" s="14">
        <v>10</v>
      </c>
      <c r="M37" s="13">
        <v>8</v>
      </c>
      <c r="N37" s="10">
        <v>9</v>
      </c>
      <c r="O37" s="4">
        <v>9</v>
      </c>
      <c r="P37" s="9">
        <v>10</v>
      </c>
      <c r="Q37" s="4">
        <v>11</v>
      </c>
      <c r="R37" s="2">
        <v>9</v>
      </c>
      <c r="S37" s="29">
        <f t="shared" si="0"/>
        <v>9.6666666666666661</v>
      </c>
    </row>
    <row r="38" spans="1:22" ht="15.75" customHeight="1">
      <c r="C38" s="17" t="s">
        <v>47</v>
      </c>
      <c r="D38" s="19">
        <f>SUM(D11:D37)/B37</f>
        <v>6.7407407407407405</v>
      </c>
      <c r="E38" s="19">
        <f>SUM(E11:E37)/B37</f>
        <v>7.333333333333333</v>
      </c>
      <c r="F38" s="19">
        <f>SUM(F11:F37)/B37</f>
        <v>9.1851851851851851</v>
      </c>
      <c r="G38" s="19">
        <f>SUM(G11:G37)/B37</f>
        <v>8.5555555555555554</v>
      </c>
      <c r="H38" s="20">
        <f>SUM(H11:H37)/B37</f>
        <v>7.7037037037037033</v>
      </c>
      <c r="I38" s="21">
        <f>SUM(I11:I37)/B37</f>
        <v>7.9259259259259256</v>
      </c>
      <c r="J38" s="22">
        <f>SUM(J11:J37)/B37</f>
        <v>7.2592592592592595</v>
      </c>
      <c r="K38" s="19">
        <f>SUM(K11:K37)/B37</f>
        <v>8.1481481481481488</v>
      </c>
      <c r="L38" s="19">
        <f>SUM(L11:L37)/B37</f>
        <v>7.333333333333333</v>
      </c>
      <c r="M38" s="20">
        <f>SUM(M11:M37)/B37</f>
        <v>6.8518518518518521</v>
      </c>
      <c r="N38" s="23">
        <f>SUM(N11:N37)/B37</f>
        <v>6.5555555555555554</v>
      </c>
      <c r="O38" s="24">
        <f>SUM(O11:O37)/B37</f>
        <v>6.4814814814814818</v>
      </c>
      <c r="P38" s="25">
        <f>SUM(P11:P37)/B37</f>
        <v>7.5555555555555554</v>
      </c>
      <c r="Q38" s="24">
        <f>SUM(Q11:Q37)/B37</f>
        <v>8.8518518518518512</v>
      </c>
      <c r="R38" s="24">
        <f>SUM(R11:R37)/B37</f>
        <v>6.8148148148148149</v>
      </c>
      <c r="S38" s="29">
        <f t="shared" si="0"/>
        <v>7.5530864197530851</v>
      </c>
    </row>
    <row r="39" spans="1:22" ht="15.75" customHeight="1">
      <c r="C39" s="6" t="s">
        <v>48</v>
      </c>
      <c r="D39" s="26">
        <f>(COUNT(D11:D37))/B37*100</f>
        <v>100</v>
      </c>
      <c r="E39" s="26">
        <f>(COUNT(E11:E37))/B37*100</f>
        <v>100</v>
      </c>
      <c r="F39" s="26">
        <f>(COUNT(F11:F37))/B37*100</f>
        <v>100</v>
      </c>
      <c r="G39" s="26">
        <f>(COUNT(G11:G37))/B37*100</f>
        <v>100</v>
      </c>
      <c r="H39" s="26">
        <f>(COUNT(H11:H37))/B37*100</f>
        <v>100</v>
      </c>
      <c r="I39" s="27">
        <f>(COUNT(I11:I37))/B37*100</f>
        <v>100</v>
      </c>
      <c r="J39" s="26">
        <f>(COUNT(J11:J37))/B37*100</f>
        <v>100</v>
      </c>
      <c r="K39" s="26">
        <f>(COUNT(K11:K37))/B37*100</f>
        <v>100</v>
      </c>
      <c r="L39" s="26">
        <f>(COUNT(L11:L37))/B37*100</f>
        <v>100</v>
      </c>
      <c r="M39" s="26">
        <f>(COUNT(M11:M37))/B37*100</f>
        <v>100</v>
      </c>
      <c r="N39" s="26">
        <f>(COUNT(N11:N37))/B37*100</f>
        <v>100</v>
      </c>
      <c r="O39" s="26">
        <f>(COUNT(O11:O37))/B37*100</f>
        <v>100</v>
      </c>
      <c r="P39" s="26">
        <f>(COUNT(P11:P37))/B37*100</f>
        <v>100</v>
      </c>
      <c r="Q39" s="26">
        <f>(COUNT(Q11:Q37))/B37*100</f>
        <v>100</v>
      </c>
      <c r="R39" s="26">
        <f>(COUNT(R11:R37))/B37*100</f>
        <v>100</v>
      </c>
      <c r="S39" s="16"/>
      <c r="T39" s="16"/>
      <c r="U39" s="16"/>
      <c r="V39" s="16"/>
    </row>
    <row r="40" spans="1:22" ht="15.75" customHeight="1">
      <c r="C40" s="18" t="s">
        <v>49</v>
      </c>
      <c r="D40" s="28">
        <f>(COUNTIF(D11:D37,"&gt;=7"))/B37*100</f>
        <v>51.851851851851848</v>
      </c>
      <c r="E40" s="28">
        <f>(COUNTIF(E11:E37,"&gt;=7"))/B37*100</f>
        <v>66.666666666666657</v>
      </c>
      <c r="F40" s="28">
        <f>(COUNTIF(F11:F37,"&gt;=7"))/B37*100</f>
        <v>100</v>
      </c>
      <c r="G40" s="28">
        <f>(COUNTIF(G11:G37,"&gt;=7"))/B37*100</f>
        <v>88.888888888888886</v>
      </c>
      <c r="H40" s="28">
        <f>(COUNTIF(H11:H37,"&gt;=7"))/B37*100</f>
        <v>74.074074074074076</v>
      </c>
      <c r="I40" s="28">
        <f>(COUNTIF(I11:I37,"&gt;=7"))/B37*100</f>
        <v>77.777777777777786</v>
      </c>
      <c r="J40" s="28">
        <f>(COUNTIF(J11:J37,"&gt;=7"))/B37*100</f>
        <v>59.259259259259252</v>
      </c>
      <c r="K40" s="28">
        <f>(COUNTIF(K11:K37,"&gt;=7"))/B37*100</f>
        <v>74.074074074074076</v>
      </c>
      <c r="L40" s="28">
        <f>(COUNTIF(L11:L37,"&gt;=7"))/B37*100</f>
        <v>66.666666666666657</v>
      </c>
      <c r="M40" s="28">
        <f>(COUNTIF(M11:M37,"&gt;=7"))/B37*100</f>
        <v>59.259259259259252</v>
      </c>
      <c r="N40" s="28">
        <f>(COUNTIF(N11:N37,"&gt;=7"))/B37*100</f>
        <v>48.148148148148145</v>
      </c>
      <c r="O40" s="28">
        <f>(COUNTIF(O11:O37,"&gt;=7"))/B37*100</f>
        <v>44.444444444444443</v>
      </c>
      <c r="P40" s="28">
        <f>(COUNTIF(P11:P37,"&gt;=7"))/B37*100</f>
        <v>74.074074074074076</v>
      </c>
      <c r="Q40" s="28">
        <f>(COUNTIF(Q11:Q37,"&gt;=7"))/B37*100</f>
        <v>92.592592592592595</v>
      </c>
      <c r="R40" s="28">
        <f>(COUNTIF(R11:R37,"&gt;=7"))/B37*100</f>
        <v>62.962962962962962</v>
      </c>
      <c r="S40" s="16"/>
      <c r="T40" s="16"/>
      <c r="U40" s="16"/>
      <c r="V40" s="16"/>
    </row>
    <row r="41" spans="1:22" ht="15.75" customHeight="1">
      <c r="C41" s="18" t="s">
        <v>50</v>
      </c>
      <c r="D41" s="19">
        <f>AVERAGE(D39:R39)</f>
        <v>100</v>
      </c>
      <c r="S41" s="16"/>
      <c r="T41" s="16"/>
      <c r="U41" s="16"/>
      <c r="V41" s="16"/>
    </row>
    <row r="42" spans="1:22" ht="15.75" customHeight="1">
      <c r="C42" s="18" t="s">
        <v>51</v>
      </c>
      <c r="D42" s="19">
        <f>AVERAGE(D40:R40)</f>
        <v>69.382716049382722</v>
      </c>
      <c r="S42" s="16"/>
      <c r="T42" s="16"/>
      <c r="U42" s="16"/>
      <c r="V42" s="16"/>
    </row>
    <row r="43" spans="1:22" ht="15.75" customHeight="1">
      <c r="C43" s="18" t="s">
        <v>52</v>
      </c>
      <c r="D43" s="31">
        <f>COUNTIF(A11:A37,"=Б")</f>
        <v>14</v>
      </c>
      <c r="G43" s="30" t="s">
        <v>55</v>
      </c>
      <c r="N43" s="30" t="s">
        <v>56</v>
      </c>
      <c r="S43" s="16"/>
      <c r="T43" s="16"/>
      <c r="U43" s="16"/>
      <c r="V43" s="16"/>
    </row>
    <row r="44" spans="1:22" ht="15.75" customHeight="1">
      <c r="C44" s="18" t="s">
        <v>53</v>
      </c>
      <c r="D44" s="31">
        <f>COUNTIF(A11:A37,"=К")</f>
        <v>13</v>
      </c>
    </row>
    <row r="45" spans="1:22" ht="15.75" customHeight="1">
      <c r="C45" s="18" t="s">
        <v>54</v>
      </c>
      <c r="D45" s="31">
        <v>2</v>
      </c>
      <c r="G45" s="30" t="s">
        <v>57</v>
      </c>
      <c r="N45" s="30" t="s">
        <v>58</v>
      </c>
    </row>
    <row r="46" spans="1:22" ht="15.75" customHeight="1"/>
    <row r="47" spans="1:22" ht="15.75" customHeight="1"/>
    <row r="48" spans="1:22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spans="1:4" ht="15.75" customHeight="1"/>
    <row r="66" spans="1:4" ht="15.75" customHeight="1"/>
    <row r="67" spans="1:4" ht="15.75" customHeight="1"/>
    <row r="68" spans="1:4" ht="15.75" customHeight="1"/>
    <row r="69" spans="1:4" ht="15.75" customHeight="1"/>
    <row r="70" spans="1:4" ht="15.75" customHeight="1"/>
    <row r="71" spans="1:4" ht="15.75" customHeight="1"/>
    <row r="72" spans="1:4" ht="15.75" customHeight="1"/>
    <row r="73" spans="1:4" ht="15.75" customHeight="1"/>
    <row r="74" spans="1:4" ht="15.75" customHeight="1">
      <c r="C74" s="15">
        <f>D45</f>
        <v>2</v>
      </c>
      <c r="D74" s="15" t="e">
        <f>#REF!</f>
        <v>#REF!</v>
      </c>
    </row>
    <row r="75" spans="1:4" ht="15.75" customHeight="1">
      <c r="A75" s="15">
        <f>D43</f>
        <v>14</v>
      </c>
      <c r="B75" s="15">
        <f>D44</f>
        <v>13</v>
      </c>
      <c r="C75" s="15">
        <f>D45</f>
        <v>2</v>
      </c>
      <c r="D75" s="15" t="e">
        <f>#REF!</f>
        <v>#REF!</v>
      </c>
    </row>
    <row r="76" spans="1:4" ht="15.75" customHeight="1">
      <c r="A76" s="15">
        <f>D43</f>
        <v>14</v>
      </c>
      <c r="B76" s="15">
        <f>D44</f>
        <v>13</v>
      </c>
      <c r="C76" s="15">
        <f>D45</f>
        <v>2</v>
      </c>
      <c r="D76" s="15" t="e">
        <f>#REF!</f>
        <v>#REF!</v>
      </c>
    </row>
    <row r="77" spans="1:4" ht="15.75" customHeight="1">
      <c r="A77" s="15">
        <f>D43</f>
        <v>14</v>
      </c>
      <c r="B77" s="15">
        <f>D44</f>
        <v>13</v>
      </c>
      <c r="C77" s="15">
        <f>D45</f>
        <v>2</v>
      </c>
      <c r="D77" s="15" t="e">
        <f>#REF!</f>
        <v>#REF!</v>
      </c>
    </row>
    <row r="78" spans="1:4" ht="15.75" customHeight="1">
      <c r="A78" s="15">
        <f>D43</f>
        <v>14</v>
      </c>
      <c r="B78" s="15">
        <f>D44</f>
        <v>13</v>
      </c>
      <c r="C78" s="15">
        <f>D45</f>
        <v>2</v>
      </c>
      <c r="D78" s="15" t="e">
        <f>#REF!</f>
        <v>#REF!</v>
      </c>
    </row>
    <row r="79" spans="1:4" ht="15.75" customHeight="1">
      <c r="A79" s="15">
        <f>D43</f>
        <v>14</v>
      </c>
      <c r="B79" s="15">
        <f>D44</f>
        <v>13</v>
      </c>
      <c r="C79" s="15">
        <f>D45</f>
        <v>2</v>
      </c>
      <c r="D79" s="15" t="e">
        <f>#REF!</f>
        <v>#REF!</v>
      </c>
    </row>
    <row r="80" spans="1:4" ht="15.75" customHeight="1">
      <c r="A80" s="15">
        <f>D43</f>
        <v>14</v>
      </c>
      <c r="B80" s="15">
        <f>D44</f>
        <v>13</v>
      </c>
      <c r="C80" s="15">
        <f>D45</f>
        <v>2</v>
      </c>
      <c r="D80" s="15" t="e">
        <f>#REF!</f>
        <v>#REF!</v>
      </c>
    </row>
    <row r="81" spans="1:4" ht="15.75" customHeight="1">
      <c r="A81" s="15">
        <f>D43</f>
        <v>14</v>
      </c>
      <c r="B81" s="15">
        <f>D44</f>
        <v>13</v>
      </c>
      <c r="C81" s="15">
        <f>D45</f>
        <v>2</v>
      </c>
      <c r="D81" s="15" t="e">
        <f>#REF!</f>
        <v>#REF!</v>
      </c>
    </row>
    <row r="82" spans="1:4" ht="15.75" customHeight="1">
      <c r="A82" s="15">
        <f>D43</f>
        <v>14</v>
      </c>
      <c r="B82" s="15">
        <f>D44</f>
        <v>13</v>
      </c>
      <c r="C82" s="15">
        <f>D45</f>
        <v>2</v>
      </c>
      <c r="D82" s="15" t="e">
        <f>#REF!</f>
        <v>#REF!</v>
      </c>
    </row>
    <row r="83" spans="1:4" ht="15.75" customHeight="1">
      <c r="A83" s="15">
        <f>D43</f>
        <v>14</v>
      </c>
      <c r="B83" s="15">
        <f>D44</f>
        <v>13</v>
      </c>
      <c r="C83" s="15">
        <f>D45</f>
        <v>2</v>
      </c>
      <c r="D83" s="15" t="e">
        <f>#REF!</f>
        <v>#REF!</v>
      </c>
    </row>
    <row r="84" spans="1:4" ht="15.75" customHeight="1">
      <c r="A84" s="15">
        <f>D43</f>
        <v>14</v>
      </c>
      <c r="B84" s="15">
        <f>D44</f>
        <v>13</v>
      </c>
      <c r="C84" s="15">
        <f>D45</f>
        <v>2</v>
      </c>
      <c r="D84" s="15" t="e">
        <f>#REF!</f>
        <v>#REF!</v>
      </c>
    </row>
    <row r="85" spans="1:4" ht="15.75" customHeight="1">
      <c r="A85" s="15">
        <f>D43</f>
        <v>14</v>
      </c>
      <c r="B85" s="15">
        <f>D44</f>
        <v>13</v>
      </c>
      <c r="C85" s="15">
        <f>D45</f>
        <v>2</v>
      </c>
      <c r="D85" s="15" t="e">
        <f>#REF!</f>
        <v>#REF!</v>
      </c>
    </row>
    <row r="86" spans="1:4" ht="15.75" customHeight="1">
      <c r="A86" s="15">
        <f>D43</f>
        <v>14</v>
      </c>
      <c r="B86" s="15">
        <f>D44</f>
        <v>13</v>
      </c>
      <c r="C86" s="15">
        <f>D45</f>
        <v>2</v>
      </c>
      <c r="D86" s="15" t="e">
        <f>#REF!</f>
        <v>#REF!</v>
      </c>
    </row>
    <row r="87" spans="1:4" ht="15.75" customHeight="1">
      <c r="A87" s="15">
        <f>D43</f>
        <v>14</v>
      </c>
      <c r="B87" s="15">
        <f>D44</f>
        <v>13</v>
      </c>
      <c r="C87" s="15">
        <f>D45</f>
        <v>2</v>
      </c>
      <c r="D87" s="15" t="e">
        <f>#REF!</f>
        <v>#REF!</v>
      </c>
    </row>
    <row r="88" spans="1:4" ht="15.75" customHeight="1">
      <c r="A88" s="15">
        <f>D43</f>
        <v>14</v>
      </c>
      <c r="B88" s="15">
        <f>D44</f>
        <v>13</v>
      </c>
      <c r="C88" s="15">
        <f>D45</f>
        <v>2</v>
      </c>
      <c r="D88" s="15" t="e">
        <f>#REF!</f>
        <v>#REF!</v>
      </c>
    </row>
    <row r="89" spans="1:4" ht="15.75" customHeight="1">
      <c r="A89" s="15">
        <f>D43</f>
        <v>14</v>
      </c>
      <c r="B89" s="15">
        <f>D44</f>
        <v>13</v>
      </c>
      <c r="C89" s="15">
        <f>D45</f>
        <v>2</v>
      </c>
      <c r="D89" s="15" t="e">
        <f>#REF!</f>
        <v>#REF!</v>
      </c>
    </row>
    <row r="90" spans="1:4" ht="15.75" customHeight="1">
      <c r="A90" s="15">
        <f>D43</f>
        <v>14</v>
      </c>
      <c r="B90" s="15">
        <f>D44</f>
        <v>13</v>
      </c>
      <c r="C90" s="15">
        <f>D45</f>
        <v>2</v>
      </c>
      <c r="D90" s="15" t="e">
        <f>#REF!</f>
        <v>#REF!</v>
      </c>
    </row>
    <row r="91" spans="1:4" ht="15.75" customHeight="1">
      <c r="A91" s="15">
        <f>D43</f>
        <v>14</v>
      </c>
      <c r="B91" s="15">
        <f>D44</f>
        <v>13</v>
      </c>
      <c r="C91" s="15">
        <f>D45</f>
        <v>2</v>
      </c>
      <c r="D91" s="15" t="e">
        <f>#REF!</f>
        <v>#REF!</v>
      </c>
    </row>
    <row r="92" spans="1:4" ht="15.75" customHeight="1">
      <c r="A92" s="15">
        <f>D43</f>
        <v>14</v>
      </c>
      <c r="B92" s="15">
        <f>D44</f>
        <v>13</v>
      </c>
      <c r="C92" s="15">
        <f>D45</f>
        <v>2</v>
      </c>
      <c r="D92" s="15" t="e">
        <f>#REF!</f>
        <v>#REF!</v>
      </c>
    </row>
    <row r="93" spans="1:4" ht="15.75" customHeight="1">
      <c r="A93" s="15">
        <f>D43</f>
        <v>14</v>
      </c>
      <c r="B93" s="15">
        <f>D44</f>
        <v>13</v>
      </c>
      <c r="C93" s="15">
        <f>D45</f>
        <v>2</v>
      </c>
      <c r="D93" s="15" t="e">
        <f>#REF!</f>
        <v>#REF!</v>
      </c>
    </row>
    <row r="94" spans="1:4" ht="15.75" customHeight="1">
      <c r="A94" s="15">
        <f>D43</f>
        <v>14</v>
      </c>
      <c r="B94" s="15">
        <f>D44</f>
        <v>13</v>
      </c>
      <c r="C94" s="15">
        <f>D45</f>
        <v>2</v>
      </c>
      <c r="D94" s="15" t="e">
        <f>#REF!</f>
        <v>#REF!</v>
      </c>
    </row>
    <row r="95" spans="1:4" ht="15.75" customHeight="1">
      <c r="A95" s="15">
        <f>D43</f>
        <v>14</v>
      </c>
      <c r="B95" s="15">
        <f>D44</f>
        <v>13</v>
      </c>
      <c r="C95" s="15">
        <f>D45</f>
        <v>2</v>
      </c>
      <c r="D95" s="15" t="e">
        <f>#REF!</f>
        <v>#REF!</v>
      </c>
    </row>
    <row r="96" spans="1:4" ht="15.75" customHeight="1">
      <c r="A96" s="15">
        <f>D43</f>
        <v>14</v>
      </c>
      <c r="B96" s="15">
        <f>D44</f>
        <v>13</v>
      </c>
      <c r="C96" s="15">
        <f>D45</f>
        <v>2</v>
      </c>
      <c r="D96" s="15" t="e">
        <f>#REF!</f>
        <v>#REF!</v>
      </c>
    </row>
    <row r="97" spans="1:4" ht="15.75" customHeight="1">
      <c r="A97" s="15">
        <f>D43</f>
        <v>14</v>
      </c>
      <c r="B97" s="15">
        <f>D44</f>
        <v>13</v>
      </c>
      <c r="C97" s="15">
        <f>D45</f>
        <v>2</v>
      </c>
      <c r="D97" s="15" t="e">
        <f>#REF!</f>
        <v>#REF!</v>
      </c>
    </row>
    <row r="98" spans="1:4" ht="15.75" customHeight="1">
      <c r="A98" s="15">
        <f>D43</f>
        <v>14</v>
      </c>
      <c r="B98" s="15">
        <f>D44</f>
        <v>13</v>
      </c>
      <c r="C98" s="15">
        <f>D45</f>
        <v>2</v>
      </c>
      <c r="D98" s="15" t="e">
        <f>#REF!</f>
        <v>#REF!</v>
      </c>
    </row>
    <row r="99" spans="1:4" ht="15.75" customHeight="1">
      <c r="A99" s="15">
        <f>D43</f>
        <v>14</v>
      </c>
      <c r="B99" s="15">
        <f>D44</f>
        <v>13</v>
      </c>
      <c r="C99" s="15">
        <f>D45</f>
        <v>2</v>
      </c>
      <c r="D99" s="15" t="e">
        <f>#REF!</f>
        <v>#REF!</v>
      </c>
    </row>
    <row r="100" spans="1:4" ht="15.75" customHeight="1">
      <c r="A100" s="15">
        <f>D43</f>
        <v>14</v>
      </c>
      <c r="B100" s="15">
        <f>D44</f>
        <v>13</v>
      </c>
      <c r="C100" s="15">
        <f>D45</f>
        <v>2</v>
      </c>
      <c r="D100" s="15" t="e">
        <f>#REF!</f>
        <v>#REF!</v>
      </c>
    </row>
    <row r="101" spans="1:4" ht="15.75" customHeight="1">
      <c r="A101" s="15">
        <f>D43</f>
        <v>14</v>
      </c>
      <c r="B101" s="15">
        <f>D44</f>
        <v>13</v>
      </c>
      <c r="C101" s="15">
        <f>D45</f>
        <v>2</v>
      </c>
      <c r="D101" s="15" t="e">
        <f>#REF!</f>
        <v>#REF!</v>
      </c>
    </row>
    <row r="102" spans="1:4" ht="15.75" customHeight="1">
      <c r="A102" s="15">
        <f>D43</f>
        <v>14</v>
      </c>
      <c r="B102" s="15">
        <f>D44</f>
        <v>13</v>
      </c>
      <c r="C102" s="15">
        <f>D45</f>
        <v>2</v>
      </c>
      <c r="D102" s="15" t="e">
        <f>#REF!</f>
        <v>#REF!</v>
      </c>
    </row>
    <row r="103" spans="1:4" ht="15.75" customHeight="1">
      <c r="A103" s="15">
        <f>D43</f>
        <v>14</v>
      </c>
      <c r="B103" s="15">
        <f>D44</f>
        <v>13</v>
      </c>
      <c r="C103" s="15">
        <f>D45</f>
        <v>2</v>
      </c>
      <c r="D103" s="15" t="e">
        <f>#REF!</f>
        <v>#REF!</v>
      </c>
    </row>
    <row r="104" spans="1:4" ht="15.75" customHeight="1">
      <c r="A104" s="15">
        <f>D43</f>
        <v>14</v>
      </c>
      <c r="B104" s="15">
        <f>D44</f>
        <v>13</v>
      </c>
      <c r="C104" s="15">
        <f>D45</f>
        <v>2</v>
      </c>
      <c r="D104" s="15" t="e">
        <f>#REF!</f>
        <v>#REF!</v>
      </c>
    </row>
    <row r="105" spans="1:4" ht="15.75" customHeight="1">
      <c r="A105" s="15">
        <f>D43</f>
        <v>14</v>
      </c>
      <c r="B105" s="15">
        <f>D44</f>
        <v>13</v>
      </c>
      <c r="C105" s="15">
        <f>D45</f>
        <v>2</v>
      </c>
      <c r="D105" s="15" t="e">
        <f>#REF!</f>
        <v>#REF!</v>
      </c>
    </row>
    <row r="106" spans="1:4" ht="15.75" customHeight="1">
      <c r="A106" s="15">
        <f>D43</f>
        <v>14</v>
      </c>
      <c r="B106" s="15">
        <f>D44</f>
        <v>13</v>
      </c>
      <c r="C106" s="15">
        <f>D45</f>
        <v>2</v>
      </c>
      <c r="D106" s="15" t="e">
        <f>#REF!</f>
        <v>#REF!</v>
      </c>
    </row>
    <row r="107" spans="1:4" ht="15.75" customHeight="1">
      <c r="A107" s="15">
        <f>D43</f>
        <v>14</v>
      </c>
      <c r="B107" s="15">
        <f>D44</f>
        <v>13</v>
      </c>
      <c r="C107" s="15">
        <f>D45</f>
        <v>2</v>
      </c>
      <c r="D107" s="15" t="e">
        <f>#REF!</f>
        <v>#REF!</v>
      </c>
    </row>
    <row r="108" spans="1:4" ht="15.75" customHeight="1">
      <c r="A108" s="15">
        <f>D43</f>
        <v>14</v>
      </c>
      <c r="B108" s="15">
        <f>D44</f>
        <v>13</v>
      </c>
      <c r="C108" s="15">
        <f>D45</f>
        <v>2</v>
      </c>
      <c r="D108" s="15" t="e">
        <f>#REF!</f>
        <v>#REF!</v>
      </c>
    </row>
    <row r="109" spans="1:4" ht="15.75" customHeight="1">
      <c r="A109" s="15">
        <f>D43</f>
        <v>14</v>
      </c>
      <c r="B109" s="15">
        <f>D44</f>
        <v>13</v>
      </c>
      <c r="C109" s="15">
        <f>D45</f>
        <v>2</v>
      </c>
      <c r="D109" s="15" t="e">
        <f>#REF!</f>
        <v>#REF!</v>
      </c>
    </row>
    <row r="110" spans="1:4" ht="15.75" customHeight="1">
      <c r="A110" s="15">
        <f>D43</f>
        <v>14</v>
      </c>
      <c r="B110" s="15">
        <f>D44</f>
        <v>13</v>
      </c>
      <c r="C110" s="15">
        <f>D45</f>
        <v>2</v>
      </c>
      <c r="D110" s="15" t="e">
        <f>#REF!</f>
        <v>#REF!</v>
      </c>
    </row>
    <row r="111" spans="1:4" ht="15.75" customHeight="1">
      <c r="A111" s="15">
        <f>D43</f>
        <v>14</v>
      </c>
      <c r="B111" s="15">
        <f>D44</f>
        <v>13</v>
      </c>
      <c r="C111" s="15">
        <f>D45</f>
        <v>2</v>
      </c>
      <c r="D111" s="15" t="e">
        <f>#REF!</f>
        <v>#REF!</v>
      </c>
    </row>
    <row r="112" spans="1:4" ht="15.75" customHeight="1">
      <c r="A112" s="15">
        <f>D43</f>
        <v>14</v>
      </c>
      <c r="B112" s="15">
        <f>D44</f>
        <v>13</v>
      </c>
      <c r="C112" s="15">
        <f>D45</f>
        <v>2</v>
      </c>
      <c r="D112" s="15" t="e">
        <f>#REF!</f>
        <v>#REF!</v>
      </c>
    </row>
    <row r="113" spans="1:4" ht="15.75" customHeight="1">
      <c r="A113" s="15">
        <f>D43</f>
        <v>14</v>
      </c>
      <c r="B113" s="15">
        <f>D44</f>
        <v>13</v>
      </c>
      <c r="C113" s="15">
        <f>D45</f>
        <v>2</v>
      </c>
      <c r="D113" s="15" t="e">
        <f>#REF!</f>
        <v>#REF!</v>
      </c>
    </row>
    <row r="114" spans="1:4" ht="15.75" customHeight="1">
      <c r="A114" s="15">
        <f>D43</f>
        <v>14</v>
      </c>
      <c r="B114" s="15">
        <f>D44</f>
        <v>13</v>
      </c>
      <c r="C114" s="15">
        <f>D45</f>
        <v>2</v>
      </c>
      <c r="D114" s="15" t="e">
        <f>#REF!</f>
        <v>#REF!</v>
      </c>
    </row>
    <row r="115" spans="1:4" ht="15.75" customHeight="1">
      <c r="A115" s="15">
        <f>D43</f>
        <v>14</v>
      </c>
      <c r="B115" s="15">
        <f>D44</f>
        <v>13</v>
      </c>
      <c r="C115" s="15">
        <f>D45</f>
        <v>2</v>
      </c>
      <c r="D115" s="15" t="e">
        <f>#REF!</f>
        <v>#REF!</v>
      </c>
    </row>
    <row r="116" spans="1:4" ht="15.75" customHeight="1">
      <c r="A116" s="15">
        <f>D43</f>
        <v>14</v>
      </c>
      <c r="B116" s="15">
        <f>D44</f>
        <v>13</v>
      </c>
      <c r="C116" s="15">
        <f>D45</f>
        <v>2</v>
      </c>
      <c r="D116" s="15" t="e">
        <f>#REF!</f>
        <v>#REF!</v>
      </c>
    </row>
    <row r="117" spans="1:4" ht="15.75" customHeight="1">
      <c r="A117" s="15">
        <f>D43</f>
        <v>14</v>
      </c>
      <c r="B117" s="15">
        <f>D44</f>
        <v>13</v>
      </c>
      <c r="C117" s="15">
        <f>D45</f>
        <v>2</v>
      </c>
      <c r="D117" s="15" t="e">
        <f>#REF!</f>
        <v>#REF!</v>
      </c>
    </row>
    <row r="118" spans="1:4" ht="15.75" customHeight="1">
      <c r="A118" s="15">
        <f>D43</f>
        <v>14</v>
      </c>
      <c r="B118" s="15">
        <f>D44</f>
        <v>13</v>
      </c>
      <c r="C118" s="15">
        <f>D45</f>
        <v>2</v>
      </c>
      <c r="D118" s="15" t="e">
        <f>#REF!</f>
        <v>#REF!</v>
      </c>
    </row>
    <row r="119" spans="1:4" ht="15.75" customHeight="1">
      <c r="A119" s="15">
        <f>D43</f>
        <v>14</v>
      </c>
      <c r="B119" s="15">
        <f>D44</f>
        <v>13</v>
      </c>
      <c r="C119" s="15">
        <f>D45</f>
        <v>2</v>
      </c>
      <c r="D119" s="15" t="e">
        <f>#REF!</f>
        <v>#REF!</v>
      </c>
    </row>
    <row r="120" spans="1:4" ht="15.75" customHeight="1">
      <c r="A120" s="15">
        <f>D43</f>
        <v>14</v>
      </c>
      <c r="B120" s="15">
        <f>D44</f>
        <v>13</v>
      </c>
    </row>
    <row r="121" spans="1:4" ht="15.75" customHeight="1"/>
    <row r="122" spans="1:4" ht="15.75" customHeight="1"/>
    <row r="123" spans="1:4" ht="15.75" customHeight="1"/>
    <row r="124" spans="1:4" ht="15.75" customHeight="1"/>
    <row r="125" spans="1:4" ht="15.75" customHeight="1"/>
    <row r="126" spans="1:4" ht="15.75" customHeight="1"/>
    <row r="127" spans="1:4" ht="15.75" customHeight="1"/>
    <row r="128" spans="1:4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6">
    <mergeCell ref="A1:S1"/>
    <mergeCell ref="A2:S2"/>
    <mergeCell ref="A3:S3"/>
    <mergeCell ref="A4:S4"/>
    <mergeCell ref="A5:S5"/>
    <mergeCell ref="R8:R10"/>
    <mergeCell ref="S8:S10"/>
    <mergeCell ref="J8:J10"/>
    <mergeCell ref="K8:K10"/>
    <mergeCell ref="A6:S6"/>
    <mergeCell ref="L8:L10"/>
    <mergeCell ref="M8:M10"/>
    <mergeCell ref="N8:N10"/>
    <mergeCell ref="O8:O10"/>
    <mergeCell ref="A7:A10"/>
    <mergeCell ref="B7:B10"/>
    <mergeCell ref="C7:C10"/>
    <mergeCell ref="D7:S7"/>
    <mergeCell ref="D8:D10"/>
    <mergeCell ref="E8:E10"/>
    <mergeCell ref="F8:F10"/>
    <mergeCell ref="G8:G10"/>
    <mergeCell ref="H8:H10"/>
    <mergeCell ref="I8:I10"/>
    <mergeCell ref="P8:P10"/>
    <mergeCell ref="Q8:Q10"/>
  </mergeCells>
  <pageMargins left="0.7" right="0.7" top="0.75" bottom="0.75" header="0" footer="0"/>
  <pageSetup paperSize="9" scale="6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Зведена відомість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Asust</dc:creator>
  <cp:lastModifiedBy>SURKOV</cp:lastModifiedBy>
  <cp:lastPrinted>2021-12-30T10:47:48Z</cp:lastPrinted>
  <dcterms:created xsi:type="dcterms:W3CDTF">2006-09-28T05:33:49Z</dcterms:created>
  <dcterms:modified xsi:type="dcterms:W3CDTF">2022-09-05T09:09:27Z</dcterms:modified>
</cp:coreProperties>
</file>