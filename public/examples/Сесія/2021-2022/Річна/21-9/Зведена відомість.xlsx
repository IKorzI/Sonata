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70" yWindow="615" windowWidth="19980" windowHeight="7110"/>
  </bookViews>
  <sheets>
    <sheet name="Зведена відомість 181" sheetId="1" r:id="rId1"/>
    <sheet name="Зведена відомість 241" sheetId="2" r:id="rId2"/>
  </sheets>
  <calcPr calcId="125725"/>
  <extLst>
    <ext uri="GoogleSheetsCustomDataVersion1">
      <go:sheetsCustomData xmlns:go="http://customooxmlschemas.google.com/" r:id="" roundtripDataSignature="AMtx7mjyIn0RiNfFfqPtrV49+LSuGMCfpA=="/>
    </ext>
  </extLst>
</workbook>
</file>

<file path=xl/calcChain.xml><?xml version="1.0" encoding="utf-8"?>
<calcChain xmlns="http://schemas.openxmlformats.org/spreadsheetml/2006/main">
  <c r="S11" i="1"/>
  <c r="R14"/>
  <c r="Q14"/>
  <c r="P14"/>
  <c r="O14"/>
  <c r="N14"/>
  <c r="M14"/>
  <c r="L14"/>
  <c r="K14"/>
  <c r="J14"/>
  <c r="I14"/>
  <c r="H14"/>
  <c r="G14"/>
  <c r="F14"/>
  <c r="E14"/>
  <c r="D14"/>
  <c r="R13"/>
  <c r="Q13"/>
  <c r="P13"/>
  <c r="O13"/>
  <c r="N13"/>
  <c r="M13"/>
  <c r="L13"/>
  <c r="K13"/>
  <c r="J13"/>
  <c r="I13"/>
  <c r="H13"/>
  <c r="G13"/>
  <c r="F13"/>
  <c r="E13"/>
  <c r="D13"/>
  <c r="R12"/>
  <c r="Q12"/>
  <c r="P12"/>
  <c r="O12"/>
  <c r="N12"/>
  <c r="M12"/>
  <c r="L12"/>
  <c r="K12"/>
  <c r="J12"/>
  <c r="I12"/>
  <c r="H12"/>
  <c r="G12"/>
  <c r="F12"/>
  <c r="E12"/>
  <c r="D12"/>
  <c r="R42" i="2"/>
  <c r="Q42"/>
  <c r="P42"/>
  <c r="O42"/>
  <c r="N42"/>
  <c r="M42"/>
  <c r="L42"/>
  <c r="K42"/>
  <c r="J42"/>
  <c r="I42"/>
  <c r="H42"/>
  <c r="G42"/>
  <c r="F42"/>
  <c r="E42"/>
  <c r="D42"/>
  <c r="R41"/>
  <c r="Q41"/>
  <c r="P41"/>
  <c r="O41"/>
  <c r="N41"/>
  <c r="M41"/>
  <c r="L41"/>
  <c r="K41"/>
  <c r="J41"/>
  <c r="I41"/>
  <c r="H41"/>
  <c r="G41"/>
  <c r="F41"/>
  <c r="E41"/>
  <c r="D41"/>
  <c r="R40"/>
  <c r="Q40"/>
  <c r="P40"/>
  <c r="O40"/>
  <c r="N40"/>
  <c r="M40"/>
  <c r="L40"/>
  <c r="K40"/>
  <c r="J40"/>
  <c r="I40"/>
  <c r="H40"/>
  <c r="G40"/>
  <c r="F40"/>
  <c r="E40"/>
  <c r="D40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11"/>
  <c r="D43" l="1"/>
  <c r="S12" i="1"/>
  <c r="D16"/>
  <c r="D15"/>
  <c r="D44" i="2"/>
  <c r="S40"/>
</calcChain>
</file>

<file path=xl/sharedStrings.xml><?xml version="1.0" encoding="utf-8"?>
<sst xmlns="http://schemas.openxmlformats.org/spreadsheetml/2006/main" count="131" uniqueCount="68">
  <si>
    <t xml:space="preserve">ЗВЕДЕНА  ВІДОМІСТЬ  </t>
  </si>
  <si>
    <t>Успішності студентів спеціальності 181 "Харчові технології"</t>
  </si>
  <si>
    <t>Б/К</t>
  </si>
  <si>
    <t>№ п/п</t>
  </si>
  <si>
    <t>Прізвище, ім’я по батькові</t>
  </si>
  <si>
    <t>Підсумкові оцінки дисциплін</t>
  </si>
  <si>
    <t>Всесвітня історія
Мельничук С.А.</t>
  </si>
  <si>
    <t>Математика
Нужна Н.В.</t>
  </si>
  <si>
    <t>Зарубіжна література
Пруднікова Я.П.</t>
  </si>
  <si>
    <t>Біологія
Богданенко О.В.</t>
  </si>
  <si>
    <t>Іноземна мова
Галинська Т.С.</t>
  </si>
  <si>
    <t>Історія України
Левчук Т.Г.</t>
  </si>
  <si>
    <t>Географія
Наговська Т.С.</t>
  </si>
  <si>
    <t>Середній бал</t>
  </si>
  <si>
    <t>К</t>
  </si>
  <si>
    <t>Кузнецовська Софія Романівна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</si>
  <si>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</si>
  <si>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</si>
  <si>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</si>
  <si>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</si>
  <si>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</si>
  <si>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Класний керівник</t>
  </si>
  <si>
    <t>Завідувач відділення ПЗСО</t>
  </si>
  <si>
    <t>Маргарита БРІТІКОВА</t>
  </si>
  <si>
    <t>Алавацький Геннадій Олекс.</t>
  </si>
  <si>
    <t>Багнюк Вероніка Романівна</t>
  </si>
  <si>
    <t>Годжаєв Олександр Євгенійов.</t>
  </si>
  <si>
    <t>Гордійчук Михайло Сергійович</t>
  </si>
  <si>
    <t xml:space="preserve">Забродін Максим Ігорович      </t>
  </si>
  <si>
    <t>Камєнева Юлія Сергіївна</t>
  </si>
  <si>
    <t>Кондратьєв Гліб Костянтин</t>
  </si>
  <si>
    <t>Константинова Яна Костянтин.</t>
  </si>
  <si>
    <t>Куліш Світлана Романівна</t>
  </si>
  <si>
    <t>Лапановська Валерія Денисівна</t>
  </si>
  <si>
    <t>Ломовой Віктор Сергійович</t>
  </si>
  <si>
    <t>Лук’яненко Данііл Олегович</t>
  </si>
  <si>
    <t>Миронова Анастасія Сергіївна</t>
  </si>
  <si>
    <t>Невкрита Ліна Олександрівна</t>
  </si>
  <si>
    <t>Остапчук Поліна Михайлівна</t>
  </si>
  <si>
    <t>Пантьо Діана Василівна</t>
  </si>
  <si>
    <t>Першина Віолетта Олександр.</t>
  </si>
  <si>
    <t>Попова Діана Павлівна</t>
  </si>
  <si>
    <t>Прищепа Дар’я Володимирівна</t>
  </si>
  <si>
    <t>Проценко Камілла Дмитрівна</t>
  </si>
  <si>
    <t>Савченко Дар’я Сергіївна</t>
  </si>
  <si>
    <t>Семенова Вікторія Олександр.</t>
  </si>
  <si>
    <t>Степанова Анастасія Вадимівна</t>
  </si>
  <si>
    <t>Ходак Іван Олександрович</t>
  </si>
  <si>
    <t>Цимбал Валерія Андріївна</t>
  </si>
  <si>
    <t>Чайка Ярослав Олегович</t>
  </si>
  <si>
    <t>Чечера Катерина Володимирів.</t>
  </si>
  <si>
    <t>Шейн Вероніка Юріївна</t>
  </si>
  <si>
    <t>Шнуркованюк Ангеліна Вітал.</t>
  </si>
  <si>
    <t>Група 21-9 курс І</t>
  </si>
  <si>
    <t>Яна ГУСАК-ШКЛОВСЬКА</t>
  </si>
  <si>
    <t xml:space="preserve">  </t>
  </si>
  <si>
    <t>Астрономія
Калюта Н.М.</t>
  </si>
  <si>
    <t>ЗВ
Черкашин А.Д.</t>
  </si>
  <si>
    <t>Інформатика
Редунов Г.М.</t>
  </si>
  <si>
    <t>Українська література
Юрченко О.Б.</t>
  </si>
  <si>
    <t>Українська мова
Юрченко О.Б.</t>
  </si>
  <si>
    <t>Фізика
Швець М.В.</t>
  </si>
  <si>
    <t>Фізичне виховання
Акрабова О.Г.</t>
  </si>
  <si>
    <t>Хімія
Леонова Д.І.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</si>
  <si>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</si>
  <si>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</si>
  <si>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Успішності студентів спеціальності 241 «Готельно-ресторанна справа»</t>
  </si>
  <si>
    <t>Річна 2021-2022 н.р.</t>
  </si>
</sst>
</file>

<file path=xl/styles.xml><?xml version="1.0" encoding="utf-8"?>
<styleSheet xmlns="http://schemas.openxmlformats.org/spreadsheetml/2006/main">
  <numFmts count="1">
    <numFmt numFmtId="164" formatCode="0.0"/>
  </numFmts>
  <fonts count="16">
    <font>
      <sz val="11"/>
      <color rgb="FF000000"/>
      <name val="Calibri"/>
    </font>
    <font>
      <sz val="14"/>
      <color theme="1"/>
      <name val="Times New Roman"/>
      <family val="1"/>
      <charset val="204"/>
    </font>
    <font>
      <sz val="16"/>
      <color theme="1"/>
      <name val="Arimo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Arimo"/>
    </font>
    <font>
      <sz val="11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  <font>
      <sz val="14"/>
      <color theme="1"/>
      <name val="Arimo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15"/>
  </cellStyleXfs>
  <cellXfs count="58">
    <xf numFmtId="0" fontId="0" fillId="0" borderId="0" xfId="0" applyFont="1" applyAlignment="1"/>
    <xf numFmtId="0" fontId="2" fillId="0" borderId="0" xfId="0" applyFont="1"/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0" xfId="0" applyFont="1"/>
    <xf numFmtId="0" fontId="4" fillId="2" borderId="9" xfId="0" applyFont="1" applyFill="1" applyBorder="1" applyAlignment="1">
      <alignment vertical="center" wrapText="1"/>
    </xf>
    <xf numFmtId="164" fontId="4" fillId="3" borderId="9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10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15" xfId="0" applyFont="1" applyBorder="1" applyAlignment="1"/>
    <xf numFmtId="0" fontId="0" fillId="0" borderId="15" xfId="0" applyFont="1" applyBorder="1"/>
    <xf numFmtId="0" fontId="7" fillId="0" borderId="15" xfId="0" applyFont="1" applyBorder="1"/>
    <xf numFmtId="0" fontId="0" fillId="0" borderId="15" xfId="0" applyBorder="1" applyAlignment="1"/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0" borderId="15" xfId="0" applyFont="1" applyBorder="1"/>
    <xf numFmtId="0" fontId="12" fillId="0" borderId="15" xfId="0" applyFont="1" applyBorder="1" applyAlignment="1"/>
    <xf numFmtId="0" fontId="12" fillId="0" borderId="15" xfId="0" applyFont="1" applyBorder="1"/>
    <xf numFmtId="0" fontId="13" fillId="0" borderId="0" xfId="0" applyFont="1" applyAlignment="1">
      <alignment horizontal="center" vertical="center"/>
    </xf>
    <xf numFmtId="0" fontId="12" fillId="0" borderId="0" xfId="0" applyFont="1" applyAlignment="1"/>
    <xf numFmtId="0" fontId="11" fillId="0" borderId="0" xfId="0" applyFont="1"/>
    <xf numFmtId="0" fontId="12" fillId="0" borderId="0" xfId="0" applyFont="1"/>
    <xf numFmtId="164" fontId="15" fillId="4" borderId="11" xfId="1" applyNumberFormat="1" applyFont="1" applyFill="1" applyBorder="1" applyAlignment="1">
      <alignment horizontal="center" vertical="center"/>
    </xf>
    <xf numFmtId="164" fontId="15" fillId="4" borderId="2" xfId="1" applyNumberFormat="1" applyFont="1" applyFill="1" applyBorder="1" applyAlignment="1">
      <alignment horizontal="center" vertical="center"/>
    </xf>
    <xf numFmtId="164" fontId="15" fillId="4" borderId="6" xfId="1" applyNumberFormat="1" applyFont="1" applyFill="1" applyBorder="1" applyAlignment="1">
      <alignment horizontal="center" vertical="center"/>
    </xf>
    <xf numFmtId="164" fontId="15" fillId="4" borderId="14" xfId="1" applyNumberFormat="1" applyFont="1" applyFill="1" applyBorder="1" applyAlignment="1">
      <alignment horizontal="center" vertical="center"/>
    </xf>
    <xf numFmtId="164" fontId="15" fillId="5" borderId="9" xfId="1" applyNumberFormat="1" applyFont="1" applyFill="1" applyBorder="1" applyAlignment="1">
      <alignment horizontal="center" vertical="center"/>
    </xf>
    <xf numFmtId="2" fontId="15" fillId="5" borderId="9" xfId="1" applyNumberFormat="1" applyFont="1" applyFill="1" applyBorder="1" applyAlignment="1">
      <alignment horizontal="center" vertical="center"/>
    </xf>
    <xf numFmtId="0" fontId="15" fillId="0" borderId="15" xfId="1" applyNumberFormat="1" applyFont="1" applyFill="1" applyBorder="1" applyAlignment="1">
      <alignment horizontal="center" vertical="center"/>
    </xf>
    <xf numFmtId="0" fontId="14" fillId="0" borderId="0" xfId="0" applyFont="1" applyAlignment="1"/>
    <xf numFmtId="2" fontId="15" fillId="5" borderId="8" xfId="1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 textRotation="90" wrapText="1"/>
    </xf>
    <xf numFmtId="0" fontId="5" fillId="0" borderId="16" xfId="0" applyFont="1" applyBorder="1"/>
    <xf numFmtId="0" fontId="1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2" borderId="16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15" xfId="0" applyFont="1" applyBorder="1"/>
    <xf numFmtId="0" fontId="4" fillId="0" borderId="12" xfId="0" applyFont="1" applyBorder="1" applyAlignment="1">
      <alignment horizontal="center"/>
    </xf>
    <xf numFmtId="0" fontId="5" fillId="0" borderId="13" xfId="0" applyFont="1" applyBorder="1"/>
    <xf numFmtId="0" fontId="5" fillId="0" borderId="2" xfId="0" applyFont="1" applyBorder="1"/>
    <xf numFmtId="0" fontId="4" fillId="2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11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0"/>
  <sheetViews>
    <sheetView tabSelected="1" workbookViewId="0">
      <selection sqref="A1:S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7" width="6.7109375" customWidth="1"/>
    <col min="18" max="18" width="6.7109375" style="19" customWidth="1"/>
    <col min="19" max="19" width="11.28515625" customWidth="1"/>
    <col min="20" max="27" width="8.7109375" customWidth="1"/>
  </cols>
  <sheetData>
    <row r="1" spans="1:27" ht="15" customHeight="1">
      <c r="A1" s="45" t="s">
        <v>64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27" ht="15" customHeight="1">
      <c r="A2" s="45" t="s">
        <v>65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</row>
    <row r="3" spans="1:27" ht="15" customHeight="1">
      <c r="A3" s="46" t="s">
        <v>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spans="1:27" ht="15" customHeight="1">
      <c r="A4" s="47" t="s">
        <v>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7" ht="15" customHeight="1">
      <c r="A5" s="47" t="s">
        <v>67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7" ht="15" customHeight="1">
      <c r="A6" s="42" t="s">
        <v>53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</row>
    <row r="7" spans="1:27" ht="15.75">
      <c r="A7" s="57" t="s">
        <v>2</v>
      </c>
      <c r="B7" s="49" t="s">
        <v>3</v>
      </c>
      <c r="C7" s="52" t="s">
        <v>4</v>
      </c>
      <c r="D7" s="54" t="s">
        <v>5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6"/>
    </row>
    <row r="8" spans="1:27" ht="15" customHeight="1">
      <c r="A8" s="50"/>
      <c r="B8" s="50"/>
      <c r="C8" s="53"/>
      <c r="D8" s="43" t="s">
        <v>56</v>
      </c>
      <c r="E8" s="43" t="s">
        <v>9</v>
      </c>
      <c r="F8" s="43" t="s">
        <v>6</v>
      </c>
      <c r="G8" s="43" t="s">
        <v>12</v>
      </c>
      <c r="H8" s="43" t="s">
        <v>8</v>
      </c>
      <c r="I8" s="43" t="s">
        <v>57</v>
      </c>
      <c r="J8" s="43" t="s">
        <v>10</v>
      </c>
      <c r="K8" s="43" t="s">
        <v>58</v>
      </c>
      <c r="L8" s="43" t="s">
        <v>11</v>
      </c>
      <c r="M8" s="43" t="s">
        <v>7</v>
      </c>
      <c r="N8" s="43" t="s">
        <v>59</v>
      </c>
      <c r="O8" s="43" t="s">
        <v>60</v>
      </c>
      <c r="P8" s="43" t="s">
        <v>61</v>
      </c>
      <c r="Q8" s="43" t="s">
        <v>62</v>
      </c>
      <c r="R8" s="43" t="s">
        <v>63</v>
      </c>
      <c r="S8" s="48" t="s">
        <v>13</v>
      </c>
      <c r="V8" s="19"/>
      <c r="W8" s="19"/>
      <c r="X8" s="19"/>
    </row>
    <row r="9" spans="1:27" ht="15" customHeight="1">
      <c r="A9" s="50"/>
      <c r="B9" s="50"/>
      <c r="C9" s="53"/>
      <c r="D9" s="43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V9" s="19"/>
      <c r="W9" s="19"/>
      <c r="X9" s="19"/>
    </row>
    <row r="10" spans="1:27" ht="97.5" customHeight="1">
      <c r="A10" s="51"/>
      <c r="B10" s="51"/>
      <c r="C10" s="53"/>
      <c r="D10" s="43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V10" s="19"/>
      <c r="W10" s="19"/>
      <c r="X10" s="19"/>
    </row>
    <row r="11" spans="1:27" ht="15.75" customHeight="1">
      <c r="A11" s="2" t="s">
        <v>14</v>
      </c>
      <c r="B11" s="3">
        <v>1</v>
      </c>
      <c r="C11" s="4" t="s">
        <v>15</v>
      </c>
      <c r="D11" s="24">
        <v>4</v>
      </c>
      <c r="E11" s="25">
        <v>10</v>
      </c>
      <c r="F11" s="25">
        <v>10</v>
      </c>
      <c r="G11" s="25">
        <v>7</v>
      </c>
      <c r="H11" s="25">
        <v>7</v>
      </c>
      <c r="I11" s="25">
        <v>8</v>
      </c>
      <c r="J11" s="25">
        <v>10</v>
      </c>
      <c r="K11" s="25">
        <v>10</v>
      </c>
      <c r="L11" s="25">
        <v>8</v>
      </c>
      <c r="M11" s="25">
        <v>9</v>
      </c>
      <c r="N11" s="25">
        <v>6</v>
      </c>
      <c r="O11" s="25">
        <v>6</v>
      </c>
      <c r="P11" s="25">
        <v>10</v>
      </c>
      <c r="Q11" s="25">
        <v>8</v>
      </c>
      <c r="R11" s="24">
        <v>8</v>
      </c>
      <c r="S11" s="41">
        <f t="shared" ref="S11:S12" si="0">IF(COUNTIF(D11:R11,"=*")&gt;0,"-",(AVERAGE(D11:R11)))</f>
        <v>8.0666666666666664</v>
      </c>
      <c r="T11" s="7"/>
      <c r="U11" s="7"/>
      <c r="V11" s="19"/>
      <c r="W11" s="19"/>
      <c r="X11" s="19"/>
      <c r="Y11" s="7"/>
      <c r="Z11" s="7"/>
      <c r="AA11" s="7"/>
    </row>
    <row r="12" spans="1:27" ht="20.25" customHeight="1">
      <c r="A12" s="1"/>
      <c r="B12" s="1"/>
      <c r="C12" s="8" t="s">
        <v>16</v>
      </c>
      <c r="D12" s="37">
        <f>SUM(D11:D11)/B11</f>
        <v>4</v>
      </c>
      <c r="E12" s="37">
        <f>SUM(E11:E11)/B11</f>
        <v>10</v>
      </c>
      <c r="F12" s="37">
        <f>SUM(F11:F11)/B11</f>
        <v>10</v>
      </c>
      <c r="G12" s="37">
        <f>SUM(G11:G11)/B11</f>
        <v>7</v>
      </c>
      <c r="H12" s="37">
        <f>SUM(H11:H11)/B11</f>
        <v>7</v>
      </c>
      <c r="I12" s="37">
        <f>SUM(I11:I11)/B11</f>
        <v>8</v>
      </c>
      <c r="J12" s="37">
        <f>SUM(J11:J11)/B11</f>
        <v>10</v>
      </c>
      <c r="K12" s="37">
        <f>SUM(K11:K11)/B11</f>
        <v>10</v>
      </c>
      <c r="L12" s="37">
        <f>SUM(L11:L11)/B11</f>
        <v>8</v>
      </c>
      <c r="M12" s="37">
        <f>SUM(M11:M11)/B11</f>
        <v>9</v>
      </c>
      <c r="N12" s="37">
        <f>SUM(N11:N11)/B11</f>
        <v>6</v>
      </c>
      <c r="O12" s="37">
        <f>SUM(O11:O11)/B11</f>
        <v>6</v>
      </c>
      <c r="P12" s="37">
        <f>SUM(P11:P11)/B11</f>
        <v>10</v>
      </c>
      <c r="Q12" s="37">
        <f>SUM(Q11:Q11)/B11</f>
        <v>8</v>
      </c>
      <c r="R12" s="37">
        <f>SUM(R11:R11)/B11</f>
        <v>8</v>
      </c>
      <c r="S12" s="41">
        <f t="shared" si="0"/>
        <v>8.0666666666666664</v>
      </c>
      <c r="V12" s="19"/>
      <c r="W12" s="19"/>
      <c r="X12" s="19"/>
    </row>
    <row r="13" spans="1:27" ht="20.25">
      <c r="A13" s="1"/>
      <c r="B13" s="1"/>
      <c r="C13" s="10" t="s">
        <v>17</v>
      </c>
      <c r="D13" s="33">
        <f>(COUNT(D11:D11))/B11*100</f>
        <v>100</v>
      </c>
      <c r="E13" s="33">
        <f>(COUNT(E11:E11))/B11*100</f>
        <v>100</v>
      </c>
      <c r="F13" s="33">
        <f>(COUNT(F11:F11))/B11*100</f>
        <v>100</v>
      </c>
      <c r="G13" s="33">
        <f>(COUNT(G11:G11))/B11*100</f>
        <v>100</v>
      </c>
      <c r="H13" s="33">
        <f>(COUNT(H11:H11))/B11*100</f>
        <v>100</v>
      </c>
      <c r="I13" s="33">
        <f>(COUNT(I11:I11))/B11*100</f>
        <v>100</v>
      </c>
      <c r="J13" s="33">
        <f>(COUNT(J11:J11))/B11*100</f>
        <v>100</v>
      </c>
      <c r="K13" s="33">
        <f>(COUNT(K11:K11))/B11*100</f>
        <v>100</v>
      </c>
      <c r="L13" s="33">
        <f>(COUNT(L11:L11))/B11*100</f>
        <v>100</v>
      </c>
      <c r="M13" s="33">
        <f>(COUNT(M11:M11))/B11*100</f>
        <v>100</v>
      </c>
      <c r="N13" s="33">
        <f>(COUNT(N11:N11))/B11*100</f>
        <v>100</v>
      </c>
      <c r="O13" s="33">
        <f>(COUNT(O11:O11))/B11*100</f>
        <v>100</v>
      </c>
      <c r="P13" s="33">
        <f>(COUNT(P11:P11))/B11*100</f>
        <v>100</v>
      </c>
      <c r="Q13" s="33">
        <f>(COUNT(Q11:Q11))/B11*100</f>
        <v>100</v>
      </c>
      <c r="R13" s="34">
        <f>(COUNT(R11:R11))/B11*100</f>
        <v>100</v>
      </c>
      <c r="S13" s="19"/>
      <c r="V13" s="19"/>
      <c r="W13" s="19"/>
      <c r="X13" s="19"/>
    </row>
    <row r="14" spans="1:27" ht="20.25" customHeight="1">
      <c r="A14" s="1"/>
      <c r="B14" s="1"/>
      <c r="C14" s="11" t="s">
        <v>18</v>
      </c>
      <c r="D14" s="35">
        <f>(COUNTIF(D11:D11,"&gt;=7"))/B11*100</f>
        <v>0</v>
      </c>
      <c r="E14" s="35">
        <f>(COUNTIF(E11:E11,"&gt;=7"))/B11*100</f>
        <v>100</v>
      </c>
      <c r="F14" s="35">
        <f>(COUNTIF(F11:F11,"&gt;=7"))/B11*100</f>
        <v>100</v>
      </c>
      <c r="G14" s="35">
        <f>(COUNTIF(G11:G11,"&gt;=7"))/B11*100</f>
        <v>100</v>
      </c>
      <c r="H14" s="35">
        <f>(COUNTIF(H11:H11,"&gt;=7"))/B11*100</f>
        <v>100</v>
      </c>
      <c r="I14" s="35">
        <f>(COUNTIF(I11:I11,"&gt;=7"))/B11*100</f>
        <v>100</v>
      </c>
      <c r="J14" s="35">
        <f>(COUNTIF(J11:J11,"&gt;=7"))/B11*100</f>
        <v>100</v>
      </c>
      <c r="K14" s="35">
        <f>(COUNTIF(K11:K11,"&gt;=7"))/B11*100</f>
        <v>100</v>
      </c>
      <c r="L14" s="35">
        <f>(COUNTIF(L11:L11,"&gt;=7"))/B11*100</f>
        <v>100</v>
      </c>
      <c r="M14" s="35">
        <f>(COUNTIF(M11:M11,"&gt;=7"))/B11*100</f>
        <v>100</v>
      </c>
      <c r="N14" s="35">
        <f>(COUNTIF(N11:N11,"&gt;=7"))/B11*100</f>
        <v>0</v>
      </c>
      <c r="O14" s="35">
        <f>(COUNTIF(O11:O11,"&gt;=7"))/B11*100</f>
        <v>0</v>
      </c>
      <c r="P14" s="35">
        <f>(COUNTIF(P11:P11,"&gt;=7"))/B11*100</f>
        <v>100</v>
      </c>
      <c r="Q14" s="35">
        <f>(COUNTIF(Q11:Q11,"&gt;=7"))/B11*100</f>
        <v>100</v>
      </c>
      <c r="R14" s="36">
        <f>(COUNTIF(R11:R11,"&gt;=7"))/B11*100</f>
        <v>100</v>
      </c>
      <c r="S14" s="19"/>
      <c r="V14" s="19"/>
      <c r="W14" s="19"/>
      <c r="X14" s="19"/>
    </row>
    <row r="15" spans="1:27" ht="20.25" customHeight="1">
      <c r="A15" s="1"/>
      <c r="B15" s="1"/>
      <c r="C15" s="11" t="s">
        <v>19</v>
      </c>
      <c r="D15" s="9">
        <f t="shared" ref="D15:D16" si="1">AVERAGE(D13:Q13)</f>
        <v>100</v>
      </c>
      <c r="E15" s="12"/>
      <c r="F15" s="12"/>
      <c r="G15" s="12"/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V15" s="19"/>
      <c r="W15" s="19"/>
      <c r="X15" s="19"/>
    </row>
    <row r="16" spans="1:27" ht="20.25" customHeight="1">
      <c r="A16" s="1"/>
      <c r="B16" s="1"/>
      <c r="C16" s="11" t="s">
        <v>20</v>
      </c>
      <c r="D16" s="9">
        <f t="shared" si="1"/>
        <v>78.571428571428569</v>
      </c>
      <c r="E16" s="12"/>
      <c r="F16" s="26" t="s">
        <v>21</v>
      </c>
      <c r="G16" s="27"/>
      <c r="H16" s="26"/>
      <c r="I16" s="26"/>
      <c r="J16" s="28"/>
      <c r="K16" s="30"/>
      <c r="L16" s="26" t="s">
        <v>54</v>
      </c>
      <c r="M16" s="13"/>
      <c r="N16" s="13"/>
      <c r="O16" s="13"/>
      <c r="P16" s="13"/>
      <c r="Q16" s="13"/>
      <c r="R16" s="13"/>
      <c r="S16" s="14"/>
      <c r="V16" s="19"/>
      <c r="W16" s="19"/>
      <c r="X16" s="19"/>
    </row>
    <row r="17" spans="1:24" ht="15" customHeight="1">
      <c r="A17" s="7"/>
      <c r="B17" s="7"/>
      <c r="C17" s="7"/>
      <c r="D17" s="7"/>
      <c r="E17" s="7"/>
      <c r="F17" s="32"/>
      <c r="G17" s="32"/>
      <c r="H17" s="32"/>
      <c r="I17" s="32"/>
      <c r="J17" s="32"/>
      <c r="K17" s="30"/>
      <c r="L17" s="32"/>
      <c r="M17" s="7"/>
      <c r="N17" s="7"/>
      <c r="O17" s="7"/>
      <c r="P17" s="7"/>
      <c r="Q17" s="7"/>
      <c r="R17" s="7"/>
      <c r="S17" s="7"/>
      <c r="V17" s="19"/>
      <c r="W17" s="19"/>
      <c r="X17" s="19"/>
    </row>
    <row r="18" spans="1:24" ht="15" customHeight="1">
      <c r="A18" s="7"/>
      <c r="B18" s="7"/>
      <c r="C18" s="7"/>
      <c r="D18" s="7"/>
      <c r="E18" s="7"/>
      <c r="F18" s="31" t="s">
        <v>22</v>
      </c>
      <c r="G18" s="31"/>
      <c r="H18" s="31"/>
      <c r="I18" s="31"/>
      <c r="J18" s="31"/>
      <c r="K18" s="30"/>
      <c r="L18" s="31" t="s">
        <v>23</v>
      </c>
      <c r="M18" s="7"/>
      <c r="N18" s="7"/>
      <c r="O18" s="7"/>
      <c r="P18" s="7"/>
      <c r="Q18" s="7"/>
      <c r="R18" s="7"/>
      <c r="S18" s="7"/>
      <c r="V18" s="19"/>
      <c r="W18" s="19"/>
      <c r="X18" s="19"/>
    </row>
    <row r="19" spans="1:24" ht="1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V19" s="19"/>
      <c r="W19" s="19"/>
      <c r="X19" s="19"/>
    </row>
    <row r="20" spans="1:24" ht="15" customHeight="1">
      <c r="A20" s="7"/>
      <c r="B20" s="7"/>
      <c r="C20" s="7"/>
      <c r="D20" s="7"/>
      <c r="E20" s="15"/>
      <c r="F20" s="15"/>
      <c r="G20" s="1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V20" s="19"/>
      <c r="W20" s="19"/>
      <c r="X20" s="19"/>
    </row>
    <row r="21" spans="1:24" s="20" customFormat="1" ht="15.75" customHeight="1">
      <c r="C21" s="21"/>
      <c r="L21" s="22"/>
      <c r="V21" s="19"/>
      <c r="W21" s="19"/>
      <c r="X21" s="19"/>
    </row>
    <row r="22" spans="1:24" ht="15.75" customHeight="1">
      <c r="A22" s="7"/>
      <c r="B22" s="7"/>
      <c r="C22" s="7"/>
      <c r="D22" s="7"/>
      <c r="K22" s="7"/>
      <c r="L22" s="7"/>
      <c r="M22" s="7"/>
      <c r="N22" s="7"/>
      <c r="O22" s="7"/>
      <c r="P22" s="7"/>
      <c r="Q22" s="7"/>
      <c r="R22" s="7"/>
      <c r="S22" s="7"/>
      <c r="V22" s="19"/>
      <c r="W22" s="19"/>
      <c r="X22" s="19"/>
    </row>
    <row r="23" spans="1:24" ht="15.75" customHeight="1">
      <c r="A23" s="7"/>
      <c r="B23" s="7"/>
      <c r="C23" s="7"/>
      <c r="D23" s="7"/>
      <c r="K23" s="16"/>
      <c r="L23" s="7"/>
      <c r="M23" s="7"/>
      <c r="N23" s="7"/>
      <c r="O23" s="7"/>
      <c r="P23" s="7"/>
      <c r="Q23" s="7"/>
      <c r="R23" s="7"/>
      <c r="S23" s="7"/>
    </row>
    <row r="24" spans="1:24" ht="15.75" customHeight="1"/>
    <row r="25" spans="1:24" ht="15.75" customHeight="1"/>
    <row r="26" spans="1:24" ht="15.75" customHeight="1"/>
    <row r="27" spans="1:24" ht="15.75" customHeight="1"/>
    <row r="28" spans="1:24" ht="15.75" customHeight="1"/>
    <row r="29" spans="1:24" ht="15.75" customHeight="1"/>
    <row r="30" spans="1:24" ht="15.75" customHeight="1"/>
    <row r="31" spans="1:24" ht="15.75" customHeight="1"/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ref="V8:X22">
    <sortCondition ref="V8"/>
  </sortState>
  <mergeCells count="26">
    <mergeCell ref="B7:B10"/>
    <mergeCell ref="C7:C10"/>
    <mergeCell ref="D7:S7"/>
    <mergeCell ref="A7:A10"/>
    <mergeCell ref="D8:D10"/>
    <mergeCell ref="E8:E10"/>
    <mergeCell ref="F8:F10"/>
    <mergeCell ref="G8:G10"/>
    <mergeCell ref="H8:H10"/>
    <mergeCell ref="I8:I10"/>
    <mergeCell ref="A6:S6"/>
    <mergeCell ref="R8:R10"/>
    <mergeCell ref="A1:S1"/>
    <mergeCell ref="A2:S2"/>
    <mergeCell ref="A3:S3"/>
    <mergeCell ref="A4:S4"/>
    <mergeCell ref="A5:S5"/>
    <mergeCell ref="Q8:Q10"/>
    <mergeCell ref="S8:S10"/>
    <mergeCell ref="J8:J10"/>
    <mergeCell ref="K8:K10"/>
    <mergeCell ref="L8:L10"/>
    <mergeCell ref="M8:M10"/>
    <mergeCell ref="N8:N10"/>
    <mergeCell ref="O8:O10"/>
    <mergeCell ref="P8:P10"/>
  </mergeCells>
  <pageMargins left="0.7" right="0.7" top="0.75" bottom="0.75" header="0" footer="0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99"/>
  <sheetViews>
    <sheetView workbookViewId="0">
      <selection sqref="A1:S1"/>
    </sheetView>
  </sheetViews>
  <sheetFormatPr defaultColWidth="14.42578125" defaultRowHeight="15" customHeight="1"/>
  <cols>
    <col min="1" max="1" width="4.42578125" customWidth="1"/>
    <col min="2" max="2" width="6.5703125" customWidth="1"/>
    <col min="3" max="3" width="40.42578125" customWidth="1"/>
    <col min="4" max="17" width="6.7109375" customWidth="1"/>
    <col min="18" max="18" width="6.7109375" style="19" customWidth="1"/>
    <col min="19" max="19" width="11.28515625" customWidth="1"/>
  </cols>
  <sheetData>
    <row r="1" spans="1:27" ht="15" customHeight="1">
      <c r="A1" s="47" t="s">
        <v>64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27" ht="15" customHeight="1">
      <c r="A2" s="47" t="s">
        <v>65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27" ht="15" customHeight="1">
      <c r="A3" s="46" t="s">
        <v>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spans="1:27" ht="15" customHeight="1">
      <c r="A4" s="47" t="s">
        <v>66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27" ht="15" customHeight="1">
      <c r="A5" s="47" t="s">
        <v>67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27" ht="15" customHeight="1">
      <c r="A6" s="42" t="s">
        <v>53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</row>
    <row r="7" spans="1:27" ht="15" customHeight="1">
      <c r="A7" s="57" t="s">
        <v>2</v>
      </c>
      <c r="B7" s="49" t="s">
        <v>3</v>
      </c>
      <c r="C7" s="52" t="s">
        <v>4</v>
      </c>
      <c r="D7" s="54" t="s">
        <v>5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6"/>
    </row>
    <row r="8" spans="1:27" ht="15" customHeight="1">
      <c r="A8" s="50"/>
      <c r="B8" s="50"/>
      <c r="C8" s="53"/>
      <c r="D8" s="43" t="s">
        <v>56</v>
      </c>
      <c r="E8" s="43" t="s">
        <v>9</v>
      </c>
      <c r="F8" s="43" t="s">
        <v>6</v>
      </c>
      <c r="G8" s="43" t="s">
        <v>12</v>
      </c>
      <c r="H8" s="43" t="s">
        <v>8</v>
      </c>
      <c r="I8" s="43" t="s">
        <v>57</v>
      </c>
      <c r="J8" s="43" t="s">
        <v>10</v>
      </c>
      <c r="K8" s="43" t="s">
        <v>58</v>
      </c>
      <c r="L8" s="43" t="s">
        <v>11</v>
      </c>
      <c r="M8" s="43" t="s">
        <v>7</v>
      </c>
      <c r="N8" s="43" t="s">
        <v>59</v>
      </c>
      <c r="O8" s="43" t="s">
        <v>60</v>
      </c>
      <c r="P8" s="43" t="s">
        <v>61</v>
      </c>
      <c r="Q8" s="43" t="s">
        <v>62</v>
      </c>
      <c r="R8" s="43" t="s">
        <v>63</v>
      </c>
      <c r="S8" s="48" t="s">
        <v>13</v>
      </c>
    </row>
    <row r="9" spans="1:27" ht="15" customHeight="1">
      <c r="A9" s="50"/>
      <c r="B9" s="50"/>
      <c r="C9" s="53"/>
      <c r="D9" s="43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</row>
    <row r="10" spans="1:27" ht="99.75" customHeight="1">
      <c r="A10" s="51"/>
      <c r="B10" s="51"/>
      <c r="C10" s="53"/>
      <c r="D10" s="43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</row>
    <row r="11" spans="1:27" ht="15" customHeight="1">
      <c r="A11" s="17" t="s">
        <v>14</v>
      </c>
      <c r="B11" s="2">
        <v>1</v>
      </c>
      <c r="C11" s="18" t="s">
        <v>24</v>
      </c>
      <c r="D11" s="5">
        <v>4</v>
      </c>
      <c r="E11" s="6">
        <v>4</v>
      </c>
      <c r="F11" s="6">
        <v>6</v>
      </c>
      <c r="G11" s="6">
        <v>5</v>
      </c>
      <c r="H11" s="6">
        <v>4</v>
      </c>
      <c r="I11" s="6">
        <v>6</v>
      </c>
      <c r="J11" s="6">
        <v>4</v>
      </c>
      <c r="K11" s="6">
        <v>4</v>
      </c>
      <c r="L11" s="6">
        <v>5</v>
      </c>
      <c r="M11" s="6">
        <v>4</v>
      </c>
      <c r="N11" s="6">
        <v>4</v>
      </c>
      <c r="O11" s="6">
        <v>4</v>
      </c>
      <c r="P11" s="6">
        <v>4</v>
      </c>
      <c r="Q11" s="6">
        <v>6</v>
      </c>
      <c r="R11" s="24">
        <v>6</v>
      </c>
      <c r="S11" s="38">
        <f>IF(COUNTIF(D11:R11,"=*")&gt;0,"-",(AVERAGE(D11:R11)))</f>
        <v>4.666666666666667</v>
      </c>
    </row>
    <row r="12" spans="1:27" ht="15" customHeight="1">
      <c r="A12" s="17" t="s">
        <v>14</v>
      </c>
      <c r="B12" s="2">
        <v>2</v>
      </c>
      <c r="C12" s="18" t="s">
        <v>25</v>
      </c>
      <c r="D12" s="5">
        <v>4</v>
      </c>
      <c r="E12" s="6">
        <v>4</v>
      </c>
      <c r="F12" s="6">
        <v>7</v>
      </c>
      <c r="G12" s="6">
        <v>6</v>
      </c>
      <c r="H12" s="6">
        <v>5</v>
      </c>
      <c r="I12" s="6">
        <v>6</v>
      </c>
      <c r="J12" s="6">
        <v>5</v>
      </c>
      <c r="K12" s="6">
        <v>4</v>
      </c>
      <c r="L12" s="6">
        <v>6</v>
      </c>
      <c r="M12" s="6">
        <v>5</v>
      </c>
      <c r="N12" s="6">
        <v>6</v>
      </c>
      <c r="O12" s="6">
        <v>5</v>
      </c>
      <c r="P12" s="6">
        <v>5</v>
      </c>
      <c r="Q12" s="6">
        <v>4</v>
      </c>
      <c r="R12" s="24">
        <v>4</v>
      </c>
      <c r="S12" s="38">
        <f t="shared" ref="S12:S40" si="0">IF(COUNTIF(D12:R12,"=*")&gt;0,"-",(AVERAGE(D12:R12)))</f>
        <v>5.0666666666666664</v>
      </c>
      <c r="T12" s="7"/>
      <c r="U12" s="7"/>
      <c r="V12" s="7"/>
      <c r="W12" s="7"/>
      <c r="X12" s="7"/>
      <c r="Y12" s="7"/>
      <c r="Z12" s="7"/>
      <c r="AA12" s="7"/>
    </row>
    <row r="13" spans="1:27" ht="15" customHeight="1">
      <c r="A13" s="17" t="s">
        <v>14</v>
      </c>
      <c r="B13" s="2">
        <v>3</v>
      </c>
      <c r="C13" s="18" t="s">
        <v>26</v>
      </c>
      <c r="D13" s="5">
        <v>4</v>
      </c>
      <c r="E13" s="6">
        <v>5</v>
      </c>
      <c r="F13" s="6">
        <v>7</v>
      </c>
      <c r="G13" s="6">
        <v>6</v>
      </c>
      <c r="H13" s="6">
        <v>4</v>
      </c>
      <c r="I13" s="6">
        <v>5</v>
      </c>
      <c r="J13" s="6">
        <v>4</v>
      </c>
      <c r="K13" s="6">
        <v>4</v>
      </c>
      <c r="L13" s="6">
        <v>6</v>
      </c>
      <c r="M13" s="6">
        <v>4</v>
      </c>
      <c r="N13" s="6">
        <v>6</v>
      </c>
      <c r="O13" s="6">
        <v>6</v>
      </c>
      <c r="P13" s="6">
        <v>4</v>
      </c>
      <c r="Q13" s="6">
        <v>9</v>
      </c>
      <c r="R13" s="24">
        <v>6</v>
      </c>
      <c r="S13" s="38">
        <f t="shared" si="0"/>
        <v>5.333333333333333</v>
      </c>
      <c r="T13" s="7"/>
      <c r="U13" s="7"/>
      <c r="V13" s="7"/>
      <c r="W13" s="7"/>
      <c r="X13" s="7"/>
      <c r="Y13" s="7"/>
      <c r="Z13" s="7"/>
      <c r="AA13" s="7"/>
    </row>
    <row r="14" spans="1:27" ht="15" customHeight="1">
      <c r="A14" s="17" t="s">
        <v>14</v>
      </c>
      <c r="B14" s="2">
        <v>4</v>
      </c>
      <c r="C14" s="18" t="s">
        <v>27</v>
      </c>
      <c r="D14" s="5">
        <v>4</v>
      </c>
      <c r="E14" s="6">
        <v>5</v>
      </c>
      <c r="F14" s="6">
        <v>8</v>
      </c>
      <c r="G14" s="6">
        <v>6</v>
      </c>
      <c r="H14" s="6">
        <v>4</v>
      </c>
      <c r="I14" s="6">
        <v>6</v>
      </c>
      <c r="J14" s="6">
        <v>5</v>
      </c>
      <c r="K14" s="6">
        <v>4</v>
      </c>
      <c r="L14" s="6">
        <v>6</v>
      </c>
      <c r="M14" s="6">
        <v>4</v>
      </c>
      <c r="N14" s="6">
        <v>4</v>
      </c>
      <c r="O14" s="6">
        <v>5</v>
      </c>
      <c r="P14" s="6">
        <v>4</v>
      </c>
      <c r="Q14" s="6">
        <v>8</v>
      </c>
      <c r="R14" s="24">
        <v>5</v>
      </c>
      <c r="S14" s="38">
        <f t="shared" si="0"/>
        <v>5.2</v>
      </c>
      <c r="T14" s="7"/>
      <c r="U14" s="7"/>
      <c r="V14" s="7"/>
      <c r="W14" s="7"/>
      <c r="X14" s="7"/>
      <c r="Y14" s="7"/>
      <c r="Z14" s="7"/>
      <c r="AA14" s="7"/>
    </row>
    <row r="15" spans="1:27" ht="15" customHeight="1">
      <c r="A15" s="17" t="s">
        <v>14</v>
      </c>
      <c r="B15" s="2">
        <v>5</v>
      </c>
      <c r="C15" s="18" t="s">
        <v>28</v>
      </c>
      <c r="D15" s="5">
        <v>5</v>
      </c>
      <c r="E15" s="6">
        <v>5</v>
      </c>
      <c r="F15" s="6">
        <v>8</v>
      </c>
      <c r="G15" s="6">
        <v>8</v>
      </c>
      <c r="H15" s="6">
        <v>6</v>
      </c>
      <c r="I15" s="6">
        <v>8</v>
      </c>
      <c r="J15" s="6">
        <v>7</v>
      </c>
      <c r="K15" s="6">
        <v>6</v>
      </c>
      <c r="L15" s="6">
        <v>7</v>
      </c>
      <c r="M15" s="6">
        <v>4</v>
      </c>
      <c r="N15" s="6">
        <v>5</v>
      </c>
      <c r="O15" s="6">
        <v>6</v>
      </c>
      <c r="P15" s="6">
        <v>5</v>
      </c>
      <c r="Q15" s="6">
        <v>9</v>
      </c>
      <c r="R15" s="24">
        <v>7</v>
      </c>
      <c r="S15" s="38">
        <f t="shared" si="0"/>
        <v>6.4</v>
      </c>
      <c r="T15" s="7"/>
      <c r="U15" s="7"/>
      <c r="V15" s="7"/>
      <c r="W15" s="7"/>
      <c r="X15" s="7"/>
      <c r="Y15" s="7"/>
      <c r="Z15" s="7"/>
      <c r="AA15" s="7"/>
    </row>
    <row r="16" spans="1:27" ht="15" customHeight="1">
      <c r="A16" s="17" t="s">
        <v>14</v>
      </c>
      <c r="B16" s="2">
        <v>6</v>
      </c>
      <c r="C16" s="18" t="s">
        <v>29</v>
      </c>
      <c r="D16" s="5">
        <v>10</v>
      </c>
      <c r="E16" s="6">
        <v>9</v>
      </c>
      <c r="F16" s="6">
        <v>10</v>
      </c>
      <c r="G16" s="6">
        <v>10</v>
      </c>
      <c r="H16" s="6">
        <v>9</v>
      </c>
      <c r="I16" s="6">
        <v>10</v>
      </c>
      <c r="J16" s="6">
        <v>10</v>
      </c>
      <c r="K16" s="6">
        <v>10</v>
      </c>
      <c r="L16" s="6">
        <v>10</v>
      </c>
      <c r="M16" s="6">
        <v>10</v>
      </c>
      <c r="N16" s="6">
        <v>9</v>
      </c>
      <c r="O16" s="6">
        <v>8</v>
      </c>
      <c r="P16" s="6">
        <v>7</v>
      </c>
      <c r="Q16" s="6">
        <v>9</v>
      </c>
      <c r="R16" s="24">
        <v>10</v>
      </c>
      <c r="S16" s="38">
        <f t="shared" si="0"/>
        <v>9.4</v>
      </c>
      <c r="T16" s="7"/>
      <c r="U16" s="7"/>
      <c r="V16" s="7"/>
      <c r="W16" s="7"/>
      <c r="X16" s="7"/>
      <c r="Y16" s="7"/>
      <c r="Z16" s="7"/>
      <c r="AA16" s="7"/>
    </row>
    <row r="17" spans="1:27" ht="15" customHeight="1">
      <c r="A17" s="17" t="s">
        <v>14</v>
      </c>
      <c r="B17" s="2">
        <v>7</v>
      </c>
      <c r="C17" s="18" t="s">
        <v>30</v>
      </c>
      <c r="D17" s="5">
        <v>6</v>
      </c>
      <c r="E17" s="6">
        <v>5</v>
      </c>
      <c r="F17" s="6">
        <v>7</v>
      </c>
      <c r="G17" s="6">
        <v>8</v>
      </c>
      <c r="H17" s="6">
        <v>5</v>
      </c>
      <c r="I17" s="6">
        <v>5</v>
      </c>
      <c r="J17" s="6">
        <v>7</v>
      </c>
      <c r="K17" s="6">
        <v>4</v>
      </c>
      <c r="L17" s="6">
        <v>7</v>
      </c>
      <c r="M17" s="6">
        <v>4</v>
      </c>
      <c r="N17" s="6">
        <v>5</v>
      </c>
      <c r="O17" s="6">
        <v>7</v>
      </c>
      <c r="P17" s="6">
        <v>5</v>
      </c>
      <c r="Q17" s="6">
        <v>9</v>
      </c>
      <c r="R17" s="24">
        <v>6</v>
      </c>
      <c r="S17" s="38">
        <f t="shared" si="0"/>
        <v>6</v>
      </c>
      <c r="T17" s="7"/>
      <c r="U17" s="7"/>
      <c r="V17" s="7"/>
      <c r="W17" s="7"/>
      <c r="X17" s="7"/>
      <c r="Y17" s="7"/>
      <c r="Z17" s="7"/>
      <c r="AA17" s="7"/>
    </row>
    <row r="18" spans="1:27" ht="15" customHeight="1">
      <c r="A18" s="17" t="s">
        <v>14</v>
      </c>
      <c r="B18" s="2">
        <v>8</v>
      </c>
      <c r="C18" s="18" t="s">
        <v>31</v>
      </c>
      <c r="D18" s="5">
        <v>7</v>
      </c>
      <c r="E18" s="6">
        <v>8</v>
      </c>
      <c r="F18" s="6">
        <v>10</v>
      </c>
      <c r="G18" s="6">
        <v>9</v>
      </c>
      <c r="H18" s="6">
        <v>6</v>
      </c>
      <c r="I18" s="6">
        <v>8</v>
      </c>
      <c r="J18" s="6">
        <v>9</v>
      </c>
      <c r="K18" s="6">
        <v>7</v>
      </c>
      <c r="L18" s="6">
        <v>7</v>
      </c>
      <c r="M18" s="6">
        <v>8</v>
      </c>
      <c r="N18" s="6">
        <v>8</v>
      </c>
      <c r="O18" s="6">
        <v>7</v>
      </c>
      <c r="P18" s="6">
        <v>6</v>
      </c>
      <c r="Q18" s="6">
        <v>9</v>
      </c>
      <c r="R18" s="24">
        <v>9</v>
      </c>
      <c r="S18" s="38">
        <f t="shared" si="0"/>
        <v>7.8666666666666663</v>
      </c>
      <c r="T18" s="7"/>
      <c r="U18" s="7"/>
      <c r="V18" s="7"/>
      <c r="W18" s="7"/>
      <c r="X18" s="7"/>
      <c r="Y18" s="7"/>
      <c r="Z18" s="7"/>
      <c r="AA18" s="7"/>
    </row>
    <row r="19" spans="1:27" ht="15" customHeight="1">
      <c r="A19" s="17" t="s">
        <v>14</v>
      </c>
      <c r="B19" s="2">
        <v>9</v>
      </c>
      <c r="C19" s="18" t="s">
        <v>32</v>
      </c>
      <c r="D19" s="5">
        <v>4</v>
      </c>
      <c r="E19" s="6">
        <v>6</v>
      </c>
      <c r="F19" s="6">
        <v>9</v>
      </c>
      <c r="G19" s="6">
        <v>7</v>
      </c>
      <c r="H19" s="6">
        <v>5</v>
      </c>
      <c r="I19" s="6">
        <v>5</v>
      </c>
      <c r="J19" s="6">
        <v>4</v>
      </c>
      <c r="K19" s="6">
        <v>5</v>
      </c>
      <c r="L19" s="6">
        <v>7</v>
      </c>
      <c r="M19" s="6">
        <v>5</v>
      </c>
      <c r="N19" s="6">
        <v>7</v>
      </c>
      <c r="O19" s="6">
        <v>5</v>
      </c>
      <c r="P19" s="6">
        <v>5</v>
      </c>
      <c r="Q19" s="6">
        <v>7</v>
      </c>
      <c r="R19" s="24">
        <v>5</v>
      </c>
      <c r="S19" s="38">
        <f t="shared" si="0"/>
        <v>5.7333333333333334</v>
      </c>
      <c r="T19" s="7"/>
      <c r="U19" s="7"/>
      <c r="V19" s="7"/>
      <c r="W19" s="7"/>
      <c r="X19" s="7"/>
      <c r="Y19" s="7"/>
      <c r="Z19" s="7"/>
      <c r="AA19" s="7"/>
    </row>
    <row r="20" spans="1:27" ht="15" customHeight="1">
      <c r="A20" s="17" t="s">
        <v>14</v>
      </c>
      <c r="B20" s="2">
        <v>10</v>
      </c>
      <c r="C20" s="18" t="s">
        <v>33</v>
      </c>
      <c r="D20" s="5">
        <v>9</v>
      </c>
      <c r="E20" s="6">
        <v>10</v>
      </c>
      <c r="F20" s="6">
        <v>9</v>
      </c>
      <c r="G20" s="6">
        <v>9</v>
      </c>
      <c r="H20" s="6">
        <v>10</v>
      </c>
      <c r="I20" s="6">
        <v>9</v>
      </c>
      <c r="J20" s="6">
        <v>11</v>
      </c>
      <c r="K20" s="6">
        <v>10</v>
      </c>
      <c r="L20" s="6">
        <v>9</v>
      </c>
      <c r="M20" s="6">
        <v>9</v>
      </c>
      <c r="N20" s="6">
        <v>10</v>
      </c>
      <c r="O20" s="6">
        <v>9</v>
      </c>
      <c r="P20" s="6">
        <v>8</v>
      </c>
      <c r="Q20" s="6">
        <v>10</v>
      </c>
      <c r="R20" s="24">
        <v>10</v>
      </c>
      <c r="S20" s="38">
        <f t="shared" si="0"/>
        <v>9.4666666666666668</v>
      </c>
      <c r="T20" s="7"/>
      <c r="U20" s="7"/>
      <c r="V20" s="7"/>
      <c r="W20" s="7"/>
      <c r="X20" s="7"/>
      <c r="Y20" s="7"/>
      <c r="Z20" s="7"/>
      <c r="AA20" s="7"/>
    </row>
    <row r="21" spans="1:27" ht="15" customHeight="1">
      <c r="A21" s="17" t="s">
        <v>14</v>
      </c>
      <c r="B21" s="2">
        <v>11</v>
      </c>
      <c r="C21" s="18" t="s">
        <v>34</v>
      </c>
      <c r="D21" s="5">
        <v>9</v>
      </c>
      <c r="E21" s="6">
        <v>8</v>
      </c>
      <c r="F21" s="6">
        <v>9</v>
      </c>
      <c r="G21" s="6">
        <v>6</v>
      </c>
      <c r="H21" s="6">
        <v>5</v>
      </c>
      <c r="I21" s="6">
        <v>6</v>
      </c>
      <c r="J21" s="6">
        <v>6</v>
      </c>
      <c r="K21" s="6">
        <v>5</v>
      </c>
      <c r="L21" s="6">
        <v>6</v>
      </c>
      <c r="M21" s="6">
        <v>6</v>
      </c>
      <c r="N21" s="6">
        <v>6</v>
      </c>
      <c r="O21" s="6">
        <v>9</v>
      </c>
      <c r="P21" s="6">
        <v>4</v>
      </c>
      <c r="Q21" s="6">
        <v>10</v>
      </c>
      <c r="R21" s="24">
        <v>7</v>
      </c>
      <c r="S21" s="38">
        <f t="shared" si="0"/>
        <v>6.8</v>
      </c>
      <c r="T21" s="7"/>
      <c r="U21" s="7"/>
      <c r="V21" s="7"/>
      <c r="W21" s="7"/>
      <c r="X21" s="7"/>
      <c r="Y21" s="7"/>
      <c r="Z21" s="7"/>
      <c r="AA21" s="7"/>
    </row>
    <row r="22" spans="1:27" ht="15" customHeight="1">
      <c r="A22" s="17" t="s">
        <v>14</v>
      </c>
      <c r="B22" s="2">
        <v>12</v>
      </c>
      <c r="C22" s="18" t="s">
        <v>35</v>
      </c>
      <c r="D22" s="5">
        <v>6</v>
      </c>
      <c r="E22" s="6">
        <v>7</v>
      </c>
      <c r="F22" s="6">
        <v>9</v>
      </c>
      <c r="G22" s="6">
        <v>8</v>
      </c>
      <c r="H22" s="6">
        <v>6</v>
      </c>
      <c r="I22" s="6">
        <v>9</v>
      </c>
      <c r="J22" s="6">
        <v>10</v>
      </c>
      <c r="K22" s="6">
        <v>7</v>
      </c>
      <c r="L22" s="6">
        <v>8</v>
      </c>
      <c r="M22" s="6">
        <v>6</v>
      </c>
      <c r="N22" s="6">
        <v>8</v>
      </c>
      <c r="O22" s="6">
        <v>9</v>
      </c>
      <c r="P22" s="6">
        <v>7</v>
      </c>
      <c r="Q22" s="6">
        <v>10</v>
      </c>
      <c r="R22" s="24">
        <v>8</v>
      </c>
      <c r="S22" s="38">
        <f t="shared" si="0"/>
        <v>7.8666666666666663</v>
      </c>
      <c r="T22" s="7"/>
      <c r="U22" s="7"/>
      <c r="V22" s="7"/>
      <c r="W22" s="7"/>
      <c r="X22" s="7"/>
      <c r="Y22" s="7"/>
      <c r="Z22" s="7"/>
      <c r="AA22" s="7"/>
    </row>
    <row r="23" spans="1:27" ht="15" customHeight="1">
      <c r="A23" s="17" t="s">
        <v>14</v>
      </c>
      <c r="B23" s="2">
        <v>13</v>
      </c>
      <c r="C23" s="18" t="s">
        <v>36</v>
      </c>
      <c r="D23" s="5">
        <v>9</v>
      </c>
      <c r="E23" s="6">
        <v>9</v>
      </c>
      <c r="F23" s="6">
        <v>10</v>
      </c>
      <c r="G23" s="6">
        <v>9</v>
      </c>
      <c r="H23" s="6">
        <v>11</v>
      </c>
      <c r="I23" s="6">
        <v>9</v>
      </c>
      <c r="J23" s="6">
        <v>7</v>
      </c>
      <c r="K23" s="6">
        <v>11</v>
      </c>
      <c r="L23" s="6">
        <v>8</v>
      </c>
      <c r="M23" s="6">
        <v>7</v>
      </c>
      <c r="N23" s="6">
        <v>9</v>
      </c>
      <c r="O23" s="6">
        <v>9</v>
      </c>
      <c r="P23" s="6">
        <v>7</v>
      </c>
      <c r="Q23" s="6">
        <v>10</v>
      </c>
      <c r="R23" s="24">
        <v>9</v>
      </c>
      <c r="S23" s="38">
        <f t="shared" si="0"/>
        <v>8.9333333333333336</v>
      </c>
      <c r="T23" s="7"/>
      <c r="U23" s="7"/>
      <c r="V23" s="7"/>
      <c r="W23" s="7"/>
      <c r="X23" s="7"/>
      <c r="Y23" s="7"/>
      <c r="Z23" s="7"/>
      <c r="AA23" s="7"/>
    </row>
    <row r="24" spans="1:27" ht="15" customHeight="1">
      <c r="A24" s="17" t="s">
        <v>14</v>
      </c>
      <c r="B24" s="2">
        <v>14</v>
      </c>
      <c r="C24" s="18" t="s">
        <v>37</v>
      </c>
      <c r="D24" s="5">
        <v>5</v>
      </c>
      <c r="E24" s="6">
        <v>7</v>
      </c>
      <c r="F24" s="6">
        <v>10</v>
      </c>
      <c r="G24" s="6">
        <v>7</v>
      </c>
      <c r="H24" s="6">
        <v>6</v>
      </c>
      <c r="I24" s="6">
        <v>9</v>
      </c>
      <c r="J24" s="6">
        <v>5</v>
      </c>
      <c r="K24" s="6">
        <v>9</v>
      </c>
      <c r="L24" s="6">
        <v>6</v>
      </c>
      <c r="M24" s="6">
        <v>4</v>
      </c>
      <c r="N24" s="6">
        <v>6</v>
      </c>
      <c r="O24" s="6">
        <v>8</v>
      </c>
      <c r="P24" s="6">
        <v>6</v>
      </c>
      <c r="Q24" s="6">
        <v>8</v>
      </c>
      <c r="R24" s="24">
        <v>7</v>
      </c>
      <c r="S24" s="38">
        <f t="shared" si="0"/>
        <v>6.8666666666666663</v>
      </c>
      <c r="T24" s="7"/>
      <c r="U24" s="7"/>
      <c r="V24" s="7"/>
      <c r="W24" s="7"/>
      <c r="X24" s="7"/>
      <c r="Y24" s="7"/>
      <c r="Z24" s="7"/>
      <c r="AA24" s="7"/>
    </row>
    <row r="25" spans="1:27" ht="15" customHeight="1">
      <c r="A25" s="17" t="s">
        <v>14</v>
      </c>
      <c r="B25" s="2">
        <v>15</v>
      </c>
      <c r="C25" s="18" t="s">
        <v>38</v>
      </c>
      <c r="D25" s="5">
        <v>4</v>
      </c>
      <c r="E25" s="6">
        <v>4</v>
      </c>
      <c r="F25" s="6">
        <v>6</v>
      </c>
      <c r="G25" s="6">
        <v>4</v>
      </c>
      <c r="H25" s="6">
        <v>4</v>
      </c>
      <c r="I25" s="6">
        <v>5</v>
      </c>
      <c r="J25" s="6">
        <v>4</v>
      </c>
      <c r="K25" s="6">
        <v>4</v>
      </c>
      <c r="L25" s="6">
        <v>6</v>
      </c>
      <c r="M25" s="6">
        <v>4</v>
      </c>
      <c r="N25" s="6">
        <v>4</v>
      </c>
      <c r="O25" s="6">
        <v>4</v>
      </c>
      <c r="P25" s="6">
        <v>4</v>
      </c>
      <c r="Q25" s="6">
        <v>4</v>
      </c>
      <c r="R25" s="24">
        <v>4</v>
      </c>
      <c r="S25" s="38">
        <f t="shared" si="0"/>
        <v>4.333333333333333</v>
      </c>
      <c r="T25" s="7"/>
      <c r="U25" s="7"/>
      <c r="V25" s="7"/>
      <c r="W25" s="7"/>
      <c r="X25" s="7"/>
      <c r="Y25" s="7"/>
      <c r="Z25" s="7"/>
      <c r="AA25" s="7"/>
    </row>
    <row r="26" spans="1:27" ht="15" customHeight="1">
      <c r="A26" s="17" t="s">
        <v>14</v>
      </c>
      <c r="B26" s="2">
        <v>16</v>
      </c>
      <c r="C26" s="18" t="s">
        <v>39</v>
      </c>
      <c r="D26" s="5">
        <v>10</v>
      </c>
      <c r="E26" s="6">
        <v>9</v>
      </c>
      <c r="F26" s="6">
        <v>9</v>
      </c>
      <c r="G26" s="6">
        <v>9</v>
      </c>
      <c r="H26" s="6">
        <v>10</v>
      </c>
      <c r="I26" s="6">
        <v>9</v>
      </c>
      <c r="J26" s="6">
        <v>6</v>
      </c>
      <c r="K26" s="6">
        <v>8</v>
      </c>
      <c r="L26" s="6">
        <v>9</v>
      </c>
      <c r="M26" s="6">
        <v>7</v>
      </c>
      <c r="N26" s="6">
        <v>9</v>
      </c>
      <c r="O26" s="6">
        <v>8</v>
      </c>
      <c r="P26" s="6">
        <v>7</v>
      </c>
      <c r="Q26" s="6">
        <v>10</v>
      </c>
      <c r="R26" s="24">
        <v>7</v>
      </c>
      <c r="S26" s="38">
        <f t="shared" si="0"/>
        <v>8.4666666666666668</v>
      </c>
      <c r="T26" s="7"/>
      <c r="U26" s="7"/>
      <c r="V26" s="7"/>
      <c r="W26" s="7"/>
      <c r="X26" s="7"/>
      <c r="Y26" s="7"/>
      <c r="Z26" s="7"/>
      <c r="AA26" s="7"/>
    </row>
    <row r="27" spans="1:27" ht="15" customHeight="1">
      <c r="A27" s="17" t="s">
        <v>14</v>
      </c>
      <c r="B27" s="2">
        <v>17</v>
      </c>
      <c r="C27" s="18" t="s">
        <v>40</v>
      </c>
      <c r="D27" s="5">
        <v>4</v>
      </c>
      <c r="E27" s="6">
        <v>4</v>
      </c>
      <c r="F27" s="6">
        <v>6</v>
      </c>
      <c r="G27" s="6">
        <v>6</v>
      </c>
      <c r="H27" s="6">
        <v>4</v>
      </c>
      <c r="I27" s="6">
        <v>4</v>
      </c>
      <c r="J27" s="6">
        <v>4</v>
      </c>
      <c r="K27" s="6">
        <v>4</v>
      </c>
      <c r="L27" s="6">
        <v>6</v>
      </c>
      <c r="M27" s="6">
        <v>5</v>
      </c>
      <c r="N27" s="6">
        <v>7</v>
      </c>
      <c r="O27" s="6">
        <v>4</v>
      </c>
      <c r="P27" s="6">
        <v>5</v>
      </c>
      <c r="Q27" s="6">
        <v>4</v>
      </c>
      <c r="R27" s="24">
        <v>4</v>
      </c>
      <c r="S27" s="38">
        <f t="shared" si="0"/>
        <v>4.7333333333333334</v>
      </c>
      <c r="T27" s="7"/>
      <c r="U27" s="7"/>
      <c r="V27" s="7"/>
      <c r="W27" s="7"/>
      <c r="X27" s="7"/>
      <c r="Y27" s="7"/>
      <c r="Z27" s="7"/>
      <c r="AA27" s="7"/>
    </row>
    <row r="28" spans="1:27" ht="15" customHeight="1">
      <c r="A28" s="17" t="s">
        <v>14</v>
      </c>
      <c r="B28" s="2">
        <v>18</v>
      </c>
      <c r="C28" s="18" t="s">
        <v>41</v>
      </c>
      <c r="D28" s="5">
        <v>9</v>
      </c>
      <c r="E28" s="6">
        <v>8</v>
      </c>
      <c r="F28" s="6">
        <v>8</v>
      </c>
      <c r="G28" s="6">
        <v>9</v>
      </c>
      <c r="H28" s="6">
        <v>6</v>
      </c>
      <c r="I28" s="6">
        <v>9</v>
      </c>
      <c r="J28" s="6">
        <v>7</v>
      </c>
      <c r="K28" s="6">
        <v>7</v>
      </c>
      <c r="L28" s="6">
        <v>8</v>
      </c>
      <c r="M28" s="6">
        <v>7</v>
      </c>
      <c r="N28" s="6">
        <v>6</v>
      </c>
      <c r="O28" s="6">
        <v>5</v>
      </c>
      <c r="P28" s="6">
        <v>7</v>
      </c>
      <c r="Q28" s="6">
        <v>8</v>
      </c>
      <c r="R28" s="24">
        <v>8</v>
      </c>
      <c r="S28" s="38">
        <f t="shared" si="0"/>
        <v>7.4666666666666668</v>
      </c>
      <c r="T28" s="7"/>
      <c r="U28" s="7"/>
      <c r="V28" s="7"/>
      <c r="W28" s="7"/>
      <c r="X28" s="7"/>
      <c r="Y28" s="7"/>
      <c r="Z28" s="7"/>
      <c r="AA28" s="7"/>
    </row>
    <row r="29" spans="1:27" ht="15" customHeight="1">
      <c r="A29" s="17" t="s">
        <v>14</v>
      </c>
      <c r="B29" s="2">
        <v>19</v>
      </c>
      <c r="C29" s="18" t="s">
        <v>42</v>
      </c>
      <c r="D29" s="5">
        <v>6</v>
      </c>
      <c r="E29" s="6">
        <v>10</v>
      </c>
      <c r="F29" s="6">
        <v>10</v>
      </c>
      <c r="G29" s="6">
        <v>9</v>
      </c>
      <c r="H29" s="6">
        <v>8</v>
      </c>
      <c r="I29" s="6">
        <v>9</v>
      </c>
      <c r="J29" s="6">
        <v>10</v>
      </c>
      <c r="K29" s="6">
        <v>7</v>
      </c>
      <c r="L29" s="6">
        <v>7</v>
      </c>
      <c r="M29" s="6">
        <v>8</v>
      </c>
      <c r="N29" s="6">
        <v>7</v>
      </c>
      <c r="O29" s="6">
        <v>5</v>
      </c>
      <c r="P29" s="6">
        <v>8</v>
      </c>
      <c r="Q29" s="6">
        <v>9</v>
      </c>
      <c r="R29" s="24">
        <v>7</v>
      </c>
      <c r="S29" s="38">
        <f t="shared" si="0"/>
        <v>8</v>
      </c>
      <c r="T29" s="7"/>
      <c r="U29" s="7"/>
      <c r="V29" s="7"/>
      <c r="W29" s="7"/>
      <c r="X29" s="7"/>
      <c r="Y29" s="7"/>
      <c r="Z29" s="7"/>
      <c r="AA29" s="7"/>
    </row>
    <row r="30" spans="1:27" ht="15" customHeight="1">
      <c r="A30" s="17" t="s">
        <v>14</v>
      </c>
      <c r="B30" s="2">
        <v>20</v>
      </c>
      <c r="C30" s="18" t="s">
        <v>43</v>
      </c>
      <c r="D30" s="5">
        <v>6</v>
      </c>
      <c r="E30" s="6">
        <v>7</v>
      </c>
      <c r="F30" s="6">
        <v>10</v>
      </c>
      <c r="G30" s="6">
        <v>9</v>
      </c>
      <c r="H30" s="6">
        <v>6</v>
      </c>
      <c r="I30" s="6">
        <v>8</v>
      </c>
      <c r="J30" s="6">
        <v>7</v>
      </c>
      <c r="K30" s="6">
        <v>8</v>
      </c>
      <c r="L30" s="6">
        <v>8</v>
      </c>
      <c r="M30" s="6">
        <v>8</v>
      </c>
      <c r="N30" s="6">
        <v>8</v>
      </c>
      <c r="O30" s="6">
        <v>7</v>
      </c>
      <c r="P30" s="6">
        <v>5</v>
      </c>
      <c r="Q30" s="6">
        <v>8</v>
      </c>
      <c r="R30" s="24">
        <v>8</v>
      </c>
      <c r="S30" s="38">
        <f t="shared" si="0"/>
        <v>7.5333333333333332</v>
      </c>
      <c r="T30" s="7"/>
      <c r="U30" s="7"/>
      <c r="V30" s="7"/>
      <c r="W30" s="7"/>
      <c r="X30" s="7"/>
      <c r="Y30" s="7"/>
      <c r="Z30" s="7"/>
      <c r="AA30" s="7"/>
    </row>
    <row r="31" spans="1:27" ht="15" customHeight="1">
      <c r="A31" s="17" t="s">
        <v>14</v>
      </c>
      <c r="B31" s="2">
        <v>21</v>
      </c>
      <c r="C31" s="18" t="s">
        <v>44</v>
      </c>
      <c r="D31" s="5">
        <v>8</v>
      </c>
      <c r="E31" s="6">
        <v>10</v>
      </c>
      <c r="F31" s="6">
        <v>9</v>
      </c>
      <c r="G31" s="6">
        <v>8</v>
      </c>
      <c r="H31" s="6">
        <v>9</v>
      </c>
      <c r="I31" s="6">
        <v>8</v>
      </c>
      <c r="J31" s="6">
        <v>8</v>
      </c>
      <c r="K31" s="6">
        <v>8</v>
      </c>
      <c r="L31" s="6">
        <v>7</v>
      </c>
      <c r="M31" s="6">
        <v>6</v>
      </c>
      <c r="N31" s="6">
        <v>10</v>
      </c>
      <c r="O31" s="6">
        <v>7</v>
      </c>
      <c r="P31" s="6">
        <v>6</v>
      </c>
      <c r="Q31" s="6">
        <v>10</v>
      </c>
      <c r="R31" s="24">
        <v>9</v>
      </c>
      <c r="S31" s="38">
        <f t="shared" si="0"/>
        <v>8.1999999999999993</v>
      </c>
      <c r="T31" s="7"/>
      <c r="U31" s="7"/>
      <c r="V31" s="7"/>
      <c r="W31" s="7"/>
      <c r="X31" s="7"/>
      <c r="Y31" s="7"/>
      <c r="Z31" s="7"/>
      <c r="AA31" s="7"/>
    </row>
    <row r="32" spans="1:27" ht="15" customHeight="1">
      <c r="A32" s="17" t="s">
        <v>14</v>
      </c>
      <c r="B32" s="2">
        <v>22</v>
      </c>
      <c r="C32" s="18" t="s">
        <v>45</v>
      </c>
      <c r="D32" s="5">
        <v>4</v>
      </c>
      <c r="E32" s="6">
        <v>8</v>
      </c>
      <c r="F32" s="6">
        <v>9</v>
      </c>
      <c r="G32" s="6">
        <v>6</v>
      </c>
      <c r="H32" s="6">
        <v>5</v>
      </c>
      <c r="I32" s="6">
        <v>6</v>
      </c>
      <c r="J32" s="6">
        <v>6</v>
      </c>
      <c r="K32" s="6">
        <v>7</v>
      </c>
      <c r="L32" s="6">
        <v>7</v>
      </c>
      <c r="M32" s="6">
        <v>4</v>
      </c>
      <c r="N32" s="6">
        <v>5</v>
      </c>
      <c r="O32" s="6">
        <v>5</v>
      </c>
      <c r="P32" s="6">
        <v>7</v>
      </c>
      <c r="Q32" s="6">
        <v>8</v>
      </c>
      <c r="R32" s="24">
        <v>6</v>
      </c>
      <c r="S32" s="38">
        <f t="shared" si="0"/>
        <v>6.2</v>
      </c>
      <c r="T32" s="7"/>
      <c r="U32" s="7"/>
      <c r="V32" s="7"/>
      <c r="W32" s="7"/>
      <c r="X32" s="7"/>
      <c r="Y32" s="7"/>
      <c r="Z32" s="7"/>
      <c r="AA32" s="7"/>
    </row>
    <row r="33" spans="1:27" ht="15" customHeight="1">
      <c r="A33" s="17" t="s">
        <v>14</v>
      </c>
      <c r="B33" s="2">
        <v>23</v>
      </c>
      <c r="C33" s="18" t="s">
        <v>46</v>
      </c>
      <c r="D33" s="5">
        <v>6</v>
      </c>
      <c r="E33" s="6">
        <v>6</v>
      </c>
      <c r="F33" s="6">
        <v>10</v>
      </c>
      <c r="G33" s="6">
        <v>8</v>
      </c>
      <c r="H33" s="6">
        <v>9</v>
      </c>
      <c r="I33" s="6">
        <v>8</v>
      </c>
      <c r="J33" s="6">
        <v>6</v>
      </c>
      <c r="K33" s="6">
        <v>5</v>
      </c>
      <c r="L33" s="6">
        <v>7</v>
      </c>
      <c r="M33" s="6">
        <v>5</v>
      </c>
      <c r="N33" s="6">
        <v>6</v>
      </c>
      <c r="O33" s="6">
        <v>5</v>
      </c>
      <c r="P33" s="6">
        <v>5</v>
      </c>
      <c r="Q33" s="6">
        <v>9</v>
      </c>
      <c r="R33" s="24">
        <v>5</v>
      </c>
      <c r="S33" s="38">
        <f t="shared" si="0"/>
        <v>6.666666666666667</v>
      </c>
      <c r="T33" s="7"/>
      <c r="U33" s="7"/>
      <c r="V33" s="7"/>
      <c r="W33" s="7"/>
      <c r="X33" s="7"/>
      <c r="Y33" s="7"/>
      <c r="Z33" s="7"/>
      <c r="AA33" s="7"/>
    </row>
    <row r="34" spans="1:27" ht="15" customHeight="1">
      <c r="A34" s="17" t="s">
        <v>14</v>
      </c>
      <c r="B34" s="2">
        <v>24</v>
      </c>
      <c r="C34" s="18" t="s">
        <v>47</v>
      </c>
      <c r="D34" s="5">
        <v>4</v>
      </c>
      <c r="E34" s="6">
        <v>5</v>
      </c>
      <c r="F34" s="6">
        <v>6</v>
      </c>
      <c r="G34" s="6">
        <v>4</v>
      </c>
      <c r="H34" s="6">
        <v>5</v>
      </c>
      <c r="I34" s="6">
        <v>4</v>
      </c>
      <c r="J34" s="6">
        <v>4</v>
      </c>
      <c r="K34" s="6">
        <v>5</v>
      </c>
      <c r="L34" s="6">
        <v>5</v>
      </c>
      <c r="M34" s="6">
        <v>4</v>
      </c>
      <c r="N34" s="6">
        <v>5</v>
      </c>
      <c r="O34" s="6">
        <v>4</v>
      </c>
      <c r="P34" s="6">
        <v>4</v>
      </c>
      <c r="Q34" s="6">
        <v>8</v>
      </c>
      <c r="R34" s="24">
        <v>4</v>
      </c>
      <c r="S34" s="38">
        <f t="shared" si="0"/>
        <v>4.7333333333333334</v>
      </c>
      <c r="T34" s="7"/>
      <c r="U34" s="7"/>
      <c r="V34" s="7"/>
      <c r="W34" s="7"/>
      <c r="X34" s="7"/>
      <c r="Y34" s="7"/>
      <c r="Z34" s="7"/>
      <c r="AA34" s="7"/>
    </row>
    <row r="35" spans="1:27" ht="15" customHeight="1">
      <c r="A35" s="17" t="s">
        <v>14</v>
      </c>
      <c r="B35" s="2">
        <v>25</v>
      </c>
      <c r="C35" s="18" t="s">
        <v>48</v>
      </c>
      <c r="D35" s="5">
        <v>4</v>
      </c>
      <c r="E35" s="6">
        <v>10</v>
      </c>
      <c r="F35" s="6">
        <v>10</v>
      </c>
      <c r="G35" s="6">
        <v>7</v>
      </c>
      <c r="H35" s="6">
        <v>8</v>
      </c>
      <c r="I35" s="6">
        <v>4</v>
      </c>
      <c r="J35" s="6">
        <v>9</v>
      </c>
      <c r="K35" s="6">
        <v>7</v>
      </c>
      <c r="L35" s="6">
        <v>6</v>
      </c>
      <c r="M35" s="6">
        <v>8</v>
      </c>
      <c r="N35" s="6">
        <v>7</v>
      </c>
      <c r="O35" s="6">
        <v>5</v>
      </c>
      <c r="P35" s="6">
        <v>9</v>
      </c>
      <c r="Q35" s="6">
        <v>9</v>
      </c>
      <c r="R35" s="24">
        <v>7</v>
      </c>
      <c r="S35" s="38">
        <f t="shared" si="0"/>
        <v>7.333333333333333</v>
      </c>
    </row>
    <row r="36" spans="1:27" ht="15" customHeight="1">
      <c r="A36" s="17" t="s">
        <v>14</v>
      </c>
      <c r="B36" s="2">
        <v>26</v>
      </c>
      <c r="C36" s="18" t="s">
        <v>49</v>
      </c>
      <c r="D36" s="5">
        <v>4</v>
      </c>
      <c r="E36" s="6">
        <v>8</v>
      </c>
      <c r="F36" s="6">
        <v>9</v>
      </c>
      <c r="G36" s="6">
        <v>8</v>
      </c>
      <c r="H36" s="6">
        <v>6</v>
      </c>
      <c r="I36" s="6">
        <v>7</v>
      </c>
      <c r="J36" s="6">
        <v>5</v>
      </c>
      <c r="K36" s="6">
        <v>7</v>
      </c>
      <c r="L36" s="6">
        <v>6</v>
      </c>
      <c r="M36" s="6">
        <v>7</v>
      </c>
      <c r="N36" s="6">
        <v>5</v>
      </c>
      <c r="O36" s="6">
        <v>5</v>
      </c>
      <c r="P36" s="6">
        <v>5</v>
      </c>
      <c r="Q36" s="6">
        <v>9</v>
      </c>
      <c r="R36" s="24">
        <v>6</v>
      </c>
      <c r="S36" s="38">
        <f t="shared" si="0"/>
        <v>6.4666666666666668</v>
      </c>
    </row>
    <row r="37" spans="1:27" ht="15" customHeight="1">
      <c r="A37" s="17" t="s">
        <v>14</v>
      </c>
      <c r="B37" s="2">
        <v>27</v>
      </c>
      <c r="C37" s="18" t="s">
        <v>50</v>
      </c>
      <c r="D37" s="5">
        <v>8</v>
      </c>
      <c r="E37" s="6">
        <v>10</v>
      </c>
      <c r="F37" s="6">
        <v>10</v>
      </c>
      <c r="G37" s="6">
        <v>8</v>
      </c>
      <c r="H37" s="6">
        <v>8</v>
      </c>
      <c r="I37" s="6">
        <v>10</v>
      </c>
      <c r="J37" s="6">
        <v>7</v>
      </c>
      <c r="K37" s="6">
        <v>8</v>
      </c>
      <c r="L37" s="6">
        <v>8</v>
      </c>
      <c r="M37" s="6">
        <v>7</v>
      </c>
      <c r="N37" s="6">
        <v>6</v>
      </c>
      <c r="O37" s="6">
        <v>6</v>
      </c>
      <c r="P37" s="6">
        <v>5</v>
      </c>
      <c r="Q37" s="6">
        <v>11</v>
      </c>
      <c r="R37" s="24">
        <v>8</v>
      </c>
      <c r="S37" s="38">
        <f t="shared" si="0"/>
        <v>8</v>
      </c>
    </row>
    <row r="38" spans="1:27" ht="15" customHeight="1">
      <c r="A38" s="17" t="s">
        <v>14</v>
      </c>
      <c r="B38" s="2">
        <v>28</v>
      </c>
      <c r="C38" s="18" t="s">
        <v>51</v>
      </c>
      <c r="D38" s="5">
        <v>6</v>
      </c>
      <c r="E38" s="6">
        <v>7</v>
      </c>
      <c r="F38" s="6">
        <v>10</v>
      </c>
      <c r="G38" s="6">
        <v>9</v>
      </c>
      <c r="H38" s="6">
        <v>6</v>
      </c>
      <c r="I38" s="6">
        <v>8</v>
      </c>
      <c r="J38" s="6">
        <v>7</v>
      </c>
      <c r="K38" s="6">
        <v>6</v>
      </c>
      <c r="L38" s="6">
        <v>9</v>
      </c>
      <c r="M38" s="6">
        <v>7</v>
      </c>
      <c r="N38" s="6">
        <v>7</v>
      </c>
      <c r="O38" s="6">
        <v>7</v>
      </c>
      <c r="P38" s="6">
        <v>7</v>
      </c>
      <c r="Q38" s="6">
        <v>8</v>
      </c>
      <c r="R38" s="24">
        <v>7</v>
      </c>
      <c r="S38" s="38">
        <f t="shared" si="0"/>
        <v>7.4</v>
      </c>
    </row>
    <row r="39" spans="1:27" ht="15" customHeight="1">
      <c r="A39" s="17" t="s">
        <v>14</v>
      </c>
      <c r="B39" s="2">
        <v>29</v>
      </c>
      <c r="C39" s="18" t="s">
        <v>52</v>
      </c>
      <c r="D39" s="5">
        <v>4</v>
      </c>
      <c r="E39" s="6">
        <v>5</v>
      </c>
      <c r="F39" s="6">
        <v>9</v>
      </c>
      <c r="G39" s="6">
        <v>4</v>
      </c>
      <c r="H39" s="6">
        <v>4</v>
      </c>
      <c r="I39" s="6">
        <v>4</v>
      </c>
      <c r="J39" s="6">
        <v>5</v>
      </c>
      <c r="K39" s="6">
        <v>4</v>
      </c>
      <c r="L39" s="6">
        <v>4</v>
      </c>
      <c r="M39" s="6">
        <v>4</v>
      </c>
      <c r="N39" s="6">
        <v>4</v>
      </c>
      <c r="O39" s="6">
        <v>4</v>
      </c>
      <c r="P39" s="6">
        <v>4</v>
      </c>
      <c r="Q39" s="6">
        <v>4</v>
      </c>
      <c r="R39" s="24">
        <v>4</v>
      </c>
      <c r="S39" s="38">
        <f t="shared" si="0"/>
        <v>4.4666666666666668</v>
      </c>
    </row>
    <row r="40" spans="1:27" ht="15.75" customHeight="1">
      <c r="A40" s="1"/>
      <c r="B40" s="1"/>
      <c r="C40" s="8" t="s">
        <v>16</v>
      </c>
      <c r="D40" s="37">
        <f>SUM(D11:D39)/B39</f>
        <v>5.9655172413793105</v>
      </c>
      <c r="E40" s="37">
        <f>SUM(E11:E39)/B39</f>
        <v>7</v>
      </c>
      <c r="F40" s="37">
        <f>SUM(F11:F39)/B39</f>
        <v>8.6206896551724146</v>
      </c>
      <c r="G40" s="37">
        <f>SUM(G11:G39)/B39</f>
        <v>7.3103448275862073</v>
      </c>
      <c r="H40" s="37">
        <f>SUM(H11:H39)/B39</f>
        <v>6.3448275862068968</v>
      </c>
      <c r="I40" s="37">
        <f>SUM(I11:I39)/B39</f>
        <v>7.0344827586206895</v>
      </c>
      <c r="J40" s="37">
        <f>SUM(J11:J39)/B39</f>
        <v>6.5172413793103452</v>
      </c>
      <c r="K40" s="37">
        <f>SUM(K11:K39)/B39</f>
        <v>6.3793103448275863</v>
      </c>
      <c r="L40" s="37">
        <f>SUM(L11:L39)/B39</f>
        <v>6.931034482758621</v>
      </c>
      <c r="M40" s="37">
        <f>SUM(M11:M39)/B39</f>
        <v>5.8965517241379306</v>
      </c>
      <c r="N40" s="37">
        <f>SUM(N11:N39)/B39</f>
        <v>6.5172413793103452</v>
      </c>
      <c r="O40" s="37">
        <f>SUM(O11:O39)/B39</f>
        <v>6.1379310344827589</v>
      </c>
      <c r="P40" s="37">
        <f>SUM(P11:P39)/B39</f>
        <v>5.6896551724137927</v>
      </c>
      <c r="Q40" s="37">
        <f>SUM(Q11:Q39)/B39</f>
        <v>8.1724137931034484</v>
      </c>
      <c r="R40" s="37">
        <f>SUM(R11:R39)/B39</f>
        <v>6.6551724137931032</v>
      </c>
      <c r="S40" s="38">
        <f t="shared" si="0"/>
        <v>6.7448275862068972</v>
      </c>
    </row>
    <row r="41" spans="1:27" ht="15.75" customHeight="1">
      <c r="A41" s="1"/>
      <c r="B41" s="1"/>
      <c r="C41" s="10" t="s">
        <v>17</v>
      </c>
      <c r="D41" s="33">
        <f>(COUNT(D11:D39))/B39*100</f>
        <v>100</v>
      </c>
      <c r="E41" s="33">
        <f>(COUNT(E11:E39))/B39*100</f>
        <v>100</v>
      </c>
      <c r="F41" s="33">
        <f>(COUNT(F11:F39))/B39*100</f>
        <v>100</v>
      </c>
      <c r="G41" s="33">
        <f>(COUNT(G11:G39))/B39*100</f>
        <v>100</v>
      </c>
      <c r="H41" s="33">
        <f>(COUNT(H11:H39))/B39*100</f>
        <v>100</v>
      </c>
      <c r="I41" s="33">
        <f>(COUNT(I11:I39))/B39*100</f>
        <v>100</v>
      </c>
      <c r="J41" s="33">
        <f>(COUNT(J11:J39))/B39*100</f>
        <v>100</v>
      </c>
      <c r="K41" s="33">
        <f>(COUNT(K11:K39))/B39*100</f>
        <v>100</v>
      </c>
      <c r="L41" s="33">
        <f>(COUNT(L11:L39))/B39*100</f>
        <v>100</v>
      </c>
      <c r="M41" s="33">
        <f>(COUNT(M11:M39))/B39*100</f>
        <v>100</v>
      </c>
      <c r="N41" s="33">
        <f>(COUNT(N11:N39))/B39*100</f>
        <v>100</v>
      </c>
      <c r="O41" s="33">
        <f>(COUNT(O11:O39))/B39*100</f>
        <v>100</v>
      </c>
      <c r="P41" s="33">
        <f>(COUNT(P11:P39))/B39*100</f>
        <v>100</v>
      </c>
      <c r="Q41" s="33">
        <f>(COUNT(Q11:Q39))/B39*100</f>
        <v>100</v>
      </c>
      <c r="R41" s="34">
        <f>(COUNT(R11:R39))/B39*100</f>
        <v>100</v>
      </c>
      <c r="S41" s="39"/>
    </row>
    <row r="42" spans="1:27" ht="15.75" customHeight="1">
      <c r="A42" s="1"/>
      <c r="B42" s="1"/>
      <c r="C42" s="11" t="s">
        <v>18</v>
      </c>
      <c r="D42" s="35">
        <f>(COUNTIF(D11:D39,"&gt;=7"))/B39*100</f>
        <v>31.03448275862069</v>
      </c>
      <c r="E42" s="35">
        <f>(COUNTIF(E11:E39,"&gt;=7"))/B39*100</f>
        <v>58.620689655172406</v>
      </c>
      <c r="F42" s="35">
        <f>(COUNTIF(F11:F39,"&gt;=7"))/B39*100</f>
        <v>86.206896551724128</v>
      </c>
      <c r="G42" s="35">
        <f>(COUNTIF(G11:G39,"&gt;=7"))/B39*100</f>
        <v>65.517241379310349</v>
      </c>
      <c r="H42" s="35">
        <f>(COUNTIF(H11:H39,"&gt;=7"))/B39*100</f>
        <v>31.03448275862069</v>
      </c>
      <c r="I42" s="35">
        <f>(COUNTIF(I11:I39,"&gt;=7"))/B39*100</f>
        <v>55.172413793103445</v>
      </c>
      <c r="J42" s="35">
        <f>(COUNTIF(J11:J39,"&gt;=7"))/B39*100</f>
        <v>48.275862068965516</v>
      </c>
      <c r="K42" s="35">
        <f>(COUNTIF(K11:K39,"&gt;=7"))/B39*100</f>
        <v>51.724137931034484</v>
      </c>
      <c r="L42" s="35">
        <f>(COUNTIF(L11:L39,"&gt;=7"))/B39*100</f>
        <v>58.620689655172406</v>
      </c>
      <c r="M42" s="35">
        <f>(COUNTIF(M11:M39,"&gt;=7"))/B39*100</f>
        <v>41.379310344827587</v>
      </c>
      <c r="N42" s="35">
        <f>(COUNTIF(N11:N39,"&gt;=7"))/B39*100</f>
        <v>44.827586206896555</v>
      </c>
      <c r="O42" s="35">
        <f>(COUNTIF(O11:O39,"&gt;=7"))/B39*100</f>
        <v>41.379310344827587</v>
      </c>
      <c r="P42" s="35">
        <f>(COUNTIF(P11:P39,"&gt;=7"))/B39*100</f>
        <v>34.482758620689658</v>
      </c>
      <c r="Q42" s="35">
        <f>(COUNTIF(Q11:Q39,"&gt;=7"))/B39*100</f>
        <v>82.758620689655174</v>
      </c>
      <c r="R42" s="36">
        <f>(COUNTIF(R11:R39,"&gt;=7"))/B39*100</f>
        <v>55.172413793103445</v>
      </c>
      <c r="S42" s="39"/>
    </row>
    <row r="43" spans="1:27" ht="15.75" customHeight="1">
      <c r="A43" s="1"/>
      <c r="B43" s="1"/>
      <c r="C43" s="11" t="s">
        <v>19</v>
      </c>
      <c r="D43" s="9">
        <f t="shared" ref="D43:D44" si="1">AVERAGE(D41:Q41)</f>
        <v>100</v>
      </c>
      <c r="E43" s="12"/>
      <c r="F43" s="12"/>
      <c r="G43" s="12"/>
      <c r="H43" s="1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4"/>
    </row>
    <row r="44" spans="1:27" ht="15.75" customHeight="1">
      <c r="A44" s="1"/>
      <c r="B44" s="1"/>
      <c r="C44" s="11" t="s">
        <v>20</v>
      </c>
      <c r="D44" s="9">
        <f t="shared" si="1"/>
        <v>52.21674876847289</v>
      </c>
      <c r="E44" s="12"/>
      <c r="F44" s="26" t="s">
        <v>21</v>
      </c>
      <c r="G44" s="27"/>
      <c r="H44" s="26"/>
      <c r="I44" s="26"/>
      <c r="J44" s="28"/>
      <c r="K44" s="26" t="s">
        <v>54</v>
      </c>
      <c r="L44" s="29"/>
      <c r="M44" s="13"/>
      <c r="N44" s="13"/>
      <c r="O44" s="13"/>
      <c r="P44" s="13"/>
      <c r="Q44" s="13"/>
      <c r="R44" s="13"/>
      <c r="S44" s="14"/>
    </row>
    <row r="45" spans="1:27" s="20" customFormat="1" ht="15.75" customHeight="1">
      <c r="C45" s="21"/>
      <c r="D45" s="23" t="s">
        <v>55</v>
      </c>
      <c r="F45" s="30"/>
      <c r="G45" s="30"/>
      <c r="H45" s="30"/>
      <c r="I45" s="30"/>
      <c r="J45" s="30"/>
      <c r="K45" s="30"/>
      <c r="L45" s="26"/>
    </row>
    <row r="46" spans="1:27" ht="15.75" customHeight="1">
      <c r="F46" s="31" t="s">
        <v>22</v>
      </c>
      <c r="G46" s="30"/>
      <c r="H46" s="31"/>
      <c r="I46" s="31"/>
      <c r="J46" s="31"/>
      <c r="K46" s="31" t="s">
        <v>23</v>
      </c>
      <c r="L46" s="30"/>
    </row>
    <row r="47" spans="1:27" ht="15.75" customHeight="1">
      <c r="F47" s="15"/>
      <c r="G47" s="15"/>
      <c r="H47" s="15"/>
      <c r="L47" s="16"/>
    </row>
    <row r="48" spans="1:27" ht="15.75" customHeight="1"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spans="4:4" ht="15.75" customHeight="1"/>
    <row r="50" spans="4:4" ht="15.75" customHeight="1">
      <c r="D50" s="40"/>
    </row>
    <row r="51" spans="4:4" ht="15.75" customHeight="1"/>
    <row r="52" spans="4:4" ht="15.75" customHeight="1"/>
    <row r="53" spans="4:4" ht="15.75" customHeight="1"/>
    <row r="54" spans="4:4" ht="15.75" customHeight="1"/>
    <row r="55" spans="4:4" ht="15.75" customHeight="1"/>
    <row r="56" spans="4:4" ht="15.75" customHeight="1"/>
    <row r="57" spans="4:4" ht="15.75" customHeight="1"/>
    <row r="58" spans="4:4" ht="15.75" customHeight="1"/>
    <row r="59" spans="4:4" ht="15.75" customHeight="1"/>
    <row r="60" spans="4:4" ht="15.75" customHeight="1"/>
    <row r="61" spans="4:4" ht="15.75" customHeight="1"/>
    <row r="62" spans="4:4" ht="15.75" customHeight="1"/>
    <row r="63" spans="4:4" ht="15.75" customHeight="1"/>
    <row r="64" spans="4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6">
    <mergeCell ref="B7:B10"/>
    <mergeCell ref="C7:C10"/>
    <mergeCell ref="D7:S7"/>
    <mergeCell ref="A7:A10"/>
    <mergeCell ref="D8:D10"/>
    <mergeCell ref="E8:E10"/>
    <mergeCell ref="F8:F10"/>
    <mergeCell ref="G8:G10"/>
    <mergeCell ref="H8:H10"/>
    <mergeCell ref="I8:I10"/>
    <mergeCell ref="A6:S6"/>
    <mergeCell ref="R8:R10"/>
    <mergeCell ref="A1:S1"/>
    <mergeCell ref="A2:S2"/>
    <mergeCell ref="A3:S3"/>
    <mergeCell ref="A4:S4"/>
    <mergeCell ref="A5:S5"/>
    <mergeCell ref="Q8:Q10"/>
    <mergeCell ref="S8:S10"/>
    <mergeCell ref="J8:J10"/>
    <mergeCell ref="K8:K10"/>
    <mergeCell ref="L8:L10"/>
    <mergeCell ref="M8:M10"/>
    <mergeCell ref="N8:N10"/>
    <mergeCell ref="O8:O10"/>
    <mergeCell ref="P8:P10"/>
  </mergeCells>
  <pageMargins left="0.7" right="0.7" top="0.75" bottom="0.75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181</vt:lpstr>
      <vt:lpstr>Зведена відомість 241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SURKOV</cp:lastModifiedBy>
  <dcterms:created xsi:type="dcterms:W3CDTF">2006-09-28T05:33:49Z</dcterms:created>
  <dcterms:modified xsi:type="dcterms:W3CDTF">2022-09-05T13:11:14Z</dcterms:modified>
</cp:coreProperties>
</file>