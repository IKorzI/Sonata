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17280" windowHeight="9090" activeTab="1"/>
  </bookViews>
  <sheets>
    <sheet name="Зведена відомість 181" sheetId="2" r:id="rId1"/>
    <sheet name="Зведена відомість 241" sheetId="3" r:id="rId2"/>
  </sheets>
  <calcPr calcId="125725"/>
</workbook>
</file>

<file path=xl/calcChain.xml><?xml version="1.0" encoding="utf-8"?>
<calcChain xmlns="http://schemas.openxmlformats.org/spreadsheetml/2006/main">
  <c r="S12" i="3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11"/>
  <c r="R38"/>
  <c r="Q38"/>
  <c r="P38"/>
  <c r="O38"/>
  <c r="N38"/>
  <c r="M38"/>
  <c r="L38"/>
  <c r="K38"/>
  <c r="J38"/>
  <c r="I38"/>
  <c r="H38"/>
  <c r="G38"/>
  <c r="F38"/>
  <c r="E38"/>
  <c r="D38"/>
  <c r="R37"/>
  <c r="Q37"/>
  <c r="P37"/>
  <c r="O37"/>
  <c r="N37"/>
  <c r="M37"/>
  <c r="L37"/>
  <c r="K37"/>
  <c r="J37"/>
  <c r="I37"/>
  <c r="H37"/>
  <c r="G37"/>
  <c r="F37"/>
  <c r="E37"/>
  <c r="D37"/>
  <c r="R36"/>
  <c r="Q36"/>
  <c r="P36"/>
  <c r="O36"/>
  <c r="N36"/>
  <c r="S36" s="1"/>
  <c r="M36"/>
  <c r="L36"/>
  <c r="K36"/>
  <c r="J36"/>
  <c r="I36"/>
  <c r="H36"/>
  <c r="G36"/>
  <c r="F36"/>
  <c r="E36"/>
  <c r="D36"/>
  <c r="D22" i="2"/>
  <c r="D21"/>
  <c r="S18"/>
  <c r="S17"/>
  <c r="S16"/>
  <c r="S15"/>
  <c r="S14"/>
  <c r="S13"/>
  <c r="S12"/>
  <c r="S11"/>
  <c r="R20"/>
  <c r="Q20"/>
  <c r="P20"/>
  <c r="O20"/>
  <c r="N20"/>
  <c r="M20"/>
  <c r="L20"/>
  <c r="K20"/>
  <c r="J20"/>
  <c r="I20"/>
  <c r="H20"/>
  <c r="G20"/>
  <c r="F20"/>
  <c r="E20"/>
  <c r="D20"/>
  <c r="R19"/>
  <c r="Q19"/>
  <c r="P19"/>
  <c r="O19"/>
  <c r="N19"/>
  <c r="M19"/>
  <c r="L19"/>
  <c r="K19"/>
  <c r="J19"/>
  <c r="I19"/>
  <c r="H19"/>
  <c r="G19"/>
  <c r="F19"/>
  <c r="E19"/>
  <c r="D19"/>
  <c r="R18"/>
  <c r="Q18"/>
  <c r="P18"/>
  <c r="O18"/>
  <c r="N18"/>
  <c r="M18"/>
  <c r="L18"/>
  <c r="K18"/>
  <c r="J18"/>
  <c r="I18"/>
  <c r="H18"/>
  <c r="G18"/>
  <c r="F18"/>
  <c r="E18"/>
  <c r="D18"/>
  <c r="D40" i="3" l="1"/>
  <c r="D39"/>
</calcChain>
</file>

<file path=xl/sharedStrings.xml><?xml version="1.0" encoding="utf-8"?>
<sst xmlns="http://schemas.openxmlformats.org/spreadsheetml/2006/main" count="134" uniqueCount="69">
  <si>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</si>
  <si>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</si>
  <si>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</si>
  <si>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</si>
  <si>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</si>
  <si>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</si>
  <si>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</si>
  <si>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</si>
  <si>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</si>
  <si>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</si>
  <si>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Підсумкові оцінки дисциплін</t>
  </si>
  <si>
    <t>Класний керівник</t>
  </si>
  <si>
    <t>Завідувач відділення ПЗСО</t>
  </si>
  <si>
    <t>К</t>
  </si>
  <si>
    <t>Українська література
Юрченко О.Б.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</si>
  <si>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</si>
  <si>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</si>
  <si>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</si>
  <si>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</si>
  <si>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</si>
  <si>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Маргарита БРІТІКОВА</t>
  </si>
  <si>
    <t>Група 21-8 курс І</t>
  </si>
  <si>
    <t>Вікторія РОЛІНСЬКА</t>
  </si>
  <si>
    <t>Белевят Максим Олегович</t>
  </si>
  <si>
    <t>Дзернович Марія Василівна</t>
  </si>
  <si>
    <t xml:space="preserve">Драгой Дар’я Романівна   </t>
  </si>
  <si>
    <t>Копач Антон Олексійович</t>
  </si>
  <si>
    <t>Северін Олександр Максимов.</t>
  </si>
  <si>
    <t>Стрельникова Анна Владислав.</t>
  </si>
  <si>
    <t>Терновенко Євгеній Васильов.</t>
  </si>
  <si>
    <t>Айзіна Валерія Дмитрівна</t>
  </si>
  <si>
    <t>Бадр Сабіна Джамаллуддінівна</t>
  </si>
  <si>
    <t>Богданова Іванна Валентинівна</t>
  </si>
  <si>
    <t>Бондаренко Юлія Вячеславівна</t>
  </si>
  <si>
    <t>Бублік Тетяна Миколаївна</t>
  </si>
  <si>
    <t>Бурдюгова Тетяна Євгеніївна</t>
  </si>
  <si>
    <t>Бухтіяров Владислав Георгійов</t>
  </si>
  <si>
    <t>Волович Єгор Сергійович</t>
  </si>
  <si>
    <t>Волошина Анастасія Анатоліїв.</t>
  </si>
  <si>
    <t>Воронкова Аделіна Максимівна</t>
  </si>
  <si>
    <t>Герасімов Віталій Леонідович</t>
  </si>
  <si>
    <t xml:space="preserve">Денисюк Маргарита Юріївна </t>
  </si>
  <si>
    <t>Євсєєва Олександра Олегівна</t>
  </si>
  <si>
    <t>Єрьоменко Аліна Анатоліївна</t>
  </si>
  <si>
    <t>Конько Ніколь Андріївна</t>
  </si>
  <si>
    <t>Корнацький Ростислав Вьячес.</t>
  </si>
  <si>
    <t>Кошельник Олександра Олег.</t>
  </si>
  <si>
    <t>Макарова Орина Керимівна</t>
  </si>
  <si>
    <t>Мартинюк Наталія Олександр.</t>
  </si>
  <si>
    <t>Миргородська Юлія Олегівна</t>
  </si>
  <si>
    <t>Прутянов Ахмед Вайлович</t>
  </si>
  <si>
    <t>Ткачук Тамара Вікторівна</t>
  </si>
  <si>
    <t>Сеніч Марія Миколаївна</t>
  </si>
  <si>
    <t>Харченко Ганна Дмитрівна</t>
  </si>
  <si>
    <t>Шевченко Марія Віталіївна</t>
  </si>
  <si>
    <t>Математика
Нужна Н.В.</t>
  </si>
  <si>
    <t>Фізика
Швець М.В.</t>
  </si>
  <si>
    <t>Інформатика
Охримчук В.С.</t>
  </si>
  <si>
    <t>Українська мова
Юрченко О.Б.</t>
  </si>
  <si>
    <t>Іноземна мова
Галинська Т.С.</t>
  </si>
  <si>
    <t>Успішності студентів спеціальності 181 «Харчові технології»</t>
  </si>
  <si>
    <t>Успішності студентів спеціальності 241 «Готельно-ресторанна справа»</t>
  </si>
  <si>
    <t>Астрономія
Калюта Н.М.</t>
  </si>
  <si>
    <t>Фізична культура
Акрабова О.Г.</t>
  </si>
  <si>
    <t>ЗВ
Лазар В.І.</t>
  </si>
  <si>
    <t>Хімія
Леонова Д.І.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</si>
  <si>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</si>
  <si>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</si>
  <si>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Річна 2021-2022 н.р.</t>
  </si>
</sst>
</file>

<file path=xl/styles.xml><?xml version="1.0" encoding="utf-8"?>
<styleSheet xmlns="http://schemas.openxmlformats.org/spreadsheetml/2006/main">
  <numFmts count="1">
    <numFmt numFmtId="164" formatCode="0.0"/>
  </numFmts>
  <fonts count="17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53">
    <xf numFmtId="0" fontId="0" fillId="0" borderId="0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2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9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3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11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</cellStyleXfs>
  <cellXfs count="98">
    <xf numFmtId="0" fontId="0" fillId="0" borderId="0" xfId="0" applyFont="1" applyAlignment="1"/>
    <xf numFmtId="0" fontId="2" fillId="0" borderId="0" xfId="0" applyFont="1"/>
    <xf numFmtId="0" fontId="4" fillId="2" borderId="7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2" borderId="27" xfId="0" applyFont="1" applyFill="1" applyBorder="1" applyAlignment="1">
      <alignment horizontal="center" vertical="center" wrapText="1"/>
    </xf>
    <xf numFmtId="0" fontId="2" fillId="0" borderId="12" xfId="160" applyFont="1"/>
    <xf numFmtId="0" fontId="9" fillId="0" borderId="12" xfId="160" applyFont="1" applyAlignment="1"/>
    <xf numFmtId="0" fontId="10" fillId="0" borderId="20" xfId="160" applyFont="1" applyBorder="1" applyAlignment="1">
      <alignment horizontal="center" vertical="center" wrapText="1"/>
    </xf>
    <xf numFmtId="0" fontId="4" fillId="2" borderId="12" xfId="160" applyFont="1" applyFill="1" applyBorder="1" applyAlignment="1">
      <alignment horizontal="center" vertical="center" wrapText="1"/>
    </xf>
    <xf numFmtId="0" fontId="4" fillId="0" borderId="29" xfId="160" applyFont="1" applyBorder="1" applyAlignment="1">
      <alignment horizontal="center" vertical="center" wrapText="1"/>
    </xf>
    <xf numFmtId="0" fontId="4" fillId="0" borderId="23" xfId="245" applyFont="1" applyBorder="1" applyAlignment="1">
      <alignment horizontal="center" vertical="center" wrapText="1"/>
    </xf>
    <xf numFmtId="0" fontId="4" fillId="0" borderId="23" xfId="246" applyFont="1" applyBorder="1" applyAlignment="1">
      <alignment horizontal="center" vertical="center" wrapText="1"/>
    </xf>
    <xf numFmtId="0" fontId="4" fillId="0" borderId="26" xfId="160" applyFont="1" applyBorder="1" applyAlignment="1">
      <alignment horizontal="center" vertical="center" wrapText="1"/>
    </xf>
    <xf numFmtId="0" fontId="4" fillId="0" borderId="23" xfId="160" applyFont="1" applyBorder="1" applyAlignment="1">
      <alignment horizontal="center" vertical="center" wrapText="1"/>
    </xf>
    <xf numFmtId="0" fontId="4" fillId="0" borderId="30" xfId="160" applyFont="1" applyBorder="1" applyAlignment="1">
      <alignment horizontal="center" vertical="center" wrapText="1"/>
    </xf>
    <xf numFmtId="0" fontId="4" fillId="0" borderId="23" xfId="247" applyFont="1" applyBorder="1" applyAlignment="1">
      <alignment horizontal="center"/>
    </xf>
    <xf numFmtId="0" fontId="4" fillId="0" borderId="26" xfId="160" applyFont="1" applyBorder="1" applyAlignment="1">
      <alignment horizontal="center"/>
    </xf>
    <xf numFmtId="0" fontId="10" fillId="0" borderId="26" xfId="160" applyFont="1" applyBorder="1" applyAlignment="1">
      <alignment horizontal="center" wrapText="1"/>
    </xf>
    <xf numFmtId="0" fontId="10" fillId="0" borderId="23" xfId="248" applyFont="1" applyBorder="1" applyAlignment="1">
      <alignment horizontal="center" wrapText="1"/>
    </xf>
    <xf numFmtId="0" fontId="4" fillId="0" borderId="31" xfId="160" applyFont="1" applyFill="1" applyBorder="1" applyAlignment="1">
      <alignment horizontal="center" vertical="center" wrapText="1"/>
    </xf>
    <xf numFmtId="0" fontId="4" fillId="2" borderId="27" xfId="160" applyFont="1" applyFill="1" applyBorder="1" applyAlignment="1">
      <alignment horizontal="center" vertical="center" wrapText="1"/>
    </xf>
    <xf numFmtId="0" fontId="4" fillId="0" borderId="18" xfId="160" applyFont="1" applyBorder="1" applyAlignment="1">
      <alignment horizontal="center" vertical="center" wrapText="1"/>
    </xf>
    <xf numFmtId="0" fontId="4" fillId="0" borderId="20" xfId="245" applyFont="1" applyBorder="1" applyAlignment="1">
      <alignment horizontal="center" vertical="center" wrapText="1"/>
    </xf>
    <xf numFmtId="0" fontId="4" fillId="0" borderId="20" xfId="246" applyFont="1" applyBorder="1" applyAlignment="1">
      <alignment horizontal="center" vertical="center" wrapText="1"/>
    </xf>
    <xf numFmtId="0" fontId="4" fillId="0" borderId="21" xfId="160" applyFont="1" applyBorder="1" applyAlignment="1">
      <alignment horizontal="center" vertical="center" wrapText="1"/>
    </xf>
    <xf numFmtId="0" fontId="4" fillId="0" borderId="20" xfId="160" applyFont="1" applyBorder="1" applyAlignment="1">
      <alignment horizontal="center" vertical="center" wrapText="1"/>
    </xf>
    <xf numFmtId="0" fontId="4" fillId="0" borderId="17" xfId="160" applyFont="1" applyBorder="1" applyAlignment="1">
      <alignment horizontal="center" vertical="center" wrapText="1"/>
    </xf>
    <xf numFmtId="0" fontId="4" fillId="0" borderId="20" xfId="247" applyFont="1" applyBorder="1" applyAlignment="1">
      <alignment horizontal="center"/>
    </xf>
    <xf numFmtId="0" fontId="4" fillId="0" borderId="21" xfId="249" applyFont="1" applyBorder="1" applyAlignment="1">
      <alignment horizontal="center"/>
    </xf>
    <xf numFmtId="0" fontId="10" fillId="0" borderId="21" xfId="160" applyFont="1" applyBorder="1" applyAlignment="1">
      <alignment horizontal="center" wrapText="1"/>
    </xf>
    <xf numFmtId="0" fontId="10" fillId="0" borderId="20" xfId="248" applyFont="1" applyBorder="1" applyAlignment="1">
      <alignment horizontal="center" wrapText="1"/>
    </xf>
    <xf numFmtId="0" fontId="4" fillId="0" borderId="15" xfId="160" applyFont="1" applyFill="1" applyBorder="1" applyAlignment="1">
      <alignment horizontal="center" vertical="center" wrapText="1"/>
    </xf>
    <xf numFmtId="0" fontId="4" fillId="2" borderId="15" xfId="160" applyFont="1" applyFill="1" applyBorder="1" applyAlignment="1">
      <alignment horizontal="center" vertical="center" wrapText="1"/>
    </xf>
    <xf numFmtId="0" fontId="4" fillId="0" borderId="7" xfId="160" applyFont="1" applyBorder="1" applyAlignment="1">
      <alignment horizontal="center" vertical="center" wrapText="1"/>
    </xf>
    <xf numFmtId="0" fontId="4" fillId="0" borderId="9" xfId="160" applyFont="1" applyBorder="1" applyAlignment="1">
      <alignment horizontal="center" vertical="center" wrapText="1"/>
    </xf>
    <xf numFmtId="0" fontId="4" fillId="0" borderId="19" xfId="160" applyFont="1" applyBorder="1" applyAlignment="1">
      <alignment horizontal="center" vertical="center" wrapText="1"/>
    </xf>
    <xf numFmtId="0" fontId="4" fillId="2" borderId="7" xfId="160" applyFont="1" applyFill="1" applyBorder="1" applyAlignment="1">
      <alignment vertical="center" wrapText="1"/>
    </xf>
    <xf numFmtId="0" fontId="4" fillId="2" borderId="9" xfId="160" applyFont="1" applyFill="1" applyBorder="1" applyAlignment="1">
      <alignment vertical="center" wrapText="1"/>
    </xf>
    <xf numFmtId="0" fontId="4" fillId="2" borderId="11" xfId="160" applyFont="1" applyFill="1" applyBorder="1" applyAlignment="1">
      <alignment vertical="center" wrapText="1"/>
    </xf>
    <xf numFmtId="164" fontId="4" fillId="0" borderId="12" xfId="160" applyNumberFormat="1" applyFont="1" applyAlignment="1">
      <alignment horizontal="center" vertical="center"/>
    </xf>
    <xf numFmtId="0" fontId="7" fillId="0" borderId="12" xfId="160" applyFont="1" applyAlignment="1">
      <alignment horizontal="center" vertical="center"/>
    </xf>
    <xf numFmtId="0" fontId="8" fillId="0" borderId="12" xfId="160" applyFont="1" applyAlignment="1"/>
    <xf numFmtId="0" fontId="10" fillId="0" borderId="20" xfId="0" applyFont="1" applyBorder="1" applyAlignment="1">
      <alignment horizontal="left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0" borderId="12" xfId="160" applyFont="1" applyAlignment="1"/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4" fillId="0" borderId="0" xfId="0" applyFont="1" applyAlignment="1"/>
    <xf numFmtId="0" fontId="15" fillId="0" borderId="0" xfId="0" applyFont="1" applyAlignment="1"/>
    <xf numFmtId="0" fontId="14" fillId="0" borderId="12" xfId="160" applyFont="1" applyAlignment="1"/>
    <xf numFmtId="0" fontId="15" fillId="0" borderId="12" xfId="160" applyFont="1" applyAlignment="1"/>
    <xf numFmtId="164" fontId="4" fillId="3" borderId="1" xfId="252" applyNumberFormat="1" applyFont="1" applyFill="1" applyBorder="1" applyAlignment="1">
      <alignment horizontal="center" vertical="center"/>
    </xf>
    <xf numFmtId="164" fontId="4" fillId="3" borderId="28" xfId="252" applyNumberFormat="1" applyFont="1" applyFill="1" applyBorder="1" applyAlignment="1">
      <alignment horizontal="center" vertical="center"/>
    </xf>
    <xf numFmtId="164" fontId="4" fillId="3" borderId="9" xfId="252" applyNumberFormat="1" applyFont="1" applyFill="1" applyBorder="1" applyAlignment="1">
      <alignment horizontal="center" vertical="center"/>
    </xf>
    <xf numFmtId="164" fontId="4" fillId="3" borderId="4" xfId="252" applyNumberFormat="1" applyFont="1" applyFill="1" applyBorder="1" applyAlignment="1">
      <alignment horizontal="center" vertical="center"/>
    </xf>
    <xf numFmtId="164" fontId="4" fillId="4" borderId="7" xfId="252" applyNumberFormat="1" applyFont="1" applyFill="1" applyBorder="1" applyAlignment="1">
      <alignment horizontal="center" vertical="center"/>
    </xf>
    <xf numFmtId="2" fontId="4" fillId="4" borderId="24" xfId="252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4" fillId="0" borderId="25" xfId="0" applyFont="1" applyBorder="1" applyAlignment="1">
      <alignment horizontal="center" textRotation="90" wrapText="1"/>
    </xf>
    <xf numFmtId="0" fontId="4" fillId="0" borderId="22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16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2" borderId="14" xfId="0" applyFont="1" applyFill="1" applyBorder="1" applyAlignment="1">
      <alignment horizontal="center" vertical="center" textRotation="90" wrapText="1"/>
    </xf>
    <xf numFmtId="0" fontId="5" fillId="0" borderId="14" xfId="0" applyFont="1" applyBorder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13" xfId="0" applyFont="1" applyBorder="1"/>
    <xf numFmtId="0" fontId="5" fillId="0" borderId="28" xfId="0" applyFont="1" applyBorder="1"/>
    <xf numFmtId="0" fontId="4" fillId="0" borderId="32" xfId="0" applyFont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4" fillId="0" borderId="34" xfId="0" applyFont="1" applyBorder="1" applyAlignment="1">
      <alignment horizontal="center" textRotation="90" wrapText="1"/>
    </xf>
    <xf numFmtId="0" fontId="4" fillId="2" borderId="1" xfId="160" applyFont="1" applyFill="1" applyBorder="1" applyAlignment="1">
      <alignment horizontal="center" vertical="center"/>
    </xf>
    <xf numFmtId="0" fontId="5" fillId="0" borderId="5" xfId="160" applyFont="1" applyBorder="1"/>
    <xf numFmtId="0" fontId="4" fillId="2" borderId="1" xfId="160" applyFont="1" applyFill="1" applyBorder="1" applyAlignment="1">
      <alignment horizontal="center" vertical="center" wrapText="1"/>
    </xf>
    <xf numFmtId="0" fontId="5" fillId="0" borderId="7" xfId="160" applyFont="1" applyBorder="1"/>
    <xf numFmtId="0" fontId="5" fillId="0" borderId="16" xfId="160" applyFont="1" applyBorder="1"/>
    <xf numFmtId="0" fontId="4" fillId="0" borderId="10" xfId="160" applyFont="1" applyBorder="1" applyAlignment="1">
      <alignment horizontal="center"/>
    </xf>
    <xf numFmtId="0" fontId="5" fillId="0" borderId="13" xfId="160" applyFont="1" applyBorder="1"/>
    <xf numFmtId="0" fontId="5" fillId="0" borderId="28" xfId="160" applyFont="1" applyBorder="1"/>
    <xf numFmtId="0" fontId="1" fillId="0" borderId="12" xfId="160" applyFont="1" applyAlignment="1">
      <alignment horizontal="center"/>
    </xf>
    <xf numFmtId="0" fontId="3" fillId="0" borderId="12" xfId="160" applyFont="1" applyAlignment="1">
      <alignment horizontal="center"/>
    </xf>
    <xf numFmtId="0" fontId="1" fillId="0" borderId="8" xfId="160" applyFont="1" applyBorder="1" applyAlignment="1">
      <alignment horizontal="center"/>
    </xf>
    <xf numFmtId="0" fontId="6" fillId="2" borderId="20" xfId="160" applyFont="1" applyFill="1" applyBorder="1" applyAlignment="1">
      <alignment horizontal="center" vertical="center" textRotation="90" wrapText="1"/>
    </xf>
    <xf numFmtId="0" fontId="5" fillId="0" borderId="20" xfId="160" applyFont="1" applyBorder="1"/>
  </cellXfs>
  <cellStyles count="253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 2" xfId="252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1 2" xfId="251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8 2" xfId="250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1 2" xfId="247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2 2" xfId="248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5 2" xfId="249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2 2" xfId="245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8 2" xfId="246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8"/>
  <sheetViews>
    <sheetView zoomScaleNormal="100" workbookViewId="0">
      <selection sqref="A1:S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7" width="6.7109375" customWidth="1"/>
    <col min="18" max="18" width="6.7109375" style="49" customWidth="1"/>
    <col min="19" max="19" width="11.28515625" customWidth="1"/>
  </cols>
  <sheetData>
    <row r="1" spans="1:23" ht="15" customHeight="1">
      <c r="A1" s="67" t="s">
        <v>66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23" ht="15" customHeight="1">
      <c r="A2" s="67" t="s">
        <v>67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23" ht="15" customHeight="1">
      <c r="A3" s="68" t="s">
        <v>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</row>
    <row r="4" spans="1:23" ht="15" customHeight="1">
      <c r="A4" s="69" t="s">
        <v>60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</row>
    <row r="5" spans="1:23" ht="15" customHeight="1">
      <c r="A5" s="69" t="s">
        <v>68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</row>
    <row r="6" spans="1:23" ht="15" customHeight="1">
      <c r="A6" s="63" t="s">
        <v>21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</row>
    <row r="7" spans="1:23" ht="15" customHeight="1">
      <c r="A7" s="72" t="s">
        <v>1</v>
      </c>
      <c r="B7" s="74" t="s">
        <v>2</v>
      </c>
      <c r="C7" s="74" t="s">
        <v>3</v>
      </c>
      <c r="D7" s="78" t="s">
        <v>10</v>
      </c>
      <c r="E7" s="79"/>
      <c r="F7" s="79"/>
      <c r="G7" s="79"/>
      <c r="H7" s="80"/>
      <c r="I7" s="79"/>
      <c r="J7" s="80"/>
      <c r="K7" s="79"/>
      <c r="L7" s="79"/>
      <c r="M7" s="79"/>
      <c r="N7" s="79"/>
      <c r="O7" s="79"/>
      <c r="P7" s="79"/>
      <c r="Q7" s="80"/>
      <c r="R7" s="80"/>
      <c r="S7" s="81"/>
    </row>
    <row r="8" spans="1:23" ht="15" customHeight="1">
      <c r="A8" s="73"/>
      <c r="B8" s="73"/>
      <c r="C8" s="76"/>
      <c r="D8" s="82" t="s">
        <v>62</v>
      </c>
      <c r="E8" s="64" t="s">
        <v>17</v>
      </c>
      <c r="F8" s="64" t="s">
        <v>15</v>
      </c>
      <c r="G8" s="64" t="s">
        <v>19</v>
      </c>
      <c r="H8" s="64" t="s">
        <v>16</v>
      </c>
      <c r="I8" s="64" t="s">
        <v>64</v>
      </c>
      <c r="J8" s="64" t="s">
        <v>59</v>
      </c>
      <c r="K8" s="64" t="s">
        <v>57</v>
      </c>
      <c r="L8" s="64" t="s">
        <v>18</v>
      </c>
      <c r="M8" s="64" t="s">
        <v>55</v>
      </c>
      <c r="N8" s="64" t="s">
        <v>14</v>
      </c>
      <c r="O8" s="64" t="s">
        <v>58</v>
      </c>
      <c r="P8" s="64" t="s">
        <v>56</v>
      </c>
      <c r="Q8" s="64" t="s">
        <v>63</v>
      </c>
      <c r="R8" s="64" t="s">
        <v>65</v>
      </c>
      <c r="S8" s="70" t="s">
        <v>4</v>
      </c>
    </row>
    <row r="9" spans="1:23" ht="15" customHeight="1">
      <c r="A9" s="73"/>
      <c r="B9" s="73"/>
      <c r="C9" s="76"/>
      <c r="D9" s="83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71"/>
      <c r="U9" s="49"/>
      <c r="V9" s="49"/>
      <c r="W9" s="49"/>
    </row>
    <row r="10" spans="1:23" ht="105" customHeight="1">
      <c r="A10" s="73"/>
      <c r="B10" s="75"/>
      <c r="C10" s="77"/>
      <c r="D10" s="84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71"/>
      <c r="U10" s="49"/>
      <c r="V10" s="49"/>
      <c r="W10" s="49"/>
    </row>
    <row r="11" spans="1:23" ht="15" customHeight="1">
      <c r="A11" s="48" t="s">
        <v>13</v>
      </c>
      <c r="B11" s="7">
        <v>1</v>
      </c>
      <c r="C11" s="47" t="s">
        <v>23</v>
      </c>
      <c r="D11" s="51">
        <v>4</v>
      </c>
      <c r="E11" s="52">
        <v>6</v>
      </c>
      <c r="F11" s="52">
        <v>9</v>
      </c>
      <c r="G11" s="52">
        <v>7</v>
      </c>
      <c r="H11" s="52">
        <v>5</v>
      </c>
      <c r="I11" s="52">
        <v>6</v>
      </c>
      <c r="J11" s="52">
        <v>4</v>
      </c>
      <c r="K11" s="52">
        <v>5</v>
      </c>
      <c r="L11" s="52">
        <v>5</v>
      </c>
      <c r="M11" s="52">
        <v>4</v>
      </c>
      <c r="N11" s="52">
        <v>7</v>
      </c>
      <c r="O11" s="52">
        <v>6</v>
      </c>
      <c r="P11" s="52">
        <v>5</v>
      </c>
      <c r="Q11" s="52">
        <v>7</v>
      </c>
      <c r="R11" s="52">
        <v>4</v>
      </c>
      <c r="S11" s="62">
        <f t="shared" ref="S11:S18" si="0">IF(COUNTIF(D11:R11,"=*")&gt;0,"-",(AVERAGE(D11:R11)))</f>
        <v>5.6</v>
      </c>
      <c r="U11" s="49"/>
      <c r="V11" s="49"/>
      <c r="W11" s="49"/>
    </row>
    <row r="12" spans="1:23" ht="15" customHeight="1">
      <c r="A12" s="48" t="s">
        <v>13</v>
      </c>
      <c r="B12" s="9">
        <v>2</v>
      </c>
      <c r="C12" s="47" t="s">
        <v>24</v>
      </c>
      <c r="D12" s="51">
        <v>4</v>
      </c>
      <c r="E12" s="52">
        <v>8</v>
      </c>
      <c r="F12" s="52">
        <v>9</v>
      </c>
      <c r="G12" s="52">
        <v>7</v>
      </c>
      <c r="H12" s="52">
        <v>7</v>
      </c>
      <c r="I12" s="52">
        <v>4</v>
      </c>
      <c r="J12" s="52">
        <v>8</v>
      </c>
      <c r="K12" s="52">
        <v>5</v>
      </c>
      <c r="L12" s="52">
        <v>5</v>
      </c>
      <c r="M12" s="52">
        <v>5</v>
      </c>
      <c r="N12" s="52">
        <v>7</v>
      </c>
      <c r="O12" s="52">
        <v>7</v>
      </c>
      <c r="P12" s="52">
        <v>6</v>
      </c>
      <c r="Q12" s="52">
        <v>8</v>
      </c>
      <c r="R12" s="52">
        <v>7</v>
      </c>
      <c r="S12" s="62">
        <f t="shared" si="0"/>
        <v>6.4666666666666668</v>
      </c>
      <c r="U12" s="49"/>
      <c r="V12" s="49"/>
      <c r="W12" s="49"/>
    </row>
    <row r="13" spans="1:23" ht="15" customHeight="1">
      <c r="A13" s="48" t="s">
        <v>13</v>
      </c>
      <c r="B13" s="9">
        <v>3</v>
      </c>
      <c r="C13" s="47" t="s">
        <v>25</v>
      </c>
      <c r="D13" s="51">
        <v>4</v>
      </c>
      <c r="E13" s="52">
        <v>4</v>
      </c>
      <c r="F13" s="52">
        <v>5</v>
      </c>
      <c r="G13" s="52">
        <v>5</v>
      </c>
      <c r="H13" s="52">
        <v>4</v>
      </c>
      <c r="I13" s="52">
        <v>6</v>
      </c>
      <c r="J13" s="52">
        <v>4</v>
      </c>
      <c r="K13" s="52">
        <v>5</v>
      </c>
      <c r="L13" s="52">
        <v>5</v>
      </c>
      <c r="M13" s="52">
        <v>4</v>
      </c>
      <c r="N13" s="52">
        <v>4</v>
      </c>
      <c r="O13" s="52">
        <v>4</v>
      </c>
      <c r="P13" s="52">
        <v>4</v>
      </c>
      <c r="Q13" s="52">
        <v>7</v>
      </c>
      <c r="R13" s="52">
        <v>4</v>
      </c>
      <c r="S13" s="62">
        <f t="shared" si="0"/>
        <v>4.5999999999999996</v>
      </c>
      <c r="U13" s="49"/>
      <c r="V13" s="49"/>
      <c r="W13" s="49"/>
    </row>
    <row r="14" spans="1:23" ht="15" customHeight="1">
      <c r="A14" s="48" t="s">
        <v>13</v>
      </c>
      <c r="B14" s="9">
        <v>4</v>
      </c>
      <c r="C14" s="47" t="s">
        <v>26</v>
      </c>
      <c r="D14" s="51">
        <v>4</v>
      </c>
      <c r="E14" s="52">
        <v>4</v>
      </c>
      <c r="F14" s="52">
        <v>6</v>
      </c>
      <c r="G14" s="52">
        <v>4</v>
      </c>
      <c r="H14" s="52">
        <v>4</v>
      </c>
      <c r="I14" s="52">
        <v>4</v>
      </c>
      <c r="J14" s="52">
        <v>4</v>
      </c>
      <c r="K14" s="52">
        <v>4</v>
      </c>
      <c r="L14" s="52">
        <v>4</v>
      </c>
      <c r="M14" s="52">
        <v>4</v>
      </c>
      <c r="N14" s="52">
        <v>4</v>
      </c>
      <c r="O14" s="52">
        <v>4</v>
      </c>
      <c r="P14" s="52">
        <v>4</v>
      </c>
      <c r="Q14" s="52">
        <v>4</v>
      </c>
      <c r="R14" s="52">
        <v>4</v>
      </c>
      <c r="S14" s="62">
        <f t="shared" si="0"/>
        <v>4.1333333333333337</v>
      </c>
      <c r="U14" s="49"/>
      <c r="V14" s="49"/>
      <c r="W14" s="49"/>
    </row>
    <row r="15" spans="1:23" ht="15" customHeight="1">
      <c r="A15" s="48" t="s">
        <v>13</v>
      </c>
      <c r="B15" s="9">
        <v>5</v>
      </c>
      <c r="C15" s="47" t="s">
        <v>27</v>
      </c>
      <c r="D15" s="51">
        <v>4</v>
      </c>
      <c r="E15" s="52">
        <v>5</v>
      </c>
      <c r="F15" s="52">
        <v>7</v>
      </c>
      <c r="G15" s="52">
        <v>6</v>
      </c>
      <c r="H15" s="52">
        <v>5</v>
      </c>
      <c r="I15" s="52">
        <v>6</v>
      </c>
      <c r="J15" s="52">
        <v>4</v>
      </c>
      <c r="K15" s="52">
        <v>4</v>
      </c>
      <c r="L15" s="52">
        <v>5</v>
      </c>
      <c r="M15" s="52">
        <v>5</v>
      </c>
      <c r="N15" s="52">
        <v>5</v>
      </c>
      <c r="O15" s="52">
        <v>6</v>
      </c>
      <c r="P15" s="52">
        <v>4</v>
      </c>
      <c r="Q15" s="52">
        <v>7</v>
      </c>
      <c r="R15" s="52">
        <v>6</v>
      </c>
      <c r="S15" s="62">
        <f t="shared" si="0"/>
        <v>5.2666666666666666</v>
      </c>
      <c r="U15" s="49"/>
      <c r="V15" s="49"/>
      <c r="W15" s="49"/>
    </row>
    <row r="16" spans="1:23" ht="15" customHeight="1">
      <c r="A16" s="48" t="s">
        <v>13</v>
      </c>
      <c r="B16" s="9">
        <v>6</v>
      </c>
      <c r="C16" s="47" t="s">
        <v>28</v>
      </c>
      <c r="D16" s="51">
        <v>4</v>
      </c>
      <c r="E16" s="52">
        <v>7</v>
      </c>
      <c r="F16" s="52">
        <v>9</v>
      </c>
      <c r="G16" s="52">
        <v>9</v>
      </c>
      <c r="H16" s="52">
        <v>5</v>
      </c>
      <c r="I16" s="52">
        <v>4</v>
      </c>
      <c r="J16" s="52">
        <v>8</v>
      </c>
      <c r="K16" s="52">
        <v>6</v>
      </c>
      <c r="L16" s="52">
        <v>8</v>
      </c>
      <c r="M16" s="52">
        <v>7</v>
      </c>
      <c r="N16" s="52">
        <v>6</v>
      </c>
      <c r="O16" s="52">
        <v>7</v>
      </c>
      <c r="P16" s="52">
        <v>7</v>
      </c>
      <c r="Q16" s="52">
        <v>7</v>
      </c>
      <c r="R16" s="52">
        <v>6</v>
      </c>
      <c r="S16" s="62">
        <f t="shared" si="0"/>
        <v>6.666666666666667</v>
      </c>
      <c r="U16" s="49"/>
      <c r="V16" s="49"/>
      <c r="W16" s="49"/>
    </row>
    <row r="17" spans="1:23" ht="15" customHeight="1">
      <c r="A17" s="48" t="s">
        <v>13</v>
      </c>
      <c r="B17" s="9">
        <v>7</v>
      </c>
      <c r="C17" s="47" t="s">
        <v>29</v>
      </c>
      <c r="D17" s="51">
        <v>4</v>
      </c>
      <c r="E17" s="52">
        <v>6</v>
      </c>
      <c r="F17" s="52">
        <v>7</v>
      </c>
      <c r="G17" s="52">
        <v>7</v>
      </c>
      <c r="H17" s="52">
        <v>4</v>
      </c>
      <c r="I17" s="52">
        <v>6</v>
      </c>
      <c r="J17" s="52">
        <v>4</v>
      </c>
      <c r="K17" s="52">
        <v>5</v>
      </c>
      <c r="L17" s="52">
        <v>5</v>
      </c>
      <c r="M17" s="52">
        <v>4</v>
      </c>
      <c r="N17" s="52">
        <v>4</v>
      </c>
      <c r="O17" s="52">
        <v>4</v>
      </c>
      <c r="P17" s="52">
        <v>5</v>
      </c>
      <c r="Q17" s="52">
        <v>7</v>
      </c>
      <c r="R17" s="52">
        <v>4</v>
      </c>
      <c r="S17" s="62">
        <f t="shared" si="0"/>
        <v>5.0666666666666664</v>
      </c>
      <c r="U17" s="49"/>
      <c r="V17" s="49"/>
      <c r="W17" s="49"/>
    </row>
    <row r="18" spans="1:23" ht="15.75" customHeight="1">
      <c r="A18" s="1"/>
      <c r="B18" s="1"/>
      <c r="C18" s="2" t="s">
        <v>5</v>
      </c>
      <c r="D18" s="61">
        <f>SUM(D11:D17)/B17</f>
        <v>4</v>
      </c>
      <c r="E18" s="61">
        <f>SUM(E11:E17)/B17</f>
        <v>5.7142857142857144</v>
      </c>
      <c r="F18" s="61">
        <f>SUM(F11:F17)/B17</f>
        <v>7.4285714285714288</v>
      </c>
      <c r="G18" s="61">
        <f>SUM(G11:G17)/B17</f>
        <v>6.4285714285714288</v>
      </c>
      <c r="H18" s="61">
        <f>SUM(H11:H17)/B17</f>
        <v>4.8571428571428568</v>
      </c>
      <c r="I18" s="61">
        <f>SUM(I11:I17)/B17</f>
        <v>5.1428571428571432</v>
      </c>
      <c r="J18" s="61">
        <f>SUM(J11:J17)/B17</f>
        <v>5.1428571428571432</v>
      </c>
      <c r="K18" s="61">
        <f>SUM(K11:K17)/B17</f>
        <v>4.8571428571428568</v>
      </c>
      <c r="L18" s="61">
        <f>SUM(L11:L17)/B17</f>
        <v>5.2857142857142856</v>
      </c>
      <c r="M18" s="61">
        <f>SUM(M11:M17)/B17</f>
        <v>4.7142857142857144</v>
      </c>
      <c r="N18" s="61">
        <f>SUM(N11:N17)/B17</f>
        <v>5.2857142857142856</v>
      </c>
      <c r="O18" s="61">
        <f>SUM(O11:O17)/B17</f>
        <v>5.4285714285714288</v>
      </c>
      <c r="P18" s="61">
        <f>SUM(P11:P17)/B17</f>
        <v>5</v>
      </c>
      <c r="Q18" s="61">
        <f>SUM(Q11:Q17)/B17</f>
        <v>6.7142857142857144</v>
      </c>
      <c r="R18" s="61">
        <f>SUM(R11:R17)/B17</f>
        <v>5</v>
      </c>
      <c r="S18" s="62">
        <f t="shared" si="0"/>
        <v>5.4</v>
      </c>
      <c r="U18" s="49"/>
      <c r="V18" s="49"/>
      <c r="W18" s="49"/>
    </row>
    <row r="19" spans="1:23" ht="15.75" customHeight="1">
      <c r="A19" s="1"/>
      <c r="B19" s="1"/>
      <c r="C19" s="3" t="s">
        <v>6</v>
      </c>
      <c r="D19" s="57">
        <f>(COUNT(D11:D17))/B17*100</f>
        <v>100</v>
      </c>
      <c r="E19" s="57">
        <f>(COUNT(E11:E17))/B17*100</f>
        <v>100</v>
      </c>
      <c r="F19" s="57">
        <f>(COUNT(F11:F17))/B17*100</f>
        <v>100</v>
      </c>
      <c r="G19" s="57">
        <f>(COUNT(G11:G17))/B17*100</f>
        <v>100</v>
      </c>
      <c r="H19" s="57">
        <f>(COUNT(H11:H17))/B17*100</f>
        <v>100</v>
      </c>
      <c r="I19" s="57">
        <f>(COUNT(I11:I17))/B17*100</f>
        <v>100</v>
      </c>
      <c r="J19" s="57">
        <f>(COUNT(J11:J17))/B17*100</f>
        <v>100</v>
      </c>
      <c r="K19" s="57">
        <f>(COUNT(K11:K17))/B17*100</f>
        <v>100</v>
      </c>
      <c r="L19" s="57">
        <f>(COUNT(L11:L17))/B17*100</f>
        <v>100</v>
      </c>
      <c r="M19" s="57">
        <f>(COUNT(M11:M17))/B17*100</f>
        <v>100</v>
      </c>
      <c r="N19" s="57">
        <f>(COUNT(N11:N17))/B17*100</f>
        <v>100</v>
      </c>
      <c r="O19" s="57">
        <f>(COUNT(O11:O17))/B17*100</f>
        <v>100</v>
      </c>
      <c r="P19" s="57">
        <f>(COUNT(P11:P17))/B17*100</f>
        <v>100</v>
      </c>
      <c r="Q19" s="57">
        <f>(COUNT(Q11:Q17))/B17*100</f>
        <v>100</v>
      </c>
      <c r="R19" s="58">
        <f>(COUNT(R11:R17))/B17*100</f>
        <v>100</v>
      </c>
      <c r="S19" s="49"/>
      <c r="U19" s="49"/>
      <c r="V19" s="49"/>
      <c r="W19" s="49"/>
    </row>
    <row r="20" spans="1:23" ht="15.75" customHeight="1">
      <c r="A20" s="1"/>
      <c r="B20" s="1"/>
      <c r="C20" s="4" t="s">
        <v>7</v>
      </c>
      <c r="D20" s="59">
        <f>(COUNTIF(D11:D17,"&gt;=7"))/B17*100</f>
        <v>0</v>
      </c>
      <c r="E20" s="59">
        <f>(COUNTIF(E11:E17,"&gt;=7"))/B17*100</f>
        <v>28.571428571428569</v>
      </c>
      <c r="F20" s="59">
        <f>(COUNTIF(F11:F17,"&gt;=7"))/B17*100</f>
        <v>71.428571428571431</v>
      </c>
      <c r="G20" s="59">
        <f>(COUNTIF(G11:G17,"&gt;=7"))/B17*100</f>
        <v>57.142857142857139</v>
      </c>
      <c r="H20" s="59">
        <f>(COUNTIF(H11:H17,"&gt;=7"))/B17*100</f>
        <v>14.285714285714285</v>
      </c>
      <c r="I20" s="59">
        <f>(COUNTIF(I11:I17,"&gt;=7"))/B17*100</f>
        <v>0</v>
      </c>
      <c r="J20" s="59">
        <f>(COUNTIF(J11:J17,"&gt;=7"))/B17*100</f>
        <v>28.571428571428569</v>
      </c>
      <c r="K20" s="59">
        <f>(COUNTIF(K11:K17,"&gt;=7"))/B17*100</f>
        <v>0</v>
      </c>
      <c r="L20" s="59">
        <f>(COUNTIF(L11:L17,"&gt;=7"))/B17*100</f>
        <v>14.285714285714285</v>
      </c>
      <c r="M20" s="59">
        <f>(COUNTIF(M11:M17,"&gt;=7"))/B17*100</f>
        <v>14.285714285714285</v>
      </c>
      <c r="N20" s="59">
        <f>(COUNTIF(N11:N17,"&gt;=7"))/B17*100</f>
        <v>28.571428571428569</v>
      </c>
      <c r="O20" s="59">
        <f>(COUNTIF(O11:O17,"&gt;=7"))/B17*100</f>
        <v>28.571428571428569</v>
      </c>
      <c r="P20" s="59">
        <f>(COUNTIF(P11:P17,"&gt;=7"))/B17*100</f>
        <v>14.285714285714285</v>
      </c>
      <c r="Q20" s="59">
        <f>(COUNTIF(Q11:Q17,"&gt;=7"))/B17*100</f>
        <v>85.714285714285708</v>
      </c>
      <c r="R20" s="60">
        <f>(COUNTIF(R11:R17,"&gt;=7"))/B17*100</f>
        <v>14.285714285714285</v>
      </c>
      <c r="S20" s="49"/>
      <c r="U20" s="49"/>
      <c r="V20" s="49"/>
      <c r="W20" s="49"/>
    </row>
    <row r="21" spans="1:23" ht="15.75" customHeight="1">
      <c r="A21" s="1"/>
      <c r="B21" s="1"/>
      <c r="C21" s="4" t="s">
        <v>8</v>
      </c>
      <c r="D21" s="61">
        <f>AVERAGE(D19:R19)</f>
        <v>100</v>
      </c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49"/>
      <c r="U21" s="49"/>
      <c r="V21" s="49"/>
      <c r="W21" s="49"/>
    </row>
    <row r="22" spans="1:23" s="8" customFormat="1" ht="15.75" customHeight="1">
      <c r="A22" s="1"/>
      <c r="B22" s="1"/>
      <c r="C22" s="4" t="s">
        <v>9</v>
      </c>
      <c r="D22" s="61">
        <f>AVERAGE(D20:R20)</f>
        <v>26.666666666666664</v>
      </c>
      <c r="E22" s="5"/>
      <c r="F22" s="53" t="s">
        <v>11</v>
      </c>
      <c r="G22" s="53"/>
      <c r="H22" s="53"/>
      <c r="I22" s="54"/>
      <c r="J22" s="54"/>
      <c r="L22" s="53" t="s">
        <v>22</v>
      </c>
      <c r="M22" s="6"/>
      <c r="N22" s="6"/>
      <c r="O22" s="6"/>
      <c r="P22" s="6"/>
      <c r="Q22" s="6"/>
      <c r="R22" s="6"/>
      <c r="S22" s="49"/>
      <c r="U22" s="49"/>
      <c r="V22" s="49"/>
      <c r="W22" s="49"/>
    </row>
    <row r="23" spans="1:23" s="8" customFormat="1" ht="15.75" customHeight="1">
      <c r="A23" s="1"/>
      <c r="B23" s="1"/>
      <c r="C23"/>
      <c r="D23"/>
      <c r="E23" s="5"/>
      <c r="F23" s="54"/>
      <c r="G23" s="54"/>
      <c r="H23" s="54"/>
      <c r="I23" s="54"/>
      <c r="J23" s="54"/>
      <c r="L23" s="54"/>
      <c r="M23" s="6"/>
      <c r="N23" s="6"/>
      <c r="O23" s="6"/>
      <c r="P23" s="6"/>
      <c r="Q23" s="6"/>
      <c r="R23" s="6"/>
      <c r="S23" s="49"/>
      <c r="U23" s="49"/>
      <c r="V23" s="49"/>
      <c r="W23" s="49"/>
    </row>
    <row r="24" spans="1:23" ht="15.75" customHeight="1">
      <c r="A24" s="1"/>
      <c r="B24" s="1"/>
      <c r="E24" s="5"/>
      <c r="F24" s="53" t="s">
        <v>12</v>
      </c>
      <c r="G24" s="53"/>
      <c r="H24" s="53"/>
      <c r="I24" s="53"/>
      <c r="J24" s="53"/>
      <c r="L24" s="53" t="s">
        <v>20</v>
      </c>
      <c r="M24" s="6"/>
      <c r="N24" s="6"/>
      <c r="O24" s="6"/>
      <c r="P24" s="6"/>
      <c r="Q24" s="6"/>
      <c r="R24" s="6"/>
      <c r="S24" s="49"/>
    </row>
    <row r="25" spans="1:23" ht="15.75" customHeight="1">
      <c r="S25" s="49"/>
    </row>
    <row r="26" spans="1:23" ht="15.75" customHeight="1"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</row>
    <row r="27" spans="1:23" ht="15.75" customHeight="1"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</row>
    <row r="28" spans="1:23" ht="15.75" customHeight="1"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</row>
    <row r="29" spans="1:23" ht="15.75" customHeight="1"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</row>
    <row r="30" spans="1:23" ht="15.75" customHeight="1"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</row>
    <row r="31" spans="1:23" ht="15.75" customHeight="1"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</row>
    <row r="32" spans="1:23" ht="15.75" customHeight="1"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sortState ref="U9:W23">
    <sortCondition ref="U9"/>
  </sortState>
  <mergeCells count="26">
    <mergeCell ref="A7:A10"/>
    <mergeCell ref="B7:B10"/>
    <mergeCell ref="C7:C10"/>
    <mergeCell ref="D7:S7"/>
    <mergeCell ref="D8:D10"/>
    <mergeCell ref="E8:E10"/>
    <mergeCell ref="K8:K10"/>
    <mergeCell ref="L8:L10"/>
    <mergeCell ref="M8:M10"/>
    <mergeCell ref="N8:N10"/>
    <mergeCell ref="A6:S6"/>
    <mergeCell ref="R8:R10"/>
    <mergeCell ref="A1:S1"/>
    <mergeCell ref="A2:S2"/>
    <mergeCell ref="A3:S3"/>
    <mergeCell ref="A4:S4"/>
    <mergeCell ref="A5:S5"/>
    <mergeCell ref="Q8:Q10"/>
    <mergeCell ref="S8:S10"/>
    <mergeCell ref="I8:I10"/>
    <mergeCell ref="J8:J10"/>
    <mergeCell ref="F8:F10"/>
    <mergeCell ref="G8:G10"/>
    <mergeCell ref="H8:H10"/>
    <mergeCell ref="O8:O10"/>
    <mergeCell ref="P8:P10"/>
  </mergeCells>
  <pageMargins left="0.7" right="0.7" top="0.75" bottom="0.75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8"/>
  <sheetViews>
    <sheetView tabSelected="1" zoomScaleNormal="100" workbookViewId="0">
      <selection sqref="A1:S1"/>
    </sheetView>
  </sheetViews>
  <sheetFormatPr defaultColWidth="14.42578125" defaultRowHeight="15" customHeight="1"/>
  <cols>
    <col min="1" max="1" width="4.140625" style="11" customWidth="1"/>
    <col min="2" max="2" width="6.5703125" style="11" customWidth="1"/>
    <col min="3" max="3" width="40.42578125" style="11" customWidth="1"/>
    <col min="4" max="17" width="6.7109375" style="11" customWidth="1"/>
    <col min="18" max="18" width="6.7109375" style="50" customWidth="1"/>
    <col min="19" max="19" width="11.28515625" style="11" customWidth="1"/>
    <col min="20" max="16384" width="14.42578125" style="11"/>
  </cols>
  <sheetData>
    <row r="1" spans="1:19" ht="15" customHeight="1">
      <c r="A1" s="69" t="s">
        <v>66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ht="15" customHeight="1">
      <c r="A2" s="93" t="s">
        <v>67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spans="1:19" ht="15" customHeight="1">
      <c r="A3" s="94" t="s">
        <v>0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</row>
    <row r="4" spans="1:19" ht="15" customHeight="1">
      <c r="A4" s="93" t="s">
        <v>61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</row>
    <row r="5" spans="1:19" ht="15" customHeight="1">
      <c r="A5" s="93" t="s">
        <v>68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5" customHeight="1">
      <c r="A6" s="95" t="s">
        <v>21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</row>
    <row r="7" spans="1:19" ht="15" customHeight="1">
      <c r="A7" s="85" t="s">
        <v>1</v>
      </c>
      <c r="B7" s="87" t="s">
        <v>2</v>
      </c>
      <c r="C7" s="87" t="s">
        <v>3</v>
      </c>
      <c r="D7" s="90" t="s">
        <v>10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2"/>
    </row>
    <row r="8" spans="1:19" ht="15" customHeight="1">
      <c r="A8" s="86"/>
      <c r="B8" s="86"/>
      <c r="C8" s="89"/>
      <c r="D8" s="64" t="s">
        <v>62</v>
      </c>
      <c r="E8" s="64" t="s">
        <v>17</v>
      </c>
      <c r="F8" s="64" t="s">
        <v>15</v>
      </c>
      <c r="G8" s="64" t="s">
        <v>19</v>
      </c>
      <c r="H8" s="64" t="s">
        <v>16</v>
      </c>
      <c r="I8" s="64" t="s">
        <v>64</v>
      </c>
      <c r="J8" s="64" t="s">
        <v>59</v>
      </c>
      <c r="K8" s="64" t="s">
        <v>57</v>
      </c>
      <c r="L8" s="64" t="s">
        <v>18</v>
      </c>
      <c r="M8" s="64" t="s">
        <v>55</v>
      </c>
      <c r="N8" s="64" t="s">
        <v>14</v>
      </c>
      <c r="O8" s="64" t="s">
        <v>58</v>
      </c>
      <c r="P8" s="64" t="s">
        <v>56</v>
      </c>
      <c r="Q8" s="64" t="s">
        <v>63</v>
      </c>
      <c r="R8" s="64" t="s">
        <v>65</v>
      </c>
      <c r="S8" s="96" t="s">
        <v>4</v>
      </c>
    </row>
    <row r="9" spans="1:19" ht="15" customHeight="1">
      <c r="A9" s="86"/>
      <c r="B9" s="86"/>
      <c r="C9" s="89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97"/>
    </row>
    <row r="10" spans="1:19" ht="96.75" customHeight="1">
      <c r="A10" s="86"/>
      <c r="B10" s="88"/>
      <c r="C10" s="89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97"/>
    </row>
    <row r="11" spans="1:19" ht="15" customHeight="1">
      <c r="A11" s="12" t="s">
        <v>13</v>
      </c>
      <c r="B11" s="13">
        <v>1</v>
      </c>
      <c r="C11" s="47" t="s">
        <v>30</v>
      </c>
      <c r="D11" s="14">
        <v>4</v>
      </c>
      <c r="E11" s="15">
        <v>4</v>
      </c>
      <c r="F11" s="16">
        <v>6</v>
      </c>
      <c r="G11" s="17">
        <v>4</v>
      </c>
      <c r="H11" s="18">
        <v>4</v>
      </c>
      <c r="I11" s="19">
        <v>4</v>
      </c>
      <c r="J11" s="18">
        <v>4</v>
      </c>
      <c r="K11" s="18">
        <v>4</v>
      </c>
      <c r="L11" s="20">
        <v>4</v>
      </c>
      <c r="M11" s="21">
        <v>4</v>
      </c>
      <c r="N11" s="22">
        <v>4</v>
      </c>
      <c r="O11" s="23">
        <v>4</v>
      </c>
      <c r="P11" s="24">
        <v>4</v>
      </c>
      <c r="Q11" s="18">
        <v>4</v>
      </c>
      <c r="R11" s="18">
        <v>4</v>
      </c>
      <c r="S11" s="62">
        <f t="shared" ref="S11:S36" si="0">IF(COUNTIF(D11:R11,"=*")&gt;0,"-",(AVERAGE(D11:R11)))</f>
        <v>4.1333333333333337</v>
      </c>
    </row>
    <row r="12" spans="1:19" ht="15" customHeight="1">
      <c r="A12" s="12" t="s">
        <v>13</v>
      </c>
      <c r="B12" s="25">
        <v>2</v>
      </c>
      <c r="C12" s="47" t="s">
        <v>31</v>
      </c>
      <c r="D12" s="26">
        <v>10</v>
      </c>
      <c r="E12" s="27">
        <v>10</v>
      </c>
      <c r="F12" s="28">
        <v>9</v>
      </c>
      <c r="G12" s="29">
        <v>8</v>
      </c>
      <c r="H12" s="30">
        <v>10</v>
      </c>
      <c r="I12" s="31">
        <v>6</v>
      </c>
      <c r="J12" s="30">
        <v>11</v>
      </c>
      <c r="K12" s="30">
        <v>7</v>
      </c>
      <c r="L12" s="32">
        <v>9</v>
      </c>
      <c r="M12" s="33">
        <v>8</v>
      </c>
      <c r="N12" s="34">
        <v>10</v>
      </c>
      <c r="O12" s="35">
        <v>9</v>
      </c>
      <c r="P12" s="36">
        <v>9</v>
      </c>
      <c r="Q12" s="12">
        <v>10</v>
      </c>
      <c r="R12" s="18">
        <v>8</v>
      </c>
      <c r="S12" s="62">
        <f t="shared" si="0"/>
        <v>8.9333333333333336</v>
      </c>
    </row>
    <row r="13" spans="1:19" ht="15" customHeight="1">
      <c r="A13" s="12" t="s">
        <v>13</v>
      </c>
      <c r="B13" s="37">
        <v>3</v>
      </c>
      <c r="C13" s="47" t="s">
        <v>32</v>
      </c>
      <c r="D13" s="26">
        <v>4</v>
      </c>
      <c r="E13" s="27">
        <v>4</v>
      </c>
      <c r="F13" s="28">
        <v>8</v>
      </c>
      <c r="G13" s="30">
        <v>4</v>
      </c>
      <c r="H13" s="38">
        <v>5</v>
      </c>
      <c r="I13" s="31">
        <v>7</v>
      </c>
      <c r="J13" s="30">
        <v>5</v>
      </c>
      <c r="K13" s="30">
        <v>7</v>
      </c>
      <c r="L13" s="32">
        <v>4</v>
      </c>
      <c r="M13" s="33">
        <v>4</v>
      </c>
      <c r="N13" s="34">
        <v>6</v>
      </c>
      <c r="O13" s="35">
        <v>4</v>
      </c>
      <c r="P13" s="36">
        <v>6</v>
      </c>
      <c r="Q13" s="12">
        <v>8</v>
      </c>
      <c r="R13" s="18">
        <v>6</v>
      </c>
      <c r="S13" s="62">
        <f t="shared" si="0"/>
        <v>5.4666666666666668</v>
      </c>
    </row>
    <row r="14" spans="1:19" ht="15" customHeight="1">
      <c r="A14" s="12" t="s">
        <v>13</v>
      </c>
      <c r="B14" s="37">
        <v>4</v>
      </c>
      <c r="C14" s="47" t="s">
        <v>33</v>
      </c>
      <c r="D14" s="26">
        <v>9</v>
      </c>
      <c r="E14" s="27">
        <v>9</v>
      </c>
      <c r="F14" s="28">
        <v>10</v>
      </c>
      <c r="G14" s="30">
        <v>10</v>
      </c>
      <c r="H14" s="39">
        <v>10</v>
      </c>
      <c r="I14" s="31">
        <v>9</v>
      </c>
      <c r="J14" s="30">
        <v>11</v>
      </c>
      <c r="K14" s="30">
        <v>8</v>
      </c>
      <c r="L14" s="32">
        <v>9</v>
      </c>
      <c r="M14" s="33">
        <v>7</v>
      </c>
      <c r="N14" s="34">
        <v>8</v>
      </c>
      <c r="O14" s="35">
        <v>7</v>
      </c>
      <c r="P14" s="36">
        <v>8</v>
      </c>
      <c r="Q14" s="12">
        <v>9</v>
      </c>
      <c r="R14" s="18">
        <v>8</v>
      </c>
      <c r="S14" s="62">
        <f t="shared" si="0"/>
        <v>8.8000000000000007</v>
      </c>
    </row>
    <row r="15" spans="1:19" ht="15" customHeight="1">
      <c r="A15" s="12" t="s">
        <v>13</v>
      </c>
      <c r="B15" s="37">
        <v>5</v>
      </c>
      <c r="C15" s="47" t="s">
        <v>34</v>
      </c>
      <c r="D15" s="26">
        <v>6</v>
      </c>
      <c r="E15" s="27">
        <v>7</v>
      </c>
      <c r="F15" s="28">
        <v>9</v>
      </c>
      <c r="G15" s="30">
        <v>8</v>
      </c>
      <c r="H15" s="39">
        <v>6</v>
      </c>
      <c r="I15" s="31">
        <v>8</v>
      </c>
      <c r="J15" s="30">
        <v>8</v>
      </c>
      <c r="K15" s="30">
        <v>5</v>
      </c>
      <c r="L15" s="32">
        <v>7</v>
      </c>
      <c r="M15" s="33">
        <v>6</v>
      </c>
      <c r="N15" s="34">
        <v>7</v>
      </c>
      <c r="O15" s="35">
        <v>7</v>
      </c>
      <c r="P15" s="36">
        <v>6</v>
      </c>
      <c r="Q15" s="12">
        <v>8</v>
      </c>
      <c r="R15" s="18">
        <v>6</v>
      </c>
      <c r="S15" s="62">
        <f t="shared" si="0"/>
        <v>6.9333333333333336</v>
      </c>
    </row>
    <row r="16" spans="1:19" ht="15" customHeight="1">
      <c r="A16" s="12" t="s">
        <v>13</v>
      </c>
      <c r="B16" s="37">
        <v>6</v>
      </c>
      <c r="C16" s="47" t="s">
        <v>35</v>
      </c>
      <c r="D16" s="26">
        <v>6</v>
      </c>
      <c r="E16" s="27">
        <v>7</v>
      </c>
      <c r="F16" s="28">
        <v>9</v>
      </c>
      <c r="G16" s="30">
        <v>9</v>
      </c>
      <c r="H16" s="39">
        <v>6</v>
      </c>
      <c r="I16" s="31">
        <v>7</v>
      </c>
      <c r="J16" s="30">
        <v>7</v>
      </c>
      <c r="K16" s="30">
        <v>7</v>
      </c>
      <c r="L16" s="32">
        <v>6</v>
      </c>
      <c r="M16" s="33">
        <v>6</v>
      </c>
      <c r="N16" s="34">
        <v>6</v>
      </c>
      <c r="O16" s="35">
        <v>5</v>
      </c>
      <c r="P16" s="36">
        <v>6</v>
      </c>
      <c r="Q16" s="12">
        <v>10</v>
      </c>
      <c r="R16" s="18">
        <v>4</v>
      </c>
      <c r="S16" s="62">
        <f t="shared" si="0"/>
        <v>6.7333333333333334</v>
      </c>
    </row>
    <row r="17" spans="1:19" ht="15" customHeight="1">
      <c r="A17" s="12" t="s">
        <v>13</v>
      </c>
      <c r="B17" s="37">
        <v>7</v>
      </c>
      <c r="C17" s="47" t="s">
        <v>36</v>
      </c>
      <c r="D17" s="26">
        <v>6</v>
      </c>
      <c r="E17" s="27">
        <v>5</v>
      </c>
      <c r="F17" s="28">
        <v>9</v>
      </c>
      <c r="G17" s="30">
        <v>8</v>
      </c>
      <c r="H17" s="39">
        <v>4</v>
      </c>
      <c r="I17" s="31">
        <v>4</v>
      </c>
      <c r="J17" s="30">
        <v>4</v>
      </c>
      <c r="K17" s="30">
        <v>6</v>
      </c>
      <c r="L17" s="32">
        <v>6</v>
      </c>
      <c r="M17" s="33">
        <v>6</v>
      </c>
      <c r="N17" s="34">
        <v>6</v>
      </c>
      <c r="O17" s="35">
        <v>7</v>
      </c>
      <c r="P17" s="36">
        <v>6</v>
      </c>
      <c r="Q17" s="12">
        <v>9</v>
      </c>
      <c r="R17" s="18">
        <v>7</v>
      </c>
      <c r="S17" s="62">
        <f t="shared" si="0"/>
        <v>6.2</v>
      </c>
    </row>
    <row r="18" spans="1:19" ht="15" customHeight="1">
      <c r="A18" s="12" t="s">
        <v>13</v>
      </c>
      <c r="B18" s="37">
        <v>8</v>
      </c>
      <c r="C18" s="47" t="s">
        <v>37</v>
      </c>
      <c r="D18" s="26">
        <v>4</v>
      </c>
      <c r="E18" s="27">
        <v>7</v>
      </c>
      <c r="F18" s="28">
        <v>6</v>
      </c>
      <c r="G18" s="30">
        <v>7</v>
      </c>
      <c r="H18" s="39">
        <v>5</v>
      </c>
      <c r="I18" s="31">
        <v>6</v>
      </c>
      <c r="J18" s="30">
        <v>5</v>
      </c>
      <c r="K18" s="30">
        <v>5</v>
      </c>
      <c r="L18" s="32">
        <v>6</v>
      </c>
      <c r="M18" s="33">
        <v>4</v>
      </c>
      <c r="N18" s="34">
        <v>5</v>
      </c>
      <c r="O18" s="35">
        <v>6</v>
      </c>
      <c r="P18" s="36">
        <v>5</v>
      </c>
      <c r="Q18" s="12">
        <v>4</v>
      </c>
      <c r="R18" s="18">
        <v>8</v>
      </c>
      <c r="S18" s="62">
        <f t="shared" si="0"/>
        <v>5.5333333333333332</v>
      </c>
    </row>
    <row r="19" spans="1:19" ht="15" customHeight="1">
      <c r="A19" s="12" t="s">
        <v>13</v>
      </c>
      <c r="B19" s="37">
        <v>9</v>
      </c>
      <c r="C19" s="47" t="s">
        <v>38</v>
      </c>
      <c r="D19" s="26">
        <v>5</v>
      </c>
      <c r="E19" s="27">
        <v>6</v>
      </c>
      <c r="F19" s="28">
        <v>8</v>
      </c>
      <c r="G19" s="30">
        <v>8</v>
      </c>
      <c r="H19" s="39">
        <v>4</v>
      </c>
      <c r="I19" s="31">
        <v>6</v>
      </c>
      <c r="J19" s="30">
        <v>5</v>
      </c>
      <c r="K19" s="30">
        <v>6</v>
      </c>
      <c r="L19" s="32">
        <v>7</v>
      </c>
      <c r="M19" s="33">
        <v>4</v>
      </c>
      <c r="N19" s="34">
        <v>5</v>
      </c>
      <c r="O19" s="35">
        <v>6</v>
      </c>
      <c r="P19" s="36">
        <v>4</v>
      </c>
      <c r="Q19" s="12">
        <v>7</v>
      </c>
      <c r="R19" s="18">
        <v>6</v>
      </c>
      <c r="S19" s="62">
        <f t="shared" si="0"/>
        <v>5.8</v>
      </c>
    </row>
    <row r="20" spans="1:19" ht="15.75" customHeight="1">
      <c r="A20" s="12" t="s">
        <v>13</v>
      </c>
      <c r="B20" s="37">
        <v>10</v>
      </c>
      <c r="C20" s="47" t="s">
        <v>39</v>
      </c>
      <c r="D20" s="26">
        <v>9</v>
      </c>
      <c r="E20" s="27">
        <v>9</v>
      </c>
      <c r="F20" s="28">
        <v>9</v>
      </c>
      <c r="G20" s="30">
        <v>9</v>
      </c>
      <c r="H20" s="39">
        <v>7</v>
      </c>
      <c r="I20" s="31">
        <v>8</v>
      </c>
      <c r="J20" s="30">
        <v>6</v>
      </c>
      <c r="K20" s="30">
        <v>8</v>
      </c>
      <c r="L20" s="32">
        <v>7</v>
      </c>
      <c r="M20" s="33">
        <v>6</v>
      </c>
      <c r="N20" s="34">
        <v>8</v>
      </c>
      <c r="O20" s="35">
        <v>7</v>
      </c>
      <c r="P20" s="36">
        <v>9</v>
      </c>
      <c r="Q20" s="12">
        <v>9</v>
      </c>
      <c r="R20" s="18">
        <v>8</v>
      </c>
      <c r="S20" s="62">
        <f t="shared" si="0"/>
        <v>7.9333333333333336</v>
      </c>
    </row>
    <row r="21" spans="1:19" ht="15.75" customHeight="1">
      <c r="A21" s="12" t="s">
        <v>13</v>
      </c>
      <c r="B21" s="37">
        <v>11</v>
      </c>
      <c r="C21" s="47" t="s">
        <v>40</v>
      </c>
      <c r="D21" s="26">
        <v>4</v>
      </c>
      <c r="E21" s="27">
        <v>7</v>
      </c>
      <c r="F21" s="28">
        <v>9</v>
      </c>
      <c r="G21" s="30">
        <v>7</v>
      </c>
      <c r="H21" s="39">
        <v>7</v>
      </c>
      <c r="I21" s="31">
        <v>8</v>
      </c>
      <c r="J21" s="30">
        <v>6</v>
      </c>
      <c r="K21" s="30">
        <v>6</v>
      </c>
      <c r="L21" s="32">
        <v>8</v>
      </c>
      <c r="M21" s="33">
        <v>6</v>
      </c>
      <c r="N21" s="34">
        <v>5</v>
      </c>
      <c r="O21" s="35">
        <v>6</v>
      </c>
      <c r="P21" s="36">
        <v>7</v>
      </c>
      <c r="Q21" s="12">
        <v>10</v>
      </c>
      <c r="R21" s="18">
        <v>7</v>
      </c>
      <c r="S21" s="62">
        <f t="shared" si="0"/>
        <v>6.8666666666666663</v>
      </c>
    </row>
    <row r="22" spans="1:19" ht="15.75" customHeight="1">
      <c r="A22" s="12" t="s">
        <v>13</v>
      </c>
      <c r="B22" s="37">
        <v>12</v>
      </c>
      <c r="C22" s="47" t="s">
        <v>41</v>
      </c>
      <c r="D22" s="26">
        <v>9</v>
      </c>
      <c r="E22" s="27">
        <v>8</v>
      </c>
      <c r="F22" s="28">
        <v>9</v>
      </c>
      <c r="G22" s="30">
        <v>10</v>
      </c>
      <c r="H22" s="39">
        <v>7</v>
      </c>
      <c r="I22" s="31">
        <v>9</v>
      </c>
      <c r="J22" s="30">
        <v>6</v>
      </c>
      <c r="K22" s="30">
        <v>8</v>
      </c>
      <c r="L22" s="32">
        <v>7</v>
      </c>
      <c r="M22" s="33">
        <v>7</v>
      </c>
      <c r="N22" s="34">
        <v>4</v>
      </c>
      <c r="O22" s="35">
        <v>7</v>
      </c>
      <c r="P22" s="36">
        <v>9</v>
      </c>
      <c r="Q22" s="12">
        <v>8</v>
      </c>
      <c r="R22" s="18">
        <v>7</v>
      </c>
      <c r="S22" s="62">
        <f t="shared" si="0"/>
        <v>7.666666666666667</v>
      </c>
    </row>
    <row r="23" spans="1:19" ht="15.75" customHeight="1">
      <c r="A23" s="12" t="s">
        <v>13</v>
      </c>
      <c r="B23" s="37">
        <v>13</v>
      </c>
      <c r="C23" s="47" t="s">
        <v>42</v>
      </c>
      <c r="D23" s="26">
        <v>4</v>
      </c>
      <c r="E23" s="27">
        <v>10</v>
      </c>
      <c r="F23" s="28">
        <v>10</v>
      </c>
      <c r="G23" s="30">
        <v>9</v>
      </c>
      <c r="H23" s="39">
        <v>10</v>
      </c>
      <c r="I23" s="40">
        <v>9</v>
      </c>
      <c r="J23" s="30">
        <v>7</v>
      </c>
      <c r="K23" s="30">
        <v>6</v>
      </c>
      <c r="L23" s="32">
        <v>6</v>
      </c>
      <c r="M23" s="33">
        <v>7</v>
      </c>
      <c r="N23" s="34">
        <v>6</v>
      </c>
      <c r="O23" s="35">
        <v>5</v>
      </c>
      <c r="P23" s="36">
        <v>6</v>
      </c>
      <c r="Q23" s="12">
        <v>9</v>
      </c>
      <c r="R23" s="18">
        <v>7</v>
      </c>
      <c r="S23" s="62">
        <f t="shared" si="0"/>
        <v>7.4</v>
      </c>
    </row>
    <row r="24" spans="1:19" ht="15.75" customHeight="1">
      <c r="A24" s="12" t="s">
        <v>13</v>
      </c>
      <c r="B24" s="37">
        <v>14</v>
      </c>
      <c r="C24" s="47" t="s">
        <v>43</v>
      </c>
      <c r="D24" s="26">
        <v>8</v>
      </c>
      <c r="E24" s="27">
        <v>9</v>
      </c>
      <c r="F24" s="28">
        <v>10</v>
      </c>
      <c r="G24" s="30">
        <v>10</v>
      </c>
      <c r="H24" s="39">
        <v>7</v>
      </c>
      <c r="I24" s="40">
        <v>10</v>
      </c>
      <c r="J24" s="30">
        <v>6</v>
      </c>
      <c r="K24" s="30">
        <v>7</v>
      </c>
      <c r="L24" s="32">
        <v>9</v>
      </c>
      <c r="M24" s="33">
        <v>7</v>
      </c>
      <c r="N24" s="34">
        <v>8</v>
      </c>
      <c r="O24" s="35">
        <v>8</v>
      </c>
      <c r="P24" s="36">
        <v>8</v>
      </c>
      <c r="Q24" s="12">
        <v>9</v>
      </c>
      <c r="R24" s="18">
        <v>7</v>
      </c>
      <c r="S24" s="62">
        <f t="shared" si="0"/>
        <v>8.1999999999999993</v>
      </c>
    </row>
    <row r="25" spans="1:19" ht="15.75" customHeight="1">
      <c r="A25" s="12" t="s">
        <v>13</v>
      </c>
      <c r="B25" s="37">
        <v>15</v>
      </c>
      <c r="C25" s="47" t="s">
        <v>44</v>
      </c>
      <c r="D25" s="26">
        <v>7</v>
      </c>
      <c r="E25" s="27">
        <v>8</v>
      </c>
      <c r="F25" s="28">
        <v>9</v>
      </c>
      <c r="G25" s="30">
        <v>9</v>
      </c>
      <c r="H25" s="39">
        <v>9</v>
      </c>
      <c r="I25" s="40">
        <v>8</v>
      </c>
      <c r="J25" s="30">
        <v>10</v>
      </c>
      <c r="K25" s="30">
        <v>7</v>
      </c>
      <c r="L25" s="32">
        <v>8</v>
      </c>
      <c r="M25" s="33">
        <v>9</v>
      </c>
      <c r="N25" s="34">
        <v>8</v>
      </c>
      <c r="O25" s="35">
        <v>7</v>
      </c>
      <c r="P25" s="36">
        <v>8</v>
      </c>
      <c r="Q25" s="12">
        <v>10</v>
      </c>
      <c r="R25" s="18">
        <v>7</v>
      </c>
      <c r="S25" s="62">
        <f t="shared" si="0"/>
        <v>8.2666666666666675</v>
      </c>
    </row>
    <row r="26" spans="1:19" ht="15.75" customHeight="1">
      <c r="A26" s="12" t="s">
        <v>13</v>
      </c>
      <c r="B26" s="37">
        <v>16</v>
      </c>
      <c r="C26" s="47" t="s">
        <v>45</v>
      </c>
      <c r="D26" s="26">
        <v>6</v>
      </c>
      <c r="E26" s="27">
        <v>7</v>
      </c>
      <c r="F26" s="28">
        <v>8</v>
      </c>
      <c r="G26" s="30">
        <v>7</v>
      </c>
      <c r="H26" s="39">
        <v>5</v>
      </c>
      <c r="I26" s="40">
        <v>8</v>
      </c>
      <c r="J26" s="30">
        <v>5</v>
      </c>
      <c r="K26" s="30">
        <v>7</v>
      </c>
      <c r="L26" s="32">
        <v>6</v>
      </c>
      <c r="M26" s="33">
        <v>5</v>
      </c>
      <c r="N26" s="34">
        <v>5</v>
      </c>
      <c r="O26" s="35">
        <v>6</v>
      </c>
      <c r="P26" s="36">
        <v>5</v>
      </c>
      <c r="Q26" s="12">
        <v>6</v>
      </c>
      <c r="R26" s="18">
        <v>6</v>
      </c>
      <c r="S26" s="62">
        <f t="shared" si="0"/>
        <v>6.1333333333333337</v>
      </c>
    </row>
    <row r="27" spans="1:19" ht="15.75" customHeight="1">
      <c r="A27" s="12" t="s">
        <v>13</v>
      </c>
      <c r="B27" s="37">
        <v>17</v>
      </c>
      <c r="C27" s="47" t="s">
        <v>46</v>
      </c>
      <c r="D27" s="26">
        <v>7</v>
      </c>
      <c r="E27" s="27">
        <v>9</v>
      </c>
      <c r="F27" s="28">
        <v>9</v>
      </c>
      <c r="G27" s="30">
        <v>9</v>
      </c>
      <c r="H27" s="39">
        <v>5</v>
      </c>
      <c r="I27" s="40">
        <v>8</v>
      </c>
      <c r="J27" s="30">
        <v>5</v>
      </c>
      <c r="K27" s="30">
        <v>7</v>
      </c>
      <c r="L27" s="32">
        <v>7</v>
      </c>
      <c r="M27" s="33">
        <v>5</v>
      </c>
      <c r="N27" s="34">
        <v>8</v>
      </c>
      <c r="O27" s="35">
        <v>8</v>
      </c>
      <c r="P27" s="36">
        <v>7</v>
      </c>
      <c r="Q27" s="12">
        <v>9</v>
      </c>
      <c r="R27" s="18">
        <v>8</v>
      </c>
      <c r="S27" s="62">
        <f t="shared" si="0"/>
        <v>7.4</v>
      </c>
    </row>
    <row r="28" spans="1:19" ht="15.75" customHeight="1">
      <c r="A28" s="12" t="s">
        <v>13</v>
      </c>
      <c r="B28" s="37">
        <v>18</v>
      </c>
      <c r="C28" s="47" t="s">
        <v>47</v>
      </c>
      <c r="D28" s="26">
        <v>4</v>
      </c>
      <c r="E28" s="27">
        <v>5</v>
      </c>
      <c r="F28" s="28">
        <v>6</v>
      </c>
      <c r="G28" s="30">
        <v>6</v>
      </c>
      <c r="H28" s="39">
        <v>5</v>
      </c>
      <c r="I28" s="40">
        <v>5</v>
      </c>
      <c r="J28" s="30">
        <v>5</v>
      </c>
      <c r="K28" s="30">
        <v>5</v>
      </c>
      <c r="L28" s="32">
        <v>4</v>
      </c>
      <c r="M28" s="33">
        <v>5</v>
      </c>
      <c r="N28" s="34">
        <v>4</v>
      </c>
      <c r="O28" s="35">
        <v>5</v>
      </c>
      <c r="P28" s="36">
        <v>5</v>
      </c>
      <c r="Q28" s="12">
        <v>7</v>
      </c>
      <c r="R28" s="18">
        <v>6</v>
      </c>
      <c r="S28" s="62">
        <f t="shared" si="0"/>
        <v>5.1333333333333337</v>
      </c>
    </row>
    <row r="29" spans="1:19" ht="15.75" customHeight="1">
      <c r="A29" s="12" t="s">
        <v>13</v>
      </c>
      <c r="B29" s="37">
        <v>19</v>
      </c>
      <c r="C29" s="47" t="s">
        <v>48</v>
      </c>
      <c r="D29" s="26">
        <v>6</v>
      </c>
      <c r="E29" s="27">
        <v>5</v>
      </c>
      <c r="F29" s="28">
        <v>9</v>
      </c>
      <c r="G29" s="30">
        <v>8</v>
      </c>
      <c r="H29" s="39">
        <v>4</v>
      </c>
      <c r="I29" s="40">
        <v>5</v>
      </c>
      <c r="J29" s="30">
        <v>4</v>
      </c>
      <c r="K29" s="30">
        <v>5</v>
      </c>
      <c r="L29" s="32">
        <v>5</v>
      </c>
      <c r="M29" s="33">
        <v>4</v>
      </c>
      <c r="N29" s="34">
        <v>4</v>
      </c>
      <c r="O29" s="35">
        <v>5</v>
      </c>
      <c r="P29" s="36">
        <v>5</v>
      </c>
      <c r="Q29" s="12">
        <v>9</v>
      </c>
      <c r="R29" s="18">
        <v>4</v>
      </c>
      <c r="S29" s="62">
        <f t="shared" si="0"/>
        <v>5.4666666666666668</v>
      </c>
    </row>
    <row r="30" spans="1:19" ht="15.75" customHeight="1">
      <c r="A30" s="12" t="s">
        <v>13</v>
      </c>
      <c r="B30" s="37">
        <v>20</v>
      </c>
      <c r="C30" s="47" t="s">
        <v>49</v>
      </c>
      <c r="D30" s="26">
        <v>4</v>
      </c>
      <c r="E30" s="27">
        <v>6</v>
      </c>
      <c r="F30" s="28">
        <v>10</v>
      </c>
      <c r="G30" s="30">
        <v>7</v>
      </c>
      <c r="H30" s="39">
        <v>7</v>
      </c>
      <c r="I30" s="40">
        <v>6</v>
      </c>
      <c r="J30" s="30">
        <v>4</v>
      </c>
      <c r="K30" s="30">
        <v>5</v>
      </c>
      <c r="L30" s="32">
        <v>6</v>
      </c>
      <c r="M30" s="33">
        <v>4</v>
      </c>
      <c r="N30" s="34">
        <v>4</v>
      </c>
      <c r="O30" s="35">
        <v>5</v>
      </c>
      <c r="P30" s="36">
        <v>6</v>
      </c>
      <c r="Q30" s="12">
        <v>8</v>
      </c>
      <c r="R30" s="18">
        <v>6</v>
      </c>
      <c r="S30" s="62">
        <f t="shared" si="0"/>
        <v>5.8666666666666663</v>
      </c>
    </row>
    <row r="31" spans="1:19" ht="15.75" customHeight="1">
      <c r="A31" s="12" t="s">
        <v>13</v>
      </c>
      <c r="B31" s="37">
        <v>21</v>
      </c>
      <c r="C31" s="47" t="s">
        <v>50</v>
      </c>
      <c r="D31" s="26">
        <v>4</v>
      </c>
      <c r="E31" s="27">
        <v>4</v>
      </c>
      <c r="F31" s="28">
        <v>5</v>
      </c>
      <c r="G31" s="30">
        <v>7</v>
      </c>
      <c r="H31" s="39">
        <v>4</v>
      </c>
      <c r="I31" s="40">
        <v>5</v>
      </c>
      <c r="J31" s="30">
        <v>4</v>
      </c>
      <c r="K31" s="30">
        <v>4</v>
      </c>
      <c r="L31" s="32">
        <v>4</v>
      </c>
      <c r="M31" s="33">
        <v>5</v>
      </c>
      <c r="N31" s="34">
        <v>4</v>
      </c>
      <c r="O31" s="35">
        <v>6</v>
      </c>
      <c r="P31" s="36">
        <v>4</v>
      </c>
      <c r="Q31" s="12">
        <v>4</v>
      </c>
      <c r="R31" s="18">
        <v>4</v>
      </c>
      <c r="S31" s="62">
        <f t="shared" si="0"/>
        <v>4.5333333333333332</v>
      </c>
    </row>
    <row r="32" spans="1:19" ht="15.75" customHeight="1">
      <c r="A32" s="12" t="s">
        <v>13</v>
      </c>
      <c r="B32" s="37">
        <v>22</v>
      </c>
      <c r="C32" s="47" t="s">
        <v>51</v>
      </c>
      <c r="D32" s="26">
        <v>4</v>
      </c>
      <c r="E32" s="27">
        <v>6</v>
      </c>
      <c r="F32" s="28">
        <v>8</v>
      </c>
      <c r="G32" s="30">
        <v>6</v>
      </c>
      <c r="H32" s="39">
        <v>5</v>
      </c>
      <c r="I32" s="40">
        <v>5</v>
      </c>
      <c r="J32" s="30">
        <v>4</v>
      </c>
      <c r="K32" s="30">
        <v>6</v>
      </c>
      <c r="L32" s="32">
        <v>7</v>
      </c>
      <c r="M32" s="33">
        <v>4</v>
      </c>
      <c r="N32" s="34">
        <v>4</v>
      </c>
      <c r="O32" s="35">
        <v>6</v>
      </c>
      <c r="P32" s="36">
        <v>5</v>
      </c>
      <c r="Q32" s="12">
        <v>6</v>
      </c>
      <c r="R32" s="18">
        <v>6</v>
      </c>
      <c r="S32" s="62">
        <f t="shared" si="0"/>
        <v>5.4666666666666668</v>
      </c>
    </row>
    <row r="33" spans="1:19" ht="15.75" customHeight="1">
      <c r="A33" s="12" t="s">
        <v>13</v>
      </c>
      <c r="B33" s="37">
        <v>23</v>
      </c>
      <c r="C33" s="47" t="s">
        <v>52</v>
      </c>
      <c r="D33" s="26">
        <v>4</v>
      </c>
      <c r="E33" s="27">
        <v>4</v>
      </c>
      <c r="F33" s="28">
        <v>7</v>
      </c>
      <c r="G33" s="30">
        <v>6</v>
      </c>
      <c r="H33" s="39">
        <v>4</v>
      </c>
      <c r="I33" s="40">
        <v>5</v>
      </c>
      <c r="J33" s="30">
        <v>5</v>
      </c>
      <c r="K33" s="30">
        <v>6</v>
      </c>
      <c r="L33" s="32">
        <v>4</v>
      </c>
      <c r="M33" s="33">
        <v>4</v>
      </c>
      <c r="N33" s="34">
        <v>4</v>
      </c>
      <c r="O33" s="35">
        <v>5</v>
      </c>
      <c r="P33" s="36">
        <v>5</v>
      </c>
      <c r="Q33" s="12">
        <v>6</v>
      </c>
      <c r="R33" s="18">
        <v>5</v>
      </c>
      <c r="S33" s="62">
        <f t="shared" si="0"/>
        <v>4.9333333333333336</v>
      </c>
    </row>
    <row r="34" spans="1:19" ht="15.75" customHeight="1">
      <c r="A34" s="12" t="s">
        <v>13</v>
      </c>
      <c r="B34" s="37">
        <v>24</v>
      </c>
      <c r="C34" s="47" t="s">
        <v>53</v>
      </c>
      <c r="D34" s="26">
        <v>4</v>
      </c>
      <c r="E34" s="27">
        <v>4</v>
      </c>
      <c r="F34" s="28">
        <v>7</v>
      </c>
      <c r="G34" s="30">
        <v>5</v>
      </c>
      <c r="H34" s="39">
        <v>4</v>
      </c>
      <c r="I34" s="40">
        <v>6</v>
      </c>
      <c r="J34" s="30">
        <v>4</v>
      </c>
      <c r="K34" s="30">
        <v>6</v>
      </c>
      <c r="L34" s="32">
        <v>5</v>
      </c>
      <c r="M34" s="33">
        <v>4</v>
      </c>
      <c r="N34" s="34">
        <v>4</v>
      </c>
      <c r="O34" s="35">
        <v>6</v>
      </c>
      <c r="P34" s="36">
        <v>5</v>
      </c>
      <c r="Q34" s="12">
        <v>7</v>
      </c>
      <c r="R34" s="18">
        <v>5</v>
      </c>
      <c r="S34" s="62">
        <f t="shared" si="0"/>
        <v>5.0666666666666664</v>
      </c>
    </row>
    <row r="35" spans="1:19" ht="15.75" customHeight="1">
      <c r="A35" s="12" t="s">
        <v>13</v>
      </c>
      <c r="B35" s="37">
        <v>25</v>
      </c>
      <c r="C35" s="47" t="s">
        <v>54</v>
      </c>
      <c r="D35" s="26">
        <v>4</v>
      </c>
      <c r="E35" s="27">
        <v>4</v>
      </c>
      <c r="F35" s="28">
        <v>7</v>
      </c>
      <c r="G35" s="30">
        <v>6</v>
      </c>
      <c r="H35" s="39">
        <v>5</v>
      </c>
      <c r="I35" s="40">
        <v>5</v>
      </c>
      <c r="J35" s="30">
        <v>5</v>
      </c>
      <c r="K35" s="30">
        <v>7</v>
      </c>
      <c r="L35" s="32">
        <v>6</v>
      </c>
      <c r="M35" s="33">
        <v>4</v>
      </c>
      <c r="N35" s="34">
        <v>4</v>
      </c>
      <c r="O35" s="35">
        <v>5</v>
      </c>
      <c r="P35" s="36">
        <v>4</v>
      </c>
      <c r="Q35" s="12">
        <v>8</v>
      </c>
      <c r="R35" s="18">
        <v>5</v>
      </c>
      <c r="S35" s="62">
        <f t="shared" si="0"/>
        <v>5.2666666666666666</v>
      </c>
    </row>
    <row r="36" spans="1:19" ht="15.75" customHeight="1">
      <c r="A36" s="10"/>
      <c r="B36" s="10"/>
      <c r="C36" s="41" t="s">
        <v>5</v>
      </c>
      <c r="D36" s="61">
        <f>SUM(D11:D35)/B35</f>
        <v>5.68</v>
      </c>
      <c r="E36" s="61">
        <f>SUM(E11:E35)/B35</f>
        <v>6.56</v>
      </c>
      <c r="F36" s="61">
        <f>SUM(F11:F35)/B35</f>
        <v>8.24</v>
      </c>
      <c r="G36" s="61">
        <f>SUM(G11:G35)/B35</f>
        <v>7.48</v>
      </c>
      <c r="H36" s="61">
        <f>SUM(H11:H35)/B35</f>
        <v>5.96</v>
      </c>
      <c r="I36" s="61">
        <f>SUM(I11:I35)/B35</f>
        <v>6.68</v>
      </c>
      <c r="J36" s="61">
        <f>SUM(J11:J35)/B35</f>
        <v>5.84</v>
      </c>
      <c r="K36" s="61">
        <f>SUM(K11:K35)/B35</f>
        <v>6.2</v>
      </c>
      <c r="L36" s="61">
        <f>SUM(L11:L35)/B35</f>
        <v>6.28</v>
      </c>
      <c r="M36" s="61">
        <f>SUM(M11:M35)/B35</f>
        <v>5.4</v>
      </c>
      <c r="N36" s="61">
        <f>SUM(N11:N35)/B35</f>
        <v>5.64</v>
      </c>
      <c r="O36" s="61">
        <f>SUM(O11:O35)/B35</f>
        <v>6.08</v>
      </c>
      <c r="P36" s="61">
        <f>SUM(P11:P35)/B35</f>
        <v>6.08</v>
      </c>
      <c r="Q36" s="61">
        <f>SUM(Q11:Q35)/B35</f>
        <v>7.76</v>
      </c>
      <c r="R36" s="61">
        <f>SUM(R11:R35)/B35</f>
        <v>6.2</v>
      </c>
      <c r="S36" s="62">
        <f t="shared" si="0"/>
        <v>6.405333333333334</v>
      </c>
    </row>
    <row r="37" spans="1:19" ht="15.75" customHeight="1">
      <c r="A37" s="10"/>
      <c r="B37" s="10"/>
      <c r="C37" s="42" t="s">
        <v>6</v>
      </c>
      <c r="D37" s="57">
        <f>(COUNT(D11:D35))/B35*100</f>
        <v>100</v>
      </c>
      <c r="E37" s="57">
        <f>(COUNT(E11:E35))/B35*100</f>
        <v>100</v>
      </c>
      <c r="F37" s="57">
        <f>(COUNT(F11:F35))/B35*100</f>
        <v>100</v>
      </c>
      <c r="G37" s="57">
        <f>(COUNT(G11:G35))/B35*100</f>
        <v>100</v>
      </c>
      <c r="H37" s="57">
        <f>(COUNT(H11:H35))/B35*100</f>
        <v>100</v>
      </c>
      <c r="I37" s="57">
        <f>(COUNT(I11:I35))/B35*100</f>
        <v>100</v>
      </c>
      <c r="J37" s="57">
        <f>(COUNT(J11:J35))/B35*100</f>
        <v>100</v>
      </c>
      <c r="K37" s="57">
        <f>(COUNT(K11:K35))/B35*100</f>
        <v>100</v>
      </c>
      <c r="L37" s="57">
        <f>(COUNT(L11:L35))/B35*100</f>
        <v>100</v>
      </c>
      <c r="M37" s="57">
        <f>(COUNT(M11:M35))/B35*100</f>
        <v>100</v>
      </c>
      <c r="N37" s="57">
        <f>(COUNT(N11:N35))/B35*100</f>
        <v>100</v>
      </c>
      <c r="O37" s="57">
        <f>(COUNT(O11:O35))/B35*100</f>
        <v>100</v>
      </c>
      <c r="P37" s="57">
        <f>(COUNT(P11:P35))/B35*100</f>
        <v>100</v>
      </c>
      <c r="Q37" s="57">
        <f>(COUNT(Q11:Q35))/B35*100</f>
        <v>100</v>
      </c>
      <c r="R37" s="58">
        <f>(COUNT(R11:R35))/B35*100</f>
        <v>100</v>
      </c>
      <c r="S37" s="50"/>
    </row>
    <row r="38" spans="1:19" ht="15.75" customHeight="1">
      <c r="A38" s="10"/>
      <c r="B38" s="10"/>
      <c r="C38" s="43" t="s">
        <v>7</v>
      </c>
      <c r="D38" s="59">
        <f>(COUNTIF(D11:D35,"&gt;=7"))/B35*100</f>
        <v>28.000000000000004</v>
      </c>
      <c r="E38" s="59">
        <f>(COUNTIF(E11:E35,"&gt;=7"))/B35*100</f>
        <v>52</v>
      </c>
      <c r="F38" s="59">
        <f>(COUNTIF(F11:F35,"&gt;=7"))/B35*100</f>
        <v>84</v>
      </c>
      <c r="G38" s="59">
        <f>(COUNTIF(G11:G35,"&gt;=7"))/B35*100</f>
        <v>72</v>
      </c>
      <c r="H38" s="59">
        <f>(COUNTIF(H11:H35,"&gt;=7"))/B35*100</f>
        <v>36</v>
      </c>
      <c r="I38" s="59">
        <f>(COUNTIF(I11:I35,"&gt;=7"))/B35*100</f>
        <v>48</v>
      </c>
      <c r="J38" s="59">
        <f>(COUNTIF(J11:J35,"&gt;=7"))/B35*100</f>
        <v>24</v>
      </c>
      <c r="K38" s="59">
        <f>(COUNTIF(K11:K35,"&gt;=7"))/B35*100</f>
        <v>44</v>
      </c>
      <c r="L38" s="59">
        <f>(COUNTIF(L11:L35,"&gt;=7"))/B35*100</f>
        <v>44</v>
      </c>
      <c r="M38" s="59">
        <f>(COUNTIF(M11:M35,"&gt;=7"))/B35*100</f>
        <v>24</v>
      </c>
      <c r="N38" s="59">
        <f>(COUNTIF(N11:N35,"&gt;=7"))/B35*100</f>
        <v>28.000000000000004</v>
      </c>
      <c r="O38" s="59">
        <f>(COUNTIF(O11:O35,"&gt;=7"))/B35*100</f>
        <v>36</v>
      </c>
      <c r="P38" s="59">
        <f>(COUNTIF(P11:P35,"&gt;=7"))/B35*100</f>
        <v>32</v>
      </c>
      <c r="Q38" s="59">
        <f>(COUNTIF(Q11:Q35,"&gt;=7"))/B35*100</f>
        <v>76</v>
      </c>
      <c r="R38" s="60">
        <f>(COUNTIF(R11:R35,"&gt;=7"))/B35*100</f>
        <v>44</v>
      </c>
      <c r="S38" s="50"/>
    </row>
    <row r="39" spans="1:19" ht="15.75" customHeight="1">
      <c r="A39" s="10"/>
      <c r="B39" s="10"/>
      <c r="C39" s="43" t="s">
        <v>8</v>
      </c>
      <c r="D39" s="61">
        <f>AVERAGE(D37:R37)</f>
        <v>100</v>
      </c>
      <c r="E39" s="44"/>
      <c r="F39" s="44"/>
      <c r="G39" s="44"/>
      <c r="H39" s="44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50"/>
    </row>
    <row r="40" spans="1:19" ht="15.75" customHeight="1">
      <c r="A40" s="10"/>
      <c r="B40" s="10"/>
      <c r="C40" s="43" t="s">
        <v>9</v>
      </c>
      <c r="D40" s="61">
        <f>AVERAGE(D38:R38)</f>
        <v>44.8</v>
      </c>
      <c r="E40" s="44"/>
      <c r="F40" s="55" t="s">
        <v>11</v>
      </c>
      <c r="G40" s="55"/>
      <c r="H40" s="55"/>
      <c r="I40" s="56"/>
      <c r="J40" s="56"/>
      <c r="L40" s="53" t="s">
        <v>22</v>
      </c>
      <c r="M40" s="45"/>
      <c r="N40" s="45"/>
      <c r="O40" s="45"/>
      <c r="P40" s="45"/>
      <c r="Q40" s="45"/>
      <c r="R40" s="45"/>
      <c r="S40" s="50"/>
    </row>
    <row r="41" spans="1:19" ht="15.75" customHeight="1">
      <c r="F41" s="56"/>
      <c r="G41" s="56"/>
      <c r="H41" s="56"/>
      <c r="I41" s="56"/>
      <c r="J41" s="56"/>
      <c r="L41" s="54"/>
    </row>
    <row r="42" spans="1:19" ht="15.75" customHeight="1">
      <c r="F42" s="55" t="s">
        <v>12</v>
      </c>
      <c r="G42" s="55"/>
      <c r="H42" s="55"/>
      <c r="I42" s="55"/>
      <c r="J42" s="55"/>
      <c r="L42" s="53" t="s">
        <v>20</v>
      </c>
    </row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>
      <c r="E48" s="46"/>
      <c r="F48" s="46"/>
      <c r="G48" s="4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</sheetData>
  <mergeCells count="26">
    <mergeCell ref="A7:A10"/>
    <mergeCell ref="B7:B10"/>
    <mergeCell ref="C7:C10"/>
    <mergeCell ref="D7:S7"/>
    <mergeCell ref="A1:S1"/>
    <mergeCell ref="A2:S2"/>
    <mergeCell ref="A3:S3"/>
    <mergeCell ref="A4:S4"/>
    <mergeCell ref="A5:S5"/>
    <mergeCell ref="A6:S6"/>
    <mergeCell ref="R8:R10"/>
    <mergeCell ref="I8:I10"/>
    <mergeCell ref="P8:P10"/>
    <mergeCell ref="Q8:Q10"/>
    <mergeCell ref="S8:S10"/>
    <mergeCell ref="D8:D10"/>
    <mergeCell ref="E8:E10"/>
    <mergeCell ref="F8:F10"/>
    <mergeCell ref="G8:G10"/>
    <mergeCell ref="H8:H10"/>
    <mergeCell ref="J8:J10"/>
    <mergeCell ref="K8:K10"/>
    <mergeCell ref="L8:L10"/>
    <mergeCell ref="M8:M10"/>
    <mergeCell ref="N8:N10"/>
    <mergeCell ref="O8:O10"/>
  </mergeCells>
  <pageMargins left="0.7" right="0.7" top="0.75" bottom="0.75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181</vt:lpstr>
      <vt:lpstr>Зведена відомість 241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SURKOV</cp:lastModifiedBy>
  <cp:lastPrinted>2021-07-02T10:48:26Z</cp:lastPrinted>
  <dcterms:created xsi:type="dcterms:W3CDTF">2006-09-28T05:33:49Z</dcterms:created>
  <dcterms:modified xsi:type="dcterms:W3CDTF">2022-09-06T11:01:56Z</dcterms:modified>
</cp:coreProperties>
</file>