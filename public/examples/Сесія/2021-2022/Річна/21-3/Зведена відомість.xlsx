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390" yWindow="525" windowWidth="19815" windowHeight="7365"/>
  </bookViews>
  <sheets>
    <sheet name="Зведена відомість (2)" sheetId="14" r:id="rId1"/>
    <sheet name="Зведена відомість" sheetId="13" r:id="rId2"/>
  </sheets>
  <definedNames>
    <definedName name="A1048577" localSheetId="0">#REF!</definedName>
    <definedName name="A1048577">#REF!</definedName>
    <definedName name="Ф80" localSheetId="1">#REF!</definedName>
    <definedName name="Ф80" localSheetId="0">#REF!</definedName>
    <definedName name="Ф80">#REF!</definedName>
  </definedNames>
  <calcPr calcId="125725"/>
  <extLs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S30" i="14"/>
  <c r="S29"/>
  <c r="S27"/>
  <c r="S25"/>
  <c r="S23"/>
  <c r="S22"/>
  <c r="S21"/>
  <c r="S19"/>
  <c r="S17"/>
  <c r="S16"/>
  <c r="S15"/>
  <c r="S14"/>
  <c r="S12"/>
  <c r="S11"/>
  <c r="G25" i="13"/>
  <c r="P25"/>
  <c r="R27"/>
  <c r="Q27"/>
  <c r="P27"/>
  <c r="O27"/>
  <c r="N27"/>
  <c r="M27"/>
  <c r="L27"/>
  <c r="K27"/>
  <c r="J27"/>
  <c r="I27"/>
  <c r="H27"/>
  <c r="G27"/>
  <c r="F27"/>
  <c r="E27"/>
  <c r="D27"/>
  <c r="R26"/>
  <c r="Q26"/>
  <c r="P26"/>
  <c r="O26"/>
  <c r="N26"/>
  <c r="M26"/>
  <c r="L26"/>
  <c r="K26"/>
  <c r="J26"/>
  <c r="I26"/>
  <c r="H26"/>
  <c r="G26"/>
  <c r="F26"/>
  <c r="E26"/>
  <c r="D26"/>
  <c r="R25"/>
  <c r="Q25"/>
  <c r="O25"/>
  <c r="N25"/>
  <c r="M25"/>
  <c r="L25"/>
  <c r="K25"/>
  <c r="J25"/>
  <c r="I25"/>
  <c r="H25"/>
  <c r="F25"/>
  <c r="E25"/>
  <c r="D25"/>
  <c r="D119" i="14"/>
  <c r="C119"/>
  <c r="D118"/>
  <c r="C118"/>
  <c r="D117"/>
  <c r="C117"/>
  <c r="D116"/>
  <c r="C116"/>
  <c r="D115"/>
  <c r="C115"/>
  <c r="D114"/>
  <c r="C114"/>
  <c r="D113"/>
  <c r="C113"/>
  <c r="D112"/>
  <c r="C112"/>
  <c r="D111"/>
  <c r="C111"/>
  <c r="D110"/>
  <c r="C110"/>
  <c r="D109"/>
  <c r="C109"/>
  <c r="D108"/>
  <c r="C108"/>
  <c r="D107"/>
  <c r="C107"/>
  <c r="D106"/>
  <c r="C106"/>
  <c r="D105"/>
  <c r="C105"/>
  <c r="D104"/>
  <c r="C104"/>
  <c r="D103"/>
  <c r="C103"/>
  <c r="D102"/>
  <c r="C102"/>
  <c r="D101"/>
  <c r="C101"/>
  <c r="D100"/>
  <c r="C100"/>
  <c r="D99"/>
  <c r="C99"/>
  <c r="D98"/>
  <c r="C98"/>
  <c r="D97"/>
  <c r="C97"/>
  <c r="D96"/>
  <c r="C96"/>
  <c r="D95"/>
  <c r="C95"/>
  <c r="D94"/>
  <c r="C94"/>
  <c r="D93"/>
  <c r="C93"/>
  <c r="D92"/>
  <c r="C92"/>
  <c r="D91"/>
  <c r="C91"/>
  <c r="D90"/>
  <c r="C90"/>
  <c r="D89"/>
  <c r="C89"/>
  <c r="D88"/>
  <c r="C88"/>
  <c r="D87"/>
  <c r="C87"/>
  <c r="D86"/>
  <c r="C86"/>
  <c r="D85"/>
  <c r="C85"/>
  <c r="D84"/>
  <c r="C84"/>
  <c r="D83"/>
  <c r="C83"/>
  <c r="D82"/>
  <c r="C82"/>
  <c r="D81"/>
  <c r="C81"/>
  <c r="D80"/>
  <c r="C80"/>
  <c r="D79"/>
  <c r="C79"/>
  <c r="D78"/>
  <c r="C78"/>
  <c r="D77"/>
  <c r="C77"/>
  <c r="D76"/>
  <c r="C76"/>
  <c r="D75"/>
  <c r="C75"/>
  <c r="D74"/>
  <c r="C74"/>
  <c r="D44"/>
  <c r="B120" s="1"/>
  <c r="D43"/>
  <c r="A120" s="1"/>
  <c r="R40"/>
  <c r="Q40"/>
  <c r="P40"/>
  <c r="O40"/>
  <c r="N40"/>
  <c r="M40"/>
  <c r="L40"/>
  <c r="K40"/>
  <c r="J40"/>
  <c r="I40"/>
  <c r="H40"/>
  <c r="G40"/>
  <c r="F40"/>
  <c r="E40"/>
  <c r="D40"/>
  <c r="R39"/>
  <c r="Q39"/>
  <c r="P39"/>
  <c r="O39"/>
  <c r="N39"/>
  <c r="M39"/>
  <c r="L39"/>
  <c r="K39"/>
  <c r="J39"/>
  <c r="I39"/>
  <c r="H39"/>
  <c r="G39"/>
  <c r="F39"/>
  <c r="E39"/>
  <c r="D39"/>
  <c r="R38"/>
  <c r="Q38"/>
  <c r="P38"/>
  <c r="O38"/>
  <c r="N38"/>
  <c r="M38"/>
  <c r="L38"/>
  <c r="K38"/>
  <c r="J38"/>
  <c r="I38"/>
  <c r="H38"/>
  <c r="G38"/>
  <c r="F38"/>
  <c r="E38"/>
  <c r="D38"/>
  <c r="S37"/>
  <c r="S36"/>
  <c r="S35"/>
  <c r="S34"/>
  <c r="S33"/>
  <c r="S32"/>
  <c r="S31"/>
  <c r="S28"/>
  <c r="S26"/>
  <c r="S24"/>
  <c r="S20"/>
  <c r="S18"/>
  <c r="S13"/>
  <c r="S38" l="1"/>
  <c r="D41"/>
  <c r="D42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B109"/>
  <c r="B110"/>
  <c r="B111"/>
  <c r="B112"/>
  <c r="B113"/>
  <c r="B114"/>
  <c r="B115"/>
  <c r="B116"/>
  <c r="B117"/>
  <c r="B118"/>
  <c r="B119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S12" i="13"/>
  <c r="S13"/>
  <c r="S14"/>
  <c r="S15"/>
  <c r="S16"/>
  <c r="S17"/>
  <c r="S18"/>
  <c r="S19"/>
  <c r="S20"/>
  <c r="S21"/>
  <c r="S22"/>
  <c r="S23"/>
  <c r="S24"/>
  <c r="S11"/>
  <c r="D31"/>
  <c r="D30"/>
  <c r="S25" l="1"/>
  <c r="D29"/>
  <c r="D28"/>
  <c r="B65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A107" l="1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A79"/>
  <c r="A78"/>
  <c r="A77"/>
  <c r="A76"/>
  <c r="A75"/>
  <c r="A74"/>
  <c r="A73"/>
  <c r="A72"/>
  <c r="A71"/>
  <c r="A70"/>
  <c r="A69"/>
  <c r="A68"/>
  <c r="A67"/>
  <c r="A66"/>
  <c r="B62"/>
  <c r="B63"/>
  <c r="B64"/>
  <c r="B107"/>
  <c r="B106"/>
  <c r="B105"/>
  <c r="B104"/>
  <c r="B103"/>
  <c r="B102"/>
  <c r="B101"/>
  <c r="B100"/>
  <c r="B99"/>
  <c r="B98"/>
  <c r="B97"/>
  <c r="B96"/>
  <c r="B95"/>
  <c r="B94"/>
  <c r="B93"/>
  <c r="B92"/>
  <c r="B91"/>
  <c r="B90"/>
  <c r="B89"/>
  <c r="B88"/>
  <c r="B87"/>
  <c r="B86"/>
  <c r="B85"/>
  <c r="B84"/>
  <c r="B83"/>
  <c r="B82"/>
  <c r="B81"/>
  <c r="B80"/>
  <c r="B79"/>
  <c r="B78"/>
  <c r="B77"/>
  <c r="B76"/>
  <c r="B75"/>
  <c r="B74"/>
  <c r="B73"/>
  <c r="B72"/>
  <c r="B71"/>
  <c r="B70"/>
  <c r="B69"/>
  <c r="B68"/>
  <c r="B67"/>
  <c r="B66"/>
  <c r="A62"/>
  <c r="A63"/>
  <c r="A64"/>
  <c r="A65"/>
  <c r="D91" l="1"/>
  <c r="D97" l="1"/>
  <c r="D89"/>
  <c r="D83"/>
  <c r="D82"/>
  <c r="D63"/>
  <c r="D77"/>
  <c r="D103"/>
  <c r="D76"/>
  <c r="D81"/>
  <c r="D95"/>
  <c r="D98"/>
  <c r="D84"/>
  <c r="D65"/>
  <c r="D70"/>
  <c r="D90"/>
  <c r="D96"/>
  <c r="D100"/>
  <c r="D64"/>
  <c r="D99"/>
  <c r="D86"/>
  <c r="D104"/>
  <c r="D101"/>
  <c r="D88"/>
  <c r="D69"/>
  <c r="D74"/>
  <c r="D62"/>
  <c r="D94"/>
  <c r="D102"/>
  <c r="D66"/>
  <c r="D105"/>
  <c r="D79"/>
  <c r="D92"/>
  <c r="D87"/>
  <c r="D85"/>
  <c r="D71"/>
  <c r="D106"/>
  <c r="D73"/>
  <c r="D75"/>
  <c r="D72"/>
  <c r="D80"/>
  <c r="D93"/>
  <c r="D78"/>
  <c r="D68"/>
  <c r="D67"/>
  <c r="D61"/>
</calcChain>
</file>

<file path=xl/sharedStrings.xml><?xml version="1.0" encoding="utf-8"?>
<sst xmlns="http://schemas.openxmlformats.org/spreadsheetml/2006/main" count="166" uniqueCount="68">
  <si>
    <t xml:space="preserve">ЗВЕДЕНА  ВІДОМІСТЬ  </t>
  </si>
  <si>
    <t>Група 21-3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</si>
  <si>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</si>
  <si>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</si>
  <si>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</si>
  <si>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</si>
  <si>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Юрченко О.Б.</t>
  </si>
  <si>
    <t>Всесвітня історія
Мельничук С.А.</t>
  </si>
  <si>
    <t>Математика
Земляна Т.М.</t>
  </si>
  <si>
    <t>Хімія
Пономарьов К.М.</t>
  </si>
  <si>
    <t>Інформатика
Редунов Г.М.</t>
  </si>
  <si>
    <t>Українська мова
Юрченко О.Б.</t>
  </si>
  <si>
    <t>Зарубіжна література
Пруднікова Я.П.</t>
  </si>
  <si>
    <t>Біологія
Богданенко О.В.</t>
  </si>
  <si>
    <t>Іноземна мова
Кубова Т.М.</t>
  </si>
  <si>
    <t>Історія України
Левчук Т.Г.</t>
  </si>
  <si>
    <t>Географія
Наговська Т.С.</t>
  </si>
  <si>
    <t>Середній бал</t>
  </si>
  <si>
    <t>К</t>
  </si>
  <si>
    <t>Бабяк Валерія Миколаївна</t>
  </si>
  <si>
    <t>Бешенцева Дар’я Олександрівна</t>
  </si>
  <si>
    <t>Бєжина Анастасія Олексіївна</t>
  </si>
  <si>
    <t>Бєльков Данііл Валерійович</t>
  </si>
  <si>
    <t xml:space="preserve">Боєва Ольга Андріївна </t>
  </si>
  <si>
    <t>Броннікова Кіра Олегівна</t>
  </si>
  <si>
    <t>Бурдейна Віталія Віталіївна</t>
  </si>
  <si>
    <t>Венедіктов Владислав Юрійович</t>
  </si>
  <si>
    <t>Волков Михайло Денисович</t>
  </si>
  <si>
    <t>Голубенко Юлія Вячеславівна</t>
  </si>
  <si>
    <t>Гончарик Максим Васильович</t>
  </si>
  <si>
    <t>Драло Соломія Вікторівна</t>
  </si>
  <si>
    <t>Ігнатенко Анастасія Віталіївна</t>
  </si>
  <si>
    <t>Казани Ангеліна Віталіївна</t>
  </si>
  <si>
    <t>Коваленко Карина Юріївна</t>
  </si>
  <si>
    <t>Козелецька Анастасія Віталіївна</t>
  </si>
  <si>
    <t>Колчак Анастасія Миколаївна</t>
  </si>
  <si>
    <t xml:space="preserve">Лагерева Анна Юріївна       </t>
  </si>
  <si>
    <t>Мараховська Ольга Євгенівна</t>
  </si>
  <si>
    <t xml:space="preserve">Марченко Дар’я Сергіївна   </t>
  </si>
  <si>
    <t xml:space="preserve">Потапенко Руслан Михайлович  </t>
  </si>
  <si>
    <t>Б</t>
  </si>
  <si>
    <t>Сахно Владислав Вячеславович</t>
  </si>
  <si>
    <t>Сорочан Юлія Володимирівна</t>
  </si>
  <si>
    <t>Стецюк Вікторія Вікторівна</t>
  </si>
  <si>
    <t>Тарасенко Кирило Денисович</t>
  </si>
  <si>
    <t>Толоконніков Нікіта Сергійович</t>
  </si>
  <si>
    <t>Шиян Олександра Вячеславівна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</si>
  <si>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</si>
  <si>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</si>
  <si>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</si>
  <si>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</si>
  <si>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</si>
  <si>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</si>
  <si>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</si>
  <si>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Кількість соціального контингенту</t>
  </si>
  <si>
    <t>Класний керівник</t>
  </si>
  <si>
    <t>Тетяна ЗЕЛЯНА</t>
  </si>
  <si>
    <t>Завідувач відділення ПЗСО</t>
  </si>
  <si>
    <t>Маргарита БРІТІКОВА</t>
  </si>
  <si>
    <t>Астрономія
Калюта Н.М.</t>
  </si>
  <si>
    <t>Фізика
Швець М.В.</t>
  </si>
  <si>
    <t>Фізична культура
Галеніна І.С.</t>
  </si>
  <si>
    <t>ЗВ
Лазар В.І.</t>
  </si>
  <si>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</si>
  <si>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</si>
  <si>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н/а</t>
  </si>
  <si>
    <t>Успішності студентів спеціальності 075 «Маркетинг», 076 «Підприємництво, торгівля та біржова діяльність»</t>
  </si>
  <si>
    <t>Річна 2021-2022 н.р.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</si>
</sst>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2">
    <xf numFmtId="0" fontId="0" fillId="0" borderId="0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2" fillId="0" borderId="5"/>
    <xf numFmtId="0" fontId="1" fillId="0" borderId="5"/>
    <xf numFmtId="0" fontId="2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  <xf numFmtId="0" fontId="1" fillId="0" borderId="5"/>
  </cellStyleXfs>
  <cellXfs count="58">
    <xf numFmtId="0" fontId="0" fillId="0" borderId="0" xfId="0" applyFont="1" applyAlignment="1"/>
    <xf numFmtId="0" fontId="3" fillId="0" borderId="5" xfId="5" applyNumberFormat="1" applyFont="1" applyFill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 wrapText="1"/>
    </xf>
    <xf numFmtId="0" fontId="3" fillId="0" borderId="7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left" vertical="center" wrapText="1"/>
    </xf>
    <xf numFmtId="0" fontId="3" fillId="0" borderId="13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center" vertical="center"/>
    </xf>
    <xf numFmtId="0" fontId="3" fillId="0" borderId="6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vertical="center"/>
    </xf>
    <xf numFmtId="0" fontId="5" fillId="0" borderId="5" xfId="5" applyNumberFormat="1" applyFont="1" applyFill="1" applyAlignment="1">
      <alignment horizontal="left" vertical="center"/>
    </xf>
    <xf numFmtId="0" fontId="3" fillId="0" borderId="5" xfId="5" applyNumberFormat="1" applyFont="1" applyFill="1" applyBorder="1" applyAlignment="1">
      <alignment horizontal="center" vertical="center" wrapText="1"/>
    </xf>
    <xf numFmtId="2" fontId="3" fillId="2" borderId="6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left" vertical="center" wrapText="1"/>
    </xf>
    <xf numFmtId="164" fontId="3" fillId="2" borderId="8" xfId="5" applyNumberFormat="1" applyFont="1" applyFill="1" applyBorder="1" applyAlignment="1">
      <alignment horizontal="center" vertical="center"/>
    </xf>
    <xf numFmtId="164" fontId="3" fillId="2" borderId="9" xfId="5" applyNumberFormat="1" applyFont="1" applyFill="1" applyBorder="1" applyAlignment="1">
      <alignment horizontal="center" vertical="center"/>
    </xf>
    <xf numFmtId="164" fontId="3" fillId="2" borderId="14" xfId="5" applyNumberFormat="1" applyFont="1" applyFill="1" applyBorder="1" applyAlignment="1">
      <alignment horizontal="center" vertical="center"/>
    </xf>
    <xf numFmtId="0" fontId="3" fillId="0" borderId="4" xfId="5" applyNumberFormat="1" applyFont="1" applyFill="1" applyBorder="1" applyAlignment="1">
      <alignment horizontal="left" vertical="center" wrapText="1"/>
    </xf>
    <xf numFmtId="164" fontId="3" fillId="3" borderId="10" xfId="5" applyNumberFormat="1" applyFont="1" applyFill="1" applyBorder="1" applyAlignment="1">
      <alignment horizontal="center" vertical="center"/>
    </xf>
    <xf numFmtId="164" fontId="3" fillId="3" borderId="2" xfId="5" applyNumberFormat="1" applyFont="1" applyFill="1" applyBorder="1" applyAlignment="1">
      <alignment horizontal="center" vertical="center"/>
    </xf>
    <xf numFmtId="0" fontId="3" fillId="0" borderId="5" xfId="5" applyNumberFormat="1" applyFont="1" applyFill="1" applyBorder="1" applyAlignment="1">
      <alignment horizontal="center" vertical="center"/>
    </xf>
    <xf numFmtId="0" fontId="3" fillId="0" borderId="11" xfId="5" applyNumberFormat="1" applyFont="1" applyFill="1" applyBorder="1" applyAlignment="1">
      <alignment horizontal="left" vertical="center" wrapText="1"/>
    </xf>
    <xf numFmtId="164" fontId="3" fillId="3" borderId="4" xfId="5" applyNumberFormat="1" applyFont="1" applyFill="1" applyBorder="1" applyAlignment="1">
      <alignment horizontal="center" vertical="center"/>
    </xf>
    <xf numFmtId="164" fontId="3" fillId="3" borderId="13" xfId="5" applyNumberFormat="1" applyFont="1" applyFill="1" applyBorder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6" fillId="0" borderId="5" xfId="5" applyNumberFormat="1" applyFont="1" applyFill="1" applyAlignment="1">
      <alignment horizontal="center" vertical="center"/>
    </xf>
    <xf numFmtId="0" fontId="5" fillId="0" borderId="5" xfId="5" applyNumberFormat="1" applyFont="1" applyFill="1" applyAlignment="1">
      <alignment horizontal="center" vertical="center"/>
    </xf>
    <xf numFmtId="0" fontId="6" fillId="0" borderId="5" xfId="5" applyNumberFormat="1" applyFont="1" applyFill="1" applyAlignment="1">
      <alignment horizontal="center" vertical="center"/>
    </xf>
    <xf numFmtId="0" fontId="5" fillId="0" borderId="5" xfId="5" applyNumberFormat="1" applyFont="1" applyFill="1" applyAlignment="1">
      <alignment horizontal="center" vertical="center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textRotation="90" wrapText="1"/>
    </xf>
    <xf numFmtId="0" fontId="3" fillId="0" borderId="3" xfId="5" applyNumberFormat="1" applyFont="1" applyFill="1" applyBorder="1" applyAlignment="1">
      <alignment horizontal="center" textRotation="90"/>
    </xf>
    <xf numFmtId="0" fontId="3" fillId="0" borderId="8" xfId="5" applyNumberFormat="1" applyFont="1" applyFill="1" applyBorder="1" applyAlignment="1">
      <alignment horizontal="center" textRotation="90"/>
    </xf>
    <xf numFmtId="0" fontId="3" fillId="0" borderId="10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vertical="center"/>
    </xf>
    <xf numFmtId="0" fontId="3" fillId="0" borderId="10" xfId="5" applyNumberFormat="1" applyFont="1" applyFill="1" applyBorder="1" applyAlignment="1">
      <alignment horizontal="center" vertical="center" wrapText="1"/>
    </xf>
    <xf numFmtId="0" fontId="3" fillId="0" borderId="8" xfId="5" applyNumberFormat="1" applyFont="1" applyFill="1" applyBorder="1" applyAlignment="1">
      <alignment horizontal="center" vertical="center"/>
    </xf>
    <xf numFmtId="0" fontId="3" fillId="0" borderId="1" xfId="5" applyNumberFormat="1" applyFont="1" applyFill="1" applyBorder="1" applyAlignment="1">
      <alignment horizontal="center" vertical="center"/>
    </xf>
    <xf numFmtId="0" fontId="3" fillId="0" borderId="12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center" vertical="center"/>
    </xf>
    <xf numFmtId="0" fontId="3" fillId="0" borderId="3" xfId="5" applyNumberFormat="1" applyFont="1" applyFill="1" applyBorder="1" applyAlignment="1">
      <alignment horizontal="center" textRotation="90" wrapText="1"/>
    </xf>
    <xf numFmtId="0" fontId="3" fillId="0" borderId="8" xfId="5" applyNumberFormat="1" applyFont="1" applyFill="1" applyBorder="1" applyAlignment="1">
      <alignment horizontal="center" textRotation="90" wrapText="1"/>
    </xf>
    <xf numFmtId="0" fontId="4" fillId="0" borderId="10" xfId="5" applyNumberFormat="1" applyFont="1" applyFill="1" applyBorder="1" applyAlignment="1">
      <alignment horizontal="center" vertical="center" textRotation="90" wrapText="1"/>
    </xf>
    <xf numFmtId="0" fontId="4" fillId="0" borderId="3" xfId="5" applyNumberFormat="1" applyFont="1" applyFill="1" applyBorder="1" applyAlignment="1">
      <alignment horizontal="center" vertical="center" textRotation="90"/>
    </xf>
    <xf numFmtId="0" fontId="4" fillId="0" borderId="8" xfId="5" applyNumberFormat="1" applyFont="1" applyFill="1" applyBorder="1" applyAlignment="1">
      <alignment horizontal="center" vertical="center" textRotation="90"/>
    </xf>
    <xf numFmtId="0" fontId="5" fillId="0" borderId="14" xfId="5" applyNumberFormat="1" applyFont="1" applyFill="1" applyBorder="1" applyAlignment="1">
      <alignment horizontal="center" vertical="center"/>
    </xf>
    <xf numFmtId="0" fontId="5" fillId="0" borderId="5" xfId="5" applyNumberFormat="1" applyFont="1" applyFill="1" applyBorder="1" applyAlignment="1">
      <alignment horizontal="center" vertical="center"/>
    </xf>
    <xf numFmtId="0" fontId="6" fillId="0" borderId="5" xfId="5" applyNumberFormat="1" applyFont="1" applyFill="1" applyAlignment="1">
      <alignment horizontal="center" vertical="center"/>
    </xf>
    <xf numFmtId="0" fontId="5" fillId="0" borderId="5" xfId="5" applyNumberFormat="1" applyFont="1" applyFill="1" applyAlignment="1">
      <alignment horizontal="center" vertical="center"/>
    </xf>
    <xf numFmtId="0" fontId="3" fillId="0" borderId="15" xfId="5" applyNumberFormat="1" applyFont="1" applyFill="1" applyBorder="1" applyAlignment="1">
      <alignment horizontal="center" vertical="center"/>
    </xf>
    <xf numFmtId="0" fontId="3" fillId="0" borderId="15" xfId="5" applyNumberFormat="1" applyFont="1" applyFill="1" applyBorder="1" applyAlignment="1">
      <alignment horizontal="center" vertical="center" wrapText="1"/>
    </xf>
    <xf numFmtId="0" fontId="3" fillId="0" borderId="15" xfId="5" applyNumberFormat="1" applyFont="1" applyFill="1" applyBorder="1" applyAlignment="1">
      <alignment horizontal="center" textRotation="90" wrapText="1"/>
    </xf>
    <xf numFmtId="0" fontId="4" fillId="0" borderId="15" xfId="5" applyNumberFormat="1" applyFont="1" applyFill="1" applyBorder="1" applyAlignment="1">
      <alignment horizontal="center" vertical="center" textRotation="90" wrapText="1"/>
    </xf>
    <xf numFmtId="0" fontId="3" fillId="0" borderId="15" xfId="5" applyNumberFormat="1" applyFont="1" applyFill="1" applyBorder="1" applyAlignment="1">
      <alignment horizontal="center" textRotation="90"/>
    </xf>
    <xf numFmtId="0" fontId="4" fillId="0" borderId="15" xfId="5" applyNumberFormat="1" applyFont="1" applyFill="1" applyBorder="1" applyAlignment="1">
      <alignment horizontal="center" vertical="center" textRotation="90"/>
    </xf>
    <xf numFmtId="2" fontId="3" fillId="2" borderId="15" xfId="5" applyNumberFormat="1" applyFont="1" applyFill="1" applyBorder="1" applyAlignment="1">
      <alignment horizontal="center" vertical="center"/>
    </xf>
  </cellXfs>
  <cellStyles count="22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13"/>
  <sheetViews>
    <sheetView tabSelected="1" zoomScaleNormal="100" workbookViewId="0">
      <selection sqref="A1:S1"/>
    </sheetView>
  </sheetViews>
  <sheetFormatPr defaultColWidth="14.42578125" defaultRowHeight="15" customHeight="1"/>
  <cols>
    <col min="1" max="1" width="4.140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20" width="14.42578125" style="1"/>
    <col min="21" max="27" width="14.42578125" style="1" customWidth="1"/>
    <col min="28" max="28" width="14.85546875" style="1" customWidth="1"/>
    <col min="29" max="42" width="3.7109375" style="1" customWidth="1"/>
    <col min="43" max="56" width="5.7109375" style="1" customWidth="1"/>
    <col min="57" max="16384" width="14.42578125" style="1"/>
  </cols>
  <sheetData>
    <row r="1" spans="1:19" s="30" customFormat="1" ht="15" customHeight="1">
      <c r="A1" s="48" t="s">
        <v>63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s="30" customFormat="1" ht="15" customHeight="1">
      <c r="A2" s="48" t="s">
        <v>64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9" customFormat="1" ht="15" customHeight="1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s="30" customFormat="1" ht="15" customHeight="1">
      <c r="A4" s="50" t="s">
        <v>66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19" s="30" customFormat="1" ht="15" customHeight="1">
      <c r="A5" s="50" t="s">
        <v>67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s="30" customFormat="1" ht="15" customHeight="1">
      <c r="A6" s="47" t="s">
        <v>1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</row>
    <row r="7" spans="1:19" ht="15" customHeight="1">
      <c r="A7" s="35" t="s">
        <v>2</v>
      </c>
      <c r="B7" s="37" t="s">
        <v>3</v>
      </c>
      <c r="C7" s="37" t="s">
        <v>4</v>
      </c>
      <c r="D7" s="39" t="s">
        <v>5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1"/>
    </row>
    <row r="8" spans="1:19" ht="15" customHeight="1">
      <c r="A8" s="36"/>
      <c r="B8" s="36"/>
      <c r="C8" s="36"/>
      <c r="D8" s="32" t="s">
        <v>59</v>
      </c>
      <c r="E8" s="32" t="s">
        <v>13</v>
      </c>
      <c r="F8" s="32" t="s">
        <v>7</v>
      </c>
      <c r="G8" s="32" t="s">
        <v>16</v>
      </c>
      <c r="H8" s="32" t="s">
        <v>12</v>
      </c>
      <c r="I8" s="32" t="s">
        <v>62</v>
      </c>
      <c r="J8" s="32" t="s">
        <v>14</v>
      </c>
      <c r="K8" s="32" t="s">
        <v>10</v>
      </c>
      <c r="L8" s="32" t="s">
        <v>15</v>
      </c>
      <c r="M8" s="32" t="s">
        <v>8</v>
      </c>
      <c r="N8" s="32" t="s">
        <v>6</v>
      </c>
      <c r="O8" s="32" t="s">
        <v>11</v>
      </c>
      <c r="P8" s="32" t="s">
        <v>60</v>
      </c>
      <c r="Q8" s="32" t="s">
        <v>61</v>
      </c>
      <c r="R8" s="32" t="s">
        <v>9</v>
      </c>
      <c r="S8" s="44" t="s">
        <v>17</v>
      </c>
    </row>
    <row r="9" spans="1:19" ht="15" customHeight="1">
      <c r="A9" s="36"/>
      <c r="B9" s="36"/>
      <c r="C9" s="36"/>
      <c r="D9" s="42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45"/>
    </row>
    <row r="10" spans="1:19" ht="100.5" customHeight="1">
      <c r="A10" s="36"/>
      <c r="B10" s="38"/>
      <c r="C10" s="36"/>
      <c r="D10" s="43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46"/>
    </row>
    <row r="11" spans="1:19" ht="15" customHeight="1">
      <c r="A11" s="2" t="s">
        <v>18</v>
      </c>
      <c r="B11" s="11">
        <v>1</v>
      </c>
      <c r="C11" s="4" t="s">
        <v>19</v>
      </c>
      <c r="D11" s="5">
        <v>7</v>
      </c>
      <c r="E11" s="6">
        <v>7</v>
      </c>
      <c r="F11" s="6">
        <v>9</v>
      </c>
      <c r="G11" s="6">
        <v>8</v>
      </c>
      <c r="H11" s="6">
        <v>6</v>
      </c>
      <c r="I11" s="6">
        <v>8</v>
      </c>
      <c r="J11" s="6">
        <v>7</v>
      </c>
      <c r="K11" s="6">
        <v>6</v>
      </c>
      <c r="L11" s="6">
        <v>8</v>
      </c>
      <c r="M11" s="6">
        <v>4</v>
      </c>
      <c r="N11" s="6">
        <v>6</v>
      </c>
      <c r="O11" s="6">
        <v>7</v>
      </c>
      <c r="P11" s="6">
        <v>7</v>
      </c>
      <c r="Q11" s="6">
        <v>7</v>
      </c>
      <c r="R11" s="7">
        <v>6</v>
      </c>
      <c r="S11" s="12">
        <f>IF(COUNTIF(D11:R11,"=*")&gt;0,"-",(AVERAGE(D11:R11)))</f>
        <v>6.8666666666666663</v>
      </c>
    </row>
    <row r="12" spans="1:19" ht="15" customHeight="1">
      <c r="A12" s="14" t="s">
        <v>18</v>
      </c>
      <c r="B12" s="14">
        <v>2</v>
      </c>
      <c r="C12" s="4" t="s">
        <v>20</v>
      </c>
      <c r="D12" s="9">
        <v>8</v>
      </c>
      <c r="E12" s="9">
        <v>7</v>
      </c>
      <c r="F12" s="9">
        <v>10</v>
      </c>
      <c r="G12" s="9">
        <v>9</v>
      </c>
      <c r="H12" s="9">
        <v>7</v>
      </c>
      <c r="I12" s="9">
        <v>9</v>
      </c>
      <c r="J12" s="9">
        <v>8</v>
      </c>
      <c r="K12" s="9">
        <v>10</v>
      </c>
      <c r="L12" s="9">
        <v>7</v>
      </c>
      <c r="M12" s="9">
        <v>7</v>
      </c>
      <c r="N12" s="9">
        <v>8</v>
      </c>
      <c r="O12" s="9">
        <v>7</v>
      </c>
      <c r="P12" s="9">
        <v>9</v>
      </c>
      <c r="Q12" s="9">
        <v>11</v>
      </c>
      <c r="R12" s="9">
        <v>9</v>
      </c>
      <c r="S12" s="57">
        <f>IF(COUNTIF(D12:R12,"=*")&gt;0,"-",(AVERAGE(D12:R12)))</f>
        <v>8.4</v>
      </c>
    </row>
    <row r="13" spans="1:19" ht="15" customHeight="1">
      <c r="A13" s="14" t="s">
        <v>18</v>
      </c>
      <c r="B13" s="14">
        <v>3</v>
      </c>
      <c r="C13" s="4" t="s">
        <v>21</v>
      </c>
      <c r="D13" s="9">
        <v>4</v>
      </c>
      <c r="E13" s="9">
        <v>6</v>
      </c>
      <c r="F13" s="9">
        <v>10</v>
      </c>
      <c r="G13" s="9">
        <v>6</v>
      </c>
      <c r="H13" s="9">
        <v>4</v>
      </c>
      <c r="I13" s="9">
        <v>6</v>
      </c>
      <c r="J13" s="9">
        <v>6</v>
      </c>
      <c r="K13" s="9">
        <v>6</v>
      </c>
      <c r="L13" s="9">
        <v>7</v>
      </c>
      <c r="M13" s="9">
        <v>4</v>
      </c>
      <c r="N13" s="9">
        <v>4</v>
      </c>
      <c r="O13" s="9">
        <v>6</v>
      </c>
      <c r="P13" s="9">
        <v>6</v>
      </c>
      <c r="Q13" s="9">
        <v>4</v>
      </c>
      <c r="R13" s="9">
        <v>6</v>
      </c>
      <c r="S13" s="57">
        <f>IF(COUNTIF(D13:R13,"=*")&gt;0,"-",(AVERAGE(D13:R13)))</f>
        <v>5.666666666666667</v>
      </c>
    </row>
    <row r="14" spans="1:19" ht="15" customHeight="1">
      <c r="A14" s="14" t="s">
        <v>18</v>
      </c>
      <c r="B14" s="14">
        <v>4</v>
      </c>
      <c r="C14" s="4" t="s">
        <v>22</v>
      </c>
      <c r="D14" s="9">
        <v>4</v>
      </c>
      <c r="E14" s="9">
        <v>4</v>
      </c>
      <c r="F14" s="9">
        <v>6</v>
      </c>
      <c r="G14" s="9">
        <v>5</v>
      </c>
      <c r="H14" s="9">
        <v>4</v>
      </c>
      <c r="I14" s="9">
        <v>5</v>
      </c>
      <c r="J14" s="9">
        <v>4</v>
      </c>
      <c r="K14" s="9">
        <v>4</v>
      </c>
      <c r="L14" s="9">
        <v>6</v>
      </c>
      <c r="M14" s="9">
        <v>4</v>
      </c>
      <c r="N14" s="9">
        <v>4</v>
      </c>
      <c r="O14" s="9">
        <v>4</v>
      </c>
      <c r="P14" s="9">
        <v>4</v>
      </c>
      <c r="Q14" s="9">
        <v>5</v>
      </c>
      <c r="R14" s="9">
        <v>4</v>
      </c>
      <c r="S14" s="57">
        <f>IF(COUNTIF(D14:R14,"=*")&gt;0,"-",(AVERAGE(D14:R14)))</f>
        <v>4.4666666666666668</v>
      </c>
    </row>
    <row r="15" spans="1:19" ht="15" customHeight="1">
      <c r="A15" s="14" t="s">
        <v>18</v>
      </c>
      <c r="B15" s="14">
        <v>5</v>
      </c>
      <c r="C15" s="4" t="s">
        <v>23</v>
      </c>
      <c r="D15" s="9">
        <v>4</v>
      </c>
      <c r="E15" s="9">
        <v>7</v>
      </c>
      <c r="F15" s="9">
        <v>6</v>
      </c>
      <c r="G15" s="9">
        <v>7</v>
      </c>
      <c r="H15" s="9">
        <v>11</v>
      </c>
      <c r="I15" s="9">
        <v>6</v>
      </c>
      <c r="J15" s="9">
        <v>6</v>
      </c>
      <c r="K15" s="9">
        <v>4</v>
      </c>
      <c r="L15" s="9">
        <v>6</v>
      </c>
      <c r="M15" s="9">
        <v>4</v>
      </c>
      <c r="N15" s="9">
        <v>5</v>
      </c>
      <c r="O15" s="9">
        <v>6</v>
      </c>
      <c r="P15" s="9">
        <v>4</v>
      </c>
      <c r="Q15" s="9">
        <v>5</v>
      </c>
      <c r="R15" s="9">
        <v>4</v>
      </c>
      <c r="S15" s="57">
        <f>IF(COUNTIF(D15:R15,"=*")&gt;0,"-",(AVERAGE(D15:R15)))</f>
        <v>5.666666666666667</v>
      </c>
    </row>
    <row r="16" spans="1:19" ht="15" customHeight="1">
      <c r="A16" s="14" t="s">
        <v>40</v>
      </c>
      <c r="B16" s="14">
        <v>6</v>
      </c>
      <c r="C16" s="4" t="s">
        <v>24</v>
      </c>
      <c r="D16" s="9">
        <v>8</v>
      </c>
      <c r="E16" s="9">
        <v>9</v>
      </c>
      <c r="F16" s="9">
        <v>10</v>
      </c>
      <c r="G16" s="9">
        <v>10</v>
      </c>
      <c r="H16" s="9">
        <v>9</v>
      </c>
      <c r="I16" s="9">
        <v>9</v>
      </c>
      <c r="J16" s="9">
        <v>9</v>
      </c>
      <c r="K16" s="9">
        <v>8</v>
      </c>
      <c r="L16" s="9">
        <v>8</v>
      </c>
      <c r="M16" s="9">
        <v>6</v>
      </c>
      <c r="N16" s="9">
        <v>9</v>
      </c>
      <c r="O16" s="9">
        <v>7</v>
      </c>
      <c r="P16" s="9">
        <v>8</v>
      </c>
      <c r="Q16" s="9">
        <v>11</v>
      </c>
      <c r="R16" s="9">
        <v>8</v>
      </c>
      <c r="S16" s="57">
        <f>IF(COUNTIF(D16:R16,"=*")&gt;0,"-",(AVERAGE(D16:R16)))</f>
        <v>8.6</v>
      </c>
    </row>
    <row r="17" spans="1:19" ht="15" customHeight="1">
      <c r="A17" s="14" t="s">
        <v>18</v>
      </c>
      <c r="B17" s="14">
        <v>7</v>
      </c>
      <c r="C17" s="4" t="s">
        <v>25</v>
      </c>
      <c r="D17" s="9">
        <v>4</v>
      </c>
      <c r="E17" s="9">
        <v>5</v>
      </c>
      <c r="F17" s="9">
        <v>8</v>
      </c>
      <c r="G17" s="9">
        <v>7</v>
      </c>
      <c r="H17" s="9">
        <v>5</v>
      </c>
      <c r="I17" s="9">
        <v>5</v>
      </c>
      <c r="J17" s="9">
        <v>5</v>
      </c>
      <c r="K17" s="9">
        <v>5</v>
      </c>
      <c r="L17" s="9">
        <v>7</v>
      </c>
      <c r="M17" s="9">
        <v>4</v>
      </c>
      <c r="N17" s="9">
        <v>5</v>
      </c>
      <c r="O17" s="9">
        <v>6</v>
      </c>
      <c r="P17" s="9">
        <v>4</v>
      </c>
      <c r="Q17" s="9">
        <v>7</v>
      </c>
      <c r="R17" s="9">
        <v>5</v>
      </c>
      <c r="S17" s="57">
        <f>IF(COUNTIF(D17:R17,"=*")&gt;0,"-",(AVERAGE(D17:R17)))</f>
        <v>5.4666666666666668</v>
      </c>
    </row>
    <row r="18" spans="1:19" ht="15" customHeight="1">
      <c r="A18" s="14" t="s">
        <v>18</v>
      </c>
      <c r="B18" s="14">
        <v>8</v>
      </c>
      <c r="C18" s="4" t="s">
        <v>26</v>
      </c>
      <c r="D18" s="9">
        <v>4</v>
      </c>
      <c r="E18" s="9">
        <v>5</v>
      </c>
      <c r="F18" s="9">
        <v>8</v>
      </c>
      <c r="G18" s="9">
        <v>8</v>
      </c>
      <c r="H18" s="9">
        <v>4</v>
      </c>
      <c r="I18" s="9">
        <v>7</v>
      </c>
      <c r="J18" s="9">
        <v>5</v>
      </c>
      <c r="K18" s="9">
        <v>4</v>
      </c>
      <c r="L18" s="9">
        <v>7</v>
      </c>
      <c r="M18" s="9">
        <v>4</v>
      </c>
      <c r="N18" s="9">
        <v>5</v>
      </c>
      <c r="O18" s="9">
        <v>6</v>
      </c>
      <c r="P18" s="9">
        <v>6</v>
      </c>
      <c r="Q18" s="9">
        <v>5</v>
      </c>
      <c r="R18" s="9">
        <v>4</v>
      </c>
      <c r="S18" s="57">
        <f>IF(COUNTIF(D18:R18,"=*")&gt;0,"-",(AVERAGE(D18:R18)))</f>
        <v>5.4666666666666668</v>
      </c>
    </row>
    <row r="19" spans="1:19" ht="15" customHeight="1">
      <c r="A19" s="14" t="s">
        <v>18</v>
      </c>
      <c r="B19" s="14">
        <v>9</v>
      </c>
      <c r="C19" s="4" t="s">
        <v>27</v>
      </c>
      <c r="D19" s="9">
        <v>6</v>
      </c>
      <c r="E19" s="9">
        <v>6</v>
      </c>
      <c r="F19" s="9">
        <v>8</v>
      </c>
      <c r="G19" s="9">
        <v>7</v>
      </c>
      <c r="H19" s="9">
        <v>5</v>
      </c>
      <c r="I19" s="9">
        <v>8</v>
      </c>
      <c r="J19" s="9">
        <v>9</v>
      </c>
      <c r="K19" s="9">
        <v>6</v>
      </c>
      <c r="L19" s="9">
        <v>6</v>
      </c>
      <c r="M19" s="9">
        <v>5</v>
      </c>
      <c r="N19" s="9">
        <v>6</v>
      </c>
      <c r="O19" s="9">
        <v>7</v>
      </c>
      <c r="P19" s="9">
        <v>6</v>
      </c>
      <c r="Q19" s="9">
        <v>9</v>
      </c>
      <c r="R19" s="9">
        <v>4</v>
      </c>
      <c r="S19" s="57">
        <f>IF(COUNTIF(D19:R19,"=*")&gt;0,"-",(AVERAGE(D19:R19)))</f>
        <v>6.5333333333333332</v>
      </c>
    </row>
    <row r="20" spans="1:19" ht="15" customHeight="1">
      <c r="A20" s="14" t="s">
        <v>18</v>
      </c>
      <c r="B20" s="14">
        <v>10</v>
      </c>
      <c r="C20" s="4" t="s">
        <v>28</v>
      </c>
      <c r="D20" s="9">
        <v>8</v>
      </c>
      <c r="E20" s="9">
        <v>8</v>
      </c>
      <c r="F20" s="9">
        <v>10</v>
      </c>
      <c r="G20" s="9">
        <v>10</v>
      </c>
      <c r="H20" s="9">
        <v>7</v>
      </c>
      <c r="I20" s="9">
        <v>9</v>
      </c>
      <c r="J20" s="9">
        <v>7</v>
      </c>
      <c r="K20" s="9">
        <v>8</v>
      </c>
      <c r="L20" s="9">
        <v>7</v>
      </c>
      <c r="M20" s="9">
        <v>4</v>
      </c>
      <c r="N20" s="9">
        <v>6</v>
      </c>
      <c r="O20" s="9">
        <v>8</v>
      </c>
      <c r="P20" s="9">
        <v>8</v>
      </c>
      <c r="Q20" s="9">
        <v>10</v>
      </c>
      <c r="R20" s="9">
        <v>4</v>
      </c>
      <c r="S20" s="57">
        <f>IF(COUNTIF(D20:R20,"=*")&gt;0,"-",(AVERAGE(D20:R20)))</f>
        <v>7.6</v>
      </c>
    </row>
    <row r="21" spans="1:19" ht="15" customHeight="1">
      <c r="A21" s="14" t="s">
        <v>18</v>
      </c>
      <c r="B21" s="14">
        <v>11</v>
      </c>
      <c r="C21" s="4" t="s">
        <v>29</v>
      </c>
      <c r="D21" s="9">
        <v>4</v>
      </c>
      <c r="E21" s="9">
        <v>4</v>
      </c>
      <c r="F21" s="9">
        <v>8</v>
      </c>
      <c r="G21" s="9">
        <v>7</v>
      </c>
      <c r="H21" s="9">
        <v>4</v>
      </c>
      <c r="I21" s="9">
        <v>6</v>
      </c>
      <c r="J21" s="9">
        <v>5</v>
      </c>
      <c r="K21" s="9">
        <v>4</v>
      </c>
      <c r="L21" s="9">
        <v>6</v>
      </c>
      <c r="M21" s="9">
        <v>4</v>
      </c>
      <c r="N21" s="9">
        <v>5</v>
      </c>
      <c r="O21" s="9">
        <v>7</v>
      </c>
      <c r="P21" s="9">
        <v>4</v>
      </c>
      <c r="Q21" s="9">
        <v>7</v>
      </c>
      <c r="R21" s="9">
        <v>6</v>
      </c>
      <c r="S21" s="57">
        <f>IF(COUNTIF(D21:R21,"=*")&gt;0,"-",(AVERAGE(D21:R21)))</f>
        <v>5.4</v>
      </c>
    </row>
    <row r="22" spans="1:19" ht="15" customHeight="1">
      <c r="A22" s="14" t="s">
        <v>18</v>
      </c>
      <c r="B22" s="14">
        <v>12</v>
      </c>
      <c r="C22" s="4" t="s">
        <v>30</v>
      </c>
      <c r="D22" s="9">
        <v>10</v>
      </c>
      <c r="E22" s="9">
        <v>10</v>
      </c>
      <c r="F22" s="9">
        <v>10</v>
      </c>
      <c r="G22" s="9">
        <v>10</v>
      </c>
      <c r="H22" s="9">
        <v>11</v>
      </c>
      <c r="I22" s="9">
        <v>11</v>
      </c>
      <c r="J22" s="9">
        <v>10</v>
      </c>
      <c r="K22" s="9">
        <v>10</v>
      </c>
      <c r="L22" s="9">
        <v>10</v>
      </c>
      <c r="M22" s="9">
        <v>9</v>
      </c>
      <c r="N22" s="9">
        <v>10</v>
      </c>
      <c r="O22" s="9">
        <v>9</v>
      </c>
      <c r="P22" s="9">
        <v>9</v>
      </c>
      <c r="Q22" s="9">
        <v>11</v>
      </c>
      <c r="R22" s="9">
        <v>9</v>
      </c>
      <c r="S22" s="57">
        <f>IF(COUNTIF(D22:R22,"=*")&gt;0,"-",(AVERAGE(D22:R22)))</f>
        <v>9.9333333333333336</v>
      </c>
    </row>
    <row r="23" spans="1:19" ht="15" customHeight="1">
      <c r="A23" s="14" t="s">
        <v>18</v>
      </c>
      <c r="B23" s="14">
        <v>13</v>
      </c>
      <c r="C23" s="4" t="s">
        <v>31</v>
      </c>
      <c r="D23" s="9">
        <v>7</v>
      </c>
      <c r="E23" s="9">
        <v>9</v>
      </c>
      <c r="F23" s="9">
        <v>10</v>
      </c>
      <c r="G23" s="9">
        <v>9</v>
      </c>
      <c r="H23" s="9">
        <v>10</v>
      </c>
      <c r="I23" s="9">
        <v>10</v>
      </c>
      <c r="J23" s="9">
        <v>10</v>
      </c>
      <c r="K23" s="9">
        <v>8</v>
      </c>
      <c r="L23" s="9">
        <v>7</v>
      </c>
      <c r="M23" s="9">
        <v>5</v>
      </c>
      <c r="N23" s="9">
        <v>8</v>
      </c>
      <c r="O23" s="9">
        <v>7</v>
      </c>
      <c r="P23" s="9">
        <v>7</v>
      </c>
      <c r="Q23" s="9">
        <v>10</v>
      </c>
      <c r="R23" s="9">
        <v>9</v>
      </c>
      <c r="S23" s="57">
        <f>IF(COUNTIF(D23:R23,"=*")&gt;0,"-",(AVERAGE(D23:R23)))</f>
        <v>8.4</v>
      </c>
    </row>
    <row r="24" spans="1:19" ht="15" customHeight="1">
      <c r="A24" s="14" t="s">
        <v>18</v>
      </c>
      <c r="B24" s="14">
        <v>14</v>
      </c>
      <c r="C24" s="4" t="s">
        <v>32</v>
      </c>
      <c r="D24" s="9">
        <v>6</v>
      </c>
      <c r="E24" s="9">
        <v>5</v>
      </c>
      <c r="F24" s="9">
        <v>9</v>
      </c>
      <c r="G24" s="9">
        <v>8</v>
      </c>
      <c r="H24" s="9">
        <v>9</v>
      </c>
      <c r="I24" s="9">
        <v>4</v>
      </c>
      <c r="J24" s="9">
        <v>6</v>
      </c>
      <c r="K24" s="9">
        <v>6</v>
      </c>
      <c r="L24" s="9">
        <v>7</v>
      </c>
      <c r="M24" s="9">
        <v>4</v>
      </c>
      <c r="N24" s="9">
        <v>8</v>
      </c>
      <c r="O24" s="9">
        <v>5</v>
      </c>
      <c r="P24" s="9">
        <v>5</v>
      </c>
      <c r="Q24" s="9">
        <v>10</v>
      </c>
      <c r="R24" s="9">
        <v>6</v>
      </c>
      <c r="S24" s="57">
        <f>IF(COUNTIF(D24:R24,"=*")&gt;0,"-",(AVERAGE(D24:R24)))</f>
        <v>6.5333333333333332</v>
      </c>
    </row>
    <row r="25" spans="1:19" ht="15" customHeight="1">
      <c r="A25" s="14" t="s">
        <v>18</v>
      </c>
      <c r="B25" s="14">
        <v>15</v>
      </c>
      <c r="C25" s="4" t="s">
        <v>33</v>
      </c>
      <c r="D25" s="9">
        <v>9</v>
      </c>
      <c r="E25" s="9">
        <v>8</v>
      </c>
      <c r="F25" s="9">
        <v>10</v>
      </c>
      <c r="G25" s="9">
        <v>10</v>
      </c>
      <c r="H25" s="9">
        <v>10</v>
      </c>
      <c r="I25" s="9">
        <v>10</v>
      </c>
      <c r="J25" s="9">
        <v>8</v>
      </c>
      <c r="K25" s="9">
        <v>10</v>
      </c>
      <c r="L25" s="9">
        <v>9</v>
      </c>
      <c r="M25" s="9">
        <v>9</v>
      </c>
      <c r="N25" s="9">
        <v>10</v>
      </c>
      <c r="O25" s="9">
        <v>9</v>
      </c>
      <c r="P25" s="9">
        <v>9</v>
      </c>
      <c r="Q25" s="9">
        <v>11</v>
      </c>
      <c r="R25" s="9">
        <v>11</v>
      </c>
      <c r="S25" s="57">
        <f>IF(COUNTIF(D25:R25,"=*")&gt;0,"-",(AVERAGE(D25:R25)))</f>
        <v>9.5333333333333332</v>
      </c>
    </row>
    <row r="26" spans="1:19" ht="15" customHeight="1">
      <c r="A26" s="2" t="s">
        <v>18</v>
      </c>
      <c r="B26" s="3">
        <v>16</v>
      </c>
      <c r="C26" s="4" t="s">
        <v>34</v>
      </c>
      <c r="D26" s="5">
        <v>9</v>
      </c>
      <c r="E26" s="6">
        <v>8</v>
      </c>
      <c r="F26" s="6">
        <v>10</v>
      </c>
      <c r="G26" s="6">
        <v>9</v>
      </c>
      <c r="H26" s="6">
        <v>10</v>
      </c>
      <c r="I26" s="6">
        <v>10</v>
      </c>
      <c r="J26" s="6">
        <v>8</v>
      </c>
      <c r="K26" s="6">
        <v>10</v>
      </c>
      <c r="L26" s="6">
        <v>8</v>
      </c>
      <c r="M26" s="6">
        <v>5</v>
      </c>
      <c r="N26" s="6">
        <v>8</v>
      </c>
      <c r="O26" s="6">
        <v>7</v>
      </c>
      <c r="P26" s="6">
        <v>8</v>
      </c>
      <c r="Q26" s="6">
        <v>11</v>
      </c>
      <c r="R26" s="7">
        <v>10</v>
      </c>
      <c r="S26" s="12">
        <f>IF(COUNTIF(D26:R26,"=*")&gt;0,"-",(AVERAGE(D26:R26)))</f>
        <v>8.7333333333333325</v>
      </c>
    </row>
    <row r="27" spans="1:19" ht="15" customHeight="1">
      <c r="A27" s="2" t="s">
        <v>18</v>
      </c>
      <c r="B27" s="3">
        <v>17</v>
      </c>
      <c r="C27" s="4" t="s">
        <v>35</v>
      </c>
      <c r="D27" s="5">
        <v>4</v>
      </c>
      <c r="E27" s="6">
        <v>4</v>
      </c>
      <c r="F27" s="6">
        <v>8</v>
      </c>
      <c r="G27" s="6">
        <v>10</v>
      </c>
      <c r="H27" s="6">
        <v>4</v>
      </c>
      <c r="I27" s="6">
        <v>7</v>
      </c>
      <c r="J27" s="6">
        <v>5</v>
      </c>
      <c r="K27" s="6">
        <v>6</v>
      </c>
      <c r="L27" s="6">
        <v>6</v>
      </c>
      <c r="M27" s="6">
        <v>4</v>
      </c>
      <c r="N27" s="6">
        <v>6</v>
      </c>
      <c r="O27" s="6">
        <v>7</v>
      </c>
      <c r="P27" s="6">
        <v>6</v>
      </c>
      <c r="Q27" s="6">
        <v>9</v>
      </c>
      <c r="R27" s="7">
        <v>7</v>
      </c>
      <c r="S27" s="12">
        <f>IF(COUNTIF(D27:R27,"=*")&gt;0,"-",(AVERAGE(D27:R27)))</f>
        <v>6.2</v>
      </c>
    </row>
    <row r="28" spans="1:19" ht="15" customHeight="1">
      <c r="A28" s="2" t="s">
        <v>40</v>
      </c>
      <c r="B28" s="3">
        <v>18</v>
      </c>
      <c r="C28" s="4" t="s">
        <v>36</v>
      </c>
      <c r="D28" s="5">
        <v>7</v>
      </c>
      <c r="E28" s="6">
        <v>7</v>
      </c>
      <c r="F28" s="6">
        <v>10</v>
      </c>
      <c r="G28" s="6">
        <v>10</v>
      </c>
      <c r="H28" s="6">
        <v>8</v>
      </c>
      <c r="I28" s="6">
        <v>9</v>
      </c>
      <c r="J28" s="6">
        <v>7</v>
      </c>
      <c r="K28" s="6">
        <v>7</v>
      </c>
      <c r="L28" s="6">
        <v>8</v>
      </c>
      <c r="M28" s="6">
        <v>4</v>
      </c>
      <c r="N28" s="6">
        <v>7</v>
      </c>
      <c r="O28" s="6">
        <v>7</v>
      </c>
      <c r="P28" s="6">
        <v>8</v>
      </c>
      <c r="Q28" s="6">
        <v>9</v>
      </c>
      <c r="R28" s="7">
        <v>6</v>
      </c>
      <c r="S28" s="12">
        <f>IF(COUNTIF(D28:R28,"=*")&gt;0,"-",(AVERAGE(D28:R28)))</f>
        <v>7.6</v>
      </c>
    </row>
    <row r="29" spans="1:19" ht="15" customHeight="1">
      <c r="A29" s="2" t="s">
        <v>18</v>
      </c>
      <c r="B29" s="3">
        <v>19</v>
      </c>
      <c r="C29" s="4" t="s">
        <v>37</v>
      </c>
      <c r="D29" s="5">
        <v>10</v>
      </c>
      <c r="E29" s="6">
        <v>8</v>
      </c>
      <c r="F29" s="6">
        <v>10</v>
      </c>
      <c r="G29" s="6">
        <v>10</v>
      </c>
      <c r="H29" s="6">
        <v>10</v>
      </c>
      <c r="I29" s="6">
        <v>9</v>
      </c>
      <c r="J29" s="6">
        <v>9</v>
      </c>
      <c r="K29" s="6">
        <v>8</v>
      </c>
      <c r="L29" s="6">
        <v>9</v>
      </c>
      <c r="M29" s="6">
        <v>4</v>
      </c>
      <c r="N29" s="6">
        <v>9</v>
      </c>
      <c r="O29" s="6">
        <v>9</v>
      </c>
      <c r="P29" s="6">
        <v>8</v>
      </c>
      <c r="Q29" s="6">
        <v>11</v>
      </c>
      <c r="R29" s="7">
        <v>8</v>
      </c>
      <c r="S29" s="12">
        <f>IF(COUNTIF(D29:R29,"=*")&gt;0,"-",(AVERAGE(D29:R29)))</f>
        <v>8.8000000000000007</v>
      </c>
    </row>
    <row r="30" spans="1:19" ht="15" customHeight="1">
      <c r="A30" s="2" t="s">
        <v>18</v>
      </c>
      <c r="B30" s="3">
        <v>20</v>
      </c>
      <c r="C30" s="4" t="s">
        <v>38</v>
      </c>
      <c r="D30" s="5">
        <v>7</v>
      </c>
      <c r="E30" s="6">
        <v>9</v>
      </c>
      <c r="F30" s="6">
        <v>10</v>
      </c>
      <c r="G30" s="6">
        <v>9</v>
      </c>
      <c r="H30" s="6">
        <v>10</v>
      </c>
      <c r="I30" s="6">
        <v>9</v>
      </c>
      <c r="J30" s="6">
        <v>8</v>
      </c>
      <c r="K30" s="6">
        <v>8</v>
      </c>
      <c r="L30" s="6">
        <v>9</v>
      </c>
      <c r="M30" s="6">
        <v>7</v>
      </c>
      <c r="N30" s="6">
        <v>8</v>
      </c>
      <c r="O30" s="6">
        <v>9</v>
      </c>
      <c r="P30" s="6">
        <v>8</v>
      </c>
      <c r="Q30" s="6">
        <v>10</v>
      </c>
      <c r="R30" s="7">
        <v>7</v>
      </c>
      <c r="S30" s="12">
        <f>IF(COUNTIF(D30:R30,"=*")&gt;0,"-",(AVERAGE(D30:R30)))</f>
        <v>8.5333333333333332</v>
      </c>
    </row>
    <row r="31" spans="1:19" ht="15" customHeight="1">
      <c r="A31" s="2" t="s">
        <v>18</v>
      </c>
      <c r="B31" s="11">
        <v>21</v>
      </c>
      <c r="C31" s="4" t="s">
        <v>39</v>
      </c>
      <c r="D31" s="5">
        <v>4</v>
      </c>
      <c r="E31" s="6">
        <v>4</v>
      </c>
      <c r="F31" s="6">
        <v>4</v>
      </c>
      <c r="G31" s="6">
        <v>4</v>
      </c>
      <c r="H31" s="6">
        <v>4</v>
      </c>
      <c r="I31" s="6">
        <v>4</v>
      </c>
      <c r="J31" s="6">
        <v>4</v>
      </c>
      <c r="K31" s="6">
        <v>4</v>
      </c>
      <c r="L31" s="6">
        <v>4</v>
      </c>
      <c r="M31" s="6">
        <v>4</v>
      </c>
      <c r="N31" s="6">
        <v>4</v>
      </c>
      <c r="O31" s="6">
        <v>4</v>
      </c>
      <c r="P31" s="6">
        <v>4</v>
      </c>
      <c r="Q31" s="6">
        <v>4</v>
      </c>
      <c r="R31" s="7">
        <v>4</v>
      </c>
      <c r="S31" s="12">
        <f>IF(COUNTIF(D31:R31,"=*")&gt;0,"-",(AVERAGE(D31:R31)))</f>
        <v>4</v>
      </c>
    </row>
    <row r="32" spans="1:19" ht="15" customHeight="1">
      <c r="A32" s="2" t="s">
        <v>40</v>
      </c>
      <c r="B32" s="3">
        <v>22</v>
      </c>
      <c r="C32" s="4" t="s">
        <v>41</v>
      </c>
      <c r="D32" s="5">
        <v>4</v>
      </c>
      <c r="E32" s="6">
        <v>7</v>
      </c>
      <c r="F32" s="6">
        <v>9</v>
      </c>
      <c r="G32" s="6">
        <v>8</v>
      </c>
      <c r="H32" s="6">
        <v>7</v>
      </c>
      <c r="I32" s="6">
        <v>6</v>
      </c>
      <c r="J32" s="6">
        <v>5</v>
      </c>
      <c r="K32" s="6">
        <v>7</v>
      </c>
      <c r="L32" s="6">
        <v>6</v>
      </c>
      <c r="M32" s="6">
        <v>4</v>
      </c>
      <c r="N32" s="6">
        <v>5</v>
      </c>
      <c r="O32" s="6">
        <v>5</v>
      </c>
      <c r="P32" s="6">
        <v>8</v>
      </c>
      <c r="Q32" s="6">
        <v>7</v>
      </c>
      <c r="R32" s="7">
        <v>5</v>
      </c>
      <c r="S32" s="12">
        <f>IF(COUNTIF(D32:R32,"=*")&gt;0,"-",(AVERAGE(D32:R32)))</f>
        <v>6.2</v>
      </c>
    </row>
    <row r="33" spans="1:22" ht="15" customHeight="1">
      <c r="A33" s="2" t="s">
        <v>40</v>
      </c>
      <c r="B33" s="11">
        <v>23</v>
      </c>
      <c r="C33" s="4" t="s">
        <v>42</v>
      </c>
      <c r="D33" s="5">
        <v>4</v>
      </c>
      <c r="E33" s="6">
        <v>6</v>
      </c>
      <c r="F33" s="6">
        <v>9</v>
      </c>
      <c r="G33" s="6">
        <v>7</v>
      </c>
      <c r="H33" s="6">
        <v>7</v>
      </c>
      <c r="I33" s="6">
        <v>6</v>
      </c>
      <c r="J33" s="6">
        <v>5</v>
      </c>
      <c r="K33" s="6">
        <v>7</v>
      </c>
      <c r="L33" s="6">
        <v>5</v>
      </c>
      <c r="M33" s="6">
        <v>4</v>
      </c>
      <c r="N33" s="6">
        <v>6</v>
      </c>
      <c r="O33" s="6">
        <v>5</v>
      </c>
      <c r="P33" s="6">
        <v>5</v>
      </c>
      <c r="Q33" s="6">
        <v>6</v>
      </c>
      <c r="R33" s="7">
        <v>4</v>
      </c>
      <c r="S33" s="12">
        <f>IF(COUNTIF(D33:R33,"=*")&gt;0,"-",(AVERAGE(D33:R33)))</f>
        <v>5.7333333333333334</v>
      </c>
    </row>
    <row r="34" spans="1:22" ht="15" customHeight="1">
      <c r="A34" s="2" t="s">
        <v>40</v>
      </c>
      <c r="B34" s="3">
        <v>24</v>
      </c>
      <c r="C34" s="4" t="s">
        <v>43</v>
      </c>
      <c r="D34" s="5">
        <v>4</v>
      </c>
      <c r="E34" s="6">
        <v>7</v>
      </c>
      <c r="F34" s="6">
        <v>10</v>
      </c>
      <c r="G34" s="6">
        <v>10</v>
      </c>
      <c r="H34" s="6">
        <v>8</v>
      </c>
      <c r="I34" s="6">
        <v>6</v>
      </c>
      <c r="J34" s="6">
        <v>7</v>
      </c>
      <c r="K34" s="6">
        <v>5</v>
      </c>
      <c r="L34" s="6">
        <v>6</v>
      </c>
      <c r="M34" s="6">
        <v>4</v>
      </c>
      <c r="N34" s="6">
        <v>6</v>
      </c>
      <c r="O34" s="6">
        <v>6</v>
      </c>
      <c r="P34" s="6">
        <v>6</v>
      </c>
      <c r="Q34" s="6">
        <v>7</v>
      </c>
      <c r="R34" s="7">
        <v>4</v>
      </c>
      <c r="S34" s="12">
        <f>IF(COUNTIF(D34:R34,"=*")&gt;0,"-",(AVERAGE(D34:R34)))</f>
        <v>6.4</v>
      </c>
    </row>
    <row r="35" spans="1:22" ht="15" customHeight="1">
      <c r="A35" s="2" t="s">
        <v>40</v>
      </c>
      <c r="B35" s="11">
        <v>25</v>
      </c>
      <c r="C35" s="4" t="s">
        <v>44</v>
      </c>
      <c r="D35" s="5">
        <v>10</v>
      </c>
      <c r="E35" s="6">
        <v>10</v>
      </c>
      <c r="F35" s="6">
        <v>9</v>
      </c>
      <c r="G35" s="6">
        <v>11</v>
      </c>
      <c r="H35" s="6">
        <v>11</v>
      </c>
      <c r="I35" s="6">
        <v>10</v>
      </c>
      <c r="J35" s="6">
        <v>7</v>
      </c>
      <c r="K35" s="6">
        <v>11</v>
      </c>
      <c r="L35" s="6">
        <v>10</v>
      </c>
      <c r="M35" s="6">
        <v>9</v>
      </c>
      <c r="N35" s="6">
        <v>10</v>
      </c>
      <c r="O35" s="6">
        <v>9</v>
      </c>
      <c r="P35" s="6">
        <v>10</v>
      </c>
      <c r="Q35" s="6">
        <v>11</v>
      </c>
      <c r="R35" s="7">
        <v>11</v>
      </c>
      <c r="S35" s="12">
        <f>IF(COUNTIF(D35:R35,"=*")&gt;0,"-",(AVERAGE(D35:R35)))</f>
        <v>9.9333333333333336</v>
      </c>
    </row>
    <row r="36" spans="1:22" ht="15" customHeight="1">
      <c r="A36" s="2" t="s">
        <v>40</v>
      </c>
      <c r="B36" s="13">
        <v>26</v>
      </c>
      <c r="C36" s="4" t="s">
        <v>45</v>
      </c>
      <c r="D36" s="5">
        <v>4</v>
      </c>
      <c r="E36" s="6">
        <v>6</v>
      </c>
      <c r="F36" s="6">
        <v>9</v>
      </c>
      <c r="G36" s="6">
        <v>8</v>
      </c>
      <c r="H36" s="6">
        <v>6</v>
      </c>
      <c r="I36" s="6">
        <v>6</v>
      </c>
      <c r="J36" s="6">
        <v>7</v>
      </c>
      <c r="K36" s="6">
        <v>4</v>
      </c>
      <c r="L36" s="6">
        <v>6</v>
      </c>
      <c r="M36" s="6">
        <v>5</v>
      </c>
      <c r="N36" s="6">
        <v>5</v>
      </c>
      <c r="O36" s="6">
        <v>7</v>
      </c>
      <c r="P36" s="6">
        <v>7</v>
      </c>
      <c r="Q36" s="6">
        <v>8</v>
      </c>
      <c r="R36" s="7">
        <v>6</v>
      </c>
      <c r="S36" s="12">
        <f>IF(COUNTIF(D36:R36,"=*")&gt;0,"-",(AVERAGE(D36:R36)))</f>
        <v>6.2666666666666666</v>
      </c>
    </row>
    <row r="37" spans="1:22" ht="15" customHeight="1">
      <c r="A37" s="8" t="s">
        <v>40</v>
      </c>
      <c r="B37" s="14">
        <v>27</v>
      </c>
      <c r="C37" s="4" t="s">
        <v>46</v>
      </c>
      <c r="D37" s="5">
        <v>5</v>
      </c>
      <c r="E37" s="6">
        <v>7</v>
      </c>
      <c r="F37" s="6">
        <v>9</v>
      </c>
      <c r="G37" s="6">
        <v>9</v>
      </c>
      <c r="H37" s="6">
        <v>7</v>
      </c>
      <c r="I37" s="6">
        <v>9</v>
      </c>
      <c r="J37" s="6">
        <v>9</v>
      </c>
      <c r="K37" s="6">
        <v>9</v>
      </c>
      <c r="L37" s="6">
        <v>7</v>
      </c>
      <c r="M37" s="6">
        <v>5</v>
      </c>
      <c r="N37" s="6">
        <v>6</v>
      </c>
      <c r="O37" s="6">
        <v>8</v>
      </c>
      <c r="P37" s="6">
        <v>7</v>
      </c>
      <c r="Q37" s="6">
        <v>10</v>
      </c>
      <c r="R37" s="7">
        <v>8</v>
      </c>
      <c r="S37" s="12">
        <f>IF(COUNTIF(D37:R37,"=*")&gt;0,"-",(AVERAGE(D37:R37)))</f>
        <v>7.666666666666667</v>
      </c>
    </row>
    <row r="38" spans="1:22" ht="15.75" customHeight="1">
      <c r="C38" s="15" t="s">
        <v>47</v>
      </c>
      <c r="D38" s="16">
        <f>SUM(D11:D37)/B37</f>
        <v>6.1111111111111107</v>
      </c>
      <c r="E38" s="16">
        <f>SUM(E11:E37)/B37</f>
        <v>6.7777777777777777</v>
      </c>
      <c r="F38" s="16">
        <f>SUM(F11:F37)/B37</f>
        <v>8.8518518518518512</v>
      </c>
      <c r="G38" s="16">
        <f>SUM(G11:G37)/B37</f>
        <v>8.3703703703703702</v>
      </c>
      <c r="H38" s="16">
        <f>SUM(H11:H37)/B37</f>
        <v>7.333333333333333</v>
      </c>
      <c r="I38" s="16">
        <f>SUM(I11:I37)/B37</f>
        <v>7.5555555555555554</v>
      </c>
      <c r="J38" s="16">
        <f>SUM(J11:J37)/B37</f>
        <v>6.8888888888888893</v>
      </c>
      <c r="K38" s="16">
        <f>SUM(K11:K37)/B37</f>
        <v>6.8518518518518521</v>
      </c>
      <c r="L38" s="16">
        <f>SUM(L11:L37)/B37</f>
        <v>7.1111111111111107</v>
      </c>
      <c r="M38" s="17">
        <f>SUM(M11:M37)/B37</f>
        <v>5.0370370370370372</v>
      </c>
      <c r="N38" s="17">
        <f>SUM(N11:N37)/B37</f>
        <v>6.6296296296296298</v>
      </c>
      <c r="O38" s="16">
        <f>SUM(O11:O37)/B37</f>
        <v>6.8148148148148149</v>
      </c>
      <c r="P38" s="18">
        <f>SUM(P11:P37)/B37</f>
        <v>6.7037037037037033</v>
      </c>
      <c r="Q38" s="16">
        <f>SUM(Q11:Q37)/B37</f>
        <v>8.3703703703703702</v>
      </c>
      <c r="R38" s="16">
        <f>SUM(R11:R37)/B37</f>
        <v>6.4814814814814818</v>
      </c>
      <c r="S38" s="12">
        <f t="shared" ref="S11:S38" si="0">IF(COUNTIF(D38:R38,"=*")&gt;0,"-",(AVERAGE(D38:R38)))</f>
        <v>7.0592592592592593</v>
      </c>
    </row>
    <row r="39" spans="1:22" ht="15.75" customHeight="1">
      <c r="C39" s="19" t="s">
        <v>48</v>
      </c>
      <c r="D39" s="20">
        <f>(COUNT(D11:D37))/B37*100</f>
        <v>100</v>
      </c>
      <c r="E39" s="20">
        <f>(COUNT(E11:E37))/B37*100</f>
        <v>100</v>
      </c>
      <c r="F39" s="20">
        <f>(COUNT(F11:F37))/B37*100</f>
        <v>100</v>
      </c>
      <c r="G39" s="20">
        <f>(COUNT(G11:G37))/B37*100</f>
        <v>100</v>
      </c>
      <c r="H39" s="20">
        <f>(COUNT(H11:H37))/B37*100</f>
        <v>100</v>
      </c>
      <c r="I39" s="20">
        <f>(COUNT(I11:I37))/B37*100</f>
        <v>100</v>
      </c>
      <c r="J39" s="20">
        <f>(COUNT(J11:J37))/B37*100</f>
        <v>100</v>
      </c>
      <c r="K39" s="20">
        <f>(COUNT(K11:K37))/B37*100</f>
        <v>100</v>
      </c>
      <c r="L39" s="20">
        <f>(COUNT(L11:L37))/B37*100</f>
        <v>100</v>
      </c>
      <c r="M39" s="20">
        <f>(COUNT(M11:M37))/B37*100</f>
        <v>100</v>
      </c>
      <c r="N39" s="20">
        <f>(COUNT(N11:N37))/B37*100</f>
        <v>100</v>
      </c>
      <c r="O39" s="20">
        <f>(COUNT(O11:O37))/B37*100</f>
        <v>100</v>
      </c>
      <c r="P39" s="20">
        <f>(COUNT(P11:P37))/B37*100</f>
        <v>100</v>
      </c>
      <c r="Q39" s="20">
        <f>(COUNT(Q11:Q37))/B37*100</f>
        <v>100</v>
      </c>
      <c r="R39" s="21">
        <f>(COUNT(R11:R37))/B37*100</f>
        <v>100</v>
      </c>
      <c r="S39" s="22"/>
      <c r="T39" s="22"/>
      <c r="U39" s="22"/>
      <c r="V39" s="22"/>
    </row>
    <row r="40" spans="1:22" ht="15.75" customHeight="1">
      <c r="C40" s="23" t="s">
        <v>49</v>
      </c>
      <c r="D40" s="24">
        <f>(COUNTIF(D11:D37,"&gt;=7"))/B37*100</f>
        <v>44.444444444444443</v>
      </c>
      <c r="E40" s="24">
        <f>(COUNTIF(E11:E37,"&gt;=7"))/B37*100</f>
        <v>59.259259259259252</v>
      </c>
      <c r="F40" s="24">
        <f>(COUNTIF(F11:F37,"&gt;=7"))/B37*100</f>
        <v>88.888888888888886</v>
      </c>
      <c r="G40" s="24">
        <f>(COUNTIF(G11:G37,"&gt;=7"))/B37*100</f>
        <v>88.888888888888886</v>
      </c>
      <c r="H40" s="24">
        <f>(COUNTIF(H11:H37,"&gt;=7"))/B37*100</f>
        <v>62.962962962962962</v>
      </c>
      <c r="I40" s="24">
        <f>(COUNTIF(I11:I37,"&gt;=7"))/B37*100</f>
        <v>59.259259259259252</v>
      </c>
      <c r="J40" s="24">
        <f>(COUNTIF(J11:J37,"&gt;=7"))/B37*100</f>
        <v>59.259259259259252</v>
      </c>
      <c r="K40" s="24">
        <f>(COUNTIF(K11:K37,"&gt;=7"))/B37*100</f>
        <v>51.851851851851848</v>
      </c>
      <c r="L40" s="24">
        <f>(COUNTIF(L11:L37,"&gt;=7"))/B37*100</f>
        <v>62.962962962962962</v>
      </c>
      <c r="M40" s="24">
        <f>(COUNTIF(M11:M37,"&gt;=7"))/B37*100</f>
        <v>18.518518518518519</v>
      </c>
      <c r="N40" s="24">
        <f>(COUNTIF(N11:N37,"&gt;=7"))/B37*100</f>
        <v>40.74074074074074</v>
      </c>
      <c r="O40" s="24">
        <f>(COUNTIF(O11:O37,"&gt;=7"))/B37*100</f>
        <v>62.962962962962962</v>
      </c>
      <c r="P40" s="24">
        <f>(COUNTIF(P11:P37,"&gt;=7"))/B37*100</f>
        <v>55.555555555555557</v>
      </c>
      <c r="Q40" s="24">
        <f>(COUNTIF(Q11:Q37,"&gt;=7"))/B37*100</f>
        <v>77.777777777777786</v>
      </c>
      <c r="R40" s="25">
        <f>(COUNTIF(R11:R37,"&gt;=7"))/B37*100</f>
        <v>40.74074074074074</v>
      </c>
      <c r="S40" s="22"/>
      <c r="T40" s="22"/>
      <c r="U40" s="22"/>
      <c r="V40" s="22"/>
    </row>
    <row r="41" spans="1:22" ht="15.75" customHeight="1">
      <c r="C41" s="23" t="s">
        <v>50</v>
      </c>
      <c r="D41" s="16">
        <f>AVERAGE(D39:R39)</f>
        <v>100</v>
      </c>
      <c r="S41" s="22"/>
      <c r="T41" s="22"/>
      <c r="U41" s="22"/>
      <c r="V41" s="22"/>
    </row>
    <row r="42" spans="1:22" ht="15.75" customHeight="1">
      <c r="C42" s="23" t="s">
        <v>51</v>
      </c>
      <c r="D42" s="16">
        <f>AVERAGE(D40:R40)</f>
        <v>58.271604938271601</v>
      </c>
      <c r="S42" s="22"/>
      <c r="T42" s="22"/>
      <c r="U42" s="22"/>
      <c r="V42" s="22"/>
    </row>
    <row r="43" spans="1:22" ht="15.75" customHeight="1">
      <c r="C43" s="23" t="s">
        <v>52</v>
      </c>
      <c r="D43" s="31">
        <f>COUNTIF(A11:A37,"=Б")</f>
        <v>8</v>
      </c>
      <c r="G43" s="10" t="s">
        <v>55</v>
      </c>
      <c r="N43" s="10" t="s">
        <v>56</v>
      </c>
      <c r="S43" s="22"/>
      <c r="T43" s="22"/>
      <c r="U43" s="22"/>
      <c r="V43" s="22"/>
    </row>
    <row r="44" spans="1:22" ht="15.75" customHeight="1">
      <c r="C44" s="23" t="s">
        <v>53</v>
      </c>
      <c r="D44" s="31">
        <f>COUNTIF(A11:A37,"=К")</f>
        <v>19</v>
      </c>
    </row>
    <row r="45" spans="1:22" ht="15.75" customHeight="1">
      <c r="C45" s="23" t="s">
        <v>54</v>
      </c>
      <c r="D45" s="31">
        <v>2</v>
      </c>
      <c r="G45" s="10" t="s">
        <v>57</v>
      </c>
      <c r="N45" s="10" t="s">
        <v>58</v>
      </c>
    </row>
    <row r="46" spans="1:22" ht="15.75" customHeight="1"/>
    <row r="47" spans="1:22" ht="15.75" customHeight="1"/>
    <row r="48" spans="1:2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spans="1:4" ht="15.75" customHeight="1"/>
    <row r="66" spans="1:4" ht="15.75" customHeight="1"/>
    <row r="67" spans="1:4" ht="15.75" customHeight="1"/>
    <row r="68" spans="1:4" ht="15.75" customHeight="1"/>
    <row r="69" spans="1:4" ht="15.75" customHeight="1"/>
    <row r="70" spans="1:4" ht="15.75" customHeight="1"/>
    <row r="71" spans="1:4" ht="15.75" customHeight="1"/>
    <row r="72" spans="1:4" ht="15.75" customHeight="1"/>
    <row r="73" spans="1:4" ht="15.75" customHeight="1"/>
    <row r="74" spans="1:4" ht="15.75" customHeight="1">
      <c r="C74" s="1">
        <f>D45</f>
        <v>2</v>
      </c>
      <c r="D74" s="1" t="e">
        <f>#REF!</f>
        <v>#REF!</v>
      </c>
    </row>
    <row r="75" spans="1:4" ht="15.75" customHeight="1">
      <c r="A75" s="1">
        <f>D43</f>
        <v>8</v>
      </c>
      <c r="B75" s="1">
        <f>D44</f>
        <v>19</v>
      </c>
      <c r="C75" s="1">
        <f>D45</f>
        <v>2</v>
      </c>
      <c r="D75" s="1" t="e">
        <f>#REF!</f>
        <v>#REF!</v>
      </c>
    </row>
    <row r="76" spans="1:4" ht="15.75" customHeight="1">
      <c r="A76" s="1">
        <f>D43</f>
        <v>8</v>
      </c>
      <c r="B76" s="1">
        <f>D44</f>
        <v>19</v>
      </c>
      <c r="C76" s="1">
        <f>D45</f>
        <v>2</v>
      </c>
      <c r="D76" s="1" t="e">
        <f>#REF!</f>
        <v>#REF!</v>
      </c>
    </row>
    <row r="77" spans="1:4" ht="15.75" customHeight="1">
      <c r="A77" s="1">
        <f>D43</f>
        <v>8</v>
      </c>
      <c r="B77" s="1">
        <f>D44</f>
        <v>19</v>
      </c>
      <c r="C77" s="1">
        <f>D45</f>
        <v>2</v>
      </c>
      <c r="D77" s="1" t="e">
        <f>#REF!</f>
        <v>#REF!</v>
      </c>
    </row>
    <row r="78" spans="1:4" ht="15.75" customHeight="1">
      <c r="A78" s="1">
        <f>D43</f>
        <v>8</v>
      </c>
      <c r="B78" s="1">
        <f>D44</f>
        <v>19</v>
      </c>
      <c r="C78" s="1">
        <f>D45</f>
        <v>2</v>
      </c>
      <c r="D78" s="1" t="e">
        <f>#REF!</f>
        <v>#REF!</v>
      </c>
    </row>
    <row r="79" spans="1:4" ht="15.75" customHeight="1">
      <c r="A79" s="1">
        <f>D43</f>
        <v>8</v>
      </c>
      <c r="B79" s="1">
        <f>D44</f>
        <v>19</v>
      </c>
      <c r="C79" s="1">
        <f>D45</f>
        <v>2</v>
      </c>
      <c r="D79" s="1" t="e">
        <f>#REF!</f>
        <v>#REF!</v>
      </c>
    </row>
    <row r="80" spans="1:4" ht="15.75" customHeight="1">
      <c r="A80" s="1">
        <f>D43</f>
        <v>8</v>
      </c>
      <c r="B80" s="1">
        <f>D44</f>
        <v>19</v>
      </c>
      <c r="C80" s="1">
        <f>D45</f>
        <v>2</v>
      </c>
      <c r="D80" s="1" t="e">
        <f>#REF!</f>
        <v>#REF!</v>
      </c>
    </row>
    <row r="81" spans="1:4" ht="15.75" customHeight="1">
      <c r="A81" s="1">
        <f>D43</f>
        <v>8</v>
      </c>
      <c r="B81" s="1">
        <f>D44</f>
        <v>19</v>
      </c>
      <c r="C81" s="1">
        <f>D45</f>
        <v>2</v>
      </c>
      <c r="D81" s="1" t="e">
        <f>#REF!</f>
        <v>#REF!</v>
      </c>
    </row>
    <row r="82" spans="1:4" ht="15.75" customHeight="1">
      <c r="A82" s="1">
        <f>D43</f>
        <v>8</v>
      </c>
      <c r="B82" s="1">
        <f>D44</f>
        <v>19</v>
      </c>
      <c r="C82" s="1">
        <f>D45</f>
        <v>2</v>
      </c>
      <c r="D82" s="1" t="e">
        <f>#REF!</f>
        <v>#REF!</v>
      </c>
    </row>
    <row r="83" spans="1:4" ht="15.75" customHeight="1">
      <c r="A83" s="1">
        <f>D43</f>
        <v>8</v>
      </c>
      <c r="B83" s="1">
        <f>D44</f>
        <v>19</v>
      </c>
      <c r="C83" s="1">
        <f>D45</f>
        <v>2</v>
      </c>
      <c r="D83" s="1" t="e">
        <f>#REF!</f>
        <v>#REF!</v>
      </c>
    </row>
    <row r="84" spans="1:4" ht="15.75" customHeight="1">
      <c r="A84" s="1">
        <f>D43</f>
        <v>8</v>
      </c>
      <c r="B84" s="1">
        <f>D44</f>
        <v>19</v>
      </c>
      <c r="C84" s="1">
        <f>D45</f>
        <v>2</v>
      </c>
      <c r="D84" s="1" t="e">
        <f>#REF!</f>
        <v>#REF!</v>
      </c>
    </row>
    <row r="85" spans="1:4" ht="15.75" customHeight="1">
      <c r="A85" s="1">
        <f>D43</f>
        <v>8</v>
      </c>
      <c r="B85" s="1">
        <f>D44</f>
        <v>19</v>
      </c>
      <c r="C85" s="1">
        <f>D45</f>
        <v>2</v>
      </c>
      <c r="D85" s="1" t="e">
        <f>#REF!</f>
        <v>#REF!</v>
      </c>
    </row>
    <row r="86" spans="1:4" ht="15.75" customHeight="1">
      <c r="A86" s="1">
        <f>D43</f>
        <v>8</v>
      </c>
      <c r="B86" s="1">
        <f>D44</f>
        <v>19</v>
      </c>
      <c r="C86" s="1">
        <f>D45</f>
        <v>2</v>
      </c>
      <c r="D86" s="1" t="e">
        <f>#REF!</f>
        <v>#REF!</v>
      </c>
    </row>
    <row r="87" spans="1:4" ht="15.75" customHeight="1">
      <c r="A87" s="1">
        <f>D43</f>
        <v>8</v>
      </c>
      <c r="B87" s="1">
        <f>D44</f>
        <v>19</v>
      </c>
      <c r="C87" s="1">
        <f>D45</f>
        <v>2</v>
      </c>
      <c r="D87" s="1" t="e">
        <f>#REF!</f>
        <v>#REF!</v>
      </c>
    </row>
    <row r="88" spans="1:4" ht="15.75" customHeight="1">
      <c r="A88" s="1">
        <f>D43</f>
        <v>8</v>
      </c>
      <c r="B88" s="1">
        <f>D44</f>
        <v>19</v>
      </c>
      <c r="C88" s="1">
        <f>D45</f>
        <v>2</v>
      </c>
      <c r="D88" s="1" t="e">
        <f>#REF!</f>
        <v>#REF!</v>
      </c>
    </row>
    <row r="89" spans="1:4" ht="15.75" customHeight="1">
      <c r="A89" s="1">
        <f>D43</f>
        <v>8</v>
      </c>
      <c r="B89" s="1">
        <f>D44</f>
        <v>19</v>
      </c>
      <c r="C89" s="1">
        <f>D45</f>
        <v>2</v>
      </c>
      <c r="D89" s="1" t="e">
        <f>#REF!</f>
        <v>#REF!</v>
      </c>
    </row>
    <row r="90" spans="1:4" ht="15.75" customHeight="1">
      <c r="A90" s="1">
        <f>D43</f>
        <v>8</v>
      </c>
      <c r="B90" s="1">
        <f>D44</f>
        <v>19</v>
      </c>
      <c r="C90" s="1">
        <f>D45</f>
        <v>2</v>
      </c>
      <c r="D90" s="1" t="e">
        <f>#REF!</f>
        <v>#REF!</v>
      </c>
    </row>
    <row r="91" spans="1:4" ht="15.75" customHeight="1">
      <c r="A91" s="1">
        <f>D43</f>
        <v>8</v>
      </c>
      <c r="B91" s="1">
        <f>D44</f>
        <v>19</v>
      </c>
      <c r="C91" s="1">
        <f>D45</f>
        <v>2</v>
      </c>
      <c r="D91" s="1" t="e">
        <f>#REF!</f>
        <v>#REF!</v>
      </c>
    </row>
    <row r="92" spans="1:4" ht="15.75" customHeight="1">
      <c r="A92" s="1">
        <f>D43</f>
        <v>8</v>
      </c>
      <c r="B92" s="1">
        <f>D44</f>
        <v>19</v>
      </c>
      <c r="C92" s="1">
        <f>D45</f>
        <v>2</v>
      </c>
      <c r="D92" s="1" t="e">
        <f>#REF!</f>
        <v>#REF!</v>
      </c>
    </row>
    <row r="93" spans="1:4" ht="15.75" customHeight="1">
      <c r="A93" s="1">
        <f>D43</f>
        <v>8</v>
      </c>
      <c r="B93" s="1">
        <f>D44</f>
        <v>19</v>
      </c>
      <c r="C93" s="1">
        <f>D45</f>
        <v>2</v>
      </c>
      <c r="D93" s="1" t="e">
        <f>#REF!</f>
        <v>#REF!</v>
      </c>
    </row>
    <row r="94" spans="1:4" ht="15.75" customHeight="1">
      <c r="A94" s="1">
        <f>D43</f>
        <v>8</v>
      </c>
      <c r="B94" s="1">
        <f>D44</f>
        <v>19</v>
      </c>
      <c r="C94" s="1">
        <f>D45</f>
        <v>2</v>
      </c>
      <c r="D94" s="1" t="e">
        <f>#REF!</f>
        <v>#REF!</v>
      </c>
    </row>
    <row r="95" spans="1:4" ht="15.75" customHeight="1">
      <c r="A95" s="1">
        <f>D43</f>
        <v>8</v>
      </c>
      <c r="B95" s="1">
        <f>D44</f>
        <v>19</v>
      </c>
      <c r="C95" s="1">
        <f>D45</f>
        <v>2</v>
      </c>
      <c r="D95" s="1" t="e">
        <f>#REF!</f>
        <v>#REF!</v>
      </c>
    </row>
    <row r="96" spans="1:4" ht="15.75" customHeight="1">
      <c r="A96" s="1">
        <f>D43</f>
        <v>8</v>
      </c>
      <c r="B96" s="1">
        <f>D44</f>
        <v>19</v>
      </c>
      <c r="C96" s="1">
        <f>D45</f>
        <v>2</v>
      </c>
      <c r="D96" s="1" t="e">
        <f>#REF!</f>
        <v>#REF!</v>
      </c>
    </row>
    <row r="97" spans="1:4" ht="15.75" customHeight="1">
      <c r="A97" s="1">
        <f>D43</f>
        <v>8</v>
      </c>
      <c r="B97" s="1">
        <f>D44</f>
        <v>19</v>
      </c>
      <c r="C97" s="1">
        <f>D45</f>
        <v>2</v>
      </c>
      <c r="D97" s="1" t="e">
        <f>#REF!</f>
        <v>#REF!</v>
      </c>
    </row>
    <row r="98" spans="1:4" ht="15.75" customHeight="1">
      <c r="A98" s="1">
        <f>D43</f>
        <v>8</v>
      </c>
      <c r="B98" s="1">
        <f>D44</f>
        <v>19</v>
      </c>
      <c r="C98" s="1">
        <f>D45</f>
        <v>2</v>
      </c>
      <c r="D98" s="1" t="e">
        <f>#REF!</f>
        <v>#REF!</v>
      </c>
    </row>
    <row r="99" spans="1:4" ht="15.75" customHeight="1">
      <c r="A99" s="1">
        <f>D43</f>
        <v>8</v>
      </c>
      <c r="B99" s="1">
        <f>D44</f>
        <v>19</v>
      </c>
      <c r="C99" s="1">
        <f>D45</f>
        <v>2</v>
      </c>
      <c r="D99" s="1" t="e">
        <f>#REF!</f>
        <v>#REF!</v>
      </c>
    </row>
    <row r="100" spans="1:4" ht="15.75" customHeight="1">
      <c r="A100" s="1">
        <f>D43</f>
        <v>8</v>
      </c>
      <c r="B100" s="1">
        <f>D44</f>
        <v>19</v>
      </c>
      <c r="C100" s="1">
        <f>D45</f>
        <v>2</v>
      </c>
      <c r="D100" s="1" t="e">
        <f>#REF!</f>
        <v>#REF!</v>
      </c>
    </row>
    <row r="101" spans="1:4" ht="15.75" customHeight="1">
      <c r="A101" s="1">
        <f>D43</f>
        <v>8</v>
      </c>
      <c r="B101" s="1">
        <f>D44</f>
        <v>19</v>
      </c>
      <c r="C101" s="1">
        <f>D45</f>
        <v>2</v>
      </c>
      <c r="D101" s="1" t="e">
        <f>#REF!</f>
        <v>#REF!</v>
      </c>
    </row>
    <row r="102" spans="1:4" ht="15.75" customHeight="1">
      <c r="A102" s="1">
        <f>D43</f>
        <v>8</v>
      </c>
      <c r="B102" s="1">
        <f>D44</f>
        <v>19</v>
      </c>
      <c r="C102" s="1">
        <f>D45</f>
        <v>2</v>
      </c>
      <c r="D102" s="1" t="e">
        <f>#REF!</f>
        <v>#REF!</v>
      </c>
    </row>
    <row r="103" spans="1:4" ht="15.75" customHeight="1">
      <c r="A103" s="1">
        <f>D43</f>
        <v>8</v>
      </c>
      <c r="B103" s="1">
        <f>D44</f>
        <v>19</v>
      </c>
      <c r="C103" s="1">
        <f>D45</f>
        <v>2</v>
      </c>
      <c r="D103" s="1" t="e">
        <f>#REF!</f>
        <v>#REF!</v>
      </c>
    </row>
    <row r="104" spans="1:4" ht="15.75" customHeight="1">
      <c r="A104" s="1">
        <f>D43</f>
        <v>8</v>
      </c>
      <c r="B104" s="1">
        <f>D44</f>
        <v>19</v>
      </c>
      <c r="C104" s="1">
        <f>D45</f>
        <v>2</v>
      </c>
      <c r="D104" s="1" t="e">
        <f>#REF!</f>
        <v>#REF!</v>
      </c>
    </row>
    <row r="105" spans="1:4" ht="15.75" customHeight="1">
      <c r="A105" s="1">
        <f>D43</f>
        <v>8</v>
      </c>
      <c r="B105" s="1">
        <f>D44</f>
        <v>19</v>
      </c>
      <c r="C105" s="1">
        <f>D45</f>
        <v>2</v>
      </c>
      <c r="D105" s="1" t="e">
        <f>#REF!</f>
        <v>#REF!</v>
      </c>
    </row>
    <row r="106" spans="1:4" ht="15.75" customHeight="1">
      <c r="A106" s="1">
        <f>D43</f>
        <v>8</v>
      </c>
      <c r="B106" s="1">
        <f>D44</f>
        <v>19</v>
      </c>
      <c r="C106" s="1">
        <f>D45</f>
        <v>2</v>
      </c>
      <c r="D106" s="1" t="e">
        <f>#REF!</f>
        <v>#REF!</v>
      </c>
    </row>
    <row r="107" spans="1:4" ht="15.75" customHeight="1">
      <c r="A107" s="1">
        <f>D43</f>
        <v>8</v>
      </c>
      <c r="B107" s="1">
        <f>D44</f>
        <v>19</v>
      </c>
      <c r="C107" s="1">
        <f>D45</f>
        <v>2</v>
      </c>
      <c r="D107" s="1" t="e">
        <f>#REF!</f>
        <v>#REF!</v>
      </c>
    </row>
    <row r="108" spans="1:4" ht="15.75" customHeight="1">
      <c r="A108" s="1">
        <f>D43</f>
        <v>8</v>
      </c>
      <c r="B108" s="1">
        <f>D44</f>
        <v>19</v>
      </c>
      <c r="C108" s="1">
        <f>D45</f>
        <v>2</v>
      </c>
      <c r="D108" s="1" t="e">
        <f>#REF!</f>
        <v>#REF!</v>
      </c>
    </row>
    <row r="109" spans="1:4" ht="15.75" customHeight="1">
      <c r="A109" s="1">
        <f>D43</f>
        <v>8</v>
      </c>
      <c r="B109" s="1">
        <f>D44</f>
        <v>19</v>
      </c>
      <c r="C109" s="1">
        <f>D45</f>
        <v>2</v>
      </c>
      <c r="D109" s="1" t="e">
        <f>#REF!</f>
        <v>#REF!</v>
      </c>
    </row>
    <row r="110" spans="1:4" ht="15.75" customHeight="1">
      <c r="A110" s="1">
        <f>D43</f>
        <v>8</v>
      </c>
      <c r="B110" s="1">
        <f>D44</f>
        <v>19</v>
      </c>
      <c r="C110" s="1">
        <f>D45</f>
        <v>2</v>
      </c>
      <c r="D110" s="1" t="e">
        <f>#REF!</f>
        <v>#REF!</v>
      </c>
    </row>
    <row r="111" spans="1:4" ht="15.75" customHeight="1">
      <c r="A111" s="1">
        <f>D43</f>
        <v>8</v>
      </c>
      <c r="B111" s="1">
        <f>D44</f>
        <v>19</v>
      </c>
      <c r="C111" s="1">
        <f>D45</f>
        <v>2</v>
      </c>
      <c r="D111" s="1" t="e">
        <f>#REF!</f>
        <v>#REF!</v>
      </c>
    </row>
    <row r="112" spans="1:4" ht="15.75" customHeight="1">
      <c r="A112" s="1">
        <f>D43</f>
        <v>8</v>
      </c>
      <c r="B112" s="1">
        <f>D44</f>
        <v>19</v>
      </c>
      <c r="C112" s="1">
        <f>D45</f>
        <v>2</v>
      </c>
      <c r="D112" s="1" t="e">
        <f>#REF!</f>
        <v>#REF!</v>
      </c>
    </row>
    <row r="113" spans="1:4" ht="15.75" customHeight="1">
      <c r="A113" s="1">
        <f>D43</f>
        <v>8</v>
      </c>
      <c r="B113" s="1">
        <f>D44</f>
        <v>19</v>
      </c>
      <c r="C113" s="1">
        <f>D45</f>
        <v>2</v>
      </c>
      <c r="D113" s="1" t="e">
        <f>#REF!</f>
        <v>#REF!</v>
      </c>
    </row>
    <row r="114" spans="1:4" ht="15.75" customHeight="1">
      <c r="A114" s="1">
        <f>D43</f>
        <v>8</v>
      </c>
      <c r="B114" s="1">
        <f>D44</f>
        <v>19</v>
      </c>
      <c r="C114" s="1">
        <f>D45</f>
        <v>2</v>
      </c>
      <c r="D114" s="1" t="e">
        <f>#REF!</f>
        <v>#REF!</v>
      </c>
    </row>
    <row r="115" spans="1:4" ht="15.75" customHeight="1">
      <c r="A115" s="1">
        <f>D43</f>
        <v>8</v>
      </c>
      <c r="B115" s="1">
        <f>D44</f>
        <v>19</v>
      </c>
      <c r="C115" s="1">
        <f>D45</f>
        <v>2</v>
      </c>
      <c r="D115" s="1" t="e">
        <f>#REF!</f>
        <v>#REF!</v>
      </c>
    </row>
    <row r="116" spans="1:4" ht="15.75" customHeight="1">
      <c r="A116" s="1">
        <f>D43</f>
        <v>8</v>
      </c>
      <c r="B116" s="1">
        <f>D44</f>
        <v>19</v>
      </c>
      <c r="C116" s="1">
        <f>D45</f>
        <v>2</v>
      </c>
      <c r="D116" s="1" t="e">
        <f>#REF!</f>
        <v>#REF!</v>
      </c>
    </row>
    <row r="117" spans="1:4" ht="15.75" customHeight="1">
      <c r="A117" s="1">
        <f>D43</f>
        <v>8</v>
      </c>
      <c r="B117" s="1">
        <f>D44</f>
        <v>19</v>
      </c>
      <c r="C117" s="1">
        <f>D45</f>
        <v>2</v>
      </c>
      <c r="D117" s="1" t="e">
        <f>#REF!</f>
        <v>#REF!</v>
      </c>
    </row>
    <row r="118" spans="1:4" ht="15.75" customHeight="1">
      <c r="A118" s="1">
        <f>D43</f>
        <v>8</v>
      </c>
      <c r="B118" s="1">
        <f>D44</f>
        <v>19</v>
      </c>
      <c r="C118" s="1">
        <f>D45</f>
        <v>2</v>
      </c>
      <c r="D118" s="1" t="e">
        <f>#REF!</f>
        <v>#REF!</v>
      </c>
    </row>
    <row r="119" spans="1:4" ht="15.75" customHeight="1">
      <c r="A119" s="1">
        <f>D43</f>
        <v>8</v>
      </c>
      <c r="B119" s="1">
        <f>D44</f>
        <v>19</v>
      </c>
      <c r="C119" s="1">
        <f>D45</f>
        <v>2</v>
      </c>
      <c r="D119" s="1" t="e">
        <f>#REF!</f>
        <v>#REF!</v>
      </c>
    </row>
    <row r="120" spans="1:4" ht="15.75" customHeight="1">
      <c r="A120" s="1">
        <f>D43</f>
        <v>8</v>
      </c>
      <c r="B120" s="1">
        <f>D44</f>
        <v>19</v>
      </c>
    </row>
    <row r="121" spans="1:4" ht="15.75" customHeight="1"/>
    <row r="122" spans="1:4" ht="15.75" customHeight="1"/>
    <row r="123" spans="1:4" ht="15.75" customHeight="1"/>
    <row r="124" spans="1:4" ht="15.75" customHeight="1"/>
    <row r="125" spans="1:4" ht="15.75" customHeight="1"/>
    <row r="126" spans="1:4" ht="15.75" customHeight="1"/>
    <row r="127" spans="1:4" ht="15.75" customHeight="1"/>
    <row r="128" spans="1:4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sortState ref="A11:S37">
    <sortCondition ref="B11:B37"/>
  </sortState>
  <mergeCells count="26">
    <mergeCell ref="P8:P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A1:S1"/>
    <mergeCell ref="A2:S2"/>
    <mergeCell ref="A3:S3"/>
    <mergeCell ref="A4:S4"/>
    <mergeCell ref="A5:S5"/>
    <mergeCell ref="A6:S6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1000"/>
  <sheetViews>
    <sheetView topLeftCell="A7" zoomScaleNormal="100" workbookViewId="0">
      <selection activeCell="A11" sqref="A11:XFD24"/>
    </sheetView>
  </sheetViews>
  <sheetFormatPr defaultColWidth="14.42578125" defaultRowHeight="15" customHeight="1"/>
  <cols>
    <col min="1" max="1" width="4.140625" style="1" customWidth="1"/>
    <col min="2" max="2" width="6.5703125" style="1" customWidth="1"/>
    <col min="3" max="3" width="40.42578125" style="1" customWidth="1"/>
    <col min="4" max="18" width="6.7109375" style="1" customWidth="1"/>
    <col min="19" max="19" width="11.28515625" style="1" customWidth="1"/>
    <col min="20" max="20" width="14.42578125" style="1"/>
    <col min="21" max="27" width="14.42578125" style="1" customWidth="1"/>
    <col min="28" max="28" width="14.85546875" style="1" customWidth="1"/>
    <col min="29" max="42" width="3.7109375" style="1" customWidth="1"/>
    <col min="43" max="56" width="5.7109375" style="1" customWidth="1"/>
    <col min="57" max="16384" width="14.42578125" style="1"/>
  </cols>
  <sheetData>
    <row r="1" spans="1:19" s="28" customFormat="1" ht="15" customHeight="1">
      <c r="A1" s="48" t="s">
        <v>63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</row>
    <row r="2" spans="1:19" s="28" customFormat="1" ht="15" customHeight="1">
      <c r="A2" s="48" t="s">
        <v>64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</row>
    <row r="3" spans="1:19" s="27" customFormat="1" ht="15" customHeight="1">
      <c r="A3" s="49" t="s">
        <v>0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</row>
    <row r="4" spans="1:19" s="28" customFormat="1" ht="15" customHeight="1">
      <c r="A4" s="50" t="s">
        <v>66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</row>
    <row r="5" spans="1:19" s="28" customFormat="1" ht="15" customHeight="1">
      <c r="A5" s="50" t="s">
        <v>67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</row>
    <row r="6" spans="1:19" s="28" customFormat="1" ht="15" customHeight="1">
      <c r="A6" s="48" t="s">
        <v>1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</row>
    <row r="7" spans="1:19" ht="15" customHeight="1">
      <c r="A7" s="51" t="s">
        <v>2</v>
      </c>
      <c r="B7" s="52" t="s">
        <v>3</v>
      </c>
      <c r="C7" s="52" t="s">
        <v>4</v>
      </c>
      <c r="D7" s="51" t="s">
        <v>5</v>
      </c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</row>
    <row r="8" spans="1:19" ht="15" customHeight="1">
      <c r="A8" s="51"/>
      <c r="B8" s="51"/>
      <c r="C8" s="51"/>
      <c r="D8" s="53" t="s">
        <v>59</v>
      </c>
      <c r="E8" s="53" t="s">
        <v>13</v>
      </c>
      <c r="F8" s="53" t="s">
        <v>7</v>
      </c>
      <c r="G8" s="53" t="s">
        <v>16</v>
      </c>
      <c r="H8" s="53" t="s">
        <v>12</v>
      </c>
      <c r="I8" s="53" t="s">
        <v>62</v>
      </c>
      <c r="J8" s="53" t="s">
        <v>14</v>
      </c>
      <c r="K8" s="53" t="s">
        <v>10</v>
      </c>
      <c r="L8" s="53" t="s">
        <v>15</v>
      </c>
      <c r="M8" s="53" t="s">
        <v>8</v>
      </c>
      <c r="N8" s="53" t="s">
        <v>6</v>
      </c>
      <c r="O8" s="53" t="s">
        <v>11</v>
      </c>
      <c r="P8" s="53" t="s">
        <v>60</v>
      </c>
      <c r="Q8" s="53" t="s">
        <v>61</v>
      </c>
      <c r="R8" s="53" t="s">
        <v>9</v>
      </c>
      <c r="S8" s="54" t="s">
        <v>17</v>
      </c>
    </row>
    <row r="9" spans="1:19" ht="15" customHeight="1">
      <c r="A9" s="51"/>
      <c r="B9" s="51"/>
      <c r="C9" s="51"/>
      <c r="D9" s="53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6"/>
    </row>
    <row r="10" spans="1:19" ht="100.5" customHeight="1">
      <c r="A10" s="51"/>
      <c r="B10" s="51"/>
      <c r="C10" s="51"/>
      <c r="D10" s="53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6"/>
    </row>
    <row r="11" spans="1:19" ht="15" customHeight="1">
      <c r="A11" s="14" t="s">
        <v>18</v>
      </c>
      <c r="B11" s="14">
        <v>1</v>
      </c>
      <c r="C11" s="4" t="s">
        <v>19</v>
      </c>
      <c r="D11" s="9">
        <v>7</v>
      </c>
      <c r="E11" s="9">
        <v>7</v>
      </c>
      <c r="F11" s="9">
        <v>9</v>
      </c>
      <c r="G11" s="9">
        <v>8</v>
      </c>
      <c r="H11" s="9">
        <v>6</v>
      </c>
      <c r="I11" s="9">
        <v>8</v>
      </c>
      <c r="J11" s="9">
        <v>7</v>
      </c>
      <c r="K11" s="9">
        <v>6</v>
      </c>
      <c r="L11" s="9">
        <v>8</v>
      </c>
      <c r="M11" s="9">
        <v>4</v>
      </c>
      <c r="N11" s="9">
        <v>6</v>
      </c>
      <c r="O11" s="9">
        <v>7</v>
      </c>
      <c r="P11" s="9">
        <v>7</v>
      </c>
      <c r="Q11" s="9">
        <v>7</v>
      </c>
      <c r="R11" s="9">
        <v>6</v>
      </c>
      <c r="S11" s="57">
        <f>IF(COUNTIF(D11:R11,"=*")&gt;0,"-",(AVERAGE(D11:R11)))</f>
        <v>6.8666666666666663</v>
      </c>
    </row>
    <row r="12" spans="1:19" ht="15" customHeight="1">
      <c r="A12" s="14" t="s">
        <v>18</v>
      </c>
      <c r="B12" s="14">
        <v>2</v>
      </c>
      <c r="C12" s="4" t="s">
        <v>20</v>
      </c>
      <c r="D12" s="9">
        <v>8</v>
      </c>
      <c r="E12" s="9">
        <v>7</v>
      </c>
      <c r="F12" s="9">
        <v>10</v>
      </c>
      <c r="G12" s="9">
        <v>9</v>
      </c>
      <c r="H12" s="9">
        <v>7</v>
      </c>
      <c r="I12" s="9">
        <v>9</v>
      </c>
      <c r="J12" s="9">
        <v>8</v>
      </c>
      <c r="K12" s="9">
        <v>10</v>
      </c>
      <c r="L12" s="9">
        <v>7</v>
      </c>
      <c r="M12" s="9">
        <v>7</v>
      </c>
      <c r="N12" s="9">
        <v>8</v>
      </c>
      <c r="O12" s="9">
        <v>7</v>
      </c>
      <c r="P12" s="9">
        <v>9</v>
      </c>
      <c r="Q12" s="9">
        <v>11</v>
      </c>
      <c r="R12" s="9">
        <v>9</v>
      </c>
      <c r="S12" s="57">
        <f t="shared" ref="S12:S25" si="0">IF(COUNTIF(D12:R12,"=*")&gt;0,"-",(AVERAGE(D12:R12)))</f>
        <v>8.4</v>
      </c>
    </row>
    <row r="13" spans="1:19" ht="15" customHeight="1">
      <c r="A13" s="14" t="s">
        <v>18</v>
      </c>
      <c r="B13" s="14">
        <v>4</v>
      </c>
      <c r="C13" s="4" t="s">
        <v>22</v>
      </c>
      <c r="D13" s="9" t="s">
        <v>65</v>
      </c>
      <c r="E13" s="9">
        <v>4</v>
      </c>
      <c r="F13" s="9">
        <v>6</v>
      </c>
      <c r="G13" s="9">
        <v>5</v>
      </c>
      <c r="H13" s="9">
        <v>4</v>
      </c>
      <c r="I13" s="9" t="s">
        <v>65</v>
      </c>
      <c r="J13" s="9" t="s">
        <v>65</v>
      </c>
      <c r="K13" s="9" t="s">
        <v>65</v>
      </c>
      <c r="L13" s="9">
        <v>6</v>
      </c>
      <c r="M13" s="9">
        <v>4</v>
      </c>
      <c r="N13" s="9">
        <v>4</v>
      </c>
      <c r="O13" s="9" t="s">
        <v>65</v>
      </c>
      <c r="P13" s="9" t="s">
        <v>65</v>
      </c>
      <c r="Q13" s="9">
        <v>5</v>
      </c>
      <c r="R13" s="9">
        <v>4</v>
      </c>
      <c r="S13" s="57" t="str">
        <f t="shared" si="0"/>
        <v>-</v>
      </c>
    </row>
    <row r="14" spans="1:19" ht="15" customHeight="1">
      <c r="A14" s="14" t="s">
        <v>18</v>
      </c>
      <c r="B14" s="14">
        <v>5</v>
      </c>
      <c r="C14" s="4" t="s">
        <v>23</v>
      </c>
      <c r="D14" s="9">
        <v>4</v>
      </c>
      <c r="E14" s="9">
        <v>7</v>
      </c>
      <c r="F14" s="9">
        <v>6</v>
      </c>
      <c r="G14" s="9">
        <v>7</v>
      </c>
      <c r="H14" s="9">
        <v>11</v>
      </c>
      <c r="I14" s="9" t="s">
        <v>65</v>
      </c>
      <c r="J14" s="9">
        <v>6</v>
      </c>
      <c r="K14" s="9">
        <v>4</v>
      </c>
      <c r="L14" s="9">
        <v>6</v>
      </c>
      <c r="M14" s="9">
        <v>4</v>
      </c>
      <c r="N14" s="9">
        <v>5</v>
      </c>
      <c r="O14" s="9">
        <v>6</v>
      </c>
      <c r="P14" s="9">
        <v>4</v>
      </c>
      <c r="Q14" s="9">
        <v>5</v>
      </c>
      <c r="R14" s="9">
        <v>4</v>
      </c>
      <c r="S14" s="57" t="str">
        <f t="shared" si="0"/>
        <v>-</v>
      </c>
    </row>
    <row r="15" spans="1:19" ht="15" customHeight="1">
      <c r="A15" s="14" t="s">
        <v>40</v>
      </c>
      <c r="B15" s="14">
        <v>6</v>
      </c>
      <c r="C15" s="4" t="s">
        <v>24</v>
      </c>
      <c r="D15" s="9">
        <v>8</v>
      </c>
      <c r="E15" s="9">
        <v>9</v>
      </c>
      <c r="F15" s="9">
        <v>10</v>
      </c>
      <c r="G15" s="9">
        <v>10</v>
      </c>
      <c r="H15" s="9">
        <v>9</v>
      </c>
      <c r="I15" s="9">
        <v>9</v>
      </c>
      <c r="J15" s="9">
        <v>9</v>
      </c>
      <c r="K15" s="9">
        <v>8</v>
      </c>
      <c r="L15" s="9">
        <v>8</v>
      </c>
      <c r="M15" s="9">
        <v>6</v>
      </c>
      <c r="N15" s="9">
        <v>9</v>
      </c>
      <c r="O15" s="9">
        <v>7</v>
      </c>
      <c r="P15" s="9">
        <v>8</v>
      </c>
      <c r="Q15" s="9">
        <v>11</v>
      </c>
      <c r="R15" s="9">
        <v>8</v>
      </c>
      <c r="S15" s="57">
        <f t="shared" si="0"/>
        <v>8.6</v>
      </c>
    </row>
    <row r="16" spans="1:19" ht="15" customHeight="1">
      <c r="A16" s="14" t="s">
        <v>18</v>
      </c>
      <c r="B16" s="14">
        <v>7</v>
      </c>
      <c r="C16" s="4" t="s">
        <v>25</v>
      </c>
      <c r="D16" s="9">
        <v>4</v>
      </c>
      <c r="E16" s="9">
        <v>5</v>
      </c>
      <c r="F16" s="9">
        <v>8</v>
      </c>
      <c r="G16" s="9">
        <v>7</v>
      </c>
      <c r="H16" s="9">
        <v>5</v>
      </c>
      <c r="I16" s="9" t="s">
        <v>65</v>
      </c>
      <c r="J16" s="9">
        <v>5</v>
      </c>
      <c r="K16" s="9">
        <v>5</v>
      </c>
      <c r="L16" s="9">
        <v>7</v>
      </c>
      <c r="M16" s="9">
        <v>4</v>
      </c>
      <c r="N16" s="9">
        <v>5</v>
      </c>
      <c r="O16" s="9">
        <v>6</v>
      </c>
      <c r="P16" s="9">
        <v>4</v>
      </c>
      <c r="Q16" s="9">
        <v>7</v>
      </c>
      <c r="R16" s="9">
        <v>5</v>
      </c>
      <c r="S16" s="57" t="str">
        <f t="shared" si="0"/>
        <v>-</v>
      </c>
    </row>
    <row r="17" spans="1:22" ht="15" customHeight="1">
      <c r="A17" s="14" t="s">
        <v>18</v>
      </c>
      <c r="B17" s="14">
        <v>9</v>
      </c>
      <c r="C17" s="4" t="s">
        <v>27</v>
      </c>
      <c r="D17" s="9">
        <v>6</v>
      </c>
      <c r="E17" s="9">
        <v>6</v>
      </c>
      <c r="F17" s="9">
        <v>8</v>
      </c>
      <c r="G17" s="9">
        <v>7</v>
      </c>
      <c r="H17" s="9">
        <v>5</v>
      </c>
      <c r="I17" s="9">
        <v>8</v>
      </c>
      <c r="J17" s="9">
        <v>9</v>
      </c>
      <c r="K17" s="9">
        <v>6</v>
      </c>
      <c r="L17" s="9">
        <v>6</v>
      </c>
      <c r="M17" s="9">
        <v>5</v>
      </c>
      <c r="N17" s="9">
        <v>6</v>
      </c>
      <c r="O17" s="9">
        <v>7</v>
      </c>
      <c r="P17" s="9">
        <v>6</v>
      </c>
      <c r="Q17" s="9">
        <v>9</v>
      </c>
      <c r="R17" s="9">
        <v>4</v>
      </c>
      <c r="S17" s="57">
        <f t="shared" si="0"/>
        <v>6.5333333333333332</v>
      </c>
    </row>
    <row r="18" spans="1:22" ht="15" customHeight="1">
      <c r="A18" s="14" t="s">
        <v>18</v>
      </c>
      <c r="B18" s="14">
        <v>11</v>
      </c>
      <c r="C18" s="4" t="s">
        <v>29</v>
      </c>
      <c r="D18" s="9">
        <v>4</v>
      </c>
      <c r="E18" s="9">
        <v>4</v>
      </c>
      <c r="F18" s="9">
        <v>8</v>
      </c>
      <c r="G18" s="9">
        <v>7</v>
      </c>
      <c r="H18" s="9">
        <v>4</v>
      </c>
      <c r="I18" s="9">
        <v>6</v>
      </c>
      <c r="J18" s="9">
        <v>5</v>
      </c>
      <c r="K18" s="9">
        <v>4</v>
      </c>
      <c r="L18" s="9">
        <v>6</v>
      </c>
      <c r="M18" s="9">
        <v>4</v>
      </c>
      <c r="N18" s="9">
        <v>5</v>
      </c>
      <c r="O18" s="9">
        <v>7</v>
      </c>
      <c r="P18" s="9">
        <v>4</v>
      </c>
      <c r="Q18" s="9">
        <v>7</v>
      </c>
      <c r="R18" s="9">
        <v>6</v>
      </c>
      <c r="S18" s="57">
        <f t="shared" si="0"/>
        <v>5.4</v>
      </c>
    </row>
    <row r="19" spans="1:22" ht="15" customHeight="1">
      <c r="A19" s="14" t="s">
        <v>18</v>
      </c>
      <c r="B19" s="14">
        <v>12</v>
      </c>
      <c r="C19" s="4" t="s">
        <v>30</v>
      </c>
      <c r="D19" s="9">
        <v>10</v>
      </c>
      <c r="E19" s="9">
        <v>10</v>
      </c>
      <c r="F19" s="9">
        <v>10</v>
      </c>
      <c r="G19" s="9">
        <v>10</v>
      </c>
      <c r="H19" s="9">
        <v>11</v>
      </c>
      <c r="I19" s="9">
        <v>11</v>
      </c>
      <c r="J19" s="9">
        <v>10</v>
      </c>
      <c r="K19" s="9">
        <v>10</v>
      </c>
      <c r="L19" s="9">
        <v>10</v>
      </c>
      <c r="M19" s="9">
        <v>9</v>
      </c>
      <c r="N19" s="9">
        <v>10</v>
      </c>
      <c r="O19" s="9">
        <v>9</v>
      </c>
      <c r="P19" s="9">
        <v>9</v>
      </c>
      <c r="Q19" s="9">
        <v>11</v>
      </c>
      <c r="R19" s="9">
        <v>9</v>
      </c>
      <c r="S19" s="57">
        <f t="shared" si="0"/>
        <v>9.9333333333333336</v>
      </c>
    </row>
    <row r="20" spans="1:22" ht="15" customHeight="1">
      <c r="A20" s="14" t="s">
        <v>18</v>
      </c>
      <c r="B20" s="14">
        <v>13</v>
      </c>
      <c r="C20" s="4" t="s">
        <v>31</v>
      </c>
      <c r="D20" s="9">
        <v>7</v>
      </c>
      <c r="E20" s="9">
        <v>9</v>
      </c>
      <c r="F20" s="9">
        <v>10</v>
      </c>
      <c r="G20" s="9">
        <v>9</v>
      </c>
      <c r="H20" s="9">
        <v>10</v>
      </c>
      <c r="I20" s="9">
        <v>10</v>
      </c>
      <c r="J20" s="9">
        <v>10</v>
      </c>
      <c r="K20" s="9">
        <v>8</v>
      </c>
      <c r="L20" s="9">
        <v>7</v>
      </c>
      <c r="M20" s="9">
        <v>5</v>
      </c>
      <c r="N20" s="9">
        <v>8</v>
      </c>
      <c r="O20" s="9">
        <v>7</v>
      </c>
      <c r="P20" s="9">
        <v>7</v>
      </c>
      <c r="Q20" s="9">
        <v>10</v>
      </c>
      <c r="R20" s="9">
        <v>9</v>
      </c>
      <c r="S20" s="57">
        <f t="shared" si="0"/>
        <v>8.4</v>
      </c>
    </row>
    <row r="21" spans="1:22" ht="15" customHeight="1">
      <c r="A21" s="14" t="s">
        <v>18</v>
      </c>
      <c r="B21" s="14">
        <v>15</v>
      </c>
      <c r="C21" s="4" t="s">
        <v>33</v>
      </c>
      <c r="D21" s="9">
        <v>9</v>
      </c>
      <c r="E21" s="9">
        <v>8</v>
      </c>
      <c r="F21" s="9">
        <v>10</v>
      </c>
      <c r="G21" s="9">
        <v>10</v>
      </c>
      <c r="H21" s="9">
        <v>10</v>
      </c>
      <c r="I21" s="9">
        <v>10</v>
      </c>
      <c r="J21" s="9">
        <v>8</v>
      </c>
      <c r="K21" s="9">
        <v>10</v>
      </c>
      <c r="L21" s="9">
        <v>9</v>
      </c>
      <c r="M21" s="9">
        <v>9</v>
      </c>
      <c r="N21" s="9">
        <v>10</v>
      </c>
      <c r="O21" s="9">
        <v>9</v>
      </c>
      <c r="P21" s="9">
        <v>9</v>
      </c>
      <c r="Q21" s="9">
        <v>11</v>
      </c>
      <c r="R21" s="9">
        <v>11</v>
      </c>
      <c r="S21" s="57">
        <f t="shared" si="0"/>
        <v>9.5333333333333332</v>
      </c>
    </row>
    <row r="22" spans="1:22" ht="15" customHeight="1">
      <c r="A22" s="14" t="s">
        <v>18</v>
      </c>
      <c r="B22" s="14">
        <v>17</v>
      </c>
      <c r="C22" s="4" t="s">
        <v>35</v>
      </c>
      <c r="D22" s="9">
        <v>4</v>
      </c>
      <c r="E22" s="9">
        <v>4</v>
      </c>
      <c r="F22" s="9">
        <v>8</v>
      </c>
      <c r="G22" s="9">
        <v>10</v>
      </c>
      <c r="H22" s="9">
        <v>4</v>
      </c>
      <c r="I22" s="9">
        <v>7</v>
      </c>
      <c r="J22" s="9">
        <v>5</v>
      </c>
      <c r="K22" s="9">
        <v>6</v>
      </c>
      <c r="L22" s="9">
        <v>6</v>
      </c>
      <c r="M22" s="9">
        <v>4</v>
      </c>
      <c r="N22" s="9">
        <v>6</v>
      </c>
      <c r="O22" s="9">
        <v>7</v>
      </c>
      <c r="P22" s="9">
        <v>6</v>
      </c>
      <c r="Q22" s="9">
        <v>9</v>
      </c>
      <c r="R22" s="9">
        <v>7</v>
      </c>
      <c r="S22" s="57">
        <f t="shared" si="0"/>
        <v>6.2</v>
      </c>
    </row>
    <row r="23" spans="1:22" ht="15" customHeight="1">
      <c r="A23" s="14" t="s">
        <v>18</v>
      </c>
      <c r="B23" s="14">
        <v>19</v>
      </c>
      <c r="C23" s="4" t="s">
        <v>37</v>
      </c>
      <c r="D23" s="9">
        <v>10</v>
      </c>
      <c r="E23" s="9">
        <v>8</v>
      </c>
      <c r="F23" s="9">
        <v>10</v>
      </c>
      <c r="G23" s="9">
        <v>10</v>
      </c>
      <c r="H23" s="9">
        <v>10</v>
      </c>
      <c r="I23" s="9">
        <v>9</v>
      </c>
      <c r="J23" s="9">
        <v>9</v>
      </c>
      <c r="K23" s="9">
        <v>8</v>
      </c>
      <c r="L23" s="9">
        <v>9</v>
      </c>
      <c r="M23" s="9">
        <v>4</v>
      </c>
      <c r="N23" s="9">
        <v>9</v>
      </c>
      <c r="O23" s="9">
        <v>9</v>
      </c>
      <c r="P23" s="9">
        <v>8</v>
      </c>
      <c r="Q23" s="9">
        <v>11</v>
      </c>
      <c r="R23" s="9">
        <v>8</v>
      </c>
      <c r="S23" s="57">
        <f t="shared" si="0"/>
        <v>8.8000000000000007</v>
      </c>
    </row>
    <row r="24" spans="1:22" ht="15" customHeight="1">
      <c r="A24" s="14" t="s">
        <v>18</v>
      </c>
      <c r="B24" s="14">
        <v>20</v>
      </c>
      <c r="C24" s="4" t="s">
        <v>38</v>
      </c>
      <c r="D24" s="9">
        <v>7</v>
      </c>
      <c r="E24" s="9">
        <v>9</v>
      </c>
      <c r="F24" s="9">
        <v>10</v>
      </c>
      <c r="G24" s="9">
        <v>9</v>
      </c>
      <c r="H24" s="9">
        <v>10</v>
      </c>
      <c r="I24" s="9">
        <v>9</v>
      </c>
      <c r="J24" s="9">
        <v>8</v>
      </c>
      <c r="K24" s="9">
        <v>8</v>
      </c>
      <c r="L24" s="9">
        <v>9</v>
      </c>
      <c r="M24" s="9">
        <v>7</v>
      </c>
      <c r="N24" s="9">
        <v>8</v>
      </c>
      <c r="O24" s="9">
        <v>9</v>
      </c>
      <c r="P24" s="9">
        <v>8</v>
      </c>
      <c r="Q24" s="9">
        <v>10</v>
      </c>
      <c r="R24" s="9">
        <v>7</v>
      </c>
      <c r="S24" s="57">
        <f t="shared" si="0"/>
        <v>8.5333333333333332</v>
      </c>
    </row>
    <row r="25" spans="1:22" ht="15.75" customHeight="1">
      <c r="C25" s="15" t="s">
        <v>47</v>
      </c>
      <c r="D25" s="16">
        <f>SUM(D12:D24)/B24</f>
        <v>4.05</v>
      </c>
      <c r="E25" s="16">
        <f>SUM(E12:E24)/B24</f>
        <v>4.5</v>
      </c>
      <c r="F25" s="16">
        <f>SUM(F12:F24)/B24</f>
        <v>5.7</v>
      </c>
      <c r="G25" s="16">
        <f>SUM(G12:G24)/B24</f>
        <v>5.5</v>
      </c>
      <c r="H25" s="16">
        <f>SUM(H12:H24)/B24</f>
        <v>5</v>
      </c>
      <c r="I25" s="16">
        <f>SUM(I12:I24)/B24</f>
        <v>4.4000000000000004</v>
      </c>
      <c r="J25" s="16">
        <f>SUM(J12:J24)/B24</f>
        <v>4.5999999999999996</v>
      </c>
      <c r="K25" s="16">
        <f>SUM(K12:K24)/B24</f>
        <v>4.3499999999999996</v>
      </c>
      <c r="L25" s="16">
        <f>SUM(L12:L24)/B24</f>
        <v>4.8</v>
      </c>
      <c r="M25" s="17">
        <f>SUM(M12:M24)/B24</f>
        <v>3.6</v>
      </c>
      <c r="N25" s="17">
        <f>SUM(N12:N24)/B24</f>
        <v>4.6500000000000004</v>
      </c>
      <c r="O25" s="16">
        <f>SUM(O12:O24)/B24</f>
        <v>4.5</v>
      </c>
      <c r="P25" s="18">
        <f>SUM(P12:P24)/B24</f>
        <v>4.0999999999999996</v>
      </c>
      <c r="Q25" s="16">
        <f>SUM(Q12:Q24)/B24</f>
        <v>5.85</v>
      </c>
      <c r="R25" s="16">
        <f>SUM(R12:R24)/B24</f>
        <v>4.55</v>
      </c>
      <c r="S25" s="12">
        <f t="shared" si="0"/>
        <v>4.6766666666666659</v>
      </c>
    </row>
    <row r="26" spans="1:22" ht="15.75" customHeight="1">
      <c r="C26" s="19" t="s">
        <v>48</v>
      </c>
      <c r="D26" s="20">
        <f>(COUNT(D12:D24))/B24*100</f>
        <v>60</v>
      </c>
      <c r="E26" s="20">
        <f>(COUNT(E12:E24))/B24*100</f>
        <v>65</v>
      </c>
      <c r="F26" s="20">
        <f>(COUNT(F12:F24))/B24*100</f>
        <v>65</v>
      </c>
      <c r="G26" s="20">
        <f>(COUNT(G12:G24))/B24*100</f>
        <v>65</v>
      </c>
      <c r="H26" s="20">
        <f>(COUNT(H12:H24))/B24*100</f>
        <v>65</v>
      </c>
      <c r="I26" s="20">
        <f>(COUNT(I12:I24))/B24*100</f>
        <v>50</v>
      </c>
      <c r="J26" s="20">
        <f>(COUNT(J12:J24))/B24*100</f>
        <v>60</v>
      </c>
      <c r="K26" s="20">
        <f>(COUNT(K12:K24))/B24*100</f>
        <v>60</v>
      </c>
      <c r="L26" s="20">
        <f>(COUNT(L12:L24))/B24*100</f>
        <v>65</v>
      </c>
      <c r="M26" s="20">
        <f>(COUNT(M12:M24))/B24*100</f>
        <v>65</v>
      </c>
      <c r="N26" s="20">
        <f>(COUNT(N12:N24))/B24*100</f>
        <v>65</v>
      </c>
      <c r="O26" s="20">
        <f>(COUNT(O12:O24))/B24*100</f>
        <v>60</v>
      </c>
      <c r="P26" s="20">
        <f>(COUNT(P12:P24))/B24*100</f>
        <v>60</v>
      </c>
      <c r="Q26" s="20">
        <f>(COUNT(Q12:Q24))/B24*100</f>
        <v>65</v>
      </c>
      <c r="R26" s="21">
        <f>(COUNT(R12:R24))/B24*100</f>
        <v>65</v>
      </c>
      <c r="S26" s="22"/>
      <c r="T26" s="22"/>
      <c r="U26" s="22"/>
      <c r="V26" s="22"/>
    </row>
    <row r="27" spans="1:22" ht="15.75" customHeight="1">
      <c r="C27" s="23" t="s">
        <v>49</v>
      </c>
      <c r="D27" s="24">
        <f>(COUNTIF(D12:D24,"&gt;=7"))/B24*100</f>
        <v>35</v>
      </c>
      <c r="E27" s="24">
        <f>(COUNTIF(E12:E24,"&gt;=7"))/B24*100</f>
        <v>40</v>
      </c>
      <c r="F27" s="24">
        <f>(COUNTIF(F12:F24,"&gt;=7"))/B24*100</f>
        <v>55.000000000000007</v>
      </c>
      <c r="G27" s="24">
        <f>(COUNTIF(G12:G24,"&gt;=7"))/B24*100</f>
        <v>60</v>
      </c>
      <c r="H27" s="24">
        <f>(COUNTIF(H12:H24,"&gt;=7"))/B24*100</f>
        <v>40</v>
      </c>
      <c r="I27" s="24">
        <f>(COUNTIF(I12:I24,"&gt;=7"))/B24*100</f>
        <v>45</v>
      </c>
      <c r="J27" s="24">
        <f>(COUNTIF(J12:J24,"&gt;=7"))/B24*100</f>
        <v>40</v>
      </c>
      <c r="K27" s="24">
        <f>(COUNTIF(K12:K24,"&gt;=7"))/B24*100</f>
        <v>35</v>
      </c>
      <c r="L27" s="24">
        <f>(COUNTIF(L12:L24,"&gt;=7"))/B24*100</f>
        <v>40</v>
      </c>
      <c r="M27" s="24">
        <f>(COUNTIF(M12:M24,"&gt;=7"))/B24*100</f>
        <v>20</v>
      </c>
      <c r="N27" s="24">
        <f>(COUNTIF(N12:N24,"&gt;=7"))/B24*100</f>
        <v>35</v>
      </c>
      <c r="O27" s="24">
        <f>(COUNTIF(O12:O24,"&gt;=7"))/B24*100</f>
        <v>50</v>
      </c>
      <c r="P27" s="24">
        <f>(COUNTIF(P12:P24,"&gt;=7"))/B24*100</f>
        <v>35</v>
      </c>
      <c r="Q27" s="24">
        <f>(COUNTIF(Q12:Q24,"&gt;=7"))/B24*100</f>
        <v>55.000000000000007</v>
      </c>
      <c r="R27" s="25">
        <f>(COUNTIF(R12:R24,"&gt;=7"))/B24*100</f>
        <v>40</v>
      </c>
      <c r="S27" s="22"/>
      <c r="T27" s="22"/>
      <c r="U27" s="22"/>
      <c r="V27" s="22"/>
    </row>
    <row r="28" spans="1:22" ht="15.75" customHeight="1">
      <c r="C28" s="23" t="s">
        <v>50</v>
      </c>
      <c r="D28" s="16">
        <f>AVERAGE(D26:R26)</f>
        <v>62.333333333333336</v>
      </c>
      <c r="S28" s="22"/>
      <c r="T28" s="22"/>
      <c r="U28" s="22"/>
      <c r="V28" s="22"/>
    </row>
    <row r="29" spans="1:22" ht="15.75" customHeight="1">
      <c r="C29" s="23" t="s">
        <v>51</v>
      </c>
      <c r="D29" s="16">
        <f>AVERAGE(D27:R27)</f>
        <v>41.666666666666664</v>
      </c>
      <c r="S29" s="22"/>
      <c r="T29" s="22"/>
      <c r="U29" s="22"/>
      <c r="V29" s="22"/>
    </row>
    <row r="30" spans="1:22" ht="15.75" customHeight="1">
      <c r="C30" s="23" t="s">
        <v>52</v>
      </c>
      <c r="D30" s="26">
        <f>COUNTIF(A11:A24,"=Б")</f>
        <v>1</v>
      </c>
      <c r="G30" s="10" t="s">
        <v>55</v>
      </c>
      <c r="N30" s="10" t="s">
        <v>56</v>
      </c>
      <c r="S30" s="22"/>
      <c r="T30" s="22"/>
      <c r="U30" s="22"/>
      <c r="V30" s="22"/>
    </row>
    <row r="31" spans="1:22" ht="15.75" customHeight="1">
      <c r="C31" s="23" t="s">
        <v>53</v>
      </c>
      <c r="D31" s="26">
        <f>COUNTIF(A11:A24,"=К")</f>
        <v>13</v>
      </c>
    </row>
    <row r="32" spans="1:22" ht="15.75" customHeight="1">
      <c r="C32" s="23" t="s">
        <v>54</v>
      </c>
      <c r="D32" s="26">
        <v>2</v>
      </c>
      <c r="G32" s="10" t="s">
        <v>57</v>
      </c>
      <c r="N32" s="10" t="s">
        <v>58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spans="1:4" ht="15.75" customHeight="1"/>
    <row r="50" spans="1:4" ht="15.75" customHeight="1"/>
    <row r="51" spans="1:4" ht="15.75" customHeight="1"/>
    <row r="52" spans="1:4" ht="15.75" customHeight="1"/>
    <row r="53" spans="1:4" ht="15.75" customHeight="1"/>
    <row r="54" spans="1:4" ht="15.75" customHeight="1"/>
    <row r="55" spans="1:4" ht="15.75" customHeight="1"/>
    <row r="56" spans="1:4" ht="15.75" customHeight="1"/>
    <row r="57" spans="1:4" ht="15.75" customHeight="1"/>
    <row r="58" spans="1:4" ht="15.75" customHeight="1"/>
    <row r="59" spans="1:4" ht="15.75" customHeight="1"/>
    <row r="60" spans="1:4" ht="15.75" customHeight="1"/>
    <row r="61" spans="1:4" ht="15.75" customHeight="1">
      <c r="C61" s="1">
        <f>D32</f>
        <v>2</v>
      </c>
      <c r="D61" s="1" t="e">
        <f>#REF!</f>
        <v>#REF!</v>
      </c>
    </row>
    <row r="62" spans="1:4" ht="15.75" customHeight="1">
      <c r="A62" s="1">
        <f>D30</f>
        <v>1</v>
      </c>
      <c r="B62" s="1">
        <f>D31</f>
        <v>13</v>
      </c>
      <c r="C62" s="1">
        <f>D32</f>
        <v>2</v>
      </c>
      <c r="D62" s="1" t="e">
        <f>#REF!</f>
        <v>#REF!</v>
      </c>
    </row>
    <row r="63" spans="1:4" ht="15.75" customHeight="1">
      <c r="A63" s="1">
        <f>D30</f>
        <v>1</v>
      </c>
      <c r="B63" s="1">
        <f>D31</f>
        <v>13</v>
      </c>
      <c r="C63" s="1">
        <f>D32</f>
        <v>2</v>
      </c>
      <c r="D63" s="1" t="e">
        <f>#REF!</f>
        <v>#REF!</v>
      </c>
    </row>
    <row r="64" spans="1:4" ht="15.75" customHeight="1">
      <c r="A64" s="1">
        <f>D30</f>
        <v>1</v>
      </c>
      <c r="B64" s="1">
        <f>D31</f>
        <v>13</v>
      </c>
      <c r="C64" s="1">
        <f>D32</f>
        <v>2</v>
      </c>
      <c r="D64" s="1" t="e">
        <f>#REF!</f>
        <v>#REF!</v>
      </c>
    </row>
    <row r="65" spans="1:4" ht="15.75" customHeight="1">
      <c r="A65" s="1">
        <f>D30</f>
        <v>1</v>
      </c>
      <c r="B65" s="1">
        <f>D31</f>
        <v>13</v>
      </c>
      <c r="C65" s="1">
        <f>D32</f>
        <v>2</v>
      </c>
      <c r="D65" s="1" t="e">
        <f>#REF!</f>
        <v>#REF!</v>
      </c>
    </row>
    <row r="66" spans="1:4" ht="15.75" customHeight="1">
      <c r="A66" s="1">
        <f>D30</f>
        <v>1</v>
      </c>
      <c r="B66" s="1">
        <f>D31</f>
        <v>13</v>
      </c>
      <c r="C66" s="1">
        <f>D32</f>
        <v>2</v>
      </c>
      <c r="D66" s="1" t="e">
        <f>#REF!</f>
        <v>#REF!</v>
      </c>
    </row>
    <row r="67" spans="1:4" ht="15.75" customHeight="1">
      <c r="A67" s="1">
        <f>D30</f>
        <v>1</v>
      </c>
      <c r="B67" s="1">
        <f>D31</f>
        <v>13</v>
      </c>
      <c r="C67" s="1">
        <f>D32</f>
        <v>2</v>
      </c>
      <c r="D67" s="1" t="e">
        <f>#REF!</f>
        <v>#REF!</v>
      </c>
    </row>
    <row r="68" spans="1:4" ht="15.75" customHeight="1">
      <c r="A68" s="1">
        <f>D30</f>
        <v>1</v>
      </c>
      <c r="B68" s="1">
        <f>D31</f>
        <v>13</v>
      </c>
      <c r="C68" s="1">
        <f>D32</f>
        <v>2</v>
      </c>
      <c r="D68" s="1" t="e">
        <f>#REF!</f>
        <v>#REF!</v>
      </c>
    </row>
    <row r="69" spans="1:4" ht="15.75" customHeight="1">
      <c r="A69" s="1">
        <f>D30</f>
        <v>1</v>
      </c>
      <c r="B69" s="1">
        <f>D31</f>
        <v>13</v>
      </c>
      <c r="C69" s="1">
        <f>D32</f>
        <v>2</v>
      </c>
      <c r="D69" s="1" t="e">
        <f>#REF!</f>
        <v>#REF!</v>
      </c>
    </row>
    <row r="70" spans="1:4" ht="15.75" customHeight="1">
      <c r="A70" s="1">
        <f>D30</f>
        <v>1</v>
      </c>
      <c r="B70" s="1">
        <f>D31</f>
        <v>13</v>
      </c>
      <c r="C70" s="1">
        <f>D32</f>
        <v>2</v>
      </c>
      <c r="D70" s="1" t="e">
        <f>#REF!</f>
        <v>#REF!</v>
      </c>
    </row>
    <row r="71" spans="1:4" ht="15.75" customHeight="1">
      <c r="A71" s="1">
        <f>D30</f>
        <v>1</v>
      </c>
      <c r="B71" s="1">
        <f>D31</f>
        <v>13</v>
      </c>
      <c r="C71" s="1">
        <f>D32</f>
        <v>2</v>
      </c>
      <c r="D71" s="1" t="e">
        <f>#REF!</f>
        <v>#REF!</v>
      </c>
    </row>
    <row r="72" spans="1:4" ht="15.75" customHeight="1">
      <c r="A72" s="1">
        <f>D30</f>
        <v>1</v>
      </c>
      <c r="B72" s="1">
        <f>D31</f>
        <v>13</v>
      </c>
      <c r="C72" s="1">
        <f>D32</f>
        <v>2</v>
      </c>
      <c r="D72" s="1" t="e">
        <f>#REF!</f>
        <v>#REF!</v>
      </c>
    </row>
    <row r="73" spans="1:4" ht="15.75" customHeight="1">
      <c r="A73" s="1">
        <f>D30</f>
        <v>1</v>
      </c>
      <c r="B73" s="1">
        <f>D31</f>
        <v>13</v>
      </c>
      <c r="C73" s="1">
        <f>D32</f>
        <v>2</v>
      </c>
      <c r="D73" s="1" t="e">
        <f>#REF!</f>
        <v>#REF!</v>
      </c>
    </row>
    <row r="74" spans="1:4" ht="15.75" customHeight="1">
      <c r="A74" s="1">
        <f>D30</f>
        <v>1</v>
      </c>
      <c r="B74" s="1">
        <f>D31</f>
        <v>13</v>
      </c>
      <c r="C74" s="1">
        <f>D32</f>
        <v>2</v>
      </c>
      <c r="D74" s="1" t="e">
        <f>#REF!</f>
        <v>#REF!</v>
      </c>
    </row>
    <row r="75" spans="1:4" ht="15.75" customHeight="1">
      <c r="A75" s="1">
        <f>D30</f>
        <v>1</v>
      </c>
      <c r="B75" s="1">
        <f>D31</f>
        <v>13</v>
      </c>
      <c r="C75" s="1">
        <f>D32</f>
        <v>2</v>
      </c>
      <c r="D75" s="1" t="e">
        <f>#REF!</f>
        <v>#REF!</v>
      </c>
    </row>
    <row r="76" spans="1:4" ht="15.75" customHeight="1">
      <c r="A76" s="1">
        <f>D30</f>
        <v>1</v>
      </c>
      <c r="B76" s="1">
        <f>D31</f>
        <v>13</v>
      </c>
      <c r="C76" s="1">
        <f>D32</f>
        <v>2</v>
      </c>
      <c r="D76" s="1" t="e">
        <f>#REF!</f>
        <v>#REF!</v>
      </c>
    </row>
    <row r="77" spans="1:4" ht="15.75" customHeight="1">
      <c r="A77" s="1">
        <f>D30</f>
        <v>1</v>
      </c>
      <c r="B77" s="1">
        <f>D31</f>
        <v>13</v>
      </c>
      <c r="C77" s="1">
        <f>D32</f>
        <v>2</v>
      </c>
      <c r="D77" s="1" t="e">
        <f>#REF!</f>
        <v>#REF!</v>
      </c>
    </row>
    <row r="78" spans="1:4" ht="15.75" customHeight="1">
      <c r="A78" s="1">
        <f>D30</f>
        <v>1</v>
      </c>
      <c r="B78" s="1">
        <f>D31</f>
        <v>13</v>
      </c>
      <c r="C78" s="1">
        <f>D32</f>
        <v>2</v>
      </c>
      <c r="D78" s="1" t="e">
        <f>#REF!</f>
        <v>#REF!</v>
      </c>
    </row>
    <row r="79" spans="1:4" ht="15.75" customHeight="1">
      <c r="A79" s="1">
        <f>D30</f>
        <v>1</v>
      </c>
      <c r="B79" s="1">
        <f>D31</f>
        <v>13</v>
      </c>
      <c r="C79" s="1">
        <f>D32</f>
        <v>2</v>
      </c>
      <c r="D79" s="1" t="e">
        <f>#REF!</f>
        <v>#REF!</v>
      </c>
    </row>
    <row r="80" spans="1:4" ht="15.75" customHeight="1">
      <c r="A80" s="1">
        <f>D30</f>
        <v>1</v>
      </c>
      <c r="B80" s="1">
        <f>D31</f>
        <v>13</v>
      </c>
      <c r="C80" s="1">
        <f>D32</f>
        <v>2</v>
      </c>
      <c r="D80" s="1" t="e">
        <f>#REF!</f>
        <v>#REF!</v>
      </c>
    </row>
    <row r="81" spans="1:4" ht="15.75" customHeight="1">
      <c r="A81" s="1">
        <f>D30</f>
        <v>1</v>
      </c>
      <c r="B81" s="1">
        <f>D31</f>
        <v>13</v>
      </c>
      <c r="C81" s="1">
        <f>D32</f>
        <v>2</v>
      </c>
      <c r="D81" s="1" t="e">
        <f>#REF!</f>
        <v>#REF!</v>
      </c>
    </row>
    <row r="82" spans="1:4" ht="15.75" customHeight="1">
      <c r="A82" s="1">
        <f>D30</f>
        <v>1</v>
      </c>
      <c r="B82" s="1">
        <f>D31</f>
        <v>13</v>
      </c>
      <c r="C82" s="1">
        <f>D32</f>
        <v>2</v>
      </c>
      <c r="D82" s="1" t="e">
        <f>#REF!</f>
        <v>#REF!</v>
      </c>
    </row>
    <row r="83" spans="1:4" ht="15.75" customHeight="1">
      <c r="A83" s="1">
        <f>D30</f>
        <v>1</v>
      </c>
      <c r="B83" s="1">
        <f>D31</f>
        <v>13</v>
      </c>
      <c r="C83" s="1">
        <f>D32</f>
        <v>2</v>
      </c>
      <c r="D83" s="1" t="e">
        <f>#REF!</f>
        <v>#REF!</v>
      </c>
    </row>
    <row r="84" spans="1:4" ht="15.75" customHeight="1">
      <c r="A84" s="1">
        <f>D30</f>
        <v>1</v>
      </c>
      <c r="B84" s="1">
        <f>D31</f>
        <v>13</v>
      </c>
      <c r="C84" s="1">
        <f>D32</f>
        <v>2</v>
      </c>
      <c r="D84" s="1" t="e">
        <f>#REF!</f>
        <v>#REF!</v>
      </c>
    </row>
    <row r="85" spans="1:4" ht="15.75" customHeight="1">
      <c r="A85" s="1">
        <f>D30</f>
        <v>1</v>
      </c>
      <c r="B85" s="1">
        <f>D31</f>
        <v>13</v>
      </c>
      <c r="C85" s="1">
        <f>D32</f>
        <v>2</v>
      </c>
      <c r="D85" s="1" t="e">
        <f>#REF!</f>
        <v>#REF!</v>
      </c>
    </row>
    <row r="86" spans="1:4" ht="15.75" customHeight="1">
      <c r="A86" s="1">
        <f>D30</f>
        <v>1</v>
      </c>
      <c r="B86" s="1">
        <f>D31</f>
        <v>13</v>
      </c>
      <c r="C86" s="1">
        <f>D32</f>
        <v>2</v>
      </c>
      <c r="D86" s="1" t="e">
        <f>#REF!</f>
        <v>#REF!</v>
      </c>
    </row>
    <row r="87" spans="1:4" ht="15.75" customHeight="1">
      <c r="A87" s="1">
        <f>D30</f>
        <v>1</v>
      </c>
      <c r="B87" s="1">
        <f>D31</f>
        <v>13</v>
      </c>
      <c r="C87" s="1">
        <f>D32</f>
        <v>2</v>
      </c>
      <c r="D87" s="1" t="e">
        <f>#REF!</f>
        <v>#REF!</v>
      </c>
    </row>
    <row r="88" spans="1:4" ht="15.75" customHeight="1">
      <c r="A88" s="1">
        <f>D30</f>
        <v>1</v>
      </c>
      <c r="B88" s="1">
        <f>D31</f>
        <v>13</v>
      </c>
      <c r="C88" s="1">
        <f>D32</f>
        <v>2</v>
      </c>
      <c r="D88" s="1" t="e">
        <f>#REF!</f>
        <v>#REF!</v>
      </c>
    </row>
    <row r="89" spans="1:4" ht="15.75" customHeight="1">
      <c r="A89" s="1">
        <f>D30</f>
        <v>1</v>
      </c>
      <c r="B89" s="1">
        <f>D31</f>
        <v>13</v>
      </c>
      <c r="C89" s="1">
        <f>D32</f>
        <v>2</v>
      </c>
      <c r="D89" s="1" t="e">
        <f>#REF!</f>
        <v>#REF!</v>
      </c>
    </row>
    <row r="90" spans="1:4" ht="15.75" customHeight="1">
      <c r="A90" s="1">
        <f>D30</f>
        <v>1</v>
      </c>
      <c r="B90" s="1">
        <f>D31</f>
        <v>13</v>
      </c>
      <c r="C90" s="1">
        <f>D32</f>
        <v>2</v>
      </c>
      <c r="D90" s="1" t="e">
        <f>#REF!</f>
        <v>#REF!</v>
      </c>
    </row>
    <row r="91" spans="1:4" ht="15.75" customHeight="1">
      <c r="A91" s="1">
        <f>D30</f>
        <v>1</v>
      </c>
      <c r="B91" s="1">
        <f>D31</f>
        <v>13</v>
      </c>
      <c r="C91" s="1">
        <f>D32</f>
        <v>2</v>
      </c>
      <c r="D91" s="1" t="e">
        <f>#REF!</f>
        <v>#REF!</v>
      </c>
    </row>
    <row r="92" spans="1:4" ht="15.75" customHeight="1">
      <c r="A92" s="1">
        <f>D30</f>
        <v>1</v>
      </c>
      <c r="B92" s="1">
        <f>D31</f>
        <v>13</v>
      </c>
      <c r="C92" s="1">
        <f>D32</f>
        <v>2</v>
      </c>
      <c r="D92" s="1" t="e">
        <f>#REF!</f>
        <v>#REF!</v>
      </c>
    </row>
    <row r="93" spans="1:4" ht="15.75" customHeight="1">
      <c r="A93" s="1">
        <f>D30</f>
        <v>1</v>
      </c>
      <c r="B93" s="1">
        <f>D31</f>
        <v>13</v>
      </c>
      <c r="C93" s="1">
        <f>D32</f>
        <v>2</v>
      </c>
      <c r="D93" s="1" t="e">
        <f>#REF!</f>
        <v>#REF!</v>
      </c>
    </row>
    <row r="94" spans="1:4" ht="15.75" customHeight="1">
      <c r="A94" s="1">
        <f>D30</f>
        <v>1</v>
      </c>
      <c r="B94" s="1">
        <f>D31</f>
        <v>13</v>
      </c>
      <c r="C94" s="1">
        <f>D32</f>
        <v>2</v>
      </c>
      <c r="D94" s="1" t="e">
        <f>#REF!</f>
        <v>#REF!</v>
      </c>
    </row>
    <row r="95" spans="1:4" ht="15.75" customHeight="1">
      <c r="A95" s="1">
        <f>D30</f>
        <v>1</v>
      </c>
      <c r="B95" s="1">
        <f>D31</f>
        <v>13</v>
      </c>
      <c r="C95" s="1">
        <f>D32</f>
        <v>2</v>
      </c>
      <c r="D95" s="1" t="e">
        <f>#REF!</f>
        <v>#REF!</v>
      </c>
    </row>
    <row r="96" spans="1:4" ht="15.75" customHeight="1">
      <c r="A96" s="1">
        <f>D30</f>
        <v>1</v>
      </c>
      <c r="B96" s="1">
        <f>D31</f>
        <v>13</v>
      </c>
      <c r="C96" s="1">
        <f>D32</f>
        <v>2</v>
      </c>
      <c r="D96" s="1" t="e">
        <f>#REF!</f>
        <v>#REF!</v>
      </c>
    </row>
    <row r="97" spans="1:4" ht="15.75" customHeight="1">
      <c r="A97" s="1">
        <f>D30</f>
        <v>1</v>
      </c>
      <c r="B97" s="1">
        <f>D31</f>
        <v>13</v>
      </c>
      <c r="C97" s="1">
        <f>D32</f>
        <v>2</v>
      </c>
      <c r="D97" s="1" t="e">
        <f>#REF!</f>
        <v>#REF!</v>
      </c>
    </row>
    <row r="98" spans="1:4" ht="15.75" customHeight="1">
      <c r="A98" s="1">
        <f>D30</f>
        <v>1</v>
      </c>
      <c r="B98" s="1">
        <f>D31</f>
        <v>13</v>
      </c>
      <c r="C98" s="1">
        <f>D32</f>
        <v>2</v>
      </c>
      <c r="D98" s="1" t="e">
        <f>#REF!</f>
        <v>#REF!</v>
      </c>
    </row>
    <row r="99" spans="1:4" ht="15.75" customHeight="1">
      <c r="A99" s="1">
        <f>D30</f>
        <v>1</v>
      </c>
      <c r="B99" s="1">
        <f>D31</f>
        <v>13</v>
      </c>
      <c r="C99" s="1">
        <f>D32</f>
        <v>2</v>
      </c>
      <c r="D99" s="1" t="e">
        <f>#REF!</f>
        <v>#REF!</v>
      </c>
    </row>
    <row r="100" spans="1:4" ht="15.75" customHeight="1">
      <c r="A100" s="1">
        <f>D30</f>
        <v>1</v>
      </c>
      <c r="B100" s="1">
        <f>D31</f>
        <v>13</v>
      </c>
      <c r="C100" s="1">
        <f>D32</f>
        <v>2</v>
      </c>
      <c r="D100" s="1" t="e">
        <f>#REF!</f>
        <v>#REF!</v>
      </c>
    </row>
    <row r="101" spans="1:4" ht="15.75" customHeight="1">
      <c r="A101" s="1">
        <f>D30</f>
        <v>1</v>
      </c>
      <c r="B101" s="1">
        <f>D31</f>
        <v>13</v>
      </c>
      <c r="C101" s="1">
        <f>D32</f>
        <v>2</v>
      </c>
      <c r="D101" s="1" t="e">
        <f>#REF!</f>
        <v>#REF!</v>
      </c>
    </row>
    <row r="102" spans="1:4" ht="15.75" customHeight="1">
      <c r="A102" s="1">
        <f>D30</f>
        <v>1</v>
      </c>
      <c r="B102" s="1">
        <f>D31</f>
        <v>13</v>
      </c>
      <c r="C102" s="1">
        <f>D32</f>
        <v>2</v>
      </c>
      <c r="D102" s="1" t="e">
        <f>#REF!</f>
        <v>#REF!</v>
      </c>
    </row>
    <row r="103" spans="1:4" ht="15.75" customHeight="1">
      <c r="A103" s="1">
        <f>D30</f>
        <v>1</v>
      </c>
      <c r="B103" s="1">
        <f>D31</f>
        <v>13</v>
      </c>
      <c r="C103" s="1">
        <f>D32</f>
        <v>2</v>
      </c>
      <c r="D103" s="1" t="e">
        <f>#REF!</f>
        <v>#REF!</v>
      </c>
    </row>
    <row r="104" spans="1:4" ht="15.75" customHeight="1">
      <c r="A104" s="1">
        <f>D30</f>
        <v>1</v>
      </c>
      <c r="B104" s="1">
        <f>D31</f>
        <v>13</v>
      </c>
      <c r="C104" s="1">
        <f>D32</f>
        <v>2</v>
      </c>
      <c r="D104" s="1" t="e">
        <f>#REF!</f>
        <v>#REF!</v>
      </c>
    </row>
    <row r="105" spans="1:4" ht="15.75" customHeight="1">
      <c r="A105" s="1">
        <f>D30</f>
        <v>1</v>
      </c>
      <c r="B105" s="1">
        <f>D31</f>
        <v>13</v>
      </c>
      <c r="C105" s="1">
        <f>D32</f>
        <v>2</v>
      </c>
      <c r="D105" s="1" t="e">
        <f>#REF!</f>
        <v>#REF!</v>
      </c>
    </row>
    <row r="106" spans="1:4" ht="15.75" customHeight="1">
      <c r="A106" s="1">
        <f>D30</f>
        <v>1</v>
      </c>
      <c r="B106" s="1">
        <f>D31</f>
        <v>13</v>
      </c>
      <c r="C106" s="1">
        <f>D32</f>
        <v>2</v>
      </c>
      <c r="D106" s="1" t="e">
        <f>#REF!</f>
        <v>#REF!</v>
      </c>
    </row>
    <row r="107" spans="1:4" ht="15.75" customHeight="1">
      <c r="A107" s="1">
        <f>D30</f>
        <v>1</v>
      </c>
      <c r="B107" s="1">
        <f>D31</f>
        <v>13</v>
      </c>
    </row>
    <row r="108" spans="1:4" ht="15.75" customHeight="1"/>
    <row r="109" spans="1:4" ht="15.75" customHeight="1"/>
    <row r="110" spans="1:4" ht="15.75" customHeight="1"/>
    <row r="111" spans="1:4" ht="15.75" customHeight="1"/>
    <row r="112" spans="1:4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A1:S1"/>
    <mergeCell ref="A2:S2"/>
    <mergeCell ref="A3:S3"/>
    <mergeCell ref="A4:S4"/>
    <mergeCell ref="A5:S5"/>
    <mergeCell ref="R8:R10"/>
    <mergeCell ref="S8:S10"/>
    <mergeCell ref="J8:J10"/>
    <mergeCell ref="K8:K10"/>
    <mergeCell ref="A6:S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 (2)</vt:lpstr>
      <vt:lpstr>Зведена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37063</dc:creator>
  <cp:lastModifiedBy>SURKOV</cp:lastModifiedBy>
  <cp:lastPrinted>2022-06-17T10:11:51Z</cp:lastPrinted>
  <dcterms:created xsi:type="dcterms:W3CDTF">2006-09-28T05:33:49Z</dcterms:created>
  <dcterms:modified xsi:type="dcterms:W3CDTF">2022-09-05T10:21:14Z</dcterms:modified>
</cp:coreProperties>
</file>