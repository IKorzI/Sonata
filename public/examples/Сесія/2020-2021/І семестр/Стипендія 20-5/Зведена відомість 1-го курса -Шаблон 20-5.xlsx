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7280" windowHeight="9090" activeTab="1"/>
  </bookViews>
  <sheets>
    <sheet name="Зведена відомість" sheetId="2" r:id="rId1"/>
    <sheet name="Рейтингова відомість" sheetId="3" r:id="rId2"/>
  </sheets>
  <definedNames>
    <definedName name="_xlnm._FilterDatabase" localSheetId="1" hidden="1">'Рейтингова відомість'!$C$12:$S$17</definedName>
  </definedNames>
  <calcPr calcId="125725"/>
</workbook>
</file>

<file path=xl/calcChain.xml><?xml version="1.0" encoding="utf-8"?>
<calcChain xmlns="http://schemas.openxmlformats.org/spreadsheetml/2006/main">
  <c r="R39" i="2"/>
  <c r="R38"/>
  <c r="R11" i="3" l="1"/>
  <c r="R28"/>
  <c r="R16"/>
  <c r="R25"/>
  <c r="R15"/>
  <c r="R29"/>
  <c r="R23"/>
  <c r="R27"/>
  <c r="R13"/>
  <c r="R26"/>
  <c r="R14"/>
  <c r="R20"/>
  <c r="R18"/>
  <c r="R19"/>
  <c r="R17"/>
  <c r="R21"/>
  <c r="R12"/>
  <c r="R24"/>
  <c r="R22"/>
  <c r="R12" i="2" l="1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S26" i="3"/>
  <c r="S11"/>
  <c r="S24"/>
  <c r="S27"/>
  <c r="S29"/>
  <c r="S19"/>
  <c r="S23"/>
  <c r="S16"/>
  <c r="S20"/>
  <c r="S28"/>
  <c r="S18"/>
  <c r="S14"/>
  <c r="S17"/>
  <c r="S12"/>
  <c r="S25"/>
  <c r="S13"/>
  <c r="S15"/>
  <c r="S21"/>
  <c r="S22"/>
  <c r="R11" i="2"/>
  <c r="D41" l="1"/>
  <c r="D40"/>
  <c r="E37" l="1"/>
  <c r="F37"/>
  <c r="G37"/>
  <c r="H37"/>
  <c r="I37"/>
  <c r="J37"/>
  <c r="K37"/>
  <c r="L37"/>
  <c r="M37"/>
  <c r="N37"/>
  <c r="O37"/>
  <c r="P37"/>
  <c r="Q37"/>
  <c r="D37"/>
  <c r="R37" s="1"/>
</calcChain>
</file>

<file path=xl/sharedStrings.xml><?xml version="1.0" encoding="utf-8"?>
<sst xmlns="http://schemas.openxmlformats.org/spreadsheetml/2006/main" count="162" uniqueCount="69">
  <si>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</si>
  <si>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</si>
  <si>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</si>
  <si>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</si>
  <si>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</si>
  <si>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</si>
  <si>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</si>
  <si>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</si>
  <si>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</si>
  <si>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</si>
  <si>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</si>
  <si>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Зарубіжна література Пруднікова Я.П.</t>
  </si>
  <si>
    <t>Історія України           Левчук Т.Г.</t>
  </si>
  <si>
    <t>Географія              Наговська Т.С.</t>
  </si>
  <si>
    <t>Фізика Чикіна А.В.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</si>
  <si>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</si>
  <si>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</si>
  <si>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</si>
  <si>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</si>
  <si>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</si>
  <si>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</si>
  <si>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</si>
  <si>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</si>
  <si>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Рейтинг</t>
  </si>
  <si>
    <t xml:space="preserve">Середній бал    </t>
  </si>
  <si>
    <t xml:space="preserve">РЕЙТИНГОВА  ВІДОМІСТЬ  </t>
  </si>
  <si>
    <t>Аксененко Віталій Валерійович</t>
  </si>
  <si>
    <t>Багно Ілля Ігорович</t>
  </si>
  <si>
    <t>Бакшанський Олексій Дмитрович</t>
  </si>
  <si>
    <t>Богданов Артем Іванович</t>
  </si>
  <si>
    <t>Бородін Микола Олександрович</t>
  </si>
  <si>
    <t>Єлісєєв Володимир Валентинович</t>
  </si>
  <si>
    <t>Калуш Олександр Васильович</t>
  </si>
  <si>
    <t>Коробчук Олександр Романович</t>
  </si>
  <si>
    <t>Косинський Андрій Вікторович</t>
  </si>
  <si>
    <t>Ланко Олександра Сергіївна</t>
  </si>
  <si>
    <t>Лєтунов Віктор Олександрович</t>
  </si>
  <si>
    <t>Макаренко Мар`ян Олександрович</t>
  </si>
  <si>
    <t>Малога Максим Дмитрович</t>
  </si>
  <si>
    <t>Місяць Василь Миколайович</t>
  </si>
  <si>
    <t>Морозов Ілля Дмитрович</t>
  </si>
  <si>
    <t>Пономаренко Олександр Романович</t>
  </si>
  <si>
    <t>Прокопенко Сергій Олександрович</t>
  </si>
  <si>
    <t>Решетник Нікіта Володимирович</t>
  </si>
  <si>
    <t>Сланіна Ілля Ілліч</t>
  </si>
  <si>
    <t>Теценко Іван Русланович</t>
  </si>
  <si>
    <t>Токарчук Олександр Олександрович</t>
  </si>
  <si>
    <t>Фоменко Максим Вікторович</t>
  </si>
  <si>
    <t>Хрупало Арсеній Миколайович</t>
  </si>
  <si>
    <t>Чегурко Григорій Дмитрович</t>
  </si>
  <si>
    <t>Шоляк Іван Михайлович</t>
  </si>
  <si>
    <t>Юшкевич Андрій Олександрович</t>
  </si>
  <si>
    <t>Українська література Юрченко О.Б</t>
  </si>
  <si>
    <t>Всесвітня історія                  Лисяний А. О</t>
  </si>
  <si>
    <t>Математика                            Чернякова Ю.Г</t>
  </si>
  <si>
    <t>Хімія Леонова Д.І</t>
  </si>
  <si>
    <t>Інформатика                Охрімчук В.С</t>
  </si>
  <si>
    <t>Українська мова Юрченко О.Б</t>
  </si>
  <si>
    <t>Біологія Вдовіченко О.В</t>
  </si>
  <si>
    <t>Фізичне вихованки  Мунтянов Л.Б</t>
  </si>
  <si>
    <t>Іноземна мова                 Апрелєнко О.А</t>
  </si>
  <si>
    <t>ЗВСтельмах Н.Ю.</t>
  </si>
  <si>
    <t>Група 20-5 курс І</t>
  </si>
  <si>
    <t>Успішності студентів спеціальності 151 "Автоматизація та комп'ютерно - інтегровані технологїї "</t>
  </si>
  <si>
    <t>В.С. ОХРІМЧУК</t>
  </si>
  <si>
    <t>Б</t>
  </si>
  <si>
    <t>К</t>
  </si>
  <si>
    <t>О.С. БОНДАРЕНКО</t>
  </si>
  <si>
    <t>Кількість контрактників</t>
  </si>
</sst>
</file>

<file path=xl/styles.xml><?xml version="1.0" encoding="utf-8"?>
<styleSheet xmlns="http://schemas.openxmlformats.org/spreadsheetml/2006/main">
  <numFmts count="1">
    <numFmt numFmtId="164" formatCode="0.0"/>
  </numFmts>
  <fonts count="22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245">
    <xf numFmtId="0" fontId="0" fillId="0" borderId="0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6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0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7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</cellStyleXfs>
  <cellXfs count="207">
    <xf numFmtId="0" fontId="0" fillId="0" borderId="0" xfId="0" applyFont="1" applyAlignment="1"/>
    <xf numFmtId="0" fontId="2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24" xfId="0" applyFont="1" applyFill="1" applyBorder="1" applyAlignment="1">
      <alignment horizontal="center" vertical="center" wrapText="1"/>
    </xf>
    <xf numFmtId="164" fontId="11" fillId="3" borderId="15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2" fontId="4" fillId="4" borderId="18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164" fontId="4" fillId="4" borderId="18" xfId="120" applyNumberFormat="1" applyFont="1" applyFill="1" applyBorder="1" applyAlignment="1">
      <alignment horizontal="center" vertical="center"/>
    </xf>
    <xf numFmtId="0" fontId="4" fillId="4" borderId="29" xfId="79" applyFont="1" applyFill="1" applyBorder="1" applyAlignment="1">
      <alignment horizontal="center" vertical="center"/>
    </xf>
    <xf numFmtId="2" fontId="4" fillId="4" borderId="26" xfId="79" applyNumberFormat="1" applyFont="1" applyFill="1" applyBorder="1" applyAlignment="1">
      <alignment horizontal="center" vertical="center"/>
    </xf>
    <xf numFmtId="164" fontId="11" fillId="0" borderId="15" xfId="0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31" xfId="16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5" xfId="211" applyFont="1" applyBorder="1" applyAlignment="1">
      <alignment horizontal="center" vertical="center" wrapText="1"/>
    </xf>
    <xf numFmtId="0" fontId="8" fillId="0" borderId="31" xfId="227" applyFont="1" applyBorder="1" applyAlignment="1">
      <alignment horizontal="center" vertical="center" wrapText="1"/>
    </xf>
    <xf numFmtId="0" fontId="8" fillId="0" borderId="25" xfId="18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164" fontId="11" fillId="3" borderId="16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0" xfId="204" applyFont="1" applyBorder="1" applyAlignment="1">
      <alignment horizontal="center"/>
    </xf>
    <xf numFmtId="0" fontId="13" fillId="0" borderId="33" xfId="0" applyFont="1" applyBorder="1" applyAlignment="1">
      <alignment horizontal="center" wrapText="1"/>
    </xf>
    <xf numFmtId="0" fontId="9" fillId="4" borderId="33" xfId="0" applyFont="1" applyFill="1" applyBorder="1" applyAlignment="1">
      <alignment horizontal="center" vertical="center"/>
    </xf>
    <xf numFmtId="0" fontId="13" fillId="0" borderId="31" xfId="191" applyFont="1" applyBorder="1" applyAlignment="1">
      <alignment horizontal="center" wrapText="1"/>
    </xf>
    <xf numFmtId="0" fontId="4" fillId="4" borderId="31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 wrapText="1"/>
    </xf>
    <xf numFmtId="0" fontId="18" fillId="5" borderId="34" xfId="167" applyFont="1" applyFill="1" applyBorder="1" applyAlignment="1">
      <alignment horizontal="center" vertical="center"/>
    </xf>
    <xf numFmtId="164" fontId="11" fillId="0" borderId="13" xfId="0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/>
    </xf>
    <xf numFmtId="0" fontId="8" fillId="0" borderId="33" xfId="16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9" fillId="0" borderId="0" xfId="0" applyFont="1" applyAlignment="1"/>
    <xf numFmtId="0" fontId="8" fillId="0" borderId="38" xfId="0" applyFont="1" applyBorder="1" applyAlignment="1">
      <alignment horizontal="center" vertical="center" wrapText="1"/>
    </xf>
    <xf numFmtId="0" fontId="8" fillId="0" borderId="38" xfId="211" applyFont="1" applyBorder="1" applyAlignment="1">
      <alignment horizontal="center" vertical="center" wrapText="1"/>
    </xf>
    <xf numFmtId="0" fontId="8" fillId="0" borderId="38" xfId="227" applyFont="1" applyBorder="1" applyAlignment="1">
      <alignment horizontal="center" vertical="center" wrapText="1"/>
    </xf>
    <xf numFmtId="0" fontId="8" fillId="0" borderId="38" xfId="16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42" xfId="0" applyFont="1" applyBorder="1" applyAlignment="1">
      <alignment vertical="center" wrapText="1"/>
    </xf>
    <xf numFmtId="0" fontId="8" fillId="6" borderId="25" xfId="211" applyFont="1" applyFill="1" applyBorder="1" applyAlignment="1">
      <alignment horizontal="center" vertical="center" wrapText="1"/>
    </xf>
    <xf numFmtId="0" fontId="8" fillId="6" borderId="31" xfId="16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13" fillId="0" borderId="53" xfId="0" applyFont="1" applyBorder="1" applyAlignment="1">
      <alignment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53" xfId="211" applyFont="1" applyBorder="1" applyAlignment="1">
      <alignment horizontal="center" vertical="center" wrapText="1"/>
    </xf>
    <xf numFmtId="0" fontId="8" fillId="0" borderId="53" xfId="227" applyFont="1" applyBorder="1" applyAlignment="1">
      <alignment horizontal="center" vertical="center" wrapText="1"/>
    </xf>
    <xf numFmtId="0" fontId="8" fillId="0" borderId="53" xfId="16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8" fillId="0" borderId="59" xfId="180" applyFont="1" applyBorder="1" applyAlignment="1">
      <alignment horizontal="center"/>
    </xf>
    <xf numFmtId="0" fontId="8" fillId="0" borderId="60" xfId="204" applyFont="1" applyBorder="1" applyAlignment="1">
      <alignment horizontal="center"/>
    </xf>
    <xf numFmtId="0" fontId="13" fillId="0" borderId="60" xfId="0" applyFont="1" applyBorder="1" applyAlignment="1">
      <alignment horizontal="center" wrapText="1"/>
    </xf>
    <xf numFmtId="0" fontId="13" fillId="0" borderId="59" xfId="191" applyFont="1" applyBorder="1" applyAlignment="1">
      <alignment horizontal="center" wrapText="1"/>
    </xf>
    <xf numFmtId="0" fontId="13" fillId="0" borderId="59" xfId="0" applyFont="1" applyBorder="1" applyAlignment="1">
      <alignment horizontal="center" vertical="center" wrapText="1"/>
    </xf>
    <xf numFmtId="164" fontId="11" fillId="0" borderId="5" xfId="0" applyNumberFormat="1" applyFont="1" applyFill="1" applyBorder="1" applyAlignment="1">
      <alignment horizontal="center" vertical="center"/>
    </xf>
    <xf numFmtId="164" fontId="11" fillId="0" borderId="8" xfId="0" applyNumberFormat="1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 wrapText="1"/>
    </xf>
    <xf numFmtId="0" fontId="13" fillId="0" borderId="61" xfId="0" applyFont="1" applyBorder="1" applyAlignment="1">
      <alignment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61" xfId="211" applyFont="1" applyBorder="1" applyAlignment="1">
      <alignment horizontal="center" vertical="center" wrapText="1"/>
    </xf>
    <xf numFmtId="0" fontId="8" fillId="0" borderId="61" xfId="227" applyFont="1" applyBorder="1" applyAlignment="1">
      <alignment horizontal="center" vertical="center" wrapText="1"/>
    </xf>
    <xf numFmtId="0" fontId="8" fillId="0" borderId="61" xfId="160" applyFont="1" applyBorder="1" applyAlignment="1">
      <alignment horizontal="center" vertical="center" wrapText="1"/>
    </xf>
    <xf numFmtId="0" fontId="8" fillId="0" borderId="61" xfId="180" applyFont="1" applyBorder="1" applyAlignment="1">
      <alignment horizontal="center"/>
    </xf>
    <xf numFmtId="0" fontId="8" fillId="0" borderId="61" xfId="204" applyFont="1" applyBorder="1" applyAlignment="1">
      <alignment horizontal="center"/>
    </xf>
    <xf numFmtId="0" fontId="13" fillId="0" borderId="61" xfId="0" applyFont="1" applyBorder="1" applyAlignment="1">
      <alignment horizontal="center" wrapText="1"/>
    </xf>
    <xf numFmtId="0" fontId="13" fillId="0" borderId="61" xfId="191" applyFont="1" applyBorder="1" applyAlignment="1">
      <alignment horizontal="center" wrapText="1"/>
    </xf>
    <xf numFmtId="0" fontId="8" fillId="0" borderId="61" xfId="0" applyFont="1" applyFill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164" fontId="11" fillId="0" borderId="61" xfId="0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 wrapText="1"/>
    </xf>
    <xf numFmtId="0" fontId="13" fillId="8" borderId="31" xfId="0" applyFont="1" applyFill="1" applyBorder="1" applyAlignment="1">
      <alignment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8" fillId="8" borderId="31" xfId="211" applyFont="1" applyFill="1" applyBorder="1" applyAlignment="1">
      <alignment horizontal="center" vertical="center" wrapText="1"/>
    </xf>
    <xf numFmtId="0" fontId="8" fillId="8" borderId="31" xfId="227" applyFont="1" applyFill="1" applyBorder="1" applyAlignment="1">
      <alignment horizontal="center" vertical="center" wrapText="1"/>
    </xf>
    <xf numFmtId="0" fontId="8" fillId="8" borderId="31" xfId="160" applyFont="1" applyFill="1" applyBorder="1" applyAlignment="1">
      <alignment horizontal="center" vertical="center" wrapText="1"/>
    </xf>
    <xf numFmtId="0" fontId="8" fillId="8" borderId="31" xfId="180" applyFont="1" applyFill="1" applyBorder="1" applyAlignment="1">
      <alignment horizontal="center"/>
    </xf>
    <xf numFmtId="0" fontId="8" fillId="8" borderId="31" xfId="204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 wrapText="1"/>
    </xf>
    <xf numFmtId="0" fontId="13" fillId="8" borderId="31" xfId="191" applyFont="1" applyFill="1" applyBorder="1" applyAlignment="1">
      <alignment horizontal="center" wrapText="1"/>
    </xf>
    <xf numFmtId="0" fontId="13" fillId="8" borderId="31" xfId="0" applyFont="1" applyFill="1" applyBorder="1" applyAlignment="1">
      <alignment horizontal="center" vertical="center" wrapText="1"/>
    </xf>
    <xf numFmtId="164" fontId="11" fillId="8" borderId="31" xfId="0" applyNumberFormat="1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13" fillId="8" borderId="41" xfId="0" applyFont="1" applyFill="1" applyBorder="1" applyAlignment="1">
      <alignment vertical="center" wrapText="1"/>
    </xf>
    <xf numFmtId="0" fontId="8" fillId="8" borderId="54" xfId="0" applyFont="1" applyFill="1" applyBorder="1" applyAlignment="1">
      <alignment horizontal="center" vertical="center" wrapText="1"/>
    </xf>
    <xf numFmtId="0" fontId="8" fillId="8" borderId="41" xfId="211" applyFont="1" applyFill="1" applyBorder="1" applyAlignment="1">
      <alignment horizontal="center" vertical="center" wrapText="1"/>
    </xf>
    <xf numFmtId="0" fontId="8" fillId="8" borderId="41" xfId="227" applyFont="1" applyFill="1" applyBorder="1" applyAlignment="1">
      <alignment horizontal="center" vertical="center" wrapText="1"/>
    </xf>
    <xf numFmtId="0" fontId="8" fillId="8" borderId="55" xfId="160" applyFont="1" applyFill="1" applyBorder="1" applyAlignment="1">
      <alignment horizontal="center" vertical="center" wrapText="1"/>
    </xf>
    <xf numFmtId="0" fontId="8" fillId="8" borderId="41" xfId="0" applyFont="1" applyFill="1" applyBorder="1" applyAlignment="1">
      <alignment horizontal="center" vertical="center" wrapText="1"/>
    </xf>
    <xf numFmtId="0" fontId="8" fillId="8" borderId="56" xfId="0" applyFont="1" applyFill="1" applyBorder="1" applyAlignment="1">
      <alignment horizontal="center" vertical="center" wrapText="1"/>
    </xf>
    <xf numFmtId="0" fontId="8" fillId="8" borderId="41" xfId="180" applyFont="1" applyFill="1" applyBorder="1" applyAlignment="1">
      <alignment horizontal="center"/>
    </xf>
    <xf numFmtId="0" fontId="8" fillId="8" borderId="55" xfId="204" applyFont="1" applyFill="1" applyBorder="1" applyAlignment="1">
      <alignment horizontal="center"/>
    </xf>
    <xf numFmtId="0" fontId="13" fillId="8" borderId="55" xfId="0" applyFont="1" applyFill="1" applyBorder="1" applyAlignment="1">
      <alignment horizontal="center" wrapText="1"/>
    </xf>
    <xf numFmtId="0" fontId="13" fillId="8" borderId="41" xfId="191" applyFont="1" applyFill="1" applyBorder="1" applyAlignment="1">
      <alignment horizontal="center" wrapText="1"/>
    </xf>
    <xf numFmtId="0" fontId="8" fillId="8" borderId="52" xfId="0" applyFont="1" applyFill="1" applyBorder="1" applyAlignment="1">
      <alignment horizontal="center" vertical="center" wrapText="1"/>
    </xf>
    <xf numFmtId="0" fontId="13" fillId="8" borderId="41" xfId="0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/>
    </xf>
    <xf numFmtId="164" fontId="11" fillId="8" borderId="13" xfId="0" applyNumberFormat="1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vertical="center" wrapText="1"/>
    </xf>
    <xf numFmtId="0" fontId="8" fillId="8" borderId="42" xfId="0" applyFont="1" applyFill="1" applyBorder="1" applyAlignment="1">
      <alignment horizontal="center" vertical="center" wrapText="1"/>
    </xf>
    <xf numFmtId="0" fontId="8" fillId="8" borderId="25" xfId="211" applyFont="1" applyFill="1" applyBorder="1" applyAlignment="1">
      <alignment horizontal="center" vertical="center" wrapText="1"/>
    </xf>
    <xf numFmtId="0" fontId="8" fillId="8" borderId="33" xfId="160" applyFont="1" applyFill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 wrapText="1"/>
    </xf>
    <xf numFmtId="0" fontId="8" fillId="8" borderId="37" xfId="0" applyFont="1" applyFill="1" applyBorder="1" applyAlignment="1">
      <alignment horizontal="center" vertical="center" wrapText="1"/>
    </xf>
    <xf numFmtId="0" fontId="8" fillId="8" borderId="25" xfId="180" applyFont="1" applyFill="1" applyBorder="1" applyAlignment="1">
      <alignment horizontal="center"/>
    </xf>
    <xf numFmtId="0" fontId="8" fillId="8" borderId="30" xfId="204" applyFont="1" applyFill="1" applyBorder="1" applyAlignment="1">
      <alignment horizontal="center"/>
    </xf>
    <xf numFmtId="0" fontId="13" fillId="8" borderId="33" xfId="0" applyFont="1" applyFill="1" applyBorder="1" applyAlignment="1">
      <alignment horizontal="center" wrapText="1"/>
    </xf>
    <xf numFmtId="0" fontId="8" fillId="8" borderId="34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2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4" fillId="0" borderId="7" xfId="0" applyFont="1" applyBorder="1" applyAlignment="1">
      <alignment horizontal="center" textRotation="90" wrapText="1"/>
    </xf>
    <xf numFmtId="0" fontId="5" fillId="0" borderId="7" xfId="0" applyFont="1" applyBorder="1"/>
    <xf numFmtId="0" fontId="5" fillId="0" borderId="12" xfId="0" applyFont="1" applyBorder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10" xfId="0" applyFont="1" applyBorder="1"/>
    <xf numFmtId="0" fontId="8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4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25" xfId="0" applyFont="1" applyBorder="1" applyAlignment="1">
      <alignment horizontal="center" textRotation="90" wrapText="1"/>
    </xf>
    <xf numFmtId="0" fontId="5" fillId="0" borderId="25" xfId="0" applyFont="1" applyBorder="1"/>
    <xf numFmtId="0" fontId="6" fillId="2" borderId="9" xfId="0" applyFont="1" applyFill="1" applyBorder="1" applyAlignment="1">
      <alignment horizontal="center" vertical="center" textRotation="90" wrapText="1"/>
    </xf>
    <xf numFmtId="0" fontId="5" fillId="0" borderId="9" xfId="0" applyFont="1" applyBorder="1"/>
    <xf numFmtId="0" fontId="5" fillId="0" borderId="14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1" xfId="0" applyFont="1" applyBorder="1"/>
    <xf numFmtId="0" fontId="8" fillId="0" borderId="21" xfId="0" applyFont="1" applyBorder="1" applyAlignment="1">
      <alignment horizontal="center" textRotation="90" wrapText="1"/>
    </xf>
    <xf numFmtId="0" fontId="5" fillId="0" borderId="36" xfId="0" applyFont="1" applyBorder="1"/>
    <xf numFmtId="0" fontId="5" fillId="0" borderId="16" xfId="0" applyFont="1" applyBorder="1"/>
    <xf numFmtId="0" fontId="4" fillId="0" borderId="23" xfId="0" applyFont="1" applyBorder="1" applyAlignment="1">
      <alignment horizontal="center" textRotation="90" wrapText="1"/>
    </xf>
    <xf numFmtId="0" fontId="5" fillId="0" borderId="23" xfId="0" applyFont="1" applyBorder="1"/>
    <xf numFmtId="0" fontId="5" fillId="0" borderId="17" xfId="0" applyFont="1" applyBorder="1"/>
    <xf numFmtId="0" fontId="4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textRotation="90" wrapText="1"/>
    </xf>
    <xf numFmtId="0" fontId="5" fillId="0" borderId="31" xfId="0" applyFont="1" applyBorder="1"/>
    <xf numFmtId="0" fontId="5" fillId="0" borderId="53" xfId="0" applyFont="1" applyBorder="1"/>
    <xf numFmtId="0" fontId="4" fillId="0" borderId="20" xfId="0" applyFont="1" applyBorder="1" applyAlignment="1">
      <alignment horizontal="center" textRotation="90" wrapText="1"/>
    </xf>
    <xf numFmtId="0" fontId="4" fillId="0" borderId="48" xfId="0" applyFont="1" applyBorder="1" applyAlignment="1">
      <alignment horizontal="center" textRotation="90" wrapText="1"/>
    </xf>
    <xf numFmtId="0" fontId="5" fillId="0" borderId="49" xfId="0" applyFont="1" applyBorder="1"/>
    <xf numFmtId="0" fontId="4" fillId="0" borderId="47" xfId="0" applyFont="1" applyBorder="1" applyAlignment="1">
      <alignment horizontal="center" textRotation="90" wrapText="1"/>
    </xf>
    <xf numFmtId="0" fontId="4" fillId="0" borderId="50" xfId="0" applyFont="1" applyBorder="1" applyAlignment="1">
      <alignment horizontal="center" textRotation="90" wrapText="1"/>
    </xf>
    <xf numFmtId="0" fontId="5" fillId="0" borderId="51" xfId="0" applyFont="1" applyBorder="1"/>
    <xf numFmtId="0" fontId="4" fillId="0" borderId="45" xfId="0" applyFont="1" applyBorder="1" applyAlignment="1">
      <alignment horizontal="center" textRotation="90" wrapText="1"/>
    </xf>
    <xf numFmtId="0" fontId="5" fillId="0" borderId="46" xfId="0" applyFont="1" applyBorder="1"/>
    <xf numFmtId="0" fontId="20" fillId="2" borderId="39" xfId="0" applyFont="1" applyFill="1" applyBorder="1" applyAlignment="1">
      <alignment horizontal="center" vertical="center" textRotation="90" wrapText="1"/>
    </xf>
    <xf numFmtId="0" fontId="6" fillId="2" borderId="40" xfId="0" applyFont="1" applyFill="1" applyBorder="1" applyAlignment="1">
      <alignment horizontal="center" vertical="center" textRotation="90" wrapText="1"/>
    </xf>
    <xf numFmtId="0" fontId="20" fillId="0" borderId="38" xfId="0" applyFont="1" applyBorder="1" applyAlignment="1">
      <alignment horizontal="center" vertical="center" textRotation="90" wrapText="1"/>
    </xf>
    <xf numFmtId="0" fontId="20" fillId="0" borderId="32" xfId="0" applyFont="1" applyBorder="1" applyAlignment="1">
      <alignment horizontal="center" vertical="center" textRotation="90" wrapText="1"/>
    </xf>
    <xf numFmtId="164" fontId="11" fillId="3" borderId="5" xfId="0" applyNumberFormat="1" applyFont="1" applyFill="1" applyBorder="1" applyAlignment="1">
      <alignment horizontal="center" vertical="center"/>
    </xf>
    <xf numFmtId="0" fontId="4" fillId="4" borderId="62" xfId="79" applyFont="1" applyFill="1" applyBorder="1" applyAlignment="1">
      <alignment horizontal="center" vertical="center"/>
    </xf>
    <xf numFmtId="0" fontId="4" fillId="4" borderId="63" xfId="79" applyFont="1" applyFill="1" applyBorder="1" applyAlignment="1">
      <alignment horizontal="center" vertical="center"/>
    </xf>
    <xf numFmtId="164" fontId="8" fillId="4" borderId="55" xfId="0" applyNumberFormat="1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18" fillId="5" borderId="23" xfId="167" applyFont="1" applyFill="1" applyBorder="1" applyAlignment="1">
      <alignment horizontal="center" vertical="center"/>
    </xf>
    <xf numFmtId="164" fontId="8" fillId="4" borderId="41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64" fontId="11" fillId="3" borderId="61" xfId="0" applyNumberFormat="1" applyFont="1" applyFill="1" applyBorder="1" applyAlignment="1">
      <alignment horizontal="center" vertical="center"/>
    </xf>
    <xf numFmtId="164" fontId="12" fillId="3" borderId="61" xfId="0" applyNumberFormat="1" applyFont="1" applyFill="1" applyBorder="1" applyAlignment="1">
      <alignment horizontal="center" vertical="center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opLeftCell="A25" zoomScale="73" zoomScaleNormal="73" workbookViewId="0">
      <selection activeCell="J42" sqref="J42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48" t="s">
        <v>15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"/>
      <c r="Q1" s="1"/>
      <c r="R1" s="1"/>
    </row>
    <row r="2" spans="1:18" ht="15" customHeight="1">
      <c r="A2" s="148" t="s">
        <v>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"/>
      <c r="Q2" s="1"/>
      <c r="R2" s="1"/>
    </row>
    <row r="3" spans="1:18" ht="15" customHeight="1">
      <c r="A3" s="150" t="s">
        <v>1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"/>
      <c r="Q3" s="1"/>
      <c r="R3" s="1"/>
    </row>
    <row r="4" spans="1:18" ht="15" customHeight="1">
      <c r="A4" s="148" t="s">
        <v>63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"/>
      <c r="Q4" s="1"/>
      <c r="R4" s="1"/>
    </row>
    <row r="5" spans="1:18" ht="15" customHeight="1">
      <c r="A5" s="148" t="s">
        <v>16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"/>
      <c r="Q5" s="1"/>
      <c r="R5" s="1"/>
    </row>
    <row r="6" spans="1:18" ht="15" customHeight="1">
      <c r="A6" s="148" t="s">
        <v>62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"/>
      <c r="Q6" s="1"/>
      <c r="R6" s="1"/>
    </row>
    <row r="7" spans="1:18" ht="15" customHeight="1">
      <c r="A7" s="151" t="s">
        <v>2</v>
      </c>
      <c r="B7" s="152" t="s">
        <v>3</v>
      </c>
      <c r="C7" s="152" t="s">
        <v>4</v>
      </c>
      <c r="D7" s="153" t="s">
        <v>17</v>
      </c>
      <c r="E7" s="154"/>
      <c r="F7" s="154"/>
      <c r="G7" s="154"/>
      <c r="H7" s="155"/>
      <c r="I7" s="154"/>
      <c r="J7" s="154"/>
      <c r="K7" s="154"/>
      <c r="L7" s="154"/>
      <c r="M7" s="154"/>
      <c r="N7" s="154"/>
      <c r="O7" s="154"/>
      <c r="P7" s="154"/>
      <c r="Q7" s="155"/>
      <c r="R7" s="156"/>
    </row>
    <row r="8" spans="1:18" ht="15" customHeight="1">
      <c r="A8" s="145"/>
      <c r="B8" s="145"/>
      <c r="C8" s="145"/>
      <c r="D8" s="157" t="s">
        <v>52</v>
      </c>
      <c r="E8" s="144" t="s">
        <v>53</v>
      </c>
      <c r="F8" s="144" t="s">
        <v>54</v>
      </c>
      <c r="G8" s="168" t="s">
        <v>14</v>
      </c>
      <c r="H8" s="158" t="s">
        <v>55</v>
      </c>
      <c r="I8" s="163" t="s">
        <v>56</v>
      </c>
      <c r="J8" s="165" t="s">
        <v>57</v>
      </c>
      <c r="K8" s="141" t="s">
        <v>11</v>
      </c>
      <c r="L8" s="144" t="s">
        <v>58</v>
      </c>
      <c r="M8" s="144" t="s">
        <v>59</v>
      </c>
      <c r="N8" s="147" t="s">
        <v>60</v>
      </c>
      <c r="O8" s="144" t="s">
        <v>61</v>
      </c>
      <c r="P8" s="171" t="s">
        <v>12</v>
      </c>
      <c r="Q8" s="158" t="s">
        <v>13</v>
      </c>
      <c r="R8" s="160" t="s">
        <v>5</v>
      </c>
    </row>
    <row r="9" spans="1:18" ht="15" customHeight="1">
      <c r="A9" s="145"/>
      <c r="B9" s="145"/>
      <c r="C9" s="145"/>
      <c r="D9" s="145"/>
      <c r="E9" s="145"/>
      <c r="F9" s="145"/>
      <c r="G9" s="169"/>
      <c r="H9" s="159"/>
      <c r="I9" s="164"/>
      <c r="J9" s="166"/>
      <c r="K9" s="142"/>
      <c r="L9" s="145"/>
      <c r="M9" s="145"/>
      <c r="N9" s="145"/>
      <c r="O9" s="145"/>
      <c r="P9" s="172"/>
      <c r="Q9" s="159"/>
      <c r="R9" s="161"/>
    </row>
    <row r="10" spans="1:18" ht="76.5" customHeight="1">
      <c r="A10" s="146"/>
      <c r="B10" s="146"/>
      <c r="C10" s="145"/>
      <c r="D10" s="146"/>
      <c r="E10" s="146"/>
      <c r="F10" s="146"/>
      <c r="G10" s="170"/>
      <c r="H10" s="159"/>
      <c r="I10" s="164"/>
      <c r="J10" s="167"/>
      <c r="K10" s="143"/>
      <c r="L10" s="146"/>
      <c r="M10" s="146"/>
      <c r="N10" s="145"/>
      <c r="O10" s="145"/>
      <c r="P10" s="173"/>
      <c r="Q10" s="159"/>
      <c r="R10" s="162"/>
    </row>
    <row r="11" spans="1:18" ht="15" customHeight="1">
      <c r="A11" s="31" t="s">
        <v>65</v>
      </c>
      <c r="B11" s="48">
        <v>1</v>
      </c>
      <c r="C11" s="61" t="s">
        <v>26</v>
      </c>
      <c r="D11" s="58">
        <v>7</v>
      </c>
      <c r="E11" s="27">
        <v>9</v>
      </c>
      <c r="F11" s="28">
        <v>6</v>
      </c>
      <c r="G11" s="46">
        <v>7</v>
      </c>
      <c r="H11" s="18">
        <v>8</v>
      </c>
      <c r="I11" s="47">
        <v>7</v>
      </c>
      <c r="J11" s="18">
        <v>7</v>
      </c>
      <c r="K11" s="18">
        <v>6</v>
      </c>
      <c r="L11" s="29">
        <v>7</v>
      </c>
      <c r="M11" s="35">
        <v>11</v>
      </c>
      <c r="N11" s="37">
        <v>8</v>
      </c>
      <c r="O11" s="39">
        <v>8</v>
      </c>
      <c r="P11" s="41">
        <v>8</v>
      </c>
      <c r="Q11" s="18">
        <v>8</v>
      </c>
      <c r="R11" s="12">
        <f>AVERAGE(D11:Q11)</f>
        <v>7.6428571428571432</v>
      </c>
    </row>
    <row r="12" spans="1:18" ht="15" customHeight="1">
      <c r="A12" s="49" t="s">
        <v>65</v>
      </c>
      <c r="B12" s="49">
        <v>2</v>
      </c>
      <c r="C12" s="62" t="s">
        <v>27</v>
      </c>
      <c r="D12" s="58">
        <v>6</v>
      </c>
      <c r="E12" s="27">
        <v>10</v>
      </c>
      <c r="F12" s="28">
        <v>7</v>
      </c>
      <c r="G12" s="46">
        <v>7</v>
      </c>
      <c r="H12" s="18">
        <v>7</v>
      </c>
      <c r="I12" s="47">
        <v>8</v>
      </c>
      <c r="J12" s="18">
        <v>5</v>
      </c>
      <c r="K12" s="18">
        <v>9</v>
      </c>
      <c r="L12" s="29">
        <v>7</v>
      </c>
      <c r="M12" s="36">
        <v>9</v>
      </c>
      <c r="N12" s="37">
        <v>7</v>
      </c>
      <c r="O12" s="39">
        <v>8</v>
      </c>
      <c r="P12" s="41">
        <v>8</v>
      </c>
      <c r="Q12" s="44">
        <v>7</v>
      </c>
      <c r="R12" s="12">
        <f t="shared" ref="R12:R36" si="0">AVERAGE(D12:Q12)</f>
        <v>7.5</v>
      </c>
    </row>
    <row r="13" spans="1:18" ht="15" customHeight="1">
      <c r="A13" s="49" t="s">
        <v>65</v>
      </c>
      <c r="B13" s="49">
        <v>3</v>
      </c>
      <c r="C13" s="62" t="s">
        <v>28</v>
      </c>
      <c r="D13" s="58">
        <v>9</v>
      </c>
      <c r="E13" s="27">
        <v>10</v>
      </c>
      <c r="F13" s="28">
        <v>10</v>
      </c>
      <c r="G13" s="25">
        <v>10</v>
      </c>
      <c r="H13" s="26">
        <v>11</v>
      </c>
      <c r="I13" s="23">
        <v>11</v>
      </c>
      <c r="J13" s="18">
        <v>9</v>
      </c>
      <c r="K13" s="18">
        <v>10</v>
      </c>
      <c r="L13" s="29">
        <v>10</v>
      </c>
      <c r="M13" s="36">
        <v>11</v>
      </c>
      <c r="N13" s="37">
        <v>11</v>
      </c>
      <c r="O13" s="39">
        <v>10</v>
      </c>
      <c r="P13" s="41">
        <v>9</v>
      </c>
      <c r="Q13" s="44">
        <v>10</v>
      </c>
      <c r="R13" s="12">
        <f t="shared" si="0"/>
        <v>10.071428571428571</v>
      </c>
    </row>
    <row r="14" spans="1:18" ht="15" customHeight="1">
      <c r="A14" s="49" t="s">
        <v>66</v>
      </c>
      <c r="B14" s="49">
        <v>4</v>
      </c>
      <c r="C14" s="62" t="s">
        <v>29</v>
      </c>
      <c r="D14" s="58">
        <v>5</v>
      </c>
      <c r="E14" s="63">
        <v>4</v>
      </c>
      <c r="F14" s="28">
        <v>4</v>
      </c>
      <c r="G14" s="64">
        <v>4</v>
      </c>
      <c r="H14" s="14">
        <v>4</v>
      </c>
      <c r="I14" s="23">
        <v>4</v>
      </c>
      <c r="J14" s="18">
        <v>4</v>
      </c>
      <c r="K14" s="18">
        <v>4</v>
      </c>
      <c r="L14" s="29">
        <v>4</v>
      </c>
      <c r="M14" s="36">
        <v>9</v>
      </c>
      <c r="N14" s="37">
        <v>4</v>
      </c>
      <c r="O14" s="39">
        <v>4</v>
      </c>
      <c r="P14" s="41">
        <v>4</v>
      </c>
      <c r="Q14" s="44">
        <v>4</v>
      </c>
      <c r="R14" s="12">
        <f t="shared" si="0"/>
        <v>4.4285714285714288</v>
      </c>
    </row>
    <row r="15" spans="1:18" ht="15" customHeight="1">
      <c r="A15" s="49" t="s">
        <v>66</v>
      </c>
      <c r="B15" s="49">
        <v>5</v>
      </c>
      <c r="C15" s="62" t="s">
        <v>30</v>
      </c>
      <c r="D15" s="58">
        <v>6</v>
      </c>
      <c r="E15" s="27">
        <v>7</v>
      </c>
      <c r="F15" s="28">
        <v>4</v>
      </c>
      <c r="G15" s="25">
        <v>4</v>
      </c>
      <c r="H15" s="14">
        <v>5</v>
      </c>
      <c r="I15" s="23">
        <v>5</v>
      </c>
      <c r="J15" s="18">
        <v>5</v>
      </c>
      <c r="K15" s="18">
        <v>7</v>
      </c>
      <c r="L15" s="29">
        <v>4</v>
      </c>
      <c r="M15" s="36">
        <v>8</v>
      </c>
      <c r="N15" s="37">
        <v>4</v>
      </c>
      <c r="O15" s="39">
        <v>6</v>
      </c>
      <c r="P15" s="41">
        <v>4</v>
      </c>
      <c r="Q15" s="44">
        <v>7</v>
      </c>
      <c r="R15" s="12">
        <f t="shared" si="0"/>
        <v>5.4285714285714288</v>
      </c>
    </row>
    <row r="16" spans="1:18" ht="15" customHeight="1">
      <c r="A16" s="49" t="s">
        <v>65</v>
      </c>
      <c r="B16" s="49">
        <v>6</v>
      </c>
      <c r="C16" s="62" t="s">
        <v>31</v>
      </c>
      <c r="D16" s="58">
        <v>7</v>
      </c>
      <c r="E16" s="27">
        <v>10</v>
      </c>
      <c r="F16" s="28">
        <v>6</v>
      </c>
      <c r="G16" s="25">
        <v>6</v>
      </c>
      <c r="H16" s="14">
        <v>7</v>
      </c>
      <c r="I16" s="23">
        <v>11</v>
      </c>
      <c r="J16" s="18">
        <v>6</v>
      </c>
      <c r="K16" s="18">
        <v>6</v>
      </c>
      <c r="L16" s="29">
        <v>6</v>
      </c>
      <c r="M16" s="36">
        <v>11</v>
      </c>
      <c r="N16" s="37">
        <v>8</v>
      </c>
      <c r="O16" s="39">
        <v>9</v>
      </c>
      <c r="P16" s="41">
        <v>7</v>
      </c>
      <c r="Q16" s="44">
        <v>8</v>
      </c>
      <c r="R16" s="12">
        <f t="shared" si="0"/>
        <v>7.7142857142857144</v>
      </c>
    </row>
    <row r="17" spans="1:18" ht="15" customHeight="1">
      <c r="A17" s="49" t="s">
        <v>65</v>
      </c>
      <c r="B17" s="49">
        <v>7</v>
      </c>
      <c r="C17" s="62" t="s">
        <v>32</v>
      </c>
      <c r="D17" s="58">
        <v>8</v>
      </c>
      <c r="E17" s="27">
        <v>10</v>
      </c>
      <c r="F17" s="28">
        <v>8</v>
      </c>
      <c r="G17" s="25">
        <v>8</v>
      </c>
      <c r="H17" s="14">
        <v>8</v>
      </c>
      <c r="I17" s="23">
        <v>10</v>
      </c>
      <c r="J17" s="18">
        <v>7</v>
      </c>
      <c r="K17" s="18">
        <v>10</v>
      </c>
      <c r="L17" s="29">
        <v>10</v>
      </c>
      <c r="M17" s="36">
        <v>11</v>
      </c>
      <c r="N17" s="37">
        <v>8</v>
      </c>
      <c r="O17" s="39">
        <v>10</v>
      </c>
      <c r="P17" s="41">
        <v>8</v>
      </c>
      <c r="Q17" s="44">
        <v>10</v>
      </c>
      <c r="R17" s="12">
        <f t="shared" si="0"/>
        <v>9</v>
      </c>
    </row>
    <row r="18" spans="1:18" ht="15" customHeight="1">
      <c r="A18" s="49" t="s">
        <v>65</v>
      </c>
      <c r="B18" s="49">
        <v>8</v>
      </c>
      <c r="C18" s="62" t="s">
        <v>33</v>
      </c>
      <c r="D18" s="58">
        <v>7</v>
      </c>
      <c r="E18" s="27">
        <v>8</v>
      </c>
      <c r="F18" s="28">
        <v>8</v>
      </c>
      <c r="G18" s="25">
        <v>7</v>
      </c>
      <c r="H18" s="14">
        <v>8</v>
      </c>
      <c r="I18" s="23">
        <v>9</v>
      </c>
      <c r="J18" s="18">
        <v>9</v>
      </c>
      <c r="K18" s="18">
        <v>10</v>
      </c>
      <c r="L18" s="29">
        <v>7</v>
      </c>
      <c r="M18" s="36">
        <v>10</v>
      </c>
      <c r="N18" s="37">
        <v>7</v>
      </c>
      <c r="O18" s="39">
        <v>9</v>
      </c>
      <c r="P18" s="41">
        <v>6</v>
      </c>
      <c r="Q18" s="44">
        <v>9</v>
      </c>
      <c r="R18" s="12">
        <f t="shared" si="0"/>
        <v>8.1428571428571423</v>
      </c>
    </row>
    <row r="19" spans="1:18" ht="15" customHeight="1">
      <c r="A19" s="49" t="s">
        <v>66</v>
      </c>
      <c r="B19" s="49">
        <v>9</v>
      </c>
      <c r="C19" s="62" t="s">
        <v>34</v>
      </c>
      <c r="D19" s="58">
        <v>7</v>
      </c>
      <c r="E19" s="27">
        <v>7</v>
      </c>
      <c r="F19" s="28">
        <v>4</v>
      </c>
      <c r="G19" s="25">
        <v>5</v>
      </c>
      <c r="H19" s="14">
        <v>4</v>
      </c>
      <c r="I19" s="23">
        <v>7</v>
      </c>
      <c r="J19" s="18">
        <v>7</v>
      </c>
      <c r="K19" s="18">
        <v>5</v>
      </c>
      <c r="L19" s="29">
        <v>7</v>
      </c>
      <c r="M19" s="36">
        <v>9</v>
      </c>
      <c r="N19" s="37">
        <v>5</v>
      </c>
      <c r="O19" s="39">
        <v>5</v>
      </c>
      <c r="P19" s="41">
        <v>7</v>
      </c>
      <c r="Q19" s="44">
        <v>7</v>
      </c>
      <c r="R19" s="12">
        <f t="shared" si="0"/>
        <v>6.1428571428571432</v>
      </c>
    </row>
    <row r="20" spans="1:18" ht="15.75" customHeight="1">
      <c r="A20" s="49" t="s">
        <v>65</v>
      </c>
      <c r="B20" s="49">
        <v>10</v>
      </c>
      <c r="C20" s="62" t="s">
        <v>35</v>
      </c>
      <c r="D20" s="58">
        <v>7</v>
      </c>
      <c r="E20" s="27">
        <v>9</v>
      </c>
      <c r="F20" s="28">
        <v>8</v>
      </c>
      <c r="G20" s="25">
        <v>8</v>
      </c>
      <c r="H20" s="14">
        <v>8</v>
      </c>
      <c r="I20" s="23">
        <v>8</v>
      </c>
      <c r="J20" s="18">
        <v>8</v>
      </c>
      <c r="K20" s="18">
        <v>10</v>
      </c>
      <c r="L20" s="29">
        <v>9</v>
      </c>
      <c r="M20" s="36">
        <v>10</v>
      </c>
      <c r="N20" s="37">
        <v>7</v>
      </c>
      <c r="O20" s="39">
        <v>9</v>
      </c>
      <c r="P20" s="41">
        <v>9</v>
      </c>
      <c r="Q20" s="44">
        <v>9</v>
      </c>
      <c r="R20" s="12">
        <f t="shared" si="0"/>
        <v>8.5</v>
      </c>
    </row>
    <row r="21" spans="1:18" ht="15.75" customHeight="1">
      <c r="A21" s="49" t="s">
        <v>65</v>
      </c>
      <c r="B21" s="49">
        <v>11</v>
      </c>
      <c r="C21" s="62" t="s">
        <v>36</v>
      </c>
      <c r="D21" s="58">
        <v>6</v>
      </c>
      <c r="E21" s="27">
        <v>9</v>
      </c>
      <c r="F21" s="28">
        <v>7</v>
      </c>
      <c r="G21" s="25">
        <v>5</v>
      </c>
      <c r="H21" s="14">
        <v>8</v>
      </c>
      <c r="I21" s="23">
        <v>9</v>
      </c>
      <c r="J21" s="18">
        <v>7</v>
      </c>
      <c r="K21" s="18">
        <v>8</v>
      </c>
      <c r="L21" s="29">
        <v>8</v>
      </c>
      <c r="M21" s="36">
        <v>11</v>
      </c>
      <c r="N21" s="37">
        <v>9</v>
      </c>
      <c r="O21" s="39">
        <v>7</v>
      </c>
      <c r="P21" s="41">
        <v>9</v>
      </c>
      <c r="Q21" s="44">
        <v>6</v>
      </c>
      <c r="R21" s="12">
        <f t="shared" si="0"/>
        <v>7.7857142857142856</v>
      </c>
    </row>
    <row r="22" spans="1:18" ht="15.75" customHeight="1">
      <c r="A22" s="49" t="s">
        <v>65</v>
      </c>
      <c r="B22" s="49">
        <v>12</v>
      </c>
      <c r="C22" s="62" t="s">
        <v>37</v>
      </c>
      <c r="D22" s="58">
        <v>9</v>
      </c>
      <c r="E22" s="27">
        <v>9</v>
      </c>
      <c r="F22" s="28">
        <v>9</v>
      </c>
      <c r="G22" s="25">
        <v>10</v>
      </c>
      <c r="H22" s="14">
        <v>8</v>
      </c>
      <c r="I22" s="23">
        <v>11</v>
      </c>
      <c r="J22" s="18">
        <v>9</v>
      </c>
      <c r="K22" s="18">
        <v>10</v>
      </c>
      <c r="L22" s="29">
        <v>9</v>
      </c>
      <c r="M22" s="36">
        <v>10</v>
      </c>
      <c r="N22" s="37">
        <v>10</v>
      </c>
      <c r="O22" s="39">
        <v>10</v>
      </c>
      <c r="P22" s="41">
        <v>8</v>
      </c>
      <c r="Q22" s="44">
        <v>10</v>
      </c>
      <c r="R22" s="12">
        <f t="shared" si="0"/>
        <v>9.4285714285714288</v>
      </c>
    </row>
    <row r="23" spans="1:18" ht="15.75" customHeight="1">
      <c r="A23" s="49" t="s">
        <v>65</v>
      </c>
      <c r="B23" s="49">
        <v>13</v>
      </c>
      <c r="C23" s="62" t="s">
        <v>38</v>
      </c>
      <c r="D23" s="58">
        <v>5</v>
      </c>
      <c r="E23" s="27">
        <v>8</v>
      </c>
      <c r="F23" s="28">
        <v>5</v>
      </c>
      <c r="G23" s="25">
        <v>6</v>
      </c>
      <c r="H23" s="14">
        <v>4</v>
      </c>
      <c r="I23" s="24">
        <v>7</v>
      </c>
      <c r="J23" s="18">
        <v>6</v>
      </c>
      <c r="K23" s="18">
        <v>9</v>
      </c>
      <c r="L23" s="29">
        <v>8</v>
      </c>
      <c r="M23" s="36">
        <v>9</v>
      </c>
      <c r="N23" s="37">
        <v>6</v>
      </c>
      <c r="O23" s="39">
        <v>7</v>
      </c>
      <c r="P23" s="41">
        <v>6</v>
      </c>
      <c r="Q23" s="44">
        <v>7</v>
      </c>
      <c r="R23" s="12">
        <f t="shared" si="0"/>
        <v>6.6428571428571432</v>
      </c>
    </row>
    <row r="24" spans="1:18" ht="15.75" customHeight="1">
      <c r="A24" s="49" t="s">
        <v>65</v>
      </c>
      <c r="B24" s="49">
        <v>14</v>
      </c>
      <c r="C24" s="62" t="s">
        <v>39</v>
      </c>
      <c r="D24" s="58">
        <v>10</v>
      </c>
      <c r="E24" s="27">
        <v>9</v>
      </c>
      <c r="F24" s="28">
        <v>9</v>
      </c>
      <c r="G24" s="25">
        <v>8</v>
      </c>
      <c r="H24" s="14">
        <v>10</v>
      </c>
      <c r="I24" s="24">
        <v>9</v>
      </c>
      <c r="J24" s="18">
        <v>10</v>
      </c>
      <c r="K24" s="18">
        <v>10</v>
      </c>
      <c r="L24" s="29">
        <v>10</v>
      </c>
      <c r="M24" s="36">
        <v>11</v>
      </c>
      <c r="N24" s="37">
        <v>8</v>
      </c>
      <c r="O24" s="39">
        <v>10</v>
      </c>
      <c r="P24" s="41">
        <v>9</v>
      </c>
      <c r="Q24" s="44">
        <v>10</v>
      </c>
      <c r="R24" s="12">
        <f t="shared" si="0"/>
        <v>9.5</v>
      </c>
    </row>
    <row r="25" spans="1:18" ht="15.75" customHeight="1">
      <c r="A25" s="49" t="s">
        <v>66</v>
      </c>
      <c r="B25" s="49">
        <v>15</v>
      </c>
      <c r="C25" s="62" t="s">
        <v>40</v>
      </c>
      <c r="D25" s="58">
        <v>5</v>
      </c>
      <c r="E25" s="27">
        <v>8</v>
      </c>
      <c r="F25" s="28">
        <v>6</v>
      </c>
      <c r="G25" s="25">
        <v>6</v>
      </c>
      <c r="H25" s="14">
        <v>5</v>
      </c>
      <c r="I25" s="24">
        <v>9</v>
      </c>
      <c r="J25" s="18">
        <v>5</v>
      </c>
      <c r="K25" s="18">
        <v>5</v>
      </c>
      <c r="L25" s="29">
        <v>6</v>
      </c>
      <c r="M25" s="36">
        <v>10</v>
      </c>
      <c r="N25" s="37">
        <v>6</v>
      </c>
      <c r="O25" s="39">
        <v>8</v>
      </c>
      <c r="P25" s="41">
        <v>5</v>
      </c>
      <c r="Q25" s="44">
        <v>6</v>
      </c>
      <c r="R25" s="12">
        <f t="shared" si="0"/>
        <v>6.4285714285714288</v>
      </c>
    </row>
    <row r="26" spans="1:18" s="10" customFormat="1" ht="15.75" customHeight="1">
      <c r="A26" s="49" t="s">
        <v>65</v>
      </c>
      <c r="B26" s="49">
        <v>16</v>
      </c>
      <c r="C26" s="62" t="s">
        <v>41</v>
      </c>
      <c r="D26" s="58">
        <v>5</v>
      </c>
      <c r="E26" s="27">
        <v>8</v>
      </c>
      <c r="F26" s="28">
        <v>4</v>
      </c>
      <c r="G26" s="25">
        <v>8</v>
      </c>
      <c r="H26" s="14">
        <v>6</v>
      </c>
      <c r="I26" s="24">
        <v>6</v>
      </c>
      <c r="J26" s="18">
        <v>6</v>
      </c>
      <c r="K26" s="18">
        <v>5</v>
      </c>
      <c r="L26" s="29">
        <v>6</v>
      </c>
      <c r="M26" s="36">
        <v>10</v>
      </c>
      <c r="N26" s="37">
        <v>5</v>
      </c>
      <c r="O26" s="39">
        <v>8</v>
      </c>
      <c r="P26" s="41">
        <v>8</v>
      </c>
      <c r="Q26" s="44">
        <v>6</v>
      </c>
      <c r="R26" s="12">
        <f t="shared" si="0"/>
        <v>6.5</v>
      </c>
    </row>
    <row r="27" spans="1:18" s="10" customFormat="1" ht="15.75" customHeight="1">
      <c r="A27" s="49" t="s">
        <v>66</v>
      </c>
      <c r="B27" s="49">
        <v>17</v>
      </c>
      <c r="C27" s="62" t="s">
        <v>42</v>
      </c>
      <c r="D27" s="58">
        <v>6</v>
      </c>
      <c r="E27" s="27">
        <v>7</v>
      </c>
      <c r="F27" s="28">
        <v>5</v>
      </c>
      <c r="G27" s="25">
        <v>8</v>
      </c>
      <c r="H27" s="14">
        <v>6</v>
      </c>
      <c r="I27" s="24">
        <v>6</v>
      </c>
      <c r="J27" s="18">
        <v>6</v>
      </c>
      <c r="K27" s="18">
        <v>9</v>
      </c>
      <c r="L27" s="29">
        <v>8</v>
      </c>
      <c r="M27" s="36">
        <v>11</v>
      </c>
      <c r="N27" s="37">
        <v>5</v>
      </c>
      <c r="O27" s="39">
        <v>7</v>
      </c>
      <c r="P27" s="41">
        <v>5</v>
      </c>
      <c r="Q27" s="44">
        <v>8</v>
      </c>
      <c r="R27" s="12">
        <f t="shared" si="0"/>
        <v>6.9285714285714288</v>
      </c>
    </row>
    <row r="28" spans="1:18" s="10" customFormat="1" ht="15.75" customHeight="1">
      <c r="A28" s="49" t="s">
        <v>66</v>
      </c>
      <c r="B28" s="49">
        <v>18</v>
      </c>
      <c r="C28" s="62" t="s">
        <v>43</v>
      </c>
      <c r="D28" s="58">
        <v>6</v>
      </c>
      <c r="E28" s="27">
        <v>8</v>
      </c>
      <c r="F28" s="28">
        <v>4</v>
      </c>
      <c r="G28" s="25">
        <v>7</v>
      </c>
      <c r="H28" s="14">
        <v>5</v>
      </c>
      <c r="I28" s="24">
        <v>5</v>
      </c>
      <c r="J28" s="18">
        <v>6</v>
      </c>
      <c r="K28" s="18">
        <v>5</v>
      </c>
      <c r="L28" s="29">
        <v>7</v>
      </c>
      <c r="M28" s="36">
        <v>9</v>
      </c>
      <c r="N28" s="37">
        <v>5</v>
      </c>
      <c r="O28" s="39">
        <v>5</v>
      </c>
      <c r="P28" s="41">
        <v>5</v>
      </c>
      <c r="Q28" s="44">
        <v>6</v>
      </c>
      <c r="R28" s="12">
        <f t="shared" si="0"/>
        <v>5.9285714285714288</v>
      </c>
    </row>
    <row r="29" spans="1:18" s="10" customFormat="1" ht="15.75" customHeight="1">
      <c r="A29" s="49" t="s">
        <v>65</v>
      </c>
      <c r="B29" s="49">
        <v>19</v>
      </c>
      <c r="C29" s="62" t="s">
        <v>44</v>
      </c>
      <c r="D29" s="58">
        <v>6</v>
      </c>
      <c r="E29" s="27">
        <v>8</v>
      </c>
      <c r="F29" s="28">
        <v>7</v>
      </c>
      <c r="G29" s="25">
        <v>8</v>
      </c>
      <c r="H29" s="14">
        <v>6</v>
      </c>
      <c r="I29" s="24">
        <v>9</v>
      </c>
      <c r="J29" s="18">
        <v>6</v>
      </c>
      <c r="K29" s="18">
        <v>9</v>
      </c>
      <c r="L29" s="29">
        <v>9</v>
      </c>
      <c r="M29" s="36">
        <v>10</v>
      </c>
      <c r="N29" s="37">
        <v>7</v>
      </c>
      <c r="O29" s="39">
        <v>8</v>
      </c>
      <c r="P29" s="41">
        <v>6</v>
      </c>
      <c r="Q29" s="44">
        <v>8</v>
      </c>
      <c r="R29" s="12">
        <f t="shared" si="0"/>
        <v>7.6428571428571432</v>
      </c>
    </row>
    <row r="30" spans="1:18" s="10" customFormat="1" ht="15.75" customHeight="1">
      <c r="A30" s="49" t="s">
        <v>65</v>
      </c>
      <c r="B30" s="49">
        <v>20</v>
      </c>
      <c r="C30" s="62" t="s">
        <v>45</v>
      </c>
      <c r="D30" s="58">
        <v>4</v>
      </c>
      <c r="E30" s="27">
        <v>4</v>
      </c>
      <c r="F30" s="28">
        <v>4</v>
      </c>
      <c r="G30" s="25">
        <v>4</v>
      </c>
      <c r="H30" s="14">
        <v>4</v>
      </c>
      <c r="I30" s="24">
        <v>4</v>
      </c>
      <c r="J30" s="18">
        <v>4</v>
      </c>
      <c r="K30" s="18">
        <v>4</v>
      </c>
      <c r="L30" s="29">
        <v>4</v>
      </c>
      <c r="M30" s="36">
        <v>9</v>
      </c>
      <c r="N30" s="37">
        <v>5</v>
      </c>
      <c r="O30" s="39">
        <v>4</v>
      </c>
      <c r="P30" s="41">
        <v>5</v>
      </c>
      <c r="Q30" s="44">
        <v>6</v>
      </c>
      <c r="R30" s="12">
        <f t="shared" si="0"/>
        <v>4.6428571428571432</v>
      </c>
    </row>
    <row r="31" spans="1:18" s="10" customFormat="1" ht="15.75" customHeight="1">
      <c r="A31" s="49" t="s">
        <v>65</v>
      </c>
      <c r="B31" s="49">
        <v>21</v>
      </c>
      <c r="C31" s="62" t="s">
        <v>46</v>
      </c>
      <c r="D31" s="58">
        <v>9</v>
      </c>
      <c r="E31" s="27">
        <v>9</v>
      </c>
      <c r="F31" s="28">
        <v>9</v>
      </c>
      <c r="G31" s="25">
        <v>9</v>
      </c>
      <c r="H31" s="14">
        <v>8</v>
      </c>
      <c r="I31" s="24">
        <v>9</v>
      </c>
      <c r="J31" s="18">
        <v>9</v>
      </c>
      <c r="K31" s="18">
        <v>10</v>
      </c>
      <c r="L31" s="29">
        <v>10</v>
      </c>
      <c r="M31" s="36">
        <v>11</v>
      </c>
      <c r="N31" s="37">
        <v>8</v>
      </c>
      <c r="O31" s="39">
        <v>10</v>
      </c>
      <c r="P31" s="41">
        <v>9</v>
      </c>
      <c r="Q31" s="44">
        <v>10</v>
      </c>
      <c r="R31" s="12">
        <f t="shared" si="0"/>
        <v>9.2857142857142865</v>
      </c>
    </row>
    <row r="32" spans="1:18" s="10" customFormat="1" ht="15.75" customHeight="1">
      <c r="A32" s="49" t="s">
        <v>65</v>
      </c>
      <c r="B32" s="49">
        <v>22</v>
      </c>
      <c r="C32" s="62" t="s">
        <v>47</v>
      </c>
      <c r="D32" s="58">
        <v>7</v>
      </c>
      <c r="E32" s="27">
        <v>8</v>
      </c>
      <c r="F32" s="28">
        <v>7</v>
      </c>
      <c r="G32" s="25">
        <v>8</v>
      </c>
      <c r="H32" s="14">
        <v>6</v>
      </c>
      <c r="I32" s="24">
        <v>6</v>
      </c>
      <c r="J32" s="18">
        <v>9</v>
      </c>
      <c r="K32" s="18">
        <v>9</v>
      </c>
      <c r="L32" s="29">
        <v>8</v>
      </c>
      <c r="M32" s="36">
        <v>9</v>
      </c>
      <c r="N32" s="37">
        <v>5</v>
      </c>
      <c r="O32" s="39">
        <v>7</v>
      </c>
      <c r="P32" s="41">
        <v>6</v>
      </c>
      <c r="Q32" s="44">
        <v>10</v>
      </c>
      <c r="R32" s="12">
        <f t="shared" si="0"/>
        <v>7.5</v>
      </c>
    </row>
    <row r="33" spans="1:18" s="10" customFormat="1" ht="15.75" customHeight="1">
      <c r="A33" s="49" t="s">
        <v>65</v>
      </c>
      <c r="B33" s="49">
        <v>23</v>
      </c>
      <c r="C33" s="62" t="s">
        <v>48</v>
      </c>
      <c r="D33" s="58">
        <v>9</v>
      </c>
      <c r="E33" s="27">
        <v>10</v>
      </c>
      <c r="F33" s="28">
        <v>8</v>
      </c>
      <c r="G33" s="25">
        <v>8</v>
      </c>
      <c r="H33" s="14">
        <v>8</v>
      </c>
      <c r="I33" s="24">
        <v>11</v>
      </c>
      <c r="J33" s="18">
        <v>8</v>
      </c>
      <c r="K33" s="18">
        <v>10</v>
      </c>
      <c r="L33" s="29">
        <v>9</v>
      </c>
      <c r="M33" s="36">
        <v>11</v>
      </c>
      <c r="N33" s="37">
        <v>9</v>
      </c>
      <c r="O33" s="39">
        <v>10</v>
      </c>
      <c r="P33" s="41">
        <v>8</v>
      </c>
      <c r="Q33" s="44">
        <v>9</v>
      </c>
      <c r="R33" s="12">
        <f t="shared" si="0"/>
        <v>9.1428571428571423</v>
      </c>
    </row>
    <row r="34" spans="1:18" s="10" customFormat="1" ht="15.75" customHeight="1">
      <c r="A34" s="49" t="s">
        <v>65</v>
      </c>
      <c r="B34" s="49">
        <v>24</v>
      </c>
      <c r="C34" s="62" t="s">
        <v>49</v>
      </c>
      <c r="D34" s="58">
        <v>5</v>
      </c>
      <c r="E34" s="27">
        <v>9</v>
      </c>
      <c r="F34" s="28">
        <v>4</v>
      </c>
      <c r="G34" s="25">
        <v>6</v>
      </c>
      <c r="H34" s="14">
        <v>5</v>
      </c>
      <c r="I34" s="24">
        <v>5</v>
      </c>
      <c r="J34" s="18">
        <v>7</v>
      </c>
      <c r="K34" s="18">
        <v>5</v>
      </c>
      <c r="L34" s="29">
        <v>5</v>
      </c>
      <c r="M34" s="36">
        <v>10</v>
      </c>
      <c r="N34" s="37">
        <v>7</v>
      </c>
      <c r="O34" s="39">
        <v>6</v>
      </c>
      <c r="P34" s="41">
        <v>5</v>
      </c>
      <c r="Q34" s="44">
        <v>4</v>
      </c>
      <c r="R34" s="12">
        <f t="shared" si="0"/>
        <v>5.9285714285714288</v>
      </c>
    </row>
    <row r="35" spans="1:18" ht="15.75" customHeight="1">
      <c r="A35" s="49" t="s">
        <v>65</v>
      </c>
      <c r="B35" s="49">
        <v>25</v>
      </c>
      <c r="C35" s="62" t="s">
        <v>50</v>
      </c>
      <c r="D35" s="58">
        <v>10</v>
      </c>
      <c r="E35" s="27">
        <v>10</v>
      </c>
      <c r="F35" s="28">
        <v>10</v>
      </c>
      <c r="G35" s="25">
        <v>10</v>
      </c>
      <c r="H35" s="14">
        <v>11</v>
      </c>
      <c r="I35" s="24">
        <v>11</v>
      </c>
      <c r="J35" s="18">
        <v>10</v>
      </c>
      <c r="K35" s="18">
        <v>10</v>
      </c>
      <c r="L35" s="29">
        <v>10</v>
      </c>
      <c r="M35" s="36">
        <v>11</v>
      </c>
      <c r="N35" s="37">
        <v>10</v>
      </c>
      <c r="O35" s="39">
        <v>10</v>
      </c>
      <c r="P35" s="41">
        <v>10</v>
      </c>
      <c r="Q35" s="44">
        <v>11</v>
      </c>
      <c r="R35" s="12">
        <f t="shared" si="0"/>
        <v>10.285714285714286</v>
      </c>
    </row>
    <row r="36" spans="1:18" s="32" customFormat="1" ht="15.75" customHeight="1">
      <c r="A36" s="49" t="s">
        <v>66</v>
      </c>
      <c r="B36" s="49">
        <v>26</v>
      </c>
      <c r="C36" s="62" t="s">
        <v>51</v>
      </c>
      <c r="D36" s="59">
        <v>5</v>
      </c>
      <c r="E36" s="53">
        <v>8</v>
      </c>
      <c r="F36" s="54">
        <v>4</v>
      </c>
      <c r="G36" s="55">
        <v>4</v>
      </c>
      <c r="H36" s="30">
        <v>5</v>
      </c>
      <c r="I36" s="56">
        <v>8</v>
      </c>
      <c r="J36" s="52">
        <v>4</v>
      </c>
      <c r="K36" s="73">
        <v>4</v>
      </c>
      <c r="L36" s="74">
        <v>4</v>
      </c>
      <c r="M36" s="75">
        <v>9</v>
      </c>
      <c r="N36" s="76">
        <v>5</v>
      </c>
      <c r="O36" s="77">
        <v>7</v>
      </c>
      <c r="P36" s="57">
        <v>5</v>
      </c>
      <c r="Q36" s="78">
        <v>7</v>
      </c>
      <c r="R36" s="197">
        <f t="shared" si="0"/>
        <v>5.6428571428571432</v>
      </c>
    </row>
    <row r="37" spans="1:18" ht="15.75" customHeight="1">
      <c r="A37" s="1"/>
      <c r="B37" s="1"/>
      <c r="C37" s="4" t="s">
        <v>6</v>
      </c>
      <c r="D37" s="12">
        <f t="shared" ref="D37:Q37" si="1">AVERAGE(D11:D36)</f>
        <v>6.7692307692307692</v>
      </c>
      <c r="E37" s="12">
        <f t="shared" si="1"/>
        <v>8.3076923076923084</v>
      </c>
      <c r="F37" s="12">
        <f t="shared" si="1"/>
        <v>6.4230769230769234</v>
      </c>
      <c r="G37" s="12">
        <f t="shared" si="1"/>
        <v>6.9615384615384617</v>
      </c>
      <c r="H37" s="12">
        <f t="shared" si="1"/>
        <v>6.7307692307692308</v>
      </c>
      <c r="I37" s="12">
        <f t="shared" si="1"/>
        <v>7.884615384615385</v>
      </c>
      <c r="J37" s="33">
        <f t="shared" si="1"/>
        <v>6.884615384615385</v>
      </c>
      <c r="K37" s="205">
        <f t="shared" si="1"/>
        <v>7.6538461538461542</v>
      </c>
      <c r="L37" s="205">
        <f t="shared" si="1"/>
        <v>7.384615384615385</v>
      </c>
      <c r="M37" s="205">
        <f t="shared" si="1"/>
        <v>10</v>
      </c>
      <c r="N37" s="206">
        <f t="shared" si="1"/>
        <v>6.884615384615385</v>
      </c>
      <c r="O37" s="205">
        <f t="shared" si="1"/>
        <v>7.7692307692307692</v>
      </c>
      <c r="P37" s="205">
        <f t="shared" si="1"/>
        <v>6.884615384615385</v>
      </c>
      <c r="Q37" s="205">
        <f t="shared" si="1"/>
        <v>7.8076923076923075</v>
      </c>
      <c r="R37" s="93">
        <f>AVERAGE(D37:Q37)</f>
        <v>7.4532967032967035</v>
      </c>
    </row>
    <row r="38" spans="1:18" ht="15.75" customHeight="1">
      <c r="A38" s="1"/>
      <c r="B38" s="1"/>
      <c r="C38" s="5" t="s">
        <v>7</v>
      </c>
      <c r="D38" s="16">
        <v>100</v>
      </c>
      <c r="E38" s="20">
        <v>100</v>
      </c>
      <c r="F38" s="20">
        <v>100</v>
      </c>
      <c r="G38" s="20">
        <v>100</v>
      </c>
      <c r="H38" s="16">
        <v>100</v>
      </c>
      <c r="I38" s="20">
        <v>100</v>
      </c>
      <c r="J38" s="16">
        <v>100</v>
      </c>
      <c r="K38" s="198">
        <v>100</v>
      </c>
      <c r="L38" s="198">
        <v>100</v>
      </c>
      <c r="M38" s="199">
        <v>100</v>
      </c>
      <c r="N38" s="200">
        <v>100</v>
      </c>
      <c r="O38" s="201">
        <v>100</v>
      </c>
      <c r="P38" s="202">
        <v>100</v>
      </c>
      <c r="Q38" s="203">
        <v>100</v>
      </c>
      <c r="R38" s="204">
        <f>AVERAGE(D38:Q38)</f>
        <v>100</v>
      </c>
    </row>
    <row r="39" spans="1:18" ht="15.75" customHeight="1">
      <c r="A39" s="1"/>
      <c r="B39" s="1"/>
      <c r="C39" s="6" t="s">
        <v>8</v>
      </c>
      <c r="D39" s="17">
        <v>50</v>
      </c>
      <c r="E39" s="19">
        <v>92</v>
      </c>
      <c r="F39" s="17">
        <v>46.2</v>
      </c>
      <c r="G39" s="17">
        <v>62</v>
      </c>
      <c r="H39" s="13">
        <v>50</v>
      </c>
      <c r="I39" s="21">
        <v>69.2</v>
      </c>
      <c r="J39" s="15">
        <v>54</v>
      </c>
      <c r="K39" s="17">
        <v>61</v>
      </c>
      <c r="L39" s="17">
        <v>69.2</v>
      </c>
      <c r="M39" s="34">
        <v>100</v>
      </c>
      <c r="N39" s="38">
        <v>58</v>
      </c>
      <c r="O39" s="40">
        <v>46</v>
      </c>
      <c r="P39" s="42">
        <v>50</v>
      </c>
      <c r="Q39" s="45">
        <v>73</v>
      </c>
      <c r="R39" s="139">
        <f>AVERAGE(D39:Q39)</f>
        <v>62.9</v>
      </c>
    </row>
    <row r="40" spans="1:18" ht="15.75" customHeight="1">
      <c r="A40" s="1"/>
      <c r="B40" s="1"/>
      <c r="C40" s="6" t="s">
        <v>9</v>
      </c>
      <c r="D40" s="12">
        <f>AVERAGE(D38:Q38)</f>
        <v>100</v>
      </c>
      <c r="E40" s="7"/>
      <c r="F40" s="7"/>
      <c r="G40" s="7"/>
      <c r="H40" s="7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ht="15.75" customHeight="1">
      <c r="A41" s="1"/>
      <c r="B41" s="1"/>
      <c r="C41" s="6" t="s">
        <v>10</v>
      </c>
      <c r="D41" s="12">
        <f>AVERAGE(D39:Q39)</f>
        <v>62.9</v>
      </c>
      <c r="E41" s="7"/>
      <c r="F41" s="7"/>
      <c r="G41" s="7"/>
      <c r="H41" s="7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ht="15.75" customHeight="1">
      <c r="C42" s="6" t="s">
        <v>18</v>
      </c>
      <c r="D42" s="22">
        <v>19</v>
      </c>
    </row>
    <row r="43" spans="1:18" s="140" customFormat="1" ht="15.75" customHeight="1">
      <c r="C43" s="6" t="s">
        <v>68</v>
      </c>
      <c r="D43" s="22">
        <v>7</v>
      </c>
    </row>
    <row r="44" spans="1:18" ht="15.75" customHeight="1">
      <c r="C44" s="6" t="s">
        <v>19</v>
      </c>
      <c r="D44" s="22">
        <v>4</v>
      </c>
    </row>
    <row r="45" spans="1:18" ht="15.75" customHeight="1">
      <c r="C45" s="6" t="s">
        <v>20</v>
      </c>
      <c r="D45" s="22">
        <v>8</v>
      </c>
    </row>
    <row r="46" spans="1:18" ht="15.75" customHeight="1"/>
    <row r="47" spans="1:18" ht="15.75" customHeight="1">
      <c r="E47" s="50" t="s">
        <v>21</v>
      </c>
      <c r="F47" s="50"/>
      <c r="G47" s="50"/>
      <c r="H47" s="32"/>
      <c r="J47" s="50" t="s">
        <v>64</v>
      </c>
      <c r="K47" s="50"/>
    </row>
    <row r="48" spans="1:18" ht="15.75" customHeight="1"/>
    <row r="49" spans="5:11" ht="15.75" customHeight="1"/>
    <row r="50" spans="5:11" ht="15.75" customHeight="1">
      <c r="E50" s="50" t="s">
        <v>22</v>
      </c>
      <c r="F50" s="50"/>
      <c r="G50" s="50"/>
      <c r="H50" s="50"/>
      <c r="I50" s="51"/>
      <c r="J50" s="50" t="s">
        <v>67</v>
      </c>
      <c r="K50" s="50"/>
    </row>
    <row r="51" spans="5:11" ht="15.75" customHeight="1"/>
    <row r="52" spans="5:11" ht="15.75" customHeight="1">
      <c r="I52" s="50"/>
    </row>
    <row r="53" spans="5:11" ht="15.75" customHeight="1"/>
    <row r="54" spans="5:11" ht="15.75" customHeight="1"/>
    <row r="55" spans="5:11" ht="15.75" customHeight="1"/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25"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9"/>
  <sheetViews>
    <sheetView tabSelected="1" topLeftCell="A17" zoomScale="78" zoomScaleNormal="78" workbookViewId="0">
      <selection activeCell="E33" sqref="E33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32" customWidth="1"/>
    <col min="19" max="19" width="11.28515625" customWidth="1"/>
  </cols>
  <sheetData>
    <row r="1" spans="1:19" ht="15" customHeight="1">
      <c r="A1" s="148" t="s">
        <v>15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"/>
      <c r="Q1" s="1"/>
      <c r="R1" s="1"/>
      <c r="S1" s="1"/>
    </row>
    <row r="2" spans="1:19" ht="15" customHeight="1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"/>
      <c r="Q2" s="1"/>
      <c r="R2" s="1"/>
      <c r="S2" s="1"/>
    </row>
    <row r="3" spans="1:19" ht="15" customHeight="1">
      <c r="A3" s="177" t="s">
        <v>25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"/>
      <c r="Q3" s="1"/>
      <c r="R3" s="1"/>
      <c r="S3" s="1"/>
    </row>
    <row r="4" spans="1:19" ht="15" customHeight="1">
      <c r="A4" s="148" t="s">
        <v>63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"/>
      <c r="Q4" s="1"/>
      <c r="R4" s="1"/>
      <c r="S4" s="1"/>
    </row>
    <row r="5" spans="1:19" ht="15" customHeight="1">
      <c r="A5" s="148" t="s">
        <v>16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"/>
      <c r="Q5" s="1"/>
      <c r="R5" s="1"/>
      <c r="S5" s="1"/>
    </row>
    <row r="6" spans="1:19" ht="15" customHeight="1">
      <c r="A6" s="178" t="s">
        <v>62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"/>
      <c r="Q6" s="1"/>
      <c r="R6" s="1"/>
      <c r="S6" s="1"/>
    </row>
    <row r="7" spans="1:19" ht="15" customHeight="1">
      <c r="A7" s="151" t="s">
        <v>2</v>
      </c>
      <c r="B7" s="152" t="s">
        <v>3</v>
      </c>
      <c r="C7" s="152" t="s">
        <v>4</v>
      </c>
      <c r="D7" s="174" t="s">
        <v>17</v>
      </c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</row>
    <row r="8" spans="1:19" ht="15" customHeight="1">
      <c r="A8" s="179"/>
      <c r="B8" s="180"/>
      <c r="C8" s="181"/>
      <c r="D8" s="182" t="s">
        <v>52</v>
      </c>
      <c r="E8" s="185" t="s">
        <v>53</v>
      </c>
      <c r="F8" s="144" t="s">
        <v>54</v>
      </c>
      <c r="G8" s="168" t="s">
        <v>14</v>
      </c>
      <c r="H8" s="158" t="s">
        <v>55</v>
      </c>
      <c r="I8" s="186" t="s">
        <v>56</v>
      </c>
      <c r="J8" s="188" t="s">
        <v>57</v>
      </c>
      <c r="K8" s="189" t="s">
        <v>11</v>
      </c>
      <c r="L8" s="144" t="s">
        <v>58</v>
      </c>
      <c r="M8" s="144" t="s">
        <v>59</v>
      </c>
      <c r="N8" s="147" t="s">
        <v>60</v>
      </c>
      <c r="O8" s="144" t="s">
        <v>61</v>
      </c>
      <c r="P8" s="191" t="s">
        <v>12</v>
      </c>
      <c r="Q8" s="158" t="s">
        <v>13</v>
      </c>
      <c r="R8" s="195" t="s">
        <v>24</v>
      </c>
      <c r="S8" s="193" t="s">
        <v>23</v>
      </c>
    </row>
    <row r="9" spans="1:19" ht="15" customHeight="1">
      <c r="A9" s="179"/>
      <c r="B9" s="180"/>
      <c r="C9" s="181"/>
      <c r="D9" s="183"/>
      <c r="E9" s="164"/>
      <c r="F9" s="145"/>
      <c r="G9" s="169"/>
      <c r="H9" s="159"/>
      <c r="I9" s="187"/>
      <c r="J9" s="166"/>
      <c r="K9" s="190"/>
      <c r="L9" s="145"/>
      <c r="M9" s="145"/>
      <c r="N9" s="145"/>
      <c r="O9" s="145"/>
      <c r="P9" s="192"/>
      <c r="Q9" s="159"/>
      <c r="R9" s="196"/>
      <c r="S9" s="194"/>
    </row>
    <row r="10" spans="1:19" ht="71.25" customHeight="1">
      <c r="A10" s="179"/>
      <c r="B10" s="180"/>
      <c r="C10" s="181"/>
      <c r="D10" s="184"/>
      <c r="E10" s="164"/>
      <c r="F10" s="145"/>
      <c r="G10" s="169"/>
      <c r="H10" s="184"/>
      <c r="I10" s="187"/>
      <c r="J10" s="166"/>
      <c r="K10" s="190"/>
      <c r="L10" s="145"/>
      <c r="M10" s="145"/>
      <c r="N10" s="145"/>
      <c r="O10" s="145"/>
      <c r="P10" s="192"/>
      <c r="Q10" s="184"/>
      <c r="R10" s="196"/>
      <c r="S10" s="194"/>
    </row>
    <row r="11" spans="1:19" s="65" customFormat="1" ht="16.5" customHeight="1">
      <c r="A11" s="94" t="s">
        <v>65</v>
      </c>
      <c r="B11" s="94">
        <v>1</v>
      </c>
      <c r="C11" s="95" t="s">
        <v>50</v>
      </c>
      <c r="D11" s="96">
        <v>10</v>
      </c>
      <c r="E11" s="97">
        <v>10</v>
      </c>
      <c r="F11" s="98">
        <v>10</v>
      </c>
      <c r="G11" s="99">
        <v>10</v>
      </c>
      <c r="H11" s="96">
        <v>11</v>
      </c>
      <c r="I11" s="96">
        <v>11</v>
      </c>
      <c r="J11" s="96">
        <v>10</v>
      </c>
      <c r="K11" s="96">
        <v>10</v>
      </c>
      <c r="L11" s="100">
        <v>10</v>
      </c>
      <c r="M11" s="101">
        <v>11</v>
      </c>
      <c r="N11" s="102">
        <v>10</v>
      </c>
      <c r="O11" s="103">
        <v>10</v>
      </c>
      <c r="P11" s="96">
        <v>10</v>
      </c>
      <c r="Q11" s="104">
        <v>11</v>
      </c>
      <c r="R11" s="105">
        <f t="shared" ref="R11:R29" si="0">AVERAGE(D11:Q11)</f>
        <v>10.285714285714286</v>
      </c>
      <c r="S11" s="105">
        <f t="shared" ref="S11:S29" si="1">(R11*90)/12</f>
        <v>77.142857142857153</v>
      </c>
    </row>
    <row r="12" spans="1:19" ht="15" customHeight="1">
      <c r="A12" s="106" t="s">
        <v>65</v>
      </c>
      <c r="B12" s="107">
        <v>2</v>
      </c>
      <c r="C12" s="108" t="s">
        <v>28</v>
      </c>
      <c r="D12" s="109">
        <v>9</v>
      </c>
      <c r="E12" s="110">
        <v>10</v>
      </c>
      <c r="F12" s="111">
        <v>10</v>
      </c>
      <c r="G12" s="112">
        <v>10</v>
      </c>
      <c r="H12" s="113">
        <v>11</v>
      </c>
      <c r="I12" s="114">
        <v>11</v>
      </c>
      <c r="J12" s="113">
        <v>9</v>
      </c>
      <c r="K12" s="113">
        <v>10</v>
      </c>
      <c r="L12" s="115">
        <v>10</v>
      </c>
      <c r="M12" s="116">
        <v>11</v>
      </c>
      <c r="N12" s="117">
        <v>11</v>
      </c>
      <c r="O12" s="118">
        <v>10</v>
      </c>
      <c r="P12" s="119">
        <v>9</v>
      </c>
      <c r="Q12" s="120">
        <v>10</v>
      </c>
      <c r="R12" s="121">
        <f t="shared" si="0"/>
        <v>10.071428571428571</v>
      </c>
      <c r="S12" s="122">
        <f t="shared" si="1"/>
        <v>75.535714285714292</v>
      </c>
    </row>
    <row r="13" spans="1:19" ht="15" customHeight="1">
      <c r="A13" s="123" t="s">
        <v>65</v>
      </c>
      <c r="B13" s="124">
        <v>3</v>
      </c>
      <c r="C13" s="125" t="s">
        <v>39</v>
      </c>
      <c r="D13" s="126">
        <v>10</v>
      </c>
      <c r="E13" s="127">
        <v>9</v>
      </c>
      <c r="F13" s="98">
        <v>9</v>
      </c>
      <c r="G13" s="128">
        <v>8</v>
      </c>
      <c r="H13" s="129">
        <v>10</v>
      </c>
      <c r="I13" s="130">
        <v>9</v>
      </c>
      <c r="J13" s="129">
        <v>10</v>
      </c>
      <c r="K13" s="129">
        <v>10</v>
      </c>
      <c r="L13" s="131">
        <v>10</v>
      </c>
      <c r="M13" s="132">
        <v>11</v>
      </c>
      <c r="N13" s="133">
        <v>8</v>
      </c>
      <c r="O13" s="103">
        <v>10</v>
      </c>
      <c r="P13" s="134">
        <v>9</v>
      </c>
      <c r="Q13" s="135">
        <v>10</v>
      </c>
      <c r="R13" s="121">
        <f t="shared" si="0"/>
        <v>9.5</v>
      </c>
      <c r="S13" s="122">
        <f t="shared" si="1"/>
        <v>71.25</v>
      </c>
    </row>
    <row r="14" spans="1:19" ht="15" customHeight="1">
      <c r="A14" s="123" t="s">
        <v>65</v>
      </c>
      <c r="B14" s="124">
        <v>4</v>
      </c>
      <c r="C14" s="125" t="s">
        <v>37</v>
      </c>
      <c r="D14" s="126">
        <v>9</v>
      </c>
      <c r="E14" s="127">
        <v>9</v>
      </c>
      <c r="F14" s="98">
        <v>9</v>
      </c>
      <c r="G14" s="99">
        <v>10</v>
      </c>
      <c r="H14" s="136">
        <v>8</v>
      </c>
      <c r="I14" s="137">
        <v>11</v>
      </c>
      <c r="J14" s="129">
        <v>9</v>
      </c>
      <c r="K14" s="129">
        <v>10</v>
      </c>
      <c r="L14" s="131">
        <v>9</v>
      </c>
      <c r="M14" s="132">
        <v>10</v>
      </c>
      <c r="N14" s="133">
        <v>10</v>
      </c>
      <c r="O14" s="103">
        <v>10</v>
      </c>
      <c r="P14" s="134">
        <v>8</v>
      </c>
      <c r="Q14" s="135">
        <v>10</v>
      </c>
      <c r="R14" s="121">
        <f t="shared" si="0"/>
        <v>9.4285714285714288</v>
      </c>
      <c r="S14" s="122">
        <f t="shared" si="1"/>
        <v>70.714285714285708</v>
      </c>
    </row>
    <row r="15" spans="1:19" ht="15" customHeight="1">
      <c r="A15" s="123" t="s">
        <v>65</v>
      </c>
      <c r="B15" s="124">
        <v>5</v>
      </c>
      <c r="C15" s="125" t="s">
        <v>46</v>
      </c>
      <c r="D15" s="126">
        <v>9</v>
      </c>
      <c r="E15" s="127">
        <v>9</v>
      </c>
      <c r="F15" s="98">
        <v>9</v>
      </c>
      <c r="G15" s="99">
        <v>9</v>
      </c>
      <c r="H15" s="138">
        <v>8</v>
      </c>
      <c r="I15" s="137">
        <v>9</v>
      </c>
      <c r="J15" s="129">
        <v>9</v>
      </c>
      <c r="K15" s="129">
        <v>10</v>
      </c>
      <c r="L15" s="131">
        <v>10</v>
      </c>
      <c r="M15" s="132">
        <v>11</v>
      </c>
      <c r="N15" s="133">
        <v>8</v>
      </c>
      <c r="O15" s="103">
        <v>10</v>
      </c>
      <c r="P15" s="134">
        <v>9</v>
      </c>
      <c r="Q15" s="135">
        <v>10</v>
      </c>
      <c r="R15" s="121">
        <f t="shared" si="0"/>
        <v>9.2857142857142865</v>
      </c>
      <c r="S15" s="122">
        <f t="shared" si="1"/>
        <v>69.642857142857153</v>
      </c>
    </row>
    <row r="16" spans="1:19" ht="15" customHeight="1">
      <c r="A16" s="123" t="s">
        <v>65</v>
      </c>
      <c r="B16" s="124">
        <v>6</v>
      </c>
      <c r="C16" s="125" t="s">
        <v>48</v>
      </c>
      <c r="D16" s="126">
        <v>9</v>
      </c>
      <c r="E16" s="127">
        <v>10</v>
      </c>
      <c r="F16" s="98">
        <v>8</v>
      </c>
      <c r="G16" s="99">
        <v>8</v>
      </c>
      <c r="H16" s="138">
        <v>8</v>
      </c>
      <c r="I16" s="137">
        <v>11</v>
      </c>
      <c r="J16" s="129">
        <v>8</v>
      </c>
      <c r="K16" s="129">
        <v>10</v>
      </c>
      <c r="L16" s="131">
        <v>9</v>
      </c>
      <c r="M16" s="132">
        <v>11</v>
      </c>
      <c r="N16" s="133">
        <v>9</v>
      </c>
      <c r="O16" s="103">
        <v>10</v>
      </c>
      <c r="P16" s="134">
        <v>8</v>
      </c>
      <c r="Q16" s="135">
        <v>9</v>
      </c>
      <c r="R16" s="121">
        <f t="shared" si="0"/>
        <v>9.1428571428571423</v>
      </c>
      <c r="S16" s="122">
        <f t="shared" si="1"/>
        <v>68.571428571428569</v>
      </c>
    </row>
    <row r="17" spans="1:19" ht="15" customHeight="1">
      <c r="A17" s="123" t="s">
        <v>65</v>
      </c>
      <c r="B17" s="124">
        <v>7</v>
      </c>
      <c r="C17" s="125" t="s">
        <v>32</v>
      </c>
      <c r="D17" s="126">
        <v>8</v>
      </c>
      <c r="E17" s="127">
        <v>10</v>
      </c>
      <c r="F17" s="98">
        <v>8</v>
      </c>
      <c r="G17" s="99">
        <v>8</v>
      </c>
      <c r="H17" s="138">
        <v>8</v>
      </c>
      <c r="I17" s="137">
        <v>10</v>
      </c>
      <c r="J17" s="129">
        <v>7</v>
      </c>
      <c r="K17" s="129">
        <v>10</v>
      </c>
      <c r="L17" s="131">
        <v>10</v>
      </c>
      <c r="M17" s="132">
        <v>11</v>
      </c>
      <c r="N17" s="133">
        <v>8</v>
      </c>
      <c r="O17" s="103">
        <v>10</v>
      </c>
      <c r="P17" s="134">
        <v>8</v>
      </c>
      <c r="Q17" s="135">
        <v>10</v>
      </c>
      <c r="R17" s="121">
        <f t="shared" si="0"/>
        <v>9</v>
      </c>
      <c r="S17" s="122">
        <f t="shared" si="1"/>
        <v>67.5</v>
      </c>
    </row>
    <row r="18" spans="1:19" ht="15.75" customHeight="1">
      <c r="A18" s="123" t="s">
        <v>65</v>
      </c>
      <c r="B18" s="124">
        <v>8</v>
      </c>
      <c r="C18" s="125" t="s">
        <v>35</v>
      </c>
      <c r="D18" s="126">
        <v>7</v>
      </c>
      <c r="E18" s="127">
        <v>9</v>
      </c>
      <c r="F18" s="98">
        <v>8</v>
      </c>
      <c r="G18" s="99">
        <v>8</v>
      </c>
      <c r="H18" s="138">
        <v>8</v>
      </c>
      <c r="I18" s="137">
        <v>8</v>
      </c>
      <c r="J18" s="129">
        <v>8</v>
      </c>
      <c r="K18" s="129">
        <v>10</v>
      </c>
      <c r="L18" s="131">
        <v>9</v>
      </c>
      <c r="M18" s="132">
        <v>10</v>
      </c>
      <c r="N18" s="133">
        <v>7</v>
      </c>
      <c r="O18" s="103">
        <v>9</v>
      </c>
      <c r="P18" s="134">
        <v>9</v>
      </c>
      <c r="Q18" s="135">
        <v>9</v>
      </c>
      <c r="R18" s="121">
        <f t="shared" si="0"/>
        <v>8.5</v>
      </c>
      <c r="S18" s="122">
        <f t="shared" si="1"/>
        <v>63.75</v>
      </c>
    </row>
    <row r="19" spans="1:19" ht="15.75" customHeight="1">
      <c r="A19" s="2" t="s">
        <v>65</v>
      </c>
      <c r="B19" s="3">
        <v>9</v>
      </c>
      <c r="C19" s="61" t="s">
        <v>33</v>
      </c>
      <c r="D19" s="58">
        <v>7</v>
      </c>
      <c r="E19" s="27">
        <v>8</v>
      </c>
      <c r="F19" s="28">
        <v>8</v>
      </c>
      <c r="G19" s="25">
        <v>7</v>
      </c>
      <c r="H19" s="14">
        <v>8</v>
      </c>
      <c r="I19" s="23">
        <v>9</v>
      </c>
      <c r="J19" s="18">
        <v>9</v>
      </c>
      <c r="K19" s="18">
        <v>10</v>
      </c>
      <c r="L19" s="29">
        <v>7</v>
      </c>
      <c r="M19" s="36">
        <v>10</v>
      </c>
      <c r="N19" s="37">
        <v>7</v>
      </c>
      <c r="O19" s="39">
        <v>9</v>
      </c>
      <c r="P19" s="41">
        <v>6</v>
      </c>
      <c r="Q19" s="44">
        <v>9</v>
      </c>
      <c r="R19" s="22">
        <f t="shared" si="0"/>
        <v>8.1428571428571423</v>
      </c>
      <c r="S19" s="43">
        <f t="shared" si="1"/>
        <v>61.071428571428562</v>
      </c>
    </row>
    <row r="20" spans="1:19" ht="15.75" customHeight="1">
      <c r="A20" s="2" t="s">
        <v>65</v>
      </c>
      <c r="B20" s="3">
        <v>10</v>
      </c>
      <c r="C20" s="61" t="s">
        <v>36</v>
      </c>
      <c r="D20" s="58">
        <v>6</v>
      </c>
      <c r="E20" s="27">
        <v>9</v>
      </c>
      <c r="F20" s="28">
        <v>7</v>
      </c>
      <c r="G20" s="25">
        <v>5</v>
      </c>
      <c r="H20" s="14">
        <v>8</v>
      </c>
      <c r="I20" s="23">
        <v>9</v>
      </c>
      <c r="J20" s="18">
        <v>7</v>
      </c>
      <c r="K20" s="18">
        <v>8</v>
      </c>
      <c r="L20" s="29">
        <v>8</v>
      </c>
      <c r="M20" s="36">
        <v>11</v>
      </c>
      <c r="N20" s="37">
        <v>9</v>
      </c>
      <c r="O20" s="39">
        <v>7</v>
      </c>
      <c r="P20" s="41">
        <v>9</v>
      </c>
      <c r="Q20" s="44">
        <v>6</v>
      </c>
      <c r="R20" s="22">
        <f t="shared" si="0"/>
        <v>7.7857142857142856</v>
      </c>
      <c r="S20" s="43">
        <f t="shared" si="1"/>
        <v>58.392857142857139</v>
      </c>
    </row>
    <row r="21" spans="1:19" ht="15.75" customHeight="1">
      <c r="A21" s="2" t="s">
        <v>65</v>
      </c>
      <c r="B21" s="3">
        <v>11</v>
      </c>
      <c r="C21" s="61" t="s">
        <v>31</v>
      </c>
      <c r="D21" s="58">
        <v>7</v>
      </c>
      <c r="E21" s="27">
        <v>10</v>
      </c>
      <c r="F21" s="28">
        <v>6</v>
      </c>
      <c r="G21" s="25">
        <v>6</v>
      </c>
      <c r="H21" s="14">
        <v>7</v>
      </c>
      <c r="I21" s="24">
        <v>11</v>
      </c>
      <c r="J21" s="18">
        <v>6</v>
      </c>
      <c r="K21" s="18">
        <v>6</v>
      </c>
      <c r="L21" s="29">
        <v>6</v>
      </c>
      <c r="M21" s="36">
        <v>11</v>
      </c>
      <c r="N21" s="37">
        <v>8</v>
      </c>
      <c r="O21" s="39">
        <v>9</v>
      </c>
      <c r="P21" s="41">
        <v>7</v>
      </c>
      <c r="Q21" s="44">
        <v>8</v>
      </c>
      <c r="R21" s="22">
        <f t="shared" si="0"/>
        <v>7.7142857142857144</v>
      </c>
      <c r="S21" s="43">
        <f t="shared" si="1"/>
        <v>57.857142857142861</v>
      </c>
    </row>
    <row r="22" spans="1:19" ht="15.75" customHeight="1">
      <c r="A22" s="2" t="s">
        <v>65</v>
      </c>
      <c r="B22" s="11">
        <v>12</v>
      </c>
      <c r="C22" s="61" t="s">
        <v>26</v>
      </c>
      <c r="D22" s="58">
        <v>7</v>
      </c>
      <c r="E22" s="27">
        <v>9</v>
      </c>
      <c r="F22" s="28">
        <v>6</v>
      </c>
      <c r="G22" s="25">
        <v>7</v>
      </c>
      <c r="H22" s="14">
        <v>8</v>
      </c>
      <c r="I22" s="24">
        <v>7</v>
      </c>
      <c r="J22" s="18">
        <v>7</v>
      </c>
      <c r="K22" s="18">
        <v>6</v>
      </c>
      <c r="L22" s="29">
        <v>7</v>
      </c>
      <c r="M22" s="35">
        <v>11</v>
      </c>
      <c r="N22" s="37">
        <v>8</v>
      </c>
      <c r="O22" s="39">
        <v>8</v>
      </c>
      <c r="P22" s="41">
        <v>8</v>
      </c>
      <c r="Q22" s="18">
        <v>8</v>
      </c>
      <c r="R22" s="22">
        <f t="shared" si="0"/>
        <v>7.6428571428571432</v>
      </c>
      <c r="S22" s="43">
        <f t="shared" si="1"/>
        <v>57.321428571428577</v>
      </c>
    </row>
    <row r="23" spans="1:19" ht="15.75" customHeight="1">
      <c r="A23" s="2" t="s">
        <v>65</v>
      </c>
      <c r="B23" s="11">
        <v>13</v>
      </c>
      <c r="C23" s="61" t="s">
        <v>44</v>
      </c>
      <c r="D23" s="58">
        <v>6</v>
      </c>
      <c r="E23" s="27">
        <v>8</v>
      </c>
      <c r="F23" s="28">
        <v>7</v>
      </c>
      <c r="G23" s="25">
        <v>8</v>
      </c>
      <c r="H23" s="14">
        <v>6</v>
      </c>
      <c r="I23" s="24">
        <v>9</v>
      </c>
      <c r="J23" s="18">
        <v>6</v>
      </c>
      <c r="K23" s="18">
        <v>9</v>
      </c>
      <c r="L23" s="29">
        <v>9</v>
      </c>
      <c r="M23" s="36">
        <v>10</v>
      </c>
      <c r="N23" s="37">
        <v>7</v>
      </c>
      <c r="O23" s="39">
        <v>8</v>
      </c>
      <c r="P23" s="41">
        <v>6</v>
      </c>
      <c r="Q23" s="44">
        <v>8</v>
      </c>
      <c r="R23" s="22">
        <f t="shared" si="0"/>
        <v>7.6428571428571432</v>
      </c>
      <c r="S23" s="43">
        <f t="shared" si="1"/>
        <v>57.321428571428577</v>
      </c>
    </row>
    <row r="24" spans="1:19" s="10" customFormat="1" ht="15.75" customHeight="1">
      <c r="A24" s="2" t="s">
        <v>65</v>
      </c>
      <c r="B24" s="11">
        <v>14</v>
      </c>
      <c r="C24" s="61" t="s">
        <v>27</v>
      </c>
      <c r="D24" s="58">
        <v>6</v>
      </c>
      <c r="E24" s="27">
        <v>10</v>
      </c>
      <c r="F24" s="28">
        <v>7</v>
      </c>
      <c r="G24" s="25">
        <v>7</v>
      </c>
      <c r="H24" s="14">
        <v>7</v>
      </c>
      <c r="I24" s="24">
        <v>8</v>
      </c>
      <c r="J24" s="18">
        <v>5</v>
      </c>
      <c r="K24" s="18">
        <v>9</v>
      </c>
      <c r="L24" s="29">
        <v>7</v>
      </c>
      <c r="M24" s="36">
        <v>9</v>
      </c>
      <c r="N24" s="37">
        <v>7</v>
      </c>
      <c r="O24" s="39">
        <v>8</v>
      </c>
      <c r="P24" s="41">
        <v>8</v>
      </c>
      <c r="Q24" s="44">
        <v>7</v>
      </c>
      <c r="R24" s="22">
        <f t="shared" si="0"/>
        <v>7.5</v>
      </c>
      <c r="S24" s="43">
        <f t="shared" si="1"/>
        <v>56.25</v>
      </c>
    </row>
    <row r="25" spans="1:19" s="10" customFormat="1" ht="15.75" customHeight="1">
      <c r="A25" s="2" t="s">
        <v>65</v>
      </c>
      <c r="B25" s="11">
        <v>15</v>
      </c>
      <c r="C25" s="61" t="s">
        <v>47</v>
      </c>
      <c r="D25" s="58">
        <v>7</v>
      </c>
      <c r="E25" s="27">
        <v>8</v>
      </c>
      <c r="F25" s="28">
        <v>7</v>
      </c>
      <c r="G25" s="25">
        <v>8</v>
      </c>
      <c r="H25" s="14">
        <v>6</v>
      </c>
      <c r="I25" s="24">
        <v>6</v>
      </c>
      <c r="J25" s="18">
        <v>9</v>
      </c>
      <c r="K25" s="18">
        <v>9</v>
      </c>
      <c r="L25" s="29">
        <v>8</v>
      </c>
      <c r="M25" s="36">
        <v>9</v>
      </c>
      <c r="N25" s="37">
        <v>5</v>
      </c>
      <c r="O25" s="39">
        <v>7</v>
      </c>
      <c r="P25" s="41">
        <v>6</v>
      </c>
      <c r="Q25" s="44">
        <v>10</v>
      </c>
      <c r="R25" s="22">
        <f t="shared" si="0"/>
        <v>7.5</v>
      </c>
      <c r="S25" s="43">
        <f t="shared" si="1"/>
        <v>56.25</v>
      </c>
    </row>
    <row r="26" spans="1:19" s="10" customFormat="1" ht="15.75" customHeight="1">
      <c r="A26" s="2" t="s">
        <v>65</v>
      </c>
      <c r="B26" s="11">
        <v>16</v>
      </c>
      <c r="C26" s="61" t="s">
        <v>38</v>
      </c>
      <c r="D26" s="58">
        <v>5</v>
      </c>
      <c r="E26" s="27">
        <v>8</v>
      </c>
      <c r="F26" s="28">
        <v>5</v>
      </c>
      <c r="G26" s="25">
        <v>6</v>
      </c>
      <c r="H26" s="14">
        <v>4</v>
      </c>
      <c r="I26" s="24">
        <v>7</v>
      </c>
      <c r="J26" s="18">
        <v>6</v>
      </c>
      <c r="K26" s="18">
        <v>9</v>
      </c>
      <c r="L26" s="29">
        <v>8</v>
      </c>
      <c r="M26" s="36">
        <v>9</v>
      </c>
      <c r="N26" s="37">
        <v>6</v>
      </c>
      <c r="O26" s="39">
        <v>7</v>
      </c>
      <c r="P26" s="41">
        <v>6</v>
      </c>
      <c r="Q26" s="44">
        <v>7</v>
      </c>
      <c r="R26" s="22">
        <f t="shared" si="0"/>
        <v>6.6428571428571432</v>
      </c>
      <c r="S26" s="43">
        <f t="shared" si="1"/>
        <v>49.821428571428577</v>
      </c>
    </row>
    <row r="27" spans="1:19" s="10" customFormat="1" ht="15.75" customHeight="1">
      <c r="A27" s="2" t="s">
        <v>65</v>
      </c>
      <c r="B27" s="11">
        <v>17</v>
      </c>
      <c r="C27" s="61" t="s">
        <v>41</v>
      </c>
      <c r="D27" s="58">
        <v>5</v>
      </c>
      <c r="E27" s="27">
        <v>8</v>
      </c>
      <c r="F27" s="28">
        <v>4</v>
      </c>
      <c r="G27" s="25">
        <v>8</v>
      </c>
      <c r="H27" s="14">
        <v>6</v>
      </c>
      <c r="I27" s="24">
        <v>6</v>
      </c>
      <c r="J27" s="18">
        <v>6</v>
      </c>
      <c r="K27" s="18">
        <v>5</v>
      </c>
      <c r="L27" s="29">
        <v>6</v>
      </c>
      <c r="M27" s="36">
        <v>10</v>
      </c>
      <c r="N27" s="37">
        <v>5</v>
      </c>
      <c r="O27" s="39">
        <v>8</v>
      </c>
      <c r="P27" s="41">
        <v>8</v>
      </c>
      <c r="Q27" s="44">
        <v>6</v>
      </c>
      <c r="R27" s="22">
        <f t="shared" si="0"/>
        <v>6.5</v>
      </c>
      <c r="S27" s="43">
        <f t="shared" si="1"/>
        <v>48.75</v>
      </c>
    </row>
    <row r="28" spans="1:19" s="10" customFormat="1" ht="15.75" customHeight="1">
      <c r="A28" s="66" t="s">
        <v>65</v>
      </c>
      <c r="B28" s="11">
        <v>18</v>
      </c>
      <c r="C28" s="67" t="s">
        <v>49</v>
      </c>
      <c r="D28" s="68">
        <v>5</v>
      </c>
      <c r="E28" s="69">
        <v>9</v>
      </c>
      <c r="F28" s="70">
        <v>4</v>
      </c>
      <c r="G28" s="71">
        <v>6</v>
      </c>
      <c r="H28" s="30">
        <v>5</v>
      </c>
      <c r="I28" s="72">
        <v>5</v>
      </c>
      <c r="J28" s="73">
        <v>7</v>
      </c>
      <c r="K28" s="73">
        <v>5</v>
      </c>
      <c r="L28" s="74">
        <v>5</v>
      </c>
      <c r="M28" s="75">
        <v>10</v>
      </c>
      <c r="N28" s="76">
        <v>7</v>
      </c>
      <c r="O28" s="77">
        <v>6</v>
      </c>
      <c r="P28" s="57">
        <v>5</v>
      </c>
      <c r="Q28" s="78">
        <v>4</v>
      </c>
      <c r="R28" s="79">
        <f t="shared" si="0"/>
        <v>5.9285714285714288</v>
      </c>
      <c r="S28" s="80">
        <f t="shared" si="1"/>
        <v>44.464285714285715</v>
      </c>
    </row>
    <row r="29" spans="1:19" s="10" customFormat="1" ht="15.75" customHeight="1">
      <c r="A29" s="81" t="s">
        <v>65</v>
      </c>
      <c r="B29" s="81">
        <v>19</v>
      </c>
      <c r="C29" s="82" t="s">
        <v>45</v>
      </c>
      <c r="D29" s="83">
        <v>4</v>
      </c>
      <c r="E29" s="84">
        <v>4</v>
      </c>
      <c r="F29" s="85">
        <v>4</v>
      </c>
      <c r="G29" s="86">
        <v>4</v>
      </c>
      <c r="H29" s="83">
        <v>4</v>
      </c>
      <c r="I29" s="83">
        <v>4</v>
      </c>
      <c r="J29" s="83">
        <v>4</v>
      </c>
      <c r="K29" s="83">
        <v>4</v>
      </c>
      <c r="L29" s="87">
        <v>4</v>
      </c>
      <c r="M29" s="88">
        <v>9</v>
      </c>
      <c r="N29" s="89">
        <v>5</v>
      </c>
      <c r="O29" s="90">
        <v>4</v>
      </c>
      <c r="P29" s="91">
        <v>5</v>
      </c>
      <c r="Q29" s="92">
        <v>6</v>
      </c>
      <c r="R29" s="93">
        <f t="shared" si="0"/>
        <v>4.6428571428571432</v>
      </c>
      <c r="S29" s="93">
        <f t="shared" si="1"/>
        <v>34.821428571428577</v>
      </c>
    </row>
    <row r="30" spans="1:19" ht="15.75" customHeight="1">
      <c r="A30" s="32"/>
      <c r="B30" s="32"/>
      <c r="C30" s="60" t="s">
        <v>18</v>
      </c>
      <c r="D30" s="22">
        <v>19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S30" s="32"/>
    </row>
    <row r="31" spans="1:19" s="140" customFormat="1" ht="15.75" customHeight="1">
      <c r="C31" s="60" t="s">
        <v>68</v>
      </c>
      <c r="D31" s="22">
        <v>7</v>
      </c>
    </row>
    <row r="32" spans="1:19" ht="15.75" customHeight="1">
      <c r="A32" s="32"/>
      <c r="B32" s="32"/>
      <c r="C32" s="6" t="s">
        <v>19</v>
      </c>
      <c r="D32" s="22">
        <v>4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S32" s="32"/>
    </row>
    <row r="33" spans="1:19" ht="15.75" customHeight="1">
      <c r="A33" s="32"/>
      <c r="B33" s="32"/>
      <c r="C33" s="6" t="s">
        <v>20</v>
      </c>
      <c r="D33" s="22">
        <v>8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S33" s="32"/>
    </row>
    <row r="34" spans="1:19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S34" s="32"/>
    </row>
    <row r="35" spans="1:19" ht="15.75" customHeight="1">
      <c r="A35" s="32"/>
      <c r="B35" s="32"/>
      <c r="C35" s="32"/>
      <c r="D35" s="32"/>
      <c r="L35" s="32"/>
      <c r="M35" s="32"/>
      <c r="N35" s="32"/>
      <c r="O35" s="32"/>
      <c r="P35" s="32"/>
      <c r="Q35" s="32"/>
      <c r="S35" s="32"/>
    </row>
    <row r="36" spans="1:19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S36" s="32"/>
    </row>
    <row r="37" spans="1:19" ht="15.75" customHeight="1">
      <c r="A37" s="32"/>
      <c r="B37" s="32"/>
      <c r="C37" s="32"/>
      <c r="D37" s="32"/>
      <c r="E37" s="50" t="s">
        <v>21</v>
      </c>
      <c r="F37" s="50"/>
      <c r="G37" s="50"/>
      <c r="H37" s="51"/>
      <c r="I37" s="51"/>
      <c r="J37" s="50" t="s">
        <v>64</v>
      </c>
      <c r="K37" s="50"/>
      <c r="L37" s="32"/>
      <c r="M37" s="32"/>
      <c r="N37" s="32"/>
      <c r="O37" s="32"/>
      <c r="P37" s="32"/>
      <c r="Q37" s="32"/>
      <c r="S37" s="32"/>
    </row>
    <row r="38" spans="1:19" ht="15.75" customHeight="1">
      <c r="A38" s="32"/>
      <c r="B38" s="32"/>
      <c r="C38" s="32"/>
      <c r="D38" s="32"/>
      <c r="L38" s="32"/>
      <c r="M38" s="32"/>
      <c r="N38" s="32"/>
      <c r="O38" s="32"/>
      <c r="P38" s="32"/>
      <c r="Q38" s="32"/>
      <c r="S38" s="32"/>
    </row>
    <row r="39" spans="1:1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S39" s="32"/>
    </row>
    <row r="40" spans="1:19" ht="15.75" customHeight="1">
      <c r="A40" s="32"/>
      <c r="B40" s="32"/>
      <c r="C40" s="32"/>
      <c r="D40" s="32"/>
      <c r="E40" s="50" t="s">
        <v>22</v>
      </c>
      <c r="F40" s="50"/>
      <c r="G40" s="50"/>
      <c r="H40" s="50"/>
      <c r="I40" s="50"/>
      <c r="J40" s="50" t="s">
        <v>67</v>
      </c>
      <c r="K40" s="50"/>
      <c r="L40" s="32"/>
      <c r="M40" s="32"/>
      <c r="N40" s="32"/>
      <c r="O40" s="32"/>
      <c r="P40" s="32"/>
      <c r="Q40" s="32"/>
      <c r="S40" s="32"/>
    </row>
    <row r="41" spans="1:19" ht="15.75" customHeight="1"/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sortState ref="A11:S30">
    <sortCondition descending="1" ref="R11:R30"/>
  </sortState>
  <mergeCells count="26">
    <mergeCell ref="P8:P10"/>
    <mergeCell ref="Q8:Q10"/>
    <mergeCell ref="S8:S10"/>
    <mergeCell ref="R8:R10"/>
    <mergeCell ref="N8:N10"/>
    <mergeCell ref="J8:J10"/>
    <mergeCell ref="K8:K10"/>
    <mergeCell ref="L8:L10"/>
    <mergeCell ref="M8:M10"/>
    <mergeCell ref="O8:O10"/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</mergeCells>
  <pageMargins left="0.7" right="0.7" top="0.75" bottom="0.75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BONDARENKO</cp:lastModifiedBy>
  <cp:lastPrinted>2020-12-21T07:27:07Z</cp:lastPrinted>
  <dcterms:created xsi:type="dcterms:W3CDTF">2006-09-28T05:33:49Z</dcterms:created>
  <dcterms:modified xsi:type="dcterms:W3CDTF">2020-12-21T07:28:15Z</dcterms:modified>
</cp:coreProperties>
</file>