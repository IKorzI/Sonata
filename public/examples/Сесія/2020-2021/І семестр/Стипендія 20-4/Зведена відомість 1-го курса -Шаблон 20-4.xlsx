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7280" windowHeight="9090"/>
  </bookViews>
  <sheets>
    <sheet name="Зведена відомість" sheetId="2" r:id="rId1"/>
    <sheet name="Рейтингова відомість" sheetId="3" r:id="rId2"/>
  </sheets>
  <definedNames>
    <definedName name="_xlnm._FilterDatabase" localSheetId="1" hidden="1">'Рейтингова відомість'!$C$11:$R$25</definedName>
  </definedNames>
  <calcPr calcId="125725"/>
</workbook>
</file>

<file path=xl/calcChain.xml><?xml version="1.0" encoding="utf-8"?>
<calcChain xmlns="http://schemas.openxmlformats.org/spreadsheetml/2006/main">
  <c r="R29" i="2"/>
  <c r="R25"/>
  <c r="R12" l="1"/>
  <c r="R13"/>
  <c r="R14"/>
  <c r="R15"/>
  <c r="R16"/>
  <c r="R17"/>
  <c r="R18"/>
  <c r="R19"/>
  <c r="R23"/>
  <c r="R24"/>
  <c r="R27"/>
  <c r="R30"/>
  <c r="R31"/>
  <c r="R32"/>
  <c r="R33"/>
  <c r="R34"/>
  <c r="R35"/>
  <c r="R17" i="3"/>
  <c r="R11"/>
  <c r="S11" s="1"/>
  <c r="R15"/>
  <c r="R18"/>
  <c r="R23"/>
  <c r="R22"/>
  <c r="R19"/>
  <c r="R14"/>
  <c r="S17" s="1"/>
  <c r="R12"/>
  <c r="R13"/>
  <c r="R25"/>
  <c r="R20"/>
  <c r="R21"/>
  <c r="R24"/>
  <c r="S23" s="1"/>
  <c r="R16"/>
  <c r="S24" s="1"/>
  <c r="S20" l="1"/>
  <c r="S15"/>
  <c r="S22"/>
  <c r="S14"/>
  <c r="S18"/>
  <c r="S21"/>
  <c r="S13"/>
  <c r="S16"/>
  <c r="S12"/>
  <c r="S19"/>
  <c r="S25"/>
  <c r="D41" i="2"/>
  <c r="D40"/>
  <c r="E37" l="1"/>
  <c r="F37"/>
  <c r="G37"/>
  <c r="H37"/>
  <c r="I37"/>
  <c r="J37"/>
  <c r="K37"/>
  <c r="L37"/>
  <c r="M37"/>
  <c r="N37"/>
  <c r="O37"/>
  <c r="P37"/>
  <c r="Q37"/>
  <c r="D37"/>
  <c r="R37" l="1"/>
</calcChain>
</file>

<file path=xl/sharedStrings.xml><?xml version="1.0" encoding="utf-8"?>
<sst xmlns="http://schemas.openxmlformats.org/spreadsheetml/2006/main" count="190" uniqueCount="82">
  <si>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</si>
  <si>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</si>
  <si>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</si>
  <si>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</si>
  <si>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</si>
  <si>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</si>
  <si>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</si>
  <si>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</si>
  <si>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</si>
  <si>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</si>
  <si>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</si>
  <si>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</si>
  <si>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Зарубіжна література Пруднікова Я.П.</t>
  </si>
  <si>
    <t>ЗВ/ Лазар В.І./  Стельмах Н.Ю.</t>
  </si>
  <si>
    <t>Історія України           Левчук Т.Г.</t>
  </si>
  <si>
    <t>Географія              Наговська Т.С.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</si>
  <si>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</si>
  <si>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</si>
  <si>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</si>
  <si>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</si>
  <si>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</si>
  <si>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</si>
  <si>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</si>
  <si>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</si>
  <si>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</si>
  <si>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</si>
  <si>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</si>
  <si>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</si>
  <si>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Алєксєєнко Юрій Євгенович</t>
  </si>
  <si>
    <t>Бершадська Валерія Максимівна</t>
  </si>
  <si>
    <t>Бондаренко Ігор Олегович</t>
  </si>
  <si>
    <t>Боровенко Данііл Сергійович</t>
  </si>
  <si>
    <t>Гончарук Євгеній Володимирович</t>
  </si>
  <si>
    <t>Гончарук Іван Васильович</t>
  </si>
  <si>
    <t>Гредінар Кирило Дмитрович</t>
  </si>
  <si>
    <t>Грушковський Олексій Валентинович</t>
  </si>
  <si>
    <t>Гуцу Владислав Олександрович</t>
  </si>
  <si>
    <t>Демиденко Дмитро Юрійович</t>
  </si>
  <si>
    <t>Дімов Максим Романович</t>
  </si>
  <si>
    <t>Долганенко Кирило Миколайович</t>
  </si>
  <si>
    <t>Іванов Максим Денисович</t>
  </si>
  <si>
    <t>Іванов Олександр Дмитрович</t>
  </si>
  <si>
    <t>Іванов Павло Якович</t>
  </si>
  <si>
    <t>Кілафли Андрій Андрійович</t>
  </si>
  <si>
    <t>Мойсеєв Нікіта Сергійович</t>
  </si>
  <si>
    <t>Наботов Микола Вячеславович</t>
  </si>
  <si>
    <t>Пенделяк Василь Васильович</t>
  </si>
  <si>
    <t>Пересунько Максим Ігорович</t>
  </si>
  <si>
    <t>Похілько Дмитро Сергійович</t>
  </si>
  <si>
    <t>Рибась Дмитро Юрійович</t>
  </si>
  <si>
    <t>Сарбіатов Данило Андрійович</t>
  </si>
  <si>
    <t>Стаднік Дмитро Олександрович</t>
  </si>
  <si>
    <t>Трегубенко Андрій Тімурович</t>
  </si>
  <si>
    <t>Яковлєв Артур Андрійович</t>
  </si>
  <si>
    <t>н/а</t>
  </si>
  <si>
    <t>Всесвітня історія                  Мирошниченко В.О.</t>
  </si>
  <si>
    <t>Фізичне вихованки  Поляков С.В.</t>
  </si>
  <si>
    <t>Фізика Калюта Н.М.</t>
  </si>
  <si>
    <t>Математика                            Белінська А.С.</t>
  </si>
  <si>
    <t>Іноземна мова                 Кубова Т.М.</t>
  </si>
  <si>
    <t>Успішності студентів спеціальності 141 "Електроенергетика, електроніка та електромеханіка"</t>
  </si>
  <si>
    <t>Група 20-4 курс І</t>
  </si>
  <si>
    <t>Українська мова Брітікова М.В.</t>
  </si>
  <si>
    <t>Хімія Леонова Д.І.</t>
  </si>
  <si>
    <t>Інформатика                Ахрименко В.С.</t>
  </si>
  <si>
    <t>Біологія           Леонова Д.І.</t>
  </si>
  <si>
    <t>б</t>
  </si>
  <si>
    <t>К</t>
  </si>
  <si>
    <t>Б</t>
  </si>
  <si>
    <t>Інформатика                Охрімчук В.С.</t>
  </si>
  <si>
    <t>М.В. Брітікова</t>
  </si>
  <si>
    <t>М.В.Брітікова</t>
  </si>
  <si>
    <t>-</t>
  </si>
  <si>
    <t>Кількість контрактників</t>
  </si>
  <si>
    <t>н/а    4</t>
  </si>
  <si>
    <t>2       5</t>
  </si>
  <si>
    <t>н/а       5</t>
  </si>
  <si>
    <t>н/а     5</t>
  </si>
  <si>
    <t>н/а       4</t>
  </si>
  <si>
    <t>н/а     4</t>
  </si>
  <si>
    <t>3      4</t>
  </si>
  <si>
    <t>н\а  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</si>
</sst>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3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92D05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45">
    <xf numFmtId="0" fontId="0" fillId="0" borderId="0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6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0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7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  <xf numFmtId="0" fontId="15" fillId="0" borderId="12"/>
  </cellStyleXfs>
  <cellXfs count="107">
    <xf numFmtId="0" fontId="0" fillId="0" borderId="0" xfId="0" applyFont="1" applyAlignment="1"/>
    <xf numFmtId="0" fontId="2" fillId="0" borderId="0" xfId="0" applyFont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13" xfId="0" applyFont="1" applyFill="1" applyBorder="1" applyAlignment="1">
      <alignment horizontal="center" vertical="center" wrapText="1"/>
    </xf>
    <xf numFmtId="164" fontId="11" fillId="0" borderId="4" xfId="0" applyNumberFormat="1" applyFont="1" applyFill="1" applyBorder="1" applyAlignment="1">
      <alignment horizontal="center" vertical="center"/>
    </xf>
    <xf numFmtId="0" fontId="8" fillId="0" borderId="15" xfId="160" applyFont="1" applyBorder="1" applyAlignment="1">
      <alignment horizontal="center" vertical="center" wrapText="1"/>
    </xf>
    <xf numFmtId="0" fontId="8" fillId="0" borderId="15" xfId="227" applyFont="1" applyBorder="1" applyAlignment="1">
      <alignment horizontal="center" vertical="center" wrapText="1"/>
    </xf>
    <xf numFmtId="0" fontId="0" fillId="0" borderId="0" xfId="0" applyFont="1" applyAlignment="1"/>
    <xf numFmtId="0" fontId="13" fillId="0" borderId="15" xfId="191" applyFont="1" applyBorder="1" applyAlignment="1">
      <alignment horizontal="center" wrapText="1"/>
    </xf>
    <xf numFmtId="164" fontId="11" fillId="3" borderId="15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64" fontId="11" fillId="0" borderId="3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0" fontId="4" fillId="2" borderId="5" xfId="0" applyFont="1" applyFill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2" fontId="0" fillId="0" borderId="0" xfId="0" applyNumberFormat="1" applyFont="1" applyAlignment="1"/>
    <xf numFmtId="0" fontId="4" fillId="2" borderId="1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21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15" xfId="18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wrapText="1"/>
    </xf>
    <xf numFmtId="0" fontId="8" fillId="0" borderId="15" xfId="0" applyFont="1" applyFill="1" applyBorder="1" applyAlignment="1">
      <alignment horizontal="center" vertical="center" wrapText="1"/>
    </xf>
    <xf numFmtId="165" fontId="11" fillId="3" borderId="15" xfId="0" applyNumberFormat="1" applyFont="1" applyFill="1" applyBorder="1" applyAlignment="1">
      <alignment horizontal="center" vertical="center"/>
    </xf>
    <xf numFmtId="0" fontId="8" fillId="0" borderId="15" xfId="204" applyFont="1" applyBorder="1" applyAlignment="1">
      <alignment horizontal="center"/>
    </xf>
    <xf numFmtId="0" fontId="13" fillId="0" borderId="15" xfId="0" applyFont="1" applyBorder="1" applyAlignment="1">
      <alignment horizontal="center" vertical="center" wrapText="1"/>
    </xf>
    <xf numFmtId="0" fontId="4" fillId="0" borderId="15" xfId="211" applyFont="1" applyFill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15" xfId="0" applyFont="1" applyFill="1" applyBorder="1" applyAlignment="1">
      <alignment vertical="center" wrapText="1"/>
    </xf>
    <xf numFmtId="164" fontId="12" fillId="3" borderId="15" xfId="0" applyNumberFormat="1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164" fontId="4" fillId="4" borderId="15" xfId="0" applyNumberFormat="1" applyFont="1" applyFill="1" applyBorder="1" applyAlignment="1">
      <alignment horizontal="center" vertical="center"/>
    </xf>
    <xf numFmtId="0" fontId="4" fillId="4" borderId="15" xfId="79" applyFont="1" applyFill="1" applyBorder="1" applyAlignment="1">
      <alignment horizontal="center" vertical="center"/>
    </xf>
    <xf numFmtId="164" fontId="8" fillId="4" borderId="15" xfId="0" applyNumberFormat="1" applyFont="1" applyFill="1" applyBorder="1" applyAlignment="1">
      <alignment horizontal="center" vertical="center"/>
    </xf>
    <xf numFmtId="0" fontId="18" fillId="5" borderId="15" xfId="167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4" fontId="4" fillId="4" borderId="15" xfId="120" applyNumberFormat="1" applyFont="1" applyFill="1" applyBorder="1" applyAlignment="1">
      <alignment horizontal="center" vertical="center"/>
    </xf>
    <xf numFmtId="164" fontId="14" fillId="4" borderId="15" xfId="0" applyNumberFormat="1" applyFont="1" applyFill="1" applyBorder="1" applyAlignment="1">
      <alignment horizontal="center" vertical="center"/>
    </xf>
    <xf numFmtId="2" fontId="4" fillId="4" borderId="15" xfId="79" applyNumberFormat="1" applyFont="1" applyFill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5" xfId="211" applyFont="1" applyFill="1" applyBorder="1" applyAlignment="1">
      <alignment horizontal="center" vertical="center" wrapText="1"/>
    </xf>
    <xf numFmtId="0" fontId="8" fillId="7" borderId="15" xfId="227" applyFont="1" applyFill="1" applyBorder="1" applyAlignment="1">
      <alignment horizontal="center" vertical="center" wrapText="1"/>
    </xf>
    <xf numFmtId="0" fontId="8" fillId="7" borderId="15" xfId="16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8" fillId="7" borderId="15" xfId="180" applyFont="1" applyFill="1" applyBorder="1" applyAlignment="1">
      <alignment horizontal="center"/>
    </xf>
    <xf numFmtId="0" fontId="8" fillId="7" borderId="15" xfId="204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wrapText="1"/>
    </xf>
    <xf numFmtId="0" fontId="13" fillId="7" borderId="15" xfId="191" applyFont="1" applyFill="1" applyBorder="1" applyAlignment="1">
      <alignment horizontal="center" wrapText="1"/>
    </xf>
    <xf numFmtId="0" fontId="13" fillId="7" borderId="15" xfId="0" applyFont="1" applyFill="1" applyBorder="1" applyAlignment="1">
      <alignment horizontal="center" vertical="center" wrapText="1"/>
    </xf>
    <xf numFmtId="164" fontId="11" fillId="8" borderId="3" xfId="0" applyNumberFormat="1" applyFont="1" applyFill="1" applyBorder="1" applyAlignment="1">
      <alignment horizontal="center" vertical="center"/>
    </xf>
    <xf numFmtId="164" fontId="11" fillId="7" borderId="3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4" fillId="0" borderId="24" xfId="0" applyFont="1" applyBorder="1" applyAlignment="1">
      <alignment horizontal="left" vertical="center" wrapText="1"/>
    </xf>
    <xf numFmtId="0" fontId="4" fillId="0" borderId="24" xfId="211" applyFont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vertical="center" wrapText="1"/>
    </xf>
    <xf numFmtId="0" fontId="8" fillId="0" borderId="24" xfId="211" applyFont="1" applyBorder="1" applyAlignment="1">
      <alignment horizontal="left" vertical="center" wrapText="1"/>
    </xf>
    <xf numFmtId="0" fontId="4" fillId="0" borderId="24" xfId="227" applyFont="1" applyBorder="1" applyAlignment="1">
      <alignment horizontal="left" vertical="center" wrapText="1"/>
    </xf>
    <xf numFmtId="0" fontId="8" fillId="0" borderId="24" xfId="160" applyFont="1" applyBorder="1" applyAlignment="1">
      <alignment horizontal="left" vertical="center" wrapText="1"/>
    </xf>
    <xf numFmtId="0" fontId="4" fillId="0" borderId="24" xfId="180" applyFont="1" applyBorder="1" applyAlignment="1">
      <alignment horizontal="left"/>
    </xf>
    <xf numFmtId="0" fontId="13" fillId="0" borderId="24" xfId="0" applyFont="1" applyBorder="1" applyAlignment="1">
      <alignment horizontal="left" wrapText="1"/>
    </xf>
    <xf numFmtId="0" fontId="4" fillId="0" borderId="24" xfId="160" applyFont="1" applyBorder="1" applyAlignment="1">
      <alignment horizontal="left" vertical="center" wrapText="1"/>
    </xf>
    <xf numFmtId="0" fontId="8" fillId="0" borderId="24" xfId="21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textRotation="90" wrapText="1"/>
    </xf>
    <xf numFmtId="0" fontId="5" fillId="0" borderId="1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 textRotation="90" wrapText="1"/>
    </xf>
    <xf numFmtId="0" fontId="19" fillId="2" borderId="18" xfId="0" applyFont="1" applyFill="1" applyBorder="1" applyAlignment="1">
      <alignment horizontal="center" vertical="center" textRotation="90" wrapText="1"/>
    </xf>
    <xf numFmtId="0" fontId="6" fillId="2" borderId="19" xfId="0" applyFont="1" applyFill="1" applyBorder="1" applyAlignment="1">
      <alignment horizontal="center" vertical="center" textRotation="90" wrapText="1"/>
    </xf>
    <xf numFmtId="0" fontId="6" fillId="2" borderId="20" xfId="0" applyFont="1" applyFill="1" applyBorder="1" applyAlignment="1">
      <alignment horizontal="center" vertical="center" textRotation="90" wrapText="1"/>
    </xf>
    <xf numFmtId="0" fontId="19" fillId="0" borderId="17" xfId="0" applyFont="1" applyBorder="1" applyAlignment="1">
      <alignment horizontal="center" vertical="center" textRotation="90" wrapText="1"/>
    </xf>
    <xf numFmtId="0" fontId="19" fillId="0" borderId="16" xfId="0" applyFont="1" applyBorder="1" applyAlignment="1">
      <alignment horizontal="center" vertical="center" textRotation="90" wrapText="1"/>
    </xf>
    <xf numFmtId="0" fontId="19" fillId="0" borderId="21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3"/>
  <sheetViews>
    <sheetView tabSelected="1" zoomScale="80" zoomScaleNormal="80" workbookViewId="0">
      <selection activeCell="M29" sqref="M29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9" ht="15" customHeight="1">
      <c r="A1" s="83" t="s">
        <v>16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"/>
      <c r="Q1" s="1"/>
      <c r="R1" s="1"/>
    </row>
    <row r="2" spans="1:19" ht="15" customHeight="1">
      <c r="A2" s="83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1"/>
      <c r="Q2" s="1"/>
      <c r="R2" s="1"/>
    </row>
    <row r="3" spans="1:19" ht="15" customHeight="1">
      <c r="A3" s="85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"/>
      <c r="Q3" s="1"/>
      <c r="R3" s="1"/>
    </row>
    <row r="4" spans="1:19" ht="15" customHeight="1">
      <c r="A4" s="83" t="s">
        <v>60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"/>
      <c r="Q4" s="1"/>
      <c r="R4" s="1"/>
    </row>
    <row r="5" spans="1:19" ht="15" customHeight="1">
      <c r="A5" s="83" t="s">
        <v>17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1"/>
      <c r="Q5" s="1"/>
      <c r="R5" s="1"/>
    </row>
    <row r="6" spans="1:19" ht="15" customHeight="1">
      <c r="A6" s="83" t="s">
        <v>61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1"/>
      <c r="Q6" s="1"/>
      <c r="R6" s="1"/>
    </row>
    <row r="7" spans="1:19" ht="15" customHeight="1">
      <c r="A7" s="86" t="s">
        <v>2</v>
      </c>
      <c r="B7" s="87" t="s">
        <v>3</v>
      </c>
      <c r="C7" s="87" t="s">
        <v>4</v>
      </c>
      <c r="D7" s="88" t="s">
        <v>18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</row>
    <row r="8" spans="1:19" ht="15" customHeight="1">
      <c r="A8" s="82"/>
      <c r="B8" s="82"/>
      <c r="C8" s="82"/>
      <c r="D8" s="81" t="s">
        <v>11</v>
      </c>
      <c r="E8" s="81" t="s">
        <v>55</v>
      </c>
      <c r="F8" s="81" t="s">
        <v>58</v>
      </c>
      <c r="G8" s="81" t="s">
        <v>57</v>
      </c>
      <c r="H8" s="81" t="s">
        <v>63</v>
      </c>
      <c r="I8" s="81" t="s">
        <v>69</v>
      </c>
      <c r="J8" s="81" t="s">
        <v>62</v>
      </c>
      <c r="K8" s="81" t="s">
        <v>12</v>
      </c>
      <c r="L8" s="81" t="s">
        <v>65</v>
      </c>
      <c r="M8" s="81" t="s">
        <v>56</v>
      </c>
      <c r="N8" s="81" t="s">
        <v>59</v>
      </c>
      <c r="O8" s="81" t="s">
        <v>13</v>
      </c>
      <c r="P8" s="81" t="s">
        <v>14</v>
      </c>
      <c r="Q8" s="81" t="s">
        <v>15</v>
      </c>
      <c r="R8" s="89" t="s">
        <v>5</v>
      </c>
    </row>
    <row r="9" spans="1:19" ht="15" customHeight="1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</row>
    <row r="10" spans="1:19" ht="76.5" customHeight="1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</row>
    <row r="11" spans="1:19" ht="15" customHeight="1">
      <c r="A11" s="22" t="s">
        <v>67</v>
      </c>
      <c r="B11" s="22">
        <v>1</v>
      </c>
      <c r="C11" s="23" t="s">
        <v>28</v>
      </c>
      <c r="D11" s="24">
        <v>4</v>
      </c>
      <c r="E11" s="74">
        <v>2</v>
      </c>
      <c r="F11" s="75" t="s">
        <v>54</v>
      </c>
      <c r="G11" s="76">
        <v>2</v>
      </c>
      <c r="H11" s="70" t="s">
        <v>54</v>
      </c>
      <c r="I11" s="70" t="s">
        <v>54</v>
      </c>
      <c r="J11" s="24">
        <v>5</v>
      </c>
      <c r="K11" s="24">
        <v>4</v>
      </c>
      <c r="L11" s="77" t="s">
        <v>54</v>
      </c>
      <c r="M11" s="28">
        <v>8</v>
      </c>
      <c r="N11" s="78" t="s">
        <v>54</v>
      </c>
      <c r="O11" s="14">
        <v>4</v>
      </c>
      <c r="P11" s="30">
        <v>5</v>
      </c>
      <c r="Q11" s="24">
        <v>4</v>
      </c>
      <c r="R11" s="31" t="s">
        <v>72</v>
      </c>
      <c r="S11" s="21"/>
    </row>
    <row r="12" spans="1:19" ht="15" customHeight="1">
      <c r="A12" s="22" t="s">
        <v>68</v>
      </c>
      <c r="B12" s="22">
        <v>2</v>
      </c>
      <c r="C12" s="23" t="s">
        <v>29</v>
      </c>
      <c r="D12" s="24">
        <v>8</v>
      </c>
      <c r="E12" s="25">
        <v>10</v>
      </c>
      <c r="F12" s="12">
        <v>10</v>
      </c>
      <c r="G12" s="11">
        <v>10</v>
      </c>
      <c r="H12" s="24">
        <v>9</v>
      </c>
      <c r="I12" s="26">
        <v>10</v>
      </c>
      <c r="J12" s="24">
        <v>10</v>
      </c>
      <c r="K12" s="24">
        <v>10</v>
      </c>
      <c r="L12" s="27">
        <v>9</v>
      </c>
      <c r="M12" s="32">
        <v>10</v>
      </c>
      <c r="N12" s="29">
        <v>10</v>
      </c>
      <c r="O12" s="14">
        <v>10</v>
      </c>
      <c r="P12" s="30">
        <v>9</v>
      </c>
      <c r="Q12" s="33">
        <v>10</v>
      </c>
      <c r="R12" s="15">
        <f t="shared" ref="R12:R37" si="0">AVERAGE(D12:Q12)</f>
        <v>9.6428571428571423</v>
      </c>
    </row>
    <row r="13" spans="1:19" ht="15" customHeight="1">
      <c r="A13" s="22" t="s">
        <v>68</v>
      </c>
      <c r="B13" s="22">
        <v>3</v>
      </c>
      <c r="C13" s="23" t="s">
        <v>30</v>
      </c>
      <c r="D13" s="24">
        <v>7</v>
      </c>
      <c r="E13" s="25">
        <v>7</v>
      </c>
      <c r="F13" s="12">
        <v>8</v>
      </c>
      <c r="G13" s="11">
        <v>7</v>
      </c>
      <c r="H13" s="24">
        <v>7</v>
      </c>
      <c r="I13" s="26">
        <v>9</v>
      </c>
      <c r="J13" s="24">
        <v>8</v>
      </c>
      <c r="K13" s="24">
        <v>9</v>
      </c>
      <c r="L13" s="27">
        <v>7</v>
      </c>
      <c r="M13" s="32">
        <v>10</v>
      </c>
      <c r="N13" s="29">
        <v>7</v>
      </c>
      <c r="O13" s="14">
        <v>9</v>
      </c>
      <c r="P13" s="30">
        <v>8</v>
      </c>
      <c r="Q13" s="33">
        <v>8</v>
      </c>
      <c r="R13" s="15">
        <f t="shared" si="0"/>
        <v>7.9285714285714288</v>
      </c>
    </row>
    <row r="14" spans="1:19" ht="15" customHeight="1">
      <c r="A14" s="22" t="s">
        <v>67</v>
      </c>
      <c r="B14" s="22">
        <v>4</v>
      </c>
      <c r="C14" s="23" t="s">
        <v>31</v>
      </c>
      <c r="D14" s="24">
        <v>7</v>
      </c>
      <c r="E14" s="25">
        <v>6</v>
      </c>
      <c r="F14" s="12">
        <v>6</v>
      </c>
      <c r="G14" s="11">
        <v>7</v>
      </c>
      <c r="H14" s="24">
        <v>5</v>
      </c>
      <c r="I14" s="26">
        <v>8</v>
      </c>
      <c r="J14" s="24">
        <v>8</v>
      </c>
      <c r="K14" s="24">
        <v>5</v>
      </c>
      <c r="L14" s="27">
        <v>6</v>
      </c>
      <c r="M14" s="32">
        <v>9</v>
      </c>
      <c r="N14" s="29">
        <v>8</v>
      </c>
      <c r="O14" s="14">
        <v>8</v>
      </c>
      <c r="P14" s="30">
        <v>8</v>
      </c>
      <c r="Q14" s="33">
        <v>8</v>
      </c>
      <c r="R14" s="15">
        <f t="shared" si="0"/>
        <v>7.0714285714285712</v>
      </c>
    </row>
    <row r="15" spans="1:19" ht="15" customHeight="1">
      <c r="A15" s="22" t="s">
        <v>68</v>
      </c>
      <c r="B15" s="22">
        <v>5</v>
      </c>
      <c r="C15" s="23" t="s">
        <v>32</v>
      </c>
      <c r="D15" s="24">
        <v>6</v>
      </c>
      <c r="E15" s="34">
        <v>7</v>
      </c>
      <c r="F15" s="12">
        <v>8</v>
      </c>
      <c r="G15" s="11">
        <v>7</v>
      </c>
      <c r="H15" s="24">
        <v>7</v>
      </c>
      <c r="I15" s="26">
        <v>7</v>
      </c>
      <c r="J15" s="24">
        <v>8</v>
      </c>
      <c r="K15" s="24">
        <v>7</v>
      </c>
      <c r="L15" s="27">
        <v>7</v>
      </c>
      <c r="M15" s="32">
        <v>10</v>
      </c>
      <c r="N15" s="29">
        <v>8</v>
      </c>
      <c r="O15" s="14">
        <v>9</v>
      </c>
      <c r="P15" s="30">
        <v>6</v>
      </c>
      <c r="Q15" s="33">
        <v>8</v>
      </c>
      <c r="R15" s="15">
        <f t="shared" si="0"/>
        <v>7.5</v>
      </c>
    </row>
    <row r="16" spans="1:19" ht="15" customHeight="1">
      <c r="A16" s="22" t="s">
        <v>68</v>
      </c>
      <c r="B16" s="22">
        <v>6</v>
      </c>
      <c r="C16" s="23" t="s">
        <v>33</v>
      </c>
      <c r="D16" s="24">
        <v>6</v>
      </c>
      <c r="E16" s="25">
        <v>5</v>
      </c>
      <c r="F16" s="12">
        <v>4</v>
      </c>
      <c r="G16" s="11">
        <v>6</v>
      </c>
      <c r="H16" s="24">
        <v>4</v>
      </c>
      <c r="I16" s="26">
        <v>5</v>
      </c>
      <c r="J16" s="24">
        <v>6</v>
      </c>
      <c r="K16" s="24">
        <v>6</v>
      </c>
      <c r="L16" s="27">
        <v>7</v>
      </c>
      <c r="M16" s="32">
        <v>7</v>
      </c>
      <c r="N16" s="29">
        <v>7</v>
      </c>
      <c r="O16" s="14">
        <v>8</v>
      </c>
      <c r="P16" s="30">
        <v>6</v>
      </c>
      <c r="Q16" s="33">
        <v>7</v>
      </c>
      <c r="R16" s="15">
        <f t="shared" si="0"/>
        <v>6</v>
      </c>
    </row>
    <row r="17" spans="1:18" ht="15" customHeight="1">
      <c r="A17" s="22" t="s">
        <v>68</v>
      </c>
      <c r="B17" s="22">
        <v>7</v>
      </c>
      <c r="C17" s="23" t="s">
        <v>34</v>
      </c>
      <c r="D17" s="24">
        <v>5</v>
      </c>
      <c r="E17" s="25">
        <v>5</v>
      </c>
      <c r="F17" s="12">
        <v>5</v>
      </c>
      <c r="G17" s="11">
        <v>6</v>
      </c>
      <c r="H17" s="24">
        <v>6</v>
      </c>
      <c r="I17" s="26">
        <v>5</v>
      </c>
      <c r="J17" s="24">
        <v>7</v>
      </c>
      <c r="K17" s="24">
        <v>9</v>
      </c>
      <c r="L17" s="27">
        <v>7</v>
      </c>
      <c r="M17" s="32">
        <v>7</v>
      </c>
      <c r="N17" s="29">
        <v>7</v>
      </c>
      <c r="O17" s="14">
        <v>8</v>
      </c>
      <c r="P17" s="30">
        <v>4</v>
      </c>
      <c r="Q17" s="33">
        <v>7</v>
      </c>
      <c r="R17" s="15">
        <f t="shared" si="0"/>
        <v>6.2857142857142856</v>
      </c>
    </row>
    <row r="18" spans="1:18" ht="15" customHeight="1">
      <c r="A18" s="22" t="s">
        <v>68</v>
      </c>
      <c r="B18" s="22">
        <v>8</v>
      </c>
      <c r="C18" s="23" t="s">
        <v>35</v>
      </c>
      <c r="D18" s="24">
        <v>8</v>
      </c>
      <c r="E18" s="25">
        <v>6</v>
      </c>
      <c r="F18" s="12">
        <v>5</v>
      </c>
      <c r="G18" s="11">
        <v>8</v>
      </c>
      <c r="H18" s="24">
        <v>7</v>
      </c>
      <c r="I18" s="26">
        <v>7</v>
      </c>
      <c r="J18" s="24">
        <v>7</v>
      </c>
      <c r="K18" s="24">
        <v>10</v>
      </c>
      <c r="L18" s="27">
        <v>6</v>
      </c>
      <c r="M18" s="32">
        <v>8</v>
      </c>
      <c r="N18" s="29">
        <v>8</v>
      </c>
      <c r="O18" s="14">
        <v>9</v>
      </c>
      <c r="P18" s="30">
        <v>8</v>
      </c>
      <c r="Q18" s="33">
        <v>8</v>
      </c>
      <c r="R18" s="15">
        <f t="shared" si="0"/>
        <v>7.5</v>
      </c>
    </row>
    <row r="19" spans="1:18" ht="15" customHeight="1">
      <c r="A19" s="22" t="s">
        <v>68</v>
      </c>
      <c r="B19" s="22">
        <v>9</v>
      </c>
      <c r="C19" s="23" t="s">
        <v>36</v>
      </c>
      <c r="D19" s="24">
        <v>8</v>
      </c>
      <c r="E19" s="25">
        <v>8</v>
      </c>
      <c r="F19" s="12">
        <v>8</v>
      </c>
      <c r="G19" s="11">
        <v>8</v>
      </c>
      <c r="H19" s="24">
        <v>8</v>
      </c>
      <c r="I19" s="26">
        <v>8</v>
      </c>
      <c r="J19" s="24">
        <v>8</v>
      </c>
      <c r="K19" s="24">
        <v>8</v>
      </c>
      <c r="L19" s="27">
        <v>8</v>
      </c>
      <c r="M19" s="32">
        <v>10</v>
      </c>
      <c r="N19" s="29">
        <v>7</v>
      </c>
      <c r="O19" s="14">
        <v>9</v>
      </c>
      <c r="P19" s="30">
        <v>7</v>
      </c>
      <c r="Q19" s="33">
        <v>10</v>
      </c>
      <c r="R19" s="15">
        <f t="shared" si="0"/>
        <v>8.2142857142857135</v>
      </c>
    </row>
    <row r="20" spans="1:18" ht="15.75" customHeight="1">
      <c r="A20" s="22" t="s">
        <v>68</v>
      </c>
      <c r="B20" s="22">
        <v>10</v>
      </c>
      <c r="C20" s="23" t="s">
        <v>37</v>
      </c>
      <c r="D20" s="24">
        <v>6</v>
      </c>
      <c r="E20" s="25">
        <v>5</v>
      </c>
      <c r="F20" s="12">
        <v>4</v>
      </c>
      <c r="G20" s="76">
        <v>3</v>
      </c>
      <c r="H20" s="24">
        <v>5</v>
      </c>
      <c r="I20" s="70" t="s">
        <v>79</v>
      </c>
      <c r="J20" s="24">
        <v>5</v>
      </c>
      <c r="K20" s="24">
        <v>10</v>
      </c>
      <c r="L20" s="27">
        <v>5</v>
      </c>
      <c r="M20" s="32">
        <v>8</v>
      </c>
      <c r="N20" s="29">
        <v>4</v>
      </c>
      <c r="O20" s="14">
        <v>8</v>
      </c>
      <c r="P20" s="30">
        <v>5</v>
      </c>
      <c r="Q20" s="33">
        <v>4</v>
      </c>
      <c r="R20" s="15" t="s">
        <v>72</v>
      </c>
    </row>
    <row r="21" spans="1:18" ht="15.75" customHeight="1">
      <c r="A21" s="22" t="s">
        <v>67</v>
      </c>
      <c r="B21" s="22">
        <v>11</v>
      </c>
      <c r="C21" s="23" t="s">
        <v>38</v>
      </c>
      <c r="D21" s="70" t="s">
        <v>79</v>
      </c>
      <c r="E21" s="25">
        <v>4</v>
      </c>
      <c r="F21" s="75" t="s">
        <v>54</v>
      </c>
      <c r="G21" s="79" t="s">
        <v>80</v>
      </c>
      <c r="H21" s="24">
        <v>4</v>
      </c>
      <c r="I21" s="70" t="s">
        <v>74</v>
      </c>
      <c r="J21" s="24">
        <v>4</v>
      </c>
      <c r="K21" s="24">
        <v>4</v>
      </c>
      <c r="L21" s="27">
        <v>4</v>
      </c>
      <c r="M21" s="32">
        <v>7</v>
      </c>
      <c r="N21" s="29">
        <v>4</v>
      </c>
      <c r="O21" s="14">
        <v>4</v>
      </c>
      <c r="P21" s="72" t="s">
        <v>76</v>
      </c>
      <c r="Q21" s="33">
        <v>4</v>
      </c>
      <c r="R21" s="15" t="s">
        <v>72</v>
      </c>
    </row>
    <row r="22" spans="1:18" ht="15.75" customHeight="1">
      <c r="A22" s="22" t="s">
        <v>67</v>
      </c>
      <c r="B22" s="22">
        <v>12</v>
      </c>
      <c r="C22" s="23" t="s">
        <v>39</v>
      </c>
      <c r="D22" s="70" t="s">
        <v>54</v>
      </c>
      <c r="E22" s="80">
        <v>2</v>
      </c>
      <c r="F22" s="12">
        <v>4</v>
      </c>
      <c r="G22" s="11">
        <v>4</v>
      </c>
      <c r="H22" s="24">
        <v>5</v>
      </c>
      <c r="I22" s="70" t="s">
        <v>54</v>
      </c>
      <c r="J22" s="24">
        <v>4</v>
      </c>
      <c r="K22" s="24">
        <v>4</v>
      </c>
      <c r="L22" s="27">
        <v>6</v>
      </c>
      <c r="M22" s="32">
        <v>10</v>
      </c>
      <c r="N22" s="29">
        <v>4</v>
      </c>
      <c r="O22" s="14">
        <v>5</v>
      </c>
      <c r="P22" s="72" t="s">
        <v>54</v>
      </c>
      <c r="Q22" s="33">
        <v>5</v>
      </c>
      <c r="R22" s="15" t="s">
        <v>72</v>
      </c>
    </row>
    <row r="23" spans="1:18" ht="15.75" customHeight="1">
      <c r="A23" s="22" t="s">
        <v>68</v>
      </c>
      <c r="B23" s="22">
        <v>13</v>
      </c>
      <c r="C23" s="23" t="s">
        <v>40</v>
      </c>
      <c r="D23" s="24">
        <v>8</v>
      </c>
      <c r="E23" s="25">
        <v>8</v>
      </c>
      <c r="F23" s="12">
        <v>10</v>
      </c>
      <c r="G23" s="11">
        <v>9</v>
      </c>
      <c r="H23" s="24">
        <v>8</v>
      </c>
      <c r="I23" s="26">
        <v>10</v>
      </c>
      <c r="J23" s="24">
        <v>9</v>
      </c>
      <c r="K23" s="24">
        <v>10</v>
      </c>
      <c r="L23" s="27">
        <v>9</v>
      </c>
      <c r="M23" s="32">
        <v>10</v>
      </c>
      <c r="N23" s="29">
        <v>10</v>
      </c>
      <c r="O23" s="14">
        <v>9</v>
      </c>
      <c r="P23" s="30">
        <v>9</v>
      </c>
      <c r="Q23" s="33">
        <v>9</v>
      </c>
      <c r="R23" s="15">
        <f t="shared" si="0"/>
        <v>9.1428571428571423</v>
      </c>
    </row>
    <row r="24" spans="1:18" ht="15.75" customHeight="1">
      <c r="A24" s="22" t="s">
        <v>67</v>
      </c>
      <c r="B24" s="22">
        <v>14</v>
      </c>
      <c r="C24" s="23" t="s">
        <v>41</v>
      </c>
      <c r="D24" s="24">
        <v>7</v>
      </c>
      <c r="E24" s="25">
        <v>5</v>
      </c>
      <c r="F24" s="12">
        <v>4</v>
      </c>
      <c r="G24" s="11">
        <v>6</v>
      </c>
      <c r="H24" s="24">
        <v>4</v>
      </c>
      <c r="I24" s="26">
        <v>7</v>
      </c>
      <c r="J24" s="24">
        <v>6</v>
      </c>
      <c r="K24" s="24">
        <v>6</v>
      </c>
      <c r="L24" s="27">
        <v>4</v>
      </c>
      <c r="M24" s="32">
        <v>7</v>
      </c>
      <c r="N24" s="29">
        <v>7</v>
      </c>
      <c r="O24" s="14">
        <v>8</v>
      </c>
      <c r="P24" s="30">
        <v>8</v>
      </c>
      <c r="Q24" s="33">
        <v>8</v>
      </c>
      <c r="R24" s="15">
        <f t="shared" si="0"/>
        <v>6.2142857142857144</v>
      </c>
    </row>
    <row r="25" spans="1:18" ht="15.75" customHeight="1">
      <c r="A25" s="22" t="s">
        <v>68</v>
      </c>
      <c r="B25" s="22">
        <v>15</v>
      </c>
      <c r="C25" s="23" t="s">
        <v>42</v>
      </c>
      <c r="D25" s="24">
        <v>8</v>
      </c>
      <c r="E25" s="25">
        <v>10</v>
      </c>
      <c r="F25" s="12">
        <v>8</v>
      </c>
      <c r="G25" s="11">
        <v>10</v>
      </c>
      <c r="H25" s="24">
        <v>9</v>
      </c>
      <c r="I25" s="26">
        <v>9</v>
      </c>
      <c r="J25" s="24">
        <v>8</v>
      </c>
      <c r="K25" s="24">
        <v>11</v>
      </c>
      <c r="L25" s="27">
        <v>9</v>
      </c>
      <c r="M25" s="32">
        <v>8</v>
      </c>
      <c r="N25" s="29">
        <v>7</v>
      </c>
      <c r="O25" s="14">
        <v>10</v>
      </c>
      <c r="P25" s="30">
        <v>9</v>
      </c>
      <c r="Q25" s="33">
        <v>11</v>
      </c>
      <c r="R25" s="15">
        <f>AVERAGE(D25:Q25)</f>
        <v>9.0714285714285712</v>
      </c>
    </row>
    <row r="26" spans="1:18" s="8" customFormat="1" ht="15.75" customHeight="1">
      <c r="A26" s="22" t="s">
        <v>68</v>
      </c>
      <c r="B26" s="22">
        <v>16</v>
      </c>
      <c r="C26" s="23" t="s">
        <v>43</v>
      </c>
      <c r="D26" s="24">
        <v>4</v>
      </c>
      <c r="E26" s="25">
        <v>4</v>
      </c>
      <c r="F26" s="75" t="s">
        <v>54</v>
      </c>
      <c r="G26" s="79" t="s">
        <v>54</v>
      </c>
      <c r="H26" s="24">
        <v>4</v>
      </c>
      <c r="I26" s="70" t="s">
        <v>54</v>
      </c>
      <c r="J26" s="24">
        <v>4</v>
      </c>
      <c r="K26" s="70" t="s">
        <v>54</v>
      </c>
      <c r="L26" s="27">
        <v>4</v>
      </c>
      <c r="M26" s="32">
        <v>8</v>
      </c>
      <c r="N26" s="29">
        <v>5</v>
      </c>
      <c r="O26" s="14">
        <v>6</v>
      </c>
      <c r="P26" s="72" t="s">
        <v>54</v>
      </c>
      <c r="Q26" s="33">
        <v>4</v>
      </c>
      <c r="R26" s="15" t="s">
        <v>72</v>
      </c>
    </row>
    <row r="27" spans="1:18" s="8" customFormat="1" ht="15.75" customHeight="1">
      <c r="A27" s="22" t="s">
        <v>68</v>
      </c>
      <c r="B27" s="22">
        <v>17</v>
      </c>
      <c r="C27" s="23" t="s">
        <v>44</v>
      </c>
      <c r="D27" s="24">
        <v>4</v>
      </c>
      <c r="E27" s="25">
        <v>5</v>
      </c>
      <c r="F27" s="12">
        <v>4</v>
      </c>
      <c r="G27" s="11">
        <v>5</v>
      </c>
      <c r="H27" s="24">
        <v>5</v>
      </c>
      <c r="I27" s="26">
        <v>6</v>
      </c>
      <c r="J27" s="24">
        <v>6</v>
      </c>
      <c r="K27" s="66">
        <v>5</v>
      </c>
      <c r="L27" s="27">
        <v>7</v>
      </c>
      <c r="M27" s="32">
        <v>7</v>
      </c>
      <c r="N27" s="29">
        <v>5</v>
      </c>
      <c r="O27" s="14">
        <v>6</v>
      </c>
      <c r="P27" s="30">
        <v>6</v>
      </c>
      <c r="Q27" s="33">
        <v>6</v>
      </c>
      <c r="R27" s="15">
        <f t="shared" si="0"/>
        <v>5.5</v>
      </c>
    </row>
    <row r="28" spans="1:18" s="8" customFormat="1" ht="15.75" customHeight="1">
      <c r="A28" s="22" t="s">
        <v>67</v>
      </c>
      <c r="B28" s="22">
        <v>18</v>
      </c>
      <c r="C28" s="23" t="s">
        <v>45</v>
      </c>
      <c r="D28" s="73" t="s">
        <v>78</v>
      </c>
      <c r="E28" s="71" t="s">
        <v>75</v>
      </c>
      <c r="F28" s="12">
        <v>4</v>
      </c>
      <c r="G28" s="11">
        <v>4</v>
      </c>
      <c r="H28" s="24">
        <v>4</v>
      </c>
      <c r="I28" s="70" t="s">
        <v>77</v>
      </c>
      <c r="J28" s="24">
        <v>4</v>
      </c>
      <c r="K28" s="24">
        <v>7</v>
      </c>
      <c r="L28" s="27">
        <v>4</v>
      </c>
      <c r="M28" s="32">
        <v>8</v>
      </c>
      <c r="N28" s="29">
        <v>4</v>
      </c>
      <c r="O28" s="14">
        <v>4</v>
      </c>
      <c r="P28" s="72" t="s">
        <v>76</v>
      </c>
      <c r="Q28" s="33">
        <v>4</v>
      </c>
      <c r="R28" s="15" t="s">
        <v>72</v>
      </c>
    </row>
    <row r="29" spans="1:18" s="8" customFormat="1" ht="15.75" customHeight="1">
      <c r="A29" s="22" t="s">
        <v>68</v>
      </c>
      <c r="B29" s="22">
        <v>19</v>
      </c>
      <c r="C29" s="23" t="s">
        <v>46</v>
      </c>
      <c r="D29" s="24">
        <v>8</v>
      </c>
      <c r="E29" s="25">
        <v>6</v>
      </c>
      <c r="F29" s="12">
        <v>6</v>
      </c>
      <c r="G29" s="11">
        <v>6</v>
      </c>
      <c r="H29" s="24">
        <v>7</v>
      </c>
      <c r="I29" s="26">
        <v>6</v>
      </c>
      <c r="J29" s="24">
        <v>8</v>
      </c>
      <c r="K29" s="24">
        <v>7</v>
      </c>
      <c r="L29" s="27">
        <v>7</v>
      </c>
      <c r="M29" s="32">
        <v>10</v>
      </c>
      <c r="N29" s="29">
        <v>8</v>
      </c>
      <c r="O29" s="14">
        <v>9</v>
      </c>
      <c r="P29" s="30">
        <v>8</v>
      </c>
      <c r="Q29" s="33">
        <v>8</v>
      </c>
      <c r="R29" s="15">
        <f t="shared" si="0"/>
        <v>7.4285714285714288</v>
      </c>
    </row>
    <row r="30" spans="1:18" s="8" customFormat="1" ht="15.75" customHeight="1">
      <c r="A30" s="22" t="s">
        <v>68</v>
      </c>
      <c r="B30" s="22">
        <v>20</v>
      </c>
      <c r="C30" s="23" t="s">
        <v>47</v>
      </c>
      <c r="D30" s="24">
        <v>7</v>
      </c>
      <c r="E30" s="25">
        <v>6</v>
      </c>
      <c r="F30" s="12">
        <v>7</v>
      </c>
      <c r="G30" s="11">
        <v>7</v>
      </c>
      <c r="H30" s="24">
        <v>6</v>
      </c>
      <c r="I30" s="26">
        <v>7</v>
      </c>
      <c r="J30" s="24">
        <v>8</v>
      </c>
      <c r="K30" s="24">
        <v>7</v>
      </c>
      <c r="L30" s="27">
        <v>7</v>
      </c>
      <c r="M30" s="32">
        <v>9</v>
      </c>
      <c r="N30" s="29">
        <v>7</v>
      </c>
      <c r="O30" s="14">
        <v>10</v>
      </c>
      <c r="P30" s="30">
        <v>6</v>
      </c>
      <c r="Q30" s="33">
        <v>8</v>
      </c>
      <c r="R30" s="15">
        <f t="shared" si="0"/>
        <v>7.2857142857142856</v>
      </c>
    </row>
    <row r="31" spans="1:18" s="8" customFormat="1" ht="15.75" customHeight="1">
      <c r="A31" s="22" t="s">
        <v>68</v>
      </c>
      <c r="B31" s="22">
        <v>21</v>
      </c>
      <c r="C31" s="23" t="s">
        <v>48</v>
      </c>
      <c r="D31" s="24">
        <v>5</v>
      </c>
      <c r="E31" s="25">
        <v>4</v>
      </c>
      <c r="F31" s="12">
        <v>4</v>
      </c>
      <c r="G31" s="11">
        <v>4</v>
      </c>
      <c r="H31" s="24">
        <v>5</v>
      </c>
      <c r="I31" s="26">
        <v>4</v>
      </c>
      <c r="J31" s="24">
        <v>7</v>
      </c>
      <c r="K31" s="24">
        <v>6</v>
      </c>
      <c r="L31" s="27">
        <v>6</v>
      </c>
      <c r="M31" s="32">
        <v>8</v>
      </c>
      <c r="N31" s="29">
        <v>7</v>
      </c>
      <c r="O31" s="14">
        <v>7</v>
      </c>
      <c r="P31" s="30">
        <v>5</v>
      </c>
      <c r="Q31" s="33">
        <v>6</v>
      </c>
      <c r="R31" s="15">
        <f t="shared" si="0"/>
        <v>5.5714285714285712</v>
      </c>
    </row>
    <row r="32" spans="1:18" s="8" customFormat="1" ht="15.75" customHeight="1">
      <c r="A32" s="22" t="s">
        <v>67</v>
      </c>
      <c r="B32" s="22">
        <v>22</v>
      </c>
      <c r="C32" s="23" t="s">
        <v>49</v>
      </c>
      <c r="D32" s="24">
        <v>7</v>
      </c>
      <c r="E32" s="25">
        <v>5</v>
      </c>
      <c r="F32" s="12">
        <v>5</v>
      </c>
      <c r="G32" s="11">
        <v>6</v>
      </c>
      <c r="H32" s="24">
        <v>4</v>
      </c>
      <c r="I32" s="26">
        <v>7</v>
      </c>
      <c r="J32" s="24">
        <v>7</v>
      </c>
      <c r="K32" s="24">
        <v>8</v>
      </c>
      <c r="L32" s="27">
        <v>4</v>
      </c>
      <c r="M32" s="32">
        <v>8</v>
      </c>
      <c r="N32" s="29">
        <v>8</v>
      </c>
      <c r="O32" s="14">
        <v>8</v>
      </c>
      <c r="P32" s="30">
        <v>7</v>
      </c>
      <c r="Q32" s="33">
        <v>7</v>
      </c>
      <c r="R32" s="15">
        <f t="shared" si="0"/>
        <v>6.5</v>
      </c>
    </row>
    <row r="33" spans="1:18" s="8" customFormat="1" ht="15.75" customHeight="1">
      <c r="A33" s="22" t="s">
        <v>67</v>
      </c>
      <c r="B33" s="22">
        <v>23</v>
      </c>
      <c r="C33" s="23" t="s">
        <v>50</v>
      </c>
      <c r="D33" s="24">
        <v>6</v>
      </c>
      <c r="E33" s="25">
        <v>5</v>
      </c>
      <c r="F33" s="12">
        <v>6</v>
      </c>
      <c r="G33" s="11">
        <v>6</v>
      </c>
      <c r="H33" s="24">
        <v>6</v>
      </c>
      <c r="I33" s="26">
        <v>5</v>
      </c>
      <c r="J33" s="24">
        <v>7</v>
      </c>
      <c r="K33" s="24">
        <v>6</v>
      </c>
      <c r="L33" s="27">
        <v>6</v>
      </c>
      <c r="M33" s="32">
        <v>9</v>
      </c>
      <c r="N33" s="29">
        <v>6</v>
      </c>
      <c r="O33" s="14">
        <v>8</v>
      </c>
      <c r="P33" s="30">
        <v>7</v>
      </c>
      <c r="Q33" s="33">
        <v>8</v>
      </c>
      <c r="R33" s="15">
        <f t="shared" si="0"/>
        <v>6.5</v>
      </c>
    </row>
    <row r="34" spans="1:18" s="8" customFormat="1" ht="15.75" customHeight="1">
      <c r="A34" s="22" t="s">
        <v>68</v>
      </c>
      <c r="B34" s="22">
        <v>24</v>
      </c>
      <c r="C34" s="23" t="s">
        <v>51</v>
      </c>
      <c r="D34" s="24">
        <v>7</v>
      </c>
      <c r="E34" s="25">
        <v>7</v>
      </c>
      <c r="F34" s="12">
        <v>8</v>
      </c>
      <c r="G34" s="11">
        <v>7</v>
      </c>
      <c r="H34" s="24">
        <v>6</v>
      </c>
      <c r="I34" s="26">
        <v>10</v>
      </c>
      <c r="J34" s="24">
        <v>7</v>
      </c>
      <c r="K34" s="24">
        <v>10</v>
      </c>
      <c r="L34" s="27">
        <v>7</v>
      </c>
      <c r="M34" s="32">
        <v>9</v>
      </c>
      <c r="N34" s="29">
        <v>8</v>
      </c>
      <c r="O34" s="14">
        <v>9</v>
      </c>
      <c r="P34" s="30">
        <v>8</v>
      </c>
      <c r="Q34" s="33">
        <v>10</v>
      </c>
      <c r="R34" s="15">
        <f t="shared" si="0"/>
        <v>8.0714285714285712</v>
      </c>
    </row>
    <row r="35" spans="1:18" ht="15.75" customHeight="1">
      <c r="A35" s="22" t="s">
        <v>68</v>
      </c>
      <c r="B35" s="22">
        <v>25</v>
      </c>
      <c r="C35" s="23" t="s">
        <v>52</v>
      </c>
      <c r="D35" s="24">
        <v>8</v>
      </c>
      <c r="E35" s="25">
        <v>8</v>
      </c>
      <c r="F35" s="12">
        <v>9</v>
      </c>
      <c r="G35" s="11">
        <v>7</v>
      </c>
      <c r="H35" s="24">
        <v>8</v>
      </c>
      <c r="I35" s="26">
        <v>9</v>
      </c>
      <c r="J35" s="24">
        <v>9</v>
      </c>
      <c r="K35" s="24">
        <v>7</v>
      </c>
      <c r="L35" s="27">
        <v>8</v>
      </c>
      <c r="M35" s="32">
        <v>7</v>
      </c>
      <c r="N35" s="29">
        <v>8</v>
      </c>
      <c r="O35" s="14">
        <v>8</v>
      </c>
      <c r="P35" s="30">
        <v>7</v>
      </c>
      <c r="Q35" s="33">
        <v>10</v>
      </c>
      <c r="R35" s="15">
        <f t="shared" si="0"/>
        <v>8.0714285714285712</v>
      </c>
    </row>
    <row r="36" spans="1:18" s="13" customFormat="1" ht="15.75" customHeight="1">
      <c r="A36" s="22" t="s">
        <v>67</v>
      </c>
      <c r="B36" s="22">
        <v>26</v>
      </c>
      <c r="C36" s="23" t="s">
        <v>53</v>
      </c>
      <c r="D36" s="70" t="s">
        <v>78</v>
      </c>
      <c r="E36" s="74">
        <v>2</v>
      </c>
      <c r="F36" s="75" t="s">
        <v>54</v>
      </c>
      <c r="G36" s="79" t="s">
        <v>54</v>
      </c>
      <c r="H36" s="70" t="s">
        <v>81</v>
      </c>
      <c r="I36" s="26">
        <v>4</v>
      </c>
      <c r="J36" s="24">
        <v>4</v>
      </c>
      <c r="K36" s="70" t="s">
        <v>54</v>
      </c>
      <c r="L36" s="77" t="s">
        <v>54</v>
      </c>
      <c r="M36" s="32">
        <v>4</v>
      </c>
      <c r="N36" s="29">
        <v>4</v>
      </c>
      <c r="O36" s="14">
        <v>4</v>
      </c>
      <c r="P36" s="30">
        <v>5</v>
      </c>
      <c r="Q36" s="33">
        <v>5</v>
      </c>
      <c r="R36" s="15" t="s">
        <v>72</v>
      </c>
    </row>
    <row r="37" spans="1:18" s="13" customFormat="1" ht="15.75" customHeight="1">
      <c r="A37"/>
      <c r="B37"/>
      <c r="C37" s="37" t="s">
        <v>6</v>
      </c>
      <c r="D37" s="15">
        <f t="shared" ref="D37:Q37" si="1">AVERAGE(D11:D36)</f>
        <v>6.5454545454545459</v>
      </c>
      <c r="E37" s="15">
        <f t="shared" si="1"/>
        <v>5.68</v>
      </c>
      <c r="F37" s="15">
        <f t="shared" si="1"/>
        <v>6.2272727272727275</v>
      </c>
      <c r="G37" s="15">
        <f t="shared" si="1"/>
        <v>6.3043478260869561</v>
      </c>
      <c r="H37" s="15">
        <f t="shared" si="1"/>
        <v>5.958333333333333</v>
      </c>
      <c r="I37" s="15">
        <f t="shared" si="1"/>
        <v>7.15</v>
      </c>
      <c r="J37" s="15">
        <f t="shared" si="1"/>
        <v>6.6923076923076925</v>
      </c>
      <c r="K37" s="15">
        <f t="shared" si="1"/>
        <v>7.333333333333333</v>
      </c>
      <c r="L37" s="15">
        <f t="shared" si="1"/>
        <v>6.416666666666667</v>
      </c>
      <c r="M37" s="15">
        <f t="shared" si="1"/>
        <v>8.3076923076923084</v>
      </c>
      <c r="N37" s="38">
        <f t="shared" si="1"/>
        <v>6.72</v>
      </c>
      <c r="O37" s="15">
        <f t="shared" si="1"/>
        <v>7.5769230769230766</v>
      </c>
      <c r="P37" s="15">
        <f t="shared" si="1"/>
        <v>6.8636363636363633</v>
      </c>
      <c r="Q37" s="15">
        <f t="shared" si="1"/>
        <v>7.1923076923076925</v>
      </c>
      <c r="R37" s="15">
        <f t="shared" si="0"/>
        <v>6.7834482546439068</v>
      </c>
    </row>
    <row r="38" spans="1:18" s="13" customFormat="1" ht="15.75" customHeight="1">
      <c r="A38"/>
      <c r="B38"/>
      <c r="C38" s="37" t="s">
        <v>7</v>
      </c>
      <c r="D38" s="40">
        <v>84.6</v>
      </c>
      <c r="E38" s="41">
        <v>85</v>
      </c>
      <c r="F38" s="41">
        <v>84.6</v>
      </c>
      <c r="G38" s="41">
        <v>80.7</v>
      </c>
      <c r="H38" s="40">
        <v>92</v>
      </c>
      <c r="I38" s="41">
        <v>76.900000000000006</v>
      </c>
      <c r="J38" s="40">
        <v>100</v>
      </c>
      <c r="K38" s="41">
        <v>92</v>
      </c>
      <c r="L38" s="41">
        <v>92</v>
      </c>
      <c r="M38" s="41">
        <v>100</v>
      </c>
      <c r="N38" s="42">
        <v>96</v>
      </c>
      <c r="O38" s="16">
        <v>100</v>
      </c>
      <c r="P38" s="43">
        <v>85</v>
      </c>
      <c r="Q38" s="42">
        <v>100</v>
      </c>
      <c r="R38" s="44"/>
    </row>
    <row r="39" spans="1:18" s="13" customFormat="1" ht="15.75" customHeight="1">
      <c r="A39"/>
      <c r="B39"/>
      <c r="C39" s="37" t="s">
        <v>8</v>
      </c>
      <c r="D39" s="40">
        <v>59</v>
      </c>
      <c r="E39" s="45">
        <v>31</v>
      </c>
      <c r="F39" s="40">
        <v>40.9</v>
      </c>
      <c r="G39" s="40">
        <v>52</v>
      </c>
      <c r="H39" s="46">
        <v>35</v>
      </c>
      <c r="I39" s="47">
        <v>50</v>
      </c>
      <c r="J39" s="48">
        <v>62</v>
      </c>
      <c r="K39" s="40">
        <v>62</v>
      </c>
      <c r="L39" s="40">
        <v>50</v>
      </c>
      <c r="M39" s="16">
        <v>90</v>
      </c>
      <c r="N39" s="49">
        <v>65</v>
      </c>
      <c r="O39" s="16">
        <v>73</v>
      </c>
      <c r="P39" s="43">
        <v>50</v>
      </c>
      <c r="Q39" s="16">
        <v>65</v>
      </c>
      <c r="R39" s="44"/>
    </row>
    <row r="40" spans="1:18" ht="15.75" customHeight="1">
      <c r="C40" s="37" t="s">
        <v>9</v>
      </c>
      <c r="D40" s="15">
        <f>AVERAGE(D38:Q38)</f>
        <v>90.628571428571419</v>
      </c>
      <c r="E40" s="35"/>
      <c r="F40" s="35"/>
      <c r="G40" s="35"/>
      <c r="H40" s="35"/>
      <c r="I40" s="36"/>
      <c r="J40" s="36"/>
      <c r="K40" s="36"/>
      <c r="L40" s="36"/>
      <c r="M40" s="36"/>
      <c r="N40" s="36"/>
      <c r="O40" s="36"/>
      <c r="P40" s="36"/>
      <c r="Q40" s="36"/>
      <c r="R40" s="7"/>
    </row>
    <row r="41" spans="1:18" ht="15.75" customHeight="1">
      <c r="C41" s="37" t="s">
        <v>10</v>
      </c>
      <c r="D41" s="15">
        <f>AVERAGE(D39:Q39)</f>
        <v>56.06428571428571</v>
      </c>
      <c r="E41" s="5"/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7"/>
    </row>
    <row r="42" spans="1:18" s="67" customFormat="1" ht="15.75" customHeight="1">
      <c r="C42" s="37" t="s">
        <v>73</v>
      </c>
      <c r="D42" s="39">
        <v>9</v>
      </c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15.75" customHeight="1">
      <c r="C43" s="37" t="s">
        <v>19</v>
      </c>
      <c r="D43" s="39">
        <v>17</v>
      </c>
    </row>
    <row r="44" spans="1:18" ht="15.75" customHeight="1">
      <c r="A44" s="1"/>
      <c r="B44" s="1"/>
      <c r="C44" s="37" t="s">
        <v>20</v>
      </c>
      <c r="D44" s="39">
        <v>0</v>
      </c>
    </row>
    <row r="45" spans="1:18" ht="15.75" customHeight="1">
      <c r="A45" s="1"/>
      <c r="B45" s="1"/>
      <c r="C45" s="37" t="s">
        <v>21</v>
      </c>
      <c r="D45" s="39">
        <v>7</v>
      </c>
    </row>
    <row r="46" spans="1:18" ht="15.75" customHeight="1">
      <c r="A46" s="1"/>
      <c r="B46" s="1"/>
    </row>
    <row r="47" spans="1:18" ht="15.75" customHeight="1">
      <c r="F47" s="68" t="s">
        <v>22</v>
      </c>
      <c r="G47" s="68"/>
      <c r="H47" s="68"/>
      <c r="I47" s="69"/>
      <c r="J47" s="69"/>
      <c r="K47" s="68" t="s">
        <v>71</v>
      </c>
      <c r="L47" s="68"/>
    </row>
    <row r="48" spans="1:18" ht="15.75" customHeight="1">
      <c r="F48" s="69"/>
      <c r="G48" s="69"/>
      <c r="H48" s="69"/>
      <c r="I48" s="69"/>
      <c r="J48" s="69"/>
      <c r="K48" s="69"/>
      <c r="L48" s="69"/>
    </row>
    <row r="49" spans="5:12" ht="15.75" customHeight="1">
      <c r="F49" s="68" t="s">
        <v>23</v>
      </c>
      <c r="G49" s="68"/>
      <c r="H49" s="68"/>
      <c r="I49" s="68"/>
      <c r="J49" s="68"/>
      <c r="K49" s="68" t="s">
        <v>24</v>
      </c>
      <c r="L49" s="68"/>
    </row>
    <row r="50" spans="5:12" ht="15.75" customHeight="1"/>
    <row r="51" spans="5:12" ht="15.75" customHeight="1">
      <c r="G51" s="13"/>
      <c r="H51" s="13"/>
    </row>
    <row r="52" spans="5:12" ht="15.75" customHeight="1"/>
    <row r="53" spans="5:12" ht="15.75" customHeight="1">
      <c r="E53" s="18"/>
      <c r="F53" s="18"/>
      <c r="G53" s="18"/>
    </row>
    <row r="54" spans="5:12" ht="15.75" customHeight="1"/>
    <row r="55" spans="5:12" ht="15.75" customHeight="1"/>
    <row r="56" spans="5:12" ht="15.75" customHeight="1"/>
    <row r="57" spans="5:12" ht="15.75" customHeight="1"/>
    <row r="58" spans="5:12" ht="15.75" customHeight="1"/>
    <row r="59" spans="5:12" ht="15.75" customHeight="1"/>
    <row r="60" spans="5:12" ht="15.75" customHeight="1"/>
    <row r="61" spans="5:12" ht="15.75" customHeight="1"/>
    <row r="62" spans="5:12" ht="15.75" customHeight="1"/>
    <row r="63" spans="5:12" ht="15.75" customHeight="1"/>
    <row r="64" spans="5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5"/>
  <sheetViews>
    <sheetView topLeftCell="A4" zoomScale="80" zoomScaleNormal="80" workbookViewId="0">
      <selection activeCell="E34" sqref="E34:K3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13" customWidth="1"/>
    <col min="19" max="19" width="11.28515625" customWidth="1"/>
  </cols>
  <sheetData>
    <row r="1" spans="1:19" ht="15" customHeight="1">
      <c r="A1" s="83" t="s">
        <v>16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1"/>
      <c r="Q1" s="1"/>
      <c r="R1" s="1"/>
      <c r="S1" s="1"/>
    </row>
    <row r="2" spans="1:19" ht="15" customHeight="1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1"/>
      <c r="Q2" s="1"/>
      <c r="R2" s="1"/>
      <c r="S2" s="1"/>
    </row>
    <row r="3" spans="1:19" ht="15" customHeight="1">
      <c r="A3" s="99" t="s">
        <v>27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1"/>
      <c r="Q3" s="1"/>
      <c r="R3" s="1"/>
      <c r="S3" s="1"/>
    </row>
    <row r="4" spans="1:19" ht="15" customHeight="1">
      <c r="A4" s="83" t="s">
        <v>60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1"/>
      <c r="Q4" s="1"/>
      <c r="R4" s="1"/>
      <c r="S4" s="1"/>
    </row>
    <row r="5" spans="1:19" ht="15" customHeight="1">
      <c r="A5" s="83" t="s">
        <v>17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1"/>
      <c r="Q5" s="1"/>
      <c r="R5" s="1"/>
      <c r="S5" s="1"/>
    </row>
    <row r="6" spans="1:19" ht="15" customHeight="1">
      <c r="A6" s="100" t="s">
        <v>61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"/>
      <c r="Q6" s="1"/>
      <c r="R6" s="1"/>
      <c r="S6" s="1"/>
    </row>
    <row r="7" spans="1:19" ht="15" customHeight="1">
      <c r="A7" s="101" t="s">
        <v>2</v>
      </c>
      <c r="B7" s="104" t="s">
        <v>3</v>
      </c>
      <c r="C7" s="104" t="s">
        <v>4</v>
      </c>
      <c r="D7" s="96" t="s">
        <v>18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</row>
    <row r="8" spans="1:19" ht="15" customHeight="1">
      <c r="A8" s="102"/>
      <c r="B8" s="105"/>
      <c r="C8" s="105"/>
      <c r="D8" s="81" t="s">
        <v>11</v>
      </c>
      <c r="E8" s="81" t="s">
        <v>55</v>
      </c>
      <c r="F8" s="81" t="s">
        <v>58</v>
      </c>
      <c r="G8" s="81" t="s">
        <v>57</v>
      </c>
      <c r="H8" s="81" t="s">
        <v>63</v>
      </c>
      <c r="I8" s="81" t="s">
        <v>64</v>
      </c>
      <c r="J8" s="81" t="s">
        <v>62</v>
      </c>
      <c r="K8" s="81" t="s">
        <v>12</v>
      </c>
      <c r="L8" s="81" t="s">
        <v>65</v>
      </c>
      <c r="M8" s="81" t="s">
        <v>56</v>
      </c>
      <c r="N8" s="81" t="s">
        <v>59</v>
      </c>
      <c r="O8" s="81" t="s">
        <v>13</v>
      </c>
      <c r="P8" s="81" t="s">
        <v>14</v>
      </c>
      <c r="Q8" s="81" t="s">
        <v>15</v>
      </c>
      <c r="R8" s="93" t="s">
        <v>26</v>
      </c>
      <c r="S8" s="90" t="s">
        <v>25</v>
      </c>
    </row>
    <row r="9" spans="1:19" ht="15" customHeight="1">
      <c r="A9" s="102"/>
      <c r="B9" s="105"/>
      <c r="C9" s="105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94"/>
      <c r="S9" s="91"/>
    </row>
    <row r="10" spans="1:19" ht="71.25" customHeight="1">
      <c r="A10" s="103"/>
      <c r="B10" s="106"/>
      <c r="C10" s="105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95"/>
      <c r="S10" s="92"/>
    </row>
    <row r="11" spans="1:19" ht="15" customHeight="1">
      <c r="A11" s="2" t="s">
        <v>66</v>
      </c>
      <c r="B11" s="50">
        <v>1</v>
      </c>
      <c r="C11" s="51" t="s">
        <v>29</v>
      </c>
      <c r="D11" s="52">
        <v>8</v>
      </c>
      <c r="E11" s="53">
        <v>10</v>
      </c>
      <c r="F11" s="54">
        <v>10</v>
      </c>
      <c r="G11" s="55">
        <v>10</v>
      </c>
      <c r="H11" s="52">
        <v>9</v>
      </c>
      <c r="I11" s="56">
        <v>10</v>
      </c>
      <c r="J11" s="52">
        <v>10</v>
      </c>
      <c r="K11" s="52">
        <v>10</v>
      </c>
      <c r="L11" s="57">
        <v>9</v>
      </c>
      <c r="M11" s="58">
        <v>10</v>
      </c>
      <c r="N11" s="59">
        <v>10</v>
      </c>
      <c r="O11" s="60">
        <v>10</v>
      </c>
      <c r="P11" s="52">
        <v>9</v>
      </c>
      <c r="Q11" s="61">
        <v>10</v>
      </c>
      <c r="R11" s="62">
        <f t="shared" ref="R11:R25" si="0">AVERAGE(C11:P11)</f>
        <v>9.615384615384615</v>
      </c>
      <c r="S11" s="63">
        <f t="shared" ref="S11:S25" si="1">(R11*90)/12</f>
        <v>72.115384615384613</v>
      </c>
    </row>
    <row r="12" spans="1:19" ht="15" customHeight="1">
      <c r="A12" s="2" t="s">
        <v>66</v>
      </c>
      <c r="B12" s="50">
        <v>2</v>
      </c>
      <c r="C12" s="51" t="s">
        <v>40</v>
      </c>
      <c r="D12" s="52">
        <v>8</v>
      </c>
      <c r="E12" s="53">
        <v>8</v>
      </c>
      <c r="F12" s="54">
        <v>10</v>
      </c>
      <c r="G12" s="55">
        <v>9</v>
      </c>
      <c r="H12" s="52">
        <v>8</v>
      </c>
      <c r="I12" s="56">
        <v>10</v>
      </c>
      <c r="J12" s="52">
        <v>9</v>
      </c>
      <c r="K12" s="52">
        <v>10</v>
      </c>
      <c r="L12" s="57">
        <v>9</v>
      </c>
      <c r="M12" s="58">
        <v>10</v>
      </c>
      <c r="N12" s="59">
        <v>10</v>
      </c>
      <c r="O12" s="60">
        <v>9</v>
      </c>
      <c r="P12" s="52">
        <v>9</v>
      </c>
      <c r="Q12" s="61">
        <v>9</v>
      </c>
      <c r="R12" s="62">
        <f t="shared" si="0"/>
        <v>9.1538461538461533</v>
      </c>
      <c r="S12" s="63">
        <f t="shared" si="1"/>
        <v>68.653846153846146</v>
      </c>
    </row>
    <row r="13" spans="1:19" ht="15" customHeight="1">
      <c r="A13" s="2" t="s">
        <v>66</v>
      </c>
      <c r="B13" s="50">
        <v>3</v>
      </c>
      <c r="C13" s="51" t="s">
        <v>42</v>
      </c>
      <c r="D13" s="52">
        <v>8</v>
      </c>
      <c r="E13" s="53">
        <v>10</v>
      </c>
      <c r="F13" s="54">
        <v>8</v>
      </c>
      <c r="G13" s="55">
        <v>10</v>
      </c>
      <c r="H13" s="52">
        <v>9</v>
      </c>
      <c r="I13" s="56">
        <v>9</v>
      </c>
      <c r="J13" s="52">
        <v>8</v>
      </c>
      <c r="K13" s="52">
        <v>11</v>
      </c>
      <c r="L13" s="57">
        <v>9</v>
      </c>
      <c r="M13" s="58">
        <v>8</v>
      </c>
      <c r="N13" s="59">
        <v>7</v>
      </c>
      <c r="O13" s="60">
        <v>10</v>
      </c>
      <c r="P13" s="52">
        <v>9</v>
      </c>
      <c r="Q13" s="61">
        <v>11</v>
      </c>
      <c r="R13" s="62">
        <f t="shared" si="0"/>
        <v>8.9230769230769234</v>
      </c>
      <c r="S13" s="63">
        <f t="shared" si="1"/>
        <v>66.92307692307692</v>
      </c>
    </row>
    <row r="14" spans="1:19" ht="15" customHeight="1">
      <c r="A14" s="2" t="s">
        <v>66</v>
      </c>
      <c r="B14" s="50">
        <v>4</v>
      </c>
      <c r="C14" s="51" t="s">
        <v>36</v>
      </c>
      <c r="D14" s="52">
        <v>8</v>
      </c>
      <c r="E14" s="53">
        <v>8</v>
      </c>
      <c r="F14" s="54">
        <v>8</v>
      </c>
      <c r="G14" s="55">
        <v>8</v>
      </c>
      <c r="H14" s="52">
        <v>8</v>
      </c>
      <c r="I14" s="56">
        <v>8</v>
      </c>
      <c r="J14" s="52">
        <v>8</v>
      </c>
      <c r="K14" s="52">
        <v>8</v>
      </c>
      <c r="L14" s="57">
        <v>8</v>
      </c>
      <c r="M14" s="58">
        <v>10</v>
      </c>
      <c r="N14" s="59">
        <v>7</v>
      </c>
      <c r="O14" s="60">
        <v>9</v>
      </c>
      <c r="P14" s="52">
        <v>7</v>
      </c>
      <c r="Q14" s="61">
        <v>10</v>
      </c>
      <c r="R14" s="62">
        <f t="shared" si="0"/>
        <v>8.0769230769230766</v>
      </c>
      <c r="S14" s="63">
        <f t="shared" si="1"/>
        <v>60.576923076923073</v>
      </c>
    </row>
    <row r="15" spans="1:19" ht="15" customHeight="1">
      <c r="A15" s="2" t="s">
        <v>66</v>
      </c>
      <c r="B15" s="50">
        <v>5</v>
      </c>
      <c r="C15" s="51" t="s">
        <v>30</v>
      </c>
      <c r="D15" s="52">
        <v>7</v>
      </c>
      <c r="E15" s="53">
        <v>7</v>
      </c>
      <c r="F15" s="54">
        <v>8</v>
      </c>
      <c r="G15" s="55">
        <v>7</v>
      </c>
      <c r="H15" s="52">
        <v>7</v>
      </c>
      <c r="I15" s="56">
        <v>9</v>
      </c>
      <c r="J15" s="52">
        <v>8</v>
      </c>
      <c r="K15" s="52">
        <v>9</v>
      </c>
      <c r="L15" s="57">
        <v>7</v>
      </c>
      <c r="M15" s="58">
        <v>10</v>
      </c>
      <c r="N15" s="59">
        <v>7</v>
      </c>
      <c r="O15" s="60">
        <v>9</v>
      </c>
      <c r="P15" s="52">
        <v>8</v>
      </c>
      <c r="Q15" s="61">
        <v>8</v>
      </c>
      <c r="R15" s="62">
        <f t="shared" si="0"/>
        <v>7.9230769230769234</v>
      </c>
      <c r="S15" s="63">
        <f t="shared" si="1"/>
        <v>59.423076923076927</v>
      </c>
    </row>
    <row r="16" spans="1:19" ht="15" customHeight="1">
      <c r="A16" s="2" t="s">
        <v>66</v>
      </c>
      <c r="B16" s="50">
        <v>6</v>
      </c>
      <c r="C16" s="51" t="s">
        <v>51</v>
      </c>
      <c r="D16" s="52">
        <v>7</v>
      </c>
      <c r="E16" s="53">
        <v>7</v>
      </c>
      <c r="F16" s="54">
        <v>8</v>
      </c>
      <c r="G16" s="55">
        <v>7</v>
      </c>
      <c r="H16" s="52">
        <v>6</v>
      </c>
      <c r="I16" s="56">
        <v>10</v>
      </c>
      <c r="J16" s="52">
        <v>7</v>
      </c>
      <c r="K16" s="52">
        <v>10</v>
      </c>
      <c r="L16" s="57">
        <v>7</v>
      </c>
      <c r="M16" s="58">
        <v>9</v>
      </c>
      <c r="N16" s="59">
        <v>8</v>
      </c>
      <c r="O16" s="60">
        <v>9</v>
      </c>
      <c r="P16" s="52">
        <v>8</v>
      </c>
      <c r="Q16" s="61">
        <v>10</v>
      </c>
      <c r="R16" s="62">
        <f t="shared" si="0"/>
        <v>7.9230769230769234</v>
      </c>
      <c r="S16" s="63">
        <f t="shared" si="1"/>
        <v>59.423076923076927</v>
      </c>
    </row>
    <row r="17" spans="1:19" ht="15" customHeight="1">
      <c r="A17" s="2" t="s">
        <v>66</v>
      </c>
      <c r="B17" s="50">
        <v>7</v>
      </c>
      <c r="C17" s="51" t="s">
        <v>52</v>
      </c>
      <c r="D17" s="52">
        <v>8</v>
      </c>
      <c r="E17" s="53">
        <v>8</v>
      </c>
      <c r="F17" s="54">
        <v>9</v>
      </c>
      <c r="G17" s="55">
        <v>7</v>
      </c>
      <c r="H17" s="52">
        <v>8</v>
      </c>
      <c r="I17" s="56">
        <v>9</v>
      </c>
      <c r="J17" s="52">
        <v>9</v>
      </c>
      <c r="K17" s="52">
        <v>7</v>
      </c>
      <c r="L17" s="57">
        <v>8</v>
      </c>
      <c r="M17" s="58">
        <v>7</v>
      </c>
      <c r="N17" s="59">
        <v>8</v>
      </c>
      <c r="O17" s="60">
        <v>8</v>
      </c>
      <c r="P17" s="52">
        <v>7</v>
      </c>
      <c r="Q17" s="61">
        <v>10</v>
      </c>
      <c r="R17" s="62">
        <f t="shared" si="0"/>
        <v>7.9230769230769234</v>
      </c>
      <c r="S17" s="63">
        <f t="shared" si="1"/>
        <v>59.423076923076927</v>
      </c>
    </row>
    <row r="18" spans="1:19" ht="15.75" customHeight="1">
      <c r="A18" s="2" t="s">
        <v>66</v>
      </c>
      <c r="B18" s="3">
        <v>8</v>
      </c>
      <c r="C18" s="20" t="s">
        <v>32</v>
      </c>
      <c r="D18" s="24">
        <v>6</v>
      </c>
      <c r="E18" s="34">
        <v>7</v>
      </c>
      <c r="F18" s="12">
        <v>8</v>
      </c>
      <c r="G18" s="11">
        <v>7</v>
      </c>
      <c r="H18" s="24">
        <v>7</v>
      </c>
      <c r="I18" s="26">
        <v>7</v>
      </c>
      <c r="J18" s="24">
        <v>8</v>
      </c>
      <c r="K18" s="24">
        <v>7</v>
      </c>
      <c r="L18" s="27">
        <v>7</v>
      </c>
      <c r="M18" s="32">
        <v>10</v>
      </c>
      <c r="N18" s="29">
        <v>8</v>
      </c>
      <c r="O18" s="14">
        <v>9</v>
      </c>
      <c r="P18" s="30">
        <v>6</v>
      </c>
      <c r="Q18" s="33">
        <v>8</v>
      </c>
      <c r="R18" s="17">
        <f t="shared" si="0"/>
        <v>7.4615384615384617</v>
      </c>
      <c r="S18" s="17">
        <f t="shared" si="1"/>
        <v>55.96153846153846</v>
      </c>
    </row>
    <row r="19" spans="1:19" ht="15.75" customHeight="1">
      <c r="A19" s="2" t="s">
        <v>66</v>
      </c>
      <c r="B19" s="9">
        <v>9</v>
      </c>
      <c r="C19" s="20" t="s">
        <v>35</v>
      </c>
      <c r="D19" s="24">
        <v>8</v>
      </c>
      <c r="E19" s="25">
        <v>6</v>
      </c>
      <c r="F19" s="12">
        <v>5</v>
      </c>
      <c r="G19" s="11">
        <v>8</v>
      </c>
      <c r="H19" s="24">
        <v>7</v>
      </c>
      <c r="I19" s="26">
        <v>7</v>
      </c>
      <c r="J19" s="24">
        <v>7</v>
      </c>
      <c r="K19" s="24">
        <v>10</v>
      </c>
      <c r="L19" s="27">
        <v>6</v>
      </c>
      <c r="M19" s="32">
        <v>8</v>
      </c>
      <c r="N19" s="29">
        <v>8</v>
      </c>
      <c r="O19" s="14">
        <v>9</v>
      </c>
      <c r="P19" s="30">
        <v>8</v>
      </c>
      <c r="Q19" s="33">
        <v>8</v>
      </c>
      <c r="R19" s="17">
        <f t="shared" si="0"/>
        <v>7.4615384615384617</v>
      </c>
      <c r="S19" s="17">
        <f t="shared" si="1"/>
        <v>55.96153846153846</v>
      </c>
    </row>
    <row r="20" spans="1:19" s="8" customFormat="1" ht="15.75" customHeight="1">
      <c r="A20" s="2" t="s">
        <v>66</v>
      </c>
      <c r="B20" s="9">
        <v>10</v>
      </c>
      <c r="C20" s="20" t="s">
        <v>46</v>
      </c>
      <c r="D20" s="24">
        <v>8</v>
      </c>
      <c r="E20" s="25">
        <v>6</v>
      </c>
      <c r="F20" s="12">
        <v>6</v>
      </c>
      <c r="G20" s="11">
        <v>6</v>
      </c>
      <c r="H20" s="24">
        <v>7</v>
      </c>
      <c r="I20" s="26">
        <v>6</v>
      </c>
      <c r="J20" s="24">
        <v>8</v>
      </c>
      <c r="K20" s="24">
        <v>7</v>
      </c>
      <c r="L20" s="27">
        <v>7</v>
      </c>
      <c r="M20" s="32">
        <v>10</v>
      </c>
      <c r="N20" s="29">
        <v>8</v>
      </c>
      <c r="O20" s="14">
        <v>9</v>
      </c>
      <c r="P20" s="30">
        <v>8</v>
      </c>
      <c r="Q20" s="33">
        <v>8</v>
      </c>
      <c r="R20" s="17">
        <f t="shared" si="0"/>
        <v>7.384615384615385</v>
      </c>
      <c r="S20" s="17">
        <f t="shared" si="1"/>
        <v>55.384615384615387</v>
      </c>
    </row>
    <row r="21" spans="1:19" s="8" customFormat="1" ht="15.75" customHeight="1">
      <c r="A21" s="2" t="s">
        <v>66</v>
      </c>
      <c r="B21" s="9">
        <v>11</v>
      </c>
      <c r="C21" s="20" t="s">
        <v>47</v>
      </c>
      <c r="D21" s="24">
        <v>7</v>
      </c>
      <c r="E21" s="25">
        <v>6</v>
      </c>
      <c r="F21" s="12">
        <v>7</v>
      </c>
      <c r="G21" s="11">
        <v>7</v>
      </c>
      <c r="H21" s="24">
        <v>6</v>
      </c>
      <c r="I21" s="26">
        <v>7</v>
      </c>
      <c r="J21" s="24">
        <v>8</v>
      </c>
      <c r="K21" s="24">
        <v>7</v>
      </c>
      <c r="L21" s="27">
        <v>7</v>
      </c>
      <c r="M21" s="32">
        <v>9</v>
      </c>
      <c r="N21" s="29">
        <v>7</v>
      </c>
      <c r="O21" s="14">
        <v>10</v>
      </c>
      <c r="P21" s="30">
        <v>6</v>
      </c>
      <c r="Q21" s="33">
        <v>8</v>
      </c>
      <c r="R21" s="17">
        <f t="shared" si="0"/>
        <v>7.2307692307692308</v>
      </c>
      <c r="S21" s="17">
        <f t="shared" si="1"/>
        <v>54.230769230769234</v>
      </c>
    </row>
    <row r="22" spans="1:19" s="8" customFormat="1" ht="15.75" customHeight="1">
      <c r="A22" s="2" t="s">
        <v>66</v>
      </c>
      <c r="B22" s="9">
        <v>12</v>
      </c>
      <c r="C22" s="20" t="s">
        <v>34</v>
      </c>
      <c r="D22" s="24">
        <v>5</v>
      </c>
      <c r="E22" s="25">
        <v>5</v>
      </c>
      <c r="F22" s="12">
        <v>5</v>
      </c>
      <c r="G22" s="11">
        <v>6</v>
      </c>
      <c r="H22" s="24">
        <v>6</v>
      </c>
      <c r="I22" s="26">
        <v>5</v>
      </c>
      <c r="J22" s="24">
        <v>7</v>
      </c>
      <c r="K22" s="24">
        <v>9</v>
      </c>
      <c r="L22" s="27">
        <v>7</v>
      </c>
      <c r="M22" s="32">
        <v>7</v>
      </c>
      <c r="N22" s="29">
        <v>7</v>
      </c>
      <c r="O22" s="14">
        <v>8</v>
      </c>
      <c r="P22" s="30">
        <v>4</v>
      </c>
      <c r="Q22" s="33">
        <v>7</v>
      </c>
      <c r="R22" s="17">
        <f t="shared" si="0"/>
        <v>6.2307692307692308</v>
      </c>
      <c r="S22" s="17">
        <f t="shared" si="1"/>
        <v>46.730769230769234</v>
      </c>
    </row>
    <row r="23" spans="1:19" s="8" customFormat="1" ht="15.75" customHeight="1">
      <c r="A23" s="2" t="s">
        <v>66</v>
      </c>
      <c r="B23" s="9">
        <v>13</v>
      </c>
      <c r="C23" s="20" t="s">
        <v>33</v>
      </c>
      <c r="D23" s="24">
        <v>6</v>
      </c>
      <c r="E23" s="25">
        <v>5</v>
      </c>
      <c r="F23" s="12">
        <v>4</v>
      </c>
      <c r="G23" s="11">
        <v>6</v>
      </c>
      <c r="H23" s="24">
        <v>4</v>
      </c>
      <c r="I23" s="26">
        <v>5</v>
      </c>
      <c r="J23" s="24">
        <v>6</v>
      </c>
      <c r="K23" s="24">
        <v>6</v>
      </c>
      <c r="L23" s="27">
        <v>7</v>
      </c>
      <c r="M23" s="32">
        <v>7</v>
      </c>
      <c r="N23" s="29">
        <v>7</v>
      </c>
      <c r="O23" s="14">
        <v>8</v>
      </c>
      <c r="P23" s="30">
        <v>6</v>
      </c>
      <c r="Q23" s="33">
        <v>7</v>
      </c>
      <c r="R23" s="17">
        <f t="shared" si="0"/>
        <v>5.9230769230769234</v>
      </c>
      <c r="S23" s="17">
        <f t="shared" si="1"/>
        <v>44.423076923076927</v>
      </c>
    </row>
    <row r="24" spans="1:19" s="8" customFormat="1" ht="15.75" customHeight="1">
      <c r="A24" s="2" t="s">
        <v>66</v>
      </c>
      <c r="B24" s="9">
        <v>14</v>
      </c>
      <c r="C24" s="20" t="s">
        <v>48</v>
      </c>
      <c r="D24" s="24">
        <v>5</v>
      </c>
      <c r="E24" s="25">
        <v>4</v>
      </c>
      <c r="F24" s="12">
        <v>4</v>
      </c>
      <c r="G24" s="11">
        <v>4</v>
      </c>
      <c r="H24" s="24">
        <v>5</v>
      </c>
      <c r="I24" s="26">
        <v>4</v>
      </c>
      <c r="J24" s="24">
        <v>7</v>
      </c>
      <c r="K24" s="24">
        <v>6</v>
      </c>
      <c r="L24" s="27">
        <v>6</v>
      </c>
      <c r="M24" s="32">
        <v>8</v>
      </c>
      <c r="N24" s="29">
        <v>7</v>
      </c>
      <c r="O24" s="14">
        <v>7</v>
      </c>
      <c r="P24" s="30">
        <v>5</v>
      </c>
      <c r="Q24" s="33">
        <v>6</v>
      </c>
      <c r="R24" s="17">
        <f t="shared" si="0"/>
        <v>5.5384615384615383</v>
      </c>
      <c r="S24" s="17">
        <f t="shared" si="1"/>
        <v>41.53846153846154</v>
      </c>
    </row>
    <row r="25" spans="1:19" s="13" customFormat="1" ht="15.75" customHeight="1">
      <c r="A25" s="64" t="s">
        <v>66</v>
      </c>
      <c r="B25" s="65">
        <v>15</v>
      </c>
      <c r="C25" s="20" t="s">
        <v>44</v>
      </c>
      <c r="D25" s="24">
        <v>4</v>
      </c>
      <c r="E25" s="25">
        <v>5</v>
      </c>
      <c r="F25" s="12">
        <v>4</v>
      </c>
      <c r="G25" s="11">
        <v>5</v>
      </c>
      <c r="H25" s="24">
        <v>5</v>
      </c>
      <c r="I25" s="26">
        <v>6</v>
      </c>
      <c r="J25" s="24">
        <v>6</v>
      </c>
      <c r="K25" s="24">
        <v>5</v>
      </c>
      <c r="L25" s="27">
        <v>7</v>
      </c>
      <c r="M25" s="32">
        <v>7</v>
      </c>
      <c r="N25" s="29">
        <v>5</v>
      </c>
      <c r="O25" s="14">
        <v>6</v>
      </c>
      <c r="P25" s="30">
        <v>6</v>
      </c>
      <c r="Q25" s="33">
        <v>6</v>
      </c>
      <c r="R25" s="17">
        <f t="shared" si="0"/>
        <v>5.4615384615384617</v>
      </c>
      <c r="S25" s="17">
        <f t="shared" si="1"/>
        <v>40.96153846153846</v>
      </c>
    </row>
    <row r="26" spans="1:19" ht="15.75" customHeight="1">
      <c r="A26" s="13"/>
      <c r="B26" s="13"/>
      <c r="C26" s="19" t="s">
        <v>19</v>
      </c>
      <c r="D26" s="10">
        <v>17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S26" s="13"/>
    </row>
    <row r="27" spans="1:19" s="67" customFormat="1" ht="15.75" customHeight="1">
      <c r="C27" s="19" t="s">
        <v>73</v>
      </c>
      <c r="D27" s="10">
        <v>9</v>
      </c>
    </row>
    <row r="28" spans="1:19" ht="15.75" customHeight="1">
      <c r="A28" s="13"/>
      <c r="B28" s="13"/>
      <c r="C28" s="4" t="s">
        <v>20</v>
      </c>
      <c r="D28" s="10">
        <v>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S28" s="13"/>
    </row>
    <row r="29" spans="1:19" ht="15.75" customHeight="1">
      <c r="A29" s="13"/>
      <c r="B29" s="13"/>
      <c r="C29" s="4" t="s">
        <v>21</v>
      </c>
      <c r="D29" s="10">
        <v>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S29" s="13"/>
    </row>
    <row r="30" spans="1:1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S30" s="13"/>
    </row>
    <row r="31" spans="1:1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S31" s="13"/>
    </row>
    <row r="32" spans="1:1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S32" s="13"/>
    </row>
    <row r="33" spans="1:19" ht="15.75" customHeight="1">
      <c r="A33" s="13"/>
      <c r="B33" s="13"/>
      <c r="C33" s="13"/>
      <c r="D33" s="13"/>
      <c r="E33" s="18"/>
      <c r="F33" s="18"/>
      <c r="G33" s="18"/>
      <c r="H33" s="13"/>
      <c r="I33" s="13"/>
      <c r="J33" s="13"/>
      <c r="K33" s="13"/>
      <c r="L33" s="13"/>
      <c r="M33" s="13"/>
      <c r="N33" s="13"/>
      <c r="O33" s="13"/>
      <c r="P33" s="13"/>
      <c r="Q33" s="13"/>
      <c r="S33" s="13"/>
    </row>
    <row r="34" spans="1:19" ht="15.75" customHeight="1">
      <c r="A34" s="13"/>
      <c r="B34" s="13"/>
      <c r="C34" s="13"/>
      <c r="D34" s="13"/>
      <c r="E34" s="68" t="s">
        <v>22</v>
      </c>
      <c r="F34" s="68"/>
      <c r="G34" s="68"/>
      <c r="H34" s="69"/>
      <c r="I34" s="69"/>
      <c r="J34" s="68" t="s">
        <v>70</v>
      </c>
      <c r="K34" s="68"/>
      <c r="L34" s="13"/>
      <c r="M34" s="13"/>
      <c r="N34" s="13"/>
      <c r="O34" s="13"/>
      <c r="P34" s="13"/>
      <c r="Q34" s="13"/>
      <c r="S34" s="13"/>
    </row>
    <row r="35" spans="1:19" ht="15.75" customHeight="1">
      <c r="A35" s="13"/>
      <c r="B35" s="13"/>
      <c r="C35" s="13"/>
      <c r="D35" s="13"/>
      <c r="E35" s="69"/>
      <c r="F35" s="69"/>
      <c r="G35" s="69"/>
      <c r="H35" s="69"/>
      <c r="I35" s="69"/>
      <c r="J35" s="69"/>
      <c r="K35" s="69"/>
      <c r="L35" s="13"/>
      <c r="M35" s="13"/>
      <c r="N35" s="13"/>
      <c r="O35" s="13"/>
      <c r="P35" s="13"/>
      <c r="Q35" s="13"/>
      <c r="S35" s="13"/>
    </row>
    <row r="36" spans="1:19" ht="15.75" customHeight="1">
      <c r="A36" s="13"/>
      <c r="B36" s="13"/>
      <c r="C36" s="13"/>
      <c r="D36" s="13"/>
      <c r="E36" s="68" t="s">
        <v>23</v>
      </c>
      <c r="F36" s="68"/>
      <c r="G36" s="68"/>
      <c r="H36" s="68"/>
      <c r="I36" s="68"/>
      <c r="J36" s="68" t="s">
        <v>24</v>
      </c>
      <c r="K36" s="68"/>
      <c r="L36" s="13"/>
      <c r="M36" s="13"/>
      <c r="N36" s="13"/>
      <c r="O36" s="13"/>
      <c r="P36" s="13"/>
      <c r="Q36" s="13"/>
      <c r="S36" s="13"/>
    </row>
    <row r="37" spans="1:19" ht="15.75" customHeight="1"/>
    <row r="38" spans="1:19" ht="15.75" customHeight="1"/>
    <row r="39" spans="1:19" ht="15.75" customHeight="1"/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autoFilter ref="C11:R25">
    <sortState ref="C12:R28">
      <sortCondition descending="1" ref="R11:R25"/>
    </sortState>
  </autoFilter>
  <sortState ref="C11:R25">
    <sortCondition ref="C11:C25"/>
  </sortState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BONDARENKO</dc:creator>
  <cp:lastModifiedBy>BONDARENKO</cp:lastModifiedBy>
  <cp:lastPrinted>2020-12-21T07:58:56Z</cp:lastPrinted>
  <dcterms:created xsi:type="dcterms:W3CDTF">2006-09-28T05:33:49Z</dcterms:created>
  <dcterms:modified xsi:type="dcterms:W3CDTF">2021-07-01T08:50:31Z</dcterms:modified>
</cp:coreProperties>
</file>