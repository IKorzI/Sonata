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defaultThemeVersion="124226"/>
  <bookViews>
    <workbookView xWindow="0" yWindow="0" windowWidth="17280" windowHeight="9090"/>
  </bookViews>
  <sheets>
    <sheet name="Зведена відомість" sheetId="2" r:id="rId1"/>
    <sheet name="Рейтингова відомість" sheetId="3" r:id="rId2"/>
  </sheets>
  <definedNames>
    <definedName name="_xlnm._FilterDatabase" localSheetId="1" hidden="1">'Рейтингова відомість'!$C$12:$S$17</definedName>
  </definedNames>
  <calcPr calcId="125725"/>
</workbook>
</file>

<file path=xl/calcChain.xml><?xml version="1.0" encoding="utf-8"?>
<calcChain xmlns="http://schemas.openxmlformats.org/spreadsheetml/2006/main">
  <c r="R39" i="2"/>
  <c r="R38"/>
  <c r="R11" i="3" l="1"/>
  <c r="R28"/>
  <c r="R16"/>
  <c r="R25"/>
  <c r="R15"/>
  <c r="R29"/>
  <c r="R23"/>
  <c r="R27"/>
  <c r="R13"/>
  <c r="R26"/>
  <c r="R14"/>
  <c r="R20"/>
  <c r="R18"/>
  <c r="R19"/>
  <c r="R17"/>
  <c r="R21"/>
  <c r="R12"/>
  <c r="R24"/>
  <c r="R22"/>
  <c r="R12" i="2" l="1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S26" i="3"/>
  <c r="S11"/>
  <c r="S24"/>
  <c r="S27"/>
  <c r="S29"/>
  <c r="S19"/>
  <c r="S23"/>
  <c r="S16"/>
  <c r="S20"/>
  <c r="S28"/>
  <c r="S18"/>
  <c r="S14"/>
  <c r="S17"/>
  <c r="S12"/>
  <c r="S25"/>
  <c r="S13"/>
  <c r="S15"/>
  <c r="S21"/>
  <c r="S22"/>
  <c r="R11" i="2"/>
  <c r="D41" l="1"/>
  <c r="D40"/>
  <c r="E37" l="1"/>
  <c r="F37"/>
  <c r="G37"/>
  <c r="H37"/>
  <c r="I37"/>
  <c r="J37"/>
  <c r="K37"/>
  <c r="L37"/>
  <c r="M37"/>
  <c r="N37"/>
  <c r="O37"/>
  <c r="P37"/>
  <c r="Q37"/>
  <c r="D37"/>
  <c r="R37" s="1"/>
</calcChain>
</file>

<file path=xl/sharedStrings.xml><?xml version="1.0" encoding="utf-8"?>
<sst xmlns="http://schemas.openxmlformats.org/spreadsheetml/2006/main" count="160" uniqueCount="68">
  <si>
    <t>ОДЕСЬКОЇ НАЦІОНАЛЬНОЇ АКАДЕМІЇ ХАРЧОВИХ ТЕХНОЛОГІЙ</t>
  </si>
  <si>
    <t xml:space="preserve">ЗВЕДЕНА  ВІДОМІСТЬ  </t>
  </si>
  <si>
    <t>Б/К</t>
  </si>
  <si>
    <t>№ п/п</t>
  </si>
  <si>
    <t>Прізвище, ім’я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</si>
  <si>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</si>
  <si>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</si>
  <si>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</si>
  <si>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</si>
  <si>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</si>
  <si>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</si>
  <si>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Зарубіжна література Пруднікова Я.П.</t>
  </si>
  <si>
    <t>Історія України           Левчук Т.Г.</t>
  </si>
  <si>
    <t>Географія              Наговська Т.С.</t>
  </si>
  <si>
    <t>Фізика Чикіна А.В.</t>
  </si>
  <si>
    <t>ФАХОВИЙ КОЛЕДЖ НАФТОГАЗОВИХ ТЕХНОЛОГІЙ, ІНЖЕНЕРІЇ ТА ІНФРАСТРУКТУРИ СЕРВІСУ</t>
  </si>
  <si>
    <t>За І семестр 2020-2021 н.р.</t>
  </si>
  <si>
    <t>Підсумкові оцінки дисциплін</t>
  </si>
  <si>
    <t>Кількість бюджетників</t>
  </si>
  <si>
    <t>Кількість соціального контингенту</t>
  </si>
  <si>
    <t>Вийшли на стипендію</t>
  </si>
  <si>
    <t>Класний керівник</t>
  </si>
  <si>
    <t>Завідувач відділення ПЗСО</t>
  </si>
  <si>
    <t>Рейтинг</t>
  </si>
  <si>
    <t xml:space="preserve">Середній бал    </t>
  </si>
  <si>
    <t xml:space="preserve">РЕЙТИНГОВА  ВІДОМІСТЬ  </t>
  </si>
  <si>
    <t>Аксененко Віталій Валерійович</t>
  </si>
  <si>
    <t>Багно Ілля Ігорович</t>
  </si>
  <si>
    <t>Бакшанський Олексій Дмитрович</t>
  </si>
  <si>
    <t>Богданов Артем Іванович</t>
  </si>
  <si>
    <t>Бородін Микола Олександрович</t>
  </si>
  <si>
    <t>Єлісєєв Володимир Валентинович</t>
  </si>
  <si>
    <t>Калуш Олександр Васильович</t>
  </si>
  <si>
    <t>Коробчук Олександр Романович</t>
  </si>
  <si>
    <t>Косинський Андрій Вікторович</t>
  </si>
  <si>
    <t>Ланко Олександра Сергіївна</t>
  </si>
  <si>
    <t>Лєтунов Віктор Олександрович</t>
  </si>
  <si>
    <t>Макаренко Мар`ян Олександрович</t>
  </si>
  <si>
    <t>Малога Максим Дмитрович</t>
  </si>
  <si>
    <t>Місяць Василь Миколайович</t>
  </si>
  <si>
    <t>Морозов Ілля Дмитрович</t>
  </si>
  <si>
    <t>Пономаренко Олександр Романович</t>
  </si>
  <si>
    <t>Прокопенко Сергій Олександрович</t>
  </si>
  <si>
    <t>Решетник Нікіта Володимирович</t>
  </si>
  <si>
    <t>Сланіна Ілля Ілліч</t>
  </si>
  <si>
    <t>Теценко Іван Русланович</t>
  </si>
  <si>
    <t>Токарчук Олександр Олександрович</t>
  </si>
  <si>
    <t>Фоменко Максим Вікторович</t>
  </si>
  <si>
    <t>Хрупало Арсеній Миколайович</t>
  </si>
  <si>
    <t>Чегурко Григорій Дмитрович</t>
  </si>
  <si>
    <t>Шоляк Іван Михайлович</t>
  </si>
  <si>
    <t>Юшкевич Андрій Олександрович</t>
  </si>
  <si>
    <t>Українська література Юрченко О.Б</t>
  </si>
  <si>
    <t>Всесвітня історія                  Лисяний А. О</t>
  </si>
  <si>
    <t>Математика                            Чернякова Ю.Г</t>
  </si>
  <si>
    <t>Хімія Леонова Д.І</t>
  </si>
  <si>
    <t>Інформатика                Охрімчук В.С</t>
  </si>
  <si>
    <t>Українська мова Юрченко О.Б</t>
  </si>
  <si>
    <t>Біологія Вдовіченко О.В</t>
  </si>
  <si>
    <t>Фізичне вихованки  Мунтянов Л.Б</t>
  </si>
  <si>
    <t>Іноземна мова                 Апрелєнко О.А</t>
  </si>
  <si>
    <t>ЗВСтельмах Н.Ю.</t>
  </si>
  <si>
    <t>Група 20-5 курс І</t>
  </si>
  <si>
    <t>Успішності студентів спеціальності 151 "Автоматизація та комп'ютерно - інтегровані технологїї "</t>
  </si>
  <si>
    <t>В.С. ОХРІМЧУК</t>
  </si>
  <si>
    <t>Б</t>
  </si>
  <si>
    <t>К</t>
  </si>
  <si>
    <t>О.С. БОНДАРЕНКО</t>
  </si>
</sst>
</file>

<file path=xl/styles.xml><?xml version="1.0" encoding="utf-8"?>
<styleSheet xmlns="http://schemas.openxmlformats.org/spreadsheetml/2006/main">
  <numFmts count="1">
    <numFmt numFmtId="164" formatCode="0.0"/>
  </numFmts>
  <fonts count="22">
    <font>
      <sz val="11"/>
      <color rgb="FF000000"/>
      <name val="Calibri"/>
    </font>
    <font>
      <sz val="14"/>
      <name val="Times New Roman"/>
      <family val="1"/>
      <charset val="204"/>
    </font>
    <font>
      <sz val="16"/>
      <name val="Arimo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  <font>
      <sz val="12"/>
      <name val="Arimo"/>
    </font>
    <font>
      <sz val="12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  <font>
      <sz val="12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5">
    <xf numFmtId="0" fontId="0" fillId="0" borderId="0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6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0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7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  <xf numFmtId="0" fontId="15" fillId="0" borderId="23"/>
  </cellStyleXfs>
  <cellXfs count="207">
    <xf numFmtId="0" fontId="0" fillId="0" borderId="0" xfId="0" applyFont="1" applyAlignment="1"/>
    <xf numFmtId="0" fontId="2" fillId="0" borderId="0" xfId="0" applyFont="1"/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vertical="center" wrapText="1"/>
    </xf>
    <xf numFmtId="0" fontId="4" fillId="2" borderId="18" xfId="0" applyFont="1" applyFill="1" applyBorder="1" applyAlignment="1">
      <alignment vertical="center" wrapText="1"/>
    </xf>
    <xf numFmtId="0" fontId="4" fillId="2" borderId="22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0" fillId="0" borderId="0" xfId="0" applyFont="1" applyAlignment="1"/>
    <xf numFmtId="0" fontId="4" fillId="2" borderId="24" xfId="0" applyFont="1" applyFill="1" applyBorder="1" applyAlignment="1">
      <alignment horizontal="center" vertical="center" wrapText="1"/>
    </xf>
    <xf numFmtId="164" fontId="11" fillId="3" borderId="15" xfId="0" applyNumberFormat="1" applyFont="1" applyFill="1" applyBorder="1" applyAlignment="1">
      <alignment horizontal="center" vertical="center"/>
    </xf>
    <xf numFmtId="164" fontId="14" fillId="4" borderId="18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2" fontId="4" fillId="4" borderId="18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18" xfId="0" applyNumberFormat="1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164" fontId="4" fillId="4" borderId="18" xfId="120" applyNumberFormat="1" applyFont="1" applyFill="1" applyBorder="1" applyAlignment="1">
      <alignment horizontal="center" vertical="center"/>
    </xf>
    <xf numFmtId="0" fontId="4" fillId="4" borderId="29" xfId="79" applyFont="1" applyFill="1" applyBorder="1" applyAlignment="1">
      <alignment horizontal="center" vertical="center"/>
    </xf>
    <xf numFmtId="2" fontId="4" fillId="4" borderId="26" xfId="79" applyNumberFormat="1" applyFont="1" applyFill="1" applyBorder="1" applyAlignment="1">
      <alignment horizontal="center" vertical="center"/>
    </xf>
    <xf numFmtId="164" fontId="11" fillId="0" borderId="15" xfId="0" applyNumberFormat="1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31" xfId="16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5" xfId="211" applyFont="1" applyBorder="1" applyAlignment="1">
      <alignment horizontal="center" vertical="center" wrapText="1"/>
    </xf>
    <xf numFmtId="0" fontId="8" fillId="0" borderId="31" xfId="227" applyFont="1" applyBorder="1" applyAlignment="1">
      <alignment horizontal="center" vertical="center" wrapText="1"/>
    </xf>
    <xf numFmtId="0" fontId="8" fillId="0" borderId="25" xfId="18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164" fontId="11" fillId="3" borderId="16" xfId="0" applyNumberFormat="1" applyFont="1" applyFill="1" applyBorder="1" applyAlignment="1">
      <alignment horizontal="center" vertical="center"/>
    </xf>
    <xf numFmtId="0" fontId="4" fillId="4" borderId="34" xfId="79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/>
    </xf>
    <xf numFmtId="0" fontId="8" fillId="0" borderId="30" xfId="204" applyFont="1" applyBorder="1" applyAlignment="1">
      <alignment horizontal="center"/>
    </xf>
    <xf numFmtId="0" fontId="13" fillId="0" borderId="33" xfId="0" applyFont="1" applyBorder="1" applyAlignment="1">
      <alignment horizontal="center" wrapText="1"/>
    </xf>
    <xf numFmtId="164" fontId="12" fillId="3" borderId="33" xfId="0" applyNumberFormat="1" applyFont="1" applyFill="1" applyBorder="1" applyAlignment="1">
      <alignment horizontal="center" vertical="center"/>
    </xf>
    <xf numFmtId="164" fontId="8" fillId="4" borderId="33" xfId="0" applyNumberFormat="1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13" fillId="0" borderId="31" xfId="191" applyFont="1" applyBorder="1" applyAlignment="1">
      <alignment horizontal="center" wrapText="1"/>
    </xf>
    <xf numFmtId="164" fontId="11" fillId="3" borderId="31" xfId="0" applyNumberFormat="1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8" fillId="0" borderId="35" xfId="0" applyFont="1" applyFill="1" applyBorder="1" applyAlignment="1">
      <alignment horizontal="center" vertical="center" wrapText="1"/>
    </xf>
    <xf numFmtId="164" fontId="11" fillId="3" borderId="17" xfId="0" applyNumberFormat="1" applyFont="1" applyFill="1" applyBorder="1" applyAlignment="1">
      <alignment horizontal="center" vertical="center"/>
    </xf>
    <xf numFmtId="0" fontId="18" fillId="5" borderId="36" xfId="167" applyFont="1" applyFill="1" applyBorder="1" applyAlignment="1">
      <alignment horizontal="center" vertical="center"/>
    </xf>
    <xf numFmtId="0" fontId="18" fillId="5" borderId="35" xfId="167" applyFont="1" applyFill="1" applyBorder="1" applyAlignment="1">
      <alignment horizontal="center" vertical="center"/>
    </xf>
    <xf numFmtId="164" fontId="11" fillId="0" borderId="13" xfId="0" applyNumberFormat="1" applyFont="1" applyFill="1" applyBorder="1" applyAlignment="1">
      <alignment horizontal="center" vertical="center"/>
    </xf>
    <xf numFmtId="0" fontId="13" fillId="0" borderId="25" xfId="0" applyFont="1" applyBorder="1" applyAlignment="1">
      <alignment horizontal="center" vertical="center" wrapText="1"/>
    </xf>
    <xf numFmtId="164" fontId="11" fillId="3" borderId="25" xfId="0" applyNumberFormat="1" applyFont="1" applyFill="1" applyBorder="1" applyAlignment="1">
      <alignment horizontal="center" vertical="center"/>
    </xf>
    <xf numFmtId="164" fontId="8" fillId="4" borderId="25" xfId="0" applyNumberFormat="1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8" fillId="0" borderId="33" xfId="16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13" fillId="0" borderId="0" xfId="0" applyFont="1" applyAlignment="1"/>
    <xf numFmtId="0" fontId="19" fillId="0" borderId="0" xfId="0" applyFont="1" applyAlignment="1"/>
    <xf numFmtId="0" fontId="8" fillId="0" borderId="39" xfId="0" applyFont="1" applyBorder="1" applyAlignment="1">
      <alignment horizontal="center" vertical="center" wrapText="1"/>
    </xf>
    <xf numFmtId="0" fontId="8" fillId="0" borderId="39" xfId="211" applyFont="1" applyBorder="1" applyAlignment="1">
      <alignment horizontal="center" vertical="center" wrapText="1"/>
    </xf>
    <xf numFmtId="0" fontId="8" fillId="0" borderId="39" xfId="227" applyFont="1" applyBorder="1" applyAlignment="1">
      <alignment horizontal="center" vertical="center" wrapText="1"/>
    </xf>
    <xf numFmtId="0" fontId="8" fillId="0" borderId="39" xfId="16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39" xfId="180" applyFont="1" applyBorder="1" applyAlignment="1">
      <alignment horizontal="center"/>
    </xf>
    <xf numFmtId="0" fontId="8" fillId="0" borderId="45" xfId="204" applyFont="1" applyBorder="1" applyAlignment="1">
      <alignment horizontal="center"/>
    </xf>
    <xf numFmtId="0" fontId="8" fillId="0" borderId="36" xfId="0" applyFont="1" applyFill="1" applyBorder="1" applyAlignment="1">
      <alignment horizontal="center" vertical="center" wrapText="1"/>
    </xf>
    <xf numFmtId="0" fontId="13" fillId="0" borderId="25" xfId="191" applyFont="1" applyBorder="1" applyAlignment="1">
      <alignment horizontal="center" wrapText="1"/>
    </xf>
    <xf numFmtId="0" fontId="8" fillId="0" borderId="43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13" fillId="0" borderId="43" xfId="0" applyFont="1" applyBorder="1" applyAlignment="1">
      <alignment vertical="center" wrapText="1"/>
    </xf>
    <xf numFmtId="0" fontId="8" fillId="6" borderId="25" xfId="211" applyFont="1" applyFill="1" applyBorder="1" applyAlignment="1">
      <alignment horizontal="center" vertical="center" wrapText="1"/>
    </xf>
    <xf numFmtId="0" fontId="8" fillId="6" borderId="31" xfId="160" applyFont="1" applyFill="1" applyBorder="1" applyAlignment="1">
      <alignment horizontal="center" vertical="center" wrapText="1"/>
    </xf>
    <xf numFmtId="0" fontId="0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13" fillId="0" borderId="55" xfId="0" applyFont="1" applyBorder="1" applyAlignment="1">
      <alignment vertical="center" wrapText="1"/>
    </xf>
    <xf numFmtId="0" fontId="8" fillId="0" borderId="59" xfId="0" applyFont="1" applyBorder="1" applyAlignment="1">
      <alignment horizontal="center" vertical="center" wrapText="1"/>
    </xf>
    <xf numFmtId="0" fontId="8" fillId="0" borderId="55" xfId="211" applyFont="1" applyBorder="1" applyAlignment="1">
      <alignment horizontal="center" vertical="center" wrapText="1"/>
    </xf>
    <xf numFmtId="0" fontId="8" fillId="0" borderId="55" xfId="227" applyFont="1" applyBorder="1" applyAlignment="1">
      <alignment horizontal="center" vertical="center" wrapText="1"/>
    </xf>
    <xf numFmtId="0" fontId="8" fillId="0" borderId="55" xfId="160" applyFont="1" applyBorder="1" applyAlignment="1">
      <alignment horizontal="center" vertical="center" wrapText="1"/>
    </xf>
    <xf numFmtId="0" fontId="8" fillId="0" borderId="60" xfId="0" applyFont="1" applyBorder="1" applyAlignment="1">
      <alignment horizontal="center" vertical="center" wrapText="1"/>
    </xf>
    <xf numFmtId="0" fontId="8" fillId="0" borderId="61" xfId="0" applyFont="1" applyBorder="1" applyAlignment="1">
      <alignment horizontal="center" vertical="center" wrapText="1"/>
    </xf>
    <xf numFmtId="0" fontId="8" fillId="0" borderId="61" xfId="180" applyFont="1" applyBorder="1" applyAlignment="1">
      <alignment horizontal="center"/>
    </xf>
    <xf numFmtId="0" fontId="8" fillId="0" borderId="62" xfId="204" applyFont="1" applyBorder="1" applyAlignment="1">
      <alignment horizontal="center"/>
    </xf>
    <xf numFmtId="0" fontId="13" fillId="0" borderId="62" xfId="0" applyFont="1" applyBorder="1" applyAlignment="1">
      <alignment horizontal="center" wrapText="1"/>
    </xf>
    <xf numFmtId="0" fontId="13" fillId="0" borderId="61" xfId="191" applyFont="1" applyBorder="1" applyAlignment="1">
      <alignment horizontal="center" wrapText="1"/>
    </xf>
    <xf numFmtId="0" fontId="13" fillId="0" borderId="61" xfId="0" applyFont="1" applyBorder="1" applyAlignment="1">
      <alignment horizontal="center" vertical="center" wrapText="1"/>
    </xf>
    <xf numFmtId="164" fontId="11" fillId="0" borderId="5" xfId="0" applyNumberFormat="1" applyFont="1" applyFill="1" applyBorder="1" applyAlignment="1">
      <alignment horizontal="center" vertical="center"/>
    </xf>
    <xf numFmtId="164" fontId="11" fillId="0" borderId="8" xfId="0" applyNumberFormat="1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 wrapText="1"/>
    </xf>
    <xf numFmtId="0" fontId="13" fillId="0" borderId="63" xfId="0" applyFont="1" applyBorder="1" applyAlignment="1">
      <alignment vertical="center" wrapText="1"/>
    </xf>
    <xf numFmtId="0" fontId="8" fillId="0" borderId="63" xfId="0" applyFont="1" applyBorder="1" applyAlignment="1">
      <alignment horizontal="center" vertical="center" wrapText="1"/>
    </xf>
    <xf numFmtId="0" fontId="8" fillId="0" borderId="63" xfId="211" applyFont="1" applyBorder="1" applyAlignment="1">
      <alignment horizontal="center" vertical="center" wrapText="1"/>
    </xf>
    <xf numFmtId="0" fontId="8" fillId="0" borderId="63" xfId="227" applyFont="1" applyBorder="1" applyAlignment="1">
      <alignment horizontal="center" vertical="center" wrapText="1"/>
    </xf>
    <xf numFmtId="0" fontId="8" fillId="0" borderId="63" xfId="160" applyFont="1" applyBorder="1" applyAlignment="1">
      <alignment horizontal="center" vertical="center" wrapText="1"/>
    </xf>
    <xf numFmtId="0" fontId="8" fillId="0" borderId="63" xfId="180" applyFont="1" applyBorder="1" applyAlignment="1">
      <alignment horizontal="center"/>
    </xf>
    <xf numFmtId="0" fontId="8" fillId="0" borderId="63" xfId="204" applyFont="1" applyBorder="1" applyAlignment="1">
      <alignment horizontal="center"/>
    </xf>
    <xf numFmtId="0" fontId="13" fillId="0" borderId="63" xfId="0" applyFont="1" applyBorder="1" applyAlignment="1">
      <alignment horizontal="center" wrapText="1"/>
    </xf>
    <xf numFmtId="0" fontId="13" fillId="0" borderId="63" xfId="191" applyFont="1" applyBorder="1" applyAlignment="1">
      <alignment horizontal="center" wrapText="1"/>
    </xf>
    <xf numFmtId="0" fontId="8" fillId="0" borderId="63" xfId="0" applyFont="1" applyFill="1" applyBorder="1" applyAlignment="1">
      <alignment horizontal="center" vertical="center" wrapText="1"/>
    </xf>
    <xf numFmtId="0" fontId="13" fillId="0" borderId="63" xfId="0" applyFont="1" applyBorder="1" applyAlignment="1">
      <alignment horizontal="center" vertical="center" wrapText="1"/>
    </xf>
    <xf numFmtId="164" fontId="11" fillId="0" borderId="63" xfId="0" applyNumberFormat="1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 wrapText="1"/>
    </xf>
    <xf numFmtId="0" fontId="13" fillId="8" borderId="31" xfId="0" applyFont="1" applyFill="1" applyBorder="1" applyAlignment="1">
      <alignment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8" fillId="8" borderId="31" xfId="211" applyFont="1" applyFill="1" applyBorder="1" applyAlignment="1">
      <alignment horizontal="center" vertical="center" wrapText="1"/>
    </xf>
    <xf numFmtId="0" fontId="8" fillId="8" borderId="31" xfId="227" applyFont="1" applyFill="1" applyBorder="1" applyAlignment="1">
      <alignment horizontal="center" vertical="center" wrapText="1"/>
    </xf>
    <xf numFmtId="0" fontId="8" fillId="8" borderId="31" xfId="160" applyFont="1" applyFill="1" applyBorder="1" applyAlignment="1">
      <alignment horizontal="center" vertical="center" wrapText="1"/>
    </xf>
    <xf numFmtId="0" fontId="8" fillId="8" borderId="31" xfId="180" applyFont="1" applyFill="1" applyBorder="1" applyAlignment="1">
      <alignment horizontal="center"/>
    </xf>
    <xf numFmtId="0" fontId="8" fillId="8" borderId="31" xfId="204" applyFont="1" applyFill="1" applyBorder="1" applyAlignment="1">
      <alignment horizontal="center"/>
    </xf>
    <xf numFmtId="0" fontId="13" fillId="8" borderId="31" xfId="0" applyFont="1" applyFill="1" applyBorder="1" applyAlignment="1">
      <alignment horizontal="center" wrapText="1"/>
    </xf>
    <xf numFmtId="0" fontId="13" fillId="8" borderId="31" xfId="191" applyFont="1" applyFill="1" applyBorder="1" applyAlignment="1">
      <alignment horizontal="center" wrapText="1"/>
    </xf>
    <xf numFmtId="0" fontId="13" fillId="8" borderId="31" xfId="0" applyFont="1" applyFill="1" applyBorder="1" applyAlignment="1">
      <alignment horizontal="center" vertical="center" wrapText="1"/>
    </xf>
    <xf numFmtId="164" fontId="11" fillId="8" borderId="31" xfId="0" applyNumberFormat="1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13" fillId="8" borderId="42" xfId="0" applyFont="1" applyFill="1" applyBorder="1" applyAlignment="1">
      <alignment vertical="center" wrapText="1"/>
    </xf>
    <xf numFmtId="0" fontId="8" fillId="8" borderId="56" xfId="0" applyFont="1" applyFill="1" applyBorder="1" applyAlignment="1">
      <alignment horizontal="center" vertical="center" wrapText="1"/>
    </xf>
    <xf numFmtId="0" fontId="8" fillId="8" borderId="42" xfId="211" applyFont="1" applyFill="1" applyBorder="1" applyAlignment="1">
      <alignment horizontal="center" vertical="center" wrapText="1"/>
    </xf>
    <xf numFmtId="0" fontId="8" fillId="8" borderId="42" xfId="227" applyFont="1" applyFill="1" applyBorder="1" applyAlignment="1">
      <alignment horizontal="center" vertical="center" wrapText="1"/>
    </xf>
    <xf numFmtId="0" fontId="8" fillId="8" borderId="57" xfId="160" applyFont="1" applyFill="1" applyBorder="1" applyAlignment="1">
      <alignment horizontal="center" vertical="center" wrapText="1"/>
    </xf>
    <xf numFmtId="0" fontId="8" fillId="8" borderId="42" xfId="0" applyFont="1" applyFill="1" applyBorder="1" applyAlignment="1">
      <alignment horizontal="center" vertical="center" wrapText="1"/>
    </xf>
    <xf numFmtId="0" fontId="8" fillId="8" borderId="58" xfId="0" applyFont="1" applyFill="1" applyBorder="1" applyAlignment="1">
      <alignment horizontal="center" vertical="center" wrapText="1"/>
    </xf>
    <xf numFmtId="0" fontId="8" fillId="8" borderId="42" xfId="180" applyFont="1" applyFill="1" applyBorder="1" applyAlignment="1">
      <alignment horizontal="center"/>
    </xf>
    <xf numFmtId="0" fontId="8" fillId="8" borderId="57" xfId="204" applyFont="1" applyFill="1" applyBorder="1" applyAlignment="1">
      <alignment horizontal="center"/>
    </xf>
    <xf numFmtId="0" fontId="13" fillId="8" borderId="57" xfId="0" applyFont="1" applyFill="1" applyBorder="1" applyAlignment="1">
      <alignment horizontal="center" wrapText="1"/>
    </xf>
    <xf numFmtId="0" fontId="13" fillId="8" borderId="42" xfId="191" applyFont="1" applyFill="1" applyBorder="1" applyAlignment="1">
      <alignment horizontal="center" wrapText="1"/>
    </xf>
    <xf numFmtId="0" fontId="8" fillId="8" borderId="54" xfId="0" applyFont="1" applyFill="1" applyBorder="1" applyAlignment="1">
      <alignment horizontal="center" vertical="center" wrapText="1"/>
    </xf>
    <xf numFmtId="0" fontId="13" fillId="8" borderId="42" xfId="0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/>
    </xf>
    <xf numFmtId="164" fontId="11" fillId="8" borderId="13" xfId="0" applyNumberFormat="1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 wrapText="1"/>
    </xf>
    <xf numFmtId="0" fontId="13" fillId="8" borderId="25" xfId="0" applyFont="1" applyFill="1" applyBorder="1" applyAlignment="1">
      <alignment vertical="center" wrapText="1"/>
    </xf>
    <xf numFmtId="0" fontId="8" fillId="8" borderId="43" xfId="0" applyFont="1" applyFill="1" applyBorder="1" applyAlignment="1">
      <alignment horizontal="center" vertical="center" wrapText="1"/>
    </xf>
    <xf numFmtId="0" fontId="8" fillId="8" borderId="25" xfId="211" applyFont="1" applyFill="1" applyBorder="1" applyAlignment="1">
      <alignment horizontal="center" vertical="center" wrapText="1"/>
    </xf>
    <xf numFmtId="0" fontId="8" fillId="8" borderId="33" xfId="160" applyFont="1" applyFill="1" applyBorder="1" applyAlignment="1">
      <alignment horizontal="center" vertical="center" wrapText="1"/>
    </xf>
    <xf numFmtId="0" fontId="8" fillId="8" borderId="25" xfId="0" applyFont="1" applyFill="1" applyBorder="1" applyAlignment="1">
      <alignment horizontal="center" vertical="center" wrapText="1"/>
    </xf>
    <xf numFmtId="0" fontId="8" fillId="8" borderId="38" xfId="0" applyFont="1" applyFill="1" applyBorder="1" applyAlignment="1">
      <alignment horizontal="center" vertical="center" wrapText="1"/>
    </xf>
    <xf numFmtId="0" fontId="8" fillId="8" borderId="25" xfId="180" applyFont="1" applyFill="1" applyBorder="1" applyAlignment="1">
      <alignment horizontal="center"/>
    </xf>
    <xf numFmtId="0" fontId="8" fillId="8" borderId="30" xfId="204" applyFont="1" applyFill="1" applyBorder="1" applyAlignment="1">
      <alignment horizontal="center"/>
    </xf>
    <xf numFmtId="0" fontId="13" fillId="8" borderId="33" xfId="0" applyFont="1" applyFill="1" applyBorder="1" applyAlignment="1">
      <alignment horizontal="center" wrapText="1"/>
    </xf>
    <xf numFmtId="0" fontId="8" fillId="8" borderId="35" xfId="0" applyFont="1" applyFill="1" applyBorder="1" applyAlignment="1">
      <alignment horizontal="center" vertical="center" wrapText="1"/>
    </xf>
    <xf numFmtId="0" fontId="13" fillId="8" borderId="25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 wrapText="1"/>
    </xf>
    <xf numFmtId="0" fontId="8" fillId="8" borderId="27" xfId="0" applyFont="1" applyFill="1" applyBorder="1" applyAlignment="1">
      <alignment horizontal="center" vertical="center" wrapText="1"/>
    </xf>
    <xf numFmtId="0" fontId="8" fillId="8" borderId="18" xfId="0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10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24" xfId="0" applyFont="1" applyBorder="1"/>
    <xf numFmtId="0" fontId="5" fillId="0" borderId="4" xfId="0" applyFont="1" applyBorder="1"/>
    <xf numFmtId="0" fontId="4" fillId="0" borderId="5" xfId="0" applyFont="1" applyBorder="1" applyAlignment="1">
      <alignment horizontal="center" textRotation="90" wrapText="1"/>
    </xf>
    <xf numFmtId="0" fontId="4" fillId="0" borderId="1" xfId="0" applyFont="1" applyBorder="1" applyAlignment="1">
      <alignment horizontal="center" textRotation="90" wrapText="1"/>
    </xf>
    <xf numFmtId="0" fontId="3" fillId="0" borderId="0" xfId="0" applyFont="1" applyAlignment="1">
      <alignment horizontal="center"/>
    </xf>
    <xf numFmtId="0" fontId="4" fillId="0" borderId="25" xfId="0" applyFont="1" applyBorder="1" applyAlignment="1">
      <alignment horizontal="center" textRotation="90" wrapText="1"/>
    </xf>
    <xf numFmtId="0" fontId="5" fillId="0" borderId="25" xfId="0" applyFont="1" applyBorder="1"/>
    <xf numFmtId="0" fontId="6" fillId="2" borderId="9" xfId="0" applyFont="1" applyFill="1" applyBorder="1" applyAlignment="1">
      <alignment horizontal="center" vertical="center" textRotation="90" wrapText="1"/>
    </xf>
    <xf numFmtId="0" fontId="5" fillId="0" borderId="9" xfId="0" applyFont="1" applyBorder="1"/>
    <xf numFmtId="0" fontId="5" fillId="0" borderId="14" xfId="0" applyFont="1" applyBorder="1"/>
    <xf numFmtId="0" fontId="4" fillId="0" borderId="8" xfId="0" applyFont="1" applyBorder="1" applyAlignment="1">
      <alignment horizontal="center" textRotation="90" wrapText="1"/>
    </xf>
    <xf numFmtId="0" fontId="5" fillId="0" borderId="8" xfId="0" applyFont="1" applyBorder="1"/>
    <xf numFmtId="0" fontId="4" fillId="0" borderId="6" xfId="0" applyFont="1" applyBorder="1" applyAlignment="1">
      <alignment horizontal="center" textRotation="90" wrapText="1"/>
    </xf>
    <xf numFmtId="0" fontId="5" fillId="0" borderId="6" xfId="0" applyFont="1" applyBorder="1"/>
    <xf numFmtId="0" fontId="5" fillId="0" borderId="11" xfId="0" applyFont="1" applyBorder="1"/>
    <xf numFmtId="0" fontId="8" fillId="0" borderId="21" xfId="0" applyFont="1" applyBorder="1" applyAlignment="1">
      <alignment horizontal="center" textRotation="90" wrapText="1"/>
    </xf>
    <xf numFmtId="0" fontId="5" fillId="0" borderId="37" xfId="0" applyFont="1" applyBorder="1"/>
    <xf numFmtId="0" fontId="5" fillId="0" borderId="16" xfId="0" applyFont="1" applyBorder="1"/>
    <xf numFmtId="0" fontId="4" fillId="0" borderId="23" xfId="0" applyFont="1" applyBorder="1" applyAlignment="1">
      <alignment horizontal="center" textRotation="90" wrapText="1"/>
    </xf>
    <xf numFmtId="0" fontId="5" fillId="0" borderId="23" xfId="0" applyFont="1" applyBorder="1"/>
    <xf numFmtId="0" fontId="5" fillId="0" borderId="17" xfId="0" applyFont="1" applyBorder="1"/>
    <xf numFmtId="0" fontId="4" fillId="0" borderId="7" xfId="0" applyFont="1" applyBorder="1" applyAlignment="1">
      <alignment horizontal="center" textRotation="90" wrapText="1"/>
    </xf>
    <xf numFmtId="0" fontId="5" fillId="0" borderId="7" xfId="0" applyFont="1" applyBorder="1"/>
    <xf numFmtId="0" fontId="5" fillId="0" borderId="12" xfId="0" applyFont="1" applyBorder="1"/>
    <xf numFmtId="0" fontId="8" fillId="0" borderId="1" xfId="0" applyFont="1" applyBorder="1" applyAlignment="1">
      <alignment horizontal="center" textRotation="90" wrapText="1"/>
    </xf>
    <xf numFmtId="0" fontId="4" fillId="0" borderId="47" xfId="0" applyFont="1" applyBorder="1" applyAlignment="1">
      <alignment horizontal="center" textRotation="90" wrapText="1"/>
    </xf>
    <xf numFmtId="0" fontId="5" fillId="0" borderId="48" xfId="0" applyFont="1" applyBorder="1"/>
    <xf numFmtId="0" fontId="5" fillId="0" borderId="55" xfId="0" applyFont="1" applyBorder="1"/>
    <xf numFmtId="0" fontId="20" fillId="2" borderId="40" xfId="0" applyFont="1" applyFill="1" applyBorder="1" applyAlignment="1">
      <alignment horizontal="center" vertical="center" textRotation="90" wrapText="1"/>
    </xf>
    <xf numFmtId="0" fontId="6" fillId="2" borderId="41" xfId="0" applyFont="1" applyFill="1" applyBorder="1" applyAlignment="1">
      <alignment horizontal="center" vertical="center" textRotation="90" wrapText="1"/>
    </xf>
    <xf numFmtId="0" fontId="20" fillId="0" borderId="39" xfId="0" applyFont="1" applyBorder="1" applyAlignment="1">
      <alignment horizontal="center" vertical="center" textRotation="90" wrapText="1"/>
    </xf>
    <xf numFmtId="0" fontId="20" fillId="0" borderId="32" xfId="0" applyFont="1" applyBorder="1" applyAlignment="1">
      <alignment horizontal="center" vertical="center" textRotation="90" wrapText="1"/>
    </xf>
    <xf numFmtId="0" fontId="4" fillId="0" borderId="49" xfId="0" applyFont="1" applyBorder="1" applyAlignment="1">
      <alignment horizontal="center" textRotation="90" wrapText="1"/>
    </xf>
    <xf numFmtId="0" fontId="4" fillId="0" borderId="52" xfId="0" applyFont="1" applyBorder="1" applyAlignment="1">
      <alignment horizontal="center" textRotation="90" wrapText="1"/>
    </xf>
    <xf numFmtId="0" fontId="5" fillId="0" borderId="53" xfId="0" applyFont="1" applyBorder="1"/>
    <xf numFmtId="0" fontId="4" fillId="0" borderId="21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0" borderId="17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center" textRotation="90" wrapText="1"/>
    </xf>
    <xf numFmtId="0" fontId="5" fillId="0" borderId="31" xfId="0" applyFont="1" applyBorder="1"/>
    <xf numFmtId="0" fontId="4" fillId="0" borderId="20" xfId="0" applyFont="1" applyBorder="1" applyAlignment="1">
      <alignment horizontal="center" textRotation="90" wrapText="1"/>
    </xf>
    <xf numFmtId="0" fontId="4" fillId="0" borderId="50" xfId="0" applyFont="1" applyBorder="1" applyAlignment="1">
      <alignment horizontal="center" textRotation="90" wrapText="1"/>
    </xf>
    <xf numFmtId="0" fontId="5" fillId="0" borderId="51" xfId="0" applyFont="1" applyBorder="1"/>
  </cellXfs>
  <cellStyles count="245">
    <cellStyle name="Обычный" xfId="0" builtinId="0"/>
    <cellStyle name="Обычный 10" xfId="9"/>
    <cellStyle name="Обычный 100" xfId="99"/>
    <cellStyle name="Обычный 101" xfId="100"/>
    <cellStyle name="Обычный 102" xfId="101"/>
    <cellStyle name="Обычный 103" xfId="102"/>
    <cellStyle name="Обычный 104" xfId="103"/>
    <cellStyle name="Обычный 105" xfId="104"/>
    <cellStyle name="Обычный 106" xfId="105"/>
    <cellStyle name="Обычный 107" xfId="106"/>
    <cellStyle name="Обычный 108" xfId="107"/>
    <cellStyle name="Обычный 109" xfId="108"/>
    <cellStyle name="Обычный 11" xfId="10"/>
    <cellStyle name="Обычный 110" xfId="109"/>
    <cellStyle name="Обычный 111" xfId="110"/>
    <cellStyle name="Обычный 112" xfId="111"/>
    <cellStyle name="Обычный 113" xfId="112"/>
    <cellStyle name="Обычный 114" xfId="113"/>
    <cellStyle name="Обычный 115" xfId="114"/>
    <cellStyle name="Обычный 116" xfId="115"/>
    <cellStyle name="Обычный 117" xfId="116"/>
    <cellStyle name="Обычный 118" xfId="117"/>
    <cellStyle name="Обычный 119" xfId="118"/>
    <cellStyle name="Обычный 12" xfId="11"/>
    <cellStyle name="Обычный 120" xfId="119"/>
    <cellStyle name="Обычный 121" xfId="120"/>
    <cellStyle name="Обычный 122" xfId="121"/>
    <cellStyle name="Обычный 123" xfId="122"/>
    <cellStyle name="Обычный 124" xfId="123"/>
    <cellStyle name="Обычный 125" xfId="124"/>
    <cellStyle name="Обычный 126" xfId="125"/>
    <cellStyle name="Обычный 127" xfId="126"/>
    <cellStyle name="Обычный 128" xfId="127"/>
    <cellStyle name="Обычный 129" xfId="128"/>
    <cellStyle name="Обычный 13" xfId="12"/>
    <cellStyle name="Обычный 130" xfId="129"/>
    <cellStyle name="Обычный 131" xfId="130"/>
    <cellStyle name="Обычный 132" xfId="131"/>
    <cellStyle name="Обычный 133" xfId="132"/>
    <cellStyle name="Обычный 134" xfId="133"/>
    <cellStyle name="Обычный 135" xfId="134"/>
    <cellStyle name="Обычный 136" xfId="135"/>
    <cellStyle name="Обычный 137" xfId="136"/>
    <cellStyle name="Обычный 138" xfId="137"/>
    <cellStyle name="Обычный 139" xfId="138"/>
    <cellStyle name="Обычный 14" xfId="13"/>
    <cellStyle name="Обычный 140" xfId="139"/>
    <cellStyle name="Обычный 141" xfId="140"/>
    <cellStyle name="Обычный 142" xfId="141"/>
    <cellStyle name="Обычный 143" xfId="142"/>
    <cellStyle name="Обычный 144" xfId="143"/>
    <cellStyle name="Обычный 145" xfId="144"/>
    <cellStyle name="Обычный 146" xfId="145"/>
    <cellStyle name="Обычный 147" xfId="146"/>
    <cellStyle name="Обычный 148" xfId="147"/>
    <cellStyle name="Обычный 149" xfId="148"/>
    <cellStyle name="Обычный 15" xfId="14"/>
    <cellStyle name="Обычный 150" xfId="149"/>
    <cellStyle name="Обычный 151" xfId="150"/>
    <cellStyle name="Обычный 152" xfId="151"/>
    <cellStyle name="Обычный 153" xfId="152"/>
    <cellStyle name="Обычный 154" xfId="153"/>
    <cellStyle name="Обычный 155" xfId="154"/>
    <cellStyle name="Обычный 156" xfId="155"/>
    <cellStyle name="Обычный 157" xfId="156"/>
    <cellStyle name="Обычный 158" xfId="157"/>
    <cellStyle name="Обычный 159" xfId="158"/>
    <cellStyle name="Обычный 16" xfId="15"/>
    <cellStyle name="Обычный 160" xfId="159"/>
    <cellStyle name="Обычный 161" xfId="160"/>
    <cellStyle name="Обычный 162" xfId="161"/>
    <cellStyle name="Обычный 163" xfId="162"/>
    <cellStyle name="Обычный 164" xfId="163"/>
    <cellStyle name="Обычный 165" xfId="164"/>
    <cellStyle name="Обычный 166" xfId="165"/>
    <cellStyle name="Обычный 167" xfId="166"/>
    <cellStyle name="Обычный 168" xfId="167"/>
    <cellStyle name="Обычный 169" xfId="168"/>
    <cellStyle name="Обычный 17" xfId="16"/>
    <cellStyle name="Обычный 170" xfId="169"/>
    <cellStyle name="Обычный 171" xfId="170"/>
    <cellStyle name="Обычный 172" xfId="171"/>
    <cellStyle name="Обычный 173" xfId="172"/>
    <cellStyle name="Обычный 174" xfId="173"/>
    <cellStyle name="Обычный 175" xfId="174"/>
    <cellStyle name="Обычный 176" xfId="175"/>
    <cellStyle name="Обычный 177" xfId="176"/>
    <cellStyle name="Обычный 178" xfId="177"/>
    <cellStyle name="Обычный 179" xfId="178"/>
    <cellStyle name="Обычный 18" xfId="17"/>
    <cellStyle name="Обычный 180" xfId="179"/>
    <cellStyle name="Обычный 181" xfId="180"/>
    <cellStyle name="Обычный 182" xfId="181"/>
    <cellStyle name="Обычный 183" xfId="182"/>
    <cellStyle name="Обычный 184" xfId="183"/>
    <cellStyle name="Обычный 185" xfId="184"/>
    <cellStyle name="Обычный 186" xfId="185"/>
    <cellStyle name="Обычный 187" xfId="186"/>
    <cellStyle name="Обычный 188" xfId="187"/>
    <cellStyle name="Обычный 189" xfId="188"/>
    <cellStyle name="Обычный 19" xfId="18"/>
    <cellStyle name="Обычный 190" xfId="189"/>
    <cellStyle name="Обычный 191" xfId="190"/>
    <cellStyle name="Обычный 192" xfId="191"/>
    <cellStyle name="Обычный 193" xfId="192"/>
    <cellStyle name="Обычный 194" xfId="193"/>
    <cellStyle name="Обычный 195" xfId="194"/>
    <cellStyle name="Обычный 196" xfId="195"/>
    <cellStyle name="Обычный 197" xfId="196"/>
    <cellStyle name="Обычный 198" xfId="197"/>
    <cellStyle name="Обычный 199" xfId="198"/>
    <cellStyle name="Обычный 2" xfId="1"/>
    <cellStyle name="Обычный 20" xfId="19"/>
    <cellStyle name="Обычный 200" xfId="199"/>
    <cellStyle name="Обычный 201" xfId="200"/>
    <cellStyle name="Обычный 202" xfId="201"/>
    <cellStyle name="Обычный 203" xfId="202"/>
    <cellStyle name="Обычный 204" xfId="203"/>
    <cellStyle name="Обычный 205" xfId="204"/>
    <cellStyle name="Обычный 206" xfId="205"/>
    <cellStyle name="Обычный 207" xfId="206"/>
    <cellStyle name="Обычный 208" xfId="207"/>
    <cellStyle name="Обычный 209" xfId="208"/>
    <cellStyle name="Обычный 21" xfId="20"/>
    <cellStyle name="Обычный 210" xfId="209"/>
    <cellStyle name="Обычный 211" xfId="210"/>
    <cellStyle name="Обычный 212" xfId="211"/>
    <cellStyle name="Обычный 213" xfId="212"/>
    <cellStyle name="Обычный 214" xfId="213"/>
    <cellStyle name="Обычный 215" xfId="214"/>
    <cellStyle name="Обычный 216" xfId="215"/>
    <cellStyle name="Обычный 217" xfId="216"/>
    <cellStyle name="Обычный 218" xfId="217"/>
    <cellStyle name="Обычный 219" xfId="218"/>
    <cellStyle name="Обычный 22" xfId="21"/>
    <cellStyle name="Обычный 220" xfId="219"/>
    <cellStyle name="Обычный 221" xfId="220"/>
    <cellStyle name="Обычный 222" xfId="221"/>
    <cellStyle name="Обычный 223" xfId="222"/>
    <cellStyle name="Обычный 224" xfId="223"/>
    <cellStyle name="Обычный 225" xfId="224"/>
    <cellStyle name="Обычный 226" xfId="225"/>
    <cellStyle name="Обычный 227" xfId="226"/>
    <cellStyle name="Обычный 228" xfId="227"/>
    <cellStyle name="Обычный 229" xfId="228"/>
    <cellStyle name="Обычный 23" xfId="22"/>
    <cellStyle name="Обычный 230" xfId="229"/>
    <cellStyle name="Обычный 231" xfId="230"/>
    <cellStyle name="Обычный 232" xfId="231"/>
    <cellStyle name="Обычный 233" xfId="232"/>
    <cellStyle name="Обычный 234" xfId="233"/>
    <cellStyle name="Обычный 235" xfId="234"/>
    <cellStyle name="Обычный 236" xfId="235"/>
    <cellStyle name="Обычный 237" xfId="236"/>
    <cellStyle name="Обычный 238" xfId="237"/>
    <cellStyle name="Обычный 239" xfId="238"/>
    <cellStyle name="Обычный 24" xfId="23"/>
    <cellStyle name="Обычный 240" xfId="239"/>
    <cellStyle name="Обычный 241" xfId="240"/>
    <cellStyle name="Обычный 242" xfId="241"/>
    <cellStyle name="Обычный 243" xfId="242"/>
    <cellStyle name="Обычный 244" xfId="243"/>
    <cellStyle name="Обычный 245" xfId="244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" xfId="2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" xfId="3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" xfId="4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" xfId="5"/>
    <cellStyle name="Обычный 60" xfId="59"/>
    <cellStyle name="Обычный 61" xfId="60"/>
    <cellStyle name="Обычный 62" xfId="61"/>
    <cellStyle name="Обычный 63" xfId="62"/>
    <cellStyle name="Обычный 64" xfId="63"/>
    <cellStyle name="Обычный 65" xfId="64"/>
    <cellStyle name="Обычный 66" xfId="65"/>
    <cellStyle name="Обычный 67" xfId="66"/>
    <cellStyle name="Обычный 68" xfId="67"/>
    <cellStyle name="Обычный 69" xfId="68"/>
    <cellStyle name="Обычный 7" xfId="6"/>
    <cellStyle name="Обычный 70" xfId="69"/>
    <cellStyle name="Обычный 71" xfId="70"/>
    <cellStyle name="Обычный 72" xfId="71"/>
    <cellStyle name="Обычный 73" xfId="72"/>
    <cellStyle name="Обычный 74" xfId="73"/>
    <cellStyle name="Обычный 75" xfId="74"/>
    <cellStyle name="Обычный 76" xfId="75"/>
    <cellStyle name="Обычный 77" xfId="76"/>
    <cellStyle name="Обычный 78" xfId="77"/>
    <cellStyle name="Обычный 79" xfId="78"/>
    <cellStyle name="Обычный 8" xfId="7"/>
    <cellStyle name="Обычный 80" xfId="79"/>
    <cellStyle name="Обычный 81" xfId="80"/>
    <cellStyle name="Обычный 82" xfId="81"/>
    <cellStyle name="Обычный 83" xfId="82"/>
    <cellStyle name="Обычный 84" xfId="83"/>
    <cellStyle name="Обычный 85" xfId="84"/>
    <cellStyle name="Обычный 86" xfId="85"/>
    <cellStyle name="Обычный 87" xfId="86"/>
    <cellStyle name="Обычный 88" xfId="87"/>
    <cellStyle name="Обычный 89" xfId="88"/>
    <cellStyle name="Обычный 9" xfId="8"/>
    <cellStyle name="Обычный 90" xfId="89"/>
    <cellStyle name="Обычный 91" xfId="90"/>
    <cellStyle name="Обычный 92" xfId="91"/>
    <cellStyle name="Обычный 93" xfId="92"/>
    <cellStyle name="Обычный 94" xfId="93"/>
    <cellStyle name="Обычный 95" xfId="94"/>
    <cellStyle name="Обычный 96" xfId="95"/>
    <cellStyle name="Обычный 97" xfId="96"/>
    <cellStyle name="Обычный 98" xfId="97"/>
    <cellStyle name="Обычный 99" xfId="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tabSelected="1" topLeftCell="A16" zoomScale="73" zoomScaleNormal="73" workbookViewId="0">
      <selection activeCell="F43" sqref="F43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8" ht="15" customHeight="1">
      <c r="A1" s="151" t="s">
        <v>15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"/>
      <c r="Q1" s="1"/>
      <c r="R1" s="1"/>
    </row>
    <row r="2" spans="1:18" ht="15" customHeight="1">
      <c r="A2" s="151" t="s">
        <v>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"/>
      <c r="Q2" s="1"/>
      <c r="R2" s="1"/>
    </row>
    <row r="3" spans="1:18" ht="15" customHeight="1">
      <c r="A3" s="163" t="s">
        <v>1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"/>
      <c r="Q3" s="1"/>
      <c r="R3" s="1"/>
    </row>
    <row r="4" spans="1:18" ht="15" customHeight="1">
      <c r="A4" s="151" t="s">
        <v>63</v>
      </c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"/>
      <c r="Q4" s="1"/>
      <c r="R4" s="1"/>
    </row>
    <row r="5" spans="1:18" ht="15" customHeight="1">
      <c r="A5" s="151" t="s">
        <v>16</v>
      </c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"/>
      <c r="Q5" s="1"/>
      <c r="R5" s="1"/>
    </row>
    <row r="6" spans="1:18" ht="15" customHeight="1">
      <c r="A6" s="151" t="s">
        <v>62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"/>
      <c r="Q6" s="1"/>
      <c r="R6" s="1"/>
    </row>
    <row r="7" spans="1:18" ht="15" customHeight="1">
      <c r="A7" s="153" t="s">
        <v>2</v>
      </c>
      <c r="B7" s="156" t="s">
        <v>3</v>
      </c>
      <c r="C7" s="156" t="s">
        <v>4</v>
      </c>
      <c r="D7" s="157" t="s">
        <v>17</v>
      </c>
      <c r="E7" s="158"/>
      <c r="F7" s="158"/>
      <c r="G7" s="158"/>
      <c r="H7" s="159"/>
      <c r="I7" s="158"/>
      <c r="J7" s="158"/>
      <c r="K7" s="158"/>
      <c r="L7" s="158"/>
      <c r="M7" s="158"/>
      <c r="N7" s="158"/>
      <c r="O7" s="158"/>
      <c r="P7" s="158"/>
      <c r="Q7" s="159"/>
      <c r="R7" s="160"/>
    </row>
    <row r="8" spans="1:18" ht="15" customHeight="1">
      <c r="A8" s="154"/>
      <c r="B8" s="154"/>
      <c r="C8" s="154"/>
      <c r="D8" s="161" t="s">
        <v>52</v>
      </c>
      <c r="E8" s="162" t="s">
        <v>53</v>
      </c>
      <c r="F8" s="162" t="s">
        <v>54</v>
      </c>
      <c r="G8" s="174" t="s">
        <v>14</v>
      </c>
      <c r="H8" s="164" t="s">
        <v>55</v>
      </c>
      <c r="I8" s="169" t="s">
        <v>56</v>
      </c>
      <c r="J8" s="171" t="s">
        <v>57</v>
      </c>
      <c r="K8" s="180" t="s">
        <v>11</v>
      </c>
      <c r="L8" s="162" t="s">
        <v>58</v>
      </c>
      <c r="M8" s="162" t="s">
        <v>59</v>
      </c>
      <c r="N8" s="183" t="s">
        <v>60</v>
      </c>
      <c r="O8" s="162" t="s">
        <v>61</v>
      </c>
      <c r="P8" s="177" t="s">
        <v>12</v>
      </c>
      <c r="Q8" s="164" t="s">
        <v>13</v>
      </c>
      <c r="R8" s="166" t="s">
        <v>5</v>
      </c>
    </row>
    <row r="9" spans="1:18" ht="15" customHeight="1">
      <c r="A9" s="154"/>
      <c r="B9" s="154"/>
      <c r="C9" s="154"/>
      <c r="D9" s="154"/>
      <c r="E9" s="154"/>
      <c r="F9" s="154"/>
      <c r="G9" s="175"/>
      <c r="H9" s="165"/>
      <c r="I9" s="170"/>
      <c r="J9" s="172"/>
      <c r="K9" s="181"/>
      <c r="L9" s="154"/>
      <c r="M9" s="154"/>
      <c r="N9" s="154"/>
      <c r="O9" s="154"/>
      <c r="P9" s="178"/>
      <c r="Q9" s="165"/>
      <c r="R9" s="167"/>
    </row>
    <row r="10" spans="1:18" ht="76.5" customHeight="1">
      <c r="A10" s="155"/>
      <c r="B10" s="155"/>
      <c r="C10" s="154"/>
      <c r="D10" s="155"/>
      <c r="E10" s="155"/>
      <c r="F10" s="155"/>
      <c r="G10" s="176"/>
      <c r="H10" s="165"/>
      <c r="I10" s="170"/>
      <c r="J10" s="173"/>
      <c r="K10" s="182"/>
      <c r="L10" s="155"/>
      <c r="M10" s="155"/>
      <c r="N10" s="154"/>
      <c r="O10" s="154"/>
      <c r="P10" s="179"/>
      <c r="Q10" s="165"/>
      <c r="R10" s="168"/>
    </row>
    <row r="11" spans="1:18" ht="15" customHeight="1">
      <c r="A11" s="31" t="s">
        <v>65</v>
      </c>
      <c r="B11" s="56">
        <v>1</v>
      </c>
      <c r="C11" s="72" t="s">
        <v>26</v>
      </c>
      <c r="D11" s="69">
        <v>7</v>
      </c>
      <c r="E11" s="27">
        <v>9</v>
      </c>
      <c r="F11" s="28">
        <v>6</v>
      </c>
      <c r="G11" s="54">
        <v>7</v>
      </c>
      <c r="H11" s="18">
        <v>8</v>
      </c>
      <c r="I11" s="55">
        <v>7</v>
      </c>
      <c r="J11" s="18">
        <v>7</v>
      </c>
      <c r="K11" s="18">
        <v>6</v>
      </c>
      <c r="L11" s="29">
        <v>7</v>
      </c>
      <c r="M11" s="36">
        <v>11</v>
      </c>
      <c r="N11" s="38">
        <v>8</v>
      </c>
      <c r="O11" s="42">
        <v>8</v>
      </c>
      <c r="P11" s="45">
        <v>8</v>
      </c>
      <c r="Q11" s="18">
        <v>8</v>
      </c>
      <c r="R11" s="12">
        <f>AVERAGE(D11:Q11)</f>
        <v>7.6428571428571432</v>
      </c>
    </row>
    <row r="12" spans="1:18" ht="15" customHeight="1">
      <c r="A12" s="57" t="s">
        <v>65</v>
      </c>
      <c r="B12" s="57">
        <v>2</v>
      </c>
      <c r="C12" s="73" t="s">
        <v>27</v>
      </c>
      <c r="D12" s="69">
        <v>6</v>
      </c>
      <c r="E12" s="27">
        <v>10</v>
      </c>
      <c r="F12" s="28">
        <v>7</v>
      </c>
      <c r="G12" s="54">
        <v>7</v>
      </c>
      <c r="H12" s="18">
        <v>7</v>
      </c>
      <c r="I12" s="55">
        <v>8</v>
      </c>
      <c r="J12" s="18">
        <v>5</v>
      </c>
      <c r="K12" s="18">
        <v>9</v>
      </c>
      <c r="L12" s="29">
        <v>7</v>
      </c>
      <c r="M12" s="37">
        <v>9</v>
      </c>
      <c r="N12" s="38">
        <v>7</v>
      </c>
      <c r="O12" s="42">
        <v>8</v>
      </c>
      <c r="P12" s="45">
        <v>8</v>
      </c>
      <c r="Q12" s="50">
        <v>7</v>
      </c>
      <c r="R12" s="12">
        <f t="shared" ref="R12:R36" si="0">AVERAGE(D12:Q12)</f>
        <v>7.5</v>
      </c>
    </row>
    <row r="13" spans="1:18" ht="15" customHeight="1">
      <c r="A13" s="57" t="s">
        <v>65</v>
      </c>
      <c r="B13" s="57">
        <v>3</v>
      </c>
      <c r="C13" s="73" t="s">
        <v>28</v>
      </c>
      <c r="D13" s="69">
        <v>9</v>
      </c>
      <c r="E13" s="27">
        <v>10</v>
      </c>
      <c r="F13" s="28">
        <v>10</v>
      </c>
      <c r="G13" s="25">
        <v>10</v>
      </c>
      <c r="H13" s="26">
        <v>11</v>
      </c>
      <c r="I13" s="23">
        <v>11</v>
      </c>
      <c r="J13" s="18">
        <v>9</v>
      </c>
      <c r="K13" s="18">
        <v>10</v>
      </c>
      <c r="L13" s="29">
        <v>10</v>
      </c>
      <c r="M13" s="37">
        <v>11</v>
      </c>
      <c r="N13" s="38">
        <v>11</v>
      </c>
      <c r="O13" s="42">
        <v>10</v>
      </c>
      <c r="P13" s="45">
        <v>9</v>
      </c>
      <c r="Q13" s="50">
        <v>10</v>
      </c>
      <c r="R13" s="12">
        <f t="shared" si="0"/>
        <v>10.071428571428571</v>
      </c>
    </row>
    <row r="14" spans="1:18" ht="15" customHeight="1">
      <c r="A14" s="57" t="s">
        <v>66</v>
      </c>
      <c r="B14" s="57">
        <v>4</v>
      </c>
      <c r="C14" s="73" t="s">
        <v>29</v>
      </c>
      <c r="D14" s="69">
        <v>5</v>
      </c>
      <c r="E14" s="74">
        <v>4</v>
      </c>
      <c r="F14" s="28">
        <v>4</v>
      </c>
      <c r="G14" s="75">
        <v>4</v>
      </c>
      <c r="H14" s="14">
        <v>4</v>
      </c>
      <c r="I14" s="23">
        <v>4</v>
      </c>
      <c r="J14" s="18">
        <v>4</v>
      </c>
      <c r="K14" s="18">
        <v>4</v>
      </c>
      <c r="L14" s="29">
        <v>4</v>
      </c>
      <c r="M14" s="37">
        <v>9</v>
      </c>
      <c r="N14" s="38">
        <v>4</v>
      </c>
      <c r="O14" s="42">
        <v>4</v>
      </c>
      <c r="P14" s="45">
        <v>4</v>
      </c>
      <c r="Q14" s="50">
        <v>4</v>
      </c>
      <c r="R14" s="12">
        <f t="shared" si="0"/>
        <v>4.4285714285714288</v>
      </c>
    </row>
    <row r="15" spans="1:18" ht="15" customHeight="1">
      <c r="A15" s="57" t="s">
        <v>66</v>
      </c>
      <c r="B15" s="57">
        <v>5</v>
      </c>
      <c r="C15" s="73" t="s">
        <v>30</v>
      </c>
      <c r="D15" s="69">
        <v>6</v>
      </c>
      <c r="E15" s="27">
        <v>7</v>
      </c>
      <c r="F15" s="28">
        <v>4</v>
      </c>
      <c r="G15" s="25">
        <v>4</v>
      </c>
      <c r="H15" s="14">
        <v>5</v>
      </c>
      <c r="I15" s="23">
        <v>5</v>
      </c>
      <c r="J15" s="18">
        <v>5</v>
      </c>
      <c r="K15" s="18">
        <v>7</v>
      </c>
      <c r="L15" s="29">
        <v>4</v>
      </c>
      <c r="M15" s="37">
        <v>8</v>
      </c>
      <c r="N15" s="38">
        <v>4</v>
      </c>
      <c r="O15" s="42">
        <v>6</v>
      </c>
      <c r="P15" s="45">
        <v>4</v>
      </c>
      <c r="Q15" s="50">
        <v>7</v>
      </c>
      <c r="R15" s="12">
        <f t="shared" si="0"/>
        <v>5.4285714285714288</v>
      </c>
    </row>
    <row r="16" spans="1:18" ht="15" customHeight="1">
      <c r="A16" s="57" t="s">
        <v>65</v>
      </c>
      <c r="B16" s="57">
        <v>6</v>
      </c>
      <c r="C16" s="73" t="s">
        <v>31</v>
      </c>
      <c r="D16" s="69">
        <v>7</v>
      </c>
      <c r="E16" s="27">
        <v>10</v>
      </c>
      <c r="F16" s="28">
        <v>6</v>
      </c>
      <c r="G16" s="25">
        <v>6</v>
      </c>
      <c r="H16" s="14">
        <v>7</v>
      </c>
      <c r="I16" s="23">
        <v>11</v>
      </c>
      <c r="J16" s="18">
        <v>6</v>
      </c>
      <c r="K16" s="18">
        <v>6</v>
      </c>
      <c r="L16" s="29">
        <v>6</v>
      </c>
      <c r="M16" s="37">
        <v>11</v>
      </c>
      <c r="N16" s="38">
        <v>8</v>
      </c>
      <c r="O16" s="42">
        <v>9</v>
      </c>
      <c r="P16" s="45">
        <v>7</v>
      </c>
      <c r="Q16" s="50">
        <v>8</v>
      </c>
      <c r="R16" s="12">
        <f t="shared" si="0"/>
        <v>7.7142857142857144</v>
      </c>
    </row>
    <row r="17" spans="1:18" ht="15" customHeight="1">
      <c r="A17" s="57" t="s">
        <v>65</v>
      </c>
      <c r="B17" s="57">
        <v>7</v>
      </c>
      <c r="C17" s="73" t="s">
        <v>32</v>
      </c>
      <c r="D17" s="69">
        <v>8</v>
      </c>
      <c r="E17" s="27">
        <v>10</v>
      </c>
      <c r="F17" s="28">
        <v>8</v>
      </c>
      <c r="G17" s="25">
        <v>8</v>
      </c>
      <c r="H17" s="14">
        <v>8</v>
      </c>
      <c r="I17" s="23">
        <v>10</v>
      </c>
      <c r="J17" s="18">
        <v>7</v>
      </c>
      <c r="K17" s="18">
        <v>10</v>
      </c>
      <c r="L17" s="29">
        <v>10</v>
      </c>
      <c r="M17" s="37">
        <v>11</v>
      </c>
      <c r="N17" s="38">
        <v>8</v>
      </c>
      <c r="O17" s="42">
        <v>10</v>
      </c>
      <c r="P17" s="45">
        <v>8</v>
      </c>
      <c r="Q17" s="50">
        <v>10</v>
      </c>
      <c r="R17" s="12">
        <f t="shared" si="0"/>
        <v>9</v>
      </c>
    </row>
    <row r="18" spans="1:18" ht="15" customHeight="1">
      <c r="A18" s="57" t="s">
        <v>65</v>
      </c>
      <c r="B18" s="57">
        <v>8</v>
      </c>
      <c r="C18" s="73" t="s">
        <v>33</v>
      </c>
      <c r="D18" s="69">
        <v>7</v>
      </c>
      <c r="E18" s="27">
        <v>8</v>
      </c>
      <c r="F18" s="28">
        <v>8</v>
      </c>
      <c r="G18" s="25">
        <v>7</v>
      </c>
      <c r="H18" s="14">
        <v>8</v>
      </c>
      <c r="I18" s="23">
        <v>9</v>
      </c>
      <c r="J18" s="18">
        <v>9</v>
      </c>
      <c r="K18" s="18">
        <v>10</v>
      </c>
      <c r="L18" s="29">
        <v>7</v>
      </c>
      <c r="M18" s="37">
        <v>10</v>
      </c>
      <c r="N18" s="38">
        <v>7</v>
      </c>
      <c r="O18" s="42">
        <v>9</v>
      </c>
      <c r="P18" s="45">
        <v>6</v>
      </c>
      <c r="Q18" s="50">
        <v>9</v>
      </c>
      <c r="R18" s="12">
        <f t="shared" si="0"/>
        <v>8.1428571428571423</v>
      </c>
    </row>
    <row r="19" spans="1:18" ht="15" customHeight="1">
      <c r="A19" s="57" t="s">
        <v>66</v>
      </c>
      <c r="B19" s="57">
        <v>9</v>
      </c>
      <c r="C19" s="73" t="s">
        <v>34</v>
      </c>
      <c r="D19" s="69">
        <v>7</v>
      </c>
      <c r="E19" s="27">
        <v>7</v>
      </c>
      <c r="F19" s="28">
        <v>4</v>
      </c>
      <c r="G19" s="25">
        <v>5</v>
      </c>
      <c r="H19" s="14">
        <v>4</v>
      </c>
      <c r="I19" s="23">
        <v>7</v>
      </c>
      <c r="J19" s="18">
        <v>7</v>
      </c>
      <c r="K19" s="18">
        <v>5</v>
      </c>
      <c r="L19" s="29">
        <v>7</v>
      </c>
      <c r="M19" s="37">
        <v>9</v>
      </c>
      <c r="N19" s="38">
        <v>5</v>
      </c>
      <c r="O19" s="42">
        <v>5</v>
      </c>
      <c r="P19" s="45">
        <v>7</v>
      </c>
      <c r="Q19" s="50">
        <v>7</v>
      </c>
      <c r="R19" s="12">
        <f t="shared" si="0"/>
        <v>6.1428571428571432</v>
      </c>
    </row>
    <row r="20" spans="1:18" ht="15.75" customHeight="1">
      <c r="A20" s="57" t="s">
        <v>65</v>
      </c>
      <c r="B20" s="57">
        <v>10</v>
      </c>
      <c r="C20" s="73" t="s">
        <v>35</v>
      </c>
      <c r="D20" s="69">
        <v>7</v>
      </c>
      <c r="E20" s="27">
        <v>9</v>
      </c>
      <c r="F20" s="28">
        <v>8</v>
      </c>
      <c r="G20" s="25">
        <v>8</v>
      </c>
      <c r="H20" s="14">
        <v>8</v>
      </c>
      <c r="I20" s="23">
        <v>8</v>
      </c>
      <c r="J20" s="18">
        <v>8</v>
      </c>
      <c r="K20" s="18">
        <v>10</v>
      </c>
      <c r="L20" s="29">
        <v>9</v>
      </c>
      <c r="M20" s="37">
        <v>10</v>
      </c>
      <c r="N20" s="38">
        <v>7</v>
      </c>
      <c r="O20" s="42">
        <v>9</v>
      </c>
      <c r="P20" s="45">
        <v>9</v>
      </c>
      <c r="Q20" s="50">
        <v>9</v>
      </c>
      <c r="R20" s="12">
        <f t="shared" si="0"/>
        <v>8.5</v>
      </c>
    </row>
    <row r="21" spans="1:18" ht="15.75" customHeight="1">
      <c r="A21" s="57" t="s">
        <v>65</v>
      </c>
      <c r="B21" s="57">
        <v>11</v>
      </c>
      <c r="C21" s="73" t="s">
        <v>36</v>
      </c>
      <c r="D21" s="69">
        <v>6</v>
      </c>
      <c r="E21" s="27">
        <v>9</v>
      </c>
      <c r="F21" s="28">
        <v>7</v>
      </c>
      <c r="G21" s="25">
        <v>5</v>
      </c>
      <c r="H21" s="14">
        <v>8</v>
      </c>
      <c r="I21" s="23">
        <v>9</v>
      </c>
      <c r="J21" s="18">
        <v>7</v>
      </c>
      <c r="K21" s="18">
        <v>8</v>
      </c>
      <c r="L21" s="29">
        <v>8</v>
      </c>
      <c r="M21" s="37">
        <v>11</v>
      </c>
      <c r="N21" s="38">
        <v>9</v>
      </c>
      <c r="O21" s="42">
        <v>7</v>
      </c>
      <c r="P21" s="45">
        <v>9</v>
      </c>
      <c r="Q21" s="50">
        <v>6</v>
      </c>
      <c r="R21" s="12">
        <f t="shared" si="0"/>
        <v>7.7857142857142856</v>
      </c>
    </row>
    <row r="22" spans="1:18" ht="15.75" customHeight="1">
      <c r="A22" s="57" t="s">
        <v>65</v>
      </c>
      <c r="B22" s="57">
        <v>12</v>
      </c>
      <c r="C22" s="73" t="s">
        <v>37</v>
      </c>
      <c r="D22" s="69">
        <v>9</v>
      </c>
      <c r="E22" s="27">
        <v>9</v>
      </c>
      <c r="F22" s="28">
        <v>9</v>
      </c>
      <c r="G22" s="25">
        <v>10</v>
      </c>
      <c r="H22" s="14">
        <v>8</v>
      </c>
      <c r="I22" s="23">
        <v>11</v>
      </c>
      <c r="J22" s="18">
        <v>9</v>
      </c>
      <c r="K22" s="18">
        <v>10</v>
      </c>
      <c r="L22" s="29">
        <v>9</v>
      </c>
      <c r="M22" s="37">
        <v>10</v>
      </c>
      <c r="N22" s="38">
        <v>10</v>
      </c>
      <c r="O22" s="42">
        <v>10</v>
      </c>
      <c r="P22" s="45">
        <v>8</v>
      </c>
      <c r="Q22" s="50">
        <v>10</v>
      </c>
      <c r="R22" s="12">
        <f t="shared" si="0"/>
        <v>9.4285714285714288</v>
      </c>
    </row>
    <row r="23" spans="1:18" ht="15.75" customHeight="1">
      <c r="A23" s="57" t="s">
        <v>65</v>
      </c>
      <c r="B23" s="57">
        <v>13</v>
      </c>
      <c r="C23" s="73" t="s">
        <v>38</v>
      </c>
      <c r="D23" s="69">
        <v>5</v>
      </c>
      <c r="E23" s="27">
        <v>8</v>
      </c>
      <c r="F23" s="28">
        <v>5</v>
      </c>
      <c r="G23" s="25">
        <v>6</v>
      </c>
      <c r="H23" s="14">
        <v>4</v>
      </c>
      <c r="I23" s="24">
        <v>7</v>
      </c>
      <c r="J23" s="18">
        <v>6</v>
      </c>
      <c r="K23" s="18">
        <v>9</v>
      </c>
      <c r="L23" s="29">
        <v>8</v>
      </c>
      <c r="M23" s="37">
        <v>9</v>
      </c>
      <c r="N23" s="38">
        <v>6</v>
      </c>
      <c r="O23" s="42">
        <v>7</v>
      </c>
      <c r="P23" s="45">
        <v>6</v>
      </c>
      <c r="Q23" s="50">
        <v>7</v>
      </c>
      <c r="R23" s="12">
        <f t="shared" si="0"/>
        <v>6.6428571428571432</v>
      </c>
    </row>
    <row r="24" spans="1:18" ht="15.75" customHeight="1">
      <c r="A24" s="57" t="s">
        <v>65</v>
      </c>
      <c r="B24" s="57">
        <v>14</v>
      </c>
      <c r="C24" s="73" t="s">
        <v>39</v>
      </c>
      <c r="D24" s="69">
        <v>10</v>
      </c>
      <c r="E24" s="27">
        <v>9</v>
      </c>
      <c r="F24" s="28">
        <v>9</v>
      </c>
      <c r="G24" s="25">
        <v>8</v>
      </c>
      <c r="H24" s="14">
        <v>10</v>
      </c>
      <c r="I24" s="24">
        <v>9</v>
      </c>
      <c r="J24" s="18">
        <v>10</v>
      </c>
      <c r="K24" s="18">
        <v>10</v>
      </c>
      <c r="L24" s="29">
        <v>10</v>
      </c>
      <c r="M24" s="37">
        <v>11</v>
      </c>
      <c r="N24" s="38">
        <v>8</v>
      </c>
      <c r="O24" s="42">
        <v>10</v>
      </c>
      <c r="P24" s="45">
        <v>9</v>
      </c>
      <c r="Q24" s="50">
        <v>10</v>
      </c>
      <c r="R24" s="12">
        <f t="shared" si="0"/>
        <v>9.5</v>
      </c>
    </row>
    <row r="25" spans="1:18" ht="15.75" customHeight="1">
      <c r="A25" s="57" t="s">
        <v>66</v>
      </c>
      <c r="B25" s="57">
        <v>15</v>
      </c>
      <c r="C25" s="73" t="s">
        <v>40</v>
      </c>
      <c r="D25" s="69">
        <v>5</v>
      </c>
      <c r="E25" s="27">
        <v>8</v>
      </c>
      <c r="F25" s="28">
        <v>6</v>
      </c>
      <c r="G25" s="25">
        <v>6</v>
      </c>
      <c r="H25" s="14">
        <v>5</v>
      </c>
      <c r="I25" s="24">
        <v>9</v>
      </c>
      <c r="J25" s="18">
        <v>5</v>
      </c>
      <c r="K25" s="18">
        <v>5</v>
      </c>
      <c r="L25" s="29">
        <v>6</v>
      </c>
      <c r="M25" s="37">
        <v>10</v>
      </c>
      <c r="N25" s="38">
        <v>6</v>
      </c>
      <c r="O25" s="42">
        <v>8</v>
      </c>
      <c r="P25" s="45">
        <v>5</v>
      </c>
      <c r="Q25" s="50">
        <v>6</v>
      </c>
      <c r="R25" s="12">
        <f t="shared" si="0"/>
        <v>6.4285714285714288</v>
      </c>
    </row>
    <row r="26" spans="1:18" s="10" customFormat="1" ht="15.75" customHeight="1">
      <c r="A26" s="57" t="s">
        <v>65</v>
      </c>
      <c r="B26" s="57">
        <v>16</v>
      </c>
      <c r="C26" s="73" t="s">
        <v>41</v>
      </c>
      <c r="D26" s="69">
        <v>5</v>
      </c>
      <c r="E26" s="27">
        <v>8</v>
      </c>
      <c r="F26" s="28">
        <v>4</v>
      </c>
      <c r="G26" s="25">
        <v>8</v>
      </c>
      <c r="H26" s="14">
        <v>6</v>
      </c>
      <c r="I26" s="24">
        <v>6</v>
      </c>
      <c r="J26" s="18">
        <v>6</v>
      </c>
      <c r="K26" s="18">
        <v>5</v>
      </c>
      <c r="L26" s="29">
        <v>6</v>
      </c>
      <c r="M26" s="37">
        <v>10</v>
      </c>
      <c r="N26" s="38">
        <v>5</v>
      </c>
      <c r="O26" s="42">
        <v>8</v>
      </c>
      <c r="P26" s="45">
        <v>8</v>
      </c>
      <c r="Q26" s="50">
        <v>6</v>
      </c>
      <c r="R26" s="12">
        <f t="shared" si="0"/>
        <v>6.5</v>
      </c>
    </row>
    <row r="27" spans="1:18" s="10" customFormat="1" ht="15.75" customHeight="1">
      <c r="A27" s="57" t="s">
        <v>66</v>
      </c>
      <c r="B27" s="57">
        <v>17</v>
      </c>
      <c r="C27" s="73" t="s">
        <v>42</v>
      </c>
      <c r="D27" s="69">
        <v>6</v>
      </c>
      <c r="E27" s="27">
        <v>7</v>
      </c>
      <c r="F27" s="28">
        <v>5</v>
      </c>
      <c r="G27" s="25">
        <v>8</v>
      </c>
      <c r="H27" s="14">
        <v>6</v>
      </c>
      <c r="I27" s="24">
        <v>6</v>
      </c>
      <c r="J27" s="18">
        <v>6</v>
      </c>
      <c r="K27" s="18">
        <v>9</v>
      </c>
      <c r="L27" s="29">
        <v>8</v>
      </c>
      <c r="M27" s="37">
        <v>11</v>
      </c>
      <c r="N27" s="38">
        <v>5</v>
      </c>
      <c r="O27" s="42">
        <v>7</v>
      </c>
      <c r="P27" s="45">
        <v>5</v>
      </c>
      <c r="Q27" s="50">
        <v>8</v>
      </c>
      <c r="R27" s="12">
        <f t="shared" si="0"/>
        <v>6.9285714285714288</v>
      </c>
    </row>
    <row r="28" spans="1:18" s="10" customFormat="1" ht="15.75" customHeight="1">
      <c r="A28" s="57" t="s">
        <v>66</v>
      </c>
      <c r="B28" s="57">
        <v>18</v>
      </c>
      <c r="C28" s="73" t="s">
        <v>43</v>
      </c>
      <c r="D28" s="69">
        <v>6</v>
      </c>
      <c r="E28" s="27">
        <v>8</v>
      </c>
      <c r="F28" s="28">
        <v>4</v>
      </c>
      <c r="G28" s="25">
        <v>7</v>
      </c>
      <c r="H28" s="14">
        <v>5</v>
      </c>
      <c r="I28" s="24">
        <v>5</v>
      </c>
      <c r="J28" s="18">
        <v>6</v>
      </c>
      <c r="K28" s="18">
        <v>5</v>
      </c>
      <c r="L28" s="29">
        <v>7</v>
      </c>
      <c r="M28" s="37">
        <v>9</v>
      </c>
      <c r="N28" s="38">
        <v>5</v>
      </c>
      <c r="O28" s="42">
        <v>5</v>
      </c>
      <c r="P28" s="45">
        <v>5</v>
      </c>
      <c r="Q28" s="50">
        <v>6</v>
      </c>
      <c r="R28" s="12">
        <f t="shared" si="0"/>
        <v>5.9285714285714288</v>
      </c>
    </row>
    <row r="29" spans="1:18" s="10" customFormat="1" ht="15.75" customHeight="1">
      <c r="A29" s="57" t="s">
        <v>65</v>
      </c>
      <c r="B29" s="57">
        <v>19</v>
      </c>
      <c r="C29" s="73" t="s">
        <v>44</v>
      </c>
      <c r="D29" s="69">
        <v>6</v>
      </c>
      <c r="E29" s="27">
        <v>8</v>
      </c>
      <c r="F29" s="28">
        <v>7</v>
      </c>
      <c r="G29" s="25">
        <v>8</v>
      </c>
      <c r="H29" s="14">
        <v>6</v>
      </c>
      <c r="I29" s="24">
        <v>9</v>
      </c>
      <c r="J29" s="18">
        <v>6</v>
      </c>
      <c r="K29" s="18">
        <v>9</v>
      </c>
      <c r="L29" s="29">
        <v>9</v>
      </c>
      <c r="M29" s="37">
        <v>10</v>
      </c>
      <c r="N29" s="38">
        <v>7</v>
      </c>
      <c r="O29" s="42">
        <v>8</v>
      </c>
      <c r="P29" s="45">
        <v>6</v>
      </c>
      <c r="Q29" s="50">
        <v>8</v>
      </c>
      <c r="R29" s="12">
        <f t="shared" si="0"/>
        <v>7.6428571428571432</v>
      </c>
    </row>
    <row r="30" spans="1:18" s="10" customFormat="1" ht="15.75" customHeight="1">
      <c r="A30" s="57" t="s">
        <v>65</v>
      </c>
      <c r="B30" s="57">
        <v>20</v>
      </c>
      <c r="C30" s="73" t="s">
        <v>45</v>
      </c>
      <c r="D30" s="69">
        <v>4</v>
      </c>
      <c r="E30" s="27">
        <v>4</v>
      </c>
      <c r="F30" s="28">
        <v>4</v>
      </c>
      <c r="G30" s="25">
        <v>4</v>
      </c>
      <c r="H30" s="14">
        <v>4</v>
      </c>
      <c r="I30" s="24">
        <v>4</v>
      </c>
      <c r="J30" s="18">
        <v>4</v>
      </c>
      <c r="K30" s="18">
        <v>4</v>
      </c>
      <c r="L30" s="29">
        <v>4</v>
      </c>
      <c r="M30" s="37">
        <v>9</v>
      </c>
      <c r="N30" s="38">
        <v>5</v>
      </c>
      <c r="O30" s="42">
        <v>4</v>
      </c>
      <c r="P30" s="45">
        <v>5</v>
      </c>
      <c r="Q30" s="50">
        <v>6</v>
      </c>
      <c r="R30" s="12">
        <f t="shared" si="0"/>
        <v>4.6428571428571432</v>
      </c>
    </row>
    <row r="31" spans="1:18" s="10" customFormat="1" ht="15.75" customHeight="1">
      <c r="A31" s="57" t="s">
        <v>65</v>
      </c>
      <c r="B31" s="57">
        <v>21</v>
      </c>
      <c r="C31" s="73" t="s">
        <v>46</v>
      </c>
      <c r="D31" s="69">
        <v>9</v>
      </c>
      <c r="E31" s="27">
        <v>9</v>
      </c>
      <c r="F31" s="28">
        <v>9</v>
      </c>
      <c r="G31" s="25">
        <v>9</v>
      </c>
      <c r="H31" s="14">
        <v>8</v>
      </c>
      <c r="I31" s="24">
        <v>9</v>
      </c>
      <c r="J31" s="18">
        <v>9</v>
      </c>
      <c r="K31" s="18">
        <v>10</v>
      </c>
      <c r="L31" s="29">
        <v>10</v>
      </c>
      <c r="M31" s="37">
        <v>11</v>
      </c>
      <c r="N31" s="38">
        <v>8</v>
      </c>
      <c r="O31" s="42">
        <v>10</v>
      </c>
      <c r="P31" s="45">
        <v>9</v>
      </c>
      <c r="Q31" s="50">
        <v>10</v>
      </c>
      <c r="R31" s="12">
        <f t="shared" si="0"/>
        <v>9.2857142857142865</v>
      </c>
    </row>
    <row r="32" spans="1:18" s="10" customFormat="1" ht="15.75" customHeight="1">
      <c r="A32" s="57" t="s">
        <v>65</v>
      </c>
      <c r="B32" s="57">
        <v>22</v>
      </c>
      <c r="C32" s="73" t="s">
        <v>47</v>
      </c>
      <c r="D32" s="69">
        <v>7</v>
      </c>
      <c r="E32" s="27">
        <v>8</v>
      </c>
      <c r="F32" s="28">
        <v>7</v>
      </c>
      <c r="G32" s="25">
        <v>8</v>
      </c>
      <c r="H32" s="14">
        <v>6</v>
      </c>
      <c r="I32" s="24">
        <v>6</v>
      </c>
      <c r="J32" s="18">
        <v>9</v>
      </c>
      <c r="K32" s="18">
        <v>9</v>
      </c>
      <c r="L32" s="29">
        <v>8</v>
      </c>
      <c r="M32" s="37">
        <v>9</v>
      </c>
      <c r="N32" s="38">
        <v>5</v>
      </c>
      <c r="O32" s="42">
        <v>7</v>
      </c>
      <c r="P32" s="45">
        <v>6</v>
      </c>
      <c r="Q32" s="50">
        <v>10</v>
      </c>
      <c r="R32" s="12">
        <f t="shared" si="0"/>
        <v>7.5</v>
      </c>
    </row>
    <row r="33" spans="1:18" s="10" customFormat="1" ht="15.75" customHeight="1">
      <c r="A33" s="57" t="s">
        <v>65</v>
      </c>
      <c r="B33" s="57">
        <v>23</v>
      </c>
      <c r="C33" s="73" t="s">
        <v>48</v>
      </c>
      <c r="D33" s="69">
        <v>9</v>
      </c>
      <c r="E33" s="27">
        <v>10</v>
      </c>
      <c r="F33" s="28">
        <v>8</v>
      </c>
      <c r="G33" s="25">
        <v>8</v>
      </c>
      <c r="H33" s="14">
        <v>8</v>
      </c>
      <c r="I33" s="24">
        <v>11</v>
      </c>
      <c r="J33" s="18">
        <v>8</v>
      </c>
      <c r="K33" s="18">
        <v>10</v>
      </c>
      <c r="L33" s="29">
        <v>9</v>
      </c>
      <c r="M33" s="37">
        <v>11</v>
      </c>
      <c r="N33" s="38">
        <v>9</v>
      </c>
      <c r="O33" s="42">
        <v>10</v>
      </c>
      <c r="P33" s="45">
        <v>8</v>
      </c>
      <c r="Q33" s="50">
        <v>9</v>
      </c>
      <c r="R33" s="12">
        <f t="shared" si="0"/>
        <v>9.1428571428571423</v>
      </c>
    </row>
    <row r="34" spans="1:18" s="10" customFormat="1" ht="15.75" customHeight="1">
      <c r="A34" s="57" t="s">
        <v>65</v>
      </c>
      <c r="B34" s="57">
        <v>24</v>
      </c>
      <c r="C34" s="73" t="s">
        <v>49</v>
      </c>
      <c r="D34" s="69">
        <v>5</v>
      </c>
      <c r="E34" s="27">
        <v>9</v>
      </c>
      <c r="F34" s="28">
        <v>4</v>
      </c>
      <c r="G34" s="25">
        <v>6</v>
      </c>
      <c r="H34" s="14">
        <v>5</v>
      </c>
      <c r="I34" s="24">
        <v>5</v>
      </c>
      <c r="J34" s="18">
        <v>7</v>
      </c>
      <c r="K34" s="18">
        <v>5</v>
      </c>
      <c r="L34" s="29">
        <v>5</v>
      </c>
      <c r="M34" s="37">
        <v>10</v>
      </c>
      <c r="N34" s="38">
        <v>7</v>
      </c>
      <c r="O34" s="42">
        <v>6</v>
      </c>
      <c r="P34" s="45">
        <v>5</v>
      </c>
      <c r="Q34" s="50">
        <v>4</v>
      </c>
      <c r="R34" s="12">
        <f t="shared" si="0"/>
        <v>5.9285714285714288</v>
      </c>
    </row>
    <row r="35" spans="1:18" ht="15.75" customHeight="1">
      <c r="A35" s="57" t="s">
        <v>65</v>
      </c>
      <c r="B35" s="57">
        <v>25</v>
      </c>
      <c r="C35" s="73" t="s">
        <v>50</v>
      </c>
      <c r="D35" s="69">
        <v>10</v>
      </c>
      <c r="E35" s="27">
        <v>10</v>
      </c>
      <c r="F35" s="28">
        <v>10</v>
      </c>
      <c r="G35" s="25">
        <v>10</v>
      </c>
      <c r="H35" s="14">
        <v>11</v>
      </c>
      <c r="I35" s="24">
        <v>11</v>
      </c>
      <c r="J35" s="18">
        <v>10</v>
      </c>
      <c r="K35" s="18">
        <v>10</v>
      </c>
      <c r="L35" s="29">
        <v>10</v>
      </c>
      <c r="M35" s="37">
        <v>11</v>
      </c>
      <c r="N35" s="38">
        <v>10</v>
      </c>
      <c r="O35" s="42">
        <v>10</v>
      </c>
      <c r="P35" s="45">
        <v>10</v>
      </c>
      <c r="Q35" s="50">
        <v>11</v>
      </c>
      <c r="R35" s="12">
        <f t="shared" si="0"/>
        <v>10.285714285714286</v>
      </c>
    </row>
    <row r="36" spans="1:18" s="32" customFormat="1" ht="15.75" customHeight="1">
      <c r="A36" s="57" t="s">
        <v>66</v>
      </c>
      <c r="B36" s="57">
        <v>26</v>
      </c>
      <c r="C36" s="73" t="s">
        <v>51</v>
      </c>
      <c r="D36" s="70">
        <v>5</v>
      </c>
      <c r="E36" s="61">
        <v>8</v>
      </c>
      <c r="F36" s="62">
        <v>4</v>
      </c>
      <c r="G36" s="63">
        <v>4</v>
      </c>
      <c r="H36" s="30">
        <v>5</v>
      </c>
      <c r="I36" s="64">
        <v>8</v>
      </c>
      <c r="J36" s="60">
        <v>4</v>
      </c>
      <c r="K36" s="18">
        <v>4</v>
      </c>
      <c r="L36" s="65">
        <v>4</v>
      </c>
      <c r="M36" s="66">
        <v>9</v>
      </c>
      <c r="N36" s="38">
        <v>5</v>
      </c>
      <c r="O36" s="68">
        <v>7</v>
      </c>
      <c r="P36" s="67">
        <v>5</v>
      </c>
      <c r="Q36" s="50">
        <v>7</v>
      </c>
      <c r="R36" s="12">
        <f t="shared" si="0"/>
        <v>5.6428571428571432</v>
      </c>
    </row>
    <row r="37" spans="1:18" ht="15.75" customHeight="1">
      <c r="A37" s="1"/>
      <c r="B37" s="1"/>
      <c r="C37" s="4" t="s">
        <v>6</v>
      </c>
      <c r="D37" s="12">
        <f t="shared" ref="D37:Q37" si="1">AVERAGE(D11:D36)</f>
        <v>6.7692307692307692</v>
      </c>
      <c r="E37" s="12">
        <f t="shared" si="1"/>
        <v>8.3076923076923084</v>
      </c>
      <c r="F37" s="12">
        <f t="shared" si="1"/>
        <v>6.4230769230769234</v>
      </c>
      <c r="G37" s="12">
        <f t="shared" si="1"/>
        <v>6.9615384615384617</v>
      </c>
      <c r="H37" s="12">
        <f t="shared" si="1"/>
        <v>6.7307692307692308</v>
      </c>
      <c r="I37" s="12">
        <f t="shared" si="1"/>
        <v>7.884615384615385</v>
      </c>
      <c r="J37" s="12">
        <f t="shared" si="1"/>
        <v>6.884615384615385</v>
      </c>
      <c r="K37" s="12">
        <f t="shared" si="1"/>
        <v>7.6538461538461542</v>
      </c>
      <c r="L37" s="12">
        <f t="shared" si="1"/>
        <v>7.384615384615385</v>
      </c>
      <c r="M37" s="33">
        <f t="shared" si="1"/>
        <v>10</v>
      </c>
      <c r="N37" s="39">
        <f t="shared" si="1"/>
        <v>6.884615384615385</v>
      </c>
      <c r="O37" s="43">
        <f t="shared" si="1"/>
        <v>7.7692307692307692</v>
      </c>
      <c r="P37" s="46">
        <f t="shared" si="1"/>
        <v>6.884615384615385</v>
      </c>
      <c r="Q37" s="51">
        <f t="shared" si="1"/>
        <v>7.8076923076923075</v>
      </c>
      <c r="R37" s="49">
        <f>AVERAGE(D37:Q37)</f>
        <v>7.4532967032967035</v>
      </c>
    </row>
    <row r="38" spans="1:18" ht="15.75" customHeight="1">
      <c r="A38" s="1"/>
      <c r="B38" s="1"/>
      <c r="C38" s="5" t="s">
        <v>7</v>
      </c>
      <c r="D38" s="16">
        <v>100</v>
      </c>
      <c r="E38" s="20">
        <v>100</v>
      </c>
      <c r="F38" s="20">
        <v>100</v>
      </c>
      <c r="G38" s="20">
        <v>100</v>
      </c>
      <c r="H38" s="16">
        <v>100</v>
      </c>
      <c r="I38" s="20">
        <v>100</v>
      </c>
      <c r="J38" s="16">
        <v>100</v>
      </c>
      <c r="K38" s="20">
        <v>100</v>
      </c>
      <c r="L38" s="20">
        <v>100</v>
      </c>
      <c r="M38" s="34">
        <v>100</v>
      </c>
      <c r="N38" s="40">
        <v>100</v>
      </c>
      <c r="O38" s="44">
        <v>100</v>
      </c>
      <c r="P38" s="47">
        <v>100</v>
      </c>
      <c r="Q38" s="52">
        <v>100</v>
      </c>
      <c r="R38" s="150">
        <f>AVERAGE(D38:Q38)</f>
        <v>100</v>
      </c>
    </row>
    <row r="39" spans="1:18" ht="15.75" customHeight="1">
      <c r="A39" s="1"/>
      <c r="B39" s="1"/>
      <c r="C39" s="6" t="s">
        <v>8</v>
      </c>
      <c r="D39" s="17">
        <v>50</v>
      </c>
      <c r="E39" s="19">
        <v>92</v>
      </c>
      <c r="F39" s="17">
        <v>46.2</v>
      </c>
      <c r="G39" s="17">
        <v>62</v>
      </c>
      <c r="H39" s="13">
        <v>50</v>
      </c>
      <c r="I39" s="21">
        <v>69.2</v>
      </c>
      <c r="J39" s="15">
        <v>54</v>
      </c>
      <c r="K39" s="17">
        <v>61</v>
      </c>
      <c r="L39" s="17">
        <v>69.2</v>
      </c>
      <c r="M39" s="35">
        <v>100</v>
      </c>
      <c r="N39" s="41">
        <v>58</v>
      </c>
      <c r="O39" s="44">
        <v>46</v>
      </c>
      <c r="P39" s="48">
        <v>50</v>
      </c>
      <c r="Q39" s="53">
        <v>73</v>
      </c>
      <c r="R39" s="150">
        <f>AVERAGE(D39:Q39)</f>
        <v>62.9</v>
      </c>
    </row>
    <row r="40" spans="1:18" ht="15.75" customHeight="1">
      <c r="A40" s="1"/>
      <c r="B40" s="1"/>
      <c r="C40" s="6" t="s">
        <v>9</v>
      </c>
      <c r="D40" s="12">
        <f>AVERAGE(D38:Q38)</f>
        <v>100</v>
      </c>
      <c r="E40" s="7"/>
      <c r="F40" s="7"/>
      <c r="G40" s="7"/>
      <c r="H40" s="7"/>
      <c r="I40" s="8"/>
      <c r="J40" s="8"/>
      <c r="K40" s="8"/>
      <c r="L40" s="8"/>
      <c r="M40" s="8"/>
      <c r="N40" s="8"/>
      <c r="O40" s="8"/>
      <c r="P40" s="8"/>
      <c r="Q40" s="8"/>
      <c r="R40" s="9"/>
    </row>
    <row r="41" spans="1:18" ht="15.75" customHeight="1">
      <c r="A41" s="1"/>
      <c r="B41" s="1"/>
      <c r="C41" s="6" t="s">
        <v>10</v>
      </c>
      <c r="D41" s="12">
        <f>AVERAGE(D39:Q39)</f>
        <v>62.9</v>
      </c>
      <c r="E41" s="7"/>
      <c r="F41" s="7"/>
      <c r="G41" s="7"/>
      <c r="H41" s="7"/>
      <c r="I41" s="8"/>
      <c r="J41" s="8"/>
      <c r="K41" s="8"/>
      <c r="L41" s="8"/>
      <c r="M41" s="8"/>
      <c r="N41" s="8"/>
      <c r="O41" s="8"/>
      <c r="P41" s="8"/>
      <c r="Q41" s="8"/>
      <c r="R41" s="9"/>
    </row>
    <row r="42" spans="1:18" ht="15.75" customHeight="1">
      <c r="C42" s="6" t="s">
        <v>18</v>
      </c>
      <c r="D42" s="22">
        <v>19</v>
      </c>
    </row>
    <row r="43" spans="1:18" ht="15.75" customHeight="1">
      <c r="C43" s="6" t="s">
        <v>19</v>
      </c>
      <c r="D43" s="22">
        <v>4</v>
      </c>
    </row>
    <row r="44" spans="1:18" ht="15.75" customHeight="1">
      <c r="C44" s="6" t="s">
        <v>20</v>
      </c>
      <c r="D44" s="22">
        <v>8</v>
      </c>
    </row>
    <row r="45" spans="1:18" ht="15.75" customHeight="1"/>
    <row r="46" spans="1:18" ht="15.75" customHeight="1">
      <c r="E46" s="58" t="s">
        <v>21</v>
      </c>
      <c r="F46" s="58"/>
      <c r="G46" s="58"/>
      <c r="H46" s="32"/>
      <c r="J46" s="58" t="s">
        <v>64</v>
      </c>
      <c r="K46" s="58"/>
    </row>
    <row r="47" spans="1:18" ht="15.75" customHeight="1"/>
    <row r="48" spans="1:18" ht="15.75" customHeight="1"/>
    <row r="49" spans="5:11" ht="15.75" customHeight="1">
      <c r="E49" s="58" t="s">
        <v>22</v>
      </c>
      <c r="F49" s="58"/>
      <c r="G49" s="58"/>
      <c r="H49" s="58"/>
      <c r="I49" s="59"/>
      <c r="J49" s="58" t="s">
        <v>67</v>
      </c>
      <c r="K49" s="58"/>
    </row>
    <row r="50" spans="5:11" ht="15.75" customHeight="1"/>
    <row r="51" spans="5:11" ht="15.75" customHeight="1">
      <c r="I51" s="58"/>
    </row>
    <row r="52" spans="5:11" ht="15.75" customHeight="1"/>
    <row r="53" spans="5:11" ht="15.75" customHeight="1"/>
    <row r="54" spans="5:11" ht="15.75" customHeight="1"/>
    <row r="55" spans="5:11" ht="15.75" customHeight="1"/>
    <row r="56" spans="5:11" ht="15.75" customHeight="1"/>
    <row r="57" spans="5:11" ht="15.75" customHeight="1"/>
    <row r="58" spans="5:11" ht="15.75" customHeight="1"/>
    <row r="59" spans="5:11" ht="15.75" customHeight="1"/>
    <row r="60" spans="5:11" ht="15.75" customHeight="1"/>
    <row r="61" spans="5:11" ht="15.75" customHeight="1"/>
    <row r="62" spans="5:11" ht="15.75" customHeight="1"/>
    <row r="63" spans="5:11" ht="15.75" customHeight="1"/>
    <row r="64" spans="5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</sheetData>
  <mergeCells count="25">
    <mergeCell ref="K8:K10"/>
    <mergeCell ref="L8:L10"/>
    <mergeCell ref="M8:M10"/>
    <mergeCell ref="N8:N10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7:R7"/>
    <mergeCell ref="D8:D10"/>
    <mergeCell ref="E8:E10"/>
    <mergeCell ref="Q8:Q10"/>
    <mergeCell ref="R8:R10"/>
    <mergeCell ref="I8:I10"/>
    <mergeCell ref="J8:J10"/>
    <mergeCell ref="F8:F10"/>
    <mergeCell ref="G8:G10"/>
    <mergeCell ref="H8:H10"/>
    <mergeCell ref="O8:O10"/>
    <mergeCell ref="P8:P10"/>
  </mergeCells>
  <pageMargins left="0.7" right="0.7" top="0.75" bottom="0.75" header="0" footer="0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98"/>
  <sheetViews>
    <sheetView topLeftCell="A11" zoomScale="78" zoomScaleNormal="78" workbookViewId="0">
      <selection activeCell="N32" sqref="N32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8.85546875" style="32" customWidth="1"/>
    <col min="19" max="19" width="11.28515625" customWidth="1"/>
  </cols>
  <sheetData>
    <row r="1" spans="1:19" ht="15" customHeight="1">
      <c r="A1" s="151" t="s">
        <v>15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"/>
      <c r="Q1" s="1"/>
      <c r="R1" s="1"/>
      <c r="S1" s="1"/>
    </row>
    <row r="2" spans="1:19" ht="15" customHeight="1">
      <c r="A2" s="151" t="s">
        <v>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"/>
      <c r="Q2" s="1"/>
      <c r="R2" s="1"/>
      <c r="S2" s="1"/>
    </row>
    <row r="3" spans="1:19" ht="15" customHeight="1">
      <c r="A3" s="197" t="s">
        <v>25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"/>
      <c r="Q3" s="1"/>
      <c r="R3" s="1"/>
      <c r="S3" s="1"/>
    </row>
    <row r="4" spans="1:19" ht="15" customHeight="1">
      <c r="A4" s="151" t="s">
        <v>63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"/>
      <c r="Q4" s="1"/>
      <c r="R4" s="1"/>
      <c r="S4" s="1"/>
    </row>
    <row r="5" spans="1:19" ht="15" customHeight="1">
      <c r="A5" s="151" t="s">
        <v>16</v>
      </c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"/>
      <c r="Q5" s="1"/>
      <c r="R5" s="1"/>
      <c r="S5" s="1"/>
    </row>
    <row r="6" spans="1:19" ht="15" customHeight="1">
      <c r="A6" s="198" t="s">
        <v>62</v>
      </c>
      <c r="B6" s="198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"/>
      <c r="Q6" s="1"/>
      <c r="R6" s="1"/>
      <c r="S6" s="1"/>
    </row>
    <row r="7" spans="1:19" ht="15" customHeight="1">
      <c r="A7" s="153" t="s">
        <v>2</v>
      </c>
      <c r="B7" s="156" t="s">
        <v>3</v>
      </c>
      <c r="C7" s="156" t="s">
        <v>4</v>
      </c>
      <c r="D7" s="194" t="s">
        <v>17</v>
      </c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6"/>
    </row>
    <row r="8" spans="1:19" ht="15" customHeight="1">
      <c r="A8" s="199"/>
      <c r="B8" s="200"/>
      <c r="C8" s="201"/>
      <c r="D8" s="202" t="s">
        <v>52</v>
      </c>
      <c r="E8" s="204" t="s">
        <v>53</v>
      </c>
      <c r="F8" s="162" t="s">
        <v>54</v>
      </c>
      <c r="G8" s="174" t="s">
        <v>14</v>
      </c>
      <c r="H8" s="164" t="s">
        <v>55</v>
      </c>
      <c r="I8" s="205" t="s">
        <v>56</v>
      </c>
      <c r="J8" s="191" t="s">
        <v>57</v>
      </c>
      <c r="K8" s="192" t="s">
        <v>11</v>
      </c>
      <c r="L8" s="162" t="s">
        <v>58</v>
      </c>
      <c r="M8" s="162" t="s">
        <v>59</v>
      </c>
      <c r="N8" s="183" t="s">
        <v>60</v>
      </c>
      <c r="O8" s="162" t="s">
        <v>61</v>
      </c>
      <c r="P8" s="184" t="s">
        <v>12</v>
      </c>
      <c r="Q8" s="164" t="s">
        <v>13</v>
      </c>
      <c r="R8" s="189" t="s">
        <v>24</v>
      </c>
      <c r="S8" s="187" t="s">
        <v>23</v>
      </c>
    </row>
    <row r="9" spans="1:19" ht="15" customHeight="1">
      <c r="A9" s="199"/>
      <c r="B9" s="200"/>
      <c r="C9" s="201"/>
      <c r="D9" s="203"/>
      <c r="E9" s="170"/>
      <c r="F9" s="154"/>
      <c r="G9" s="175"/>
      <c r="H9" s="165"/>
      <c r="I9" s="206"/>
      <c r="J9" s="172"/>
      <c r="K9" s="193"/>
      <c r="L9" s="154"/>
      <c r="M9" s="154"/>
      <c r="N9" s="154"/>
      <c r="O9" s="154"/>
      <c r="P9" s="185"/>
      <c r="Q9" s="165"/>
      <c r="R9" s="190"/>
      <c r="S9" s="188"/>
    </row>
    <row r="10" spans="1:19" ht="71.25" customHeight="1">
      <c r="A10" s="199"/>
      <c r="B10" s="200"/>
      <c r="C10" s="201"/>
      <c r="D10" s="186"/>
      <c r="E10" s="170"/>
      <c r="F10" s="154"/>
      <c r="G10" s="175"/>
      <c r="H10" s="186"/>
      <c r="I10" s="206"/>
      <c r="J10" s="172"/>
      <c r="K10" s="193"/>
      <c r="L10" s="154"/>
      <c r="M10" s="154"/>
      <c r="N10" s="154"/>
      <c r="O10" s="154"/>
      <c r="P10" s="185"/>
      <c r="Q10" s="186"/>
      <c r="R10" s="190"/>
      <c r="S10" s="188"/>
    </row>
    <row r="11" spans="1:19" s="76" customFormat="1" ht="16.5" customHeight="1">
      <c r="A11" s="105" t="s">
        <v>65</v>
      </c>
      <c r="B11" s="105">
        <v>1</v>
      </c>
      <c r="C11" s="106" t="s">
        <v>50</v>
      </c>
      <c r="D11" s="107">
        <v>10</v>
      </c>
      <c r="E11" s="108">
        <v>10</v>
      </c>
      <c r="F11" s="109">
        <v>10</v>
      </c>
      <c r="G11" s="110">
        <v>10</v>
      </c>
      <c r="H11" s="107">
        <v>11</v>
      </c>
      <c r="I11" s="107">
        <v>11</v>
      </c>
      <c r="J11" s="107">
        <v>10</v>
      </c>
      <c r="K11" s="107">
        <v>10</v>
      </c>
      <c r="L11" s="111">
        <v>10</v>
      </c>
      <c r="M11" s="112">
        <v>11</v>
      </c>
      <c r="N11" s="113">
        <v>10</v>
      </c>
      <c r="O11" s="114">
        <v>10</v>
      </c>
      <c r="P11" s="107">
        <v>10</v>
      </c>
      <c r="Q11" s="115">
        <v>11</v>
      </c>
      <c r="R11" s="116">
        <f t="shared" ref="R11:R29" si="0">AVERAGE(D11:Q11)</f>
        <v>10.285714285714286</v>
      </c>
      <c r="S11" s="116">
        <f t="shared" ref="S11:S29" si="1">(R11*90)/12</f>
        <v>77.142857142857153</v>
      </c>
    </row>
    <row r="12" spans="1:19" ht="15" customHeight="1">
      <c r="A12" s="117" t="s">
        <v>65</v>
      </c>
      <c r="B12" s="118">
        <v>2</v>
      </c>
      <c r="C12" s="119" t="s">
        <v>28</v>
      </c>
      <c r="D12" s="120">
        <v>9</v>
      </c>
      <c r="E12" s="121">
        <v>10</v>
      </c>
      <c r="F12" s="122">
        <v>10</v>
      </c>
      <c r="G12" s="123">
        <v>10</v>
      </c>
      <c r="H12" s="124">
        <v>11</v>
      </c>
      <c r="I12" s="125">
        <v>11</v>
      </c>
      <c r="J12" s="124">
        <v>9</v>
      </c>
      <c r="K12" s="124">
        <v>10</v>
      </c>
      <c r="L12" s="126">
        <v>10</v>
      </c>
      <c r="M12" s="127">
        <v>11</v>
      </c>
      <c r="N12" s="128">
        <v>11</v>
      </c>
      <c r="O12" s="129">
        <v>10</v>
      </c>
      <c r="P12" s="130">
        <v>9</v>
      </c>
      <c r="Q12" s="131">
        <v>10</v>
      </c>
      <c r="R12" s="132">
        <f t="shared" si="0"/>
        <v>10.071428571428571</v>
      </c>
      <c r="S12" s="133">
        <f t="shared" si="1"/>
        <v>75.535714285714292</v>
      </c>
    </row>
    <row r="13" spans="1:19" ht="15" customHeight="1">
      <c r="A13" s="134" t="s">
        <v>65</v>
      </c>
      <c r="B13" s="135">
        <v>3</v>
      </c>
      <c r="C13" s="136" t="s">
        <v>39</v>
      </c>
      <c r="D13" s="137">
        <v>10</v>
      </c>
      <c r="E13" s="138">
        <v>9</v>
      </c>
      <c r="F13" s="109">
        <v>9</v>
      </c>
      <c r="G13" s="139">
        <v>8</v>
      </c>
      <c r="H13" s="140">
        <v>10</v>
      </c>
      <c r="I13" s="141">
        <v>9</v>
      </c>
      <c r="J13" s="140">
        <v>10</v>
      </c>
      <c r="K13" s="140">
        <v>10</v>
      </c>
      <c r="L13" s="142">
        <v>10</v>
      </c>
      <c r="M13" s="143">
        <v>11</v>
      </c>
      <c r="N13" s="144">
        <v>8</v>
      </c>
      <c r="O13" s="114">
        <v>10</v>
      </c>
      <c r="P13" s="145">
        <v>9</v>
      </c>
      <c r="Q13" s="146">
        <v>10</v>
      </c>
      <c r="R13" s="132">
        <f t="shared" si="0"/>
        <v>9.5</v>
      </c>
      <c r="S13" s="133">
        <f t="shared" si="1"/>
        <v>71.25</v>
      </c>
    </row>
    <row r="14" spans="1:19" ht="15" customHeight="1">
      <c r="A14" s="134" t="s">
        <v>65</v>
      </c>
      <c r="B14" s="135">
        <v>4</v>
      </c>
      <c r="C14" s="136" t="s">
        <v>37</v>
      </c>
      <c r="D14" s="137">
        <v>9</v>
      </c>
      <c r="E14" s="138">
        <v>9</v>
      </c>
      <c r="F14" s="109">
        <v>9</v>
      </c>
      <c r="G14" s="110">
        <v>10</v>
      </c>
      <c r="H14" s="147">
        <v>8</v>
      </c>
      <c r="I14" s="148">
        <v>11</v>
      </c>
      <c r="J14" s="140">
        <v>9</v>
      </c>
      <c r="K14" s="140">
        <v>10</v>
      </c>
      <c r="L14" s="142">
        <v>9</v>
      </c>
      <c r="M14" s="143">
        <v>10</v>
      </c>
      <c r="N14" s="144">
        <v>10</v>
      </c>
      <c r="O14" s="114">
        <v>10</v>
      </c>
      <c r="P14" s="145">
        <v>8</v>
      </c>
      <c r="Q14" s="146">
        <v>10</v>
      </c>
      <c r="R14" s="132">
        <f t="shared" si="0"/>
        <v>9.4285714285714288</v>
      </c>
      <c r="S14" s="133">
        <f t="shared" si="1"/>
        <v>70.714285714285708</v>
      </c>
    </row>
    <row r="15" spans="1:19" ht="15" customHeight="1">
      <c r="A15" s="134" t="s">
        <v>65</v>
      </c>
      <c r="B15" s="135">
        <v>5</v>
      </c>
      <c r="C15" s="136" t="s">
        <v>46</v>
      </c>
      <c r="D15" s="137">
        <v>9</v>
      </c>
      <c r="E15" s="138">
        <v>9</v>
      </c>
      <c r="F15" s="109">
        <v>9</v>
      </c>
      <c r="G15" s="110">
        <v>9</v>
      </c>
      <c r="H15" s="149">
        <v>8</v>
      </c>
      <c r="I15" s="148">
        <v>9</v>
      </c>
      <c r="J15" s="140">
        <v>9</v>
      </c>
      <c r="K15" s="140">
        <v>10</v>
      </c>
      <c r="L15" s="142">
        <v>10</v>
      </c>
      <c r="M15" s="143">
        <v>11</v>
      </c>
      <c r="N15" s="144">
        <v>8</v>
      </c>
      <c r="O15" s="114">
        <v>10</v>
      </c>
      <c r="P15" s="145">
        <v>9</v>
      </c>
      <c r="Q15" s="146">
        <v>10</v>
      </c>
      <c r="R15" s="132">
        <f t="shared" si="0"/>
        <v>9.2857142857142865</v>
      </c>
      <c r="S15" s="133">
        <f t="shared" si="1"/>
        <v>69.642857142857153</v>
      </c>
    </row>
    <row r="16" spans="1:19" ht="15" customHeight="1">
      <c r="A16" s="134" t="s">
        <v>65</v>
      </c>
      <c r="B16" s="135">
        <v>6</v>
      </c>
      <c r="C16" s="136" t="s">
        <v>48</v>
      </c>
      <c r="D16" s="137">
        <v>9</v>
      </c>
      <c r="E16" s="138">
        <v>10</v>
      </c>
      <c r="F16" s="109">
        <v>8</v>
      </c>
      <c r="G16" s="110">
        <v>8</v>
      </c>
      <c r="H16" s="149">
        <v>8</v>
      </c>
      <c r="I16" s="148">
        <v>11</v>
      </c>
      <c r="J16" s="140">
        <v>8</v>
      </c>
      <c r="K16" s="140">
        <v>10</v>
      </c>
      <c r="L16" s="142">
        <v>9</v>
      </c>
      <c r="M16" s="143">
        <v>11</v>
      </c>
      <c r="N16" s="144">
        <v>9</v>
      </c>
      <c r="O16" s="114">
        <v>10</v>
      </c>
      <c r="P16" s="145">
        <v>8</v>
      </c>
      <c r="Q16" s="146">
        <v>9</v>
      </c>
      <c r="R16" s="132">
        <f t="shared" si="0"/>
        <v>9.1428571428571423</v>
      </c>
      <c r="S16" s="133">
        <f t="shared" si="1"/>
        <v>68.571428571428569</v>
      </c>
    </row>
    <row r="17" spans="1:19" ht="15" customHeight="1">
      <c r="A17" s="134" t="s">
        <v>65</v>
      </c>
      <c r="B17" s="135">
        <v>7</v>
      </c>
      <c r="C17" s="136" t="s">
        <v>32</v>
      </c>
      <c r="D17" s="137">
        <v>8</v>
      </c>
      <c r="E17" s="138">
        <v>10</v>
      </c>
      <c r="F17" s="109">
        <v>8</v>
      </c>
      <c r="G17" s="110">
        <v>8</v>
      </c>
      <c r="H17" s="149">
        <v>8</v>
      </c>
      <c r="I17" s="148">
        <v>10</v>
      </c>
      <c r="J17" s="140">
        <v>7</v>
      </c>
      <c r="K17" s="140">
        <v>10</v>
      </c>
      <c r="L17" s="142">
        <v>10</v>
      </c>
      <c r="M17" s="143">
        <v>11</v>
      </c>
      <c r="N17" s="144">
        <v>8</v>
      </c>
      <c r="O17" s="114">
        <v>10</v>
      </c>
      <c r="P17" s="145">
        <v>8</v>
      </c>
      <c r="Q17" s="146">
        <v>10</v>
      </c>
      <c r="R17" s="132">
        <f t="shared" si="0"/>
        <v>9</v>
      </c>
      <c r="S17" s="133">
        <f t="shared" si="1"/>
        <v>67.5</v>
      </c>
    </row>
    <row r="18" spans="1:19" ht="15.75" customHeight="1">
      <c r="A18" s="134" t="s">
        <v>65</v>
      </c>
      <c r="B18" s="135">
        <v>8</v>
      </c>
      <c r="C18" s="136" t="s">
        <v>35</v>
      </c>
      <c r="D18" s="137">
        <v>7</v>
      </c>
      <c r="E18" s="138">
        <v>9</v>
      </c>
      <c r="F18" s="109">
        <v>8</v>
      </c>
      <c r="G18" s="110">
        <v>8</v>
      </c>
      <c r="H18" s="149">
        <v>8</v>
      </c>
      <c r="I18" s="148">
        <v>8</v>
      </c>
      <c r="J18" s="140">
        <v>8</v>
      </c>
      <c r="K18" s="140">
        <v>10</v>
      </c>
      <c r="L18" s="142">
        <v>9</v>
      </c>
      <c r="M18" s="143">
        <v>10</v>
      </c>
      <c r="N18" s="144">
        <v>7</v>
      </c>
      <c r="O18" s="114">
        <v>9</v>
      </c>
      <c r="P18" s="145">
        <v>9</v>
      </c>
      <c r="Q18" s="146">
        <v>9</v>
      </c>
      <c r="R18" s="132">
        <f t="shared" si="0"/>
        <v>8.5</v>
      </c>
      <c r="S18" s="133">
        <f t="shared" si="1"/>
        <v>63.75</v>
      </c>
    </row>
    <row r="19" spans="1:19" ht="15.75" customHeight="1">
      <c r="A19" s="2" t="s">
        <v>65</v>
      </c>
      <c r="B19" s="3">
        <v>9</v>
      </c>
      <c r="C19" s="72" t="s">
        <v>33</v>
      </c>
      <c r="D19" s="69">
        <v>7</v>
      </c>
      <c r="E19" s="27">
        <v>8</v>
      </c>
      <c r="F19" s="28">
        <v>8</v>
      </c>
      <c r="G19" s="25">
        <v>7</v>
      </c>
      <c r="H19" s="14">
        <v>8</v>
      </c>
      <c r="I19" s="23">
        <v>9</v>
      </c>
      <c r="J19" s="18">
        <v>9</v>
      </c>
      <c r="K19" s="18">
        <v>10</v>
      </c>
      <c r="L19" s="29">
        <v>7</v>
      </c>
      <c r="M19" s="37">
        <v>10</v>
      </c>
      <c r="N19" s="38">
        <v>7</v>
      </c>
      <c r="O19" s="42">
        <v>9</v>
      </c>
      <c r="P19" s="45">
        <v>6</v>
      </c>
      <c r="Q19" s="50">
        <v>9</v>
      </c>
      <c r="R19" s="22">
        <f t="shared" si="0"/>
        <v>8.1428571428571423</v>
      </c>
      <c r="S19" s="49">
        <f t="shared" si="1"/>
        <v>61.071428571428562</v>
      </c>
    </row>
    <row r="20" spans="1:19" ht="15.75" customHeight="1">
      <c r="A20" s="2" t="s">
        <v>65</v>
      </c>
      <c r="B20" s="3">
        <v>10</v>
      </c>
      <c r="C20" s="72" t="s">
        <v>36</v>
      </c>
      <c r="D20" s="69">
        <v>6</v>
      </c>
      <c r="E20" s="27">
        <v>9</v>
      </c>
      <c r="F20" s="28">
        <v>7</v>
      </c>
      <c r="G20" s="25">
        <v>5</v>
      </c>
      <c r="H20" s="14">
        <v>8</v>
      </c>
      <c r="I20" s="23">
        <v>9</v>
      </c>
      <c r="J20" s="18">
        <v>7</v>
      </c>
      <c r="K20" s="18">
        <v>8</v>
      </c>
      <c r="L20" s="29">
        <v>8</v>
      </c>
      <c r="M20" s="37">
        <v>11</v>
      </c>
      <c r="N20" s="38">
        <v>9</v>
      </c>
      <c r="O20" s="42">
        <v>7</v>
      </c>
      <c r="P20" s="45">
        <v>9</v>
      </c>
      <c r="Q20" s="50">
        <v>6</v>
      </c>
      <c r="R20" s="22">
        <f t="shared" si="0"/>
        <v>7.7857142857142856</v>
      </c>
      <c r="S20" s="49">
        <f t="shared" si="1"/>
        <v>58.392857142857139</v>
      </c>
    </row>
    <row r="21" spans="1:19" ht="15.75" customHeight="1">
      <c r="A21" s="2" t="s">
        <v>65</v>
      </c>
      <c r="B21" s="3">
        <v>11</v>
      </c>
      <c r="C21" s="72" t="s">
        <v>31</v>
      </c>
      <c r="D21" s="69">
        <v>7</v>
      </c>
      <c r="E21" s="27">
        <v>10</v>
      </c>
      <c r="F21" s="28">
        <v>6</v>
      </c>
      <c r="G21" s="25">
        <v>6</v>
      </c>
      <c r="H21" s="14">
        <v>7</v>
      </c>
      <c r="I21" s="24">
        <v>11</v>
      </c>
      <c r="J21" s="18">
        <v>6</v>
      </c>
      <c r="K21" s="18">
        <v>6</v>
      </c>
      <c r="L21" s="29">
        <v>6</v>
      </c>
      <c r="M21" s="37">
        <v>11</v>
      </c>
      <c r="N21" s="38">
        <v>8</v>
      </c>
      <c r="O21" s="42">
        <v>9</v>
      </c>
      <c r="P21" s="45">
        <v>7</v>
      </c>
      <c r="Q21" s="50">
        <v>8</v>
      </c>
      <c r="R21" s="22">
        <f t="shared" si="0"/>
        <v>7.7142857142857144</v>
      </c>
      <c r="S21" s="49">
        <f t="shared" si="1"/>
        <v>57.857142857142861</v>
      </c>
    </row>
    <row r="22" spans="1:19" ht="15.75" customHeight="1">
      <c r="A22" s="2" t="s">
        <v>65</v>
      </c>
      <c r="B22" s="11">
        <v>12</v>
      </c>
      <c r="C22" s="72" t="s">
        <v>26</v>
      </c>
      <c r="D22" s="69">
        <v>7</v>
      </c>
      <c r="E22" s="27">
        <v>9</v>
      </c>
      <c r="F22" s="28">
        <v>6</v>
      </c>
      <c r="G22" s="25">
        <v>7</v>
      </c>
      <c r="H22" s="14">
        <v>8</v>
      </c>
      <c r="I22" s="24">
        <v>7</v>
      </c>
      <c r="J22" s="18">
        <v>7</v>
      </c>
      <c r="K22" s="18">
        <v>6</v>
      </c>
      <c r="L22" s="29">
        <v>7</v>
      </c>
      <c r="M22" s="36">
        <v>11</v>
      </c>
      <c r="N22" s="38">
        <v>8</v>
      </c>
      <c r="O22" s="42">
        <v>8</v>
      </c>
      <c r="P22" s="45">
        <v>8</v>
      </c>
      <c r="Q22" s="18">
        <v>8</v>
      </c>
      <c r="R22" s="22">
        <f t="shared" si="0"/>
        <v>7.6428571428571432</v>
      </c>
      <c r="S22" s="49">
        <f t="shared" si="1"/>
        <v>57.321428571428577</v>
      </c>
    </row>
    <row r="23" spans="1:19" ht="15.75" customHeight="1">
      <c r="A23" s="2" t="s">
        <v>65</v>
      </c>
      <c r="B23" s="11">
        <v>13</v>
      </c>
      <c r="C23" s="72" t="s">
        <v>44</v>
      </c>
      <c r="D23" s="69">
        <v>6</v>
      </c>
      <c r="E23" s="27">
        <v>8</v>
      </c>
      <c r="F23" s="28">
        <v>7</v>
      </c>
      <c r="G23" s="25">
        <v>8</v>
      </c>
      <c r="H23" s="14">
        <v>6</v>
      </c>
      <c r="I23" s="24">
        <v>9</v>
      </c>
      <c r="J23" s="18">
        <v>6</v>
      </c>
      <c r="K23" s="18">
        <v>9</v>
      </c>
      <c r="L23" s="29">
        <v>9</v>
      </c>
      <c r="M23" s="37">
        <v>10</v>
      </c>
      <c r="N23" s="38">
        <v>7</v>
      </c>
      <c r="O23" s="42">
        <v>8</v>
      </c>
      <c r="P23" s="45">
        <v>6</v>
      </c>
      <c r="Q23" s="50">
        <v>8</v>
      </c>
      <c r="R23" s="22">
        <f t="shared" si="0"/>
        <v>7.6428571428571432</v>
      </c>
      <c r="S23" s="49">
        <f t="shared" si="1"/>
        <v>57.321428571428577</v>
      </c>
    </row>
    <row r="24" spans="1:19" s="10" customFormat="1" ht="15.75" customHeight="1">
      <c r="A24" s="2" t="s">
        <v>65</v>
      </c>
      <c r="B24" s="11">
        <v>14</v>
      </c>
      <c r="C24" s="72" t="s">
        <v>27</v>
      </c>
      <c r="D24" s="69">
        <v>6</v>
      </c>
      <c r="E24" s="27">
        <v>10</v>
      </c>
      <c r="F24" s="28">
        <v>7</v>
      </c>
      <c r="G24" s="25">
        <v>7</v>
      </c>
      <c r="H24" s="14">
        <v>7</v>
      </c>
      <c r="I24" s="24">
        <v>8</v>
      </c>
      <c r="J24" s="18">
        <v>5</v>
      </c>
      <c r="K24" s="18">
        <v>9</v>
      </c>
      <c r="L24" s="29">
        <v>7</v>
      </c>
      <c r="M24" s="37">
        <v>9</v>
      </c>
      <c r="N24" s="38">
        <v>7</v>
      </c>
      <c r="O24" s="42">
        <v>8</v>
      </c>
      <c r="P24" s="45">
        <v>8</v>
      </c>
      <c r="Q24" s="50">
        <v>7</v>
      </c>
      <c r="R24" s="22">
        <f t="shared" si="0"/>
        <v>7.5</v>
      </c>
      <c r="S24" s="49">
        <f t="shared" si="1"/>
        <v>56.25</v>
      </c>
    </row>
    <row r="25" spans="1:19" s="10" customFormat="1" ht="15.75" customHeight="1">
      <c r="A25" s="2" t="s">
        <v>65</v>
      </c>
      <c r="B25" s="11">
        <v>15</v>
      </c>
      <c r="C25" s="72" t="s">
        <v>47</v>
      </c>
      <c r="D25" s="69">
        <v>7</v>
      </c>
      <c r="E25" s="27">
        <v>8</v>
      </c>
      <c r="F25" s="28">
        <v>7</v>
      </c>
      <c r="G25" s="25">
        <v>8</v>
      </c>
      <c r="H25" s="14">
        <v>6</v>
      </c>
      <c r="I25" s="24">
        <v>6</v>
      </c>
      <c r="J25" s="18">
        <v>9</v>
      </c>
      <c r="K25" s="18">
        <v>9</v>
      </c>
      <c r="L25" s="29">
        <v>8</v>
      </c>
      <c r="M25" s="37">
        <v>9</v>
      </c>
      <c r="N25" s="38">
        <v>5</v>
      </c>
      <c r="O25" s="42">
        <v>7</v>
      </c>
      <c r="P25" s="45">
        <v>6</v>
      </c>
      <c r="Q25" s="50">
        <v>10</v>
      </c>
      <c r="R25" s="22">
        <f t="shared" si="0"/>
        <v>7.5</v>
      </c>
      <c r="S25" s="49">
        <f t="shared" si="1"/>
        <v>56.25</v>
      </c>
    </row>
    <row r="26" spans="1:19" s="10" customFormat="1" ht="15.75" customHeight="1">
      <c r="A26" s="2" t="s">
        <v>65</v>
      </c>
      <c r="B26" s="11">
        <v>16</v>
      </c>
      <c r="C26" s="72" t="s">
        <v>38</v>
      </c>
      <c r="D26" s="69">
        <v>5</v>
      </c>
      <c r="E26" s="27">
        <v>8</v>
      </c>
      <c r="F26" s="28">
        <v>5</v>
      </c>
      <c r="G26" s="25">
        <v>6</v>
      </c>
      <c r="H26" s="14">
        <v>4</v>
      </c>
      <c r="I26" s="24">
        <v>7</v>
      </c>
      <c r="J26" s="18">
        <v>6</v>
      </c>
      <c r="K26" s="18">
        <v>9</v>
      </c>
      <c r="L26" s="29">
        <v>8</v>
      </c>
      <c r="M26" s="37">
        <v>9</v>
      </c>
      <c r="N26" s="38">
        <v>6</v>
      </c>
      <c r="O26" s="42">
        <v>7</v>
      </c>
      <c r="P26" s="45">
        <v>6</v>
      </c>
      <c r="Q26" s="50">
        <v>7</v>
      </c>
      <c r="R26" s="22">
        <f t="shared" si="0"/>
        <v>6.6428571428571432</v>
      </c>
      <c r="S26" s="49">
        <f t="shared" si="1"/>
        <v>49.821428571428577</v>
      </c>
    </row>
    <row r="27" spans="1:19" s="10" customFormat="1" ht="15.75" customHeight="1">
      <c r="A27" s="2" t="s">
        <v>65</v>
      </c>
      <c r="B27" s="11">
        <v>17</v>
      </c>
      <c r="C27" s="72" t="s">
        <v>41</v>
      </c>
      <c r="D27" s="69">
        <v>5</v>
      </c>
      <c r="E27" s="27">
        <v>8</v>
      </c>
      <c r="F27" s="28">
        <v>4</v>
      </c>
      <c r="G27" s="25">
        <v>8</v>
      </c>
      <c r="H27" s="14">
        <v>6</v>
      </c>
      <c r="I27" s="24">
        <v>6</v>
      </c>
      <c r="J27" s="18">
        <v>6</v>
      </c>
      <c r="K27" s="18">
        <v>5</v>
      </c>
      <c r="L27" s="29">
        <v>6</v>
      </c>
      <c r="M27" s="37">
        <v>10</v>
      </c>
      <c r="N27" s="38">
        <v>5</v>
      </c>
      <c r="O27" s="42">
        <v>8</v>
      </c>
      <c r="P27" s="45">
        <v>8</v>
      </c>
      <c r="Q27" s="50">
        <v>6</v>
      </c>
      <c r="R27" s="22">
        <f t="shared" si="0"/>
        <v>6.5</v>
      </c>
      <c r="S27" s="49">
        <f t="shared" si="1"/>
        <v>48.75</v>
      </c>
    </row>
    <row r="28" spans="1:19" s="10" customFormat="1" ht="15.75" customHeight="1">
      <c r="A28" s="77" t="s">
        <v>65</v>
      </c>
      <c r="B28" s="11">
        <v>18</v>
      </c>
      <c r="C28" s="78" t="s">
        <v>49</v>
      </c>
      <c r="D28" s="79">
        <v>5</v>
      </c>
      <c r="E28" s="80">
        <v>9</v>
      </c>
      <c r="F28" s="81">
        <v>4</v>
      </c>
      <c r="G28" s="82">
        <v>6</v>
      </c>
      <c r="H28" s="30">
        <v>5</v>
      </c>
      <c r="I28" s="83">
        <v>5</v>
      </c>
      <c r="J28" s="84">
        <v>7</v>
      </c>
      <c r="K28" s="84">
        <v>5</v>
      </c>
      <c r="L28" s="85">
        <v>5</v>
      </c>
      <c r="M28" s="86">
        <v>10</v>
      </c>
      <c r="N28" s="87">
        <v>7</v>
      </c>
      <c r="O28" s="88">
        <v>6</v>
      </c>
      <c r="P28" s="67">
        <v>5</v>
      </c>
      <c r="Q28" s="89">
        <v>4</v>
      </c>
      <c r="R28" s="90">
        <f t="shared" si="0"/>
        <v>5.9285714285714288</v>
      </c>
      <c r="S28" s="91">
        <f t="shared" si="1"/>
        <v>44.464285714285715</v>
      </c>
    </row>
    <row r="29" spans="1:19" s="10" customFormat="1" ht="15.75" customHeight="1">
      <c r="A29" s="92" t="s">
        <v>65</v>
      </c>
      <c r="B29" s="92">
        <v>19</v>
      </c>
      <c r="C29" s="93" t="s">
        <v>45</v>
      </c>
      <c r="D29" s="94">
        <v>4</v>
      </c>
      <c r="E29" s="95">
        <v>4</v>
      </c>
      <c r="F29" s="96">
        <v>4</v>
      </c>
      <c r="G29" s="97">
        <v>4</v>
      </c>
      <c r="H29" s="94">
        <v>4</v>
      </c>
      <c r="I29" s="94">
        <v>4</v>
      </c>
      <c r="J29" s="94">
        <v>4</v>
      </c>
      <c r="K29" s="94">
        <v>4</v>
      </c>
      <c r="L29" s="98">
        <v>4</v>
      </c>
      <c r="M29" s="99">
        <v>9</v>
      </c>
      <c r="N29" s="100">
        <v>5</v>
      </c>
      <c r="O29" s="101">
        <v>4</v>
      </c>
      <c r="P29" s="102">
        <v>5</v>
      </c>
      <c r="Q29" s="103">
        <v>6</v>
      </c>
      <c r="R29" s="104">
        <f t="shared" si="0"/>
        <v>4.6428571428571432</v>
      </c>
      <c r="S29" s="104">
        <f t="shared" si="1"/>
        <v>34.821428571428577</v>
      </c>
    </row>
    <row r="30" spans="1:19" ht="15.75" customHeight="1">
      <c r="A30" s="32"/>
      <c r="B30" s="32"/>
      <c r="C30" s="71" t="s">
        <v>18</v>
      </c>
      <c r="D30" s="22">
        <v>19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S30" s="32"/>
    </row>
    <row r="31" spans="1:19" ht="15.75" customHeight="1">
      <c r="A31" s="32"/>
      <c r="B31" s="32"/>
      <c r="C31" s="6" t="s">
        <v>19</v>
      </c>
      <c r="D31" s="22">
        <v>4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S31" s="32"/>
    </row>
    <row r="32" spans="1:19" ht="15.75" customHeight="1">
      <c r="A32" s="32"/>
      <c r="B32" s="32"/>
      <c r="C32" s="6" t="s">
        <v>20</v>
      </c>
      <c r="D32" s="22">
        <v>8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S32" s="32"/>
    </row>
    <row r="33" spans="1:19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S33" s="32"/>
    </row>
    <row r="34" spans="1:19" ht="15.75" customHeight="1">
      <c r="A34" s="32"/>
      <c r="B34" s="32"/>
      <c r="C34" s="32"/>
      <c r="D34" s="32"/>
      <c r="L34" s="32"/>
      <c r="M34" s="32"/>
      <c r="N34" s="32"/>
      <c r="O34" s="32"/>
      <c r="P34" s="32"/>
      <c r="Q34" s="32"/>
      <c r="S34" s="32"/>
    </row>
    <row r="35" spans="1:19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S35" s="32"/>
    </row>
    <row r="36" spans="1:19" ht="15.75" customHeight="1">
      <c r="A36" s="32"/>
      <c r="B36" s="32"/>
      <c r="C36" s="32"/>
      <c r="D36" s="32"/>
      <c r="E36" s="58" t="s">
        <v>21</v>
      </c>
      <c r="F36" s="58"/>
      <c r="G36" s="58"/>
      <c r="H36" s="59"/>
      <c r="I36" s="59"/>
      <c r="J36" s="58" t="s">
        <v>64</v>
      </c>
      <c r="K36" s="58"/>
      <c r="L36" s="32"/>
      <c r="M36" s="32"/>
      <c r="N36" s="32"/>
      <c r="O36" s="32"/>
      <c r="P36" s="32"/>
      <c r="Q36" s="32"/>
      <c r="S36" s="32"/>
    </row>
    <row r="37" spans="1:19" ht="15.75" customHeight="1">
      <c r="A37" s="32"/>
      <c r="B37" s="32"/>
      <c r="C37" s="32"/>
      <c r="D37" s="32"/>
      <c r="L37" s="32"/>
      <c r="M37" s="32"/>
      <c r="N37" s="32"/>
      <c r="O37" s="32"/>
      <c r="P37" s="32"/>
      <c r="Q37" s="32"/>
      <c r="S37" s="32"/>
    </row>
    <row r="38" spans="1:19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S38" s="32"/>
    </row>
    <row r="39" spans="1:19" ht="15.75" customHeight="1">
      <c r="A39" s="32"/>
      <c r="B39" s="32"/>
      <c r="C39" s="32"/>
      <c r="D39" s="32"/>
      <c r="E39" s="58" t="s">
        <v>22</v>
      </c>
      <c r="F39" s="58"/>
      <c r="G39" s="58"/>
      <c r="H39" s="58"/>
      <c r="I39" s="58"/>
      <c r="J39" s="58" t="s">
        <v>67</v>
      </c>
      <c r="K39" s="58"/>
      <c r="L39" s="32"/>
      <c r="M39" s="32"/>
      <c r="N39" s="32"/>
      <c r="O39" s="32"/>
      <c r="P39" s="32"/>
      <c r="Q39" s="32"/>
      <c r="S39" s="32"/>
    </row>
    <row r="40" spans="1:19" ht="15.75" customHeight="1"/>
    <row r="41" spans="1:19" ht="15.75" customHeight="1"/>
    <row r="42" spans="1:19" ht="15.75" customHeight="1"/>
    <row r="43" spans="1:19" ht="15.75" customHeight="1"/>
    <row r="44" spans="1:19" ht="15.75" customHeight="1"/>
    <row r="45" spans="1:19" ht="15.75" customHeight="1"/>
    <row r="46" spans="1:19" ht="15.75" customHeight="1"/>
    <row r="47" spans="1:19" ht="15.75" customHeight="1"/>
    <row r="48" spans="1:1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sortState ref="A11:S30">
    <sortCondition descending="1" ref="R11:R30"/>
  </sortState>
  <mergeCells count="26">
    <mergeCell ref="D7:S7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O8:O10"/>
    <mergeCell ref="P8:P10"/>
    <mergeCell ref="Q8:Q10"/>
    <mergeCell ref="S8:S10"/>
    <mergeCell ref="R8:R10"/>
    <mergeCell ref="N8:N10"/>
  </mergeCells>
  <pageMargins left="0.7" right="0.7" top="0.75" bottom="0.75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</vt:lpstr>
      <vt:lpstr>Рейтингова відомість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BONDARENKO</cp:lastModifiedBy>
  <cp:lastPrinted>2020-12-21T06:59:55Z</cp:lastPrinted>
  <dcterms:created xsi:type="dcterms:W3CDTF">2006-09-28T05:33:49Z</dcterms:created>
  <dcterms:modified xsi:type="dcterms:W3CDTF">2020-12-21T07:00:28Z</dcterms:modified>
</cp:coreProperties>
</file>