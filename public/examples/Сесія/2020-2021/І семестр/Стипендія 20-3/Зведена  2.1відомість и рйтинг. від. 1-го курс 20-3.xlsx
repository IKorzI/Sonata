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/>
  </bookViews>
  <sheets>
    <sheet name="Зведена відомість 101" sheetId="2" r:id="rId1"/>
    <sheet name="Рейтингова відомість 161" sheetId="3" r:id="rId2"/>
    <sheet name="Зведена відомість 161" sheetId="4" r:id="rId3"/>
    <sheet name="Рейтингова відомість 101" sheetId="5" r:id="rId4"/>
  </sheets>
  <calcPr calcId="125725"/>
</workbook>
</file>

<file path=xl/calcChain.xml><?xml version="1.0" encoding="utf-8"?>
<calcChain xmlns="http://schemas.openxmlformats.org/spreadsheetml/2006/main">
  <c r="R15" i="5"/>
  <c r="R12" l="1"/>
  <c r="S12" s="1"/>
  <c r="R14"/>
  <c r="S14" s="1"/>
  <c r="R17"/>
  <c r="S17" s="1"/>
  <c r="S15"/>
  <c r="R11"/>
  <c r="S11" s="1"/>
  <c r="R16"/>
  <c r="S16" s="1"/>
  <c r="R13"/>
  <c r="S13" s="1"/>
  <c r="R18"/>
  <c r="S18" s="1"/>
  <c r="D27" i="4"/>
  <c r="D26"/>
  <c r="Q23"/>
  <c r="P23"/>
  <c r="O23"/>
  <c r="N23"/>
  <c r="M23"/>
  <c r="L23"/>
  <c r="K23"/>
  <c r="J23"/>
  <c r="I23"/>
  <c r="H23"/>
  <c r="G23"/>
  <c r="F23"/>
  <c r="E23"/>
  <c r="D23"/>
  <c r="R21"/>
  <c r="R19"/>
  <c r="R18"/>
  <c r="R17"/>
  <c r="R16"/>
  <c r="R13"/>
  <c r="R12"/>
  <c r="R11"/>
  <c r="R23" l="1"/>
  <c r="R14" i="2"/>
  <c r="R15"/>
  <c r="R16"/>
  <c r="R17"/>
  <c r="R18"/>
  <c r="R19"/>
  <c r="R21"/>
  <c r="R22"/>
  <c r="R12" i="3"/>
  <c r="S12" s="1"/>
  <c r="R17"/>
  <c r="S17" s="1"/>
  <c r="R13"/>
  <c r="S13" s="1"/>
  <c r="R11"/>
  <c r="S11" s="1"/>
  <c r="R15"/>
  <c r="S15" s="1"/>
  <c r="R18"/>
  <c r="S18" s="1"/>
  <c r="R16"/>
  <c r="S16" s="1"/>
  <c r="R14"/>
  <c r="S14" s="1"/>
  <c r="D28" i="2" l="1"/>
  <c r="D27"/>
  <c r="E24" l="1"/>
  <c r="F24"/>
  <c r="G24"/>
  <c r="H24"/>
  <c r="I24"/>
  <c r="J24"/>
  <c r="K24"/>
  <c r="L24"/>
  <c r="M24"/>
  <c r="N24"/>
  <c r="O24"/>
  <c r="P24"/>
  <c r="Q24"/>
  <c r="D24"/>
  <c r="R24" l="1"/>
</calcChain>
</file>

<file path=xl/sharedStrings.xml><?xml version="1.0" encoding="utf-8"?>
<sst xmlns="http://schemas.openxmlformats.org/spreadsheetml/2006/main" count="258" uniqueCount="114">
  <si>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</si>
  <si>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</si>
  <si>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</si>
  <si>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</si>
  <si>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</si>
  <si>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</si>
  <si>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</si>
  <si>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</si>
  <si>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</si>
  <si>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</si>
  <si>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</si>
  <si>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</si>
  <si>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Хімія Сахно Н.О.</t>
  </si>
  <si>
    <t>Українська мова Нестеренко А.О.</t>
  </si>
  <si>
    <t>Зарубіжна література Пруднікова Я.П.</t>
  </si>
  <si>
    <t>ЗВ/ Лазар В.І./  Стельмах Н.Ю.</t>
  </si>
  <si>
    <t>Історія України           Левчук Т.Г.</t>
  </si>
  <si>
    <t>Географія              Наговська Т.С.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</si>
  <si>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</si>
  <si>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</si>
  <si>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</si>
  <si>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</si>
  <si>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</si>
  <si>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</si>
  <si>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</si>
  <si>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</si>
  <si>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</si>
  <si>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</si>
  <si>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</si>
  <si>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</si>
  <si>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Борисова Катерина Олексіївна</t>
  </si>
  <si>
    <t xml:space="preserve">Бевз Максим Валерійович  </t>
  </si>
  <si>
    <t xml:space="preserve">Даніленко Анастасія Василівна         </t>
  </si>
  <si>
    <t xml:space="preserve">Золотеніна Вероніка Євгеніївна             </t>
  </si>
  <si>
    <t xml:space="preserve">Кованжи Юліян Георгійович                </t>
  </si>
  <si>
    <t xml:space="preserve">Костік Андрій Вікторович                          </t>
  </si>
  <si>
    <t xml:space="preserve">Кравченко Анастасія Володимирівна      </t>
  </si>
  <si>
    <t xml:space="preserve">Кучук Даніїл Олександрович                     </t>
  </si>
  <si>
    <t xml:space="preserve">Ладиженський Єгор Михайлович            </t>
  </si>
  <si>
    <t xml:space="preserve">Масалов Руслан Володимирович            </t>
  </si>
  <si>
    <t xml:space="preserve">Наумова Тетяна Олександрівна                </t>
  </si>
  <si>
    <t xml:space="preserve">Токарчук Вікторія Валеріївна                    </t>
  </si>
  <si>
    <t xml:space="preserve">Шавшина Софія Михайлівна                      </t>
  </si>
  <si>
    <t xml:space="preserve">Бабелюк Єлизавета Олександрівна           </t>
  </si>
  <si>
    <t xml:space="preserve">Бабенко Костянтин Андрійович                 </t>
  </si>
  <si>
    <t xml:space="preserve">Бурлака Катерина Андріївна                       </t>
  </si>
  <si>
    <t xml:space="preserve">Бушанський Борис Миколайович           </t>
  </si>
  <si>
    <t xml:space="preserve">Галь Максим Олександрович                      </t>
  </si>
  <si>
    <t xml:space="preserve">Жеребко Аліна Віталіївна                          </t>
  </si>
  <si>
    <t xml:space="preserve">Кір`як Єлизавета Ігорівна                       </t>
  </si>
  <si>
    <t xml:space="preserve">Кравцова Катерина Максимівна                </t>
  </si>
  <si>
    <t xml:space="preserve">Одінок Даниїл Сергійович                          </t>
  </si>
  <si>
    <t xml:space="preserve">Слєпко Андрій Володимирович                  </t>
  </si>
  <si>
    <t xml:space="preserve">Тарченко Володимир Віталійович            </t>
  </si>
  <si>
    <t xml:space="preserve">Шалаєв Максим Сергійович                      </t>
  </si>
  <si>
    <t>Група 20-3 І</t>
  </si>
  <si>
    <t>Т.М.Кубова</t>
  </si>
  <si>
    <t>Успішності студентів спеціальності 101 " Екологія"</t>
  </si>
  <si>
    <t>Фізика Калюта Н.М.</t>
  </si>
  <si>
    <t>Інформатика Охрімчук В.С.</t>
  </si>
  <si>
    <t>Біологія Вдовиченко О.В.</t>
  </si>
  <si>
    <t>Фізичне виховання Чикін О.В.</t>
  </si>
  <si>
    <t>Іноземна мова Апреленко О.А.</t>
  </si>
  <si>
    <t>Успішності студентів спеціальності 101 "Екологія"</t>
  </si>
  <si>
    <t>Група 20-3 курс І</t>
  </si>
  <si>
    <t xml:space="preserve">Інформатика Охрімчук  В.С.               </t>
  </si>
  <si>
    <t>Біологія  Вдовиченко О.В..</t>
  </si>
  <si>
    <t>Успішності студентів спеціальності 161 "Хімічні технології та інженерія"</t>
  </si>
  <si>
    <t>Інформатика                Охрімчук В.С..</t>
  </si>
  <si>
    <t>Біологія Вдовиченко О.В..</t>
  </si>
  <si>
    <t>Фізичне виховання  Чикін О.В.</t>
  </si>
  <si>
    <t>Т.М. Кубова</t>
  </si>
  <si>
    <t xml:space="preserve">Бабелюк Єлизавета Олександрівна </t>
  </si>
  <si>
    <t xml:space="preserve">Бабенко Костянтин Андрійович    </t>
  </si>
  <si>
    <t xml:space="preserve">Бурлака Катерина Андріївна    </t>
  </si>
  <si>
    <t xml:space="preserve">Жеребко Аліна Віталіївна                             </t>
  </si>
  <si>
    <t xml:space="preserve">Кір`як Єлизавета Ігорівна          </t>
  </si>
  <si>
    <t xml:space="preserve">Кравцова Катерина Максимівна                       </t>
  </si>
  <si>
    <t xml:space="preserve">Одінок Даниїл Сергійович     </t>
  </si>
  <si>
    <t xml:space="preserve">Всесвітня історія  Мрошниченко В.О. </t>
  </si>
  <si>
    <t>н/а</t>
  </si>
  <si>
    <t>Всесвітня історія Мирошниченко В.О.</t>
  </si>
  <si>
    <t>Математика Бондаренко О.С.</t>
  </si>
  <si>
    <t>Фізичне віховання Чикін О.В.</t>
  </si>
  <si>
    <t>63.6</t>
  </si>
  <si>
    <t>Математика   Бондаренко О.С.</t>
  </si>
  <si>
    <t>Всесвітня історія  Мирошниченко В.О.</t>
  </si>
  <si>
    <t>Іноземна мова  Апреленко О.А.</t>
  </si>
  <si>
    <t>ЗУ/ Лазар В.І./  Стельмах Н.Ю.</t>
  </si>
  <si>
    <t>Історія України  Левчук Т.Г.</t>
  </si>
  <si>
    <t>Географія Наговська Т.С.</t>
  </si>
  <si>
    <t>Математика    Бондаренко О.С.</t>
  </si>
  <si>
    <t>Іноземна мова   Апреленко О.А.</t>
  </si>
  <si>
    <t>Історія України Левчук Т.Г.</t>
  </si>
  <si>
    <t>Географія  Наговська Т.С.</t>
  </si>
  <si>
    <t>Б</t>
  </si>
  <si>
    <t>К</t>
  </si>
  <si>
    <t>-</t>
  </si>
  <si>
    <t>Математика     Бондаренко О.С.</t>
  </si>
  <si>
    <t>Кількість контрактників</t>
  </si>
  <si>
    <t>н/а        5</t>
  </si>
  <si>
    <t>н/а       5</t>
  </si>
  <si>
    <t>2     4</t>
  </si>
  <si>
    <t>н/а     5</t>
  </si>
  <si>
    <t>н/а      5</t>
  </si>
  <si>
    <t>2      5</t>
  </si>
  <si>
    <t>н/а   4</t>
  </si>
  <si>
    <t>н/а       4</t>
  </si>
  <si>
    <t>н/а      4</t>
  </si>
  <si>
    <t>н/а     4</t>
  </si>
  <si>
    <t>2        4</t>
  </si>
  <si>
    <t>н/а   5</t>
  </si>
  <si>
    <t>2         4</t>
  </si>
  <si>
    <t>2       4</t>
  </si>
</sst>
</file>

<file path=xl/styles.xml><?xml version="1.0" encoding="utf-8"?>
<styleSheet xmlns="http://schemas.openxmlformats.org/spreadsheetml/2006/main">
  <numFmts count="1">
    <numFmt numFmtId="164" formatCode="0.0"/>
  </numFmts>
  <fonts count="23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0" tint="-0.34998626667073579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  <border diagonalUp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 diagonalUp="1">
      <left style="thin">
        <color rgb="FF000000"/>
      </left>
      <right style="thin">
        <color indexed="64"/>
      </right>
      <top style="thin">
        <color indexed="8"/>
      </top>
      <bottom style="thin">
        <color indexed="8"/>
      </bottom>
      <diagonal style="thin">
        <color rgb="FF000000"/>
      </diagonal>
    </border>
  </borders>
  <cellStyleXfs count="245">
    <xf numFmtId="0" fontId="0" fillId="0" borderId="0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6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0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7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</cellStyleXfs>
  <cellXfs count="204">
    <xf numFmtId="0" fontId="0" fillId="0" borderId="0" xfId="0" applyFont="1" applyAlignment="1"/>
    <xf numFmtId="0" fontId="2" fillId="0" borderId="0" xfId="0" applyFont="1"/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/>
    </xf>
    <xf numFmtId="164" fontId="14" fillId="4" borderId="21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2" fontId="4" fillId="4" borderId="2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4" fontId="4" fillId="4" borderId="21" xfId="120" applyNumberFormat="1" applyFont="1" applyFill="1" applyBorder="1" applyAlignment="1">
      <alignment horizontal="center" vertical="center"/>
    </xf>
    <xf numFmtId="0" fontId="4" fillId="4" borderId="36" xfId="79" applyFont="1" applyFill="1" applyBorder="1" applyAlignment="1">
      <alignment horizontal="center" vertical="center"/>
    </xf>
    <xf numFmtId="2" fontId="4" fillId="4" borderId="34" xfId="79" applyNumberFormat="1" applyFont="1" applyFill="1" applyBorder="1" applyAlignment="1">
      <alignment horizontal="center" vertical="center"/>
    </xf>
    <xf numFmtId="164" fontId="11" fillId="0" borderId="17" xfId="0" applyNumberFormat="1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8" xfId="16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9" xfId="211" applyFont="1" applyBorder="1" applyAlignment="1">
      <alignment horizontal="center" vertical="center" wrapText="1"/>
    </xf>
    <xf numFmtId="0" fontId="8" fillId="0" borderId="38" xfId="227" applyFont="1" applyBorder="1" applyAlignment="1">
      <alignment horizontal="center" vertical="center" wrapText="1"/>
    </xf>
    <xf numFmtId="0" fontId="8" fillId="0" borderId="29" xfId="180" applyFont="1" applyBorder="1" applyAlignment="1">
      <alignment horizontal="center"/>
    </xf>
    <xf numFmtId="0" fontId="0" fillId="0" borderId="0" xfId="0" applyFont="1" applyAlignment="1"/>
    <xf numFmtId="164" fontId="11" fillId="3" borderId="19" xfId="0" applyNumberFormat="1" applyFont="1" applyFill="1" applyBorder="1" applyAlignment="1">
      <alignment horizontal="center" vertical="center"/>
    </xf>
    <xf numFmtId="0" fontId="4" fillId="4" borderId="41" xfId="79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/>
    </xf>
    <xf numFmtId="0" fontId="8" fillId="0" borderId="37" xfId="204" applyFont="1" applyBorder="1" applyAlignment="1">
      <alignment horizontal="center"/>
    </xf>
    <xf numFmtId="0" fontId="13" fillId="0" borderId="40" xfId="0" applyFont="1" applyBorder="1" applyAlignment="1">
      <alignment horizontal="center" wrapText="1"/>
    </xf>
    <xf numFmtId="164" fontId="12" fillId="3" borderId="40" xfId="0" applyNumberFormat="1" applyFont="1" applyFill="1" applyBorder="1" applyAlignment="1">
      <alignment horizontal="center" vertical="center"/>
    </xf>
    <xf numFmtId="164" fontId="8" fillId="4" borderId="40" xfId="0" applyNumberFormat="1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13" fillId="0" borderId="38" xfId="191" applyFont="1" applyBorder="1" applyAlignment="1">
      <alignment horizontal="center" wrapText="1"/>
    </xf>
    <xf numFmtId="164" fontId="11" fillId="3" borderId="38" xfId="0" applyNumberFormat="1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horizontal="center" vertical="center" wrapText="1"/>
    </xf>
    <xf numFmtId="164" fontId="11" fillId="3" borderId="20" xfId="0" applyNumberFormat="1" applyFont="1" applyFill="1" applyBorder="1" applyAlignment="1">
      <alignment horizontal="center" vertical="center"/>
    </xf>
    <xf numFmtId="0" fontId="18" fillId="5" borderId="43" xfId="167" applyFont="1" applyFill="1" applyBorder="1" applyAlignment="1">
      <alignment horizontal="center" vertical="center"/>
    </xf>
    <xf numFmtId="0" fontId="18" fillId="5" borderId="42" xfId="167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164" fontId="11" fillId="3" borderId="29" xfId="0" applyNumberFormat="1" applyFont="1" applyFill="1" applyBorder="1" applyAlignment="1">
      <alignment horizontal="center" vertical="center"/>
    </xf>
    <xf numFmtId="164" fontId="8" fillId="4" borderId="29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8" fillId="0" borderId="40" xfId="16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59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59" xfId="0" applyFont="1" applyBorder="1" applyAlignment="1">
      <alignment vertical="center" wrapText="1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6" borderId="21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vertical="center" wrapText="1"/>
    </xf>
    <xf numFmtId="0" fontId="8" fillId="7" borderId="59" xfId="0" applyFont="1" applyFill="1" applyBorder="1" applyAlignment="1">
      <alignment horizontal="center" vertical="center" wrapText="1"/>
    </xf>
    <xf numFmtId="0" fontId="8" fillId="7" borderId="29" xfId="211" applyFont="1" applyFill="1" applyBorder="1" applyAlignment="1">
      <alignment horizontal="center" vertical="center" wrapText="1"/>
    </xf>
    <xf numFmtId="0" fontId="8" fillId="7" borderId="38" xfId="227" applyFont="1" applyFill="1" applyBorder="1" applyAlignment="1">
      <alignment horizontal="center" vertical="center" wrapText="1"/>
    </xf>
    <xf numFmtId="0" fontId="8" fillId="7" borderId="40" xfId="160" applyFont="1" applyFill="1" applyBorder="1" applyAlignment="1">
      <alignment horizontal="center" vertical="center" wrapText="1"/>
    </xf>
    <xf numFmtId="0" fontId="8" fillId="7" borderId="29" xfId="0" applyFont="1" applyFill="1" applyBorder="1" applyAlignment="1">
      <alignment horizontal="center" vertical="center" wrapText="1"/>
    </xf>
    <xf numFmtId="0" fontId="8" fillId="7" borderId="45" xfId="0" applyFont="1" applyFill="1" applyBorder="1" applyAlignment="1">
      <alignment horizontal="center" vertical="center" wrapText="1"/>
    </xf>
    <xf numFmtId="0" fontId="8" fillId="7" borderId="29" xfId="180" applyFont="1" applyFill="1" applyBorder="1" applyAlignment="1">
      <alignment horizontal="center"/>
    </xf>
    <xf numFmtId="0" fontId="8" fillId="7" borderId="37" xfId="204" applyFont="1" applyFill="1" applyBorder="1" applyAlignment="1">
      <alignment horizontal="center"/>
    </xf>
    <xf numFmtId="0" fontId="13" fillId="7" borderId="40" xfId="0" applyFont="1" applyFill="1" applyBorder="1" applyAlignment="1">
      <alignment horizontal="center" wrapText="1"/>
    </xf>
    <xf numFmtId="0" fontId="13" fillId="7" borderId="38" xfId="191" applyFont="1" applyFill="1" applyBorder="1" applyAlignment="1">
      <alignment horizontal="center" wrapText="1"/>
    </xf>
    <xf numFmtId="0" fontId="8" fillId="7" borderId="42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164" fontId="11" fillId="7" borderId="15" xfId="0" applyNumberFormat="1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 wrapText="1"/>
    </xf>
    <xf numFmtId="0" fontId="8" fillId="7" borderId="38" xfId="16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37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vertical="center" wrapText="1"/>
    </xf>
    <xf numFmtId="0" fontId="8" fillId="9" borderId="59" xfId="0" applyFont="1" applyFill="1" applyBorder="1" applyAlignment="1">
      <alignment horizontal="center" vertical="center" wrapText="1"/>
    </xf>
    <xf numFmtId="0" fontId="8" fillId="9" borderId="29" xfId="211" applyFont="1" applyFill="1" applyBorder="1" applyAlignment="1">
      <alignment horizontal="center" vertical="center" wrapText="1"/>
    </xf>
    <xf numFmtId="0" fontId="8" fillId="9" borderId="38" xfId="227" applyFont="1" applyFill="1" applyBorder="1" applyAlignment="1">
      <alignment horizontal="center" vertical="center" wrapText="1"/>
    </xf>
    <xf numFmtId="0" fontId="8" fillId="9" borderId="38" xfId="16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8" fillId="9" borderId="35" xfId="0" applyFont="1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center" vertical="center" wrapText="1"/>
    </xf>
    <xf numFmtId="0" fontId="8" fillId="9" borderId="29" xfId="180" applyFont="1" applyFill="1" applyBorder="1" applyAlignment="1">
      <alignment horizontal="center"/>
    </xf>
    <xf numFmtId="0" fontId="8" fillId="9" borderId="37" xfId="204" applyFont="1" applyFill="1" applyBorder="1" applyAlignment="1">
      <alignment horizontal="center"/>
    </xf>
    <xf numFmtId="0" fontId="13" fillId="9" borderId="40" xfId="0" applyFont="1" applyFill="1" applyBorder="1" applyAlignment="1">
      <alignment horizontal="center" wrapText="1"/>
    </xf>
    <xf numFmtId="0" fontId="13" fillId="9" borderId="38" xfId="191" applyFont="1" applyFill="1" applyBorder="1" applyAlignment="1">
      <alignment horizontal="center" wrapText="1"/>
    </xf>
    <xf numFmtId="0" fontId="8" fillId="9" borderId="42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164" fontId="11" fillId="9" borderId="15" xfId="0" applyNumberFormat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vertical="center" wrapText="1"/>
    </xf>
    <xf numFmtId="0" fontId="8" fillId="0" borderId="59" xfId="0" applyFont="1" applyFill="1" applyBorder="1" applyAlignment="1">
      <alignment horizontal="center" vertical="center" wrapText="1"/>
    </xf>
    <xf numFmtId="0" fontId="8" fillId="0" borderId="29" xfId="211" applyFont="1" applyFill="1" applyBorder="1" applyAlignment="1">
      <alignment horizontal="center" vertical="center" wrapText="1"/>
    </xf>
    <xf numFmtId="0" fontId="8" fillId="0" borderId="38" xfId="227" applyFont="1" applyFill="1" applyBorder="1" applyAlignment="1">
      <alignment horizontal="center" vertical="center" wrapText="1"/>
    </xf>
    <xf numFmtId="0" fontId="8" fillId="0" borderId="38" xfId="16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29" xfId="180" applyFont="1" applyFill="1" applyBorder="1" applyAlignment="1">
      <alignment horizontal="center"/>
    </xf>
    <xf numFmtId="0" fontId="8" fillId="0" borderId="37" xfId="204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wrapText="1"/>
    </xf>
    <xf numFmtId="0" fontId="13" fillId="0" borderId="38" xfId="191" applyFont="1" applyFill="1" applyBorder="1" applyAlignment="1">
      <alignment horizontal="center" wrapText="1"/>
    </xf>
    <xf numFmtId="0" fontId="13" fillId="0" borderId="29" xfId="0" applyFont="1" applyFill="1" applyBorder="1" applyAlignment="1">
      <alignment horizontal="center" vertical="center" wrapText="1"/>
    </xf>
    <xf numFmtId="0" fontId="22" fillId="0" borderId="59" xfId="0" applyFont="1" applyBorder="1" applyAlignment="1">
      <alignment vertical="center" wrapText="1"/>
    </xf>
    <xf numFmtId="0" fontId="8" fillId="0" borderId="60" xfId="0" applyFont="1" applyBorder="1" applyAlignment="1">
      <alignment horizontal="center" vertical="center" wrapText="1"/>
    </xf>
    <xf numFmtId="0" fontId="22" fillId="0" borderId="29" xfId="0" applyFont="1" applyBorder="1" applyAlignment="1">
      <alignment vertical="center" wrapText="1"/>
    </xf>
    <xf numFmtId="0" fontId="22" fillId="7" borderId="29" xfId="0" applyFont="1" applyFill="1" applyBorder="1" applyAlignment="1">
      <alignment vertical="center" wrapText="1"/>
    </xf>
    <xf numFmtId="0" fontId="4" fillId="0" borderId="61" xfId="0" applyFont="1" applyBorder="1" applyAlignment="1">
      <alignment vertical="center" wrapText="1"/>
    </xf>
    <xf numFmtId="0" fontId="4" fillId="0" borderId="62" xfId="0" applyFont="1" applyBorder="1" applyAlignment="1">
      <alignment horizontal="left" vertical="center" wrapText="1"/>
    </xf>
    <xf numFmtId="0" fontId="4" fillId="0" borderId="63" xfId="160" applyFont="1" applyBorder="1" applyAlignment="1">
      <alignment horizontal="left" vertical="center" wrapText="1"/>
    </xf>
    <xf numFmtId="0" fontId="4" fillId="0" borderId="62" xfId="0" applyFont="1" applyFill="1" applyBorder="1" applyAlignment="1">
      <alignment horizontal="left" vertical="center" wrapText="1"/>
    </xf>
    <xf numFmtId="0" fontId="4" fillId="0" borderId="62" xfId="211" applyFont="1" applyBorder="1" applyAlignment="1">
      <alignment horizontal="left" vertical="center" wrapText="1"/>
    </xf>
    <xf numFmtId="0" fontId="4" fillId="0" borderId="64" xfId="0" applyFont="1" applyBorder="1" applyAlignment="1">
      <alignment horizontal="left" vertical="center" wrapText="1"/>
    </xf>
    <xf numFmtId="0" fontId="4" fillId="0" borderId="65" xfId="0" applyFont="1" applyBorder="1" applyAlignment="1">
      <alignment horizontal="left" vertical="center" wrapText="1"/>
    </xf>
    <xf numFmtId="0" fontId="8" fillId="0" borderId="61" xfId="227" applyFont="1" applyBorder="1" applyAlignment="1">
      <alignment horizontal="left" vertical="center" wrapText="1"/>
    </xf>
    <xf numFmtId="0" fontId="4" fillId="0" borderId="66" xfId="0" applyFont="1" applyBorder="1" applyAlignment="1">
      <alignment horizontal="left" vertical="center" wrapText="1"/>
    </xf>
    <xf numFmtId="0" fontId="4" fillId="0" borderId="61" xfId="0" applyFont="1" applyFill="1" applyBorder="1" applyAlignment="1">
      <alignment horizontal="left" vertical="center" wrapText="1"/>
    </xf>
    <xf numFmtId="0" fontId="8" fillId="0" borderId="62" xfId="0" applyFont="1" applyBorder="1" applyAlignment="1">
      <alignment horizontal="left" vertical="center" wrapText="1"/>
    </xf>
    <xf numFmtId="0" fontId="4" fillId="0" borderId="67" xfId="0" applyFont="1" applyBorder="1" applyAlignment="1">
      <alignment horizontal="left" vertical="center" wrapText="1"/>
    </xf>
    <xf numFmtId="0" fontId="4" fillId="0" borderId="62" xfId="227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8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textRotation="90" wrapText="1"/>
    </xf>
    <xf numFmtId="0" fontId="3" fillId="0" borderId="0" xfId="0" applyFont="1" applyAlignment="1">
      <alignment horizontal="center"/>
    </xf>
    <xf numFmtId="0" fontId="4" fillId="0" borderId="29" xfId="0" applyFont="1" applyBorder="1" applyAlignment="1">
      <alignment horizontal="center" textRotation="90" wrapText="1"/>
    </xf>
    <xf numFmtId="0" fontId="5" fillId="0" borderId="29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0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3" xfId="0" applyFont="1" applyBorder="1"/>
    <xf numFmtId="0" fontId="8" fillId="0" borderId="25" xfId="0" applyFont="1" applyBorder="1" applyAlignment="1">
      <alignment horizontal="center" textRotation="90" wrapText="1"/>
    </xf>
    <xf numFmtId="0" fontId="5" fillId="0" borderId="44" xfId="0" applyFont="1" applyBorder="1"/>
    <xf numFmtId="0" fontId="5" fillId="0" borderId="19" xfId="0" applyFont="1" applyBorder="1"/>
    <xf numFmtId="0" fontId="4" fillId="0" borderId="27" xfId="0" applyFont="1" applyBorder="1" applyAlignment="1">
      <alignment horizontal="center" textRotation="90" wrapText="1"/>
    </xf>
    <xf numFmtId="0" fontId="5" fillId="0" borderId="27" xfId="0" applyFont="1" applyBorder="1"/>
    <xf numFmtId="0" fontId="5" fillId="0" borderId="20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4" xfId="0" applyFont="1" applyBorder="1"/>
    <xf numFmtId="0" fontId="4" fillId="0" borderId="50" xfId="0" applyFont="1" applyBorder="1" applyAlignment="1">
      <alignment horizontal="center" textRotation="90" wrapText="1"/>
    </xf>
    <xf numFmtId="0" fontId="4" fillId="0" borderId="51" xfId="0" applyFont="1" applyBorder="1" applyAlignment="1">
      <alignment horizontal="center" textRotation="90" wrapText="1"/>
    </xf>
    <xf numFmtId="0" fontId="4" fillId="0" borderId="52" xfId="0" applyFont="1" applyBorder="1" applyAlignment="1">
      <alignment horizontal="center" textRotation="90" wrapText="1"/>
    </xf>
    <xf numFmtId="0" fontId="4" fillId="0" borderId="46" xfId="0" applyFont="1" applyBorder="1" applyAlignment="1">
      <alignment horizontal="center" textRotation="90" wrapText="1"/>
    </xf>
    <xf numFmtId="0" fontId="4" fillId="0" borderId="39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20" fillId="2" borderId="47" xfId="0" applyFont="1" applyFill="1" applyBorder="1" applyAlignment="1">
      <alignment horizontal="center" vertical="center" textRotation="90" wrapText="1"/>
    </xf>
    <xf numFmtId="0" fontId="6" fillId="2" borderId="48" xfId="0" applyFont="1" applyFill="1" applyBorder="1" applyAlignment="1">
      <alignment horizontal="center" vertical="center" textRotation="90" wrapText="1"/>
    </xf>
    <xf numFmtId="0" fontId="6" fillId="2" borderId="49" xfId="0" applyFont="1" applyFill="1" applyBorder="1" applyAlignment="1">
      <alignment horizontal="center" vertical="center" textRotation="90" wrapText="1"/>
    </xf>
    <xf numFmtId="0" fontId="20" fillId="0" borderId="46" xfId="0" applyFont="1" applyBorder="1" applyAlignment="1">
      <alignment horizontal="center" vertical="center" textRotation="90" wrapText="1"/>
    </xf>
    <xf numFmtId="0" fontId="20" fillId="0" borderId="39" xfId="0" applyFont="1" applyBorder="1" applyAlignment="1">
      <alignment horizontal="center" vertical="center" textRotation="90" wrapText="1"/>
    </xf>
    <xf numFmtId="0" fontId="20" fillId="0" borderId="57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textRotation="90" wrapText="1"/>
    </xf>
    <xf numFmtId="0" fontId="8" fillId="0" borderId="5" xfId="0" applyFont="1" applyBorder="1" applyAlignment="1">
      <alignment horizontal="center" textRotation="90" wrapText="1"/>
    </xf>
    <xf numFmtId="0" fontId="8" fillId="0" borderId="33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1" xfId="0" applyFont="1" applyBorder="1" applyAlignment="1">
      <alignment horizontal="center" textRotation="90" wrapText="1"/>
    </xf>
    <xf numFmtId="0" fontId="4" fillId="0" borderId="53" xfId="0" applyFont="1" applyBorder="1" applyAlignment="1">
      <alignment horizontal="center" textRotation="90" wrapText="1"/>
    </xf>
    <xf numFmtId="0" fontId="4" fillId="0" borderId="30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31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4" fillId="0" borderId="25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50" xfId="0" applyFont="1" applyBorder="1" applyAlignment="1">
      <alignment horizontal="center" textRotation="90" wrapText="1"/>
    </xf>
    <xf numFmtId="0" fontId="8" fillId="0" borderId="51" xfId="0" applyFont="1" applyBorder="1" applyAlignment="1">
      <alignment horizontal="center" textRotation="90" wrapText="1"/>
    </xf>
    <xf numFmtId="0" fontId="8" fillId="0" borderId="58" xfId="0" applyFont="1" applyBorder="1" applyAlignment="1">
      <alignment horizontal="center" textRotation="90" wrapText="1"/>
    </xf>
    <xf numFmtId="0" fontId="4" fillId="0" borderId="57" xfId="0" applyFont="1" applyBorder="1" applyAlignment="1">
      <alignment horizontal="center" textRotation="90" wrapText="1"/>
    </xf>
    <xf numFmtId="0" fontId="4" fillId="0" borderId="54" xfId="0" applyFont="1" applyBorder="1" applyAlignment="1">
      <alignment horizontal="center" textRotation="90" wrapText="1"/>
    </xf>
    <xf numFmtId="0" fontId="4" fillId="0" borderId="55" xfId="0" applyFont="1" applyBorder="1" applyAlignment="1">
      <alignment horizontal="center" textRotation="90" wrapText="1"/>
    </xf>
    <xf numFmtId="0" fontId="4" fillId="0" borderId="56" xfId="0" applyFont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6"/>
  <sheetViews>
    <sheetView tabSelected="1" topLeftCell="A10" workbookViewId="0">
      <selection activeCell="L14" sqref="L14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34" t="s">
        <v>18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"/>
      <c r="Q1" s="1"/>
      <c r="R1" s="1"/>
    </row>
    <row r="2" spans="1:18" ht="15" customHeight="1">
      <c r="A2" s="134" t="s">
        <v>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"/>
      <c r="Q2" s="1"/>
      <c r="R2" s="1"/>
    </row>
    <row r="3" spans="1:18" ht="15" customHeight="1">
      <c r="A3" s="146" t="s">
        <v>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"/>
      <c r="Q3" s="1"/>
      <c r="R3" s="1"/>
    </row>
    <row r="4" spans="1:18" ht="15" customHeight="1">
      <c r="A4" s="134" t="s">
        <v>63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"/>
      <c r="Q4" s="1"/>
      <c r="R4" s="1"/>
    </row>
    <row r="5" spans="1:18" ht="15" customHeight="1">
      <c r="A5" s="134" t="s">
        <v>19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"/>
      <c r="Q5" s="1"/>
      <c r="R5" s="1"/>
    </row>
    <row r="6" spans="1:18" ht="15" customHeight="1">
      <c r="A6" s="134" t="s">
        <v>64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"/>
      <c r="Q6" s="1"/>
      <c r="R6" s="1"/>
    </row>
    <row r="7" spans="1:18" ht="15" customHeight="1">
      <c r="A7" s="136" t="s">
        <v>2</v>
      </c>
      <c r="B7" s="139" t="s">
        <v>3</v>
      </c>
      <c r="C7" s="139" t="s">
        <v>4</v>
      </c>
      <c r="D7" s="140" t="s">
        <v>20</v>
      </c>
      <c r="E7" s="141"/>
      <c r="F7" s="141"/>
      <c r="G7" s="141"/>
      <c r="H7" s="142"/>
      <c r="I7" s="141"/>
      <c r="J7" s="141"/>
      <c r="K7" s="141"/>
      <c r="L7" s="141"/>
      <c r="M7" s="141"/>
      <c r="N7" s="141"/>
      <c r="O7" s="141"/>
      <c r="P7" s="141"/>
      <c r="Q7" s="142"/>
      <c r="R7" s="143"/>
    </row>
    <row r="8" spans="1:18" ht="15" customHeight="1">
      <c r="A8" s="137"/>
      <c r="B8" s="137"/>
      <c r="C8" s="137"/>
      <c r="D8" s="144" t="s">
        <v>11</v>
      </c>
      <c r="E8" s="145" t="s">
        <v>86</v>
      </c>
      <c r="F8" s="145" t="s">
        <v>91</v>
      </c>
      <c r="G8" s="157" t="s">
        <v>58</v>
      </c>
      <c r="H8" s="147" t="s">
        <v>12</v>
      </c>
      <c r="I8" s="152" t="s">
        <v>65</v>
      </c>
      <c r="J8" s="154" t="s">
        <v>13</v>
      </c>
      <c r="K8" s="163" t="s">
        <v>14</v>
      </c>
      <c r="L8" s="145" t="s">
        <v>66</v>
      </c>
      <c r="M8" s="145" t="s">
        <v>61</v>
      </c>
      <c r="N8" s="145" t="s">
        <v>92</v>
      </c>
      <c r="O8" s="145" t="s">
        <v>88</v>
      </c>
      <c r="P8" s="160" t="s">
        <v>93</v>
      </c>
      <c r="Q8" s="147" t="s">
        <v>94</v>
      </c>
      <c r="R8" s="149" t="s">
        <v>5</v>
      </c>
    </row>
    <row r="9" spans="1:18" ht="15" customHeight="1">
      <c r="A9" s="137"/>
      <c r="B9" s="137"/>
      <c r="C9" s="137"/>
      <c r="D9" s="137"/>
      <c r="E9" s="137"/>
      <c r="F9" s="137"/>
      <c r="G9" s="158"/>
      <c r="H9" s="148"/>
      <c r="I9" s="153"/>
      <c r="J9" s="155"/>
      <c r="K9" s="164"/>
      <c r="L9" s="137"/>
      <c r="M9" s="137"/>
      <c r="N9" s="137"/>
      <c r="O9" s="137"/>
      <c r="P9" s="161"/>
      <c r="Q9" s="148"/>
      <c r="R9" s="150"/>
    </row>
    <row r="10" spans="1:18" ht="85.5" customHeight="1">
      <c r="A10" s="138"/>
      <c r="B10" s="138"/>
      <c r="C10" s="137"/>
      <c r="D10" s="138"/>
      <c r="E10" s="138"/>
      <c r="F10" s="138"/>
      <c r="G10" s="159"/>
      <c r="H10" s="148"/>
      <c r="I10" s="153"/>
      <c r="J10" s="156"/>
      <c r="K10" s="165"/>
      <c r="L10" s="138"/>
      <c r="M10" s="138"/>
      <c r="N10" s="137"/>
      <c r="O10" s="137"/>
      <c r="P10" s="162"/>
      <c r="Q10" s="148"/>
      <c r="R10" s="151"/>
    </row>
    <row r="11" spans="1:18" ht="15" customHeight="1">
      <c r="A11" s="62" t="s">
        <v>96</v>
      </c>
      <c r="B11" s="52">
        <v>1</v>
      </c>
      <c r="C11" s="59" t="s">
        <v>30</v>
      </c>
      <c r="D11" s="57">
        <v>5</v>
      </c>
      <c r="E11" s="24">
        <v>4</v>
      </c>
      <c r="F11" s="128">
        <v>2</v>
      </c>
      <c r="G11" s="50">
        <v>4</v>
      </c>
      <c r="H11" s="16">
        <v>5</v>
      </c>
      <c r="I11" s="129" t="s">
        <v>109</v>
      </c>
      <c r="J11" s="16">
        <v>5</v>
      </c>
      <c r="K11" s="121" t="s">
        <v>100</v>
      </c>
      <c r="L11" s="26">
        <v>7</v>
      </c>
      <c r="M11" s="31">
        <v>5</v>
      </c>
      <c r="N11" s="33">
        <v>4</v>
      </c>
      <c r="O11" s="37">
        <v>5</v>
      </c>
      <c r="P11" s="130" t="s">
        <v>104</v>
      </c>
      <c r="Q11" s="16">
        <v>4</v>
      </c>
      <c r="R11" s="10" t="s">
        <v>97</v>
      </c>
    </row>
    <row r="12" spans="1:18" ht="15" customHeight="1">
      <c r="A12" s="53" t="s">
        <v>95</v>
      </c>
      <c r="B12" s="53">
        <v>2</v>
      </c>
      <c r="C12" s="60" t="s">
        <v>31</v>
      </c>
      <c r="D12" s="57">
        <v>7</v>
      </c>
      <c r="E12" s="24">
        <v>4</v>
      </c>
      <c r="F12" s="133" t="s">
        <v>112</v>
      </c>
      <c r="G12" s="50">
        <v>4</v>
      </c>
      <c r="H12" s="16">
        <v>5</v>
      </c>
      <c r="I12" s="127" t="s">
        <v>109</v>
      </c>
      <c r="J12" s="16">
        <v>4</v>
      </c>
      <c r="K12" s="16">
        <v>5</v>
      </c>
      <c r="L12" s="26">
        <v>6</v>
      </c>
      <c r="M12" s="32">
        <v>10</v>
      </c>
      <c r="N12" s="33">
        <v>4</v>
      </c>
      <c r="O12" s="37">
        <v>7</v>
      </c>
      <c r="P12" s="40">
        <v>6</v>
      </c>
      <c r="Q12" s="46">
        <v>6</v>
      </c>
      <c r="R12" s="10" t="s">
        <v>97</v>
      </c>
    </row>
    <row r="13" spans="1:18" ht="15" customHeight="1">
      <c r="A13" s="53" t="s">
        <v>96</v>
      </c>
      <c r="B13" s="53">
        <v>3</v>
      </c>
      <c r="C13" s="60" t="s">
        <v>32</v>
      </c>
      <c r="D13" s="57">
        <v>6</v>
      </c>
      <c r="E13" s="24">
        <v>6</v>
      </c>
      <c r="F13" s="25">
        <v>5</v>
      </c>
      <c r="G13" s="22">
        <v>4</v>
      </c>
      <c r="H13" s="23">
        <v>6</v>
      </c>
      <c r="I13" s="21">
        <v>7</v>
      </c>
      <c r="J13" s="16">
        <v>7</v>
      </c>
      <c r="K13" s="16">
        <v>5</v>
      </c>
      <c r="L13" s="26">
        <v>7</v>
      </c>
      <c r="M13" s="32">
        <v>5</v>
      </c>
      <c r="N13" s="33">
        <v>5</v>
      </c>
      <c r="O13" s="37">
        <v>7</v>
      </c>
      <c r="P13" s="40">
        <v>6</v>
      </c>
      <c r="Q13" s="46">
        <v>8</v>
      </c>
      <c r="R13" s="10" t="s">
        <v>97</v>
      </c>
    </row>
    <row r="14" spans="1:18" ht="15" customHeight="1">
      <c r="A14" s="53" t="s">
        <v>95</v>
      </c>
      <c r="B14" s="53">
        <v>4</v>
      </c>
      <c r="C14" s="60" t="s">
        <v>33</v>
      </c>
      <c r="D14" s="57">
        <v>5</v>
      </c>
      <c r="E14" s="24">
        <v>7</v>
      </c>
      <c r="F14" s="25">
        <v>4</v>
      </c>
      <c r="G14" s="22">
        <v>5</v>
      </c>
      <c r="H14" s="12">
        <v>6</v>
      </c>
      <c r="I14" s="21">
        <v>7</v>
      </c>
      <c r="J14" s="16">
        <v>8</v>
      </c>
      <c r="K14" s="16">
        <v>4</v>
      </c>
      <c r="L14" s="26">
        <v>8</v>
      </c>
      <c r="M14" s="32">
        <v>8</v>
      </c>
      <c r="N14" s="33">
        <v>5</v>
      </c>
      <c r="O14" s="37">
        <v>8</v>
      </c>
      <c r="P14" s="40">
        <v>7</v>
      </c>
      <c r="Q14" s="46">
        <v>9</v>
      </c>
      <c r="R14" s="10">
        <f t="shared" ref="R14:R24" si="0">AVERAGE(D14:Q14)</f>
        <v>6.5</v>
      </c>
    </row>
    <row r="15" spans="1:18" ht="15" customHeight="1">
      <c r="A15" s="53" t="s">
        <v>95</v>
      </c>
      <c r="B15" s="53">
        <v>5</v>
      </c>
      <c r="C15" s="60" t="s">
        <v>34</v>
      </c>
      <c r="D15" s="57">
        <v>8</v>
      </c>
      <c r="E15" s="24">
        <v>9</v>
      </c>
      <c r="F15" s="25">
        <v>6</v>
      </c>
      <c r="G15" s="22">
        <v>8</v>
      </c>
      <c r="H15" s="12">
        <v>7</v>
      </c>
      <c r="I15" s="21">
        <v>10</v>
      </c>
      <c r="J15" s="16">
        <v>9</v>
      </c>
      <c r="K15" s="16">
        <v>8</v>
      </c>
      <c r="L15" s="26">
        <v>9</v>
      </c>
      <c r="M15" s="32">
        <v>9</v>
      </c>
      <c r="N15" s="33">
        <v>8</v>
      </c>
      <c r="O15" s="37">
        <v>9</v>
      </c>
      <c r="P15" s="40">
        <v>8</v>
      </c>
      <c r="Q15" s="46">
        <v>10</v>
      </c>
      <c r="R15" s="10">
        <f t="shared" si="0"/>
        <v>8.4285714285714288</v>
      </c>
    </row>
    <row r="16" spans="1:18" ht="15" customHeight="1">
      <c r="A16" s="53" t="s">
        <v>95</v>
      </c>
      <c r="B16" s="53">
        <v>6</v>
      </c>
      <c r="C16" s="60" t="s">
        <v>35</v>
      </c>
      <c r="D16" s="57">
        <v>5</v>
      </c>
      <c r="E16" s="24">
        <v>9</v>
      </c>
      <c r="F16" s="25">
        <v>8</v>
      </c>
      <c r="G16" s="22">
        <v>7</v>
      </c>
      <c r="H16" s="12">
        <v>8</v>
      </c>
      <c r="I16" s="21">
        <v>6</v>
      </c>
      <c r="J16" s="16">
        <v>8</v>
      </c>
      <c r="K16" s="16">
        <v>10</v>
      </c>
      <c r="L16" s="26">
        <v>8</v>
      </c>
      <c r="M16" s="32">
        <v>7</v>
      </c>
      <c r="N16" s="33">
        <v>8</v>
      </c>
      <c r="O16" s="37">
        <v>7</v>
      </c>
      <c r="P16" s="40">
        <v>6</v>
      </c>
      <c r="Q16" s="46">
        <v>8</v>
      </c>
      <c r="R16" s="10">
        <f t="shared" si="0"/>
        <v>7.5</v>
      </c>
    </row>
    <row r="17" spans="1:18" ht="15" customHeight="1">
      <c r="A17" s="53" t="s">
        <v>95</v>
      </c>
      <c r="B17" s="53">
        <v>7</v>
      </c>
      <c r="C17" s="60" t="s">
        <v>36</v>
      </c>
      <c r="D17" s="57">
        <v>10</v>
      </c>
      <c r="E17" s="24">
        <v>10</v>
      </c>
      <c r="F17" s="25">
        <v>9</v>
      </c>
      <c r="G17" s="22">
        <v>9</v>
      </c>
      <c r="H17" s="12">
        <v>8</v>
      </c>
      <c r="I17" s="21">
        <v>10</v>
      </c>
      <c r="J17" s="16">
        <v>10</v>
      </c>
      <c r="K17" s="16">
        <v>9</v>
      </c>
      <c r="L17" s="26">
        <v>8</v>
      </c>
      <c r="M17" s="32">
        <v>8</v>
      </c>
      <c r="N17" s="33">
        <v>8</v>
      </c>
      <c r="O17" s="37">
        <v>10</v>
      </c>
      <c r="P17" s="40">
        <v>8</v>
      </c>
      <c r="Q17" s="46">
        <v>11</v>
      </c>
      <c r="R17" s="10">
        <f t="shared" si="0"/>
        <v>9.1428571428571423</v>
      </c>
    </row>
    <row r="18" spans="1:18" ht="15" customHeight="1">
      <c r="A18" s="53" t="s">
        <v>95</v>
      </c>
      <c r="B18" s="53">
        <v>8</v>
      </c>
      <c r="C18" s="60" t="s">
        <v>37</v>
      </c>
      <c r="D18" s="57">
        <v>6</v>
      </c>
      <c r="E18" s="24">
        <v>9</v>
      </c>
      <c r="F18" s="25">
        <v>7</v>
      </c>
      <c r="G18" s="22">
        <v>7</v>
      </c>
      <c r="H18" s="12">
        <v>7</v>
      </c>
      <c r="I18" s="21">
        <v>6</v>
      </c>
      <c r="J18" s="16">
        <v>8</v>
      </c>
      <c r="K18" s="16">
        <v>6</v>
      </c>
      <c r="L18" s="26">
        <v>7</v>
      </c>
      <c r="M18" s="32">
        <v>10</v>
      </c>
      <c r="N18" s="33">
        <v>9</v>
      </c>
      <c r="O18" s="37">
        <v>9</v>
      </c>
      <c r="P18" s="40">
        <v>8</v>
      </c>
      <c r="Q18" s="46">
        <v>8</v>
      </c>
      <c r="R18" s="10">
        <f t="shared" si="0"/>
        <v>7.6428571428571432</v>
      </c>
    </row>
    <row r="19" spans="1:18" ht="15" customHeight="1">
      <c r="A19" s="53" t="s">
        <v>95</v>
      </c>
      <c r="B19" s="53">
        <v>9</v>
      </c>
      <c r="C19" s="60" t="s">
        <v>38</v>
      </c>
      <c r="D19" s="57">
        <v>6</v>
      </c>
      <c r="E19" s="24">
        <v>6</v>
      </c>
      <c r="F19" s="25">
        <v>7</v>
      </c>
      <c r="G19" s="22">
        <v>4</v>
      </c>
      <c r="H19" s="12">
        <v>6</v>
      </c>
      <c r="I19" s="21">
        <v>6</v>
      </c>
      <c r="J19" s="16">
        <v>8</v>
      </c>
      <c r="K19" s="16">
        <v>5</v>
      </c>
      <c r="L19" s="26">
        <v>7</v>
      </c>
      <c r="M19" s="32">
        <v>9</v>
      </c>
      <c r="N19" s="33">
        <v>6</v>
      </c>
      <c r="O19" s="37">
        <v>7</v>
      </c>
      <c r="P19" s="40">
        <v>7</v>
      </c>
      <c r="Q19" s="46">
        <v>7</v>
      </c>
      <c r="R19" s="10">
        <f t="shared" si="0"/>
        <v>6.5</v>
      </c>
    </row>
    <row r="20" spans="1:18" ht="15.75" customHeight="1">
      <c r="A20" s="53" t="s">
        <v>95</v>
      </c>
      <c r="B20" s="53">
        <v>10</v>
      </c>
      <c r="C20" s="60" t="s">
        <v>39</v>
      </c>
      <c r="D20" s="122" t="s">
        <v>101</v>
      </c>
      <c r="E20" s="122" t="s">
        <v>111</v>
      </c>
      <c r="F20" s="133" t="s">
        <v>110</v>
      </c>
      <c r="G20" s="123" t="s">
        <v>102</v>
      </c>
      <c r="H20" s="12">
        <v>4</v>
      </c>
      <c r="I20" s="132" t="s">
        <v>109</v>
      </c>
      <c r="J20" s="16">
        <v>6</v>
      </c>
      <c r="K20" s="131" t="s">
        <v>80</v>
      </c>
      <c r="L20" s="26">
        <v>6</v>
      </c>
      <c r="M20" s="32">
        <v>6</v>
      </c>
      <c r="N20" s="33">
        <v>4</v>
      </c>
      <c r="O20" s="37">
        <v>7</v>
      </c>
      <c r="P20" s="124" t="s">
        <v>103</v>
      </c>
      <c r="Q20" s="46">
        <v>4</v>
      </c>
      <c r="R20" s="10" t="s">
        <v>97</v>
      </c>
    </row>
    <row r="21" spans="1:18" ht="15.75" customHeight="1">
      <c r="A21" s="53" t="s">
        <v>95</v>
      </c>
      <c r="B21" s="53">
        <v>11</v>
      </c>
      <c r="C21" s="60" t="s">
        <v>40</v>
      </c>
      <c r="D21" s="57">
        <v>8</v>
      </c>
      <c r="E21" s="24">
        <v>7</v>
      </c>
      <c r="F21" s="25">
        <v>8</v>
      </c>
      <c r="G21" s="22">
        <v>7</v>
      </c>
      <c r="H21" s="12">
        <v>7</v>
      </c>
      <c r="I21" s="21">
        <v>10</v>
      </c>
      <c r="J21" s="16">
        <v>7</v>
      </c>
      <c r="K21" s="16">
        <v>10</v>
      </c>
      <c r="L21" s="26">
        <v>9</v>
      </c>
      <c r="M21" s="32">
        <v>9</v>
      </c>
      <c r="N21" s="33">
        <v>7</v>
      </c>
      <c r="O21" s="37">
        <v>10</v>
      </c>
      <c r="P21" s="40">
        <v>7</v>
      </c>
      <c r="Q21" s="46">
        <v>10</v>
      </c>
      <c r="R21" s="10">
        <f t="shared" si="0"/>
        <v>8.2857142857142865</v>
      </c>
    </row>
    <row r="22" spans="1:18" ht="15.75" customHeight="1">
      <c r="A22" s="53" t="s">
        <v>95</v>
      </c>
      <c r="B22" s="53">
        <v>12</v>
      </c>
      <c r="C22" s="60" t="s">
        <v>41</v>
      </c>
      <c r="D22" s="57">
        <v>8</v>
      </c>
      <c r="E22" s="24">
        <v>9</v>
      </c>
      <c r="F22" s="25">
        <v>9</v>
      </c>
      <c r="G22" s="22">
        <v>8</v>
      </c>
      <c r="H22" s="12">
        <v>7</v>
      </c>
      <c r="I22" s="21">
        <v>10</v>
      </c>
      <c r="J22" s="16">
        <v>9</v>
      </c>
      <c r="K22" s="16">
        <v>10</v>
      </c>
      <c r="L22" s="26">
        <v>10</v>
      </c>
      <c r="M22" s="32">
        <v>9</v>
      </c>
      <c r="N22" s="33">
        <v>9</v>
      </c>
      <c r="O22" s="37">
        <v>10</v>
      </c>
      <c r="P22" s="40">
        <v>8</v>
      </c>
      <c r="Q22" s="46">
        <v>9</v>
      </c>
      <c r="R22" s="10">
        <f t="shared" si="0"/>
        <v>8.9285714285714288</v>
      </c>
    </row>
    <row r="23" spans="1:18" ht="15.75" customHeight="1">
      <c r="A23" s="53" t="s">
        <v>95</v>
      </c>
      <c r="B23" s="53">
        <v>13</v>
      </c>
      <c r="C23" s="60" t="s">
        <v>42</v>
      </c>
      <c r="D23" s="57">
        <v>6</v>
      </c>
      <c r="E23" s="24">
        <v>6</v>
      </c>
      <c r="F23" s="25">
        <v>4</v>
      </c>
      <c r="G23" s="123" t="s">
        <v>102</v>
      </c>
      <c r="H23" s="12">
        <v>4</v>
      </c>
      <c r="I23" s="118">
        <v>7</v>
      </c>
      <c r="J23" s="16">
        <v>4</v>
      </c>
      <c r="K23" s="16">
        <v>4</v>
      </c>
      <c r="L23" s="26">
        <v>7</v>
      </c>
      <c r="M23" s="32">
        <v>6</v>
      </c>
      <c r="N23" s="33">
        <v>7</v>
      </c>
      <c r="O23" s="37">
        <v>8</v>
      </c>
      <c r="P23" s="40">
        <v>5</v>
      </c>
      <c r="Q23" s="46">
        <v>7</v>
      </c>
      <c r="R23" s="10" t="s">
        <v>97</v>
      </c>
    </row>
    <row r="24" spans="1:18" ht="15.75" customHeight="1">
      <c r="A24" s="1"/>
      <c r="B24" s="1"/>
      <c r="C24" s="4" t="s">
        <v>6</v>
      </c>
      <c r="D24" s="10">
        <f t="shared" ref="D24:Q24" si="1">AVERAGE(D11:D23)</f>
        <v>6.666666666666667</v>
      </c>
      <c r="E24" s="10">
        <f t="shared" si="1"/>
        <v>7.166666666666667</v>
      </c>
      <c r="F24" s="10">
        <f t="shared" si="1"/>
        <v>6.2727272727272725</v>
      </c>
      <c r="G24" s="10">
        <f t="shared" si="1"/>
        <v>6.0909090909090908</v>
      </c>
      <c r="H24" s="10">
        <f t="shared" si="1"/>
        <v>6.1538461538461542</v>
      </c>
      <c r="I24" s="10">
        <f t="shared" si="1"/>
        <v>7.9</v>
      </c>
      <c r="J24" s="10">
        <f t="shared" si="1"/>
        <v>7.1538461538461542</v>
      </c>
      <c r="K24" s="10">
        <f t="shared" si="1"/>
        <v>6.9090909090909092</v>
      </c>
      <c r="L24" s="10">
        <f t="shared" si="1"/>
        <v>7.615384615384615</v>
      </c>
      <c r="M24" s="28">
        <f t="shared" si="1"/>
        <v>7.7692307692307692</v>
      </c>
      <c r="N24" s="34">
        <f t="shared" si="1"/>
        <v>6.4615384615384617</v>
      </c>
      <c r="O24" s="38">
        <f t="shared" si="1"/>
        <v>8</v>
      </c>
      <c r="P24" s="41">
        <f t="shared" si="1"/>
        <v>6.9090909090909092</v>
      </c>
      <c r="Q24" s="47">
        <f t="shared" si="1"/>
        <v>7.7692307692307692</v>
      </c>
      <c r="R24" s="10">
        <f t="shared" si="0"/>
        <v>7.0598734598734598</v>
      </c>
    </row>
    <row r="25" spans="1:18" ht="15.75" customHeight="1">
      <c r="A25" s="1"/>
      <c r="B25" s="1"/>
      <c r="C25" s="5" t="s">
        <v>7</v>
      </c>
      <c r="D25" s="14">
        <v>92.3</v>
      </c>
      <c r="E25" s="18">
        <v>92</v>
      </c>
      <c r="F25" s="18">
        <v>77</v>
      </c>
      <c r="G25" s="18">
        <v>97</v>
      </c>
      <c r="H25" s="14">
        <v>100</v>
      </c>
      <c r="I25" s="18">
        <v>76.900000000000006</v>
      </c>
      <c r="J25" s="14">
        <v>100</v>
      </c>
      <c r="K25" s="18">
        <v>84</v>
      </c>
      <c r="L25" s="18">
        <v>100</v>
      </c>
      <c r="M25" s="29">
        <v>100</v>
      </c>
      <c r="N25" s="35">
        <v>100</v>
      </c>
      <c r="O25" s="39">
        <v>100</v>
      </c>
      <c r="P25" s="42">
        <v>84.6</v>
      </c>
      <c r="Q25" s="48">
        <v>100</v>
      </c>
      <c r="R25" s="45"/>
    </row>
    <row r="26" spans="1:18" ht="15.75" customHeight="1">
      <c r="A26" s="1"/>
      <c r="B26" s="1"/>
      <c r="C26" s="6" t="s">
        <v>8</v>
      </c>
      <c r="D26" s="15">
        <v>41.6</v>
      </c>
      <c r="E26" s="17">
        <v>47</v>
      </c>
      <c r="F26" s="15">
        <v>38</v>
      </c>
      <c r="G26" s="15">
        <v>46</v>
      </c>
      <c r="H26" s="11">
        <v>46</v>
      </c>
      <c r="I26" s="19">
        <v>53.8</v>
      </c>
      <c r="J26" s="13">
        <v>69.2</v>
      </c>
      <c r="K26" s="15">
        <v>41</v>
      </c>
      <c r="L26" s="15">
        <v>85</v>
      </c>
      <c r="M26" s="30">
        <v>69</v>
      </c>
      <c r="N26" s="36">
        <v>54</v>
      </c>
      <c r="O26" s="39">
        <v>92</v>
      </c>
      <c r="P26" s="43" t="s">
        <v>84</v>
      </c>
      <c r="Q26" s="49">
        <v>76</v>
      </c>
      <c r="R26" s="45"/>
    </row>
    <row r="27" spans="1:18" ht="15.75" customHeight="1">
      <c r="A27" s="1"/>
      <c r="B27" s="1"/>
      <c r="C27" s="6" t="s">
        <v>9</v>
      </c>
      <c r="D27" s="10">
        <f>AVERAGE(D25:Q25)</f>
        <v>93.128571428571419</v>
      </c>
      <c r="E27" s="7"/>
      <c r="F27" s="7"/>
      <c r="G27" s="7"/>
      <c r="H27" s="7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1:18" ht="15.75" customHeight="1">
      <c r="A28" s="1"/>
      <c r="B28" s="1"/>
      <c r="C28" s="6" t="s">
        <v>10</v>
      </c>
      <c r="D28" s="10">
        <f>AVERAGE(D26:Q26)</f>
        <v>58.353846153846149</v>
      </c>
      <c r="E28" s="7"/>
      <c r="F28" s="7"/>
      <c r="G28" s="7"/>
      <c r="H28" s="7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ht="15.75" customHeight="1">
      <c r="C29" s="6" t="s">
        <v>21</v>
      </c>
      <c r="D29" s="20">
        <v>11</v>
      </c>
    </row>
    <row r="30" spans="1:18" s="63" customFormat="1" ht="15.75" customHeight="1">
      <c r="C30" s="6" t="s">
        <v>99</v>
      </c>
      <c r="D30" s="20">
        <v>2</v>
      </c>
    </row>
    <row r="31" spans="1:18" ht="15.75" customHeight="1">
      <c r="C31" s="6" t="s">
        <v>22</v>
      </c>
      <c r="D31" s="20">
        <v>0</v>
      </c>
    </row>
    <row r="32" spans="1:18" ht="15.75" customHeight="1">
      <c r="C32" s="6" t="s">
        <v>23</v>
      </c>
      <c r="D32" s="20">
        <v>4</v>
      </c>
    </row>
    <row r="33" spans="5:11" ht="15.75" customHeight="1"/>
    <row r="34" spans="5:11" ht="15.75" customHeight="1">
      <c r="G34" s="27"/>
      <c r="H34" s="27"/>
    </row>
    <row r="35" spans="5:11" ht="15.75" customHeight="1"/>
    <row r="36" spans="5:11" ht="15.75" customHeight="1">
      <c r="E36" s="54"/>
      <c r="F36" s="54"/>
      <c r="G36" s="54"/>
    </row>
    <row r="37" spans="5:11" ht="15.75" customHeight="1">
      <c r="E37" s="55" t="s">
        <v>24</v>
      </c>
      <c r="F37" s="55"/>
      <c r="G37" s="55"/>
      <c r="H37" s="56"/>
      <c r="I37" s="56"/>
      <c r="J37" s="55" t="s">
        <v>56</v>
      </c>
      <c r="K37" s="55"/>
    </row>
    <row r="38" spans="5:11" ht="15.75" customHeight="1"/>
    <row r="39" spans="5:11" ht="15.75" customHeight="1">
      <c r="E39" s="55" t="s">
        <v>25</v>
      </c>
      <c r="F39" s="55"/>
      <c r="G39" s="55"/>
      <c r="H39" s="55"/>
      <c r="I39" s="55"/>
      <c r="J39" s="55" t="s">
        <v>26</v>
      </c>
      <c r="K39" s="55"/>
    </row>
    <row r="40" spans="5:11" ht="15.75" customHeight="1"/>
    <row r="41" spans="5:11" ht="15.75" customHeight="1"/>
    <row r="42" spans="5:11" ht="15.75" customHeight="1"/>
    <row r="43" spans="5:11" ht="15.75" customHeight="1"/>
    <row r="44" spans="5:11" ht="15.75" customHeight="1"/>
    <row r="45" spans="5:11" ht="15.75" customHeight="1"/>
    <row r="46" spans="5:11" ht="15.75" customHeight="1"/>
    <row r="47" spans="5:11" ht="15.75" customHeight="1"/>
    <row r="48" spans="5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25"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  <mergeCell ref="Q8:Q10"/>
    <mergeCell ref="R8:R10"/>
    <mergeCell ref="I8:I10"/>
    <mergeCell ref="J8:J10"/>
    <mergeCell ref="F8:F10"/>
    <mergeCell ref="G8:G10"/>
    <mergeCell ref="H8:H10"/>
    <mergeCell ref="O8:O10"/>
    <mergeCell ref="P8:P10"/>
  </mergeCells>
  <pageMargins left="0.7" right="0.7" top="0.75" bottom="0.75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8"/>
  <sheetViews>
    <sheetView topLeftCell="A4" zoomScale="85" zoomScaleNormal="85" workbookViewId="0">
      <selection activeCell="C18" sqref="C18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27" customWidth="1"/>
    <col min="19" max="19" width="11.28515625" customWidth="1"/>
  </cols>
  <sheetData>
    <row r="1" spans="1:19" ht="15" customHeight="1">
      <c r="A1" s="134" t="s">
        <v>18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"/>
      <c r="Q1" s="1"/>
      <c r="R1" s="1"/>
      <c r="S1" s="1"/>
    </row>
    <row r="2" spans="1:19" ht="15" customHeight="1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"/>
      <c r="Q2" s="1"/>
      <c r="R2" s="1"/>
      <c r="S2" s="1"/>
    </row>
    <row r="3" spans="1:19" ht="15" customHeight="1">
      <c r="A3" s="191" t="s">
        <v>29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"/>
      <c r="Q3" s="1"/>
      <c r="R3" s="1"/>
      <c r="S3" s="1"/>
    </row>
    <row r="4" spans="1:19" ht="15" customHeight="1">
      <c r="A4" s="134" t="s">
        <v>67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"/>
      <c r="Q4" s="1"/>
      <c r="R4" s="1"/>
      <c r="S4" s="1"/>
    </row>
    <row r="5" spans="1:19" ht="15" customHeight="1">
      <c r="A5" s="134" t="s">
        <v>19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"/>
      <c r="Q5" s="1"/>
      <c r="R5" s="1"/>
      <c r="S5" s="1"/>
    </row>
    <row r="6" spans="1:19" ht="15" customHeight="1">
      <c r="A6" s="192" t="s">
        <v>64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"/>
      <c r="Q6" s="1"/>
      <c r="R6" s="1"/>
      <c r="S6" s="1"/>
    </row>
    <row r="7" spans="1:19" ht="15" customHeight="1">
      <c r="A7" s="136" t="s">
        <v>2</v>
      </c>
      <c r="B7" s="139" t="s">
        <v>3</v>
      </c>
      <c r="C7" s="139" t="s">
        <v>4</v>
      </c>
      <c r="D7" s="188" t="s">
        <v>20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90"/>
    </row>
    <row r="8" spans="1:19" ht="15" customHeight="1">
      <c r="A8" s="193"/>
      <c r="B8" s="195"/>
      <c r="C8" s="195"/>
      <c r="D8" s="145" t="s">
        <v>11</v>
      </c>
      <c r="E8" s="145" t="s">
        <v>81</v>
      </c>
      <c r="F8" s="145" t="s">
        <v>82</v>
      </c>
      <c r="G8" s="197" t="s">
        <v>58</v>
      </c>
      <c r="H8" s="169" t="s">
        <v>12</v>
      </c>
      <c r="I8" s="201" t="s">
        <v>59</v>
      </c>
      <c r="J8" s="181" t="s">
        <v>13</v>
      </c>
      <c r="K8" s="184" t="s">
        <v>14</v>
      </c>
      <c r="L8" s="145" t="s">
        <v>60</v>
      </c>
      <c r="M8" s="145" t="s">
        <v>83</v>
      </c>
      <c r="N8" s="178" t="s">
        <v>62</v>
      </c>
      <c r="O8" s="145" t="s">
        <v>15</v>
      </c>
      <c r="P8" s="166" t="s">
        <v>16</v>
      </c>
      <c r="Q8" s="169" t="s">
        <v>17</v>
      </c>
      <c r="R8" s="175" t="s">
        <v>28</v>
      </c>
      <c r="S8" s="172" t="s">
        <v>27</v>
      </c>
    </row>
    <row r="9" spans="1:19" ht="15" customHeight="1">
      <c r="A9" s="193"/>
      <c r="B9" s="195"/>
      <c r="C9" s="195"/>
      <c r="D9" s="144"/>
      <c r="E9" s="144"/>
      <c r="F9" s="144"/>
      <c r="G9" s="198"/>
      <c r="H9" s="170"/>
      <c r="I9" s="202"/>
      <c r="J9" s="182"/>
      <c r="K9" s="185"/>
      <c r="L9" s="144"/>
      <c r="M9" s="144"/>
      <c r="N9" s="179"/>
      <c r="O9" s="144"/>
      <c r="P9" s="167"/>
      <c r="Q9" s="170"/>
      <c r="R9" s="176"/>
      <c r="S9" s="173"/>
    </row>
    <row r="10" spans="1:19" ht="71.25" customHeight="1">
      <c r="A10" s="194"/>
      <c r="B10" s="196"/>
      <c r="C10" s="195"/>
      <c r="D10" s="187"/>
      <c r="E10" s="187"/>
      <c r="F10" s="187"/>
      <c r="G10" s="199"/>
      <c r="H10" s="200"/>
      <c r="I10" s="203"/>
      <c r="J10" s="183"/>
      <c r="K10" s="186"/>
      <c r="L10" s="187"/>
      <c r="M10" s="187"/>
      <c r="N10" s="180"/>
      <c r="O10" s="187"/>
      <c r="P10" s="168"/>
      <c r="Q10" s="171"/>
      <c r="R10" s="177"/>
      <c r="S10" s="174"/>
    </row>
    <row r="11" spans="1:19" ht="15" customHeight="1">
      <c r="A11" s="64" t="s">
        <v>95</v>
      </c>
      <c r="B11" s="65">
        <v>1</v>
      </c>
      <c r="C11" s="66" t="s">
        <v>76</v>
      </c>
      <c r="D11" s="67">
        <v>8</v>
      </c>
      <c r="E11" s="68">
        <v>8</v>
      </c>
      <c r="F11" s="69">
        <v>8</v>
      </c>
      <c r="G11" s="70">
        <v>8</v>
      </c>
      <c r="H11" s="71">
        <v>8</v>
      </c>
      <c r="I11" s="72">
        <v>10</v>
      </c>
      <c r="J11" s="71">
        <v>10</v>
      </c>
      <c r="K11" s="71">
        <v>10</v>
      </c>
      <c r="L11" s="73">
        <v>8</v>
      </c>
      <c r="M11" s="74">
        <v>9</v>
      </c>
      <c r="N11" s="75">
        <v>7</v>
      </c>
      <c r="O11" s="76">
        <v>10</v>
      </c>
      <c r="P11" s="77">
        <v>8</v>
      </c>
      <c r="Q11" s="78">
        <v>10</v>
      </c>
      <c r="R11" s="79">
        <f t="shared" ref="R11:R18" si="0">AVERAGE(C11:P11)</f>
        <v>8.615384615384615</v>
      </c>
      <c r="S11" s="79">
        <f t="shared" ref="S11:S18" si="1">(R11*90)/12</f>
        <v>64.615384615384613</v>
      </c>
    </row>
    <row r="12" spans="1:19" ht="15" customHeight="1">
      <c r="A12" s="64" t="s">
        <v>95</v>
      </c>
      <c r="B12" s="80">
        <v>2</v>
      </c>
      <c r="C12" s="66" t="s">
        <v>73</v>
      </c>
      <c r="D12" s="67">
        <v>8</v>
      </c>
      <c r="E12" s="68">
        <v>7</v>
      </c>
      <c r="F12" s="69">
        <v>7</v>
      </c>
      <c r="G12" s="70">
        <v>7</v>
      </c>
      <c r="H12" s="71">
        <v>8</v>
      </c>
      <c r="I12" s="72">
        <v>10</v>
      </c>
      <c r="J12" s="71">
        <v>7</v>
      </c>
      <c r="K12" s="71">
        <v>10</v>
      </c>
      <c r="L12" s="73">
        <v>9</v>
      </c>
      <c r="M12" s="74">
        <v>9</v>
      </c>
      <c r="N12" s="75">
        <v>8</v>
      </c>
      <c r="O12" s="76">
        <v>9</v>
      </c>
      <c r="P12" s="77">
        <v>8</v>
      </c>
      <c r="Q12" s="78">
        <v>8</v>
      </c>
      <c r="R12" s="79">
        <f t="shared" si="0"/>
        <v>8.2307692307692299</v>
      </c>
      <c r="S12" s="79">
        <f t="shared" si="1"/>
        <v>61.730769230769226</v>
      </c>
    </row>
    <row r="13" spans="1:19" ht="15" customHeight="1">
      <c r="A13" s="64" t="s">
        <v>95</v>
      </c>
      <c r="B13" s="80">
        <v>3</v>
      </c>
      <c r="C13" s="66" t="s">
        <v>75</v>
      </c>
      <c r="D13" s="67">
        <v>7</v>
      </c>
      <c r="E13" s="68">
        <v>8</v>
      </c>
      <c r="F13" s="69">
        <v>6</v>
      </c>
      <c r="G13" s="81">
        <v>6</v>
      </c>
      <c r="H13" s="82">
        <v>7</v>
      </c>
      <c r="I13" s="83">
        <v>10</v>
      </c>
      <c r="J13" s="71">
        <v>7</v>
      </c>
      <c r="K13" s="71">
        <v>9</v>
      </c>
      <c r="L13" s="73">
        <v>7</v>
      </c>
      <c r="M13" s="74">
        <v>10</v>
      </c>
      <c r="N13" s="75">
        <v>6</v>
      </c>
      <c r="O13" s="76">
        <v>10</v>
      </c>
      <c r="P13" s="77">
        <v>8</v>
      </c>
      <c r="Q13" s="78">
        <v>9</v>
      </c>
      <c r="R13" s="79">
        <f t="shared" si="0"/>
        <v>7.7692307692307692</v>
      </c>
      <c r="S13" s="79">
        <f t="shared" si="1"/>
        <v>58.269230769230766</v>
      </c>
    </row>
    <row r="14" spans="1:19" ht="15" customHeight="1">
      <c r="A14" s="64" t="s">
        <v>95</v>
      </c>
      <c r="B14" s="80">
        <v>4</v>
      </c>
      <c r="C14" s="120" t="s">
        <v>72</v>
      </c>
      <c r="D14" s="67">
        <v>9</v>
      </c>
      <c r="E14" s="68">
        <v>7</v>
      </c>
      <c r="F14" s="69">
        <v>7</v>
      </c>
      <c r="G14" s="81">
        <v>6</v>
      </c>
      <c r="H14" s="84">
        <v>7</v>
      </c>
      <c r="I14" s="83">
        <v>7</v>
      </c>
      <c r="J14" s="71">
        <v>7</v>
      </c>
      <c r="K14" s="71">
        <v>8</v>
      </c>
      <c r="L14" s="73">
        <v>7</v>
      </c>
      <c r="M14" s="85">
        <v>9</v>
      </c>
      <c r="N14" s="75">
        <v>5</v>
      </c>
      <c r="O14" s="76">
        <v>10</v>
      </c>
      <c r="P14" s="77">
        <v>8</v>
      </c>
      <c r="Q14" s="71">
        <v>9</v>
      </c>
      <c r="R14" s="79">
        <f t="shared" si="0"/>
        <v>7.4615384615384617</v>
      </c>
      <c r="S14" s="79">
        <f t="shared" si="1"/>
        <v>55.96153846153846</v>
      </c>
    </row>
    <row r="15" spans="1:19" ht="15" customHeight="1">
      <c r="A15" s="102" t="s">
        <v>95</v>
      </c>
      <c r="B15" s="103">
        <v>5</v>
      </c>
      <c r="C15" s="104" t="s">
        <v>77</v>
      </c>
      <c r="D15" s="105">
        <v>10</v>
      </c>
      <c r="E15" s="106">
        <v>4</v>
      </c>
      <c r="F15" s="107">
        <v>5</v>
      </c>
      <c r="G15" s="108">
        <v>7</v>
      </c>
      <c r="H15" s="109">
        <v>7</v>
      </c>
      <c r="I15" s="110">
        <v>5</v>
      </c>
      <c r="J15" s="111">
        <v>9</v>
      </c>
      <c r="K15" s="111">
        <v>10</v>
      </c>
      <c r="L15" s="112">
        <v>8</v>
      </c>
      <c r="M15" s="113">
        <v>6</v>
      </c>
      <c r="N15" s="114">
        <v>6</v>
      </c>
      <c r="O15" s="115">
        <v>10</v>
      </c>
      <c r="P15" s="40">
        <v>7</v>
      </c>
      <c r="Q15" s="116">
        <v>9</v>
      </c>
      <c r="R15" s="44">
        <f t="shared" si="0"/>
        <v>7.2307692307692308</v>
      </c>
      <c r="S15" s="44">
        <f t="shared" si="1"/>
        <v>54.230769230769234</v>
      </c>
    </row>
    <row r="16" spans="1:19" ht="15" customHeight="1">
      <c r="A16" s="2" t="s">
        <v>95</v>
      </c>
      <c r="B16" s="3">
        <v>6</v>
      </c>
      <c r="C16" s="59" t="s">
        <v>53</v>
      </c>
      <c r="D16" s="57">
        <v>7</v>
      </c>
      <c r="E16" s="24">
        <v>6</v>
      </c>
      <c r="F16" s="25">
        <v>6</v>
      </c>
      <c r="G16" s="22">
        <v>6</v>
      </c>
      <c r="H16" s="12">
        <v>7</v>
      </c>
      <c r="I16" s="21">
        <v>4</v>
      </c>
      <c r="J16" s="16">
        <v>7</v>
      </c>
      <c r="K16" s="16">
        <v>7</v>
      </c>
      <c r="L16" s="26">
        <v>8</v>
      </c>
      <c r="M16" s="32">
        <v>9</v>
      </c>
      <c r="N16" s="33">
        <v>7</v>
      </c>
      <c r="O16" s="37">
        <v>9</v>
      </c>
      <c r="P16" s="40">
        <v>6</v>
      </c>
      <c r="Q16" s="46">
        <v>6</v>
      </c>
      <c r="R16" s="44">
        <f t="shared" si="0"/>
        <v>6.8461538461538458</v>
      </c>
      <c r="S16" s="44">
        <f t="shared" si="1"/>
        <v>51.34615384615384</v>
      </c>
    </row>
    <row r="17" spans="1:19" ht="15" customHeight="1">
      <c r="A17" s="2" t="s">
        <v>95</v>
      </c>
      <c r="B17" s="3">
        <v>7</v>
      </c>
      <c r="C17" s="59" t="s">
        <v>74</v>
      </c>
      <c r="D17" s="57">
        <v>4</v>
      </c>
      <c r="E17" s="24">
        <v>6</v>
      </c>
      <c r="F17" s="25">
        <v>4</v>
      </c>
      <c r="G17" s="22">
        <v>4</v>
      </c>
      <c r="H17" s="12">
        <v>4</v>
      </c>
      <c r="I17" s="21">
        <v>4</v>
      </c>
      <c r="J17" s="16">
        <v>4</v>
      </c>
      <c r="K17" s="16">
        <v>5</v>
      </c>
      <c r="L17" s="26">
        <v>8</v>
      </c>
      <c r="M17" s="32">
        <v>9</v>
      </c>
      <c r="N17" s="33">
        <v>5</v>
      </c>
      <c r="O17" s="37">
        <v>4</v>
      </c>
      <c r="P17" s="40">
        <v>8</v>
      </c>
      <c r="Q17" s="46">
        <v>4</v>
      </c>
      <c r="R17" s="44">
        <f t="shared" si="0"/>
        <v>5.3076923076923075</v>
      </c>
      <c r="S17" s="44">
        <f t="shared" si="1"/>
        <v>39.807692307692307</v>
      </c>
    </row>
    <row r="18" spans="1:19" ht="15.75" customHeight="1">
      <c r="A18" s="2" t="s">
        <v>95</v>
      </c>
      <c r="B18" s="3">
        <v>8</v>
      </c>
      <c r="C18" s="119" t="s">
        <v>78</v>
      </c>
      <c r="D18" s="57">
        <v>4</v>
      </c>
      <c r="E18" s="24">
        <v>4</v>
      </c>
      <c r="F18" s="25">
        <v>4</v>
      </c>
      <c r="G18" s="22">
        <v>4</v>
      </c>
      <c r="H18" s="12">
        <v>4</v>
      </c>
      <c r="I18" s="21">
        <v>4</v>
      </c>
      <c r="J18" s="16">
        <v>4</v>
      </c>
      <c r="K18" s="16">
        <v>4</v>
      </c>
      <c r="L18" s="26">
        <v>4</v>
      </c>
      <c r="M18" s="32">
        <v>7</v>
      </c>
      <c r="N18" s="33">
        <v>4</v>
      </c>
      <c r="O18" s="37">
        <v>4</v>
      </c>
      <c r="P18" s="40">
        <v>5</v>
      </c>
      <c r="Q18" s="46">
        <v>6</v>
      </c>
      <c r="R18" s="44">
        <f t="shared" si="0"/>
        <v>4.3076923076923075</v>
      </c>
      <c r="S18" s="44">
        <f t="shared" si="1"/>
        <v>32.307692307692307</v>
      </c>
    </row>
    <row r="19" spans="1:19" ht="15.75" customHeight="1">
      <c r="A19" s="27"/>
      <c r="B19" s="27"/>
      <c r="C19" s="58" t="s">
        <v>21</v>
      </c>
      <c r="D19" s="20">
        <v>11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S19" s="27"/>
    </row>
    <row r="20" spans="1:19" s="63" customFormat="1" ht="15.75" customHeight="1">
      <c r="C20" s="58" t="s">
        <v>99</v>
      </c>
      <c r="D20" s="20">
        <v>2</v>
      </c>
    </row>
    <row r="21" spans="1:19" ht="15.75" customHeight="1">
      <c r="A21" s="27"/>
      <c r="B21" s="27"/>
      <c r="C21" s="6" t="s">
        <v>22</v>
      </c>
      <c r="D21" s="20">
        <v>2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S21" s="27"/>
    </row>
    <row r="22" spans="1:19" ht="15.75" customHeight="1">
      <c r="A22" s="27"/>
      <c r="B22" s="27"/>
      <c r="C22" s="6" t="s">
        <v>23</v>
      </c>
      <c r="D22" s="20">
        <v>4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S22" s="27"/>
    </row>
    <row r="23" spans="1:19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S23" s="27"/>
    </row>
    <row r="24" spans="1:19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S24" s="27"/>
    </row>
    <row r="25" spans="1:19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S25" s="27"/>
    </row>
    <row r="26" spans="1:19" ht="15.75" customHeight="1">
      <c r="A26" s="27"/>
      <c r="B26" s="27"/>
      <c r="C26" s="27"/>
      <c r="D26" s="27"/>
      <c r="E26" s="54"/>
      <c r="F26" s="54"/>
      <c r="G26" s="54"/>
      <c r="H26" s="27"/>
      <c r="I26" s="27"/>
      <c r="J26" s="27"/>
      <c r="K26" s="27"/>
      <c r="L26" s="27"/>
      <c r="M26" s="27"/>
      <c r="N26" s="27"/>
      <c r="O26" s="27"/>
      <c r="P26" s="27"/>
      <c r="Q26" s="27"/>
      <c r="S26" s="27"/>
    </row>
    <row r="27" spans="1:19" ht="15.75" customHeight="1">
      <c r="A27" s="27"/>
      <c r="B27" s="27"/>
      <c r="C27" s="27"/>
      <c r="D27" s="27"/>
      <c r="E27" s="55" t="s">
        <v>24</v>
      </c>
      <c r="F27" s="55"/>
      <c r="G27" s="55"/>
      <c r="H27" s="56"/>
      <c r="I27" s="56"/>
      <c r="J27" s="55" t="s">
        <v>71</v>
      </c>
      <c r="K27" s="55"/>
      <c r="L27" s="27"/>
      <c r="M27" s="27"/>
      <c r="N27" s="27"/>
      <c r="O27" s="27"/>
      <c r="P27" s="27"/>
      <c r="Q27" s="27"/>
      <c r="S27" s="27"/>
    </row>
    <row r="28" spans="1:19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S28" s="27"/>
    </row>
    <row r="29" spans="1:19" ht="15.75" customHeight="1">
      <c r="A29" s="27"/>
      <c r="B29" s="27"/>
      <c r="C29" s="27"/>
      <c r="D29" s="27"/>
      <c r="E29" s="55" t="s">
        <v>25</v>
      </c>
      <c r="F29" s="55"/>
      <c r="G29" s="55"/>
      <c r="H29" s="55"/>
      <c r="I29" s="55"/>
      <c r="J29" s="55" t="s">
        <v>26</v>
      </c>
      <c r="K29" s="55"/>
      <c r="L29" s="27"/>
      <c r="M29" s="27"/>
      <c r="N29" s="27"/>
      <c r="O29" s="27"/>
      <c r="P29" s="27"/>
      <c r="Q29" s="27"/>
      <c r="S29" s="27"/>
    </row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sortState ref="C11:S18">
    <sortCondition descending="1" ref="S11:S18"/>
  </sortState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8"/>
  <sheetViews>
    <sheetView topLeftCell="A10" workbookViewId="0">
      <selection activeCell="H25" sqref="H25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20.25">
      <c r="A1" s="134" t="s">
        <v>18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"/>
      <c r="Q1" s="1"/>
      <c r="R1" s="1"/>
    </row>
    <row r="2" spans="1:18" ht="20.25">
      <c r="A2" s="134" t="s">
        <v>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"/>
      <c r="Q2" s="1"/>
      <c r="R2" s="1"/>
    </row>
    <row r="3" spans="1:18" ht="20.25">
      <c r="A3" s="146" t="s">
        <v>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"/>
      <c r="Q3" s="1"/>
      <c r="R3" s="1"/>
    </row>
    <row r="4" spans="1:18" ht="20.25">
      <c r="A4" s="134" t="s">
        <v>67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"/>
      <c r="Q4" s="1"/>
      <c r="R4" s="1"/>
    </row>
    <row r="5" spans="1:18" ht="20.25">
      <c r="A5" s="134" t="s">
        <v>19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"/>
      <c r="Q5" s="1"/>
      <c r="R5" s="1"/>
    </row>
    <row r="6" spans="1:18" ht="20.25">
      <c r="A6" s="134" t="s">
        <v>64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"/>
      <c r="Q6" s="1"/>
      <c r="R6" s="1"/>
    </row>
    <row r="7" spans="1:18" ht="15.75">
      <c r="A7" s="136" t="s">
        <v>2</v>
      </c>
      <c r="B7" s="139" t="s">
        <v>3</v>
      </c>
      <c r="C7" s="139" t="s">
        <v>4</v>
      </c>
      <c r="D7" s="140" t="s">
        <v>20</v>
      </c>
      <c r="E7" s="141"/>
      <c r="F7" s="141"/>
      <c r="G7" s="141"/>
      <c r="H7" s="142"/>
      <c r="I7" s="141"/>
      <c r="J7" s="141"/>
      <c r="K7" s="141"/>
      <c r="L7" s="141"/>
      <c r="M7" s="141"/>
      <c r="N7" s="141"/>
      <c r="O7" s="141"/>
      <c r="P7" s="141"/>
      <c r="Q7" s="142"/>
      <c r="R7" s="143"/>
    </row>
    <row r="8" spans="1:18">
      <c r="A8" s="137"/>
      <c r="B8" s="137"/>
      <c r="C8" s="137"/>
      <c r="D8" s="144" t="s">
        <v>11</v>
      </c>
      <c r="E8" s="145" t="s">
        <v>86</v>
      </c>
      <c r="F8" s="145" t="s">
        <v>85</v>
      </c>
      <c r="G8" s="157" t="s">
        <v>58</v>
      </c>
      <c r="H8" s="147" t="s">
        <v>12</v>
      </c>
      <c r="I8" s="152" t="s">
        <v>68</v>
      </c>
      <c r="J8" s="154" t="s">
        <v>13</v>
      </c>
      <c r="K8" s="163" t="s">
        <v>14</v>
      </c>
      <c r="L8" s="145" t="s">
        <v>69</v>
      </c>
      <c r="M8" s="145" t="s">
        <v>70</v>
      </c>
      <c r="N8" s="145" t="s">
        <v>87</v>
      </c>
      <c r="O8" s="145" t="s">
        <v>88</v>
      </c>
      <c r="P8" s="160" t="s">
        <v>89</v>
      </c>
      <c r="Q8" s="147" t="s">
        <v>90</v>
      </c>
      <c r="R8" s="149" t="s">
        <v>5</v>
      </c>
    </row>
    <row r="9" spans="1:18">
      <c r="A9" s="137"/>
      <c r="B9" s="137"/>
      <c r="C9" s="137"/>
      <c r="D9" s="137"/>
      <c r="E9" s="137"/>
      <c r="F9" s="137"/>
      <c r="G9" s="158"/>
      <c r="H9" s="148"/>
      <c r="I9" s="153"/>
      <c r="J9" s="155"/>
      <c r="K9" s="164"/>
      <c r="L9" s="137"/>
      <c r="M9" s="137"/>
      <c r="N9" s="137"/>
      <c r="O9" s="137"/>
      <c r="P9" s="161"/>
      <c r="Q9" s="148"/>
      <c r="R9" s="150"/>
    </row>
    <row r="10" spans="1:18" ht="94.5" customHeight="1">
      <c r="A10" s="138"/>
      <c r="B10" s="138"/>
      <c r="C10" s="137"/>
      <c r="D10" s="138"/>
      <c r="E10" s="138"/>
      <c r="F10" s="138"/>
      <c r="G10" s="159"/>
      <c r="H10" s="148"/>
      <c r="I10" s="153"/>
      <c r="J10" s="156"/>
      <c r="K10" s="165"/>
      <c r="L10" s="138"/>
      <c r="M10" s="138"/>
      <c r="N10" s="137"/>
      <c r="O10" s="137"/>
      <c r="P10" s="162"/>
      <c r="Q10" s="148"/>
      <c r="R10" s="151"/>
    </row>
    <row r="11" spans="1:18" ht="15.75">
      <c r="A11" s="62" t="s">
        <v>95</v>
      </c>
      <c r="B11" s="52">
        <v>1</v>
      </c>
      <c r="C11" s="119" t="s">
        <v>43</v>
      </c>
      <c r="D11" s="57">
        <v>9</v>
      </c>
      <c r="E11" s="24">
        <v>7</v>
      </c>
      <c r="F11" s="25">
        <v>7</v>
      </c>
      <c r="G11" s="50">
        <v>6</v>
      </c>
      <c r="H11" s="16">
        <v>7</v>
      </c>
      <c r="I11" s="51">
        <v>7</v>
      </c>
      <c r="J11" s="16">
        <v>7</v>
      </c>
      <c r="K11" s="16">
        <v>8</v>
      </c>
      <c r="L11" s="26">
        <v>7</v>
      </c>
      <c r="M11" s="31">
        <v>9</v>
      </c>
      <c r="N11" s="33">
        <v>5</v>
      </c>
      <c r="O11" s="37">
        <v>10</v>
      </c>
      <c r="P11" s="40">
        <v>8</v>
      </c>
      <c r="Q11" s="16">
        <v>9</v>
      </c>
      <c r="R11" s="10">
        <f>AVERAGE(D11:Q11)</f>
        <v>7.5714285714285712</v>
      </c>
    </row>
    <row r="12" spans="1:18" ht="15.75">
      <c r="A12" s="53" t="s">
        <v>95</v>
      </c>
      <c r="B12" s="53">
        <v>2</v>
      </c>
      <c r="C12" s="60" t="s">
        <v>44</v>
      </c>
      <c r="D12" s="57">
        <v>8</v>
      </c>
      <c r="E12" s="24">
        <v>7</v>
      </c>
      <c r="F12" s="25">
        <v>7</v>
      </c>
      <c r="G12" s="50">
        <v>7</v>
      </c>
      <c r="H12" s="16">
        <v>8</v>
      </c>
      <c r="I12" s="51">
        <v>10</v>
      </c>
      <c r="J12" s="16">
        <v>7</v>
      </c>
      <c r="K12" s="16">
        <v>10</v>
      </c>
      <c r="L12" s="26">
        <v>9</v>
      </c>
      <c r="M12" s="32">
        <v>9</v>
      </c>
      <c r="N12" s="33">
        <v>8</v>
      </c>
      <c r="O12" s="37">
        <v>9</v>
      </c>
      <c r="P12" s="40">
        <v>8</v>
      </c>
      <c r="Q12" s="46">
        <v>8</v>
      </c>
      <c r="R12" s="10">
        <f t="shared" ref="R12:R23" si="0">AVERAGE(D12:Q12)</f>
        <v>8.2142857142857135</v>
      </c>
    </row>
    <row r="13" spans="1:18" ht="15.75">
      <c r="A13" s="53" t="s">
        <v>95</v>
      </c>
      <c r="B13" s="53">
        <v>3</v>
      </c>
      <c r="C13" s="60" t="s">
        <v>45</v>
      </c>
      <c r="D13" s="57">
        <v>4</v>
      </c>
      <c r="E13" s="24">
        <v>6</v>
      </c>
      <c r="F13" s="25">
        <v>4</v>
      </c>
      <c r="G13" s="22">
        <v>4</v>
      </c>
      <c r="H13" s="23">
        <v>4</v>
      </c>
      <c r="I13" s="21">
        <v>4</v>
      </c>
      <c r="J13" s="16">
        <v>4</v>
      </c>
      <c r="K13" s="16">
        <v>5</v>
      </c>
      <c r="L13" s="26">
        <v>8</v>
      </c>
      <c r="M13" s="32">
        <v>9</v>
      </c>
      <c r="N13" s="33">
        <v>5</v>
      </c>
      <c r="O13" s="37">
        <v>4</v>
      </c>
      <c r="P13" s="40">
        <v>8</v>
      </c>
      <c r="Q13" s="46">
        <v>4</v>
      </c>
      <c r="R13" s="10">
        <f t="shared" si="0"/>
        <v>5.2142857142857144</v>
      </c>
    </row>
    <row r="14" spans="1:18" ht="15.75">
      <c r="A14" s="53" t="s">
        <v>96</v>
      </c>
      <c r="B14" s="53">
        <v>4</v>
      </c>
      <c r="C14" s="60" t="s">
        <v>46</v>
      </c>
      <c r="D14" s="122" t="s">
        <v>104</v>
      </c>
      <c r="E14" s="125" t="s">
        <v>105</v>
      </c>
      <c r="F14" s="25">
        <v>4</v>
      </c>
      <c r="G14" s="123" t="s">
        <v>106</v>
      </c>
      <c r="H14" s="12">
        <v>4</v>
      </c>
      <c r="I14" s="21">
        <v>5</v>
      </c>
      <c r="J14" s="16">
        <v>4</v>
      </c>
      <c r="K14" s="16">
        <v>4</v>
      </c>
      <c r="L14" s="26">
        <v>4</v>
      </c>
      <c r="M14" s="32">
        <v>6</v>
      </c>
      <c r="N14" s="33">
        <v>4</v>
      </c>
      <c r="O14" s="37">
        <v>4</v>
      </c>
      <c r="P14" s="124" t="s">
        <v>104</v>
      </c>
      <c r="Q14" s="46">
        <v>4</v>
      </c>
      <c r="R14" s="10" t="s">
        <v>97</v>
      </c>
    </row>
    <row r="15" spans="1:18" ht="15.75">
      <c r="A15" s="53" t="s">
        <v>95</v>
      </c>
      <c r="B15" s="53">
        <v>5</v>
      </c>
      <c r="C15" s="60" t="s">
        <v>47</v>
      </c>
      <c r="D15" s="57">
        <v>4</v>
      </c>
      <c r="E15" s="24">
        <v>4</v>
      </c>
      <c r="F15" s="133" t="s">
        <v>112</v>
      </c>
      <c r="G15" s="22">
        <v>5</v>
      </c>
      <c r="H15" s="12">
        <v>4</v>
      </c>
      <c r="I15" s="21">
        <v>5</v>
      </c>
      <c r="J15" s="16">
        <v>4</v>
      </c>
      <c r="K15" s="16">
        <v>6</v>
      </c>
      <c r="L15" s="26">
        <v>5</v>
      </c>
      <c r="M15" s="32">
        <v>8</v>
      </c>
      <c r="N15" s="33">
        <v>4</v>
      </c>
      <c r="O15" s="37">
        <v>6</v>
      </c>
      <c r="P15" s="40">
        <v>7</v>
      </c>
      <c r="Q15" s="46">
        <v>6</v>
      </c>
      <c r="R15" s="10" t="s">
        <v>97</v>
      </c>
    </row>
    <row r="16" spans="1:18" ht="15.75">
      <c r="A16" s="53" t="s">
        <v>95</v>
      </c>
      <c r="B16" s="53">
        <v>6</v>
      </c>
      <c r="C16" s="60" t="s">
        <v>48</v>
      </c>
      <c r="D16" s="57">
        <v>7</v>
      </c>
      <c r="E16" s="24">
        <v>8</v>
      </c>
      <c r="F16" s="25">
        <v>6</v>
      </c>
      <c r="G16" s="22">
        <v>6</v>
      </c>
      <c r="H16" s="12">
        <v>7</v>
      </c>
      <c r="I16" s="21">
        <v>10</v>
      </c>
      <c r="J16" s="16">
        <v>7</v>
      </c>
      <c r="K16" s="16">
        <v>9</v>
      </c>
      <c r="L16" s="26">
        <v>7</v>
      </c>
      <c r="M16" s="32">
        <v>10</v>
      </c>
      <c r="N16" s="33">
        <v>6</v>
      </c>
      <c r="O16" s="37">
        <v>10</v>
      </c>
      <c r="P16" s="40">
        <v>8</v>
      </c>
      <c r="Q16" s="46">
        <v>9</v>
      </c>
      <c r="R16" s="10">
        <f t="shared" si="0"/>
        <v>7.8571428571428568</v>
      </c>
    </row>
    <row r="17" spans="1:18" ht="15.75">
      <c r="A17" s="53" t="s">
        <v>95</v>
      </c>
      <c r="B17" s="53">
        <v>7</v>
      </c>
      <c r="C17" s="60" t="s">
        <v>49</v>
      </c>
      <c r="D17" s="57">
        <v>8</v>
      </c>
      <c r="E17" s="24">
        <v>8</v>
      </c>
      <c r="F17" s="25">
        <v>8</v>
      </c>
      <c r="G17" s="22">
        <v>8</v>
      </c>
      <c r="H17" s="12">
        <v>8</v>
      </c>
      <c r="I17" s="21">
        <v>10</v>
      </c>
      <c r="J17" s="16">
        <v>10</v>
      </c>
      <c r="K17" s="16">
        <v>10</v>
      </c>
      <c r="L17" s="26">
        <v>8</v>
      </c>
      <c r="M17" s="32">
        <v>9</v>
      </c>
      <c r="N17" s="33">
        <v>7</v>
      </c>
      <c r="O17" s="37">
        <v>10</v>
      </c>
      <c r="P17" s="40">
        <v>8</v>
      </c>
      <c r="Q17" s="46">
        <v>10</v>
      </c>
      <c r="R17" s="10">
        <f t="shared" si="0"/>
        <v>8.7142857142857135</v>
      </c>
    </row>
    <row r="18" spans="1:18" ht="15.75">
      <c r="A18" s="53" t="s">
        <v>95</v>
      </c>
      <c r="B18" s="53">
        <v>8</v>
      </c>
      <c r="C18" s="60" t="s">
        <v>50</v>
      </c>
      <c r="D18" s="57">
        <v>10</v>
      </c>
      <c r="E18" s="24">
        <v>4</v>
      </c>
      <c r="F18" s="25">
        <v>5</v>
      </c>
      <c r="G18" s="22">
        <v>7</v>
      </c>
      <c r="H18" s="12">
        <v>7</v>
      </c>
      <c r="I18" s="21">
        <v>5</v>
      </c>
      <c r="J18" s="16">
        <v>9</v>
      </c>
      <c r="K18" s="16">
        <v>10</v>
      </c>
      <c r="L18" s="26">
        <v>8</v>
      </c>
      <c r="M18" s="32">
        <v>6</v>
      </c>
      <c r="N18" s="33">
        <v>6</v>
      </c>
      <c r="O18" s="37">
        <v>10</v>
      </c>
      <c r="P18" s="40">
        <v>7</v>
      </c>
      <c r="Q18" s="46">
        <v>9</v>
      </c>
      <c r="R18" s="10">
        <f t="shared" si="0"/>
        <v>7.3571428571428568</v>
      </c>
    </row>
    <row r="19" spans="1:18" ht="15.75">
      <c r="A19" s="53" t="s">
        <v>95</v>
      </c>
      <c r="B19" s="53">
        <v>9</v>
      </c>
      <c r="C19" s="117" t="s">
        <v>51</v>
      </c>
      <c r="D19" s="57">
        <v>4</v>
      </c>
      <c r="E19" s="24">
        <v>4</v>
      </c>
      <c r="F19" s="25">
        <v>4</v>
      </c>
      <c r="G19" s="22">
        <v>4</v>
      </c>
      <c r="H19" s="12">
        <v>4</v>
      </c>
      <c r="I19" s="21">
        <v>4</v>
      </c>
      <c r="J19" s="16">
        <v>4</v>
      </c>
      <c r="K19" s="16">
        <v>4</v>
      </c>
      <c r="L19" s="26">
        <v>4</v>
      </c>
      <c r="M19" s="32">
        <v>7</v>
      </c>
      <c r="N19" s="33">
        <v>4</v>
      </c>
      <c r="O19" s="37">
        <v>4</v>
      </c>
      <c r="P19" s="40">
        <v>5</v>
      </c>
      <c r="Q19" s="46">
        <v>6</v>
      </c>
      <c r="R19" s="10">
        <f t="shared" si="0"/>
        <v>4.4285714285714288</v>
      </c>
    </row>
    <row r="20" spans="1:18" ht="15.75">
      <c r="A20" s="53" t="s">
        <v>96</v>
      </c>
      <c r="B20" s="53">
        <v>10</v>
      </c>
      <c r="C20" s="60" t="s">
        <v>52</v>
      </c>
      <c r="D20" s="57">
        <v>4</v>
      </c>
      <c r="E20" s="24">
        <v>5</v>
      </c>
      <c r="F20" s="133" t="s">
        <v>113</v>
      </c>
      <c r="G20" s="22">
        <v>4</v>
      </c>
      <c r="H20" s="12">
        <v>4</v>
      </c>
      <c r="I20" s="21">
        <v>4</v>
      </c>
      <c r="J20" s="126" t="s">
        <v>107</v>
      </c>
      <c r="K20" s="16">
        <v>4</v>
      </c>
      <c r="L20" s="26">
        <v>5</v>
      </c>
      <c r="M20" s="32">
        <v>7</v>
      </c>
      <c r="N20" s="33">
        <v>4</v>
      </c>
      <c r="O20" s="37">
        <v>6</v>
      </c>
      <c r="P20" s="40">
        <v>5</v>
      </c>
      <c r="Q20" s="46">
        <v>6</v>
      </c>
      <c r="R20" s="10" t="s">
        <v>97</v>
      </c>
    </row>
    <row r="21" spans="1:18" ht="15.75">
      <c r="A21" s="53" t="s">
        <v>95</v>
      </c>
      <c r="B21" s="53">
        <v>11</v>
      </c>
      <c r="C21" s="60" t="s">
        <v>53</v>
      </c>
      <c r="D21" s="57">
        <v>7</v>
      </c>
      <c r="E21" s="24">
        <v>6</v>
      </c>
      <c r="F21" s="25">
        <v>6</v>
      </c>
      <c r="G21" s="22">
        <v>6</v>
      </c>
      <c r="H21" s="12">
        <v>7</v>
      </c>
      <c r="I21" s="21">
        <v>4</v>
      </c>
      <c r="J21" s="16">
        <v>7</v>
      </c>
      <c r="K21" s="16">
        <v>7</v>
      </c>
      <c r="L21" s="26">
        <v>8</v>
      </c>
      <c r="M21" s="32">
        <v>9</v>
      </c>
      <c r="N21" s="33">
        <v>7</v>
      </c>
      <c r="O21" s="37">
        <v>9</v>
      </c>
      <c r="P21" s="40">
        <v>6</v>
      </c>
      <c r="Q21" s="46">
        <v>6</v>
      </c>
      <c r="R21" s="10">
        <f t="shared" si="0"/>
        <v>6.7857142857142856</v>
      </c>
    </row>
    <row r="22" spans="1:18" ht="15.75">
      <c r="A22" s="53" t="s">
        <v>95</v>
      </c>
      <c r="B22" s="53">
        <v>12</v>
      </c>
      <c r="C22" s="60" t="s">
        <v>54</v>
      </c>
      <c r="D22" s="57">
        <v>4</v>
      </c>
      <c r="E22" s="24">
        <v>6</v>
      </c>
      <c r="F22" s="133" t="s">
        <v>110</v>
      </c>
      <c r="G22" s="22">
        <v>4</v>
      </c>
      <c r="H22" s="12">
        <v>6</v>
      </c>
      <c r="I22" s="21">
        <v>4</v>
      </c>
      <c r="J22" s="126" t="s">
        <v>108</v>
      </c>
      <c r="K22" s="16">
        <v>5</v>
      </c>
      <c r="L22" s="26">
        <v>8</v>
      </c>
      <c r="M22" s="32">
        <v>9</v>
      </c>
      <c r="N22" s="33">
        <v>5</v>
      </c>
      <c r="O22" s="37">
        <v>9</v>
      </c>
      <c r="P22" s="40">
        <v>8</v>
      </c>
      <c r="Q22" s="46">
        <v>4</v>
      </c>
      <c r="R22" s="10" t="s">
        <v>97</v>
      </c>
    </row>
    <row r="23" spans="1:18" ht="20.25">
      <c r="A23" s="1"/>
      <c r="B23" s="1"/>
      <c r="C23" s="4" t="s">
        <v>6</v>
      </c>
      <c r="D23" s="10">
        <f t="shared" ref="D23:Q23" si="1">AVERAGE(D11:D22)</f>
        <v>6.2727272727272725</v>
      </c>
      <c r="E23" s="10">
        <f t="shared" si="1"/>
        <v>5.9090909090909092</v>
      </c>
      <c r="F23" s="10">
        <f t="shared" si="1"/>
        <v>5.666666666666667</v>
      </c>
      <c r="G23" s="10">
        <f t="shared" si="1"/>
        <v>5.5454545454545459</v>
      </c>
      <c r="H23" s="10">
        <f t="shared" si="1"/>
        <v>5.833333333333333</v>
      </c>
      <c r="I23" s="10">
        <f t="shared" si="1"/>
        <v>6</v>
      </c>
      <c r="J23" s="10">
        <f t="shared" si="1"/>
        <v>6.3</v>
      </c>
      <c r="K23" s="10">
        <f t="shared" si="1"/>
        <v>6.833333333333333</v>
      </c>
      <c r="L23" s="10">
        <f t="shared" si="1"/>
        <v>6.75</v>
      </c>
      <c r="M23" s="28">
        <f t="shared" si="1"/>
        <v>8.1666666666666661</v>
      </c>
      <c r="N23" s="34">
        <f t="shared" si="1"/>
        <v>5.416666666666667</v>
      </c>
      <c r="O23" s="38">
        <f t="shared" si="1"/>
        <v>7.583333333333333</v>
      </c>
      <c r="P23" s="41">
        <f t="shared" si="1"/>
        <v>7.0909090909090908</v>
      </c>
      <c r="Q23" s="47">
        <f t="shared" si="1"/>
        <v>6.75</v>
      </c>
      <c r="R23" s="10">
        <f t="shared" si="0"/>
        <v>6.4370129870129862</v>
      </c>
    </row>
    <row r="24" spans="1:18" ht="20.25">
      <c r="A24" s="1"/>
      <c r="B24" s="1"/>
      <c r="C24" s="5" t="s">
        <v>7</v>
      </c>
      <c r="D24" s="14">
        <v>92.6</v>
      </c>
      <c r="E24" s="18">
        <v>94</v>
      </c>
      <c r="F24" s="18">
        <v>75</v>
      </c>
      <c r="G24" s="18">
        <v>91.6</v>
      </c>
      <c r="H24" s="14">
        <v>100</v>
      </c>
      <c r="I24" s="18">
        <v>100</v>
      </c>
      <c r="J24" s="14">
        <v>83</v>
      </c>
      <c r="K24" s="18">
        <v>100</v>
      </c>
      <c r="L24" s="18">
        <v>100</v>
      </c>
      <c r="M24" s="29">
        <v>100</v>
      </c>
      <c r="N24" s="35">
        <v>100</v>
      </c>
      <c r="O24" s="39">
        <v>100</v>
      </c>
      <c r="P24" s="42">
        <v>91.6</v>
      </c>
      <c r="Q24" s="48">
        <v>100</v>
      </c>
      <c r="R24" s="45"/>
    </row>
    <row r="25" spans="1:18" ht="20.25">
      <c r="A25" s="1"/>
      <c r="B25" s="1"/>
      <c r="C25" s="6" t="s">
        <v>8</v>
      </c>
      <c r="D25" s="15">
        <v>54.5</v>
      </c>
      <c r="E25" s="17">
        <v>34</v>
      </c>
      <c r="F25" s="15">
        <v>33</v>
      </c>
      <c r="G25" s="15">
        <v>25</v>
      </c>
      <c r="H25" s="11">
        <v>50</v>
      </c>
      <c r="I25" s="19">
        <v>33</v>
      </c>
      <c r="J25" s="13">
        <v>60</v>
      </c>
      <c r="K25" s="15">
        <v>50</v>
      </c>
      <c r="L25" s="15">
        <v>66</v>
      </c>
      <c r="M25" s="30">
        <v>83</v>
      </c>
      <c r="N25" s="36">
        <v>25</v>
      </c>
      <c r="O25" s="39">
        <v>58</v>
      </c>
      <c r="P25" s="43">
        <v>72.7</v>
      </c>
      <c r="Q25" s="49">
        <v>41</v>
      </c>
      <c r="R25" s="45"/>
    </row>
    <row r="26" spans="1:18" ht="20.25">
      <c r="A26" s="1"/>
      <c r="B26" s="1"/>
      <c r="C26" s="6" t="s">
        <v>9</v>
      </c>
      <c r="D26" s="10">
        <f>AVERAGE(D24:Q24)</f>
        <v>94.842857142857142</v>
      </c>
      <c r="E26" s="7"/>
      <c r="F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1:18" ht="20.25">
      <c r="A27" s="1"/>
      <c r="B27" s="1"/>
      <c r="C27" s="6" t="s">
        <v>10</v>
      </c>
      <c r="D27" s="10">
        <f>AVERAGE(D25:Q25)</f>
        <v>48.942857142857143</v>
      </c>
      <c r="E27" s="7"/>
      <c r="F27" s="7"/>
      <c r="G27" s="7"/>
      <c r="H27" s="7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1:18" ht="15.75">
      <c r="A28" s="61"/>
      <c r="B28" s="61"/>
      <c r="C28" s="6" t="s">
        <v>21</v>
      </c>
      <c r="D28" s="20">
        <v>10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</row>
    <row r="29" spans="1:18" s="63" customFormat="1" ht="15.75">
      <c r="C29" s="6" t="s">
        <v>99</v>
      </c>
      <c r="D29" s="20">
        <v>2</v>
      </c>
    </row>
    <row r="30" spans="1:18" ht="15.75">
      <c r="A30" s="61"/>
      <c r="B30" s="61"/>
      <c r="C30" s="6" t="s">
        <v>22</v>
      </c>
      <c r="D30" s="20">
        <v>2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</row>
    <row r="31" spans="1:18" ht="15.75">
      <c r="A31" s="61"/>
      <c r="B31" s="61"/>
      <c r="C31" s="6" t="s">
        <v>23</v>
      </c>
      <c r="D31" s="20">
        <v>4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</row>
    <row r="36" spans="6:12" ht="15.75">
      <c r="F36" s="55" t="s">
        <v>24</v>
      </c>
      <c r="G36" s="55"/>
      <c r="H36" s="55"/>
      <c r="I36" s="56"/>
      <c r="J36" s="56"/>
      <c r="K36" s="55" t="s">
        <v>71</v>
      </c>
      <c r="L36" s="55"/>
    </row>
    <row r="37" spans="6:12">
      <c r="F37" s="61"/>
      <c r="G37" s="61"/>
      <c r="H37" s="61"/>
      <c r="I37" s="61"/>
      <c r="J37" s="61"/>
      <c r="K37" s="61"/>
      <c r="L37" s="61"/>
    </row>
    <row r="38" spans="6:12" ht="15.75">
      <c r="F38" s="55" t="s">
        <v>25</v>
      </c>
      <c r="G38" s="55"/>
      <c r="H38" s="55"/>
      <c r="I38" s="55"/>
      <c r="J38" s="55"/>
      <c r="K38" s="55" t="s">
        <v>26</v>
      </c>
      <c r="L38" s="55"/>
    </row>
  </sheetData>
  <mergeCells count="25">
    <mergeCell ref="A7:A10"/>
    <mergeCell ref="B7:B10"/>
    <mergeCell ref="C7:C10"/>
    <mergeCell ref="D7:R7"/>
    <mergeCell ref="A6:O6"/>
    <mergeCell ref="I8:I10"/>
    <mergeCell ref="P8:P10"/>
    <mergeCell ref="A1:O1"/>
    <mergeCell ref="A2:O2"/>
    <mergeCell ref="A3:O3"/>
    <mergeCell ref="A4:O4"/>
    <mergeCell ref="A5:O5"/>
    <mergeCell ref="Q8:Q10"/>
    <mergeCell ref="R8:R10"/>
    <mergeCell ref="D8:D10"/>
    <mergeCell ref="E8:E10"/>
    <mergeCell ref="F8:F10"/>
    <mergeCell ref="G8:G10"/>
    <mergeCell ref="H8:H10"/>
    <mergeCell ref="J8:J10"/>
    <mergeCell ref="K8:K10"/>
    <mergeCell ref="L8:L10"/>
    <mergeCell ref="M8:M10"/>
    <mergeCell ref="N8:N10"/>
    <mergeCell ref="O8:O10"/>
  </mergeCells>
  <pageMargins left="0.7" right="0.7" top="0.75" bottom="0.75" header="0.3" footer="0.3"/>
  <pageSetup paperSize="9" scale="6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9"/>
  <sheetViews>
    <sheetView topLeftCell="A4" zoomScale="90" zoomScaleNormal="90" workbookViewId="0">
      <selection activeCell="F23" sqref="F23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8" width="8.85546875" customWidth="1"/>
    <col min="19" max="19" width="11.28515625" customWidth="1"/>
  </cols>
  <sheetData>
    <row r="1" spans="1:19" ht="20.25">
      <c r="A1" s="134" t="s">
        <v>18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"/>
      <c r="Q1" s="1"/>
      <c r="R1" s="1"/>
      <c r="S1" s="1"/>
    </row>
    <row r="2" spans="1:19" ht="20.25">
      <c r="A2" s="134" t="s">
        <v>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"/>
      <c r="Q2" s="1"/>
      <c r="R2" s="1"/>
      <c r="S2" s="1"/>
    </row>
    <row r="3" spans="1:19" ht="20.25">
      <c r="A3" s="191" t="s">
        <v>29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"/>
      <c r="Q3" s="1"/>
      <c r="R3" s="1"/>
      <c r="S3" s="1"/>
    </row>
    <row r="4" spans="1:19" ht="20.25">
      <c r="A4" s="134" t="s">
        <v>57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"/>
      <c r="Q4" s="1"/>
      <c r="R4" s="1"/>
      <c r="S4" s="1"/>
    </row>
    <row r="5" spans="1:19" ht="20.25">
      <c r="A5" s="134" t="s">
        <v>19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"/>
      <c r="Q5" s="1"/>
      <c r="R5" s="1"/>
      <c r="S5" s="1"/>
    </row>
    <row r="6" spans="1:19" ht="20.25">
      <c r="A6" s="192" t="s">
        <v>55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"/>
      <c r="Q6" s="1"/>
      <c r="R6" s="1"/>
      <c r="S6" s="1"/>
    </row>
    <row r="7" spans="1:19" ht="15.75">
      <c r="A7" s="136" t="s">
        <v>2</v>
      </c>
      <c r="B7" s="139" t="s">
        <v>3</v>
      </c>
      <c r="C7" s="139" t="s">
        <v>4</v>
      </c>
      <c r="D7" s="188" t="s">
        <v>20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90"/>
    </row>
    <row r="8" spans="1:19">
      <c r="A8" s="193"/>
      <c r="B8" s="195"/>
      <c r="C8" s="195"/>
      <c r="D8" s="145" t="s">
        <v>11</v>
      </c>
      <c r="E8" s="145" t="s">
        <v>79</v>
      </c>
      <c r="F8" s="145" t="s">
        <v>98</v>
      </c>
      <c r="G8" s="197" t="s">
        <v>58</v>
      </c>
      <c r="H8" s="169" t="s">
        <v>12</v>
      </c>
      <c r="I8" s="201" t="s">
        <v>59</v>
      </c>
      <c r="J8" s="181" t="s">
        <v>13</v>
      </c>
      <c r="K8" s="184" t="s">
        <v>14</v>
      </c>
      <c r="L8" s="145" t="s">
        <v>60</v>
      </c>
      <c r="M8" s="145" t="s">
        <v>61</v>
      </c>
      <c r="N8" s="178" t="s">
        <v>62</v>
      </c>
      <c r="O8" s="145" t="s">
        <v>15</v>
      </c>
      <c r="P8" s="166" t="s">
        <v>16</v>
      </c>
      <c r="Q8" s="169" t="s">
        <v>17</v>
      </c>
      <c r="R8" s="175" t="s">
        <v>28</v>
      </c>
      <c r="S8" s="172" t="s">
        <v>27</v>
      </c>
    </row>
    <row r="9" spans="1:19">
      <c r="A9" s="193"/>
      <c r="B9" s="195"/>
      <c r="C9" s="195"/>
      <c r="D9" s="144"/>
      <c r="E9" s="144"/>
      <c r="F9" s="144"/>
      <c r="G9" s="198"/>
      <c r="H9" s="170"/>
      <c r="I9" s="202"/>
      <c r="J9" s="182"/>
      <c r="K9" s="185"/>
      <c r="L9" s="144"/>
      <c r="M9" s="144"/>
      <c r="N9" s="179"/>
      <c r="O9" s="144"/>
      <c r="P9" s="167"/>
      <c r="Q9" s="170"/>
      <c r="R9" s="176"/>
      <c r="S9" s="173"/>
    </row>
    <row r="10" spans="1:19" ht="78.75" customHeight="1">
      <c r="A10" s="194"/>
      <c r="B10" s="196"/>
      <c r="C10" s="195"/>
      <c r="D10" s="187"/>
      <c r="E10" s="187"/>
      <c r="F10" s="187"/>
      <c r="G10" s="199"/>
      <c r="H10" s="200"/>
      <c r="I10" s="203"/>
      <c r="J10" s="183"/>
      <c r="K10" s="186"/>
      <c r="L10" s="187"/>
      <c r="M10" s="187"/>
      <c r="N10" s="180"/>
      <c r="O10" s="187"/>
      <c r="P10" s="168"/>
      <c r="Q10" s="171"/>
      <c r="R10" s="177"/>
      <c r="S10" s="174"/>
    </row>
    <row r="11" spans="1:19" ht="15.75">
      <c r="A11" s="2" t="s">
        <v>95</v>
      </c>
      <c r="B11" s="86">
        <v>1</v>
      </c>
      <c r="C11" s="87" t="s">
        <v>36</v>
      </c>
      <c r="D11" s="88">
        <v>10</v>
      </c>
      <c r="E11" s="89">
        <v>10</v>
      </c>
      <c r="F11" s="90">
        <v>9</v>
      </c>
      <c r="G11" s="91">
        <v>9</v>
      </c>
      <c r="H11" s="92">
        <v>8</v>
      </c>
      <c r="I11" s="93">
        <v>10</v>
      </c>
      <c r="J11" s="94">
        <v>10</v>
      </c>
      <c r="K11" s="94">
        <v>9</v>
      </c>
      <c r="L11" s="95">
        <v>8</v>
      </c>
      <c r="M11" s="96">
        <v>8</v>
      </c>
      <c r="N11" s="97">
        <v>8</v>
      </c>
      <c r="O11" s="98">
        <v>10</v>
      </c>
      <c r="P11" s="99">
        <v>8</v>
      </c>
      <c r="Q11" s="100">
        <v>11</v>
      </c>
      <c r="R11" s="101">
        <f t="shared" ref="R11:R18" si="0">AVERAGE(C11:P11)</f>
        <v>9</v>
      </c>
      <c r="S11" s="101">
        <f t="shared" ref="S11:S18" si="1">(R11*90)/12</f>
        <v>67.5</v>
      </c>
    </row>
    <row r="12" spans="1:19" ht="15.75">
      <c r="A12" s="2" t="s">
        <v>95</v>
      </c>
      <c r="B12" s="86">
        <v>2</v>
      </c>
      <c r="C12" s="87" t="s">
        <v>41</v>
      </c>
      <c r="D12" s="88">
        <v>8</v>
      </c>
      <c r="E12" s="89">
        <v>9</v>
      </c>
      <c r="F12" s="90">
        <v>9</v>
      </c>
      <c r="G12" s="91">
        <v>8</v>
      </c>
      <c r="H12" s="92">
        <v>7</v>
      </c>
      <c r="I12" s="93">
        <v>10</v>
      </c>
      <c r="J12" s="94">
        <v>9</v>
      </c>
      <c r="K12" s="94">
        <v>10</v>
      </c>
      <c r="L12" s="95">
        <v>10</v>
      </c>
      <c r="M12" s="96">
        <v>9</v>
      </c>
      <c r="N12" s="97">
        <v>9</v>
      </c>
      <c r="O12" s="98">
        <v>10</v>
      </c>
      <c r="P12" s="99">
        <v>8</v>
      </c>
      <c r="Q12" s="100">
        <v>9</v>
      </c>
      <c r="R12" s="101">
        <f t="shared" si="0"/>
        <v>8.9230769230769234</v>
      </c>
      <c r="S12" s="101">
        <f t="shared" si="1"/>
        <v>66.92307692307692</v>
      </c>
    </row>
    <row r="13" spans="1:19" ht="15.75">
      <c r="A13" s="2" t="s">
        <v>95</v>
      </c>
      <c r="B13" s="86">
        <v>3</v>
      </c>
      <c r="C13" s="87" t="s">
        <v>34</v>
      </c>
      <c r="D13" s="88">
        <v>8</v>
      </c>
      <c r="E13" s="89">
        <v>9</v>
      </c>
      <c r="F13" s="90">
        <v>6</v>
      </c>
      <c r="G13" s="91">
        <v>8</v>
      </c>
      <c r="H13" s="92">
        <v>7</v>
      </c>
      <c r="I13" s="93">
        <v>10</v>
      </c>
      <c r="J13" s="94">
        <v>9</v>
      </c>
      <c r="K13" s="94">
        <v>8</v>
      </c>
      <c r="L13" s="95">
        <v>9</v>
      </c>
      <c r="M13" s="96">
        <v>9</v>
      </c>
      <c r="N13" s="97">
        <v>8</v>
      </c>
      <c r="O13" s="98">
        <v>9</v>
      </c>
      <c r="P13" s="99">
        <v>8</v>
      </c>
      <c r="Q13" s="100">
        <v>10</v>
      </c>
      <c r="R13" s="101">
        <f t="shared" si="0"/>
        <v>8.3076923076923084</v>
      </c>
      <c r="S13" s="101">
        <f t="shared" si="1"/>
        <v>62.307692307692314</v>
      </c>
    </row>
    <row r="14" spans="1:19" ht="15.75">
      <c r="A14" s="2" t="s">
        <v>95</v>
      </c>
      <c r="B14" s="86">
        <v>4</v>
      </c>
      <c r="C14" s="87" t="s">
        <v>40</v>
      </c>
      <c r="D14" s="88">
        <v>8</v>
      </c>
      <c r="E14" s="89">
        <v>7</v>
      </c>
      <c r="F14" s="90">
        <v>8</v>
      </c>
      <c r="G14" s="91">
        <v>7</v>
      </c>
      <c r="H14" s="92">
        <v>7</v>
      </c>
      <c r="I14" s="93">
        <v>10</v>
      </c>
      <c r="J14" s="94">
        <v>7</v>
      </c>
      <c r="K14" s="94">
        <v>10</v>
      </c>
      <c r="L14" s="95">
        <v>9</v>
      </c>
      <c r="M14" s="96">
        <v>9</v>
      </c>
      <c r="N14" s="97">
        <v>7</v>
      </c>
      <c r="O14" s="98">
        <v>10</v>
      </c>
      <c r="P14" s="99">
        <v>7</v>
      </c>
      <c r="Q14" s="100">
        <v>10</v>
      </c>
      <c r="R14" s="101">
        <f t="shared" si="0"/>
        <v>8.1538461538461533</v>
      </c>
      <c r="S14" s="101">
        <f t="shared" si="1"/>
        <v>61.153846153846153</v>
      </c>
    </row>
    <row r="15" spans="1:19" ht="15.75">
      <c r="A15" s="2" t="s">
        <v>95</v>
      </c>
      <c r="B15" s="3">
        <v>5</v>
      </c>
      <c r="C15" s="59" t="s">
        <v>37</v>
      </c>
      <c r="D15" s="57">
        <v>6</v>
      </c>
      <c r="E15" s="24">
        <v>9</v>
      </c>
      <c r="F15" s="25">
        <v>7</v>
      </c>
      <c r="G15" s="22">
        <v>7</v>
      </c>
      <c r="H15" s="12">
        <v>7</v>
      </c>
      <c r="I15" s="21">
        <v>6</v>
      </c>
      <c r="J15" s="16">
        <v>8</v>
      </c>
      <c r="K15" s="16">
        <v>6</v>
      </c>
      <c r="L15" s="26">
        <v>7</v>
      </c>
      <c r="M15" s="32">
        <v>10</v>
      </c>
      <c r="N15" s="33">
        <v>9</v>
      </c>
      <c r="O15" s="37">
        <v>9</v>
      </c>
      <c r="P15" s="40">
        <v>8</v>
      </c>
      <c r="Q15" s="46">
        <v>8</v>
      </c>
      <c r="R15" s="44">
        <f t="shared" si="0"/>
        <v>7.615384615384615</v>
      </c>
      <c r="S15" s="44">
        <f t="shared" si="1"/>
        <v>57.115384615384613</v>
      </c>
    </row>
    <row r="16" spans="1:19" ht="15.75">
      <c r="A16" s="2" t="s">
        <v>95</v>
      </c>
      <c r="B16" s="3">
        <v>6</v>
      </c>
      <c r="C16" s="59" t="s">
        <v>35</v>
      </c>
      <c r="D16" s="57">
        <v>5</v>
      </c>
      <c r="E16" s="24">
        <v>9</v>
      </c>
      <c r="F16" s="25">
        <v>8</v>
      </c>
      <c r="G16" s="22">
        <v>7</v>
      </c>
      <c r="H16" s="12">
        <v>8</v>
      </c>
      <c r="I16" s="21">
        <v>6</v>
      </c>
      <c r="J16" s="16">
        <v>8</v>
      </c>
      <c r="K16" s="16">
        <v>10</v>
      </c>
      <c r="L16" s="26">
        <v>8</v>
      </c>
      <c r="M16" s="32">
        <v>7</v>
      </c>
      <c r="N16" s="33">
        <v>8</v>
      </c>
      <c r="O16" s="37">
        <v>7</v>
      </c>
      <c r="P16" s="40">
        <v>6</v>
      </c>
      <c r="Q16" s="46">
        <v>8</v>
      </c>
      <c r="R16" s="44">
        <f t="shared" si="0"/>
        <v>7.4615384615384617</v>
      </c>
      <c r="S16" s="44">
        <f t="shared" si="1"/>
        <v>55.96153846153846</v>
      </c>
    </row>
    <row r="17" spans="1:19" ht="15.75">
      <c r="A17" s="2" t="s">
        <v>95</v>
      </c>
      <c r="B17" s="3">
        <v>7</v>
      </c>
      <c r="C17" s="59" t="s">
        <v>38</v>
      </c>
      <c r="D17" s="57">
        <v>6</v>
      </c>
      <c r="E17" s="24">
        <v>6</v>
      </c>
      <c r="F17" s="25">
        <v>7</v>
      </c>
      <c r="G17" s="22">
        <v>4</v>
      </c>
      <c r="H17" s="12">
        <v>6</v>
      </c>
      <c r="I17" s="21">
        <v>6</v>
      </c>
      <c r="J17" s="16">
        <v>8</v>
      </c>
      <c r="K17" s="16">
        <v>6</v>
      </c>
      <c r="L17" s="26">
        <v>7</v>
      </c>
      <c r="M17" s="32">
        <v>9</v>
      </c>
      <c r="N17" s="33">
        <v>6</v>
      </c>
      <c r="O17" s="37">
        <v>7</v>
      </c>
      <c r="P17" s="40">
        <v>7</v>
      </c>
      <c r="Q17" s="46">
        <v>7</v>
      </c>
      <c r="R17" s="44">
        <f t="shared" si="0"/>
        <v>6.5384615384615383</v>
      </c>
      <c r="S17" s="44">
        <f t="shared" si="1"/>
        <v>49.03846153846154</v>
      </c>
    </row>
    <row r="18" spans="1:19" ht="15.75">
      <c r="A18" s="2" t="s">
        <v>95</v>
      </c>
      <c r="B18" s="3">
        <v>8</v>
      </c>
      <c r="C18" s="59" t="s">
        <v>33</v>
      </c>
      <c r="D18" s="57">
        <v>5</v>
      </c>
      <c r="E18" s="24">
        <v>7</v>
      </c>
      <c r="F18" s="25">
        <v>4</v>
      </c>
      <c r="G18" s="22">
        <v>5</v>
      </c>
      <c r="H18" s="12">
        <v>6</v>
      </c>
      <c r="I18" s="21">
        <v>7</v>
      </c>
      <c r="J18" s="16">
        <v>8</v>
      </c>
      <c r="K18" s="16">
        <v>4</v>
      </c>
      <c r="L18" s="26">
        <v>8</v>
      </c>
      <c r="M18" s="32">
        <v>8</v>
      </c>
      <c r="N18" s="33">
        <v>5</v>
      </c>
      <c r="O18" s="37">
        <v>8</v>
      </c>
      <c r="P18" s="40">
        <v>7</v>
      </c>
      <c r="Q18" s="46">
        <v>9</v>
      </c>
      <c r="R18" s="44">
        <f t="shared" si="0"/>
        <v>6.3076923076923075</v>
      </c>
      <c r="S18" s="44">
        <f t="shared" si="1"/>
        <v>47.307692307692299</v>
      </c>
    </row>
    <row r="19" spans="1:19" ht="15.75" customHeight="1">
      <c r="A19" s="61"/>
      <c r="B19" s="61"/>
      <c r="C19" s="58" t="s">
        <v>21</v>
      </c>
      <c r="D19" s="20">
        <v>8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</row>
    <row r="20" spans="1:19" s="63" customFormat="1" ht="15" customHeight="1">
      <c r="C20" s="58" t="s">
        <v>99</v>
      </c>
      <c r="D20" s="20">
        <v>2</v>
      </c>
    </row>
    <row r="21" spans="1:19" ht="15" customHeight="1">
      <c r="A21" s="61"/>
      <c r="B21" s="61"/>
      <c r="C21" s="6" t="s">
        <v>22</v>
      </c>
      <c r="D21" s="20">
        <v>0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</row>
    <row r="22" spans="1:19" ht="15" customHeight="1">
      <c r="A22" s="61"/>
      <c r="B22" s="61"/>
      <c r="C22" s="6" t="s">
        <v>23</v>
      </c>
      <c r="D22" s="20">
        <v>4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</row>
    <row r="23" spans="1:19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</row>
    <row r="24" spans="1:19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</row>
    <row r="25" spans="1:19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</row>
    <row r="26" spans="1:19">
      <c r="A26" s="61"/>
      <c r="B26" s="61"/>
      <c r="C26" s="61"/>
      <c r="D26" s="61"/>
      <c r="E26" s="54"/>
      <c r="F26" s="54"/>
      <c r="G26" s="54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</row>
    <row r="27" spans="1:19" ht="15.75">
      <c r="A27" s="61"/>
      <c r="B27" s="61"/>
      <c r="C27" s="61"/>
      <c r="D27" s="61"/>
      <c r="E27" s="55" t="s">
        <v>24</v>
      </c>
      <c r="F27" s="55"/>
      <c r="G27" s="55"/>
      <c r="H27" s="56"/>
      <c r="I27" s="56"/>
      <c r="J27" s="55" t="s">
        <v>56</v>
      </c>
      <c r="K27" s="55"/>
      <c r="L27" s="61"/>
      <c r="M27" s="61"/>
      <c r="N27" s="61"/>
      <c r="O27" s="61"/>
      <c r="P27" s="61"/>
      <c r="Q27" s="61"/>
      <c r="R27" s="61"/>
      <c r="S27" s="61"/>
    </row>
    <row r="28" spans="1:19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</row>
    <row r="29" spans="1:19" ht="15.75">
      <c r="A29" s="61"/>
      <c r="B29" s="61"/>
      <c r="C29" s="61"/>
      <c r="D29" s="61"/>
      <c r="E29" s="55" t="s">
        <v>25</v>
      </c>
      <c r="F29" s="55"/>
      <c r="G29" s="55"/>
      <c r="H29" s="55"/>
      <c r="I29" s="55"/>
      <c r="J29" s="55" t="s">
        <v>26</v>
      </c>
      <c r="K29" s="55"/>
      <c r="L29" s="61"/>
      <c r="M29" s="61"/>
      <c r="N29" s="61"/>
      <c r="O29" s="61"/>
      <c r="P29" s="61"/>
      <c r="Q29" s="61"/>
      <c r="R29" s="61"/>
      <c r="S29" s="61"/>
    </row>
  </sheetData>
  <sortState ref="C11:S18">
    <sortCondition descending="1" ref="S11:S18"/>
  </sortState>
  <mergeCells count="26">
    <mergeCell ref="A1:O1"/>
    <mergeCell ref="A2:O2"/>
    <mergeCell ref="A3:O3"/>
    <mergeCell ref="A4:O4"/>
    <mergeCell ref="A5:O5"/>
    <mergeCell ref="R8:R10"/>
    <mergeCell ref="S8:S10"/>
    <mergeCell ref="J8:J10"/>
    <mergeCell ref="K8:K10"/>
    <mergeCell ref="A6:O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ageMargins left="0.7" right="0.7" top="0.75" bottom="0.75" header="0.3" footer="0.3"/>
  <pageSetup paperSize="9" scale="6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Зведена відомість 101</vt:lpstr>
      <vt:lpstr>Рейтингова відомість 161</vt:lpstr>
      <vt:lpstr>Зведена відомість 161</vt:lpstr>
      <vt:lpstr>Рейтингова відомість 101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BONDARENKO</cp:lastModifiedBy>
  <cp:lastPrinted>2020-12-29T08:39:16Z</cp:lastPrinted>
  <dcterms:created xsi:type="dcterms:W3CDTF">2006-09-28T05:33:49Z</dcterms:created>
  <dcterms:modified xsi:type="dcterms:W3CDTF">2021-07-01T07:57:28Z</dcterms:modified>
</cp:coreProperties>
</file>