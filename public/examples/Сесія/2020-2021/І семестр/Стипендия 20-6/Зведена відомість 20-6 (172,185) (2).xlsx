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6605" windowHeight="9090" tabRatio="747" activeTab="2"/>
  </bookViews>
  <sheets>
    <sheet name="Зведена відомість 172" sheetId="2" r:id="rId1"/>
    <sheet name="Рейтингова відомість 172" sheetId="3" r:id="rId2"/>
    <sheet name="Зведена відомість 185" sheetId="4" r:id="rId3"/>
    <sheet name="Рейтингова відомість 185" sheetId="5" r:id="rId4"/>
    <sheet name="Лист1" sheetId="6" r:id="rId5"/>
  </sheets>
  <calcPr calcId="125725"/>
</workbook>
</file>

<file path=xl/calcChain.xml><?xml version="1.0" encoding="utf-8"?>
<calcChain xmlns="http://schemas.openxmlformats.org/spreadsheetml/2006/main">
  <c r="R19" i="3"/>
  <c r="S19" s="1"/>
  <c r="R17"/>
  <c r="S17" s="1"/>
  <c r="R16"/>
  <c r="S16" s="1"/>
  <c r="R15"/>
  <c r="S15" s="1"/>
  <c r="R14"/>
  <c r="S14" s="1"/>
  <c r="R13"/>
  <c r="S13" s="1"/>
  <c r="R12"/>
  <c r="S12" s="1"/>
  <c r="R11"/>
  <c r="S11" s="1"/>
  <c r="R13" i="5" l="1"/>
  <c r="S13" s="1"/>
  <c r="R14" l="1"/>
  <c r="S14" s="1"/>
  <c r="D32" i="2"/>
  <c r="R19" i="5"/>
  <c r="S19" s="1"/>
  <c r="R16"/>
  <c r="S16" s="1"/>
  <c r="R18"/>
  <c r="S18" s="1"/>
  <c r="R15"/>
  <c r="S15" s="1"/>
  <c r="R17"/>
  <c r="S17" s="1"/>
  <c r="R12"/>
  <c r="S12" s="1"/>
  <c r="R11"/>
  <c r="S11" s="1"/>
  <c r="D28" i="4"/>
  <c r="D27"/>
  <c r="Q24"/>
  <c r="P24"/>
  <c r="O24"/>
  <c r="N24"/>
  <c r="M24"/>
  <c r="L24"/>
  <c r="K24"/>
  <c r="J24"/>
  <c r="I24"/>
  <c r="H24"/>
  <c r="G24"/>
  <c r="F24"/>
  <c r="E24"/>
  <c r="D24"/>
  <c r="R23"/>
  <c r="R21"/>
  <c r="R20"/>
  <c r="R19"/>
  <c r="R18"/>
  <c r="R17"/>
  <c r="R16"/>
  <c r="R13"/>
  <c r="R12"/>
  <c r="R11"/>
  <c r="R24" l="1"/>
  <c r="R12" i="2"/>
  <c r="R13"/>
  <c r="R14"/>
  <c r="R17"/>
  <c r="R18"/>
  <c r="R19"/>
  <c r="R24"/>
  <c r="R18" i="3"/>
  <c r="R11" i="2"/>
  <c r="S18" i="3" l="1"/>
  <c r="D29" i="2"/>
  <c r="D28"/>
  <c r="E25" l="1"/>
  <c r="F25"/>
  <c r="G25"/>
  <c r="H25"/>
  <c r="I25"/>
  <c r="J25"/>
  <c r="K25"/>
  <c r="L25"/>
  <c r="M25"/>
  <c r="N25"/>
  <c r="O25"/>
  <c r="P25"/>
  <c r="Q25"/>
  <c r="D25"/>
  <c r="R25" l="1"/>
</calcChain>
</file>

<file path=xl/sharedStrings.xml><?xml version="1.0" encoding="utf-8"?>
<sst xmlns="http://schemas.openxmlformats.org/spreadsheetml/2006/main" count="292" uniqueCount="111">
  <si>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</si>
  <si>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</si>
  <si>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</si>
  <si>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</si>
  <si>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</si>
  <si>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</si>
  <si>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</si>
  <si>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</si>
  <si>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</si>
  <si>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</si>
  <si>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</si>
  <si>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</si>
  <si>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</si>
  <si>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</si>
  <si>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</si>
  <si>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</si>
  <si>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</si>
  <si>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</si>
  <si>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</si>
  <si>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</si>
  <si>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</si>
  <si>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</si>
  <si>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</si>
  <si>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</si>
  <si>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</si>
  <si>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</si>
  <si>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</si>
  <si>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 xml:space="preserve">Большаков Максим Денісович                     </t>
  </si>
  <si>
    <t xml:space="preserve">Дмитренко Юлія Сергіївна                            </t>
  </si>
  <si>
    <t xml:space="preserve">Котов Андрій Геннадійович                          </t>
  </si>
  <si>
    <t xml:space="preserve">Кошелап Микита Олексійович                      </t>
  </si>
  <si>
    <t xml:space="preserve">Краснов Владислав Олександрович              </t>
  </si>
  <si>
    <t xml:space="preserve">Лабор Руслан Олексійович                             </t>
  </si>
  <si>
    <t xml:space="preserve">Лисий Мирослав Андрійович                       </t>
  </si>
  <si>
    <t xml:space="preserve">Лозовський Ігор Ігорович                               </t>
  </si>
  <si>
    <t xml:space="preserve">Мазуренко Олександр Сергійович                </t>
  </si>
  <si>
    <t xml:space="preserve">Нежельська Катерина Вікторівна                  </t>
  </si>
  <si>
    <t xml:space="preserve">Романюк Євгеній Сергійович              </t>
  </si>
  <si>
    <t xml:space="preserve">Фомін Адріан Русланович                              </t>
  </si>
  <si>
    <t xml:space="preserve">Фрасинюк Олександр Сергійович                </t>
  </si>
  <si>
    <t xml:space="preserve">Шарлай Марія Валеріївна                              </t>
  </si>
  <si>
    <t>Успішності студентів спеціальності 185 "Нафтогазова інженерія та технології"</t>
  </si>
  <si>
    <t>Бочан Віктор Романович</t>
  </si>
  <si>
    <t>Василькован Олена Костянтинівна</t>
  </si>
  <si>
    <t>Владическу Іван Іванович</t>
  </si>
  <si>
    <t>Зуділов Олексій Олексійович</t>
  </si>
  <si>
    <t>Єрьоменко Геннадій Олександрович</t>
  </si>
  <si>
    <t>Лупенко Олександр Олегович</t>
  </si>
  <si>
    <t>Павліченко Вячеслав Володимирович</t>
  </si>
  <si>
    <t>Павліченко Дмитро Віталійович</t>
  </si>
  <si>
    <t>Печеранський Ілля Сергійович</t>
  </si>
  <si>
    <t>Сарибекян Роберт Арсенович</t>
  </si>
  <si>
    <t>Слатвінський Віктор Миколайович</t>
  </si>
  <si>
    <t>Федоров Руслан Ібрагимович</t>
  </si>
  <si>
    <t>Фендік Кирило Рафаелович</t>
  </si>
  <si>
    <t>Група 20-6 курс І</t>
  </si>
  <si>
    <t>А.О. Нестеренко</t>
  </si>
  <si>
    <t>н/а</t>
  </si>
  <si>
    <t>Всесвітня історія                  Лисяний А.О.</t>
  </si>
  <si>
    <t>Математика                            Белінська Т.С.</t>
  </si>
  <si>
    <t>Фізика Калюта. Н.М.</t>
  </si>
  <si>
    <t>Хімія Леонова Д.І.</t>
  </si>
  <si>
    <t>Інформатика                Охрімчук В.С.</t>
  </si>
  <si>
    <t>Українська мова Брітікова М.В.</t>
  </si>
  <si>
    <t>Біологія Леонова Д.І.</t>
  </si>
  <si>
    <t>Фізичне вихованки  Мунтянов Л.М.</t>
  </si>
  <si>
    <t>Іноземна мова                 Кубова Т.М.</t>
  </si>
  <si>
    <t>ЗУ                        Стельмах Н.Ю.</t>
  </si>
  <si>
    <t>92.3</t>
  </si>
  <si>
    <t>66.6</t>
  </si>
  <si>
    <t>84.6</t>
  </si>
  <si>
    <t>38.4</t>
  </si>
  <si>
    <t>54.5</t>
  </si>
  <si>
    <t>Успішності студентів спеціальності 172 "Телекомунікацї та радіотехніка"</t>
  </si>
  <si>
    <t>Б</t>
  </si>
  <si>
    <t>К</t>
  </si>
  <si>
    <t>92.9</t>
  </si>
  <si>
    <t>50.0</t>
  </si>
  <si>
    <t>57.7</t>
  </si>
  <si>
    <t>85.7</t>
  </si>
  <si>
    <t>41.6</t>
  </si>
  <si>
    <t>64.2</t>
  </si>
  <si>
    <t>100.0</t>
  </si>
  <si>
    <t>Фізичне вихованки  Мунтянов Л.Б.</t>
  </si>
  <si>
    <t>69.2</t>
  </si>
  <si>
    <t>44.4</t>
  </si>
  <si>
    <t>76.9</t>
  </si>
  <si>
    <t>92.8</t>
  </si>
  <si>
    <t>72.2</t>
  </si>
  <si>
    <t>Всесвітня історія      Лисяний А.О.</t>
  </si>
  <si>
    <t>Математика     Белінська Т.С.</t>
  </si>
  <si>
    <t>Іноземна мова  Кубова Т.М.</t>
  </si>
  <si>
    <t>ЗУ   Стельмах Н.Ю.</t>
  </si>
  <si>
    <t>Географія   Наговська Т.С.</t>
  </si>
  <si>
    <t>Фізичне виховання  Мунтянов Л.Б.</t>
  </si>
  <si>
    <t>Математика   Белінська Т.С.</t>
  </si>
  <si>
    <t>Всесвітня історія   Лисяний А.О.</t>
  </si>
  <si>
    <t>Інформатика    Охрімчук В.С.</t>
  </si>
  <si>
    <t>Іноземна мова   Кубова Т.М.</t>
  </si>
  <si>
    <t>ЗУ    Стельмах Н.Ю.</t>
  </si>
  <si>
    <t>Історія України   Левчук Т.Г.</t>
  </si>
  <si>
    <t>Всесвітня історія  Лисяний А.О.</t>
  </si>
  <si>
    <t>Математика  Белінська Т.С.</t>
  </si>
  <si>
    <t>Інформатика   Охрімчук В.С.</t>
  </si>
  <si>
    <t>Іноземна мова    Кубова Т.М.</t>
  </si>
  <si>
    <t>Кількість контрактників</t>
  </si>
  <si>
    <t>н/а   4</t>
  </si>
  <si>
    <t>н/а       4</t>
  </si>
  <si>
    <t>н/а     4</t>
  </si>
  <si>
    <t>н/а     5</t>
  </si>
  <si>
    <t>н/а      4</t>
  </si>
</sst>
</file>

<file path=xl/styles.xml><?xml version="1.0" encoding="utf-8"?>
<styleSheet xmlns="http://schemas.openxmlformats.org/spreadsheetml/2006/main">
  <numFmts count="1">
    <numFmt numFmtId="164" formatCode="0.0"/>
  </numFmts>
  <fonts count="26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Calibri"/>
      <family val="2"/>
      <charset val="204"/>
    </font>
    <font>
      <sz val="14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indexed="64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rgb="FF000000"/>
      </left>
      <right style="thin">
        <color indexed="64"/>
      </right>
      <top style="thin">
        <color indexed="8"/>
      </top>
      <bottom style="thin">
        <color indexed="8"/>
      </bottom>
      <diagonal style="thin">
        <color rgb="FF00000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</borders>
  <cellStyleXfs count="245">
    <xf numFmtId="0" fontId="0" fillId="0" borderId="0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6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0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7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</cellStyleXfs>
  <cellXfs count="225">
    <xf numFmtId="0" fontId="0" fillId="0" borderId="0" xfId="0" applyFont="1" applyAlignment="1"/>
    <xf numFmtId="0" fontId="2" fillId="0" borderId="0" xfId="0" applyFont="1"/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8" xfId="79" applyFont="1" applyFill="1" applyBorder="1" applyAlignment="1">
      <alignment horizontal="center" vertical="center"/>
    </xf>
    <xf numFmtId="2" fontId="4" fillId="4" borderId="25" xfId="79" applyNumberFormat="1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4" xfId="211" applyFont="1" applyBorder="1" applyAlignment="1">
      <alignment horizontal="center" vertical="center" wrapText="1"/>
    </xf>
    <xf numFmtId="0" fontId="8" fillId="0" borderId="30" xfId="227" applyFont="1" applyBorder="1" applyAlignment="1">
      <alignment horizontal="center" vertical="center" wrapText="1"/>
    </xf>
    <xf numFmtId="0" fontId="8" fillId="0" borderId="24" xfId="180" applyFont="1" applyBorder="1" applyAlignment="1">
      <alignment horizontal="center"/>
    </xf>
    <xf numFmtId="0" fontId="0" fillId="0" borderId="0" xfId="0" applyFont="1" applyAlignment="1"/>
    <xf numFmtId="164" fontId="11" fillId="3" borderId="16" xfId="0" applyNumberFormat="1" applyFont="1" applyFill="1" applyBorder="1" applyAlignment="1">
      <alignment horizontal="center" vertical="center"/>
    </xf>
    <xf numFmtId="0" fontId="4" fillId="4" borderId="33" xfId="79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13" fillId="0" borderId="32" xfId="0" applyFont="1" applyBorder="1" applyAlignment="1">
      <alignment horizontal="center" wrapText="1"/>
    </xf>
    <xf numFmtId="164" fontId="12" fillId="3" borderId="32" xfId="0" applyNumberFormat="1" applyFont="1" applyFill="1" applyBorder="1" applyAlignment="1">
      <alignment horizontal="center" vertical="center"/>
    </xf>
    <xf numFmtId="164" fontId="8" fillId="4" borderId="32" xfId="0" applyNumberFormat="1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13" fillId="0" borderId="30" xfId="191" applyFont="1" applyBorder="1" applyAlignment="1">
      <alignment horizontal="center" wrapText="1"/>
    </xf>
    <xf numFmtId="164" fontId="11" fillId="3" borderId="30" xfId="0" applyNumberFormat="1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5" xfId="167" applyFont="1" applyFill="1" applyBorder="1" applyAlignment="1">
      <alignment horizontal="center" vertical="center"/>
    </xf>
    <xf numFmtId="0" fontId="18" fillId="5" borderId="34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164" fontId="11" fillId="3" borderId="24" xfId="0" applyNumberFormat="1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8" fillId="0" borderId="32" xfId="16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41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0" fillId="0" borderId="0" xfId="0" applyFont="1" applyAlignment="1"/>
    <xf numFmtId="0" fontId="8" fillId="0" borderId="4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164" fontId="8" fillId="4" borderId="18" xfId="0" applyNumberFormat="1" applyFont="1" applyFill="1" applyBorder="1" applyAlignment="1">
      <alignment horizontal="center" vertical="center"/>
    </xf>
    <xf numFmtId="2" fontId="8" fillId="4" borderId="18" xfId="0" applyNumberFormat="1" applyFont="1" applyFill="1" applyBorder="1" applyAlignment="1">
      <alignment horizontal="center" vertical="center"/>
    </xf>
    <xf numFmtId="0" fontId="8" fillId="4" borderId="28" xfId="79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8" fillId="6" borderId="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8" fillId="7" borderId="41" xfId="0" applyFont="1" applyFill="1" applyBorder="1" applyAlignment="1">
      <alignment horizontal="center" vertical="center" wrapText="1"/>
    </xf>
    <xf numFmtId="0" fontId="8" fillId="7" borderId="24" xfId="211" applyFont="1" applyFill="1" applyBorder="1" applyAlignment="1">
      <alignment horizontal="center" vertical="center" wrapText="1"/>
    </xf>
    <xf numFmtId="0" fontId="8" fillId="7" borderId="30" xfId="227" applyFont="1" applyFill="1" applyBorder="1" applyAlignment="1">
      <alignment horizontal="center" vertical="center" wrapText="1"/>
    </xf>
    <xf numFmtId="0" fontId="8" fillId="7" borderId="32" xfId="16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37" xfId="0" applyFont="1" applyFill="1" applyBorder="1" applyAlignment="1">
      <alignment horizontal="center" vertical="center" wrapText="1"/>
    </xf>
    <xf numFmtId="0" fontId="8" fillId="7" borderId="24" xfId="180" applyFont="1" applyFill="1" applyBorder="1" applyAlignment="1">
      <alignment horizontal="center"/>
    </xf>
    <xf numFmtId="0" fontId="8" fillId="7" borderId="29" xfId="0" applyFont="1" applyFill="1" applyBorder="1" applyAlignment="1">
      <alignment horizontal="center"/>
    </xf>
    <xf numFmtId="0" fontId="13" fillId="7" borderId="32" xfId="0" applyFont="1" applyFill="1" applyBorder="1" applyAlignment="1">
      <alignment horizontal="center" wrapText="1"/>
    </xf>
    <xf numFmtId="0" fontId="13" fillId="7" borderId="30" xfId="191" applyFont="1" applyFill="1" applyBorder="1" applyAlignment="1">
      <alignment horizontal="center" wrapText="1"/>
    </xf>
    <xf numFmtId="0" fontId="8" fillId="7" borderId="34" xfId="0" applyFont="1" applyFill="1" applyBorder="1" applyAlignment="1">
      <alignment horizontal="center" vertical="center" wrapText="1"/>
    </xf>
    <xf numFmtId="164" fontId="11" fillId="7" borderId="13" xfId="0" applyNumberFormat="1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8" fillId="7" borderId="30" xfId="16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justify" vertical="center" wrapText="1"/>
    </xf>
    <xf numFmtId="0" fontId="13" fillId="0" borderId="30" xfId="0" applyFont="1" applyBorder="1" applyAlignment="1">
      <alignment vertical="center" wrapText="1"/>
    </xf>
    <xf numFmtId="0" fontId="0" fillId="0" borderId="0" xfId="0" applyFont="1" applyAlignment="1"/>
    <xf numFmtId="0" fontId="25" fillId="0" borderId="30" xfId="0" applyFont="1" applyBorder="1" applyAlignment="1">
      <alignment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13" fillId="7" borderId="30" xfId="0" applyFont="1" applyFill="1" applyBorder="1" applyAlignment="1">
      <alignment horizontal="justify" vertical="center" wrapText="1"/>
    </xf>
    <xf numFmtId="0" fontId="13" fillId="7" borderId="30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vertical="center" wrapText="1"/>
    </xf>
    <xf numFmtId="0" fontId="8" fillId="7" borderId="54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164" fontId="11" fillId="3" borderId="13" xfId="0" applyNumberFormat="1" applyFont="1" applyFill="1" applyBorder="1" applyAlignment="1">
      <alignment horizontal="center" vertical="center"/>
    </xf>
    <xf numFmtId="164" fontId="12" fillId="3" borderId="57" xfId="0" applyNumberFormat="1" applyFont="1" applyFill="1" applyBorder="1" applyAlignment="1">
      <alignment horizontal="center" vertical="center"/>
    </xf>
    <xf numFmtId="164" fontId="11" fillId="3" borderId="40" xfId="0" applyNumberFormat="1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0" fontId="13" fillId="7" borderId="56" xfId="0" applyFont="1" applyFill="1" applyBorder="1" applyAlignment="1">
      <alignment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/>
    </xf>
    <xf numFmtId="0" fontId="13" fillId="7" borderId="30" xfId="0" applyFont="1" applyFill="1" applyBorder="1" applyAlignment="1">
      <alignment horizontal="center" wrapText="1"/>
    </xf>
    <xf numFmtId="164" fontId="11" fillId="7" borderId="30" xfId="0" applyNumberFormat="1" applyFont="1" applyFill="1" applyBorder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/>
    </xf>
    <xf numFmtId="164" fontId="11" fillId="0" borderId="30" xfId="0" applyNumberFormat="1" applyFont="1" applyFill="1" applyBorder="1" applyAlignment="1">
      <alignment horizontal="center" vertical="center"/>
    </xf>
    <xf numFmtId="2" fontId="11" fillId="0" borderId="30" xfId="0" applyNumberFormat="1" applyFont="1" applyFill="1" applyBorder="1" applyAlignment="1">
      <alignment horizontal="center" vertical="center"/>
    </xf>
    <xf numFmtId="0" fontId="13" fillId="7" borderId="40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8" fillId="6" borderId="40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13" fillId="7" borderId="59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3" fillId="0" borderId="57" xfId="0" applyFont="1" applyBorder="1" applyAlignment="1">
      <alignment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/>
    </xf>
    <xf numFmtId="0" fontId="13" fillId="0" borderId="40" xfId="0" applyFont="1" applyBorder="1" applyAlignment="1">
      <alignment horizont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wrapText="1"/>
    </xf>
    <xf numFmtId="0" fontId="8" fillId="0" borderId="60" xfId="211" applyFont="1" applyBorder="1" applyAlignment="1">
      <alignment horizontal="left" vertical="center" wrapText="1"/>
    </xf>
    <xf numFmtId="0" fontId="8" fillId="0" borderId="61" xfId="160" applyFont="1" applyBorder="1" applyAlignment="1">
      <alignment horizontal="left" vertical="center" wrapText="1"/>
    </xf>
    <xf numFmtId="0" fontId="8" fillId="0" borderId="62" xfId="0" applyFont="1" applyBorder="1" applyAlignment="1">
      <alignment horizontal="left" vertical="center" wrapText="1"/>
    </xf>
    <xf numFmtId="0" fontId="8" fillId="0" borderId="63" xfId="0" applyFont="1" applyBorder="1" applyAlignment="1">
      <alignment horizontal="left" vertical="center" wrapText="1"/>
    </xf>
    <xf numFmtId="0" fontId="8" fillId="0" borderId="63" xfId="0" applyFont="1" applyBorder="1" applyAlignment="1">
      <alignment horizontal="left"/>
    </xf>
    <xf numFmtId="0" fontId="13" fillId="0" borderId="63" xfId="191" applyFont="1" applyBorder="1" applyAlignment="1">
      <alignment horizontal="left" wrapText="1"/>
    </xf>
    <xf numFmtId="0" fontId="8" fillId="0" borderId="63" xfId="0" applyFont="1" applyFill="1" applyBorder="1" applyAlignment="1">
      <alignment horizontal="left" vertical="center" wrapText="1"/>
    </xf>
    <xf numFmtId="0" fontId="8" fillId="0" borderId="63" xfId="211" applyFont="1" applyBorder="1" applyAlignment="1">
      <alignment horizontal="left" vertical="center" wrapText="1"/>
    </xf>
    <xf numFmtId="0" fontId="8" fillId="0" borderId="63" xfId="227" applyFont="1" applyBorder="1" applyAlignment="1">
      <alignment horizontal="left" vertical="center" wrapText="1"/>
    </xf>
    <xf numFmtId="0" fontId="8" fillId="0" borderId="64" xfId="0" applyFont="1" applyBorder="1" applyAlignment="1">
      <alignment horizontal="left" vertical="center" wrapText="1"/>
    </xf>
    <xf numFmtId="0" fontId="8" fillId="0" borderId="63" xfId="180" applyFont="1" applyBorder="1" applyAlignment="1">
      <alignment horizontal="left"/>
    </xf>
    <xf numFmtId="0" fontId="13" fillId="0" borderId="63" xfId="0" applyFont="1" applyBorder="1" applyAlignment="1">
      <alignment horizontal="left" wrapText="1"/>
    </xf>
    <xf numFmtId="0" fontId="8" fillId="0" borderId="30" xfId="0" applyFont="1" applyBorder="1" applyAlignment="1">
      <alignment horizontal="center" textRotation="90" wrapText="1"/>
    </xf>
    <xf numFmtId="0" fontId="23" fillId="0" borderId="30" xfId="0" applyFont="1" applyBorder="1"/>
    <xf numFmtId="0" fontId="4" fillId="0" borderId="30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43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/>
    <xf numFmtId="0" fontId="5" fillId="0" borderId="16" xfId="0" applyFont="1" applyBorder="1"/>
    <xf numFmtId="0" fontId="4" fillId="2" borderId="30" xfId="0" applyFont="1" applyFill="1" applyBorder="1" applyAlignment="1">
      <alignment horizontal="center" vertical="center" wrapText="1"/>
    </xf>
    <xf numFmtId="0" fontId="5" fillId="0" borderId="30" xfId="0" applyFont="1" applyBorder="1"/>
    <xf numFmtId="0" fontId="4" fillId="0" borderId="30" xfId="0" applyFont="1" applyBorder="1" applyAlignment="1">
      <alignment horizontal="center"/>
    </xf>
    <xf numFmtId="0" fontId="6" fillId="2" borderId="30" xfId="0" applyFont="1" applyFill="1" applyBorder="1" applyAlignment="1">
      <alignment horizontal="center" vertical="center" textRotation="90" wrapText="1"/>
    </xf>
    <xf numFmtId="0" fontId="4" fillId="0" borderId="4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textRotation="90" wrapText="1"/>
    </xf>
    <xf numFmtId="0" fontId="23" fillId="0" borderId="7" xfId="0" applyFont="1" applyBorder="1"/>
    <xf numFmtId="0" fontId="8" fillId="0" borderId="5" xfId="0" applyFont="1" applyBorder="1" applyAlignment="1">
      <alignment horizontal="center" textRotation="90" wrapText="1"/>
    </xf>
    <xf numFmtId="0" fontId="23" fillId="0" borderId="5" xfId="0" applyFont="1" applyBorder="1"/>
    <xf numFmtId="0" fontId="8" fillId="0" borderId="36" xfId="0" applyFont="1" applyBorder="1" applyAlignment="1">
      <alignment horizontal="center" textRotation="90" wrapText="1"/>
    </xf>
    <xf numFmtId="0" fontId="23" fillId="0" borderId="36" xfId="0" applyFont="1" applyBorder="1"/>
    <xf numFmtId="0" fontId="8" fillId="0" borderId="40" xfId="0" applyFont="1" applyBorder="1" applyAlignment="1">
      <alignment horizontal="center" textRotation="90" wrapText="1"/>
    </xf>
    <xf numFmtId="0" fontId="23" fillId="0" borderId="38" xfId="0" applyFont="1" applyBorder="1"/>
    <xf numFmtId="0" fontId="8" fillId="0" borderId="50" xfId="0" applyFont="1" applyBorder="1" applyAlignment="1">
      <alignment horizontal="center" textRotation="90" wrapText="1"/>
    </xf>
    <xf numFmtId="0" fontId="23" fillId="0" borderId="50" xfId="0" applyFont="1" applyBorder="1"/>
    <xf numFmtId="0" fontId="4" fillId="0" borderId="5" xfId="0" applyFont="1" applyBorder="1" applyAlignment="1">
      <alignment horizontal="center" textRotation="90" wrapText="1"/>
    </xf>
    <xf numFmtId="0" fontId="8" fillId="0" borderId="45" xfId="0" applyFont="1" applyBorder="1" applyAlignment="1">
      <alignment horizontal="center" textRotation="90" wrapText="1"/>
    </xf>
    <xf numFmtId="0" fontId="23" fillId="0" borderId="45" xfId="0" applyFont="1" applyBorder="1"/>
    <xf numFmtId="0" fontId="4" fillId="0" borderId="40" xfId="0" applyFont="1" applyBorder="1" applyAlignment="1">
      <alignment horizontal="center" textRotation="90" wrapText="1"/>
    </xf>
    <xf numFmtId="0" fontId="20" fillId="2" borderId="39" xfId="0" applyFont="1" applyFill="1" applyBorder="1" applyAlignment="1">
      <alignment horizontal="center" vertical="center" textRotation="90" wrapText="1"/>
    </xf>
    <xf numFmtId="0" fontId="6" fillId="2" borderId="39" xfId="0" applyFont="1" applyFill="1" applyBorder="1" applyAlignment="1">
      <alignment horizontal="center" vertical="center" textRotation="90" wrapText="1"/>
    </xf>
    <xf numFmtId="0" fontId="20" fillId="0" borderId="3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textRotation="90" wrapText="1"/>
    </xf>
    <xf numFmtId="0" fontId="23" fillId="0" borderId="15" xfId="0" applyFont="1" applyBorder="1"/>
    <xf numFmtId="0" fontId="4" fillId="0" borderId="1" xfId="0" applyFont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3" xfId="0" applyFont="1" applyBorder="1"/>
    <xf numFmtId="0" fontId="5" fillId="0" borderId="4" xfId="0" applyFont="1" applyBorder="1"/>
    <xf numFmtId="0" fontId="22" fillId="0" borderId="0" xfId="0" applyFont="1" applyAlignment="1">
      <alignment horizontal="center"/>
    </xf>
    <xf numFmtId="0" fontId="4" fillId="0" borderId="7" xfId="0" applyFont="1" applyBorder="1" applyAlignment="1">
      <alignment horizontal="center" textRotation="90" wrapText="1"/>
    </xf>
    <xf numFmtId="0" fontId="8" fillId="0" borderId="22" xfId="0" applyFont="1" applyBorder="1" applyAlignment="1">
      <alignment horizontal="center" textRotation="90" wrapText="1"/>
    </xf>
    <xf numFmtId="0" fontId="23" fillId="0" borderId="22" xfId="0" applyFont="1" applyBorder="1"/>
    <xf numFmtId="0" fontId="23" fillId="0" borderId="17" xfId="0" applyFont="1" applyBorder="1"/>
    <xf numFmtId="0" fontId="6" fillId="2" borderId="8" xfId="0" applyFont="1" applyFill="1" applyBorder="1" applyAlignment="1">
      <alignment horizontal="center" vertical="center" textRotation="90" wrapText="1"/>
    </xf>
    <xf numFmtId="0" fontId="5" fillId="0" borderId="8" xfId="0" applyFont="1" applyBorder="1"/>
    <xf numFmtId="0" fontId="5" fillId="0" borderId="14" xfId="0" applyFont="1" applyBorder="1"/>
    <xf numFmtId="0" fontId="8" fillId="0" borderId="20" xfId="0" applyFont="1" applyBorder="1" applyAlignment="1">
      <alignment horizontal="center" textRotation="90" wrapText="1"/>
    </xf>
    <xf numFmtId="0" fontId="23" fillId="0" borderId="16" xfId="0" applyFont="1" applyBorder="1"/>
    <xf numFmtId="0" fontId="8" fillId="0" borderId="9" xfId="0" applyFont="1" applyBorder="1" applyAlignment="1">
      <alignment horizontal="center" textRotation="90" wrapText="1"/>
    </xf>
    <xf numFmtId="0" fontId="23" fillId="0" borderId="9" xfId="0" applyFont="1" applyBorder="1"/>
    <xf numFmtId="0" fontId="23" fillId="0" borderId="11" xfId="0" applyFont="1" applyBorder="1"/>
    <xf numFmtId="0" fontId="8" fillId="0" borderId="6" xfId="0" applyFont="1" applyBorder="1" applyAlignment="1">
      <alignment horizontal="center" textRotation="90" wrapText="1"/>
    </xf>
    <xf numFmtId="0" fontId="23" fillId="0" borderId="6" xfId="0" applyFont="1" applyBorder="1"/>
    <xf numFmtId="0" fontId="23" fillId="0" borderId="12" xfId="0" applyFont="1" applyBorder="1"/>
    <xf numFmtId="0" fontId="8" fillId="0" borderId="49" xfId="0" applyFont="1" applyBorder="1" applyAlignment="1">
      <alignment horizontal="center" textRotation="90" wrapText="1"/>
    </xf>
    <xf numFmtId="0" fontId="23" fillId="0" borderId="51" xfId="0" applyFont="1" applyBorder="1"/>
    <xf numFmtId="0" fontId="8" fillId="0" borderId="44" xfId="0" applyFont="1" applyBorder="1" applyAlignment="1">
      <alignment horizontal="center" textRotation="90" wrapText="1"/>
    </xf>
    <xf numFmtId="0" fontId="23" fillId="0" borderId="46" xfId="0" applyFont="1" applyBorder="1"/>
    <xf numFmtId="0" fontId="20" fillId="0" borderId="49" xfId="0" applyFont="1" applyBorder="1" applyAlignment="1">
      <alignment horizontal="center" vertical="center" textRotation="90" wrapText="1"/>
    </xf>
    <xf numFmtId="0" fontId="20" fillId="0" borderId="50" xfId="0" applyFont="1" applyBorder="1" applyAlignment="1">
      <alignment horizontal="center" vertical="center" textRotation="90" wrapText="1"/>
    </xf>
    <xf numFmtId="0" fontId="20" fillId="0" borderId="55" xfId="0" applyFont="1" applyBorder="1" applyAlignment="1">
      <alignment horizontal="center" vertical="center" textRotation="90" wrapText="1"/>
    </xf>
    <xf numFmtId="0" fontId="20" fillId="2" borderId="30" xfId="0" applyFont="1" applyFill="1" applyBorder="1" applyAlignment="1">
      <alignment horizontal="center" vertical="center" textRotation="90" wrapText="1"/>
    </xf>
    <xf numFmtId="0" fontId="8" fillId="0" borderId="52" xfId="0" applyFont="1" applyBorder="1" applyAlignment="1">
      <alignment horizontal="center" textRotation="90" wrapText="1"/>
    </xf>
    <xf numFmtId="0" fontId="23" fillId="0" borderId="53" xfId="0" applyFont="1" applyBorder="1"/>
    <xf numFmtId="0" fontId="22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8" fillId="0" borderId="47" xfId="0" applyFont="1" applyBorder="1" applyAlignment="1">
      <alignment horizontal="center" textRotation="90" wrapText="1"/>
    </xf>
    <xf numFmtId="0" fontId="23" fillId="0" borderId="48" xfId="0" applyFont="1" applyBorder="1"/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zoomScale="80" zoomScaleNormal="80" workbookViewId="0">
      <selection activeCell="S14" sqref="S14"/>
    </sheetView>
  </sheetViews>
  <sheetFormatPr defaultColWidth="14.42578125" defaultRowHeight="15" customHeight="1"/>
  <cols>
    <col min="1" max="1" width="4.28515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7109375" customWidth="1"/>
    <col min="13" max="13" width="8.7109375" customWidth="1"/>
    <col min="14" max="14" width="9.5703125" customWidth="1"/>
    <col min="15" max="15" width="9.7109375" customWidth="1"/>
    <col min="16" max="17" width="8.7109375" customWidth="1"/>
    <col min="18" max="18" width="11.28515625" customWidth="1"/>
  </cols>
  <sheetData>
    <row r="1" spans="1:18" ht="15" customHeight="1">
      <c r="A1" s="144" t="s">
        <v>15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"/>
      <c r="Q1" s="1"/>
      <c r="R1" s="1"/>
    </row>
    <row r="2" spans="1:18" ht="15" customHeight="1">
      <c r="A2" s="144" t="s">
        <v>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"/>
      <c r="R2" s="1"/>
    </row>
    <row r="3" spans="1:18" ht="15" customHeight="1">
      <c r="A3" s="146" t="s">
        <v>1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"/>
      <c r="Q3" s="1"/>
      <c r="R3" s="1"/>
    </row>
    <row r="4" spans="1:18" ht="15" customHeight="1">
      <c r="A4" s="147" t="s">
        <v>73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"/>
      <c r="Q4" s="1"/>
      <c r="R4" s="1"/>
    </row>
    <row r="5" spans="1:18" ht="15" customHeight="1">
      <c r="A5" s="147" t="s">
        <v>16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"/>
      <c r="Q5" s="1"/>
      <c r="R5" s="1"/>
    </row>
    <row r="6" spans="1:18" ht="15" customHeight="1" thickBot="1">
      <c r="A6" s="148" t="s">
        <v>55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17"/>
      <c r="Q6" s="117"/>
      <c r="R6" s="117"/>
    </row>
    <row r="7" spans="1:18" ht="15" customHeight="1">
      <c r="A7" s="150" t="s">
        <v>2</v>
      </c>
      <c r="B7" s="153" t="s">
        <v>3</v>
      </c>
      <c r="C7" s="153" t="s">
        <v>4</v>
      </c>
      <c r="D7" s="155" t="s">
        <v>17</v>
      </c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</row>
    <row r="8" spans="1:18" ht="15" customHeight="1">
      <c r="A8" s="151"/>
      <c r="B8" s="154"/>
      <c r="C8" s="154"/>
      <c r="D8" s="141" t="s">
        <v>11</v>
      </c>
      <c r="E8" s="143" t="s">
        <v>96</v>
      </c>
      <c r="F8" s="143" t="s">
        <v>95</v>
      </c>
      <c r="G8" s="141" t="s">
        <v>60</v>
      </c>
      <c r="H8" s="141" t="s">
        <v>61</v>
      </c>
      <c r="I8" s="143" t="s">
        <v>97</v>
      </c>
      <c r="J8" s="141" t="s">
        <v>63</v>
      </c>
      <c r="K8" s="141" t="s">
        <v>12</v>
      </c>
      <c r="L8" s="141" t="s">
        <v>64</v>
      </c>
      <c r="M8" s="141" t="s">
        <v>83</v>
      </c>
      <c r="N8" s="143" t="s">
        <v>98</v>
      </c>
      <c r="O8" s="143" t="s">
        <v>99</v>
      </c>
      <c r="P8" s="143" t="s">
        <v>100</v>
      </c>
      <c r="Q8" s="143" t="s">
        <v>93</v>
      </c>
      <c r="R8" s="156" t="s">
        <v>5</v>
      </c>
    </row>
    <row r="9" spans="1:18" ht="15" customHeight="1">
      <c r="A9" s="151"/>
      <c r="B9" s="154"/>
      <c r="C9" s="154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54"/>
    </row>
    <row r="10" spans="1:18" ht="85.5" customHeight="1">
      <c r="A10" s="152"/>
      <c r="B10" s="154"/>
      <c r="C10" s="154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54"/>
    </row>
    <row r="11" spans="1:18" ht="15" customHeight="1">
      <c r="A11" s="59" t="s">
        <v>74</v>
      </c>
      <c r="B11" s="50">
        <v>1</v>
      </c>
      <c r="C11" s="122" t="s">
        <v>27</v>
      </c>
      <c r="D11" s="123">
        <v>6</v>
      </c>
      <c r="E11" s="123">
        <v>9</v>
      </c>
      <c r="F11" s="123">
        <v>5</v>
      </c>
      <c r="G11" s="123">
        <v>6</v>
      </c>
      <c r="H11" s="123">
        <v>6</v>
      </c>
      <c r="I11" s="123">
        <v>4</v>
      </c>
      <c r="J11" s="123">
        <v>6</v>
      </c>
      <c r="K11" s="123">
        <v>4</v>
      </c>
      <c r="L11" s="124">
        <v>6</v>
      </c>
      <c r="M11" s="124">
        <v>10</v>
      </c>
      <c r="N11" s="125">
        <v>6</v>
      </c>
      <c r="O11" s="125">
        <v>9</v>
      </c>
      <c r="P11" s="123">
        <v>6</v>
      </c>
      <c r="Q11" s="123">
        <v>7</v>
      </c>
      <c r="R11" s="100">
        <f>AVERAGE(D11:Q11)</f>
        <v>6.4285714285714288</v>
      </c>
    </row>
    <row r="12" spans="1:18" ht="15" customHeight="1">
      <c r="A12" s="60" t="s">
        <v>74</v>
      </c>
      <c r="B12" s="51">
        <v>2</v>
      </c>
      <c r="C12" s="99" t="s">
        <v>28</v>
      </c>
      <c r="D12" s="103">
        <v>10</v>
      </c>
      <c r="E12" s="103">
        <v>10</v>
      </c>
      <c r="F12" s="103">
        <v>7</v>
      </c>
      <c r="G12" s="103">
        <v>7</v>
      </c>
      <c r="H12" s="103">
        <v>8</v>
      </c>
      <c r="I12" s="103">
        <v>8</v>
      </c>
      <c r="J12" s="103">
        <v>8</v>
      </c>
      <c r="K12" s="103">
        <v>10</v>
      </c>
      <c r="L12" s="104">
        <v>8</v>
      </c>
      <c r="M12" s="104">
        <v>11</v>
      </c>
      <c r="N12" s="105">
        <v>8</v>
      </c>
      <c r="O12" s="105">
        <v>9</v>
      </c>
      <c r="P12" s="103">
        <v>7</v>
      </c>
      <c r="Q12" s="103">
        <v>10</v>
      </c>
      <c r="R12" s="100">
        <f t="shared" ref="R12:R25" si="0">AVERAGE(D12:Q12)</f>
        <v>8.6428571428571423</v>
      </c>
    </row>
    <row r="13" spans="1:18" ht="15" customHeight="1">
      <c r="A13" s="60" t="s">
        <v>74</v>
      </c>
      <c r="B13" s="51">
        <v>3</v>
      </c>
      <c r="C13" s="99" t="s">
        <v>29</v>
      </c>
      <c r="D13" s="103">
        <v>7</v>
      </c>
      <c r="E13" s="103">
        <v>10</v>
      </c>
      <c r="F13" s="103">
        <v>10</v>
      </c>
      <c r="G13" s="103">
        <v>8</v>
      </c>
      <c r="H13" s="103">
        <v>9</v>
      </c>
      <c r="I13" s="103">
        <v>8</v>
      </c>
      <c r="J13" s="103">
        <v>9</v>
      </c>
      <c r="K13" s="103">
        <v>9</v>
      </c>
      <c r="L13" s="104">
        <v>9</v>
      </c>
      <c r="M13" s="104">
        <v>10</v>
      </c>
      <c r="N13" s="105">
        <v>10</v>
      </c>
      <c r="O13" s="105">
        <v>9</v>
      </c>
      <c r="P13" s="103">
        <v>7</v>
      </c>
      <c r="Q13" s="103">
        <v>10</v>
      </c>
      <c r="R13" s="100">
        <f t="shared" si="0"/>
        <v>8.9285714285714288</v>
      </c>
    </row>
    <row r="14" spans="1:18" ht="15" customHeight="1">
      <c r="A14" s="59" t="s">
        <v>74</v>
      </c>
      <c r="B14" s="51">
        <v>4</v>
      </c>
      <c r="C14" s="99" t="s">
        <v>30</v>
      </c>
      <c r="D14" s="103">
        <v>8</v>
      </c>
      <c r="E14" s="103">
        <v>10</v>
      </c>
      <c r="F14" s="103">
        <v>5</v>
      </c>
      <c r="G14" s="103">
        <v>6</v>
      </c>
      <c r="H14" s="103">
        <v>7</v>
      </c>
      <c r="I14" s="103">
        <v>6</v>
      </c>
      <c r="J14" s="103">
        <v>6</v>
      </c>
      <c r="K14" s="103">
        <v>6</v>
      </c>
      <c r="L14" s="104">
        <v>7</v>
      </c>
      <c r="M14" s="104">
        <v>10</v>
      </c>
      <c r="N14" s="105">
        <v>7</v>
      </c>
      <c r="O14" s="105">
        <v>9</v>
      </c>
      <c r="P14" s="103">
        <v>7</v>
      </c>
      <c r="Q14" s="103">
        <v>10</v>
      </c>
      <c r="R14" s="100">
        <f t="shared" si="0"/>
        <v>7.4285714285714288</v>
      </c>
    </row>
    <row r="15" spans="1:18" ht="15" customHeight="1">
      <c r="A15" s="60" t="s">
        <v>74</v>
      </c>
      <c r="B15" s="51">
        <v>5</v>
      </c>
      <c r="C15" s="99" t="s">
        <v>31</v>
      </c>
      <c r="D15" s="103">
        <v>9</v>
      </c>
      <c r="E15" s="103">
        <v>9</v>
      </c>
      <c r="F15" s="103">
        <v>8</v>
      </c>
      <c r="G15" s="103">
        <v>6</v>
      </c>
      <c r="H15" s="103">
        <v>4</v>
      </c>
      <c r="I15" s="103">
        <v>4</v>
      </c>
      <c r="J15" s="103">
        <v>9</v>
      </c>
      <c r="K15" s="103">
        <v>5</v>
      </c>
      <c r="L15" s="104">
        <v>7</v>
      </c>
      <c r="M15" s="104">
        <v>10</v>
      </c>
      <c r="N15" s="105">
        <v>6</v>
      </c>
      <c r="O15" s="128" t="s">
        <v>107</v>
      </c>
      <c r="P15" s="103">
        <v>7</v>
      </c>
      <c r="Q15" s="103">
        <v>7</v>
      </c>
      <c r="R15" s="100"/>
    </row>
    <row r="16" spans="1:18" ht="15" customHeight="1">
      <c r="A16" s="60" t="s">
        <v>74</v>
      </c>
      <c r="B16" s="51">
        <v>6</v>
      </c>
      <c r="C16" s="99" t="s">
        <v>32</v>
      </c>
      <c r="D16" s="103">
        <v>5</v>
      </c>
      <c r="E16" s="127" t="s">
        <v>106</v>
      </c>
      <c r="F16" s="103">
        <v>8</v>
      </c>
      <c r="G16" s="126" t="s">
        <v>106</v>
      </c>
      <c r="H16" s="103">
        <v>4</v>
      </c>
      <c r="I16" s="103">
        <v>4</v>
      </c>
      <c r="J16" s="103">
        <v>4</v>
      </c>
      <c r="K16" s="103">
        <v>10</v>
      </c>
      <c r="L16" s="104">
        <v>5</v>
      </c>
      <c r="M16" s="104">
        <v>10</v>
      </c>
      <c r="N16" s="105">
        <v>9</v>
      </c>
      <c r="O16" s="105">
        <v>6</v>
      </c>
      <c r="P16" s="103">
        <v>5</v>
      </c>
      <c r="Q16" s="103">
        <v>8</v>
      </c>
      <c r="R16" s="100"/>
    </row>
    <row r="17" spans="1:18" ht="15" customHeight="1">
      <c r="A17" s="59" t="s">
        <v>74</v>
      </c>
      <c r="B17" s="51">
        <v>7</v>
      </c>
      <c r="C17" s="99" t="s">
        <v>33</v>
      </c>
      <c r="D17" s="103">
        <v>7</v>
      </c>
      <c r="E17" s="103">
        <v>7</v>
      </c>
      <c r="F17" s="103">
        <v>5</v>
      </c>
      <c r="G17" s="103">
        <v>5</v>
      </c>
      <c r="H17" s="103">
        <v>7</v>
      </c>
      <c r="I17" s="103">
        <v>4</v>
      </c>
      <c r="J17" s="103">
        <v>7</v>
      </c>
      <c r="K17" s="103">
        <v>5</v>
      </c>
      <c r="L17" s="104">
        <v>7</v>
      </c>
      <c r="M17" s="104">
        <v>10</v>
      </c>
      <c r="N17" s="105">
        <v>7</v>
      </c>
      <c r="O17" s="105">
        <v>8</v>
      </c>
      <c r="P17" s="103">
        <v>5</v>
      </c>
      <c r="Q17" s="103">
        <v>7</v>
      </c>
      <c r="R17" s="100">
        <f t="shared" si="0"/>
        <v>6.5</v>
      </c>
    </row>
    <row r="18" spans="1:18" ht="15" customHeight="1">
      <c r="A18" s="60" t="s">
        <v>74</v>
      </c>
      <c r="B18" s="51">
        <v>8</v>
      </c>
      <c r="C18" s="99" t="s">
        <v>34</v>
      </c>
      <c r="D18" s="103">
        <v>7</v>
      </c>
      <c r="E18" s="103">
        <v>7</v>
      </c>
      <c r="F18" s="103">
        <v>6</v>
      </c>
      <c r="G18" s="103">
        <v>6</v>
      </c>
      <c r="H18" s="103">
        <v>7</v>
      </c>
      <c r="I18" s="103">
        <v>7</v>
      </c>
      <c r="J18" s="103">
        <v>7</v>
      </c>
      <c r="K18" s="103">
        <v>8</v>
      </c>
      <c r="L18" s="104">
        <v>6</v>
      </c>
      <c r="M18" s="104">
        <v>10</v>
      </c>
      <c r="N18" s="105">
        <v>7</v>
      </c>
      <c r="O18" s="105">
        <v>9</v>
      </c>
      <c r="P18" s="103">
        <v>7</v>
      </c>
      <c r="Q18" s="103">
        <v>9</v>
      </c>
      <c r="R18" s="100">
        <f t="shared" si="0"/>
        <v>7.3571428571428568</v>
      </c>
    </row>
    <row r="19" spans="1:18" ht="15" customHeight="1">
      <c r="A19" s="60" t="s">
        <v>74</v>
      </c>
      <c r="B19" s="51">
        <v>9</v>
      </c>
      <c r="C19" s="99" t="s">
        <v>35</v>
      </c>
      <c r="D19" s="103">
        <v>5</v>
      </c>
      <c r="E19" s="103">
        <v>9</v>
      </c>
      <c r="F19" s="103">
        <v>4</v>
      </c>
      <c r="G19" s="103">
        <v>4</v>
      </c>
      <c r="H19" s="103">
        <v>7</v>
      </c>
      <c r="I19" s="103">
        <v>4</v>
      </c>
      <c r="J19" s="103">
        <v>5</v>
      </c>
      <c r="K19" s="103">
        <v>10</v>
      </c>
      <c r="L19" s="104">
        <v>7</v>
      </c>
      <c r="M19" s="104">
        <v>10</v>
      </c>
      <c r="N19" s="105">
        <v>7</v>
      </c>
      <c r="O19" s="105">
        <v>9</v>
      </c>
      <c r="P19" s="103">
        <v>7</v>
      </c>
      <c r="Q19" s="103">
        <v>8</v>
      </c>
      <c r="R19" s="100">
        <f t="shared" si="0"/>
        <v>6.8571428571428568</v>
      </c>
    </row>
    <row r="20" spans="1:18" ht="15.75" customHeight="1">
      <c r="A20" s="59" t="s">
        <v>75</v>
      </c>
      <c r="B20" s="51">
        <v>10</v>
      </c>
      <c r="C20" s="99" t="s">
        <v>36</v>
      </c>
      <c r="D20" s="103">
        <v>4</v>
      </c>
      <c r="E20" s="103">
        <v>7</v>
      </c>
      <c r="F20" s="127" t="s">
        <v>110</v>
      </c>
      <c r="G20" s="103">
        <v>5</v>
      </c>
      <c r="H20" s="103">
        <v>6</v>
      </c>
      <c r="I20" s="103">
        <v>6</v>
      </c>
      <c r="J20" s="103">
        <v>5</v>
      </c>
      <c r="K20" s="103">
        <v>5</v>
      </c>
      <c r="L20" s="104">
        <v>6</v>
      </c>
      <c r="M20" s="104">
        <v>10</v>
      </c>
      <c r="N20" s="105">
        <v>5</v>
      </c>
      <c r="O20" s="105">
        <v>7</v>
      </c>
      <c r="P20" s="103">
        <v>6</v>
      </c>
      <c r="Q20" s="103">
        <v>6</v>
      </c>
      <c r="R20" s="100"/>
    </row>
    <row r="21" spans="1:18" ht="15.75" customHeight="1">
      <c r="A21" s="60" t="s">
        <v>75</v>
      </c>
      <c r="B21" s="51">
        <v>11</v>
      </c>
      <c r="C21" s="99" t="s">
        <v>37</v>
      </c>
      <c r="D21" s="103">
        <v>7</v>
      </c>
      <c r="E21" s="103">
        <v>7</v>
      </c>
      <c r="F21" s="103">
        <v>5</v>
      </c>
      <c r="G21" s="103">
        <v>7</v>
      </c>
      <c r="H21" s="103">
        <v>4</v>
      </c>
      <c r="I21" s="127" t="s">
        <v>108</v>
      </c>
      <c r="J21" s="103">
        <v>7</v>
      </c>
      <c r="K21" s="103">
        <v>9</v>
      </c>
      <c r="L21" s="104">
        <v>8</v>
      </c>
      <c r="M21" s="104">
        <v>10</v>
      </c>
      <c r="N21" s="105">
        <v>8</v>
      </c>
      <c r="O21" s="105">
        <v>9</v>
      </c>
      <c r="P21" s="103">
        <v>5</v>
      </c>
      <c r="Q21" s="103">
        <v>7</v>
      </c>
      <c r="R21" s="100"/>
    </row>
    <row r="22" spans="1:18" ht="15.75" customHeight="1">
      <c r="A22" s="60" t="s">
        <v>74</v>
      </c>
      <c r="B22" s="51">
        <v>12</v>
      </c>
      <c r="C22" s="99" t="s">
        <v>38</v>
      </c>
      <c r="D22" s="103">
        <v>7</v>
      </c>
      <c r="E22" s="103">
        <v>9</v>
      </c>
      <c r="F22" s="127" t="s">
        <v>108</v>
      </c>
      <c r="G22" s="103">
        <v>6</v>
      </c>
      <c r="H22" s="103">
        <v>7</v>
      </c>
      <c r="I22" s="127" t="s">
        <v>109</v>
      </c>
      <c r="J22" s="103">
        <v>7</v>
      </c>
      <c r="K22" s="103">
        <v>5</v>
      </c>
      <c r="L22" s="104">
        <v>7</v>
      </c>
      <c r="M22" s="104">
        <v>10</v>
      </c>
      <c r="N22" s="105">
        <v>8</v>
      </c>
      <c r="O22" s="105">
        <v>7</v>
      </c>
      <c r="P22" s="103">
        <v>6</v>
      </c>
      <c r="Q22" s="103">
        <v>8</v>
      </c>
      <c r="R22" s="100"/>
    </row>
    <row r="23" spans="1:18" ht="15.75" customHeight="1">
      <c r="A23" s="60" t="s">
        <v>74</v>
      </c>
      <c r="B23" s="51">
        <v>13</v>
      </c>
      <c r="C23" s="99" t="s">
        <v>39</v>
      </c>
      <c r="D23" s="103">
        <v>5</v>
      </c>
      <c r="E23" s="127" t="s">
        <v>106</v>
      </c>
      <c r="F23" s="103">
        <v>4</v>
      </c>
      <c r="G23" s="127" t="s">
        <v>106</v>
      </c>
      <c r="H23" s="103">
        <v>4</v>
      </c>
      <c r="I23" s="103">
        <v>4</v>
      </c>
      <c r="J23" s="103">
        <v>4</v>
      </c>
      <c r="K23" s="103">
        <v>4</v>
      </c>
      <c r="L23" s="104">
        <v>5</v>
      </c>
      <c r="M23" s="104">
        <v>10</v>
      </c>
      <c r="N23" s="105">
        <v>4</v>
      </c>
      <c r="O23" s="105">
        <v>7</v>
      </c>
      <c r="P23" s="103">
        <v>4</v>
      </c>
      <c r="Q23" s="103">
        <v>4</v>
      </c>
      <c r="R23" s="100"/>
    </row>
    <row r="24" spans="1:18" ht="15.75" customHeight="1">
      <c r="A24" s="60" t="s">
        <v>74</v>
      </c>
      <c r="B24" s="51">
        <v>14</v>
      </c>
      <c r="C24" s="99" t="s">
        <v>40</v>
      </c>
      <c r="D24" s="103">
        <v>9</v>
      </c>
      <c r="E24" s="103">
        <v>9</v>
      </c>
      <c r="F24" s="103">
        <v>9</v>
      </c>
      <c r="G24" s="103">
        <v>7</v>
      </c>
      <c r="H24" s="103">
        <v>4</v>
      </c>
      <c r="I24" s="103">
        <v>6</v>
      </c>
      <c r="J24" s="103">
        <v>9</v>
      </c>
      <c r="K24" s="103">
        <v>9</v>
      </c>
      <c r="L24" s="104">
        <v>8</v>
      </c>
      <c r="M24" s="104">
        <v>10</v>
      </c>
      <c r="N24" s="105">
        <v>10</v>
      </c>
      <c r="O24" s="105">
        <v>10</v>
      </c>
      <c r="P24" s="103">
        <v>8</v>
      </c>
      <c r="Q24" s="103">
        <v>10</v>
      </c>
      <c r="R24" s="100">
        <f t="shared" si="0"/>
        <v>8.4285714285714288</v>
      </c>
    </row>
    <row r="25" spans="1:18" ht="15.75" customHeight="1">
      <c r="A25" s="1"/>
      <c r="B25" s="1"/>
      <c r="C25" s="2" t="s">
        <v>6</v>
      </c>
      <c r="D25" s="8">
        <f t="shared" ref="D25:Q25" si="1">AVERAGE(D11:D24)</f>
        <v>6.8571428571428568</v>
      </c>
      <c r="E25" s="8">
        <f t="shared" si="1"/>
        <v>8.5833333333333339</v>
      </c>
      <c r="F25" s="8">
        <f t="shared" si="1"/>
        <v>6.333333333333333</v>
      </c>
      <c r="G25" s="8">
        <f t="shared" si="1"/>
        <v>6.083333333333333</v>
      </c>
      <c r="H25" s="8">
        <f t="shared" si="1"/>
        <v>6</v>
      </c>
      <c r="I25" s="8">
        <f t="shared" si="1"/>
        <v>5.416666666666667</v>
      </c>
      <c r="J25" s="8">
        <f t="shared" si="1"/>
        <v>6.6428571428571432</v>
      </c>
      <c r="K25" s="8">
        <f t="shared" si="1"/>
        <v>7.0714285714285712</v>
      </c>
      <c r="L25" s="8">
        <f t="shared" si="1"/>
        <v>6.8571428571428568</v>
      </c>
      <c r="M25" s="27">
        <f t="shared" si="1"/>
        <v>10.071428571428571</v>
      </c>
      <c r="N25" s="101">
        <f t="shared" si="1"/>
        <v>7.2857142857142856</v>
      </c>
      <c r="O25" s="102">
        <f t="shared" si="1"/>
        <v>8.3076923076923084</v>
      </c>
      <c r="P25" s="39">
        <f t="shared" si="1"/>
        <v>6.2142857142857144</v>
      </c>
      <c r="Q25" s="102">
        <f t="shared" si="1"/>
        <v>7.9285714285714288</v>
      </c>
      <c r="R25" s="8">
        <f t="shared" si="0"/>
        <v>7.118066457352171</v>
      </c>
    </row>
    <row r="26" spans="1:18" ht="15.75" customHeight="1">
      <c r="A26" s="1"/>
      <c r="B26" s="1"/>
      <c r="C26" s="3" t="s">
        <v>7</v>
      </c>
      <c r="D26" s="12">
        <v>100</v>
      </c>
      <c r="E26" s="16">
        <v>85</v>
      </c>
      <c r="F26" s="63" t="s">
        <v>79</v>
      </c>
      <c r="G26" s="63" t="s">
        <v>79</v>
      </c>
      <c r="H26" s="12">
        <v>100</v>
      </c>
      <c r="I26" s="63" t="s">
        <v>79</v>
      </c>
      <c r="J26" s="12">
        <v>100</v>
      </c>
      <c r="K26" s="63" t="s">
        <v>82</v>
      </c>
      <c r="L26" s="16">
        <v>100</v>
      </c>
      <c r="M26" s="28">
        <v>100</v>
      </c>
      <c r="N26" s="33" t="s">
        <v>76</v>
      </c>
      <c r="O26" s="37" t="s">
        <v>87</v>
      </c>
      <c r="P26" s="40">
        <v>100</v>
      </c>
      <c r="Q26" s="46">
        <v>100</v>
      </c>
      <c r="R26" s="43"/>
    </row>
    <row r="27" spans="1:18" ht="15.75" customHeight="1">
      <c r="A27" s="1"/>
      <c r="B27" s="1"/>
      <c r="C27" s="4" t="s">
        <v>8</v>
      </c>
      <c r="D27" s="61" t="s">
        <v>81</v>
      </c>
      <c r="E27" s="15">
        <v>100</v>
      </c>
      <c r="F27" s="61" t="s">
        <v>80</v>
      </c>
      <c r="G27" s="13">
        <v>33</v>
      </c>
      <c r="H27" s="9">
        <v>50</v>
      </c>
      <c r="I27" s="17">
        <v>21.4</v>
      </c>
      <c r="J27" s="62" t="s">
        <v>78</v>
      </c>
      <c r="K27" s="61" t="s">
        <v>77</v>
      </c>
      <c r="L27" s="13" t="s">
        <v>81</v>
      </c>
      <c r="M27" s="29">
        <v>100</v>
      </c>
      <c r="N27" s="34">
        <v>85</v>
      </c>
      <c r="O27" s="37" t="s">
        <v>68</v>
      </c>
      <c r="P27" s="41">
        <v>50</v>
      </c>
      <c r="Q27" s="47" t="s">
        <v>79</v>
      </c>
      <c r="R27" s="43"/>
    </row>
    <row r="28" spans="1:18" ht="15.75" customHeight="1">
      <c r="A28" s="1"/>
      <c r="B28" s="1"/>
      <c r="C28" s="4" t="s">
        <v>9</v>
      </c>
      <c r="D28" s="8">
        <f>AVERAGE(D26:Q26)</f>
        <v>98.125</v>
      </c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1:18" ht="15.75" customHeight="1">
      <c r="A29" s="1"/>
      <c r="B29" s="1"/>
      <c r="C29" s="4" t="s">
        <v>10</v>
      </c>
      <c r="D29" s="8">
        <f>AVERAGE(D27:Q27)</f>
        <v>62.771428571428565</v>
      </c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7"/>
    </row>
    <row r="30" spans="1:18" ht="15.75" customHeight="1">
      <c r="C30" s="4" t="s">
        <v>18</v>
      </c>
      <c r="D30" s="18">
        <v>12</v>
      </c>
    </row>
    <row r="31" spans="1:18" s="90" customFormat="1" ht="15.75" customHeight="1">
      <c r="C31" s="4" t="s">
        <v>105</v>
      </c>
      <c r="D31" s="18">
        <v>2</v>
      </c>
    </row>
    <row r="32" spans="1:18" ht="15.75" customHeight="1">
      <c r="C32" s="4" t="s">
        <v>19</v>
      </c>
      <c r="D32" s="18">
        <f>-'Зведена відомість 185'!Q117</f>
        <v>0</v>
      </c>
    </row>
    <row r="33" spans="3:11" ht="15.75" customHeight="1">
      <c r="C33" s="4" t="s">
        <v>20</v>
      </c>
      <c r="D33" s="18">
        <v>5</v>
      </c>
    </row>
    <row r="34" spans="3:11" ht="15.75" customHeight="1"/>
    <row r="35" spans="3:11" ht="15.75" customHeight="1">
      <c r="G35" s="26"/>
      <c r="H35" s="26"/>
    </row>
    <row r="36" spans="3:11" ht="15.75" customHeight="1"/>
    <row r="37" spans="3:11" ht="15.75" customHeight="1">
      <c r="E37" s="52"/>
      <c r="F37" s="52"/>
      <c r="G37" s="52"/>
    </row>
    <row r="38" spans="3:11" ht="15.75" customHeight="1">
      <c r="E38" s="53" t="s">
        <v>21</v>
      </c>
      <c r="F38" s="53"/>
      <c r="G38" s="53"/>
      <c r="H38" s="54"/>
      <c r="I38" s="54"/>
      <c r="J38" s="53" t="s">
        <v>56</v>
      </c>
      <c r="K38" s="53"/>
    </row>
    <row r="39" spans="3:11" ht="15.75" customHeight="1"/>
    <row r="40" spans="3:11" ht="15.75" customHeight="1">
      <c r="E40" s="53" t="s">
        <v>22</v>
      </c>
      <c r="F40" s="53"/>
      <c r="G40" s="53"/>
      <c r="H40" s="53"/>
      <c r="I40" s="53"/>
      <c r="J40" s="53" t="s">
        <v>23</v>
      </c>
      <c r="K40" s="53"/>
    </row>
    <row r="41" spans="3:11" ht="15.75" customHeight="1"/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8"/>
  <sheetViews>
    <sheetView topLeftCell="A4" zoomScale="90" zoomScaleNormal="90" workbookViewId="0">
      <selection activeCell="F21" sqref="F21"/>
    </sheetView>
  </sheetViews>
  <sheetFormatPr defaultColWidth="14.42578125" defaultRowHeight="15" customHeight="1"/>
  <cols>
    <col min="1" max="1" width="4.28515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7109375" customWidth="1"/>
    <col min="13" max="13" width="8.7109375" customWidth="1"/>
    <col min="14" max="14" width="9.5703125" customWidth="1"/>
    <col min="15" max="15" width="9.7109375" customWidth="1"/>
    <col min="16" max="17" width="8.7109375" customWidth="1"/>
    <col min="18" max="18" width="8.7109375" style="26" customWidth="1"/>
    <col min="19" max="19" width="11.28515625" customWidth="1"/>
  </cols>
  <sheetData>
    <row r="1" spans="1:19" ht="15" customHeight="1">
      <c r="A1" s="144" t="s">
        <v>15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"/>
      <c r="Q1" s="1"/>
      <c r="R1" s="1"/>
      <c r="S1" s="1"/>
    </row>
    <row r="2" spans="1:19" ht="15" customHeight="1">
      <c r="A2" s="144" t="s">
        <v>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"/>
      <c r="Q2" s="1"/>
      <c r="R2" s="1"/>
      <c r="S2" s="1"/>
    </row>
    <row r="3" spans="1:19" ht="15" customHeight="1">
      <c r="A3" s="158" t="s">
        <v>26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"/>
      <c r="Q3" s="1"/>
      <c r="R3" s="1"/>
      <c r="S3" s="1"/>
    </row>
    <row r="4" spans="1:19" ht="15" customHeight="1">
      <c r="A4" s="147" t="s">
        <v>73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"/>
      <c r="Q4" s="1"/>
      <c r="R4" s="1"/>
      <c r="S4" s="1"/>
    </row>
    <row r="5" spans="1:19" ht="15" customHeight="1">
      <c r="A5" s="147" t="s">
        <v>16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"/>
      <c r="Q5" s="1"/>
      <c r="R5" s="1"/>
      <c r="S5" s="1"/>
    </row>
    <row r="6" spans="1:19" ht="15" customHeight="1">
      <c r="A6" s="149" t="s">
        <v>55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17"/>
      <c r="Q6" s="117"/>
      <c r="R6" s="117"/>
      <c r="S6" s="117"/>
    </row>
    <row r="7" spans="1:19" ht="15" customHeight="1">
      <c r="A7" s="159" t="s">
        <v>2</v>
      </c>
      <c r="B7" s="153" t="s">
        <v>3</v>
      </c>
      <c r="C7" s="153" t="s">
        <v>4</v>
      </c>
      <c r="D7" s="157" t="s">
        <v>17</v>
      </c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</row>
    <row r="8" spans="1:19" ht="15" customHeight="1">
      <c r="A8" s="159"/>
      <c r="B8" s="153"/>
      <c r="C8" s="153"/>
      <c r="D8" s="160" t="s">
        <v>11</v>
      </c>
      <c r="E8" s="162" t="s">
        <v>89</v>
      </c>
      <c r="F8" s="162" t="s">
        <v>90</v>
      </c>
      <c r="G8" s="164" t="s">
        <v>60</v>
      </c>
      <c r="H8" s="166" t="s">
        <v>61</v>
      </c>
      <c r="I8" s="168" t="s">
        <v>62</v>
      </c>
      <c r="J8" s="166" t="s">
        <v>63</v>
      </c>
      <c r="K8" s="166" t="s">
        <v>12</v>
      </c>
      <c r="L8" s="160" t="s">
        <v>64</v>
      </c>
      <c r="M8" s="170" t="s">
        <v>94</v>
      </c>
      <c r="N8" s="170" t="s">
        <v>91</v>
      </c>
      <c r="O8" s="170" t="s">
        <v>92</v>
      </c>
      <c r="P8" s="171" t="s">
        <v>13</v>
      </c>
      <c r="Q8" s="173" t="s">
        <v>93</v>
      </c>
      <c r="R8" s="176" t="s">
        <v>25</v>
      </c>
      <c r="S8" s="174" t="s">
        <v>24</v>
      </c>
    </row>
    <row r="9" spans="1:19" ht="15" customHeight="1">
      <c r="A9" s="159"/>
      <c r="B9" s="153"/>
      <c r="C9" s="153"/>
      <c r="D9" s="161"/>
      <c r="E9" s="163"/>
      <c r="F9" s="163"/>
      <c r="G9" s="165"/>
      <c r="H9" s="142"/>
      <c r="I9" s="169"/>
      <c r="J9" s="142"/>
      <c r="K9" s="142"/>
      <c r="L9" s="161"/>
      <c r="M9" s="163"/>
      <c r="N9" s="163"/>
      <c r="O9" s="163"/>
      <c r="P9" s="172"/>
      <c r="Q9" s="142"/>
      <c r="R9" s="176"/>
      <c r="S9" s="175"/>
    </row>
    <row r="10" spans="1:19" ht="77.25" customHeight="1">
      <c r="A10" s="159"/>
      <c r="B10" s="153"/>
      <c r="C10" s="153"/>
      <c r="D10" s="161"/>
      <c r="E10" s="163"/>
      <c r="F10" s="163"/>
      <c r="G10" s="165"/>
      <c r="H10" s="167"/>
      <c r="I10" s="169"/>
      <c r="J10" s="142"/>
      <c r="K10" s="142"/>
      <c r="L10" s="161"/>
      <c r="M10" s="163"/>
      <c r="N10" s="163"/>
      <c r="O10" s="163"/>
      <c r="P10" s="172"/>
      <c r="Q10" s="167"/>
      <c r="R10" s="176"/>
      <c r="S10" s="175"/>
    </row>
    <row r="11" spans="1:19" s="65" customFormat="1" ht="15" customHeight="1">
      <c r="A11" s="118" t="s">
        <v>74</v>
      </c>
      <c r="B11" s="119">
        <v>1</v>
      </c>
      <c r="C11" s="120" t="s">
        <v>29</v>
      </c>
      <c r="D11" s="107">
        <v>7</v>
      </c>
      <c r="E11" s="107">
        <v>10</v>
      </c>
      <c r="F11" s="107">
        <v>10</v>
      </c>
      <c r="G11" s="107">
        <v>8</v>
      </c>
      <c r="H11" s="107">
        <v>9</v>
      </c>
      <c r="I11" s="107">
        <v>8</v>
      </c>
      <c r="J11" s="114">
        <v>9</v>
      </c>
      <c r="K11" s="114">
        <v>9</v>
      </c>
      <c r="L11" s="108">
        <v>9</v>
      </c>
      <c r="M11" s="108">
        <v>10</v>
      </c>
      <c r="N11" s="109">
        <v>10</v>
      </c>
      <c r="O11" s="109">
        <v>9</v>
      </c>
      <c r="P11" s="107">
        <v>7</v>
      </c>
      <c r="Q11" s="107">
        <v>10</v>
      </c>
      <c r="R11" s="110">
        <f t="shared" ref="R11:R18" si="0">AVERAGE(C11:P11)</f>
        <v>8.8461538461538467</v>
      </c>
      <c r="S11" s="111">
        <f t="shared" ref="S11:S19" si="1">(R11*90)/12</f>
        <v>66.346153846153854</v>
      </c>
    </row>
    <row r="12" spans="1:19" s="65" customFormat="1" ht="15" customHeight="1">
      <c r="A12" s="80" t="s">
        <v>74</v>
      </c>
      <c r="B12" s="81">
        <v>2</v>
      </c>
      <c r="C12" s="106" t="s">
        <v>28</v>
      </c>
      <c r="D12" s="107">
        <v>10</v>
      </c>
      <c r="E12" s="107">
        <v>10</v>
      </c>
      <c r="F12" s="107">
        <v>7</v>
      </c>
      <c r="G12" s="107">
        <v>7</v>
      </c>
      <c r="H12" s="107">
        <v>8</v>
      </c>
      <c r="I12" s="107">
        <v>8</v>
      </c>
      <c r="J12" s="107">
        <v>8</v>
      </c>
      <c r="K12" s="107">
        <v>10</v>
      </c>
      <c r="L12" s="108">
        <v>8</v>
      </c>
      <c r="M12" s="108">
        <v>11</v>
      </c>
      <c r="N12" s="109">
        <v>8</v>
      </c>
      <c r="O12" s="109">
        <v>9</v>
      </c>
      <c r="P12" s="107">
        <v>7</v>
      </c>
      <c r="Q12" s="107">
        <v>10</v>
      </c>
      <c r="R12" s="110">
        <f t="shared" si="0"/>
        <v>8.5384615384615383</v>
      </c>
      <c r="S12" s="111">
        <f t="shared" si="1"/>
        <v>64.038461538461533</v>
      </c>
    </row>
    <row r="13" spans="1:19" s="65" customFormat="1" ht="15" customHeight="1">
      <c r="A13" s="66" t="s">
        <v>74</v>
      </c>
      <c r="B13" s="81">
        <v>3</v>
      </c>
      <c r="C13" s="106" t="s">
        <v>40</v>
      </c>
      <c r="D13" s="107">
        <v>9</v>
      </c>
      <c r="E13" s="107">
        <v>9</v>
      </c>
      <c r="F13" s="107">
        <v>9</v>
      </c>
      <c r="G13" s="107">
        <v>7</v>
      </c>
      <c r="H13" s="107">
        <v>4</v>
      </c>
      <c r="I13" s="107">
        <v>6</v>
      </c>
      <c r="J13" s="107">
        <v>9</v>
      </c>
      <c r="K13" s="107">
        <v>9</v>
      </c>
      <c r="L13" s="108">
        <v>8</v>
      </c>
      <c r="M13" s="108">
        <v>10</v>
      </c>
      <c r="N13" s="109">
        <v>10</v>
      </c>
      <c r="O13" s="109">
        <v>10</v>
      </c>
      <c r="P13" s="107">
        <v>8</v>
      </c>
      <c r="Q13" s="107">
        <v>10</v>
      </c>
      <c r="R13" s="110">
        <f t="shared" si="0"/>
        <v>8.3076923076923084</v>
      </c>
      <c r="S13" s="111">
        <f t="shared" si="1"/>
        <v>62.307692307692314</v>
      </c>
    </row>
    <row r="14" spans="1:19" s="65" customFormat="1" ht="15" customHeight="1">
      <c r="A14" s="66" t="s">
        <v>74</v>
      </c>
      <c r="B14" s="81">
        <v>4</v>
      </c>
      <c r="C14" s="106" t="s">
        <v>30</v>
      </c>
      <c r="D14" s="107">
        <v>8</v>
      </c>
      <c r="E14" s="107">
        <v>10</v>
      </c>
      <c r="F14" s="107">
        <v>5</v>
      </c>
      <c r="G14" s="107">
        <v>6</v>
      </c>
      <c r="H14" s="107">
        <v>7</v>
      </c>
      <c r="I14" s="107">
        <v>6</v>
      </c>
      <c r="J14" s="107">
        <v>6</v>
      </c>
      <c r="K14" s="107">
        <v>6</v>
      </c>
      <c r="L14" s="108">
        <v>7</v>
      </c>
      <c r="M14" s="108">
        <v>10</v>
      </c>
      <c r="N14" s="109">
        <v>7</v>
      </c>
      <c r="O14" s="109">
        <v>9</v>
      </c>
      <c r="P14" s="107">
        <v>7</v>
      </c>
      <c r="Q14" s="107">
        <v>10</v>
      </c>
      <c r="R14" s="110">
        <f t="shared" si="0"/>
        <v>7.2307692307692308</v>
      </c>
      <c r="S14" s="111">
        <f t="shared" si="1"/>
        <v>54.230769230769234</v>
      </c>
    </row>
    <row r="15" spans="1:19" s="65" customFormat="1" ht="15" customHeight="1">
      <c r="A15" s="80" t="s">
        <v>74</v>
      </c>
      <c r="B15" s="81">
        <v>5</v>
      </c>
      <c r="C15" s="106" t="s">
        <v>34</v>
      </c>
      <c r="D15" s="107">
        <v>7</v>
      </c>
      <c r="E15" s="107">
        <v>7</v>
      </c>
      <c r="F15" s="107">
        <v>6</v>
      </c>
      <c r="G15" s="107">
        <v>6</v>
      </c>
      <c r="H15" s="107">
        <v>7</v>
      </c>
      <c r="I15" s="107">
        <v>7</v>
      </c>
      <c r="J15" s="107">
        <v>7</v>
      </c>
      <c r="K15" s="107">
        <v>8</v>
      </c>
      <c r="L15" s="108">
        <v>6</v>
      </c>
      <c r="M15" s="108">
        <v>10</v>
      </c>
      <c r="N15" s="109">
        <v>7</v>
      </c>
      <c r="O15" s="109">
        <v>9</v>
      </c>
      <c r="P15" s="107">
        <v>7</v>
      </c>
      <c r="Q15" s="107">
        <v>9</v>
      </c>
      <c r="R15" s="110">
        <f t="shared" si="0"/>
        <v>7.2307692307692308</v>
      </c>
      <c r="S15" s="111">
        <f t="shared" si="1"/>
        <v>54.230769230769234</v>
      </c>
    </row>
    <row r="16" spans="1:19" s="65" customFormat="1" ht="15" customHeight="1">
      <c r="A16" s="60" t="s">
        <v>74</v>
      </c>
      <c r="B16" s="51">
        <v>6</v>
      </c>
      <c r="C16" s="99" t="s">
        <v>35</v>
      </c>
      <c r="D16" s="103">
        <v>5</v>
      </c>
      <c r="E16" s="103">
        <v>9</v>
      </c>
      <c r="F16" s="103">
        <v>4</v>
      </c>
      <c r="G16" s="103">
        <v>4</v>
      </c>
      <c r="H16" s="103">
        <v>7</v>
      </c>
      <c r="I16" s="103">
        <v>4</v>
      </c>
      <c r="J16" s="103">
        <v>5</v>
      </c>
      <c r="K16" s="103">
        <v>10</v>
      </c>
      <c r="L16" s="104">
        <v>7</v>
      </c>
      <c r="M16" s="104">
        <v>10</v>
      </c>
      <c r="N16" s="105">
        <v>7</v>
      </c>
      <c r="O16" s="105">
        <v>9</v>
      </c>
      <c r="P16" s="103">
        <v>7</v>
      </c>
      <c r="Q16" s="103">
        <v>8</v>
      </c>
      <c r="R16" s="112">
        <f t="shared" si="0"/>
        <v>6.7692307692307692</v>
      </c>
      <c r="S16" s="113">
        <f t="shared" si="1"/>
        <v>50.769230769230766</v>
      </c>
    </row>
    <row r="17" spans="1:19" s="65" customFormat="1" ht="15" customHeight="1">
      <c r="A17" s="60" t="s">
        <v>74</v>
      </c>
      <c r="B17" s="51">
        <v>7</v>
      </c>
      <c r="C17" s="99" t="s">
        <v>33</v>
      </c>
      <c r="D17" s="103">
        <v>7</v>
      </c>
      <c r="E17" s="103">
        <v>7</v>
      </c>
      <c r="F17" s="103">
        <v>5</v>
      </c>
      <c r="G17" s="103">
        <v>5</v>
      </c>
      <c r="H17" s="103">
        <v>7</v>
      </c>
      <c r="I17" s="103">
        <v>4</v>
      </c>
      <c r="J17" s="103">
        <v>7</v>
      </c>
      <c r="K17" s="103">
        <v>5</v>
      </c>
      <c r="L17" s="104">
        <v>7</v>
      </c>
      <c r="M17" s="104">
        <v>10</v>
      </c>
      <c r="N17" s="105">
        <v>7</v>
      </c>
      <c r="O17" s="105">
        <v>8</v>
      </c>
      <c r="P17" s="103">
        <v>5</v>
      </c>
      <c r="Q17" s="103">
        <v>7</v>
      </c>
      <c r="R17" s="112">
        <f t="shared" si="0"/>
        <v>6.4615384615384617</v>
      </c>
      <c r="S17" s="113">
        <f t="shared" si="1"/>
        <v>48.46153846153846</v>
      </c>
    </row>
    <row r="18" spans="1:19" ht="15" customHeight="1">
      <c r="A18" s="60" t="s">
        <v>74</v>
      </c>
      <c r="B18" s="51">
        <v>8</v>
      </c>
      <c r="C18" s="99" t="s">
        <v>33</v>
      </c>
      <c r="D18" s="103">
        <v>7</v>
      </c>
      <c r="E18" s="103">
        <v>7</v>
      </c>
      <c r="F18" s="103">
        <v>5</v>
      </c>
      <c r="G18" s="103">
        <v>5</v>
      </c>
      <c r="H18" s="103">
        <v>7</v>
      </c>
      <c r="I18" s="103">
        <v>4</v>
      </c>
      <c r="J18" s="103">
        <v>7</v>
      </c>
      <c r="K18" s="103">
        <v>5</v>
      </c>
      <c r="L18" s="104">
        <v>7</v>
      </c>
      <c r="M18" s="104">
        <v>10</v>
      </c>
      <c r="N18" s="105">
        <v>7</v>
      </c>
      <c r="O18" s="105">
        <v>8</v>
      </c>
      <c r="P18" s="103">
        <v>5</v>
      </c>
      <c r="Q18" s="103">
        <v>7</v>
      </c>
      <c r="R18" s="112">
        <f t="shared" si="0"/>
        <v>6.4615384615384617</v>
      </c>
      <c r="S18" s="113">
        <f t="shared" si="1"/>
        <v>48.46153846153846</v>
      </c>
    </row>
    <row r="19" spans="1:19" s="65" customFormat="1" ht="15" customHeight="1">
      <c r="A19" s="115" t="s">
        <v>74</v>
      </c>
      <c r="B19" s="116">
        <v>9</v>
      </c>
      <c r="C19" s="98" t="s">
        <v>27</v>
      </c>
      <c r="D19" s="103">
        <v>6</v>
      </c>
      <c r="E19" s="103">
        <v>9</v>
      </c>
      <c r="F19" s="103">
        <v>5</v>
      </c>
      <c r="G19" s="103">
        <v>6</v>
      </c>
      <c r="H19" s="103">
        <v>6</v>
      </c>
      <c r="I19" s="103">
        <v>4</v>
      </c>
      <c r="J19" s="103">
        <v>6</v>
      </c>
      <c r="K19" s="103">
        <v>4</v>
      </c>
      <c r="L19" s="104">
        <v>6</v>
      </c>
      <c r="M19" s="104">
        <v>10</v>
      </c>
      <c r="N19" s="105">
        <v>6</v>
      </c>
      <c r="O19" s="105">
        <v>9</v>
      </c>
      <c r="P19" s="103">
        <v>6</v>
      </c>
      <c r="Q19" s="103">
        <v>7</v>
      </c>
      <c r="R19" s="112">
        <f t="shared" ref="R19" si="2">AVERAGE(C19:P19)</f>
        <v>6.384615384615385</v>
      </c>
      <c r="S19" s="113">
        <f t="shared" si="1"/>
        <v>47.884615384615387</v>
      </c>
    </row>
    <row r="20" spans="1:19" s="90" customFormat="1" ht="15" customHeight="1">
      <c r="A20" s="121"/>
      <c r="B20" s="50"/>
      <c r="C20" s="56" t="s">
        <v>18</v>
      </c>
      <c r="D20" s="103">
        <v>9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90" customFormat="1" ht="15" customHeight="1">
      <c r="A21" s="121"/>
      <c r="B21" s="50"/>
      <c r="C21" s="56" t="s">
        <v>105</v>
      </c>
      <c r="D21" s="103">
        <v>2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 ht="15.75" customHeight="1">
      <c r="A22" s="26"/>
      <c r="B22" s="26"/>
      <c r="C22" s="56" t="s">
        <v>19</v>
      </c>
      <c r="D22" s="112">
        <v>0</v>
      </c>
      <c r="E22" s="52"/>
      <c r="F22" s="52"/>
      <c r="G22" s="52"/>
      <c r="H22" s="26"/>
      <c r="I22" s="26"/>
      <c r="J22" s="26"/>
      <c r="K22" s="26"/>
      <c r="L22" s="26"/>
      <c r="M22" s="26"/>
      <c r="N22" s="26"/>
      <c r="O22" s="26"/>
      <c r="P22" s="26"/>
      <c r="Q22" s="26"/>
      <c r="S22" s="26"/>
    </row>
    <row r="23" spans="1:19" ht="15.75" customHeight="1">
      <c r="A23" s="26"/>
      <c r="B23" s="26"/>
      <c r="C23" s="4" t="s">
        <v>20</v>
      </c>
      <c r="D23" s="112">
        <v>5</v>
      </c>
      <c r="L23" s="26"/>
      <c r="M23" s="26"/>
      <c r="N23" s="26"/>
      <c r="O23" s="26"/>
      <c r="P23" s="26"/>
      <c r="Q23" s="26"/>
      <c r="S23" s="26"/>
    </row>
    <row r="24" spans="1:19" ht="15.75" customHeight="1">
      <c r="A24" s="26"/>
      <c r="B24" s="26"/>
      <c r="C24" s="26"/>
      <c r="D24" s="26"/>
      <c r="L24" s="26"/>
      <c r="M24" s="26"/>
      <c r="N24" s="26"/>
      <c r="O24" s="26"/>
      <c r="P24" s="26"/>
      <c r="Q24" s="26"/>
      <c r="S24" s="26"/>
    </row>
    <row r="25" spans="1:19" ht="15.75" customHeight="1">
      <c r="A25" s="26"/>
      <c r="B25" s="26"/>
      <c r="C25" s="26"/>
      <c r="D25" s="26"/>
      <c r="L25" s="26"/>
      <c r="M25" s="26"/>
      <c r="N25" s="26"/>
      <c r="O25" s="26"/>
      <c r="P25" s="26"/>
      <c r="Q25" s="26"/>
      <c r="S25" s="26"/>
    </row>
    <row r="26" spans="1:19" ht="15.75" customHeight="1">
      <c r="A26" s="26"/>
      <c r="B26" s="26"/>
      <c r="C26" s="26"/>
      <c r="D26" s="26"/>
      <c r="E26" s="53" t="s">
        <v>21</v>
      </c>
      <c r="F26" s="53"/>
      <c r="G26" s="53"/>
      <c r="H26" s="54"/>
      <c r="I26" s="54"/>
      <c r="J26" s="53" t="s">
        <v>56</v>
      </c>
      <c r="K26" s="53"/>
    </row>
    <row r="27" spans="1:19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9" ht="15.75" customHeight="1">
      <c r="A28" s="26"/>
      <c r="B28" s="26"/>
      <c r="C28" s="26"/>
      <c r="D28" s="26"/>
      <c r="E28" s="53" t="s">
        <v>22</v>
      </c>
      <c r="F28" s="53"/>
      <c r="G28" s="53"/>
      <c r="H28" s="53"/>
      <c r="I28" s="53"/>
      <c r="J28" s="53" t="s">
        <v>23</v>
      </c>
      <c r="K28" s="53"/>
    </row>
    <row r="29" spans="1:19" ht="15.75" customHeight="1">
      <c r="A29" s="26"/>
      <c r="B29" s="26"/>
      <c r="C29" s="26"/>
      <c r="D29" s="26"/>
    </row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sortState ref="A12:S18">
    <sortCondition descending="1" ref="S12:S18"/>
  </sortState>
  <mergeCells count="26">
    <mergeCell ref="P8:P10"/>
    <mergeCell ref="Q8:Q10"/>
    <mergeCell ref="S8:S10"/>
    <mergeCell ref="R8:R10"/>
    <mergeCell ref="N8:N10"/>
    <mergeCell ref="J8:J10"/>
    <mergeCell ref="K8:K10"/>
    <mergeCell ref="L8:L10"/>
    <mergeCell ref="M8:M10"/>
    <mergeCell ref="O8:O10"/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tabSelected="1" zoomScale="80" zoomScaleNormal="80" workbookViewId="0">
      <selection activeCell="E14" sqref="E14"/>
    </sheetView>
  </sheetViews>
  <sheetFormatPr defaultRowHeight="15"/>
  <cols>
    <col min="1" max="1" width="4.28515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7109375" customWidth="1"/>
    <col min="13" max="13" width="8.7109375" customWidth="1"/>
    <col min="14" max="14" width="9.5703125" customWidth="1"/>
    <col min="15" max="15" width="9.7109375" customWidth="1"/>
    <col min="16" max="17" width="8.7109375" customWidth="1"/>
    <col min="18" max="18" width="11.28515625" customWidth="1"/>
  </cols>
  <sheetData>
    <row r="1" spans="1:18" ht="20.25">
      <c r="A1" s="144" t="s">
        <v>15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"/>
      <c r="Q1" s="1"/>
      <c r="R1" s="1"/>
    </row>
    <row r="2" spans="1:18" ht="20.25">
      <c r="A2" s="144" t="s">
        <v>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"/>
      <c r="Q2" s="1"/>
      <c r="R2" s="1"/>
    </row>
    <row r="3" spans="1:18" ht="20.25">
      <c r="A3" s="146" t="s">
        <v>1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"/>
      <c r="Q3" s="1"/>
      <c r="R3" s="1"/>
    </row>
    <row r="4" spans="1:18" ht="20.25">
      <c r="A4" s="144" t="s">
        <v>41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"/>
      <c r="Q4" s="1"/>
      <c r="R4" s="1"/>
    </row>
    <row r="5" spans="1:18" ht="20.25">
      <c r="A5" s="144" t="s">
        <v>16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"/>
      <c r="Q5" s="1"/>
      <c r="R5" s="1"/>
    </row>
    <row r="6" spans="1:18" ht="20.25">
      <c r="A6" s="188" t="s">
        <v>55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"/>
      <c r="Q6" s="1"/>
      <c r="R6" s="1"/>
    </row>
    <row r="7" spans="1:18" ht="15.75">
      <c r="A7" s="180" t="s">
        <v>2</v>
      </c>
      <c r="B7" s="183" t="s">
        <v>3</v>
      </c>
      <c r="C7" s="183" t="s">
        <v>4</v>
      </c>
      <c r="D7" s="184" t="s">
        <v>17</v>
      </c>
      <c r="E7" s="185"/>
      <c r="F7" s="185"/>
      <c r="G7" s="185"/>
      <c r="H7" s="186"/>
      <c r="I7" s="185"/>
      <c r="J7" s="185"/>
      <c r="K7" s="185"/>
      <c r="L7" s="185"/>
      <c r="M7" s="185"/>
      <c r="N7" s="185"/>
      <c r="O7" s="185"/>
      <c r="P7" s="185"/>
      <c r="Q7" s="186"/>
      <c r="R7" s="187"/>
    </row>
    <row r="8" spans="1:18" ht="14.65" customHeight="1">
      <c r="A8" s="181"/>
      <c r="B8" s="181"/>
      <c r="C8" s="181"/>
      <c r="D8" s="162" t="s">
        <v>11</v>
      </c>
      <c r="E8" s="179" t="s">
        <v>101</v>
      </c>
      <c r="F8" s="179" t="s">
        <v>102</v>
      </c>
      <c r="G8" s="196" t="s">
        <v>60</v>
      </c>
      <c r="H8" s="141" t="s">
        <v>61</v>
      </c>
      <c r="I8" s="189" t="s">
        <v>103</v>
      </c>
      <c r="J8" s="198" t="s">
        <v>63</v>
      </c>
      <c r="K8" s="201" t="s">
        <v>12</v>
      </c>
      <c r="L8" s="177" t="s">
        <v>64</v>
      </c>
      <c r="M8" s="177" t="s">
        <v>83</v>
      </c>
      <c r="N8" s="179" t="s">
        <v>104</v>
      </c>
      <c r="O8" s="177" t="s">
        <v>67</v>
      </c>
      <c r="P8" s="190" t="s">
        <v>13</v>
      </c>
      <c r="Q8" s="141" t="s">
        <v>14</v>
      </c>
      <c r="R8" s="193" t="s">
        <v>5</v>
      </c>
    </row>
    <row r="9" spans="1:18">
      <c r="A9" s="181"/>
      <c r="B9" s="181"/>
      <c r="C9" s="181"/>
      <c r="D9" s="163"/>
      <c r="E9" s="163"/>
      <c r="F9" s="163"/>
      <c r="G9" s="165"/>
      <c r="H9" s="142"/>
      <c r="I9" s="161"/>
      <c r="J9" s="199"/>
      <c r="K9" s="202"/>
      <c r="L9" s="163"/>
      <c r="M9" s="163"/>
      <c r="N9" s="163"/>
      <c r="O9" s="163"/>
      <c r="P9" s="191"/>
      <c r="Q9" s="142"/>
      <c r="R9" s="194"/>
    </row>
    <row r="10" spans="1:18" ht="65.25" customHeight="1">
      <c r="A10" s="182"/>
      <c r="B10" s="182"/>
      <c r="C10" s="181"/>
      <c r="D10" s="178"/>
      <c r="E10" s="178"/>
      <c r="F10" s="178"/>
      <c r="G10" s="197"/>
      <c r="H10" s="142"/>
      <c r="I10" s="161"/>
      <c r="J10" s="200"/>
      <c r="K10" s="203"/>
      <c r="L10" s="178"/>
      <c r="M10" s="178"/>
      <c r="N10" s="163"/>
      <c r="O10" s="163"/>
      <c r="P10" s="192"/>
      <c r="Q10" s="142"/>
      <c r="R10" s="195"/>
    </row>
    <row r="11" spans="1:18" ht="15.75">
      <c r="A11" s="59" t="s">
        <v>74</v>
      </c>
      <c r="B11" s="50">
        <v>1</v>
      </c>
      <c r="C11" s="88" t="s">
        <v>42</v>
      </c>
      <c r="D11" s="55">
        <v>9</v>
      </c>
      <c r="E11" s="23">
        <v>9</v>
      </c>
      <c r="F11" s="24">
        <v>7</v>
      </c>
      <c r="G11" s="48">
        <v>8</v>
      </c>
      <c r="H11" s="14">
        <v>9</v>
      </c>
      <c r="I11" s="49">
        <v>7</v>
      </c>
      <c r="J11" s="14">
        <v>8</v>
      </c>
      <c r="K11" s="14">
        <v>10</v>
      </c>
      <c r="L11" s="25">
        <v>9</v>
      </c>
      <c r="M11" s="30">
        <v>10</v>
      </c>
      <c r="N11" s="31">
        <v>8</v>
      </c>
      <c r="O11" s="35">
        <v>10</v>
      </c>
      <c r="P11" s="38">
        <v>7</v>
      </c>
      <c r="Q11" s="14">
        <v>9</v>
      </c>
      <c r="R11" s="8">
        <f>AVERAGE(D11:Q11)</f>
        <v>8.5714285714285712</v>
      </c>
    </row>
    <row r="12" spans="1:18" ht="15.75">
      <c r="A12" s="60" t="s">
        <v>74</v>
      </c>
      <c r="B12" s="87">
        <v>2</v>
      </c>
      <c r="C12" s="89" t="s">
        <v>43</v>
      </c>
      <c r="D12" s="55">
        <v>7</v>
      </c>
      <c r="E12" s="23">
        <v>9</v>
      </c>
      <c r="F12" s="24">
        <v>6</v>
      </c>
      <c r="G12" s="48">
        <v>6</v>
      </c>
      <c r="H12" s="14">
        <v>7</v>
      </c>
      <c r="I12" s="49">
        <v>7</v>
      </c>
      <c r="J12" s="14">
        <v>8</v>
      </c>
      <c r="K12" s="14">
        <v>9</v>
      </c>
      <c r="L12" s="25">
        <v>8</v>
      </c>
      <c r="M12" s="30">
        <v>10</v>
      </c>
      <c r="N12" s="31">
        <v>6</v>
      </c>
      <c r="O12" s="35">
        <v>10</v>
      </c>
      <c r="P12" s="38">
        <v>7</v>
      </c>
      <c r="Q12" s="44">
        <v>9</v>
      </c>
      <c r="R12" s="8">
        <f t="shared" ref="R12:R24" si="0">AVERAGE(D12:Q12)</f>
        <v>7.7857142857142856</v>
      </c>
    </row>
    <row r="13" spans="1:18" ht="15.75">
      <c r="A13" s="60" t="s">
        <v>74</v>
      </c>
      <c r="B13" s="87">
        <v>3</v>
      </c>
      <c r="C13" s="88" t="s">
        <v>44</v>
      </c>
      <c r="D13" s="55">
        <v>7</v>
      </c>
      <c r="E13" s="23">
        <v>7</v>
      </c>
      <c r="F13" s="24">
        <v>4</v>
      </c>
      <c r="G13" s="21">
        <v>4</v>
      </c>
      <c r="H13" s="22">
        <v>4</v>
      </c>
      <c r="I13" s="19">
        <v>5</v>
      </c>
      <c r="J13" s="14">
        <v>8</v>
      </c>
      <c r="K13" s="14">
        <v>8</v>
      </c>
      <c r="L13" s="25">
        <v>4</v>
      </c>
      <c r="M13" s="30">
        <v>10</v>
      </c>
      <c r="N13" s="31">
        <v>7</v>
      </c>
      <c r="O13" s="35">
        <v>8</v>
      </c>
      <c r="P13" s="38">
        <v>6</v>
      </c>
      <c r="Q13" s="44">
        <v>8</v>
      </c>
      <c r="R13" s="8">
        <f t="shared" si="0"/>
        <v>6.4285714285714288</v>
      </c>
    </row>
    <row r="14" spans="1:18" ht="15.75">
      <c r="A14" s="60" t="s">
        <v>75</v>
      </c>
      <c r="B14" s="87">
        <v>4</v>
      </c>
      <c r="C14" s="89" t="s">
        <v>45</v>
      </c>
      <c r="D14" s="55">
        <v>4</v>
      </c>
      <c r="E14" s="129" t="s">
        <v>57</v>
      </c>
      <c r="F14" s="24">
        <v>4</v>
      </c>
      <c r="G14" s="130" t="s">
        <v>57</v>
      </c>
      <c r="H14" s="10">
        <v>5</v>
      </c>
      <c r="I14" s="131" t="s">
        <v>57</v>
      </c>
      <c r="J14" s="132" t="s">
        <v>57</v>
      </c>
      <c r="K14" s="132" t="s">
        <v>57</v>
      </c>
      <c r="L14" s="25">
        <v>4</v>
      </c>
      <c r="M14" s="133" t="s">
        <v>57</v>
      </c>
      <c r="N14" s="140">
        <v>2</v>
      </c>
      <c r="O14" s="134" t="s">
        <v>57</v>
      </c>
      <c r="P14" s="135" t="s">
        <v>57</v>
      </c>
      <c r="Q14" s="44">
        <v>4</v>
      </c>
      <c r="R14" s="8"/>
    </row>
    <row r="15" spans="1:18" ht="15.75">
      <c r="A15" s="60" t="s">
        <v>74</v>
      </c>
      <c r="B15" s="87">
        <v>5</v>
      </c>
      <c r="C15" s="89" t="s">
        <v>46</v>
      </c>
      <c r="D15" s="55">
        <v>8</v>
      </c>
      <c r="E15" s="23">
        <v>10</v>
      </c>
      <c r="F15" s="24">
        <v>4</v>
      </c>
      <c r="G15" s="21">
        <v>4</v>
      </c>
      <c r="H15" s="10">
        <v>4</v>
      </c>
      <c r="I15" s="19">
        <v>7</v>
      </c>
      <c r="J15" s="14">
        <v>4</v>
      </c>
      <c r="K15" s="14">
        <v>8</v>
      </c>
      <c r="L15" s="25">
        <v>7</v>
      </c>
      <c r="M15" s="30">
        <v>10</v>
      </c>
      <c r="N15" s="31">
        <v>5</v>
      </c>
      <c r="O15" s="35">
        <v>5</v>
      </c>
      <c r="P15" s="135" t="s">
        <v>57</v>
      </c>
      <c r="Q15" s="44">
        <v>8</v>
      </c>
      <c r="R15" s="8"/>
    </row>
    <row r="16" spans="1:18" ht="15.75">
      <c r="A16" s="60" t="s">
        <v>74</v>
      </c>
      <c r="B16" s="87">
        <v>6</v>
      </c>
      <c r="C16" s="89" t="s">
        <v>47</v>
      </c>
      <c r="D16" s="55">
        <v>7</v>
      </c>
      <c r="E16" s="23">
        <v>8</v>
      </c>
      <c r="F16" s="24">
        <v>8</v>
      </c>
      <c r="G16" s="21">
        <v>4</v>
      </c>
      <c r="H16" s="10">
        <v>8</v>
      </c>
      <c r="I16" s="19">
        <v>8</v>
      </c>
      <c r="J16" s="14">
        <v>6</v>
      </c>
      <c r="K16" s="14">
        <v>8</v>
      </c>
      <c r="L16" s="25">
        <v>6</v>
      </c>
      <c r="M16" s="30">
        <v>10</v>
      </c>
      <c r="N16" s="31">
        <v>7</v>
      </c>
      <c r="O16" s="35">
        <v>6</v>
      </c>
      <c r="P16" s="38">
        <v>6</v>
      </c>
      <c r="Q16" s="44">
        <v>7</v>
      </c>
      <c r="R16" s="8">
        <f t="shared" si="0"/>
        <v>7.0714285714285712</v>
      </c>
    </row>
    <row r="17" spans="1:18" ht="15.75">
      <c r="A17" s="60" t="s">
        <v>74</v>
      </c>
      <c r="B17" s="87">
        <v>7</v>
      </c>
      <c r="C17" s="91" t="s">
        <v>48</v>
      </c>
      <c r="D17" s="55">
        <v>7</v>
      </c>
      <c r="E17" s="23">
        <v>9</v>
      </c>
      <c r="F17" s="24">
        <v>5</v>
      </c>
      <c r="G17" s="21">
        <v>5</v>
      </c>
      <c r="H17" s="10">
        <v>5</v>
      </c>
      <c r="I17" s="19">
        <v>5</v>
      </c>
      <c r="J17" s="14">
        <v>7</v>
      </c>
      <c r="K17" s="14">
        <v>5</v>
      </c>
      <c r="L17" s="25">
        <v>4</v>
      </c>
      <c r="M17" s="30">
        <v>10</v>
      </c>
      <c r="N17" s="31">
        <v>7</v>
      </c>
      <c r="O17" s="35">
        <v>8</v>
      </c>
      <c r="P17" s="38">
        <v>7</v>
      </c>
      <c r="Q17" s="44">
        <v>8</v>
      </c>
      <c r="R17" s="8">
        <f t="shared" si="0"/>
        <v>6.5714285714285712</v>
      </c>
    </row>
    <row r="18" spans="1:18" ht="15.75">
      <c r="A18" s="60" t="s">
        <v>74</v>
      </c>
      <c r="B18" s="87">
        <v>8</v>
      </c>
      <c r="C18" s="89" t="s">
        <v>49</v>
      </c>
      <c r="D18" s="55">
        <v>5</v>
      </c>
      <c r="E18" s="23">
        <v>9</v>
      </c>
      <c r="F18" s="24">
        <v>4</v>
      </c>
      <c r="G18" s="21">
        <v>4</v>
      </c>
      <c r="H18" s="10">
        <v>6</v>
      </c>
      <c r="I18" s="19">
        <v>5</v>
      </c>
      <c r="J18" s="14">
        <v>5</v>
      </c>
      <c r="K18" s="14">
        <v>7</v>
      </c>
      <c r="L18" s="25">
        <v>6</v>
      </c>
      <c r="M18" s="30">
        <v>10</v>
      </c>
      <c r="N18" s="31">
        <v>6</v>
      </c>
      <c r="O18" s="35">
        <v>8</v>
      </c>
      <c r="P18" s="38">
        <v>6</v>
      </c>
      <c r="Q18" s="44">
        <v>7</v>
      </c>
      <c r="R18" s="8">
        <f t="shared" si="0"/>
        <v>6.2857142857142856</v>
      </c>
    </row>
    <row r="19" spans="1:18" ht="15.75">
      <c r="A19" s="60" t="s">
        <v>74</v>
      </c>
      <c r="B19" s="87">
        <v>9</v>
      </c>
      <c r="C19" s="89" t="s">
        <v>50</v>
      </c>
      <c r="D19" s="55">
        <v>6</v>
      </c>
      <c r="E19" s="23">
        <v>9</v>
      </c>
      <c r="F19" s="24">
        <v>4</v>
      </c>
      <c r="G19" s="21">
        <v>6</v>
      </c>
      <c r="H19" s="10">
        <v>4</v>
      </c>
      <c r="I19" s="19">
        <v>5</v>
      </c>
      <c r="J19" s="14">
        <v>6</v>
      </c>
      <c r="K19" s="14">
        <v>6</v>
      </c>
      <c r="L19" s="25">
        <v>5</v>
      </c>
      <c r="M19" s="30">
        <v>10</v>
      </c>
      <c r="N19" s="31">
        <v>7</v>
      </c>
      <c r="O19" s="35">
        <v>9</v>
      </c>
      <c r="P19" s="38">
        <v>6</v>
      </c>
      <c r="Q19" s="44">
        <v>7</v>
      </c>
      <c r="R19" s="8">
        <f t="shared" si="0"/>
        <v>6.4285714285714288</v>
      </c>
    </row>
    <row r="20" spans="1:18" ht="15.75">
      <c r="A20" s="60" t="s">
        <v>75</v>
      </c>
      <c r="B20" s="87">
        <v>10</v>
      </c>
      <c r="C20" s="89" t="s">
        <v>51</v>
      </c>
      <c r="D20" s="55">
        <v>6</v>
      </c>
      <c r="E20" s="23">
        <v>8</v>
      </c>
      <c r="F20" s="24">
        <v>4</v>
      </c>
      <c r="G20" s="21">
        <v>5</v>
      </c>
      <c r="H20" s="10">
        <v>8</v>
      </c>
      <c r="I20" s="19">
        <v>6</v>
      </c>
      <c r="J20" s="14">
        <v>7</v>
      </c>
      <c r="K20" s="14">
        <v>9</v>
      </c>
      <c r="L20" s="25">
        <v>7</v>
      </c>
      <c r="M20" s="30">
        <v>10</v>
      </c>
      <c r="N20" s="31">
        <v>6</v>
      </c>
      <c r="O20" s="35">
        <v>8</v>
      </c>
      <c r="P20" s="38">
        <v>7</v>
      </c>
      <c r="Q20" s="44">
        <v>6</v>
      </c>
      <c r="R20" s="8">
        <f t="shared" si="0"/>
        <v>6.9285714285714288</v>
      </c>
    </row>
    <row r="21" spans="1:18" ht="15.75">
      <c r="A21" s="60" t="s">
        <v>74</v>
      </c>
      <c r="B21" s="87">
        <v>11</v>
      </c>
      <c r="C21" s="91" t="s">
        <v>52</v>
      </c>
      <c r="D21" s="55">
        <v>7</v>
      </c>
      <c r="E21" s="23">
        <v>8</v>
      </c>
      <c r="F21" s="24">
        <v>5</v>
      </c>
      <c r="G21" s="21">
        <v>6</v>
      </c>
      <c r="H21" s="10">
        <v>6</v>
      </c>
      <c r="I21" s="19">
        <v>5</v>
      </c>
      <c r="J21" s="14">
        <v>7</v>
      </c>
      <c r="K21" s="14">
        <v>5</v>
      </c>
      <c r="L21" s="25">
        <v>6</v>
      </c>
      <c r="M21" s="30">
        <v>10</v>
      </c>
      <c r="N21" s="31">
        <v>5</v>
      </c>
      <c r="O21" s="35">
        <v>6</v>
      </c>
      <c r="P21" s="38">
        <v>4</v>
      </c>
      <c r="Q21" s="44">
        <v>8</v>
      </c>
      <c r="R21" s="8">
        <f t="shared" si="0"/>
        <v>6.2857142857142856</v>
      </c>
    </row>
    <row r="22" spans="1:18" ht="15.75">
      <c r="A22" s="60" t="s">
        <v>75</v>
      </c>
      <c r="B22" s="87">
        <v>12</v>
      </c>
      <c r="C22" s="89" t="s">
        <v>53</v>
      </c>
      <c r="D22" s="132" t="s">
        <v>57</v>
      </c>
      <c r="E22" s="136" t="s">
        <v>57</v>
      </c>
      <c r="F22" s="137" t="s">
        <v>57</v>
      </c>
      <c r="G22" s="21">
        <v>4</v>
      </c>
      <c r="H22" s="138" t="s">
        <v>57</v>
      </c>
      <c r="I22" s="131" t="s">
        <v>57</v>
      </c>
      <c r="J22" s="132" t="s">
        <v>57</v>
      </c>
      <c r="K22" s="132" t="s">
        <v>57</v>
      </c>
      <c r="L22" s="139" t="s">
        <v>57</v>
      </c>
      <c r="M22" s="133" t="s">
        <v>57</v>
      </c>
      <c r="N22" s="31">
        <v>4</v>
      </c>
      <c r="O22" s="134" t="s">
        <v>57</v>
      </c>
      <c r="P22" s="135" t="s">
        <v>57</v>
      </c>
      <c r="Q22" s="44">
        <v>4</v>
      </c>
      <c r="R22" s="8"/>
    </row>
    <row r="23" spans="1:18" ht="15.75">
      <c r="A23" s="60" t="s">
        <v>74</v>
      </c>
      <c r="B23" s="87">
        <v>13</v>
      </c>
      <c r="C23" s="89" t="s">
        <v>54</v>
      </c>
      <c r="D23" s="55">
        <v>9</v>
      </c>
      <c r="E23" s="23">
        <v>8</v>
      </c>
      <c r="F23" s="24">
        <v>7</v>
      </c>
      <c r="G23" s="21">
        <v>4</v>
      </c>
      <c r="H23" s="10">
        <v>8</v>
      </c>
      <c r="I23" s="20">
        <v>8</v>
      </c>
      <c r="J23" s="14">
        <v>6</v>
      </c>
      <c r="K23" s="14">
        <v>8</v>
      </c>
      <c r="L23" s="25">
        <v>7</v>
      </c>
      <c r="M23" s="30">
        <v>7</v>
      </c>
      <c r="N23" s="31">
        <v>7</v>
      </c>
      <c r="O23" s="35">
        <v>6</v>
      </c>
      <c r="P23" s="38">
        <v>5</v>
      </c>
      <c r="Q23" s="44">
        <v>9</v>
      </c>
      <c r="R23" s="8">
        <f t="shared" si="0"/>
        <v>7.0714285714285712</v>
      </c>
    </row>
    <row r="24" spans="1:18" ht="20.25">
      <c r="A24" s="1"/>
      <c r="B24" s="1"/>
      <c r="C24" s="2" t="s">
        <v>6</v>
      </c>
      <c r="D24" s="8">
        <f t="shared" ref="D24:Q24" si="1">AVERAGE(D11:D23)</f>
        <v>6.833333333333333</v>
      </c>
      <c r="E24" s="8">
        <f t="shared" si="1"/>
        <v>8.545454545454545</v>
      </c>
      <c r="F24" s="8">
        <f t="shared" si="1"/>
        <v>5.166666666666667</v>
      </c>
      <c r="G24" s="8">
        <f t="shared" si="1"/>
        <v>5</v>
      </c>
      <c r="H24" s="8">
        <f t="shared" si="1"/>
        <v>6.166666666666667</v>
      </c>
      <c r="I24" s="8">
        <f t="shared" si="1"/>
        <v>6.1818181818181817</v>
      </c>
      <c r="J24" s="8">
        <f t="shared" si="1"/>
        <v>6.5454545454545459</v>
      </c>
      <c r="K24" s="8">
        <f t="shared" si="1"/>
        <v>7.5454545454545459</v>
      </c>
      <c r="L24" s="8">
        <f t="shared" si="1"/>
        <v>6.083333333333333</v>
      </c>
      <c r="M24" s="27">
        <f t="shared" si="1"/>
        <v>9.7272727272727266</v>
      </c>
      <c r="N24" s="32">
        <f t="shared" si="1"/>
        <v>5.9230769230769234</v>
      </c>
      <c r="O24" s="36">
        <f t="shared" si="1"/>
        <v>7.6363636363636367</v>
      </c>
      <c r="P24" s="39">
        <f t="shared" si="1"/>
        <v>6.1</v>
      </c>
      <c r="Q24" s="45">
        <f t="shared" si="1"/>
        <v>7.2307692307692308</v>
      </c>
      <c r="R24" s="8">
        <f t="shared" si="0"/>
        <v>6.7632617382617388</v>
      </c>
    </row>
    <row r="25" spans="1:18" ht="20.25">
      <c r="A25" s="1"/>
      <c r="B25" s="1"/>
      <c r="C25" s="3" t="s">
        <v>7</v>
      </c>
      <c r="D25" s="12" t="s">
        <v>68</v>
      </c>
      <c r="E25" s="16">
        <v>84</v>
      </c>
      <c r="F25" s="16" t="s">
        <v>68</v>
      </c>
      <c r="G25" s="16" t="s">
        <v>68</v>
      </c>
      <c r="H25" s="12">
        <v>92</v>
      </c>
      <c r="I25" s="16" t="s">
        <v>70</v>
      </c>
      <c r="J25" s="12" t="s">
        <v>70</v>
      </c>
      <c r="K25" s="16" t="s">
        <v>70</v>
      </c>
      <c r="L25" s="16">
        <v>92</v>
      </c>
      <c r="M25" s="28" t="s">
        <v>70</v>
      </c>
      <c r="N25" s="33">
        <v>100</v>
      </c>
      <c r="O25" s="37" t="s">
        <v>70</v>
      </c>
      <c r="P25" s="40" t="s">
        <v>84</v>
      </c>
      <c r="Q25" s="46">
        <v>100</v>
      </c>
      <c r="R25" s="43"/>
    </row>
    <row r="26" spans="1:18" ht="20.25">
      <c r="A26" s="1"/>
      <c r="B26" s="1"/>
      <c r="C26" s="4" t="s">
        <v>8</v>
      </c>
      <c r="D26" s="13" t="s">
        <v>69</v>
      </c>
      <c r="E26" s="15">
        <v>100</v>
      </c>
      <c r="F26" s="13">
        <v>25</v>
      </c>
      <c r="G26" s="13">
        <v>8</v>
      </c>
      <c r="H26" s="9">
        <v>42</v>
      </c>
      <c r="I26" s="17" t="s">
        <v>71</v>
      </c>
      <c r="J26" s="11" t="s">
        <v>72</v>
      </c>
      <c r="K26" s="13" t="s">
        <v>88</v>
      </c>
      <c r="L26" s="13">
        <v>42</v>
      </c>
      <c r="M26" s="29" t="s">
        <v>70</v>
      </c>
      <c r="N26" s="34">
        <v>46</v>
      </c>
      <c r="O26" s="37">
        <v>54</v>
      </c>
      <c r="P26" s="41" t="s">
        <v>85</v>
      </c>
      <c r="Q26" s="47" t="s">
        <v>86</v>
      </c>
      <c r="R26" s="43"/>
    </row>
    <row r="27" spans="1:18" ht="20.25">
      <c r="A27" s="1"/>
      <c r="B27" s="1"/>
      <c r="C27" s="4" t="s">
        <v>9</v>
      </c>
      <c r="D27" s="8">
        <f>AVERAGE(D25:Q25)</f>
        <v>93.6</v>
      </c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1:18" ht="20.25">
      <c r="A28" s="1"/>
      <c r="B28" s="1"/>
      <c r="C28" s="4" t="s">
        <v>10</v>
      </c>
      <c r="D28" s="8">
        <f>AVERAGE(D26:Q26)</f>
        <v>45.285714285714285</v>
      </c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1:18" ht="15.75">
      <c r="A29" s="57"/>
      <c r="B29" s="57"/>
      <c r="C29" s="4" t="s">
        <v>18</v>
      </c>
      <c r="D29" s="18">
        <v>10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</row>
    <row r="30" spans="1:18" s="90" customFormat="1" ht="15.75">
      <c r="C30" s="4" t="s">
        <v>105</v>
      </c>
      <c r="D30" s="18">
        <v>3</v>
      </c>
    </row>
    <row r="31" spans="1:18" ht="15.75">
      <c r="A31" s="57"/>
      <c r="B31" s="57"/>
      <c r="C31" s="4" t="s">
        <v>19</v>
      </c>
      <c r="D31" s="18">
        <v>2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</row>
    <row r="32" spans="1:18" ht="15.75">
      <c r="A32" s="57"/>
      <c r="B32" s="57"/>
      <c r="C32" s="4" t="s">
        <v>20</v>
      </c>
      <c r="D32" s="18">
        <v>4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  <row r="33" spans="1:18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</row>
    <row r="34" spans="1:18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1:18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</row>
    <row r="36" spans="1:18">
      <c r="A36" s="57"/>
      <c r="B36" s="57"/>
      <c r="C36" s="57"/>
      <c r="D36" s="57"/>
      <c r="E36" s="52"/>
      <c r="F36" s="52"/>
      <c r="G36" s="52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</row>
    <row r="37" spans="1:18" ht="15.75">
      <c r="A37" s="57"/>
      <c r="B37" s="57"/>
      <c r="C37" s="57"/>
      <c r="D37" s="57"/>
      <c r="E37" s="53" t="s">
        <v>21</v>
      </c>
      <c r="F37" s="53"/>
      <c r="G37" s="53"/>
      <c r="H37" s="54"/>
      <c r="I37" s="54"/>
      <c r="J37" s="53" t="s">
        <v>56</v>
      </c>
      <c r="K37" s="53"/>
      <c r="L37" s="57"/>
      <c r="M37" s="57"/>
      <c r="N37" s="57"/>
      <c r="O37" s="57"/>
      <c r="P37" s="57"/>
      <c r="Q37" s="57"/>
      <c r="R37" s="57"/>
    </row>
    <row r="38" spans="1:1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1:18" ht="15.75">
      <c r="A39" s="57"/>
      <c r="B39" s="57"/>
      <c r="C39" s="57"/>
      <c r="D39" s="57"/>
      <c r="E39" s="53" t="s">
        <v>22</v>
      </c>
      <c r="F39" s="53"/>
      <c r="G39" s="53"/>
      <c r="H39" s="53"/>
      <c r="I39" s="53"/>
      <c r="J39" s="53" t="s">
        <v>23</v>
      </c>
      <c r="K39" s="53"/>
      <c r="L39" s="57"/>
      <c r="M39" s="57"/>
      <c r="N39" s="57"/>
      <c r="O39" s="57"/>
      <c r="P39" s="57"/>
      <c r="Q39" s="57"/>
      <c r="R39" s="57"/>
    </row>
  </sheetData>
  <mergeCells count="25">
    <mergeCell ref="Q8:Q10"/>
    <mergeCell ref="R8:R10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O8:O10"/>
    <mergeCell ref="A1:O1"/>
    <mergeCell ref="A2:O2"/>
    <mergeCell ref="A3:O3"/>
    <mergeCell ref="A4:O4"/>
    <mergeCell ref="A5:O5"/>
    <mergeCell ref="A7:A10"/>
    <mergeCell ref="B7:B10"/>
    <mergeCell ref="C7:C10"/>
    <mergeCell ref="D7:R7"/>
    <mergeCell ref="A6:O6"/>
    <mergeCell ref="I8:I10"/>
    <mergeCell ref="P8:P10"/>
  </mergeCells>
  <pageMargins left="0.7" right="0.7" top="0.75" bottom="0.75" header="0.3" footer="0.3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"/>
  <sheetViews>
    <sheetView topLeftCell="A7" zoomScale="90" zoomScaleNormal="90" workbookViewId="0">
      <selection activeCell="E22" sqref="E22"/>
    </sheetView>
  </sheetViews>
  <sheetFormatPr defaultRowHeight="15"/>
  <cols>
    <col min="1" max="1" width="4.28515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7109375" customWidth="1"/>
    <col min="13" max="13" width="8.7109375" customWidth="1"/>
    <col min="14" max="14" width="9.5703125" customWidth="1"/>
    <col min="15" max="15" width="9.7109375" customWidth="1"/>
    <col min="16" max="18" width="8.7109375" customWidth="1"/>
    <col min="19" max="19" width="11.28515625" customWidth="1"/>
  </cols>
  <sheetData>
    <row r="1" spans="1:19" ht="20.25">
      <c r="A1" s="144" t="s">
        <v>15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"/>
      <c r="Q1" s="1"/>
      <c r="R1" s="1"/>
      <c r="S1" s="1"/>
    </row>
    <row r="2" spans="1:19" ht="20.25">
      <c r="A2" s="144" t="s">
        <v>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"/>
      <c r="Q2" s="1"/>
      <c r="R2" s="1"/>
      <c r="S2" s="1"/>
    </row>
    <row r="3" spans="1:19" ht="20.25">
      <c r="A3" s="158" t="s">
        <v>26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"/>
      <c r="Q3" s="1"/>
      <c r="R3" s="1"/>
      <c r="S3" s="1"/>
    </row>
    <row r="4" spans="1:19" ht="20.25">
      <c r="A4" s="188" t="s">
        <v>41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"/>
      <c r="Q4" s="1"/>
      <c r="R4" s="1"/>
      <c r="S4" s="1"/>
    </row>
    <row r="5" spans="1:19" ht="20.25">
      <c r="A5" s="144" t="s">
        <v>16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"/>
      <c r="Q5" s="1"/>
      <c r="R5" s="1"/>
      <c r="S5" s="1"/>
    </row>
    <row r="6" spans="1:19" ht="20.25">
      <c r="A6" s="214" t="s">
        <v>55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1"/>
      <c r="Q6" s="1"/>
      <c r="R6" s="1"/>
      <c r="S6" s="1"/>
    </row>
    <row r="7" spans="1:19" ht="15.75">
      <c r="A7" s="180" t="s">
        <v>2</v>
      </c>
      <c r="B7" s="183" t="s">
        <v>3</v>
      </c>
      <c r="C7" s="183" t="s">
        <v>4</v>
      </c>
      <c r="D7" s="220" t="s">
        <v>17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ht="14.45" customHeight="1">
      <c r="A8" s="216"/>
      <c r="B8" s="218"/>
      <c r="C8" s="218"/>
      <c r="D8" s="223" t="s">
        <v>11</v>
      </c>
      <c r="E8" s="177" t="s">
        <v>58</v>
      </c>
      <c r="F8" s="177" t="s">
        <v>59</v>
      </c>
      <c r="G8" s="196" t="s">
        <v>60</v>
      </c>
      <c r="H8" s="141" t="s">
        <v>61</v>
      </c>
      <c r="I8" s="204" t="s">
        <v>62</v>
      </c>
      <c r="J8" s="141" t="s">
        <v>63</v>
      </c>
      <c r="K8" s="212" t="s">
        <v>12</v>
      </c>
      <c r="L8" s="177" t="s">
        <v>64</v>
      </c>
      <c r="M8" s="177" t="s">
        <v>65</v>
      </c>
      <c r="N8" s="177" t="s">
        <v>66</v>
      </c>
      <c r="O8" s="177" t="s">
        <v>67</v>
      </c>
      <c r="P8" s="206" t="s">
        <v>13</v>
      </c>
      <c r="Q8" s="141" t="s">
        <v>14</v>
      </c>
      <c r="R8" s="208" t="s">
        <v>25</v>
      </c>
      <c r="S8" s="211" t="s">
        <v>24</v>
      </c>
    </row>
    <row r="9" spans="1:19">
      <c r="A9" s="216"/>
      <c r="B9" s="218"/>
      <c r="C9" s="218"/>
      <c r="D9" s="163"/>
      <c r="E9" s="163"/>
      <c r="F9" s="163"/>
      <c r="G9" s="165"/>
      <c r="H9" s="142"/>
      <c r="I9" s="169"/>
      <c r="J9" s="142"/>
      <c r="K9" s="161"/>
      <c r="L9" s="163"/>
      <c r="M9" s="163"/>
      <c r="N9" s="163"/>
      <c r="O9" s="163"/>
      <c r="P9" s="172"/>
      <c r="Q9" s="142"/>
      <c r="R9" s="209"/>
      <c r="S9" s="156"/>
    </row>
    <row r="10" spans="1:19" ht="75.75" customHeight="1">
      <c r="A10" s="217"/>
      <c r="B10" s="219"/>
      <c r="C10" s="218"/>
      <c r="D10" s="224"/>
      <c r="E10" s="178"/>
      <c r="F10" s="178"/>
      <c r="G10" s="197"/>
      <c r="H10" s="142"/>
      <c r="I10" s="205"/>
      <c r="J10" s="142"/>
      <c r="K10" s="213"/>
      <c r="L10" s="178"/>
      <c r="M10" s="178"/>
      <c r="N10" s="163"/>
      <c r="O10" s="163"/>
      <c r="P10" s="207"/>
      <c r="Q10" s="142"/>
      <c r="R10" s="210"/>
      <c r="S10" s="156"/>
    </row>
    <row r="11" spans="1:19" ht="15.75">
      <c r="A11" s="66" t="s">
        <v>74</v>
      </c>
      <c r="B11" s="67">
        <v>1</v>
      </c>
      <c r="C11" s="94" t="s">
        <v>42</v>
      </c>
      <c r="D11" s="68">
        <v>9</v>
      </c>
      <c r="E11" s="69">
        <v>9</v>
      </c>
      <c r="F11" s="70">
        <v>7</v>
      </c>
      <c r="G11" s="71">
        <v>8</v>
      </c>
      <c r="H11" s="72">
        <v>9</v>
      </c>
      <c r="I11" s="73">
        <v>7</v>
      </c>
      <c r="J11" s="97">
        <v>8</v>
      </c>
      <c r="K11" s="72">
        <v>10</v>
      </c>
      <c r="L11" s="74">
        <v>9</v>
      </c>
      <c r="M11" s="75">
        <v>10</v>
      </c>
      <c r="N11" s="76">
        <v>8</v>
      </c>
      <c r="O11" s="77">
        <v>10</v>
      </c>
      <c r="P11" s="78">
        <v>7</v>
      </c>
      <c r="Q11" s="72">
        <v>9</v>
      </c>
      <c r="R11" s="79">
        <f>AVERAGE(C11:P11)</f>
        <v>8.5384615384615383</v>
      </c>
      <c r="S11" s="79">
        <f t="shared" ref="S11" si="0">(R11*90)/12</f>
        <v>64.038461538461533</v>
      </c>
    </row>
    <row r="12" spans="1:19" ht="15.75">
      <c r="A12" s="80" t="s">
        <v>74</v>
      </c>
      <c r="B12" s="92">
        <v>2</v>
      </c>
      <c r="C12" s="95" t="s">
        <v>43</v>
      </c>
      <c r="D12" s="68">
        <v>7</v>
      </c>
      <c r="E12" s="69">
        <v>9</v>
      </c>
      <c r="F12" s="70">
        <v>6</v>
      </c>
      <c r="G12" s="71">
        <v>6</v>
      </c>
      <c r="H12" s="72">
        <v>7</v>
      </c>
      <c r="I12" s="73">
        <v>7</v>
      </c>
      <c r="J12" s="72">
        <v>8</v>
      </c>
      <c r="K12" s="72">
        <v>9</v>
      </c>
      <c r="L12" s="74">
        <v>8</v>
      </c>
      <c r="M12" s="75">
        <v>10</v>
      </c>
      <c r="N12" s="76">
        <v>6</v>
      </c>
      <c r="O12" s="77">
        <v>10</v>
      </c>
      <c r="P12" s="78">
        <v>7</v>
      </c>
      <c r="Q12" s="82">
        <v>9</v>
      </c>
      <c r="R12" s="79">
        <f>AVERAGE(C12:P12)</f>
        <v>7.6923076923076925</v>
      </c>
      <c r="S12" s="79">
        <f t="shared" ref="S12:S19" si="1">(R12*90)/12</f>
        <v>57.692307692307701</v>
      </c>
    </row>
    <row r="13" spans="1:19" ht="15.75">
      <c r="A13" s="80" t="s">
        <v>74</v>
      </c>
      <c r="B13" s="92">
        <v>3</v>
      </c>
      <c r="C13" s="95" t="s">
        <v>47</v>
      </c>
      <c r="D13" s="68">
        <v>7</v>
      </c>
      <c r="E13" s="69">
        <v>8</v>
      </c>
      <c r="F13" s="70">
        <v>8</v>
      </c>
      <c r="G13" s="83">
        <v>4</v>
      </c>
      <c r="H13" s="84">
        <v>8</v>
      </c>
      <c r="I13" s="85">
        <v>8</v>
      </c>
      <c r="J13" s="72">
        <v>6</v>
      </c>
      <c r="K13" s="72">
        <v>8</v>
      </c>
      <c r="L13" s="74">
        <v>6</v>
      </c>
      <c r="M13" s="75">
        <v>10</v>
      </c>
      <c r="N13" s="76">
        <v>7</v>
      </c>
      <c r="O13" s="77">
        <v>6</v>
      </c>
      <c r="P13" s="78">
        <v>7</v>
      </c>
      <c r="Q13" s="82">
        <v>7</v>
      </c>
      <c r="R13" s="79">
        <f>AVERAGE(C13:P13)</f>
        <v>7.1538461538461542</v>
      </c>
      <c r="S13" s="79">
        <f t="shared" si="1"/>
        <v>53.65384615384616</v>
      </c>
    </row>
    <row r="14" spans="1:19" ht="15.75">
      <c r="A14" s="80" t="s">
        <v>74</v>
      </c>
      <c r="B14" s="92">
        <v>4</v>
      </c>
      <c r="C14" s="95" t="s">
        <v>54</v>
      </c>
      <c r="D14" s="68">
        <v>9</v>
      </c>
      <c r="E14" s="69">
        <v>8</v>
      </c>
      <c r="F14" s="70">
        <v>7</v>
      </c>
      <c r="G14" s="83">
        <v>4</v>
      </c>
      <c r="H14" s="86">
        <v>8</v>
      </c>
      <c r="I14" s="85">
        <v>8</v>
      </c>
      <c r="J14" s="72">
        <v>6</v>
      </c>
      <c r="K14" s="72">
        <v>8</v>
      </c>
      <c r="L14" s="74">
        <v>7</v>
      </c>
      <c r="M14" s="75">
        <v>7</v>
      </c>
      <c r="N14" s="76">
        <v>7</v>
      </c>
      <c r="O14" s="77">
        <v>6</v>
      </c>
      <c r="P14" s="78">
        <v>5</v>
      </c>
      <c r="Q14" s="82">
        <v>9</v>
      </c>
      <c r="R14" s="79">
        <f>AVERAGE(D14:Q14)</f>
        <v>7.0714285714285712</v>
      </c>
      <c r="S14" s="79">
        <f t="shared" si="1"/>
        <v>53.035714285714285</v>
      </c>
    </row>
    <row r="15" spans="1:19" ht="15.75">
      <c r="A15" s="60" t="s">
        <v>74</v>
      </c>
      <c r="B15" s="87">
        <v>5</v>
      </c>
      <c r="C15" s="91" t="s">
        <v>48</v>
      </c>
      <c r="D15" s="55">
        <v>7</v>
      </c>
      <c r="E15" s="23">
        <v>9</v>
      </c>
      <c r="F15" s="24">
        <v>5</v>
      </c>
      <c r="G15" s="21">
        <v>5</v>
      </c>
      <c r="H15" s="10">
        <v>5</v>
      </c>
      <c r="I15" s="19">
        <v>5</v>
      </c>
      <c r="J15" s="14">
        <v>7</v>
      </c>
      <c r="K15" s="14">
        <v>5</v>
      </c>
      <c r="L15" s="25">
        <v>4</v>
      </c>
      <c r="M15" s="30">
        <v>10</v>
      </c>
      <c r="N15" s="31">
        <v>7</v>
      </c>
      <c r="O15" s="35">
        <v>8</v>
      </c>
      <c r="P15" s="38">
        <v>7</v>
      </c>
      <c r="Q15" s="44">
        <v>8</v>
      </c>
      <c r="R15" s="42">
        <f>AVERAGE(C15:P15)</f>
        <v>6.4615384615384617</v>
      </c>
      <c r="S15" s="42">
        <f t="shared" si="1"/>
        <v>48.46153846153846</v>
      </c>
    </row>
    <row r="16" spans="1:19" ht="15.75">
      <c r="A16" s="60" t="s">
        <v>74</v>
      </c>
      <c r="B16" s="87">
        <v>6</v>
      </c>
      <c r="C16" s="89" t="s">
        <v>50</v>
      </c>
      <c r="D16" s="55">
        <v>6</v>
      </c>
      <c r="E16" s="23">
        <v>9</v>
      </c>
      <c r="F16" s="24">
        <v>4</v>
      </c>
      <c r="G16" s="21">
        <v>6</v>
      </c>
      <c r="H16" s="10">
        <v>4</v>
      </c>
      <c r="I16" s="19">
        <v>5</v>
      </c>
      <c r="J16" s="14">
        <v>6</v>
      </c>
      <c r="K16" s="14">
        <v>6</v>
      </c>
      <c r="L16" s="25">
        <v>5</v>
      </c>
      <c r="M16" s="30">
        <v>10</v>
      </c>
      <c r="N16" s="31">
        <v>7</v>
      </c>
      <c r="O16" s="35">
        <v>9</v>
      </c>
      <c r="P16" s="38">
        <v>6</v>
      </c>
      <c r="Q16" s="44">
        <v>7</v>
      </c>
      <c r="R16" s="42">
        <f>AVERAGE(C16:P16)</f>
        <v>6.384615384615385</v>
      </c>
      <c r="S16" s="42">
        <f t="shared" si="1"/>
        <v>47.884615384615387</v>
      </c>
    </row>
    <row r="17" spans="1:19" ht="15.75">
      <c r="A17" s="60" t="s">
        <v>74</v>
      </c>
      <c r="B17" s="87">
        <v>7</v>
      </c>
      <c r="C17" s="88" t="s">
        <v>44</v>
      </c>
      <c r="D17" s="55">
        <v>7</v>
      </c>
      <c r="E17" s="23">
        <v>7</v>
      </c>
      <c r="F17" s="24">
        <v>4</v>
      </c>
      <c r="G17" s="21">
        <v>4</v>
      </c>
      <c r="H17" s="10">
        <v>4</v>
      </c>
      <c r="I17" s="19">
        <v>5</v>
      </c>
      <c r="J17" s="14">
        <v>8</v>
      </c>
      <c r="K17" s="14">
        <v>8</v>
      </c>
      <c r="L17" s="25">
        <v>4</v>
      </c>
      <c r="M17" s="30">
        <v>10</v>
      </c>
      <c r="N17" s="31">
        <v>7</v>
      </c>
      <c r="O17" s="35">
        <v>8</v>
      </c>
      <c r="P17" s="38">
        <v>6</v>
      </c>
      <c r="Q17" s="44">
        <v>8</v>
      </c>
      <c r="R17" s="42">
        <f>AVERAGE(C17:P17)</f>
        <v>6.3076923076923075</v>
      </c>
      <c r="S17" s="42">
        <f t="shared" si="1"/>
        <v>47.307692307692299</v>
      </c>
    </row>
    <row r="18" spans="1:19" ht="15.75">
      <c r="A18" s="60" t="s">
        <v>74</v>
      </c>
      <c r="B18" s="87">
        <v>8</v>
      </c>
      <c r="C18" s="89" t="s">
        <v>49</v>
      </c>
      <c r="D18" s="55">
        <v>5</v>
      </c>
      <c r="E18" s="23">
        <v>9</v>
      </c>
      <c r="F18" s="24">
        <v>4</v>
      </c>
      <c r="G18" s="21">
        <v>4</v>
      </c>
      <c r="H18" s="10">
        <v>6</v>
      </c>
      <c r="I18" s="19">
        <v>5</v>
      </c>
      <c r="J18" s="14">
        <v>5</v>
      </c>
      <c r="K18" s="14">
        <v>7</v>
      </c>
      <c r="L18" s="25">
        <v>6</v>
      </c>
      <c r="M18" s="30">
        <v>10</v>
      </c>
      <c r="N18" s="31">
        <v>6</v>
      </c>
      <c r="O18" s="35">
        <v>8</v>
      </c>
      <c r="P18" s="38">
        <v>6</v>
      </c>
      <c r="Q18" s="44">
        <v>7</v>
      </c>
      <c r="R18" s="42">
        <f>AVERAGE(C18:P18)</f>
        <v>6.2307692307692308</v>
      </c>
      <c r="S18" s="42">
        <f t="shared" si="1"/>
        <v>46.730769230769234</v>
      </c>
    </row>
    <row r="19" spans="1:19" s="64" customFormat="1" ht="15.75">
      <c r="A19" s="60" t="s">
        <v>74</v>
      </c>
      <c r="B19" s="87">
        <v>9</v>
      </c>
      <c r="C19" s="91" t="s">
        <v>52</v>
      </c>
      <c r="D19" s="55">
        <v>7</v>
      </c>
      <c r="E19" s="23">
        <v>8</v>
      </c>
      <c r="F19" s="24">
        <v>5</v>
      </c>
      <c r="G19" s="21">
        <v>6</v>
      </c>
      <c r="H19" s="10">
        <v>6</v>
      </c>
      <c r="I19" s="58">
        <v>5</v>
      </c>
      <c r="J19" s="14">
        <v>7</v>
      </c>
      <c r="K19" s="14">
        <v>5</v>
      </c>
      <c r="L19" s="25">
        <v>6</v>
      </c>
      <c r="M19" s="30">
        <v>10</v>
      </c>
      <c r="N19" s="31">
        <v>5</v>
      </c>
      <c r="O19" s="35">
        <v>6</v>
      </c>
      <c r="P19" s="38">
        <v>4</v>
      </c>
      <c r="Q19" s="44">
        <v>8</v>
      </c>
      <c r="R19" s="18">
        <f>AVERAGE(C19:P19)</f>
        <v>6.1538461538461542</v>
      </c>
      <c r="S19" s="42">
        <f t="shared" si="1"/>
        <v>46.15384615384616</v>
      </c>
    </row>
    <row r="20" spans="1:19" ht="15.75">
      <c r="A20" s="57"/>
      <c r="B20" s="93"/>
      <c r="C20" s="96" t="s">
        <v>18</v>
      </c>
      <c r="D20" s="42">
        <v>9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</row>
    <row r="21" spans="1:19" s="90" customFormat="1" ht="15.75">
      <c r="B21" s="93"/>
      <c r="C21" s="96" t="s">
        <v>105</v>
      </c>
      <c r="D21" s="42">
        <v>3</v>
      </c>
    </row>
    <row r="22" spans="1:19" ht="15.75">
      <c r="A22" s="57"/>
      <c r="B22" s="93"/>
      <c r="C22" s="96" t="s">
        <v>19</v>
      </c>
      <c r="D22" s="42">
        <v>2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</row>
    <row r="23" spans="1:19" ht="15.75">
      <c r="A23" s="57"/>
      <c r="B23" s="57"/>
      <c r="C23" s="56" t="s">
        <v>20</v>
      </c>
      <c r="D23" s="18">
        <v>4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</row>
    <row r="24" spans="1:19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</row>
    <row r="25" spans="1:19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</row>
    <row r="26" spans="1:19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</row>
    <row r="27" spans="1:19">
      <c r="A27" s="57"/>
      <c r="B27" s="57"/>
      <c r="C27" s="57"/>
      <c r="D27" s="57"/>
      <c r="E27" s="52"/>
      <c r="F27" s="52"/>
      <c r="G27" s="52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</row>
    <row r="28" spans="1:19" ht="15.75">
      <c r="A28" s="57"/>
      <c r="B28" s="57"/>
      <c r="C28" s="57"/>
      <c r="D28" s="57"/>
      <c r="E28" s="53" t="s">
        <v>21</v>
      </c>
      <c r="F28" s="53"/>
      <c r="G28" s="53"/>
      <c r="H28" s="54"/>
      <c r="I28" s="54"/>
      <c r="J28" s="53" t="s">
        <v>56</v>
      </c>
      <c r="K28" s="53"/>
      <c r="L28" s="57"/>
      <c r="M28" s="57"/>
      <c r="N28" s="57"/>
      <c r="O28" s="57"/>
      <c r="P28" s="57"/>
      <c r="Q28" s="57"/>
      <c r="R28" s="57"/>
      <c r="S28" s="57"/>
    </row>
    <row r="29" spans="1:1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</row>
    <row r="30" spans="1:19" ht="15.75">
      <c r="A30" s="57"/>
      <c r="B30" s="57"/>
      <c r="C30" s="57"/>
      <c r="D30" s="57"/>
      <c r="E30" s="53" t="s">
        <v>22</v>
      </c>
      <c r="F30" s="53"/>
      <c r="G30" s="53"/>
      <c r="H30" s="53"/>
      <c r="I30" s="53"/>
      <c r="J30" s="53" t="s">
        <v>23</v>
      </c>
      <c r="K30" s="53"/>
      <c r="L30" s="57"/>
      <c r="M30" s="57"/>
      <c r="N30" s="57"/>
      <c r="O30" s="57"/>
      <c r="P30" s="57"/>
      <c r="Q30" s="57"/>
      <c r="R30" s="57"/>
      <c r="S30" s="57"/>
    </row>
  </sheetData>
  <sortState ref="A12:S19">
    <sortCondition descending="1" ref="S12:S19"/>
  </sortState>
  <mergeCells count="26">
    <mergeCell ref="A1:O1"/>
    <mergeCell ref="A2:O2"/>
    <mergeCell ref="A3:O3"/>
    <mergeCell ref="A4:O4"/>
    <mergeCell ref="A5:O5"/>
    <mergeCell ref="R8:R10"/>
    <mergeCell ref="S8:S10"/>
    <mergeCell ref="J8:J10"/>
    <mergeCell ref="K8:K10"/>
    <mergeCell ref="A6:O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ageMargins left="0.7" right="0.7" top="0.75" bottom="0.75" header="0.3" footer="0.3"/>
  <pageSetup paperSize="9" scale="6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Зведена відомість 172</vt:lpstr>
      <vt:lpstr>Рейтингова відомість 172</vt:lpstr>
      <vt:lpstr>Зведена відомість 185</vt:lpstr>
      <vt:lpstr>Рейтингова відомість 185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2021-07-08T10:15:19Z</cp:lastPrinted>
  <dcterms:created xsi:type="dcterms:W3CDTF">2006-09-28T05:33:49Z</dcterms:created>
  <dcterms:modified xsi:type="dcterms:W3CDTF">2021-07-08T10:15:42Z</dcterms:modified>
</cp:coreProperties>
</file>