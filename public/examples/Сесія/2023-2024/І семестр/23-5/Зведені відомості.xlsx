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G:\Мой диск\Сесія\2023-2024\Зимова\23-5\40%\"/>
    </mc:Choice>
  </mc:AlternateContent>
  <bookViews>
    <workbookView xWindow="255" yWindow="0" windowWidth="18765" windowHeight="11760" tabRatio="865" activeTab="1"/>
  </bookViews>
  <sheets>
    <sheet name="Зведена 101" sheetId="38" r:id="rId1"/>
    <sheet name="Лист1" sheetId="46" r:id="rId2"/>
    <sheet name="Рейтингова відомість 101" sheetId="41" r:id="rId3"/>
    <sheet name="Зведена 161" sheetId="40" r:id="rId4"/>
    <sheet name="Рейтингова відомість 161" sheetId="42" r:id="rId5"/>
    <sheet name="Зведена 172" sheetId="43" r:id="rId6"/>
    <sheet name="Зведена 181" sheetId="44" r:id="rId7"/>
    <sheet name="Зведена 241" sheetId="45" r:id="rId8"/>
  </sheets>
  <definedNames>
    <definedName name="A1048577" localSheetId="0">#REF!</definedName>
    <definedName name="A1048577" localSheetId="3">#REF!</definedName>
    <definedName name="A1048577" localSheetId="5">#REF!</definedName>
    <definedName name="A1048577" localSheetId="6">#REF!</definedName>
    <definedName name="A1048577" localSheetId="7">#REF!</definedName>
    <definedName name="A1048577" localSheetId="2">#REF!</definedName>
    <definedName name="A1048577" localSheetId="4">#REF!</definedName>
    <definedName name="A1048577">#REF!</definedName>
    <definedName name="_xlnm.Print_Area" localSheetId="0">'Зведена 101'!$B$2:$U$32</definedName>
    <definedName name="_xlnm.Print_Area" localSheetId="3">'Зведена 161'!$B$2:$U$30</definedName>
    <definedName name="_xlnm.Print_Area" localSheetId="5">'Зведена 172'!$B$2:$U$22</definedName>
    <definedName name="_xlnm.Print_Area" localSheetId="6">'Зведена 181'!$B$2:$U$24</definedName>
    <definedName name="_xlnm.Print_Area" localSheetId="7">'Зведена 241'!$B$2:$U$22</definedName>
    <definedName name="_xlnm.Print_Area" localSheetId="2">'Рейтингова відомість 101'!$B$2:$V$24</definedName>
    <definedName name="_xlnm.Print_Area" localSheetId="4">'Рейтингова відомість 161'!$B$2:$V$25</definedName>
    <definedName name="Ф80" localSheetId="0">#REF!</definedName>
    <definedName name="Ф80" localSheetId="3">#REF!</definedName>
    <definedName name="Ф80" localSheetId="5">#REF!</definedName>
    <definedName name="Ф80" localSheetId="6">#REF!</definedName>
    <definedName name="Ф80" localSheetId="7">#REF!</definedName>
    <definedName name="Ф80" localSheetId="2">#REF!</definedName>
    <definedName name="Ф80" localSheetId="4">#REF!</definedName>
    <definedName name="Ф80">#REF!</definedName>
  </definedNames>
  <calcPr calcId="15251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T16" i="41" l="1"/>
  <c r="F19" i="45" l="1"/>
  <c r="F18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F17" i="45" s="1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14" i="45"/>
  <c r="F16" i="45" s="1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T13" i="45" s="1"/>
  <c r="T12" i="45"/>
  <c r="T11" i="45"/>
  <c r="F21" i="44"/>
  <c r="F20" i="44"/>
  <c r="S17" i="44"/>
  <c r="R17" i="44"/>
  <c r="Q17" i="44"/>
  <c r="P17" i="44"/>
  <c r="O17" i="44"/>
  <c r="N17" i="44"/>
  <c r="M17" i="44"/>
  <c r="L17" i="44"/>
  <c r="K17" i="44"/>
  <c r="J17" i="44"/>
  <c r="I17" i="44"/>
  <c r="H17" i="44"/>
  <c r="G17" i="44"/>
  <c r="F17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G16" i="44"/>
  <c r="F16" i="44"/>
  <c r="F18" i="44" s="1"/>
  <c r="S15" i="44"/>
  <c r="R15" i="44"/>
  <c r="Q15" i="44"/>
  <c r="P15" i="44"/>
  <c r="O15" i="44"/>
  <c r="N15" i="44"/>
  <c r="M15" i="44"/>
  <c r="L15" i="44"/>
  <c r="K15" i="44"/>
  <c r="J15" i="44"/>
  <c r="I15" i="44"/>
  <c r="H15" i="44"/>
  <c r="G15" i="44"/>
  <c r="F15" i="44"/>
  <c r="T15" i="44" s="1"/>
  <c r="T14" i="44"/>
  <c r="T13" i="44"/>
  <c r="T12" i="44"/>
  <c r="T11" i="44"/>
  <c r="F19" i="43"/>
  <c r="F18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F17" i="43" s="1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F16" i="43" s="1"/>
  <c r="S13" i="43"/>
  <c r="R13" i="43"/>
  <c r="Q13" i="43"/>
  <c r="P13" i="43"/>
  <c r="O13" i="43"/>
  <c r="N13" i="43"/>
  <c r="M13" i="43"/>
  <c r="L13" i="43"/>
  <c r="K13" i="43"/>
  <c r="J13" i="43"/>
  <c r="I13" i="43"/>
  <c r="H13" i="43"/>
  <c r="G13" i="43"/>
  <c r="F13" i="43"/>
  <c r="T13" i="43" s="1"/>
  <c r="T12" i="43"/>
  <c r="T11" i="43"/>
  <c r="F19" i="44" l="1"/>
  <c r="T12" i="42"/>
  <c r="U12" i="42" s="1"/>
  <c r="T11" i="42"/>
  <c r="U11" i="42" s="1"/>
  <c r="T20" i="42"/>
  <c r="U20" i="42" s="1"/>
  <c r="T18" i="42"/>
  <c r="U18" i="42" s="1"/>
  <c r="T14" i="42"/>
  <c r="U14" i="42" s="1"/>
  <c r="T19" i="42"/>
  <c r="U19" i="42" s="1"/>
  <c r="T13" i="42"/>
  <c r="U13" i="42" s="1"/>
  <c r="T16" i="42"/>
  <c r="U16" i="42" s="1"/>
  <c r="T17" i="42"/>
  <c r="U17" i="42" s="1"/>
  <c r="T15" i="42"/>
  <c r="U15" i="42" s="1"/>
  <c r="F24" i="42"/>
  <c r="F23" i="42"/>
  <c r="T11" i="41"/>
  <c r="U11" i="41" s="1"/>
  <c r="T17" i="41"/>
  <c r="U17" i="41" s="1"/>
  <c r="T18" i="41"/>
  <c r="U18" i="41" s="1"/>
  <c r="T19" i="41"/>
  <c r="U19" i="41" s="1"/>
  <c r="U16" i="41"/>
  <c r="T13" i="41"/>
  <c r="U13" i="41" s="1"/>
  <c r="T14" i="41"/>
  <c r="U14" i="41" s="1"/>
  <c r="T12" i="41"/>
  <c r="U12" i="41" s="1"/>
  <c r="T15" i="41"/>
  <c r="U15" i="41" s="1"/>
  <c r="F23" i="41"/>
  <c r="F22" i="41"/>
  <c r="T20" i="38" l="1"/>
  <c r="T18" i="38"/>
  <c r="T17" i="38"/>
  <c r="T16" i="38"/>
  <c r="F27" i="40" l="1"/>
  <c r="F22" i="42" s="1"/>
  <c r="F26" i="40"/>
  <c r="F21" i="42" s="1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F22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F21" i="40"/>
  <c r="T20" i="40"/>
  <c r="T19" i="40"/>
  <c r="T18" i="40"/>
  <c r="T17" i="40"/>
  <c r="T16" i="40"/>
  <c r="T15" i="40"/>
  <c r="T14" i="40"/>
  <c r="T13" i="40"/>
  <c r="T12" i="40"/>
  <c r="T11" i="40"/>
  <c r="T21" i="40" l="1"/>
  <c r="F25" i="40"/>
  <c r="F24" i="40"/>
  <c r="T22" i="38"/>
  <c r="F29" i="38" l="1"/>
  <c r="F21" i="41" s="1"/>
  <c r="F28" i="38"/>
  <c r="F20" i="41" s="1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T21" i="38"/>
  <c r="T19" i="38"/>
  <c r="T15" i="38"/>
  <c r="T14" i="38"/>
  <c r="T13" i="38"/>
  <c r="T12" i="38"/>
  <c r="T11" i="38"/>
  <c r="T23" i="38" l="1"/>
  <c r="F26" i="38"/>
  <c r="F27" i="38"/>
</calcChain>
</file>

<file path=xl/sharedStrings.xml><?xml version="1.0" encoding="utf-8"?>
<sst xmlns="http://schemas.openxmlformats.org/spreadsheetml/2006/main" count="408" uniqueCount="78">
  <si>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</si>
  <si>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</si>
  <si>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</si>
  <si>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</si>
  <si>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</si>
  <si>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</si>
  <si>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</si>
  <si>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</si>
  <si>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</si>
  <si>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</si>
  <si>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</si>
  <si>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</si>
  <si>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</si>
  <si>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</si>
  <si>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</si>
  <si>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</si>
  <si>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</si>
  <si>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</si>
  <si>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</si>
  <si>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</si>
  <si>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</si>
  <si>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</si>
  <si>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</si>
  <si>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</si>
  <si>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</si>
  <si>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</si>
  <si>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</si>
  <si>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</si>
  <si>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 I семестр 2023-2024 н.р.</t>
  </si>
  <si>
    <t>Зарубіжна література
Сербулова Ю.А.</t>
  </si>
  <si>
    <t>Захист України
Стельмах Н.Ю.</t>
  </si>
  <si>
    <t>Підсумкові оцінки дисциплін</t>
  </si>
  <si>
    <t>Іноземна мова
Сербулова Ю.А.</t>
  </si>
  <si>
    <t>Українська література
Юрченко О.Б.</t>
  </si>
  <si>
    <t>Українська мова
Юрченко О.Б.</t>
  </si>
  <si>
    <t>Математика
Земляна Т.М.</t>
  </si>
  <si>
    <t>Фізична культура
Галеніна І.С.</t>
  </si>
  <si>
    <t>Бакшлян Віолетта Вячеславівна</t>
  </si>
  <si>
    <t>Бевз Денис Валерійович</t>
  </si>
  <si>
    <t>Білецька Анна Євгенівна</t>
  </si>
  <si>
    <t>Валєнієкс Анна Ріхардівна</t>
  </si>
  <si>
    <t>Жикол Дар`я Сергіївна</t>
  </si>
  <si>
    <t>Кірчева Вікторія Олександрівна</t>
  </si>
  <si>
    <t>Огороднік Маргарита Ігорівна</t>
  </si>
  <si>
    <t>Сізова Катерина Віталіївна</t>
  </si>
  <si>
    <t>Щетина Діана Станіславівна</t>
  </si>
  <si>
    <t>Яковенко Артем Сергійович</t>
  </si>
  <si>
    <t>Успішності студентів спеціальності 101 «Екологія»</t>
  </si>
  <si>
    <t>Група 23-5 курс І</t>
  </si>
  <si>
    <t>Юлія СЕРБУЛОВА</t>
  </si>
  <si>
    <t>Васильченко Анастасія Олександрівна</t>
  </si>
  <si>
    <t>Заслоцька Анна Василівна</t>
  </si>
  <si>
    <t>Крамаренко Єлизавета Юріївна</t>
  </si>
  <si>
    <t>М`ясковська Ярослава Сергіївна</t>
  </si>
  <si>
    <t>Мельникова Катерина Михайлівна</t>
  </si>
  <si>
    <t>Мирненко Станіслав Вадимович</t>
  </si>
  <si>
    <t>Огієнко Владислав Вікторович</t>
  </si>
  <si>
    <t>Прошіна Єлизавета Костянтинівна</t>
  </si>
  <si>
    <t>Сараїн Владислав Вячеславович</t>
  </si>
  <si>
    <t>Скибицька Вікторія Русланівна</t>
  </si>
  <si>
    <t>Успішності студентів спеціальності 161 «Хімічні технології та інженерія»</t>
  </si>
  <si>
    <t>Мельникова Ірина Юріївна</t>
  </si>
  <si>
    <t>Стефанович Андрій Олександрович</t>
  </si>
  <si>
    <t>н/а</t>
  </si>
  <si>
    <t>РЕЙТИНГОВА ВІДОМІСТЬ</t>
  </si>
  <si>
    <t>Рейтинговий бал</t>
  </si>
  <si>
    <t>Успішності студентів спеціальності 172 «Телекомунікації та радіотехніка»</t>
  </si>
  <si>
    <t>Горбачов Павло Вікторович</t>
  </si>
  <si>
    <t>Стрибков Олександр Іванович</t>
  </si>
  <si>
    <t>Успішності студентів спеціальності 181 «Харчові технології»</t>
  </si>
  <si>
    <t>Гінда Дар’я Денисівна</t>
  </si>
  <si>
    <t>Полєєв Олексій Юрійович</t>
  </si>
  <si>
    <t>н/з</t>
  </si>
  <si>
    <t>Рибалко Максим Сергійович</t>
  </si>
  <si>
    <t>Токарчук Денис Олександрович</t>
  </si>
  <si>
    <t>Успішності студентів спеціальності 241 «Готельно-ресторанна справа»</t>
  </si>
  <si>
    <t>Некрасова Анна Володимирівна</t>
  </si>
  <si>
    <t>Чернушенко Поліна Дмитрівна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</si>
</sst>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3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0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131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EFEF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F33"/>
  <sheetViews>
    <sheetView topLeftCell="A7" zoomScaleNormal="100" workbookViewId="0">
      <selection activeCell="E11" sqref="E11:S22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2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2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</row>
    <row r="3" spans="1:22" s="5" customFormat="1" ht="15" customHeight="1" x14ac:dyDescent="0.25">
      <c r="A3" s="33"/>
      <c r="B3" s="36"/>
      <c r="C3" s="36" t="s">
        <v>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5"/>
    </row>
    <row r="4" spans="1:22" s="5" customFormat="1" ht="15" customHeight="1" x14ac:dyDescent="0.25">
      <c r="A4" s="33"/>
      <c r="B4" s="36"/>
      <c r="C4" s="36" t="s">
        <v>1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5"/>
    </row>
    <row r="5" spans="1:22" s="6" customFormat="1" ht="15" customHeight="1" x14ac:dyDescent="0.25">
      <c r="A5" s="33"/>
      <c r="B5" s="36"/>
      <c r="C5" s="37" t="s">
        <v>27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6"/>
      <c r="V5" s="35"/>
    </row>
    <row r="6" spans="1:22" s="5" customFormat="1" ht="15" customHeight="1" x14ac:dyDescent="0.25">
      <c r="A6" s="33"/>
      <c r="B6" s="36"/>
      <c r="C6" s="38" t="s">
        <v>47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6"/>
      <c r="V6" s="35"/>
    </row>
    <row r="7" spans="1:22" s="5" customFormat="1" ht="15" customHeight="1" x14ac:dyDescent="0.25">
      <c r="A7" s="33"/>
      <c r="B7" s="36"/>
      <c r="C7" s="38" t="s">
        <v>28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6"/>
      <c r="V7" s="35"/>
    </row>
    <row r="8" spans="1:22" s="5" customFormat="1" ht="15" customHeight="1" x14ac:dyDescent="0.25">
      <c r="A8" s="33"/>
      <c r="B8" s="36"/>
      <c r="C8" s="36" t="s">
        <v>48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5"/>
    </row>
    <row r="9" spans="1:22" ht="15" customHeight="1" x14ac:dyDescent="0.25">
      <c r="A9" s="33"/>
      <c r="B9" s="36"/>
      <c r="C9" s="40" t="s">
        <v>2</v>
      </c>
      <c r="D9" s="42" t="s">
        <v>3</v>
      </c>
      <c r="E9" s="42" t="s">
        <v>4</v>
      </c>
      <c r="F9" s="41" t="s">
        <v>31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36"/>
      <c r="V9" s="35"/>
    </row>
    <row r="10" spans="1:22" ht="125.1" customHeight="1" x14ac:dyDescent="0.25">
      <c r="A10" s="33"/>
      <c r="B10" s="36"/>
      <c r="C10" s="41"/>
      <c r="D10" s="41"/>
      <c r="E10" s="41"/>
      <c r="F10" s="18" t="s">
        <v>5</v>
      </c>
      <c r="G10" s="18" t="s">
        <v>6</v>
      </c>
      <c r="H10" s="18" t="s">
        <v>7</v>
      </c>
      <c r="I10" s="18" t="s">
        <v>29</v>
      </c>
      <c r="J10" s="18" t="s">
        <v>30</v>
      </c>
      <c r="K10" s="18" t="s">
        <v>32</v>
      </c>
      <c r="L10" s="18" t="s">
        <v>8</v>
      </c>
      <c r="M10" s="18" t="s">
        <v>9</v>
      </c>
      <c r="N10" s="18" t="s">
        <v>35</v>
      </c>
      <c r="O10" s="18" t="s">
        <v>33</v>
      </c>
      <c r="P10" s="18" t="s">
        <v>34</v>
      </c>
      <c r="Q10" s="18" t="s">
        <v>10</v>
      </c>
      <c r="R10" s="18" t="s">
        <v>36</v>
      </c>
      <c r="S10" s="18" t="s">
        <v>11</v>
      </c>
      <c r="T10" s="7" t="s">
        <v>12</v>
      </c>
      <c r="U10" s="36"/>
      <c r="V10" s="35"/>
    </row>
    <row r="11" spans="1:22" ht="15" customHeight="1" x14ac:dyDescent="0.25">
      <c r="A11" s="33"/>
      <c r="B11" s="36"/>
      <c r="C11" s="8" t="s">
        <v>14</v>
      </c>
      <c r="D11" s="8">
        <v>1</v>
      </c>
      <c r="E11" s="9" t="s">
        <v>37</v>
      </c>
      <c r="F11" s="10">
        <v>5</v>
      </c>
      <c r="G11" s="10">
        <v>8</v>
      </c>
      <c r="H11" s="10">
        <v>8</v>
      </c>
      <c r="I11" s="10">
        <v>10</v>
      </c>
      <c r="J11" s="10">
        <v>8</v>
      </c>
      <c r="K11" s="10">
        <v>9</v>
      </c>
      <c r="L11" s="10">
        <v>9</v>
      </c>
      <c r="M11" s="10">
        <v>8</v>
      </c>
      <c r="N11" s="10">
        <v>7</v>
      </c>
      <c r="O11" s="10">
        <v>5</v>
      </c>
      <c r="P11" s="10">
        <v>6</v>
      </c>
      <c r="Q11" s="10">
        <v>5</v>
      </c>
      <c r="R11" s="10">
        <v>9</v>
      </c>
      <c r="S11" s="10">
        <v>4</v>
      </c>
      <c r="T11" s="2">
        <f t="shared" ref="T11:T21" si="0">IF(COUNTIF(F11:S11,"=*")&gt;0,"-",IF(COUNTIF(F11:S11,"&lt;4")&gt;0,"-",(IFERROR(AVERAGE(F11:S11),""))))</f>
        <v>7.2142857142857144</v>
      </c>
      <c r="U11" s="36"/>
      <c r="V11" s="35"/>
    </row>
    <row r="12" spans="1:22" ht="15" customHeight="1" x14ac:dyDescent="0.25">
      <c r="A12" s="33"/>
      <c r="B12" s="36"/>
      <c r="C12" s="8" t="s">
        <v>14</v>
      </c>
      <c r="D12" s="8">
        <v>2</v>
      </c>
      <c r="E12" s="9" t="s">
        <v>38</v>
      </c>
      <c r="F12" s="10">
        <v>5</v>
      </c>
      <c r="G12" s="10">
        <v>5</v>
      </c>
      <c r="H12" s="10">
        <v>8</v>
      </c>
      <c r="I12" s="10">
        <v>10</v>
      </c>
      <c r="J12" s="10">
        <v>4</v>
      </c>
      <c r="K12" s="10">
        <v>8</v>
      </c>
      <c r="L12" s="10" t="s">
        <v>63</v>
      </c>
      <c r="M12" s="10">
        <v>5</v>
      </c>
      <c r="N12" s="10">
        <v>4</v>
      </c>
      <c r="O12" s="10">
        <v>5</v>
      </c>
      <c r="P12" s="10">
        <v>5</v>
      </c>
      <c r="Q12" s="10">
        <v>4</v>
      </c>
      <c r="R12" s="10">
        <v>8</v>
      </c>
      <c r="S12" s="10">
        <v>5</v>
      </c>
      <c r="T12" s="2" t="str">
        <f t="shared" si="0"/>
        <v>-</v>
      </c>
      <c r="U12" s="36"/>
      <c r="V12" s="35"/>
    </row>
    <row r="13" spans="1:22" ht="15" customHeight="1" x14ac:dyDescent="0.25">
      <c r="A13" s="33"/>
      <c r="B13" s="36"/>
      <c r="C13" s="8" t="s">
        <v>14</v>
      </c>
      <c r="D13" s="22">
        <v>3</v>
      </c>
      <c r="E13" s="9" t="s">
        <v>39</v>
      </c>
      <c r="F13" s="10">
        <v>9</v>
      </c>
      <c r="G13" s="10">
        <v>9</v>
      </c>
      <c r="H13" s="10">
        <v>10</v>
      </c>
      <c r="I13" s="10">
        <v>10</v>
      </c>
      <c r="J13" s="10">
        <v>8</v>
      </c>
      <c r="K13" s="10">
        <v>10</v>
      </c>
      <c r="L13" s="10">
        <v>10</v>
      </c>
      <c r="M13" s="10">
        <v>8</v>
      </c>
      <c r="N13" s="10">
        <v>7</v>
      </c>
      <c r="O13" s="10">
        <v>8</v>
      </c>
      <c r="P13" s="10">
        <v>8</v>
      </c>
      <c r="Q13" s="10">
        <v>8</v>
      </c>
      <c r="R13" s="10">
        <v>11</v>
      </c>
      <c r="S13" s="10">
        <v>7</v>
      </c>
      <c r="T13" s="2">
        <f t="shared" si="0"/>
        <v>8.7857142857142865</v>
      </c>
      <c r="U13" s="36"/>
      <c r="V13" s="35"/>
    </row>
    <row r="14" spans="1:22" ht="15" customHeight="1" x14ac:dyDescent="0.25">
      <c r="A14" s="33"/>
      <c r="B14" s="36"/>
      <c r="C14" s="8" t="s">
        <v>14</v>
      </c>
      <c r="D14" s="22">
        <v>4</v>
      </c>
      <c r="E14" s="9" t="s">
        <v>40</v>
      </c>
      <c r="F14" s="10">
        <v>8</v>
      </c>
      <c r="G14" s="10">
        <v>7</v>
      </c>
      <c r="H14" s="10">
        <v>9</v>
      </c>
      <c r="I14" s="10">
        <v>11</v>
      </c>
      <c r="J14" s="10">
        <v>8</v>
      </c>
      <c r="K14" s="10">
        <v>10</v>
      </c>
      <c r="L14" s="10">
        <v>6</v>
      </c>
      <c r="M14" s="10">
        <v>6</v>
      </c>
      <c r="N14" s="10">
        <v>4</v>
      </c>
      <c r="O14" s="10">
        <v>8</v>
      </c>
      <c r="P14" s="10">
        <v>5</v>
      </c>
      <c r="Q14" s="10">
        <v>4</v>
      </c>
      <c r="R14" s="10">
        <v>9</v>
      </c>
      <c r="S14" s="10">
        <v>4</v>
      </c>
      <c r="T14" s="2">
        <f t="shared" si="0"/>
        <v>7.0714285714285712</v>
      </c>
      <c r="U14" s="36"/>
      <c r="V14" s="35"/>
    </row>
    <row r="15" spans="1:22" ht="15" customHeight="1" x14ac:dyDescent="0.25">
      <c r="A15" s="33"/>
      <c r="B15" s="36"/>
      <c r="C15" s="8" t="s">
        <v>14</v>
      </c>
      <c r="D15" s="22">
        <v>5</v>
      </c>
      <c r="E15" s="9" t="s">
        <v>41</v>
      </c>
      <c r="F15" s="10">
        <v>8</v>
      </c>
      <c r="G15" s="10">
        <v>8</v>
      </c>
      <c r="H15" s="10">
        <v>8</v>
      </c>
      <c r="I15" s="10">
        <v>9</v>
      </c>
      <c r="J15" s="10">
        <v>8</v>
      </c>
      <c r="K15" s="10">
        <v>10</v>
      </c>
      <c r="L15" s="10">
        <v>7</v>
      </c>
      <c r="M15" s="10">
        <v>6</v>
      </c>
      <c r="N15" s="10">
        <v>5</v>
      </c>
      <c r="O15" s="10">
        <v>7</v>
      </c>
      <c r="P15" s="10">
        <v>6</v>
      </c>
      <c r="Q15" s="10">
        <v>4</v>
      </c>
      <c r="R15" s="10">
        <v>5</v>
      </c>
      <c r="S15" s="10">
        <v>5</v>
      </c>
      <c r="T15" s="2">
        <f t="shared" si="0"/>
        <v>6.8571428571428568</v>
      </c>
      <c r="U15" s="36"/>
      <c r="V15" s="35"/>
    </row>
    <row r="16" spans="1:22" ht="15" customHeight="1" x14ac:dyDescent="0.25">
      <c r="A16" s="33"/>
      <c r="B16" s="36"/>
      <c r="C16" s="8" t="s">
        <v>14</v>
      </c>
      <c r="D16" s="22">
        <v>6</v>
      </c>
      <c r="E16" s="9" t="s">
        <v>42</v>
      </c>
      <c r="F16" s="10">
        <v>6</v>
      </c>
      <c r="G16" s="10">
        <v>7</v>
      </c>
      <c r="H16" s="10">
        <v>9</v>
      </c>
      <c r="I16" s="10">
        <v>9</v>
      </c>
      <c r="J16" s="10">
        <v>7</v>
      </c>
      <c r="K16" s="10">
        <v>9</v>
      </c>
      <c r="L16" s="10">
        <v>5</v>
      </c>
      <c r="M16" s="10">
        <v>8</v>
      </c>
      <c r="N16" s="10">
        <v>4</v>
      </c>
      <c r="O16" s="10">
        <v>5</v>
      </c>
      <c r="P16" s="10">
        <v>7</v>
      </c>
      <c r="Q16" s="10">
        <v>4</v>
      </c>
      <c r="R16" s="10">
        <v>10</v>
      </c>
      <c r="S16" s="10">
        <v>4</v>
      </c>
      <c r="T16" s="2">
        <f>IF(COUNTIF(F16:S16,"=*")&gt;0,"-",IF(COUNTIF(F16:S16,"&lt;4")&gt;0,"-",(IFERROR(AVERAGE(F16:S16),""))))</f>
        <v>6.7142857142857144</v>
      </c>
      <c r="U16" s="36"/>
      <c r="V16" s="35"/>
    </row>
    <row r="17" spans="1:23" ht="15" customHeight="1" x14ac:dyDescent="0.25">
      <c r="A17" s="33"/>
      <c r="B17" s="36"/>
      <c r="C17" s="22" t="s">
        <v>13</v>
      </c>
      <c r="D17" s="22">
        <v>7</v>
      </c>
      <c r="E17" s="23" t="s">
        <v>61</v>
      </c>
      <c r="F17" s="10">
        <v>8</v>
      </c>
      <c r="G17" s="10">
        <v>8</v>
      </c>
      <c r="H17" s="10">
        <v>9</v>
      </c>
      <c r="I17" s="10">
        <v>8</v>
      </c>
      <c r="J17" s="10">
        <v>7</v>
      </c>
      <c r="K17" s="10">
        <v>8</v>
      </c>
      <c r="L17" s="10">
        <v>5</v>
      </c>
      <c r="M17" s="10">
        <v>7</v>
      </c>
      <c r="N17" s="10">
        <v>4</v>
      </c>
      <c r="O17" s="10">
        <v>6</v>
      </c>
      <c r="P17" s="10">
        <v>6</v>
      </c>
      <c r="Q17" s="10">
        <v>2</v>
      </c>
      <c r="R17" s="10">
        <v>5</v>
      </c>
      <c r="S17" s="10">
        <v>5</v>
      </c>
      <c r="T17" s="2">
        <f>AVERAGE(F17:S17)</f>
        <v>6.2857142857142856</v>
      </c>
      <c r="U17" s="36"/>
      <c r="V17" s="35"/>
    </row>
    <row r="18" spans="1:23" ht="15" customHeight="1" x14ac:dyDescent="0.25">
      <c r="A18" s="33"/>
      <c r="B18" s="36"/>
      <c r="C18" s="8" t="s">
        <v>14</v>
      </c>
      <c r="D18" s="22">
        <v>8</v>
      </c>
      <c r="E18" s="9" t="s">
        <v>43</v>
      </c>
      <c r="F18" s="10">
        <v>8</v>
      </c>
      <c r="G18" s="10">
        <v>5</v>
      </c>
      <c r="H18" s="10">
        <v>9</v>
      </c>
      <c r="I18" s="10">
        <v>10</v>
      </c>
      <c r="J18" s="10">
        <v>7</v>
      </c>
      <c r="K18" s="10">
        <v>9</v>
      </c>
      <c r="L18" s="10">
        <v>8</v>
      </c>
      <c r="M18" s="10">
        <v>8</v>
      </c>
      <c r="N18" s="10">
        <v>4</v>
      </c>
      <c r="O18" s="10">
        <v>8</v>
      </c>
      <c r="P18" s="10">
        <v>6</v>
      </c>
      <c r="Q18" s="10">
        <v>2</v>
      </c>
      <c r="R18" s="10">
        <v>9</v>
      </c>
      <c r="S18" s="10">
        <v>7</v>
      </c>
      <c r="T18" s="2">
        <f>AVERAGE(F18:S18)</f>
        <v>7.1428571428571432</v>
      </c>
      <c r="U18" s="36"/>
      <c r="V18" s="35"/>
    </row>
    <row r="19" spans="1:23" ht="15" customHeight="1" x14ac:dyDescent="0.25">
      <c r="A19" s="33"/>
      <c r="B19" s="36"/>
      <c r="C19" s="8" t="s">
        <v>14</v>
      </c>
      <c r="D19" s="22">
        <v>9</v>
      </c>
      <c r="E19" s="9" t="s">
        <v>44</v>
      </c>
      <c r="F19" s="10">
        <v>6</v>
      </c>
      <c r="G19" s="10">
        <v>9</v>
      </c>
      <c r="H19" s="10">
        <v>9</v>
      </c>
      <c r="I19" s="10">
        <v>9</v>
      </c>
      <c r="J19" s="10">
        <v>9</v>
      </c>
      <c r="K19" s="10">
        <v>10</v>
      </c>
      <c r="L19" s="10">
        <v>8</v>
      </c>
      <c r="M19" s="10">
        <v>7</v>
      </c>
      <c r="N19" s="10">
        <v>6</v>
      </c>
      <c r="O19" s="10">
        <v>8</v>
      </c>
      <c r="P19" s="10">
        <v>7</v>
      </c>
      <c r="Q19" s="10">
        <v>5</v>
      </c>
      <c r="R19" s="10">
        <v>8</v>
      </c>
      <c r="S19" s="10">
        <v>6</v>
      </c>
      <c r="T19" s="2">
        <f t="shared" si="0"/>
        <v>7.6428571428571432</v>
      </c>
      <c r="U19" s="36"/>
      <c r="V19" s="35"/>
    </row>
    <row r="20" spans="1:23" ht="15" customHeight="1" x14ac:dyDescent="0.25">
      <c r="A20" s="33"/>
      <c r="B20" s="36"/>
      <c r="C20" s="22" t="s">
        <v>13</v>
      </c>
      <c r="D20" s="22">
        <v>10</v>
      </c>
      <c r="E20" s="9" t="s">
        <v>62</v>
      </c>
      <c r="F20" s="10">
        <v>8</v>
      </c>
      <c r="G20" s="10">
        <v>8</v>
      </c>
      <c r="H20" s="10">
        <v>10</v>
      </c>
      <c r="I20" s="10">
        <v>10</v>
      </c>
      <c r="J20" s="10">
        <v>9</v>
      </c>
      <c r="K20" s="10">
        <v>10</v>
      </c>
      <c r="L20" s="10">
        <v>8</v>
      </c>
      <c r="M20" s="10">
        <v>8</v>
      </c>
      <c r="N20" s="10">
        <v>9</v>
      </c>
      <c r="O20" s="10">
        <v>8</v>
      </c>
      <c r="P20" s="10">
        <v>7</v>
      </c>
      <c r="Q20" s="10">
        <v>8</v>
      </c>
      <c r="R20" s="10">
        <v>10</v>
      </c>
      <c r="S20" s="10">
        <v>7</v>
      </c>
      <c r="T20" s="2">
        <f t="shared" si="0"/>
        <v>8.5714285714285712</v>
      </c>
      <c r="U20" s="36"/>
      <c r="V20" s="35"/>
    </row>
    <row r="21" spans="1:23" ht="15" customHeight="1" x14ac:dyDescent="0.25">
      <c r="A21" s="33"/>
      <c r="B21" s="36"/>
      <c r="C21" s="8" t="s">
        <v>14</v>
      </c>
      <c r="D21" s="22">
        <v>11</v>
      </c>
      <c r="E21" s="9" t="s">
        <v>45</v>
      </c>
      <c r="F21" s="10">
        <v>8</v>
      </c>
      <c r="G21" s="10">
        <v>6</v>
      </c>
      <c r="H21" s="10">
        <v>8</v>
      </c>
      <c r="I21" s="10">
        <v>10</v>
      </c>
      <c r="J21" s="10">
        <v>7</v>
      </c>
      <c r="K21" s="10">
        <v>10</v>
      </c>
      <c r="L21" s="10">
        <v>7</v>
      </c>
      <c r="M21" s="10">
        <v>6</v>
      </c>
      <c r="N21" s="10">
        <v>5</v>
      </c>
      <c r="O21" s="10">
        <v>9</v>
      </c>
      <c r="P21" s="10">
        <v>8</v>
      </c>
      <c r="Q21" s="10">
        <v>5</v>
      </c>
      <c r="R21" s="10">
        <v>8</v>
      </c>
      <c r="S21" s="10">
        <v>6</v>
      </c>
      <c r="T21" s="2">
        <f t="shared" si="0"/>
        <v>7.3571428571428568</v>
      </c>
      <c r="U21" s="36"/>
      <c r="V21" s="35"/>
    </row>
    <row r="22" spans="1:23" ht="15" customHeight="1" x14ac:dyDescent="0.25">
      <c r="A22" s="33"/>
      <c r="B22" s="36"/>
      <c r="C22" s="20" t="s">
        <v>14</v>
      </c>
      <c r="D22" s="22">
        <v>12</v>
      </c>
      <c r="E22" s="9" t="s">
        <v>46</v>
      </c>
      <c r="F22" s="10">
        <v>8</v>
      </c>
      <c r="G22" s="10">
        <v>8</v>
      </c>
      <c r="H22" s="10">
        <v>11</v>
      </c>
      <c r="I22" s="10">
        <v>10</v>
      </c>
      <c r="J22" s="10">
        <v>8</v>
      </c>
      <c r="K22" s="10">
        <v>9</v>
      </c>
      <c r="L22" s="10">
        <v>10</v>
      </c>
      <c r="M22" s="10">
        <v>7</v>
      </c>
      <c r="N22" s="10">
        <v>4</v>
      </c>
      <c r="O22" s="10">
        <v>10</v>
      </c>
      <c r="P22" s="10">
        <v>7</v>
      </c>
      <c r="Q22" s="10">
        <v>7</v>
      </c>
      <c r="R22" s="10">
        <v>9</v>
      </c>
      <c r="S22" s="10">
        <v>4</v>
      </c>
      <c r="T22" s="2">
        <f t="shared" ref="T22" si="1">IF(COUNTIF(F22:S22,"=*")&gt;0,"-",IF(COUNTIF(F22:S22,"&lt;4")&gt;0,"-",(IFERROR(AVERAGE(F22:S22),""))))</f>
        <v>8</v>
      </c>
      <c r="U22" s="36"/>
      <c r="V22" s="35"/>
    </row>
    <row r="23" spans="1:23" ht="15" customHeight="1" x14ac:dyDescent="0.25">
      <c r="A23" s="33"/>
      <c r="B23" s="36"/>
      <c r="C23" s="11"/>
      <c r="D23" s="11"/>
      <c r="E23" s="9" t="s">
        <v>15</v>
      </c>
      <c r="F23" s="3">
        <f>IF(SUM(F11:F22)=0,"",SUM(F11:F22)/D22)</f>
        <v>7.25</v>
      </c>
      <c r="G23" s="3">
        <f>IF(SUM(G11:G22)=0,"",SUM(G11:G22)/D22)</f>
        <v>7.333333333333333</v>
      </c>
      <c r="H23" s="3">
        <f>IF(SUM(H11:H22)=0,"",SUM(H11:H22)/D22)</f>
        <v>9</v>
      </c>
      <c r="I23" s="3">
        <f>IF(SUM(I11:I22)=0,"",SUM(I11:I22)/D22)</f>
        <v>9.6666666666666661</v>
      </c>
      <c r="J23" s="3">
        <f>IF(SUM(J11:J22)=0,"",SUM(J11:J22)/D22)</f>
        <v>7.5</v>
      </c>
      <c r="K23" s="3">
        <f>IF(SUM(K11:K22)=0,"",SUM(K11:K22)/D22)</f>
        <v>9.3333333333333339</v>
      </c>
      <c r="L23" s="3">
        <f>IF(SUM(L11:L22)=0,"",SUM(L11:L22)/D22)</f>
        <v>6.916666666666667</v>
      </c>
      <c r="M23" s="3">
        <f>IF(SUM(M11:M22)=0,"",SUM(M11:M22)/D22)</f>
        <v>7</v>
      </c>
      <c r="N23" s="3">
        <f>IF(SUM(N11:N22)=0,"",SUM(N11:N22)/D22)</f>
        <v>5.25</v>
      </c>
      <c r="O23" s="3">
        <f>IF(SUM(O11:O22)=0,"",SUM(O11:O22)/D22)</f>
        <v>7.25</v>
      </c>
      <c r="P23" s="3">
        <f>IF(SUM(P11:P22)=0,"",SUM(P11:P22)/D22)</f>
        <v>6.5</v>
      </c>
      <c r="Q23" s="3">
        <f>IF(SUM(Q11:Q22)=0,"",SUM(Q11:Q22)/D22)</f>
        <v>4.833333333333333</v>
      </c>
      <c r="R23" s="3">
        <f>IF(SUM(R11:R22)=0,"",SUM(R11:R22)/D22)</f>
        <v>8.4166666666666661</v>
      </c>
      <c r="S23" s="3">
        <f>IF(SUM(S11:S22)=0,"",SUM(S11:S22)/D22)</f>
        <v>5.333333333333333</v>
      </c>
      <c r="T23" s="2">
        <f>IFERROR(AVERAGE(F23:S23),"")</f>
        <v>7.2559523809523805</v>
      </c>
      <c r="U23" s="36"/>
      <c r="V23" s="35"/>
    </row>
    <row r="24" spans="1:23" ht="15" customHeight="1" x14ac:dyDescent="0.25">
      <c r="A24" s="33"/>
      <c r="B24" s="36"/>
      <c r="C24" s="11"/>
      <c r="D24" s="11"/>
      <c r="E24" s="9" t="s">
        <v>16</v>
      </c>
      <c r="F24" s="12">
        <f>IF(SUM(F11:F22)=0,"",IF(COUNTIF(F11:F22,"&gt;=4")=0,0,COUNTIF(F11:F22,"&gt;=4")/D22*100))</f>
        <v>100</v>
      </c>
      <c r="G24" s="12">
        <f>IF(SUM(G11:G22)=0,"",IF(COUNTIF(G11:G22,"&gt;=4")=0,0,COUNTIF(G11:G22,"&gt;=4")/D22*100))</f>
        <v>100</v>
      </c>
      <c r="H24" s="12">
        <f>IF(SUM(H11:H22)=0,"",IF(COUNTIF(H11:H22,"&gt;=4")=0,0,COUNTIF(H11:H22,"&gt;=4")/D22*100))</f>
        <v>100</v>
      </c>
      <c r="I24" s="12">
        <f>IF(SUM(I11:I22)=0,"",IF(COUNTIF(I11:I22,"&gt;=4")=0,0,COUNTIF(I11:I22,"&gt;=4")/D22*100))</f>
        <v>100</v>
      </c>
      <c r="J24" s="12">
        <f>IF(SUM(J11:J22)=0,"",IF(COUNTIF(J11:J22,"&gt;=4")=0,0,COUNTIF(J11:J22,"&gt;=4")/D22*100))</f>
        <v>100</v>
      </c>
      <c r="K24" s="12">
        <f>IF(SUM(K11:K22)=0,"",IF(COUNTIF(K11:K22,"&gt;=4")=0,0,COUNTIF(K11:K22,"&gt;=4")/D22*100))</f>
        <v>100</v>
      </c>
      <c r="L24" s="12">
        <f>IF(SUM(L11:L22)=0,"",IF(COUNTIF(L11:L22,"&gt;=4")=0,0,COUNTIF(L11:L22,"&gt;=4")/D22*100))</f>
        <v>91.666666666666657</v>
      </c>
      <c r="M24" s="12">
        <f>IF(SUM(M11:M22)=0,"",IF(COUNTIF(M11:M22,"&gt;=4")=0,0,COUNTIF(M11:M22,"&gt;=4")/D22*100))</f>
        <v>100</v>
      </c>
      <c r="N24" s="12">
        <f>IF(SUM(N11:N22)=0,"",IF(COUNTIF(N11:N22,"&gt;=4")=0,0,COUNTIF(N11:N22,"&gt;=4")/D22*100))</f>
        <v>100</v>
      </c>
      <c r="O24" s="12">
        <f>IF(SUM(O11:O22)=0,"",IF(COUNTIF(O11:O22,"&gt;=4")=0,0,COUNTIF(O11:O22,"&gt;=4")/D22*100))</f>
        <v>100</v>
      </c>
      <c r="P24" s="12">
        <f>IF(SUM(P11:P22)=0,"",IF(COUNTIF(P11:P22,"&gt;=4")=0,0,COUNTIF(P11:P22,"&gt;=4")/D22*100))</f>
        <v>100</v>
      </c>
      <c r="Q24" s="12">
        <f>IF(SUM(Q11:Q22)=0,"",IF(COUNTIF(Q11:Q22,"&gt;=4")=0,0,COUNTIF(Q11:Q22,"&gt;=4")/D22*100))</f>
        <v>83.333333333333343</v>
      </c>
      <c r="R24" s="12">
        <f>IF(SUM(R11:R22)=0,"",IF(COUNTIF(R11:R22,"&gt;=4")=0,0,COUNTIF(R11:R22,"&gt;=4")/D22*100))</f>
        <v>100</v>
      </c>
      <c r="S24" s="12">
        <f>IF(SUM(S11:S22)=0,"",IF(COUNTIF(S11:S22,"&gt;=4")=0,0,COUNTIF(S11:S22,"&gt;=4")/D22*100))</f>
        <v>100</v>
      </c>
      <c r="T24" s="13"/>
      <c r="U24" s="36"/>
      <c r="V24" s="35"/>
      <c r="W24" s="14"/>
    </row>
    <row r="25" spans="1:23" ht="15" customHeight="1" x14ac:dyDescent="0.25">
      <c r="A25" s="33"/>
      <c r="B25" s="36"/>
      <c r="C25" s="11"/>
      <c r="D25" s="11"/>
      <c r="E25" s="9" t="s">
        <v>17</v>
      </c>
      <c r="F25" s="12">
        <f>IF(SUM(F11:F22)=0,"",IF(COUNTIF(F11:F22,"&gt;=7")=0,0,COUNTIF(F11:F22,"&gt;=7")/D22*100))</f>
        <v>66.666666666666657</v>
      </c>
      <c r="G25" s="12">
        <f>IF(SUM(G11:G22)=0,"",IF(COUNTIF(G11:G22,"&gt;=7")=0,0,COUNTIF(G11:G22,"&gt;=7")/D22*100))</f>
        <v>75</v>
      </c>
      <c r="H25" s="12">
        <f>IF(SUM(H11:H22)=0,"",IF(COUNTIF(H11:H22,"&gt;=7")=0,0,COUNTIF(H11:H22,"&gt;=7")/D22*100))</f>
        <v>100</v>
      </c>
      <c r="I25" s="12">
        <f>IF(SUM(I11:I22)=0,"",IF(COUNTIF(I11:I22,"&gt;=7")=0,0,COUNTIF(I11:I22,"&gt;=7")/D22*100))</f>
        <v>100</v>
      </c>
      <c r="J25" s="12">
        <f>IF(SUM(J11:J22)=0,"",IF(COUNTIF(J11:J22,"&gt;=7")=0,0,COUNTIF(J11:J22,"&gt;=7")/D22*100))</f>
        <v>91.666666666666657</v>
      </c>
      <c r="K25" s="12">
        <f>IF(SUM(K11:K22)=0,"",IF(COUNTIF(K11:K22,"&gt;=7")=0,0,COUNTIF(K11:K22,"&gt;=7")/D22*100))</f>
        <v>100</v>
      </c>
      <c r="L25" s="12">
        <f>IF(SUM(L11:L22)=0,"",IF(COUNTIF(L11:L22,"&gt;=7")=0,0,COUNTIF(L11:L22,"&gt;=7")/D22*100))</f>
        <v>66.666666666666657</v>
      </c>
      <c r="M25" s="12">
        <f>IF(SUM(M11:M22)=0,"",IF(COUNTIF(M11:M22,"&gt;=7")=0,0,COUNTIF(M11:M22,"&gt;=7")/D22*100))</f>
        <v>66.666666666666657</v>
      </c>
      <c r="N25" s="12">
        <f>IF(SUM(N11:N22)=0,"",IF(COUNTIF(N11:N22,"&gt;=7")=0,0,COUNTIF(N11:N22,"&gt;=7")/D22*100))</f>
        <v>25</v>
      </c>
      <c r="O25" s="12">
        <f>IF(SUM(O11:O22)=0,"",IF(COUNTIF(O11:O22,"&gt;=7")=0,0,COUNTIF(O11:O22,"&gt;=7")/D22*100))</f>
        <v>66.666666666666657</v>
      </c>
      <c r="P25" s="12">
        <f>IF(SUM(P11:P22)=0,"",IF(COUNTIF(P11:P22,"&gt;=7")=0,0,COUNTIF(P11:P22,"&gt;=7")/D22*100))</f>
        <v>50</v>
      </c>
      <c r="Q25" s="12">
        <f>IF(SUM(Q11:Q22)=0,"",IF(COUNTIF(Q11:Q22,"&gt;=7")=0,0,COUNTIF(Q11:Q22,"&gt;=7")/D22*100))</f>
        <v>25</v>
      </c>
      <c r="R25" s="12">
        <f>IF(SUM(R11:R22)=0,"",IF(COUNTIF(R11:R22,"&gt;=7")=0,0,COUNTIF(R11:R22,"&gt;=7")/D22*100))</f>
        <v>83.333333333333343</v>
      </c>
      <c r="S25" s="12">
        <f>IF(SUM(S11:S22)=0,"",IF(COUNTIF(S11:S22,"&gt;=7")=0,0,COUNTIF(S11:S22,"&gt;=7")/D22*100))</f>
        <v>25</v>
      </c>
      <c r="T25" s="15"/>
      <c r="U25" s="36"/>
      <c r="V25" s="35"/>
      <c r="W25" s="14"/>
    </row>
    <row r="26" spans="1:23" ht="15" customHeight="1" x14ac:dyDescent="0.25">
      <c r="A26" s="33"/>
      <c r="B26" s="36"/>
      <c r="C26" s="11"/>
      <c r="D26" s="11"/>
      <c r="E26" s="9" t="s">
        <v>18</v>
      </c>
      <c r="F26" s="3">
        <f>IFERROR(AVERAGE(F24:S24),"")</f>
        <v>98.214285714285694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5"/>
      <c r="U26" s="36"/>
      <c r="V26" s="35"/>
      <c r="W26" s="14"/>
    </row>
    <row r="27" spans="1:23" ht="15" customHeight="1" x14ac:dyDescent="0.25">
      <c r="A27" s="33"/>
      <c r="B27" s="36"/>
      <c r="C27" s="11"/>
      <c r="D27" s="11"/>
      <c r="E27" s="9" t="s">
        <v>19</v>
      </c>
      <c r="F27" s="3">
        <f>IFERROR(AVERAGE(F25:S25),"")</f>
        <v>67.261904761904745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5"/>
      <c r="U27" s="36"/>
      <c r="V27" s="35"/>
      <c r="W27" s="14"/>
    </row>
    <row r="28" spans="1:23" ht="15" customHeight="1" x14ac:dyDescent="0.25">
      <c r="A28" s="33"/>
      <c r="B28" s="36"/>
      <c r="C28" s="11"/>
      <c r="D28" s="11"/>
      <c r="E28" s="9" t="s">
        <v>20</v>
      </c>
      <c r="F28" s="16">
        <f>IF(COUNTIF(C11:C22,"=Б")=0,IF(COUNTIF(C11:C22,"=К")=0,"",0),COUNTIF(C11:C22,"=Б"))</f>
        <v>10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5"/>
      <c r="U28" s="36"/>
      <c r="V28" s="35"/>
      <c r="W28" s="14"/>
    </row>
    <row r="29" spans="1:23" ht="15" customHeight="1" x14ac:dyDescent="0.25">
      <c r="A29" s="33"/>
      <c r="B29" s="36"/>
      <c r="C29" s="11"/>
      <c r="D29" s="11"/>
      <c r="E29" s="9" t="s">
        <v>21</v>
      </c>
      <c r="F29" s="16">
        <f>IF(COUNTIF(C11:C22,"=К")=0,IF(COUNTIF(C11:C22,"=Б")=0,"",0),COUNTIF(C11:C22,"=К"))</f>
        <v>2</v>
      </c>
      <c r="G29" s="11"/>
      <c r="H29" s="17" t="s">
        <v>22</v>
      </c>
      <c r="I29" s="11"/>
      <c r="J29" s="11"/>
      <c r="K29" s="11"/>
      <c r="L29" s="11"/>
      <c r="M29" s="11"/>
      <c r="N29" s="11"/>
      <c r="O29" s="1" t="s">
        <v>49</v>
      </c>
      <c r="P29" s="11"/>
      <c r="Q29" s="11"/>
      <c r="R29" s="11"/>
      <c r="S29" s="11"/>
      <c r="T29" s="11"/>
      <c r="U29" s="36"/>
      <c r="V29" s="35"/>
    </row>
    <row r="30" spans="1:23" ht="15" customHeight="1" x14ac:dyDescent="0.25">
      <c r="A30" s="33"/>
      <c r="B30" s="36"/>
      <c r="C30" s="11"/>
      <c r="D30" s="11"/>
      <c r="E30" s="9" t="s">
        <v>23</v>
      </c>
      <c r="F30" s="16">
        <v>4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36"/>
      <c r="V30" s="35"/>
    </row>
    <row r="31" spans="1:23" ht="15" customHeight="1" x14ac:dyDescent="0.25">
      <c r="A31" s="33"/>
      <c r="B31" s="36"/>
      <c r="C31" s="11"/>
      <c r="D31" s="11"/>
      <c r="E31" s="9" t="s">
        <v>24</v>
      </c>
      <c r="F31" s="16">
        <v>4</v>
      </c>
      <c r="G31" s="11"/>
      <c r="H31" s="17" t="s">
        <v>25</v>
      </c>
      <c r="I31" s="11"/>
      <c r="J31" s="11"/>
      <c r="K31" s="11"/>
      <c r="L31" s="11"/>
      <c r="M31" s="11"/>
      <c r="N31" s="11"/>
      <c r="O31" s="17" t="s">
        <v>26</v>
      </c>
      <c r="P31" s="11"/>
      <c r="Q31" s="11"/>
      <c r="R31" s="11"/>
      <c r="S31" s="11"/>
      <c r="T31" s="11"/>
      <c r="U31" s="36"/>
      <c r="V31" s="35"/>
    </row>
    <row r="32" spans="1:23" ht="12" customHeight="1" thickBot="1" x14ac:dyDescent="0.3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5"/>
    </row>
    <row r="33" spans="2:21" ht="12" customHeight="1" x14ac:dyDescent="0.2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</row>
  </sheetData>
  <sheetProtection selectLockedCells="1"/>
  <sortState ref="E11:E20">
    <sortCondition ref="E11"/>
  </sortState>
  <mergeCells count="18">
    <mergeCell ref="B33:U33"/>
    <mergeCell ref="C7:T7"/>
    <mergeCell ref="C8:T8"/>
    <mergeCell ref="C9:C10"/>
    <mergeCell ref="D9:D10"/>
    <mergeCell ref="E9:E10"/>
    <mergeCell ref="F9:T9"/>
    <mergeCell ref="B1:U1"/>
    <mergeCell ref="A2:A32"/>
    <mergeCell ref="B2:U2"/>
    <mergeCell ref="V2:V32"/>
    <mergeCell ref="B3:B31"/>
    <mergeCell ref="C3:T3"/>
    <mergeCell ref="U3:U31"/>
    <mergeCell ref="C4:T4"/>
    <mergeCell ref="C5:T5"/>
    <mergeCell ref="C6:T6"/>
    <mergeCell ref="B32:U32"/>
  </mergeCells>
  <conditionalFormatting sqref="T11:T21">
    <cfRule type="expression" dxfId="130" priority="5">
      <formula>$U$22&lt;&gt;""</formula>
    </cfRule>
  </conditionalFormatting>
  <conditionalFormatting sqref="C11:S11 D13 D15 D17 D19 D21 F12:S22">
    <cfRule type="expression" dxfId="129" priority="6">
      <formula>$U$11&lt;&gt;""</formula>
    </cfRule>
  </conditionalFormatting>
  <conditionalFormatting sqref="C12:E12 D14 D16 D18 D20 D22">
    <cfRule type="expression" dxfId="128" priority="7">
      <formula>$U$12&lt;&gt;""</formula>
    </cfRule>
  </conditionalFormatting>
  <conditionalFormatting sqref="C13 E13">
    <cfRule type="expression" dxfId="127" priority="8">
      <formula>$U$13&lt;&gt;""</formula>
    </cfRule>
  </conditionalFormatting>
  <conditionalFormatting sqref="C14 E14">
    <cfRule type="expression" dxfId="126" priority="9">
      <formula>$U$14&lt;&gt;""</formula>
    </cfRule>
  </conditionalFormatting>
  <conditionalFormatting sqref="C15 E15">
    <cfRule type="expression" dxfId="125" priority="10">
      <formula>$U$15&lt;&gt;""</formula>
    </cfRule>
  </conditionalFormatting>
  <conditionalFormatting sqref="E16:E17 C16:C17">
    <cfRule type="expression" dxfId="124" priority="11">
      <formula>$U$16&lt;&gt;""</formula>
    </cfRule>
  </conditionalFormatting>
  <conditionalFormatting sqref="C18 E18">
    <cfRule type="expression" dxfId="123" priority="12">
      <formula>$U$18&lt;&gt;""</formula>
    </cfRule>
  </conditionalFormatting>
  <conditionalFormatting sqref="C19:C20 E19:E20">
    <cfRule type="expression" dxfId="122" priority="13">
      <formula>$U$19&lt;&gt;""</formula>
    </cfRule>
  </conditionalFormatting>
  <conditionalFormatting sqref="C21 E21">
    <cfRule type="expression" dxfId="121" priority="14">
      <formula>$U$21&lt;&gt;""</formula>
    </cfRule>
  </conditionalFormatting>
  <conditionalFormatting sqref="T22">
    <cfRule type="expression" dxfId="120" priority="3">
      <formula>$U$22&lt;&gt;""</formula>
    </cfRule>
  </conditionalFormatting>
  <conditionalFormatting sqref="C22 E22">
    <cfRule type="expression" dxfId="119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</sheetPr>
  <dimension ref="A2:P32"/>
  <sheetViews>
    <sheetView tabSelected="1" zoomScale="85" zoomScaleNormal="85" workbookViewId="0">
      <selection activeCell="O33" sqref="O33"/>
    </sheetView>
  </sheetViews>
  <sheetFormatPr defaultRowHeight="12.95" customHeight="1" x14ac:dyDescent="0.25"/>
  <cols>
    <col min="2" max="2" width="36.140625" customWidth="1"/>
  </cols>
  <sheetData>
    <row r="2" spans="1:16" ht="64.5" customHeight="1" x14ac:dyDescent="0.25">
      <c r="C2" s="18" t="s">
        <v>5</v>
      </c>
      <c r="D2" s="18" t="s">
        <v>6</v>
      </c>
      <c r="E2" s="18" t="s">
        <v>7</v>
      </c>
      <c r="F2" s="18" t="s">
        <v>29</v>
      </c>
      <c r="G2" s="18" t="s">
        <v>30</v>
      </c>
      <c r="H2" s="18" t="s">
        <v>32</v>
      </c>
      <c r="I2" s="18" t="s">
        <v>8</v>
      </c>
      <c r="J2" s="18" t="s">
        <v>9</v>
      </c>
      <c r="K2" s="18" t="s">
        <v>35</v>
      </c>
      <c r="L2" s="18" t="s">
        <v>33</v>
      </c>
      <c r="M2" s="18" t="s">
        <v>34</v>
      </c>
      <c r="N2" s="18" t="s">
        <v>10</v>
      </c>
      <c r="O2" s="18" t="s">
        <v>36</v>
      </c>
      <c r="P2" s="18" t="s">
        <v>11</v>
      </c>
    </row>
    <row r="3" spans="1:16" ht="12.95" customHeight="1" x14ac:dyDescent="0.25">
      <c r="A3">
        <v>1</v>
      </c>
      <c r="B3" s="9" t="s">
        <v>37</v>
      </c>
      <c r="C3" s="10">
        <v>5</v>
      </c>
      <c r="D3" s="10">
        <v>8</v>
      </c>
      <c r="E3" s="10">
        <v>8</v>
      </c>
      <c r="F3" s="10">
        <v>10</v>
      </c>
      <c r="G3" s="10">
        <v>8</v>
      </c>
      <c r="H3" s="10">
        <v>9</v>
      </c>
      <c r="I3" s="10">
        <v>9</v>
      </c>
      <c r="J3" s="10">
        <v>8</v>
      </c>
      <c r="K3" s="10">
        <v>7</v>
      </c>
      <c r="L3" s="10">
        <v>5</v>
      </c>
      <c r="M3" s="10">
        <v>6</v>
      </c>
      <c r="N3" s="10">
        <v>5</v>
      </c>
      <c r="O3" s="10">
        <v>9</v>
      </c>
      <c r="P3" s="10">
        <v>4</v>
      </c>
    </row>
    <row r="4" spans="1:16" ht="12.95" customHeight="1" x14ac:dyDescent="0.25">
      <c r="A4">
        <v>2</v>
      </c>
      <c r="B4" s="9" t="s">
        <v>38</v>
      </c>
      <c r="C4" s="10">
        <v>5</v>
      </c>
      <c r="D4" s="10">
        <v>5</v>
      </c>
      <c r="E4" s="10">
        <v>8</v>
      </c>
      <c r="F4" s="10">
        <v>10</v>
      </c>
      <c r="G4" s="10">
        <v>4</v>
      </c>
      <c r="H4" s="10">
        <v>8</v>
      </c>
      <c r="I4" s="10" t="s">
        <v>63</v>
      </c>
      <c r="J4" s="10">
        <v>5</v>
      </c>
      <c r="K4" s="10">
        <v>4</v>
      </c>
      <c r="L4" s="10">
        <v>5</v>
      </c>
      <c r="M4" s="10">
        <v>5</v>
      </c>
      <c r="N4" s="10">
        <v>4</v>
      </c>
      <c r="O4" s="10">
        <v>8</v>
      </c>
      <c r="P4" s="10">
        <v>5</v>
      </c>
    </row>
    <row r="5" spans="1:16" ht="12.95" customHeight="1" x14ac:dyDescent="0.25">
      <c r="A5">
        <v>3</v>
      </c>
      <c r="B5" s="9" t="s">
        <v>39</v>
      </c>
      <c r="C5" s="10">
        <v>9</v>
      </c>
      <c r="D5" s="10">
        <v>9</v>
      </c>
      <c r="E5" s="10">
        <v>10</v>
      </c>
      <c r="F5" s="10">
        <v>10</v>
      </c>
      <c r="G5" s="10">
        <v>8</v>
      </c>
      <c r="H5" s="10">
        <v>10</v>
      </c>
      <c r="I5" s="10">
        <v>10</v>
      </c>
      <c r="J5" s="10">
        <v>8</v>
      </c>
      <c r="K5" s="10">
        <v>7</v>
      </c>
      <c r="L5" s="10">
        <v>8</v>
      </c>
      <c r="M5" s="10">
        <v>8</v>
      </c>
      <c r="N5" s="10">
        <v>8</v>
      </c>
      <c r="O5" s="10">
        <v>11</v>
      </c>
      <c r="P5" s="10">
        <v>7</v>
      </c>
    </row>
    <row r="6" spans="1:16" ht="12.95" customHeight="1" x14ac:dyDescent="0.25">
      <c r="A6">
        <v>4</v>
      </c>
      <c r="B6" s="9" t="s">
        <v>40</v>
      </c>
      <c r="C6" s="10">
        <v>8</v>
      </c>
      <c r="D6" s="10">
        <v>7</v>
      </c>
      <c r="E6" s="10">
        <v>9</v>
      </c>
      <c r="F6" s="10">
        <v>11</v>
      </c>
      <c r="G6" s="10">
        <v>8</v>
      </c>
      <c r="H6" s="10">
        <v>10</v>
      </c>
      <c r="I6" s="10">
        <v>6</v>
      </c>
      <c r="J6" s="10">
        <v>6</v>
      </c>
      <c r="K6" s="10">
        <v>4</v>
      </c>
      <c r="L6" s="10">
        <v>8</v>
      </c>
      <c r="M6" s="10">
        <v>5</v>
      </c>
      <c r="N6" s="10">
        <v>4</v>
      </c>
      <c r="O6" s="10">
        <v>9</v>
      </c>
      <c r="P6" s="10">
        <v>4</v>
      </c>
    </row>
    <row r="7" spans="1:16" ht="12.95" customHeight="1" x14ac:dyDescent="0.25">
      <c r="A7">
        <v>5</v>
      </c>
      <c r="B7" s="9" t="s">
        <v>50</v>
      </c>
      <c r="C7" s="10">
        <v>8</v>
      </c>
      <c r="D7" s="10">
        <v>9</v>
      </c>
      <c r="E7" s="10">
        <v>8</v>
      </c>
      <c r="F7" s="10">
        <v>10</v>
      </c>
      <c r="G7" s="10">
        <v>9</v>
      </c>
      <c r="H7" s="10">
        <v>11</v>
      </c>
      <c r="I7" s="10">
        <v>8</v>
      </c>
      <c r="J7" s="10">
        <v>8</v>
      </c>
      <c r="K7" s="10">
        <v>5</v>
      </c>
      <c r="L7" s="10">
        <v>8</v>
      </c>
      <c r="M7" s="10">
        <v>8</v>
      </c>
      <c r="N7" s="10">
        <v>7</v>
      </c>
      <c r="O7" s="10">
        <v>8</v>
      </c>
      <c r="P7" s="10">
        <v>4</v>
      </c>
    </row>
    <row r="8" spans="1:16" ht="12.95" customHeight="1" x14ac:dyDescent="0.25">
      <c r="A8">
        <v>6</v>
      </c>
      <c r="B8" s="9" t="s">
        <v>70</v>
      </c>
      <c r="C8" s="10">
        <v>7</v>
      </c>
      <c r="D8" s="10">
        <v>5</v>
      </c>
      <c r="E8" s="10">
        <v>8</v>
      </c>
      <c r="F8" s="10">
        <v>9</v>
      </c>
      <c r="G8" s="10">
        <v>5</v>
      </c>
      <c r="H8" s="10">
        <v>9</v>
      </c>
      <c r="I8" s="10">
        <v>8</v>
      </c>
      <c r="J8" s="10">
        <v>6</v>
      </c>
      <c r="K8" s="10">
        <v>4</v>
      </c>
      <c r="L8" s="10">
        <v>6</v>
      </c>
      <c r="M8" s="10">
        <v>6</v>
      </c>
      <c r="N8" s="10">
        <v>4</v>
      </c>
      <c r="O8" s="10">
        <v>4</v>
      </c>
      <c r="P8" s="10">
        <v>4</v>
      </c>
    </row>
    <row r="9" spans="1:16" ht="12.95" customHeight="1" x14ac:dyDescent="0.25">
      <c r="A9">
        <v>7</v>
      </c>
      <c r="B9" s="9" t="s">
        <v>67</v>
      </c>
      <c r="C9" s="10">
        <v>8</v>
      </c>
      <c r="D9" s="10">
        <v>8</v>
      </c>
      <c r="E9" s="10">
        <v>7</v>
      </c>
      <c r="F9" s="10">
        <v>10</v>
      </c>
      <c r="G9" s="10">
        <v>7</v>
      </c>
      <c r="H9" s="10">
        <v>10</v>
      </c>
      <c r="I9" s="10">
        <v>7</v>
      </c>
      <c r="J9" s="10">
        <v>7</v>
      </c>
      <c r="K9" s="10">
        <v>7</v>
      </c>
      <c r="L9" s="10">
        <v>7</v>
      </c>
      <c r="M9" s="10">
        <v>7</v>
      </c>
      <c r="N9" s="10">
        <v>8</v>
      </c>
      <c r="O9" s="10">
        <v>9</v>
      </c>
      <c r="P9" s="10">
        <v>5</v>
      </c>
    </row>
    <row r="10" spans="1:16" ht="12.95" customHeight="1" x14ac:dyDescent="0.25">
      <c r="A10">
        <v>8</v>
      </c>
      <c r="B10" s="9" t="s">
        <v>41</v>
      </c>
      <c r="C10" s="10">
        <v>8</v>
      </c>
      <c r="D10" s="10">
        <v>8</v>
      </c>
      <c r="E10" s="10">
        <v>8</v>
      </c>
      <c r="F10" s="10">
        <v>9</v>
      </c>
      <c r="G10" s="10">
        <v>8</v>
      </c>
      <c r="H10" s="10">
        <v>10</v>
      </c>
      <c r="I10" s="10">
        <v>7</v>
      </c>
      <c r="J10" s="10">
        <v>6</v>
      </c>
      <c r="K10" s="10">
        <v>5</v>
      </c>
      <c r="L10" s="10">
        <v>7</v>
      </c>
      <c r="M10" s="10">
        <v>6</v>
      </c>
      <c r="N10" s="10">
        <v>4</v>
      </c>
      <c r="O10" s="10">
        <v>5</v>
      </c>
      <c r="P10" s="10">
        <v>5</v>
      </c>
    </row>
    <row r="11" spans="1:16" ht="12.95" customHeight="1" x14ac:dyDescent="0.25">
      <c r="A11">
        <v>9</v>
      </c>
      <c r="B11" s="9" t="s">
        <v>51</v>
      </c>
      <c r="C11" s="10">
        <v>8</v>
      </c>
      <c r="D11" s="10">
        <v>10</v>
      </c>
      <c r="E11" s="10">
        <v>9</v>
      </c>
      <c r="F11" s="10">
        <v>10</v>
      </c>
      <c r="G11" s="10">
        <v>9</v>
      </c>
      <c r="H11" s="10">
        <v>10</v>
      </c>
      <c r="I11" s="10">
        <v>9</v>
      </c>
      <c r="J11" s="10">
        <v>8</v>
      </c>
      <c r="K11" s="10">
        <v>6</v>
      </c>
      <c r="L11" s="10">
        <v>8</v>
      </c>
      <c r="M11" s="10">
        <v>8</v>
      </c>
      <c r="N11" s="10">
        <v>7</v>
      </c>
      <c r="O11" s="10">
        <v>10</v>
      </c>
      <c r="P11" s="10">
        <v>5</v>
      </c>
    </row>
    <row r="12" spans="1:16" ht="12.95" customHeight="1" x14ac:dyDescent="0.25">
      <c r="A12">
        <v>10</v>
      </c>
      <c r="B12" s="9" t="s">
        <v>42</v>
      </c>
      <c r="C12" s="10">
        <v>6</v>
      </c>
      <c r="D12" s="10">
        <v>7</v>
      </c>
      <c r="E12" s="10">
        <v>9</v>
      </c>
      <c r="F12" s="10">
        <v>9</v>
      </c>
      <c r="G12" s="10">
        <v>7</v>
      </c>
      <c r="H12" s="10">
        <v>9</v>
      </c>
      <c r="I12" s="10">
        <v>5</v>
      </c>
      <c r="J12" s="10">
        <v>8</v>
      </c>
      <c r="K12" s="10">
        <v>4</v>
      </c>
      <c r="L12" s="10">
        <v>5</v>
      </c>
      <c r="M12" s="10">
        <v>7</v>
      </c>
      <c r="N12" s="10">
        <v>4</v>
      </c>
      <c r="O12" s="10">
        <v>10</v>
      </c>
      <c r="P12" s="10">
        <v>4</v>
      </c>
    </row>
    <row r="13" spans="1:16" ht="12.95" customHeight="1" x14ac:dyDescent="0.25">
      <c r="A13">
        <v>11</v>
      </c>
      <c r="B13" s="9" t="s">
        <v>52</v>
      </c>
      <c r="C13" s="10">
        <v>8</v>
      </c>
      <c r="D13" s="10">
        <v>10</v>
      </c>
      <c r="E13" s="10">
        <v>9</v>
      </c>
      <c r="F13" s="10">
        <v>11</v>
      </c>
      <c r="G13" s="10">
        <v>9</v>
      </c>
      <c r="H13" s="10">
        <v>11</v>
      </c>
      <c r="I13" s="10">
        <v>10</v>
      </c>
      <c r="J13" s="10">
        <v>7</v>
      </c>
      <c r="K13" s="10">
        <v>6</v>
      </c>
      <c r="L13" s="10">
        <v>8</v>
      </c>
      <c r="M13" s="10">
        <v>8</v>
      </c>
      <c r="N13" s="10">
        <v>8</v>
      </c>
      <c r="O13" s="10">
        <v>10</v>
      </c>
      <c r="P13" s="10">
        <v>6</v>
      </c>
    </row>
    <row r="14" spans="1:16" ht="12.95" customHeight="1" x14ac:dyDescent="0.25">
      <c r="A14">
        <v>12</v>
      </c>
      <c r="B14" s="9" t="s">
        <v>53</v>
      </c>
      <c r="C14" s="10">
        <v>5</v>
      </c>
      <c r="D14" s="10">
        <v>5</v>
      </c>
      <c r="E14" s="10">
        <v>10</v>
      </c>
      <c r="F14" s="10">
        <v>7</v>
      </c>
      <c r="G14" s="10">
        <v>4</v>
      </c>
      <c r="H14" s="10">
        <v>6</v>
      </c>
      <c r="I14" s="10">
        <v>4</v>
      </c>
      <c r="J14" s="10">
        <v>4</v>
      </c>
      <c r="K14" s="10">
        <v>4</v>
      </c>
      <c r="L14" s="10">
        <v>4</v>
      </c>
      <c r="M14" s="10">
        <v>4</v>
      </c>
      <c r="N14" s="10">
        <v>4</v>
      </c>
      <c r="O14" s="10">
        <v>4</v>
      </c>
      <c r="P14" s="10">
        <v>4</v>
      </c>
    </row>
    <row r="15" spans="1:16" ht="12.95" customHeight="1" x14ac:dyDescent="0.25">
      <c r="A15">
        <v>13</v>
      </c>
      <c r="B15" s="23" t="s">
        <v>61</v>
      </c>
      <c r="C15" s="10">
        <v>8</v>
      </c>
      <c r="D15" s="10">
        <v>8</v>
      </c>
      <c r="E15" s="10">
        <v>9</v>
      </c>
      <c r="F15" s="10">
        <v>8</v>
      </c>
      <c r="G15" s="10">
        <v>7</v>
      </c>
      <c r="H15" s="10">
        <v>8</v>
      </c>
      <c r="I15" s="10">
        <v>5</v>
      </c>
      <c r="J15" s="10">
        <v>7</v>
      </c>
      <c r="K15" s="10">
        <v>4</v>
      </c>
      <c r="L15" s="10">
        <v>6</v>
      </c>
      <c r="M15" s="10">
        <v>6</v>
      </c>
      <c r="N15" s="10">
        <v>2</v>
      </c>
      <c r="O15" s="10">
        <v>5</v>
      </c>
      <c r="P15" s="10">
        <v>5</v>
      </c>
    </row>
    <row r="16" spans="1:16" ht="12.95" customHeight="1" x14ac:dyDescent="0.25">
      <c r="A16">
        <v>14</v>
      </c>
      <c r="B16" s="9" t="s">
        <v>54</v>
      </c>
      <c r="C16" s="10">
        <v>6</v>
      </c>
      <c r="D16" s="10">
        <v>6</v>
      </c>
      <c r="E16" s="10">
        <v>9</v>
      </c>
      <c r="F16" s="10">
        <v>10</v>
      </c>
      <c r="G16" s="10">
        <v>8</v>
      </c>
      <c r="H16" s="10">
        <v>8</v>
      </c>
      <c r="I16" s="10">
        <v>6</v>
      </c>
      <c r="J16" s="10">
        <v>6</v>
      </c>
      <c r="K16" s="10">
        <v>4</v>
      </c>
      <c r="L16" s="10">
        <v>8</v>
      </c>
      <c r="M16" s="10">
        <v>7</v>
      </c>
      <c r="N16" s="10">
        <v>5</v>
      </c>
      <c r="O16" s="10">
        <v>9</v>
      </c>
      <c r="P16" s="10">
        <v>4</v>
      </c>
    </row>
    <row r="17" spans="1:16" ht="12.95" customHeight="1" x14ac:dyDescent="0.25">
      <c r="A17">
        <v>15</v>
      </c>
      <c r="B17" s="9" t="s">
        <v>55</v>
      </c>
      <c r="C17" s="10">
        <v>8</v>
      </c>
      <c r="D17" s="10">
        <v>9</v>
      </c>
      <c r="E17" s="10">
        <v>8</v>
      </c>
      <c r="F17" s="10">
        <v>10</v>
      </c>
      <c r="G17" s="10">
        <v>8</v>
      </c>
      <c r="H17" s="10">
        <v>9</v>
      </c>
      <c r="I17" s="10">
        <v>8</v>
      </c>
      <c r="J17" s="10">
        <v>8</v>
      </c>
      <c r="K17" s="10">
        <v>7</v>
      </c>
      <c r="L17" s="10">
        <v>7</v>
      </c>
      <c r="M17" s="10">
        <v>7</v>
      </c>
      <c r="N17" s="10">
        <v>7</v>
      </c>
      <c r="O17" s="10">
        <v>10</v>
      </c>
      <c r="P17" s="10">
        <v>8</v>
      </c>
    </row>
    <row r="18" spans="1:16" ht="12.95" customHeight="1" x14ac:dyDescent="0.25">
      <c r="A18">
        <v>16</v>
      </c>
      <c r="B18" s="9" t="s">
        <v>76</v>
      </c>
      <c r="C18" s="10">
        <v>8</v>
      </c>
      <c r="D18" s="10">
        <v>7</v>
      </c>
      <c r="E18" s="10">
        <v>8</v>
      </c>
      <c r="F18" s="10">
        <v>9</v>
      </c>
      <c r="G18" s="10">
        <v>5</v>
      </c>
      <c r="H18" s="10">
        <v>10</v>
      </c>
      <c r="I18" s="10">
        <v>4</v>
      </c>
      <c r="J18" s="10">
        <v>6</v>
      </c>
      <c r="K18" s="10">
        <v>4</v>
      </c>
      <c r="L18" s="10">
        <v>6</v>
      </c>
      <c r="M18" s="10">
        <v>4</v>
      </c>
      <c r="N18" s="10">
        <v>3</v>
      </c>
      <c r="O18" s="10">
        <v>7</v>
      </c>
      <c r="P18" s="10">
        <v>4</v>
      </c>
    </row>
    <row r="19" spans="1:16" ht="12.95" customHeight="1" x14ac:dyDescent="0.25">
      <c r="A19">
        <v>17</v>
      </c>
      <c r="B19" s="9" t="s">
        <v>56</v>
      </c>
      <c r="C19" s="10">
        <v>7</v>
      </c>
      <c r="D19" s="10">
        <v>6</v>
      </c>
      <c r="E19" s="10">
        <v>4</v>
      </c>
      <c r="F19" s="10">
        <v>9</v>
      </c>
      <c r="G19" s="10">
        <v>8</v>
      </c>
      <c r="H19" s="10">
        <v>8</v>
      </c>
      <c r="I19" s="10">
        <v>6</v>
      </c>
      <c r="J19" s="10">
        <v>6</v>
      </c>
      <c r="K19" s="10">
        <v>6</v>
      </c>
      <c r="L19" s="10">
        <v>7</v>
      </c>
      <c r="M19" s="10">
        <v>7</v>
      </c>
      <c r="N19" s="10">
        <v>5</v>
      </c>
      <c r="O19" s="10">
        <v>10</v>
      </c>
      <c r="P19" s="10">
        <v>4</v>
      </c>
    </row>
    <row r="20" spans="1:16" ht="12.95" customHeight="1" x14ac:dyDescent="0.25">
      <c r="A20">
        <v>18</v>
      </c>
      <c r="B20" s="9" t="s">
        <v>43</v>
      </c>
      <c r="C20" s="10">
        <v>8</v>
      </c>
      <c r="D20" s="10">
        <v>5</v>
      </c>
      <c r="E20" s="10">
        <v>9</v>
      </c>
      <c r="F20" s="10">
        <v>10</v>
      </c>
      <c r="G20" s="10">
        <v>7</v>
      </c>
      <c r="H20" s="10">
        <v>9</v>
      </c>
      <c r="I20" s="10">
        <v>8</v>
      </c>
      <c r="J20" s="10">
        <v>8</v>
      </c>
      <c r="K20" s="10">
        <v>4</v>
      </c>
      <c r="L20" s="10">
        <v>8</v>
      </c>
      <c r="M20" s="10">
        <v>6</v>
      </c>
      <c r="N20" s="10">
        <v>2</v>
      </c>
      <c r="O20" s="10">
        <v>9</v>
      </c>
      <c r="P20" s="10">
        <v>7</v>
      </c>
    </row>
    <row r="21" spans="1:16" ht="12.95" customHeight="1" x14ac:dyDescent="0.25">
      <c r="A21">
        <v>19</v>
      </c>
      <c r="B21" s="9" t="s">
        <v>71</v>
      </c>
      <c r="C21" s="10">
        <v>5</v>
      </c>
      <c r="D21" s="10">
        <v>5</v>
      </c>
      <c r="E21" s="10">
        <v>4</v>
      </c>
      <c r="F21" s="10">
        <v>5</v>
      </c>
      <c r="G21" s="10">
        <v>4</v>
      </c>
      <c r="H21" s="10">
        <v>5</v>
      </c>
      <c r="I21" s="10">
        <v>4</v>
      </c>
      <c r="J21" s="10" t="s">
        <v>63</v>
      </c>
      <c r="K21" s="10" t="s">
        <v>72</v>
      </c>
      <c r="L21" s="10">
        <v>4</v>
      </c>
      <c r="M21" s="10">
        <v>4</v>
      </c>
      <c r="N21" s="10">
        <v>4</v>
      </c>
      <c r="O21" s="10">
        <v>4</v>
      </c>
      <c r="P21" s="10">
        <v>4</v>
      </c>
    </row>
    <row r="22" spans="1:16" ht="12.95" customHeight="1" x14ac:dyDescent="0.25">
      <c r="A22">
        <v>20</v>
      </c>
      <c r="B22" s="9" t="s">
        <v>57</v>
      </c>
      <c r="C22" s="10">
        <v>9</v>
      </c>
      <c r="D22" s="10">
        <v>9</v>
      </c>
      <c r="E22" s="10">
        <v>9</v>
      </c>
      <c r="F22" s="10">
        <v>10</v>
      </c>
      <c r="G22" s="10">
        <v>10</v>
      </c>
      <c r="H22" s="10">
        <v>10</v>
      </c>
      <c r="I22" s="10">
        <v>8</v>
      </c>
      <c r="J22" s="10">
        <v>7</v>
      </c>
      <c r="K22" s="10">
        <v>6</v>
      </c>
      <c r="L22" s="10">
        <v>7</v>
      </c>
      <c r="M22" s="10">
        <v>7</v>
      </c>
      <c r="N22" s="10">
        <v>7</v>
      </c>
      <c r="O22" s="10">
        <v>10</v>
      </c>
      <c r="P22" s="10">
        <v>8</v>
      </c>
    </row>
    <row r="23" spans="1:16" ht="12.95" customHeight="1" x14ac:dyDescent="0.25">
      <c r="A23">
        <v>21</v>
      </c>
      <c r="B23" s="9" t="s">
        <v>73</v>
      </c>
      <c r="C23" s="10">
        <v>8</v>
      </c>
      <c r="D23" s="10">
        <v>9</v>
      </c>
      <c r="E23" s="10">
        <v>9</v>
      </c>
      <c r="F23" s="10">
        <v>8</v>
      </c>
      <c r="G23" s="10">
        <v>10</v>
      </c>
      <c r="H23" s="10">
        <v>8</v>
      </c>
      <c r="I23" s="10">
        <v>7</v>
      </c>
      <c r="J23" s="10">
        <v>9</v>
      </c>
      <c r="K23" s="10">
        <v>6</v>
      </c>
      <c r="L23" s="10">
        <v>8</v>
      </c>
      <c r="M23" s="10">
        <v>7</v>
      </c>
      <c r="N23" s="10">
        <v>7</v>
      </c>
      <c r="O23" s="10">
        <v>10</v>
      </c>
      <c r="P23" s="10">
        <v>7</v>
      </c>
    </row>
    <row r="24" spans="1:16" ht="12.95" customHeight="1" x14ac:dyDescent="0.25">
      <c r="A24">
        <v>22</v>
      </c>
      <c r="B24" s="9" t="s">
        <v>58</v>
      </c>
      <c r="C24" s="10">
        <v>8</v>
      </c>
      <c r="D24" s="10">
        <v>9</v>
      </c>
      <c r="E24" s="10">
        <v>10</v>
      </c>
      <c r="F24" s="10">
        <v>9</v>
      </c>
      <c r="G24" s="10">
        <v>8</v>
      </c>
      <c r="H24" s="10">
        <v>9</v>
      </c>
      <c r="I24" s="10">
        <v>6</v>
      </c>
      <c r="J24" s="10">
        <v>7</v>
      </c>
      <c r="K24" s="10">
        <v>6</v>
      </c>
      <c r="L24" s="10">
        <v>7</v>
      </c>
      <c r="M24" s="10">
        <v>7</v>
      </c>
      <c r="N24" s="10">
        <v>6</v>
      </c>
      <c r="O24" s="10">
        <v>11</v>
      </c>
      <c r="P24" s="10">
        <v>8</v>
      </c>
    </row>
    <row r="25" spans="1:16" ht="12.95" customHeight="1" x14ac:dyDescent="0.25">
      <c r="A25">
        <v>23</v>
      </c>
      <c r="B25" s="9" t="s">
        <v>44</v>
      </c>
      <c r="C25" s="10">
        <v>6</v>
      </c>
      <c r="D25" s="10">
        <v>9</v>
      </c>
      <c r="E25" s="10">
        <v>9</v>
      </c>
      <c r="F25" s="10">
        <v>9</v>
      </c>
      <c r="G25" s="10">
        <v>9</v>
      </c>
      <c r="H25" s="10">
        <v>10</v>
      </c>
      <c r="I25" s="10">
        <v>8</v>
      </c>
      <c r="J25" s="10">
        <v>7</v>
      </c>
      <c r="K25" s="10">
        <v>6</v>
      </c>
      <c r="L25" s="10">
        <v>8</v>
      </c>
      <c r="M25" s="10">
        <v>7</v>
      </c>
      <c r="N25" s="10">
        <v>5</v>
      </c>
      <c r="O25" s="10">
        <v>8</v>
      </c>
      <c r="P25" s="10">
        <v>6</v>
      </c>
    </row>
    <row r="26" spans="1:16" ht="12.95" customHeight="1" x14ac:dyDescent="0.25">
      <c r="A26">
        <v>24</v>
      </c>
      <c r="B26" s="9" t="s">
        <v>59</v>
      </c>
      <c r="C26" s="10">
        <v>7</v>
      </c>
      <c r="D26" s="10">
        <v>9</v>
      </c>
      <c r="E26" s="10">
        <v>10</v>
      </c>
      <c r="F26" s="10">
        <v>9</v>
      </c>
      <c r="G26" s="10">
        <v>9</v>
      </c>
      <c r="H26" s="10">
        <v>9</v>
      </c>
      <c r="I26" s="10">
        <v>7</v>
      </c>
      <c r="J26" s="10">
        <v>7</v>
      </c>
      <c r="K26" s="10">
        <v>5</v>
      </c>
      <c r="L26" s="10">
        <v>8</v>
      </c>
      <c r="M26" s="10">
        <v>9</v>
      </c>
      <c r="N26" s="10">
        <v>5</v>
      </c>
      <c r="O26" s="10">
        <v>9</v>
      </c>
      <c r="P26" s="10">
        <v>4</v>
      </c>
    </row>
    <row r="27" spans="1:16" ht="12.95" customHeight="1" x14ac:dyDescent="0.25">
      <c r="A27">
        <v>25</v>
      </c>
      <c r="B27" s="9" t="s">
        <v>62</v>
      </c>
      <c r="C27" s="10">
        <v>8</v>
      </c>
      <c r="D27" s="10">
        <v>8</v>
      </c>
      <c r="E27" s="10">
        <v>10</v>
      </c>
      <c r="F27" s="10">
        <v>10</v>
      </c>
      <c r="G27" s="10">
        <v>9</v>
      </c>
      <c r="H27" s="10">
        <v>10</v>
      </c>
      <c r="I27" s="10">
        <v>8</v>
      </c>
      <c r="J27" s="10">
        <v>8</v>
      </c>
      <c r="K27" s="10">
        <v>9</v>
      </c>
      <c r="L27" s="10">
        <v>8</v>
      </c>
      <c r="M27" s="10">
        <v>7</v>
      </c>
      <c r="N27" s="10">
        <v>8</v>
      </c>
      <c r="O27" s="10">
        <v>10</v>
      </c>
      <c r="P27" s="10">
        <v>7</v>
      </c>
    </row>
    <row r="28" spans="1:16" ht="12.95" customHeight="1" x14ac:dyDescent="0.25">
      <c r="A28">
        <v>26</v>
      </c>
      <c r="B28" s="9" t="s">
        <v>68</v>
      </c>
      <c r="C28" s="10">
        <v>8</v>
      </c>
      <c r="D28" s="10">
        <v>8</v>
      </c>
      <c r="E28" s="10">
        <v>4</v>
      </c>
      <c r="F28" s="10">
        <v>9</v>
      </c>
      <c r="G28" s="10">
        <v>4</v>
      </c>
      <c r="H28" s="10">
        <v>8</v>
      </c>
      <c r="I28" s="10">
        <v>4</v>
      </c>
      <c r="J28" s="10">
        <v>4</v>
      </c>
      <c r="K28" s="10">
        <v>4</v>
      </c>
      <c r="L28" s="10">
        <v>4</v>
      </c>
      <c r="M28" s="10">
        <v>4</v>
      </c>
      <c r="N28" s="10">
        <v>4</v>
      </c>
      <c r="O28" s="10">
        <v>5</v>
      </c>
      <c r="P28" s="10">
        <v>4</v>
      </c>
    </row>
    <row r="29" spans="1:16" ht="12.95" customHeight="1" x14ac:dyDescent="0.25">
      <c r="A29">
        <v>27</v>
      </c>
      <c r="B29" s="9" t="s">
        <v>74</v>
      </c>
      <c r="C29" s="10">
        <v>9</v>
      </c>
      <c r="D29" s="10">
        <v>8</v>
      </c>
      <c r="E29" s="10">
        <v>9</v>
      </c>
      <c r="F29" s="10">
        <v>9</v>
      </c>
      <c r="G29" s="10">
        <v>9</v>
      </c>
      <c r="H29" s="10">
        <v>9</v>
      </c>
      <c r="I29" s="10">
        <v>11</v>
      </c>
      <c r="J29" s="10">
        <v>8</v>
      </c>
      <c r="K29" s="10">
        <v>8</v>
      </c>
      <c r="L29" s="10">
        <v>10</v>
      </c>
      <c r="M29" s="10">
        <v>8</v>
      </c>
      <c r="N29" s="10">
        <v>8</v>
      </c>
      <c r="O29" s="10">
        <v>11</v>
      </c>
      <c r="P29" s="10">
        <v>7</v>
      </c>
    </row>
    <row r="30" spans="1:16" ht="12.95" customHeight="1" x14ac:dyDescent="0.25">
      <c r="A30">
        <v>28</v>
      </c>
      <c r="B30" s="9" t="s">
        <v>77</v>
      </c>
      <c r="C30" s="10">
        <v>5</v>
      </c>
      <c r="D30" s="10">
        <v>7</v>
      </c>
      <c r="E30" s="10">
        <v>9</v>
      </c>
      <c r="F30" s="10">
        <v>10</v>
      </c>
      <c r="G30" s="10">
        <v>5</v>
      </c>
      <c r="H30" s="10">
        <v>10</v>
      </c>
      <c r="I30" s="10">
        <v>4</v>
      </c>
      <c r="J30" s="10">
        <v>6</v>
      </c>
      <c r="K30" s="10">
        <v>4</v>
      </c>
      <c r="L30" s="10">
        <v>7</v>
      </c>
      <c r="M30" s="10">
        <v>4</v>
      </c>
      <c r="N30" s="10" t="s">
        <v>72</v>
      </c>
      <c r="O30" s="10">
        <v>5</v>
      </c>
      <c r="P30" s="10">
        <v>4</v>
      </c>
    </row>
    <row r="31" spans="1:16" ht="12.95" customHeight="1" x14ac:dyDescent="0.25">
      <c r="A31">
        <v>29</v>
      </c>
      <c r="B31" s="9" t="s">
        <v>45</v>
      </c>
      <c r="C31" s="10">
        <v>8</v>
      </c>
      <c r="D31" s="10">
        <v>6</v>
      </c>
      <c r="E31" s="10">
        <v>8</v>
      </c>
      <c r="F31" s="10">
        <v>10</v>
      </c>
      <c r="G31" s="10">
        <v>7</v>
      </c>
      <c r="H31" s="10">
        <v>10</v>
      </c>
      <c r="I31" s="10">
        <v>7</v>
      </c>
      <c r="J31" s="10">
        <v>6</v>
      </c>
      <c r="K31" s="10">
        <v>5</v>
      </c>
      <c r="L31" s="10">
        <v>9</v>
      </c>
      <c r="M31" s="10">
        <v>8</v>
      </c>
      <c r="N31" s="10">
        <v>5</v>
      </c>
      <c r="O31" s="10">
        <v>8</v>
      </c>
      <c r="P31" s="10">
        <v>6</v>
      </c>
    </row>
    <row r="32" spans="1:16" ht="12.95" customHeight="1" x14ac:dyDescent="0.25">
      <c r="A32">
        <v>30</v>
      </c>
      <c r="B32" s="9" t="s">
        <v>46</v>
      </c>
      <c r="C32" s="10">
        <v>8</v>
      </c>
      <c r="D32" s="10">
        <v>8</v>
      </c>
      <c r="E32" s="10">
        <v>11</v>
      </c>
      <c r="F32" s="10">
        <v>10</v>
      </c>
      <c r="G32" s="10">
        <v>8</v>
      </c>
      <c r="H32" s="10">
        <v>9</v>
      </c>
      <c r="I32" s="10">
        <v>10</v>
      </c>
      <c r="J32" s="10">
        <v>7</v>
      </c>
      <c r="K32" s="10">
        <v>4</v>
      </c>
      <c r="L32" s="10">
        <v>10</v>
      </c>
      <c r="M32" s="10">
        <v>7</v>
      </c>
      <c r="N32" s="10">
        <v>7</v>
      </c>
      <c r="O32" s="10">
        <v>9</v>
      </c>
      <c r="P32" s="10">
        <v>4</v>
      </c>
    </row>
  </sheetData>
  <sortState ref="B3:P32">
    <sortCondition ref="B3:B32"/>
  </sortState>
  <conditionalFormatting sqref="B3:P3 C4:P14">
    <cfRule type="expression" dxfId="59" priority="22">
      <formula>$U$11&lt;&gt;""</formula>
    </cfRule>
  </conditionalFormatting>
  <conditionalFormatting sqref="B4">
    <cfRule type="expression" dxfId="57" priority="23">
      <formula>$U$12&lt;&gt;""</formula>
    </cfRule>
  </conditionalFormatting>
  <conditionalFormatting sqref="B5">
    <cfRule type="expression" dxfId="55" priority="24">
      <formula>$U$13&lt;&gt;""</formula>
    </cfRule>
  </conditionalFormatting>
  <conditionalFormatting sqref="B6">
    <cfRule type="expression" dxfId="53" priority="25">
      <formula>$U$14&lt;&gt;""</formula>
    </cfRule>
  </conditionalFormatting>
  <conditionalFormatting sqref="B7">
    <cfRule type="expression" dxfId="51" priority="26">
      <formula>$U$15&lt;&gt;""</formula>
    </cfRule>
  </conditionalFormatting>
  <conditionalFormatting sqref="B8:B9">
    <cfRule type="expression" dxfId="49" priority="27">
      <formula>$U$16&lt;&gt;""</formula>
    </cfRule>
  </conditionalFormatting>
  <conditionalFormatting sqref="B10">
    <cfRule type="expression" dxfId="47" priority="28">
      <formula>$U$18&lt;&gt;""</formula>
    </cfRule>
  </conditionalFormatting>
  <conditionalFormatting sqref="B11:B12">
    <cfRule type="expression" dxfId="45" priority="29">
      <formula>$U$19&lt;&gt;""</formula>
    </cfRule>
  </conditionalFormatting>
  <conditionalFormatting sqref="B13">
    <cfRule type="expression" dxfId="43" priority="30">
      <formula>$U$21&lt;&gt;""</formula>
    </cfRule>
  </conditionalFormatting>
  <conditionalFormatting sqref="B14">
    <cfRule type="expression" dxfId="41" priority="21">
      <formula>#REF!&lt;&gt;""</formula>
    </cfRule>
  </conditionalFormatting>
  <conditionalFormatting sqref="B15:P15 C16:P24">
    <cfRule type="expression" dxfId="39" priority="12">
      <formula>$U$11&lt;&gt;""</formula>
    </cfRule>
  </conditionalFormatting>
  <conditionalFormatting sqref="B16">
    <cfRule type="expression" dxfId="37" priority="13">
      <formula>$U$12&lt;&gt;""</formula>
    </cfRule>
  </conditionalFormatting>
  <conditionalFormatting sqref="B17">
    <cfRule type="expression" dxfId="35" priority="14">
      <formula>$U$13&lt;&gt;""</formula>
    </cfRule>
  </conditionalFormatting>
  <conditionalFormatting sqref="B18">
    <cfRule type="expression" dxfId="33" priority="15">
      <formula>$U$14&lt;&gt;""</formula>
    </cfRule>
  </conditionalFormatting>
  <conditionalFormatting sqref="B19">
    <cfRule type="expression" dxfId="31" priority="16">
      <formula>$U$15&lt;&gt;""</formula>
    </cfRule>
  </conditionalFormatting>
  <conditionalFormatting sqref="B20">
    <cfRule type="expression" dxfId="29" priority="17">
      <formula>$U$16&lt;&gt;""</formula>
    </cfRule>
  </conditionalFormatting>
  <conditionalFormatting sqref="B21">
    <cfRule type="expression" dxfId="27" priority="18">
      <formula>$U$17&lt;&gt;""</formula>
    </cfRule>
  </conditionalFormatting>
  <conditionalFormatting sqref="B22">
    <cfRule type="expression" dxfId="25" priority="19">
      <formula>$U$18&lt;&gt;""</formula>
    </cfRule>
  </conditionalFormatting>
  <conditionalFormatting sqref="B23">
    <cfRule type="expression" dxfId="23" priority="20">
      <formula>$U$19&lt;&gt;""</formula>
    </cfRule>
  </conditionalFormatting>
  <conditionalFormatting sqref="B24">
    <cfRule type="expression" dxfId="21" priority="11">
      <formula>#REF!&lt;&gt;""</formula>
    </cfRule>
  </conditionalFormatting>
  <conditionalFormatting sqref="C26:P26">
    <cfRule type="expression" dxfId="19" priority="10">
      <formula>#REF!&lt;&gt;""</formula>
    </cfRule>
  </conditionalFormatting>
  <conditionalFormatting sqref="B26">
    <cfRule type="expression" dxfId="17" priority="9">
      <formula>#REF!&lt;&gt;""</formula>
    </cfRule>
  </conditionalFormatting>
  <conditionalFormatting sqref="C25:P25">
    <cfRule type="expression" dxfId="15" priority="8">
      <formula>#REF!&lt;&gt;""</formula>
    </cfRule>
  </conditionalFormatting>
  <conditionalFormatting sqref="B25">
    <cfRule type="expression" dxfId="13" priority="7">
      <formula>#REF!&lt;&gt;""</formula>
    </cfRule>
  </conditionalFormatting>
  <conditionalFormatting sqref="B27:P27 C28:P30">
    <cfRule type="expression" dxfId="11" priority="4">
      <formula>$U$11&lt;&gt;""</formula>
    </cfRule>
  </conditionalFormatting>
  <conditionalFormatting sqref="B28">
    <cfRule type="expression" dxfId="9" priority="5">
      <formula>$U$12&lt;&gt;""</formula>
    </cfRule>
  </conditionalFormatting>
  <conditionalFormatting sqref="B29">
    <cfRule type="expression" dxfId="7" priority="6">
      <formula>$U$13&lt;&gt;""</formula>
    </cfRule>
  </conditionalFormatting>
  <conditionalFormatting sqref="B30">
    <cfRule type="expression" dxfId="5" priority="3">
      <formula>#REF!&lt;&gt;""</formula>
    </cfRule>
  </conditionalFormatting>
  <conditionalFormatting sqref="B31:P31 C32:P32">
    <cfRule type="expression" dxfId="3" priority="2">
      <formula>$U$11&lt;&gt;""</formula>
    </cfRule>
  </conditionalFormatting>
  <conditionalFormatting sqref="B32">
    <cfRule type="expression" dxfId="1" priority="1">
      <formula>#REF!&lt;&gt;""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5"/>
  <sheetViews>
    <sheetView zoomScaleNormal="100" workbookViewId="0">
      <selection activeCell="U11" sqref="U11:U14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3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5" customFormat="1" ht="15" customHeight="1" x14ac:dyDescent="0.25">
      <c r="A3" s="33"/>
      <c r="B3" s="36"/>
      <c r="C3" s="36" t="s">
        <v>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5"/>
    </row>
    <row r="4" spans="1:23" s="5" customFormat="1" ht="15" customHeight="1" x14ac:dyDescent="0.25">
      <c r="A4" s="33"/>
      <c r="B4" s="36"/>
      <c r="C4" s="36" t="s">
        <v>1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5"/>
    </row>
    <row r="5" spans="1:23" s="6" customFormat="1" ht="15" customHeight="1" x14ac:dyDescent="0.25">
      <c r="A5" s="33"/>
      <c r="B5" s="36"/>
      <c r="C5" s="37" t="s">
        <v>64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6"/>
      <c r="W5" s="35"/>
    </row>
    <row r="6" spans="1:23" s="5" customFormat="1" ht="15" customHeight="1" x14ac:dyDescent="0.25">
      <c r="A6" s="33"/>
      <c r="B6" s="36"/>
      <c r="C6" s="38" t="s">
        <v>47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6"/>
      <c r="W6" s="35"/>
    </row>
    <row r="7" spans="1:23" s="5" customFormat="1" ht="15" customHeight="1" x14ac:dyDescent="0.25">
      <c r="A7" s="33"/>
      <c r="B7" s="36"/>
      <c r="C7" s="38" t="s">
        <v>28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6"/>
      <c r="W7" s="35"/>
    </row>
    <row r="8" spans="1:23" s="5" customFormat="1" ht="15" customHeight="1" x14ac:dyDescent="0.25">
      <c r="A8" s="33"/>
      <c r="B8" s="36"/>
      <c r="C8" s="36" t="s">
        <v>48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5"/>
    </row>
    <row r="9" spans="1:23" ht="15" customHeight="1" x14ac:dyDescent="0.25">
      <c r="A9" s="33"/>
      <c r="B9" s="36"/>
      <c r="C9" s="40" t="s">
        <v>2</v>
      </c>
      <c r="D9" s="42" t="s">
        <v>3</v>
      </c>
      <c r="E9" s="42" t="s">
        <v>4</v>
      </c>
      <c r="F9" s="41" t="s">
        <v>31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36"/>
      <c r="W9" s="35"/>
    </row>
    <row r="10" spans="1:23" ht="125.1" customHeight="1" x14ac:dyDescent="0.25">
      <c r="A10" s="33"/>
      <c r="B10" s="36"/>
      <c r="C10" s="41"/>
      <c r="D10" s="41"/>
      <c r="E10" s="41"/>
      <c r="F10" s="18" t="s">
        <v>5</v>
      </c>
      <c r="G10" s="18" t="s">
        <v>6</v>
      </c>
      <c r="H10" s="18" t="s">
        <v>7</v>
      </c>
      <c r="I10" s="18" t="s">
        <v>29</v>
      </c>
      <c r="J10" s="18" t="s">
        <v>30</v>
      </c>
      <c r="K10" s="18" t="s">
        <v>32</v>
      </c>
      <c r="L10" s="18" t="s">
        <v>8</v>
      </c>
      <c r="M10" s="18" t="s">
        <v>9</v>
      </c>
      <c r="N10" s="18" t="s">
        <v>35</v>
      </c>
      <c r="O10" s="18" t="s">
        <v>33</v>
      </c>
      <c r="P10" s="18" t="s">
        <v>34</v>
      </c>
      <c r="Q10" s="18" t="s">
        <v>10</v>
      </c>
      <c r="R10" s="18" t="s">
        <v>36</v>
      </c>
      <c r="S10" s="18" t="s">
        <v>11</v>
      </c>
      <c r="T10" s="7" t="s">
        <v>12</v>
      </c>
      <c r="U10" s="7" t="s">
        <v>65</v>
      </c>
      <c r="V10" s="36"/>
      <c r="W10" s="35"/>
    </row>
    <row r="11" spans="1:23" ht="15" customHeight="1" x14ac:dyDescent="0.25">
      <c r="A11" s="33"/>
      <c r="B11" s="36"/>
      <c r="C11" s="28" t="s">
        <v>14</v>
      </c>
      <c r="D11" s="28">
        <v>1</v>
      </c>
      <c r="E11" s="29" t="s">
        <v>39</v>
      </c>
      <c r="F11" s="30">
        <v>9</v>
      </c>
      <c r="G11" s="30">
        <v>9</v>
      </c>
      <c r="H11" s="30">
        <v>10</v>
      </c>
      <c r="I11" s="30">
        <v>10</v>
      </c>
      <c r="J11" s="30">
        <v>8</v>
      </c>
      <c r="K11" s="30">
        <v>10</v>
      </c>
      <c r="L11" s="30">
        <v>10</v>
      </c>
      <c r="M11" s="30">
        <v>8</v>
      </c>
      <c r="N11" s="30">
        <v>7</v>
      </c>
      <c r="O11" s="30">
        <v>8</v>
      </c>
      <c r="P11" s="30">
        <v>8</v>
      </c>
      <c r="Q11" s="30">
        <v>8</v>
      </c>
      <c r="R11" s="30">
        <v>11</v>
      </c>
      <c r="S11" s="30">
        <v>7</v>
      </c>
      <c r="T11" s="31">
        <f>IF(COUNTIF(F11:S11,"=*")&gt;0,"-",IF(COUNTIF(F11:S11,"&lt;4")&gt;0,"-",(IFERROR(AVERAGE(F11:S11),""))))</f>
        <v>8.7857142857142865</v>
      </c>
      <c r="U11" s="31">
        <f t="shared" ref="U11:U19" si="0">T11/12*90</f>
        <v>65.892857142857153</v>
      </c>
      <c r="V11" s="36"/>
      <c r="W11" s="35"/>
    </row>
    <row r="12" spans="1:23" ht="15" customHeight="1" x14ac:dyDescent="0.25">
      <c r="A12" s="33"/>
      <c r="B12" s="36"/>
      <c r="C12" s="28" t="s">
        <v>14</v>
      </c>
      <c r="D12" s="28">
        <v>2</v>
      </c>
      <c r="E12" s="29" t="s">
        <v>46</v>
      </c>
      <c r="F12" s="30">
        <v>8</v>
      </c>
      <c r="G12" s="30">
        <v>8</v>
      </c>
      <c r="H12" s="30">
        <v>11</v>
      </c>
      <c r="I12" s="30">
        <v>10</v>
      </c>
      <c r="J12" s="30">
        <v>8</v>
      </c>
      <c r="K12" s="30">
        <v>9</v>
      </c>
      <c r="L12" s="30">
        <v>10</v>
      </c>
      <c r="M12" s="30">
        <v>7</v>
      </c>
      <c r="N12" s="30">
        <v>4</v>
      </c>
      <c r="O12" s="30">
        <v>10</v>
      </c>
      <c r="P12" s="30">
        <v>7</v>
      </c>
      <c r="Q12" s="30">
        <v>7</v>
      </c>
      <c r="R12" s="30">
        <v>9</v>
      </c>
      <c r="S12" s="30">
        <v>4</v>
      </c>
      <c r="T12" s="31">
        <f>IF(COUNTIF(F12:S12,"=*")&gt;0,"-",IF(COUNTIF(F12:S12,"&lt;4")&gt;0,"-",(IFERROR(AVERAGE(F12:S12),""))))</f>
        <v>8</v>
      </c>
      <c r="U12" s="31">
        <f t="shared" si="0"/>
        <v>60</v>
      </c>
      <c r="V12" s="36"/>
      <c r="W12" s="35"/>
    </row>
    <row r="13" spans="1:23" ht="15" customHeight="1" x14ac:dyDescent="0.25">
      <c r="A13" s="33"/>
      <c r="B13" s="36"/>
      <c r="C13" s="28" t="s">
        <v>14</v>
      </c>
      <c r="D13" s="28">
        <v>3</v>
      </c>
      <c r="E13" s="29" t="s">
        <v>44</v>
      </c>
      <c r="F13" s="30">
        <v>6</v>
      </c>
      <c r="G13" s="30">
        <v>9</v>
      </c>
      <c r="H13" s="30">
        <v>9</v>
      </c>
      <c r="I13" s="30">
        <v>9</v>
      </c>
      <c r="J13" s="30">
        <v>9</v>
      </c>
      <c r="K13" s="30">
        <v>10</v>
      </c>
      <c r="L13" s="30">
        <v>8</v>
      </c>
      <c r="M13" s="30">
        <v>7</v>
      </c>
      <c r="N13" s="30">
        <v>6</v>
      </c>
      <c r="O13" s="30">
        <v>8</v>
      </c>
      <c r="P13" s="30">
        <v>7</v>
      </c>
      <c r="Q13" s="30">
        <v>5</v>
      </c>
      <c r="R13" s="30">
        <v>8</v>
      </c>
      <c r="S13" s="30">
        <v>6</v>
      </c>
      <c r="T13" s="31">
        <f>IF(COUNTIF(F13:S13,"=*")&gt;0,"-",IF(COUNTIF(F13:S13,"&lt;4")&gt;0,"-",(IFERROR(AVERAGE(F13:S13),""))))</f>
        <v>7.6428571428571432</v>
      </c>
      <c r="U13" s="31">
        <f t="shared" si="0"/>
        <v>57.321428571428577</v>
      </c>
      <c r="V13" s="36"/>
      <c r="W13" s="35"/>
    </row>
    <row r="14" spans="1:23" ht="15" customHeight="1" x14ac:dyDescent="0.25">
      <c r="A14" s="33"/>
      <c r="B14" s="36"/>
      <c r="C14" s="28" t="s">
        <v>14</v>
      </c>
      <c r="D14" s="28">
        <v>4</v>
      </c>
      <c r="E14" s="29" t="s">
        <v>45</v>
      </c>
      <c r="F14" s="30">
        <v>8</v>
      </c>
      <c r="G14" s="30">
        <v>6</v>
      </c>
      <c r="H14" s="30">
        <v>8</v>
      </c>
      <c r="I14" s="30">
        <v>10</v>
      </c>
      <c r="J14" s="30">
        <v>7</v>
      </c>
      <c r="K14" s="30">
        <v>10</v>
      </c>
      <c r="L14" s="30">
        <v>7</v>
      </c>
      <c r="M14" s="30">
        <v>6</v>
      </c>
      <c r="N14" s="30">
        <v>5</v>
      </c>
      <c r="O14" s="30">
        <v>9</v>
      </c>
      <c r="P14" s="30">
        <v>8</v>
      </c>
      <c r="Q14" s="30">
        <v>5</v>
      </c>
      <c r="R14" s="30">
        <v>8</v>
      </c>
      <c r="S14" s="30">
        <v>6</v>
      </c>
      <c r="T14" s="31">
        <f>IF(COUNTIF(F14:S14,"=*")&gt;0,"-",IF(COUNTIF(F14:S14,"&lt;4")&gt;0,"-",(IFERROR(AVERAGE(F14:S14),""))))</f>
        <v>7.3571428571428568</v>
      </c>
      <c r="U14" s="31">
        <f t="shared" si="0"/>
        <v>55.178571428571423</v>
      </c>
      <c r="V14" s="36"/>
      <c r="W14" s="35"/>
    </row>
    <row r="15" spans="1:23" ht="15" customHeight="1" x14ac:dyDescent="0.25">
      <c r="A15" s="33"/>
      <c r="B15" s="36"/>
      <c r="C15" s="25" t="s">
        <v>14</v>
      </c>
      <c r="D15" s="25">
        <v>5</v>
      </c>
      <c r="E15" s="9" t="s">
        <v>37</v>
      </c>
      <c r="F15" s="10">
        <v>5</v>
      </c>
      <c r="G15" s="10">
        <v>8</v>
      </c>
      <c r="H15" s="10">
        <v>8</v>
      </c>
      <c r="I15" s="10">
        <v>10</v>
      </c>
      <c r="J15" s="10">
        <v>8</v>
      </c>
      <c r="K15" s="10">
        <v>9</v>
      </c>
      <c r="L15" s="10">
        <v>9</v>
      </c>
      <c r="M15" s="10">
        <v>8</v>
      </c>
      <c r="N15" s="10">
        <v>7</v>
      </c>
      <c r="O15" s="10">
        <v>5</v>
      </c>
      <c r="P15" s="10">
        <v>6</v>
      </c>
      <c r="Q15" s="10">
        <v>5</v>
      </c>
      <c r="R15" s="10">
        <v>9</v>
      </c>
      <c r="S15" s="10">
        <v>4</v>
      </c>
      <c r="T15" s="27">
        <f>IF(COUNTIF(F15:S15,"=*")&gt;0,"-",IF(COUNTIF(F15:S15,"&lt;4")&gt;0,"-",(IFERROR(AVERAGE(F15:S15),""))))</f>
        <v>7.2142857142857144</v>
      </c>
      <c r="U15" s="27">
        <f t="shared" si="0"/>
        <v>54.107142857142854</v>
      </c>
      <c r="V15" s="36"/>
      <c r="W15" s="35"/>
    </row>
    <row r="16" spans="1:23" ht="15" customHeight="1" x14ac:dyDescent="0.25">
      <c r="A16" s="33"/>
      <c r="B16" s="36"/>
      <c r="C16" s="25" t="s">
        <v>14</v>
      </c>
      <c r="D16" s="25">
        <v>6</v>
      </c>
      <c r="E16" s="9" t="s">
        <v>43</v>
      </c>
      <c r="F16" s="10">
        <v>8</v>
      </c>
      <c r="G16" s="10">
        <v>5</v>
      </c>
      <c r="H16" s="10">
        <v>9</v>
      </c>
      <c r="I16" s="10">
        <v>10</v>
      </c>
      <c r="J16" s="10">
        <v>7</v>
      </c>
      <c r="K16" s="10">
        <v>9</v>
      </c>
      <c r="L16" s="10">
        <v>8</v>
      </c>
      <c r="M16" s="10">
        <v>8</v>
      </c>
      <c r="N16" s="10">
        <v>4</v>
      </c>
      <c r="O16" s="10">
        <v>8</v>
      </c>
      <c r="P16" s="10">
        <v>6</v>
      </c>
      <c r="Q16" s="10">
        <v>2</v>
      </c>
      <c r="R16" s="10">
        <v>9</v>
      </c>
      <c r="S16" s="10">
        <v>7</v>
      </c>
      <c r="T16" s="27">
        <f>AVERAGE(F16:S16)</f>
        <v>7.1428571428571432</v>
      </c>
      <c r="U16" s="27">
        <f t="shared" si="0"/>
        <v>53.571428571428569</v>
      </c>
      <c r="V16" s="36"/>
      <c r="W16" s="35"/>
    </row>
    <row r="17" spans="1:24" ht="15" customHeight="1" x14ac:dyDescent="0.25">
      <c r="A17" s="33"/>
      <c r="B17" s="36"/>
      <c r="C17" s="25" t="s">
        <v>14</v>
      </c>
      <c r="D17" s="25">
        <v>7</v>
      </c>
      <c r="E17" s="9" t="s">
        <v>40</v>
      </c>
      <c r="F17" s="10">
        <v>8</v>
      </c>
      <c r="G17" s="10">
        <v>7</v>
      </c>
      <c r="H17" s="10">
        <v>9</v>
      </c>
      <c r="I17" s="10">
        <v>11</v>
      </c>
      <c r="J17" s="10">
        <v>8</v>
      </c>
      <c r="K17" s="10">
        <v>10</v>
      </c>
      <c r="L17" s="10">
        <v>6</v>
      </c>
      <c r="M17" s="10">
        <v>6</v>
      </c>
      <c r="N17" s="10">
        <v>4</v>
      </c>
      <c r="O17" s="10">
        <v>8</v>
      </c>
      <c r="P17" s="10">
        <v>5</v>
      </c>
      <c r="Q17" s="10">
        <v>4</v>
      </c>
      <c r="R17" s="10">
        <v>9</v>
      </c>
      <c r="S17" s="10">
        <v>4</v>
      </c>
      <c r="T17" s="27">
        <f>IF(COUNTIF(F17:S17,"=*")&gt;0,"-",IF(COUNTIF(F17:S17,"&lt;4")&gt;0,"-",(IFERROR(AVERAGE(F17:S17),""))))</f>
        <v>7.0714285714285712</v>
      </c>
      <c r="U17" s="27">
        <f t="shared" si="0"/>
        <v>53.035714285714285</v>
      </c>
      <c r="V17" s="36"/>
      <c r="W17" s="35"/>
    </row>
    <row r="18" spans="1:24" ht="15" customHeight="1" x14ac:dyDescent="0.25">
      <c r="A18" s="33"/>
      <c r="B18" s="36"/>
      <c r="C18" s="25" t="s">
        <v>14</v>
      </c>
      <c r="D18" s="25">
        <v>8</v>
      </c>
      <c r="E18" s="9" t="s">
        <v>41</v>
      </c>
      <c r="F18" s="10">
        <v>8</v>
      </c>
      <c r="G18" s="10">
        <v>8</v>
      </c>
      <c r="H18" s="10">
        <v>8</v>
      </c>
      <c r="I18" s="10">
        <v>9</v>
      </c>
      <c r="J18" s="10">
        <v>8</v>
      </c>
      <c r="K18" s="10">
        <v>10</v>
      </c>
      <c r="L18" s="10">
        <v>7</v>
      </c>
      <c r="M18" s="10">
        <v>6</v>
      </c>
      <c r="N18" s="10">
        <v>5</v>
      </c>
      <c r="O18" s="10">
        <v>7</v>
      </c>
      <c r="P18" s="10">
        <v>6</v>
      </c>
      <c r="Q18" s="10">
        <v>4</v>
      </c>
      <c r="R18" s="10">
        <v>5</v>
      </c>
      <c r="S18" s="10">
        <v>5</v>
      </c>
      <c r="T18" s="27">
        <f>IF(COUNTIF(F18:S18,"=*")&gt;0,"-",IF(COUNTIF(F18:S18,"&lt;4")&gt;0,"-",(IFERROR(AVERAGE(F18:S18),""))))</f>
        <v>6.8571428571428568</v>
      </c>
      <c r="U18" s="27">
        <f t="shared" si="0"/>
        <v>51.428571428571423</v>
      </c>
      <c r="V18" s="36"/>
      <c r="W18" s="35"/>
    </row>
    <row r="19" spans="1:24" ht="15" customHeight="1" x14ac:dyDescent="0.25">
      <c r="A19" s="33"/>
      <c r="B19" s="36"/>
      <c r="C19" s="25" t="s">
        <v>14</v>
      </c>
      <c r="D19" s="25">
        <v>9</v>
      </c>
      <c r="E19" s="9" t="s">
        <v>42</v>
      </c>
      <c r="F19" s="10">
        <v>6</v>
      </c>
      <c r="G19" s="10">
        <v>7</v>
      </c>
      <c r="H19" s="10">
        <v>9</v>
      </c>
      <c r="I19" s="10">
        <v>9</v>
      </c>
      <c r="J19" s="10">
        <v>7</v>
      </c>
      <c r="K19" s="10">
        <v>9</v>
      </c>
      <c r="L19" s="10">
        <v>5</v>
      </c>
      <c r="M19" s="10">
        <v>8</v>
      </c>
      <c r="N19" s="10">
        <v>4</v>
      </c>
      <c r="O19" s="10">
        <v>5</v>
      </c>
      <c r="P19" s="10">
        <v>7</v>
      </c>
      <c r="Q19" s="10">
        <v>4</v>
      </c>
      <c r="R19" s="10">
        <v>10</v>
      </c>
      <c r="S19" s="10">
        <v>4</v>
      </c>
      <c r="T19" s="27">
        <f>IF(COUNTIF(F19:S19,"=*")&gt;0,"-",IF(COUNTIF(F19:S19,"&lt;4")&gt;0,"-",(IFERROR(AVERAGE(F19:S19),""))))</f>
        <v>6.7142857142857144</v>
      </c>
      <c r="U19" s="27">
        <f t="shared" si="0"/>
        <v>50.357142857142861</v>
      </c>
      <c r="V19" s="36"/>
      <c r="W19" s="35"/>
    </row>
    <row r="20" spans="1:24" ht="15" customHeight="1" x14ac:dyDescent="0.25">
      <c r="A20" s="33"/>
      <c r="B20" s="36"/>
      <c r="C20" s="11"/>
      <c r="D20" s="11"/>
      <c r="E20" s="9" t="s">
        <v>20</v>
      </c>
      <c r="F20" s="24">
        <f>'Зведена 101'!F28</f>
        <v>10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6"/>
      <c r="U20" s="26"/>
      <c r="V20" s="36"/>
      <c r="W20" s="35"/>
      <c r="X20" s="14"/>
    </row>
    <row r="21" spans="1:24" ht="15" customHeight="1" x14ac:dyDescent="0.25">
      <c r="A21" s="33"/>
      <c r="B21" s="36"/>
      <c r="C21" s="11"/>
      <c r="D21" s="11"/>
      <c r="E21" s="9" t="s">
        <v>21</v>
      </c>
      <c r="F21" s="24">
        <f>'Зведена 101'!F29</f>
        <v>2</v>
      </c>
      <c r="G21" s="11"/>
      <c r="H21" s="17" t="s">
        <v>22</v>
      </c>
      <c r="I21" s="11"/>
      <c r="J21" s="11"/>
      <c r="K21" s="11"/>
      <c r="L21" s="11"/>
      <c r="M21" s="11"/>
      <c r="N21" s="11"/>
      <c r="O21" s="1" t="s">
        <v>49</v>
      </c>
      <c r="P21" s="11"/>
      <c r="Q21" s="11"/>
      <c r="R21" s="11"/>
      <c r="S21" s="11"/>
      <c r="T21" s="11"/>
      <c r="U21" s="11"/>
      <c r="V21" s="36"/>
      <c r="W21" s="35"/>
    </row>
    <row r="22" spans="1:24" ht="15" customHeight="1" x14ac:dyDescent="0.25">
      <c r="A22" s="33"/>
      <c r="B22" s="36"/>
      <c r="C22" s="11"/>
      <c r="D22" s="11"/>
      <c r="E22" s="9" t="s">
        <v>23</v>
      </c>
      <c r="F22" s="24">
        <f>'Зведена 101'!F30</f>
        <v>4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36"/>
      <c r="W22" s="35"/>
    </row>
    <row r="23" spans="1:24" ht="15" customHeight="1" x14ac:dyDescent="0.25">
      <c r="A23" s="33"/>
      <c r="B23" s="36"/>
      <c r="C23" s="11"/>
      <c r="D23" s="11"/>
      <c r="E23" s="9" t="s">
        <v>24</v>
      </c>
      <c r="F23" s="24">
        <f>'Зведена 101'!F31</f>
        <v>4</v>
      </c>
      <c r="G23" s="11"/>
      <c r="H23" s="17" t="s">
        <v>25</v>
      </c>
      <c r="I23" s="11"/>
      <c r="J23" s="11"/>
      <c r="K23" s="11"/>
      <c r="L23" s="11"/>
      <c r="M23" s="11"/>
      <c r="N23" s="11"/>
      <c r="O23" s="17" t="s">
        <v>26</v>
      </c>
      <c r="P23" s="11"/>
      <c r="Q23" s="11"/>
      <c r="R23" s="11"/>
      <c r="S23" s="11"/>
      <c r="T23" s="11"/>
      <c r="U23" s="11"/>
      <c r="V23" s="36"/>
      <c r="W23" s="35"/>
    </row>
    <row r="24" spans="1:24" ht="12" customHeight="1" thickBot="1" x14ac:dyDescent="0.3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</row>
    <row r="25" spans="1:24" ht="12" customHeight="1" x14ac:dyDescent="0.25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</sheetData>
  <sheetProtection selectLockedCells="1"/>
  <sortState ref="E11:U19">
    <sortCondition descending="1" ref="T11:T19"/>
  </sortState>
  <mergeCells count="18">
    <mergeCell ref="B25:V25"/>
    <mergeCell ref="C7:U7"/>
    <mergeCell ref="C8:U8"/>
    <mergeCell ref="C9:C10"/>
    <mergeCell ref="D9:D10"/>
    <mergeCell ref="E9:E10"/>
    <mergeCell ref="F9:U9"/>
    <mergeCell ref="B1:V1"/>
    <mergeCell ref="A2:A24"/>
    <mergeCell ref="B2:V2"/>
    <mergeCell ref="W2:W24"/>
    <mergeCell ref="B3:B23"/>
    <mergeCell ref="C3:U3"/>
    <mergeCell ref="V3:V23"/>
    <mergeCell ref="C4:U4"/>
    <mergeCell ref="C5:U5"/>
    <mergeCell ref="C6:U6"/>
    <mergeCell ref="B24:V24"/>
  </mergeCells>
  <conditionalFormatting sqref="C11:S11 F12:S13 D12:D19 F15:S15 F17:S19">
    <cfRule type="expression" dxfId="118" priority="13">
      <formula>$V$11&lt;&gt;""</formula>
    </cfRule>
  </conditionalFormatting>
  <conditionalFormatting sqref="C12 E12">
    <cfRule type="expression" dxfId="117" priority="15">
      <formula>$V$12&lt;&gt;""</formula>
    </cfRule>
  </conditionalFormatting>
  <conditionalFormatting sqref="C13 E13">
    <cfRule type="expression" dxfId="116" priority="16">
      <formula>$V$13&lt;&gt;""</formula>
    </cfRule>
  </conditionalFormatting>
  <conditionalFormatting sqref="C14">
    <cfRule type="expression" dxfId="115" priority="17">
      <formula>$V$14&lt;&gt;""</formula>
    </cfRule>
  </conditionalFormatting>
  <conditionalFormatting sqref="E15 C15">
    <cfRule type="expression" dxfId="114" priority="18">
      <formula>$V$15&lt;&gt;""</formula>
    </cfRule>
  </conditionalFormatting>
  <conditionalFormatting sqref="C16">
    <cfRule type="expression" dxfId="113" priority="19">
      <formula>$V$16&lt;&gt;""</formula>
    </cfRule>
  </conditionalFormatting>
  <conditionalFormatting sqref="C17 E17">
    <cfRule type="expression" dxfId="112" priority="20">
      <formula>$V$17&lt;&gt;""</formula>
    </cfRule>
  </conditionalFormatting>
  <conditionalFormatting sqref="C18 E18">
    <cfRule type="expression" dxfId="111" priority="21">
      <formula>$V$18&lt;&gt;""</formula>
    </cfRule>
  </conditionalFormatting>
  <conditionalFormatting sqref="C19 E19">
    <cfRule type="expression" dxfId="110" priority="10">
      <formula>#REF!&lt;&gt;""</formula>
    </cfRule>
  </conditionalFormatting>
  <conditionalFormatting sqref="U11:U13 U15 U17:U19">
    <cfRule type="expression" dxfId="109" priority="40">
      <formula>$V$19&lt;&gt;""</formula>
    </cfRule>
  </conditionalFormatting>
  <conditionalFormatting sqref="T11:T13 T15 T17:T19">
    <cfRule type="expression" dxfId="108" priority="9">
      <formula>$V$19&lt;&gt;""</formula>
    </cfRule>
  </conditionalFormatting>
  <conditionalFormatting sqref="F14:S14">
    <cfRule type="expression" dxfId="107" priority="6">
      <formula>$V$11&lt;&gt;""</formula>
    </cfRule>
  </conditionalFormatting>
  <conditionalFormatting sqref="E14">
    <cfRule type="expression" dxfId="106" priority="7">
      <formula>$V$16&lt;&gt;""</formula>
    </cfRule>
  </conditionalFormatting>
  <conditionalFormatting sqref="U14">
    <cfRule type="expression" dxfId="105" priority="8">
      <formula>$V$19&lt;&gt;""</formula>
    </cfRule>
  </conditionalFormatting>
  <conditionalFormatting sqref="T14">
    <cfRule type="expression" dxfId="104" priority="5">
      <formula>$V$19&lt;&gt;""</formula>
    </cfRule>
  </conditionalFormatting>
  <conditionalFormatting sqref="F16:S16">
    <cfRule type="expression" dxfId="103" priority="2">
      <formula>$V$11&lt;&gt;""</formula>
    </cfRule>
  </conditionalFormatting>
  <conditionalFormatting sqref="E16">
    <cfRule type="expression" dxfId="102" priority="3">
      <formula>$V$15&lt;&gt;""</formula>
    </cfRule>
  </conditionalFormatting>
  <conditionalFormatting sqref="U16">
    <cfRule type="expression" dxfId="101" priority="4">
      <formula>$V$19&lt;&gt;""</formula>
    </cfRule>
  </conditionalFormatting>
  <conditionalFormatting sqref="T16">
    <cfRule type="expression" dxfId="100" priority="1">
      <formula>$V$19&lt;&gt;""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F31"/>
  <sheetViews>
    <sheetView topLeftCell="A4" zoomScaleNormal="100" workbookViewId="0">
      <selection activeCell="E11" sqref="E11:S20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2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2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</row>
    <row r="3" spans="1:22" s="5" customFormat="1" ht="15" customHeight="1" x14ac:dyDescent="0.25">
      <c r="A3" s="33"/>
      <c r="B3" s="36"/>
      <c r="C3" s="36" t="s">
        <v>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5"/>
    </row>
    <row r="4" spans="1:22" s="5" customFormat="1" ht="15" customHeight="1" x14ac:dyDescent="0.25">
      <c r="A4" s="33"/>
      <c r="B4" s="36"/>
      <c r="C4" s="36" t="s">
        <v>1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5"/>
    </row>
    <row r="5" spans="1:22" s="6" customFormat="1" ht="15" customHeight="1" x14ac:dyDescent="0.25">
      <c r="A5" s="33"/>
      <c r="B5" s="36"/>
      <c r="C5" s="37" t="s">
        <v>27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6"/>
      <c r="V5" s="35"/>
    </row>
    <row r="6" spans="1:22" s="5" customFormat="1" ht="15" customHeight="1" x14ac:dyDescent="0.25">
      <c r="A6" s="33"/>
      <c r="B6" s="36"/>
      <c r="C6" s="38" t="s">
        <v>60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6"/>
      <c r="V6" s="35"/>
    </row>
    <row r="7" spans="1:22" s="5" customFormat="1" ht="15" customHeight="1" x14ac:dyDescent="0.25">
      <c r="A7" s="33"/>
      <c r="B7" s="36"/>
      <c r="C7" s="38" t="s">
        <v>28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6"/>
      <c r="V7" s="35"/>
    </row>
    <row r="8" spans="1:22" s="5" customFormat="1" ht="15" customHeight="1" x14ac:dyDescent="0.25">
      <c r="A8" s="33"/>
      <c r="B8" s="36"/>
      <c r="C8" s="36" t="s">
        <v>48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5"/>
    </row>
    <row r="9" spans="1:22" ht="15" customHeight="1" x14ac:dyDescent="0.25">
      <c r="A9" s="33"/>
      <c r="B9" s="36"/>
      <c r="C9" s="40" t="s">
        <v>2</v>
      </c>
      <c r="D9" s="42" t="s">
        <v>3</v>
      </c>
      <c r="E9" s="42" t="s">
        <v>4</v>
      </c>
      <c r="F9" s="41" t="s">
        <v>31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36"/>
      <c r="V9" s="35"/>
    </row>
    <row r="10" spans="1:22" ht="125.1" customHeight="1" x14ac:dyDescent="0.25">
      <c r="A10" s="33"/>
      <c r="B10" s="36"/>
      <c r="C10" s="41"/>
      <c r="D10" s="41"/>
      <c r="E10" s="41"/>
      <c r="F10" s="18" t="s">
        <v>5</v>
      </c>
      <c r="G10" s="18" t="s">
        <v>6</v>
      </c>
      <c r="H10" s="18" t="s">
        <v>7</v>
      </c>
      <c r="I10" s="18" t="s">
        <v>29</v>
      </c>
      <c r="J10" s="18" t="s">
        <v>30</v>
      </c>
      <c r="K10" s="18" t="s">
        <v>32</v>
      </c>
      <c r="L10" s="18" t="s">
        <v>8</v>
      </c>
      <c r="M10" s="18" t="s">
        <v>9</v>
      </c>
      <c r="N10" s="18" t="s">
        <v>35</v>
      </c>
      <c r="O10" s="18" t="s">
        <v>33</v>
      </c>
      <c r="P10" s="18" t="s">
        <v>34</v>
      </c>
      <c r="Q10" s="18" t="s">
        <v>10</v>
      </c>
      <c r="R10" s="18" t="s">
        <v>36</v>
      </c>
      <c r="S10" s="18" t="s">
        <v>11</v>
      </c>
      <c r="T10" s="7" t="s">
        <v>12</v>
      </c>
      <c r="U10" s="36"/>
      <c r="V10" s="35"/>
    </row>
    <row r="11" spans="1:22" ht="15" customHeight="1" x14ac:dyDescent="0.25">
      <c r="A11" s="33"/>
      <c r="B11" s="36"/>
      <c r="C11" s="20" t="s">
        <v>14</v>
      </c>
      <c r="D11" s="20">
        <v>1</v>
      </c>
      <c r="E11" s="9" t="s">
        <v>50</v>
      </c>
      <c r="F11" s="10">
        <v>8</v>
      </c>
      <c r="G11" s="10">
        <v>9</v>
      </c>
      <c r="H11" s="10">
        <v>8</v>
      </c>
      <c r="I11" s="10">
        <v>10</v>
      </c>
      <c r="J11" s="10">
        <v>9</v>
      </c>
      <c r="K11" s="10">
        <v>11</v>
      </c>
      <c r="L11" s="10">
        <v>8</v>
      </c>
      <c r="M11" s="10">
        <v>8</v>
      </c>
      <c r="N11" s="10">
        <v>5</v>
      </c>
      <c r="O11" s="10">
        <v>8</v>
      </c>
      <c r="P11" s="10">
        <v>8</v>
      </c>
      <c r="Q11" s="10">
        <v>7</v>
      </c>
      <c r="R11" s="10">
        <v>8</v>
      </c>
      <c r="S11" s="10">
        <v>4</v>
      </c>
      <c r="T11" s="2">
        <f t="shared" ref="T11:T20" si="0">IF(COUNTIF(F11:S11,"=*")&gt;0,"-",IF(COUNTIF(F11:S11,"&lt;4")&gt;0,"-",(IFERROR(AVERAGE(F11:S11),""))))</f>
        <v>7.9285714285714288</v>
      </c>
      <c r="U11" s="36"/>
      <c r="V11" s="35"/>
    </row>
    <row r="12" spans="1:22" ht="15" customHeight="1" x14ac:dyDescent="0.25">
      <c r="A12" s="33"/>
      <c r="B12" s="36"/>
      <c r="C12" s="20" t="s">
        <v>14</v>
      </c>
      <c r="D12" s="20">
        <v>2</v>
      </c>
      <c r="E12" s="9" t="s">
        <v>51</v>
      </c>
      <c r="F12" s="10">
        <v>8</v>
      </c>
      <c r="G12" s="10">
        <v>10</v>
      </c>
      <c r="H12" s="10">
        <v>9</v>
      </c>
      <c r="I12" s="10">
        <v>10</v>
      </c>
      <c r="J12" s="10">
        <v>9</v>
      </c>
      <c r="K12" s="10">
        <v>10</v>
      </c>
      <c r="L12" s="10">
        <v>9</v>
      </c>
      <c r="M12" s="10">
        <v>8</v>
      </c>
      <c r="N12" s="10">
        <v>6</v>
      </c>
      <c r="O12" s="10">
        <v>8</v>
      </c>
      <c r="P12" s="10">
        <v>8</v>
      </c>
      <c r="Q12" s="10">
        <v>7</v>
      </c>
      <c r="R12" s="10">
        <v>10</v>
      </c>
      <c r="S12" s="10">
        <v>5</v>
      </c>
      <c r="T12" s="2">
        <f t="shared" si="0"/>
        <v>8.3571428571428577</v>
      </c>
      <c r="U12" s="36"/>
      <c r="V12" s="35"/>
    </row>
    <row r="13" spans="1:22" ht="15" customHeight="1" x14ac:dyDescent="0.25">
      <c r="A13" s="33"/>
      <c r="B13" s="36"/>
      <c r="C13" s="20" t="s">
        <v>14</v>
      </c>
      <c r="D13" s="20">
        <v>3</v>
      </c>
      <c r="E13" s="9" t="s">
        <v>52</v>
      </c>
      <c r="F13" s="10">
        <v>8</v>
      </c>
      <c r="G13" s="10">
        <v>10</v>
      </c>
      <c r="H13" s="10">
        <v>9</v>
      </c>
      <c r="I13" s="10">
        <v>11</v>
      </c>
      <c r="J13" s="10">
        <v>9</v>
      </c>
      <c r="K13" s="10">
        <v>11</v>
      </c>
      <c r="L13" s="10">
        <v>10</v>
      </c>
      <c r="M13" s="10">
        <v>7</v>
      </c>
      <c r="N13" s="10">
        <v>6</v>
      </c>
      <c r="O13" s="10">
        <v>8</v>
      </c>
      <c r="P13" s="10">
        <v>8</v>
      </c>
      <c r="Q13" s="10">
        <v>8</v>
      </c>
      <c r="R13" s="10">
        <v>10</v>
      </c>
      <c r="S13" s="10">
        <v>6</v>
      </c>
      <c r="T13" s="2">
        <f t="shared" si="0"/>
        <v>8.6428571428571423</v>
      </c>
      <c r="U13" s="36"/>
      <c r="V13" s="35"/>
    </row>
    <row r="14" spans="1:22" ht="15" customHeight="1" x14ac:dyDescent="0.25">
      <c r="A14" s="33"/>
      <c r="B14" s="36"/>
      <c r="C14" s="20" t="s">
        <v>14</v>
      </c>
      <c r="D14" s="20">
        <v>4</v>
      </c>
      <c r="E14" s="9" t="s">
        <v>53</v>
      </c>
      <c r="F14" s="10">
        <v>5</v>
      </c>
      <c r="G14" s="10">
        <v>5</v>
      </c>
      <c r="H14" s="10">
        <v>10</v>
      </c>
      <c r="I14" s="10">
        <v>7</v>
      </c>
      <c r="J14" s="10">
        <v>4</v>
      </c>
      <c r="K14" s="10">
        <v>6</v>
      </c>
      <c r="L14" s="10">
        <v>4</v>
      </c>
      <c r="M14" s="10">
        <v>4</v>
      </c>
      <c r="N14" s="10">
        <v>4</v>
      </c>
      <c r="O14" s="10">
        <v>4</v>
      </c>
      <c r="P14" s="10">
        <v>4</v>
      </c>
      <c r="Q14" s="10">
        <v>4</v>
      </c>
      <c r="R14" s="10">
        <v>4</v>
      </c>
      <c r="S14" s="10">
        <v>4</v>
      </c>
      <c r="T14" s="2">
        <f t="shared" si="0"/>
        <v>4.9285714285714288</v>
      </c>
      <c r="U14" s="36"/>
      <c r="V14" s="35"/>
    </row>
    <row r="15" spans="1:22" ht="15" customHeight="1" x14ac:dyDescent="0.25">
      <c r="A15" s="33"/>
      <c r="B15" s="36"/>
      <c r="C15" s="20" t="s">
        <v>14</v>
      </c>
      <c r="D15" s="20">
        <v>5</v>
      </c>
      <c r="E15" s="9" t="s">
        <v>54</v>
      </c>
      <c r="F15" s="10">
        <v>6</v>
      </c>
      <c r="G15" s="10">
        <v>6</v>
      </c>
      <c r="H15" s="10">
        <v>9</v>
      </c>
      <c r="I15" s="10">
        <v>10</v>
      </c>
      <c r="J15" s="10">
        <v>8</v>
      </c>
      <c r="K15" s="10">
        <v>8</v>
      </c>
      <c r="L15" s="10">
        <v>6</v>
      </c>
      <c r="M15" s="10">
        <v>6</v>
      </c>
      <c r="N15" s="10">
        <v>4</v>
      </c>
      <c r="O15" s="10">
        <v>8</v>
      </c>
      <c r="P15" s="10">
        <v>7</v>
      </c>
      <c r="Q15" s="10">
        <v>5</v>
      </c>
      <c r="R15" s="10">
        <v>9</v>
      </c>
      <c r="S15" s="10">
        <v>4</v>
      </c>
      <c r="T15" s="2">
        <f t="shared" si="0"/>
        <v>6.8571428571428568</v>
      </c>
      <c r="U15" s="36"/>
      <c r="V15" s="35"/>
    </row>
    <row r="16" spans="1:22" ht="15" customHeight="1" x14ac:dyDescent="0.25">
      <c r="A16" s="33"/>
      <c r="B16" s="36"/>
      <c r="C16" s="20" t="s">
        <v>14</v>
      </c>
      <c r="D16" s="20">
        <v>6</v>
      </c>
      <c r="E16" s="9" t="s">
        <v>55</v>
      </c>
      <c r="F16" s="10">
        <v>8</v>
      </c>
      <c r="G16" s="10">
        <v>9</v>
      </c>
      <c r="H16" s="10">
        <v>8</v>
      </c>
      <c r="I16" s="10">
        <v>10</v>
      </c>
      <c r="J16" s="10">
        <v>8</v>
      </c>
      <c r="K16" s="10">
        <v>9</v>
      </c>
      <c r="L16" s="10">
        <v>8</v>
      </c>
      <c r="M16" s="10">
        <v>8</v>
      </c>
      <c r="N16" s="10">
        <v>7</v>
      </c>
      <c r="O16" s="10">
        <v>7</v>
      </c>
      <c r="P16" s="10">
        <v>7</v>
      </c>
      <c r="Q16" s="10">
        <v>7</v>
      </c>
      <c r="R16" s="10">
        <v>10</v>
      </c>
      <c r="S16" s="10">
        <v>8</v>
      </c>
      <c r="T16" s="2">
        <f t="shared" si="0"/>
        <v>8.1428571428571423</v>
      </c>
      <c r="U16" s="36"/>
      <c r="V16" s="35"/>
    </row>
    <row r="17" spans="1:23" ht="15" customHeight="1" x14ac:dyDescent="0.25">
      <c r="A17" s="33"/>
      <c r="B17" s="36"/>
      <c r="C17" s="20" t="s">
        <v>14</v>
      </c>
      <c r="D17" s="20">
        <v>7</v>
      </c>
      <c r="E17" s="9" t="s">
        <v>56</v>
      </c>
      <c r="F17" s="10">
        <v>7</v>
      </c>
      <c r="G17" s="10">
        <v>6</v>
      </c>
      <c r="H17" s="10">
        <v>4</v>
      </c>
      <c r="I17" s="10">
        <v>9</v>
      </c>
      <c r="J17" s="10">
        <v>8</v>
      </c>
      <c r="K17" s="10">
        <v>8</v>
      </c>
      <c r="L17" s="10">
        <v>6</v>
      </c>
      <c r="M17" s="10">
        <v>6</v>
      </c>
      <c r="N17" s="10">
        <v>6</v>
      </c>
      <c r="O17" s="10">
        <v>7</v>
      </c>
      <c r="P17" s="10">
        <v>7</v>
      </c>
      <c r="Q17" s="10">
        <v>5</v>
      </c>
      <c r="R17" s="10">
        <v>10</v>
      </c>
      <c r="S17" s="10">
        <v>4</v>
      </c>
      <c r="T17" s="2">
        <f t="shared" si="0"/>
        <v>6.6428571428571432</v>
      </c>
      <c r="U17" s="36"/>
      <c r="V17" s="35"/>
    </row>
    <row r="18" spans="1:23" ht="15" customHeight="1" x14ac:dyDescent="0.25">
      <c r="A18" s="33"/>
      <c r="B18" s="36"/>
      <c r="C18" s="20" t="s">
        <v>14</v>
      </c>
      <c r="D18" s="20">
        <v>8</v>
      </c>
      <c r="E18" s="9" t="s">
        <v>57</v>
      </c>
      <c r="F18" s="10">
        <v>9</v>
      </c>
      <c r="G18" s="10">
        <v>9</v>
      </c>
      <c r="H18" s="10">
        <v>9</v>
      </c>
      <c r="I18" s="10">
        <v>10</v>
      </c>
      <c r="J18" s="10">
        <v>10</v>
      </c>
      <c r="K18" s="10">
        <v>10</v>
      </c>
      <c r="L18" s="10">
        <v>8</v>
      </c>
      <c r="M18" s="10">
        <v>7</v>
      </c>
      <c r="N18" s="10">
        <v>6</v>
      </c>
      <c r="O18" s="10">
        <v>7</v>
      </c>
      <c r="P18" s="10">
        <v>7</v>
      </c>
      <c r="Q18" s="10">
        <v>7</v>
      </c>
      <c r="R18" s="10">
        <v>10</v>
      </c>
      <c r="S18" s="10">
        <v>8</v>
      </c>
      <c r="T18" s="2">
        <f t="shared" si="0"/>
        <v>8.3571428571428577</v>
      </c>
      <c r="U18" s="36"/>
      <c r="V18" s="35"/>
    </row>
    <row r="19" spans="1:23" ht="15" customHeight="1" x14ac:dyDescent="0.25">
      <c r="A19" s="33"/>
      <c r="B19" s="36"/>
      <c r="C19" s="20" t="s">
        <v>14</v>
      </c>
      <c r="D19" s="20">
        <v>9</v>
      </c>
      <c r="E19" s="9" t="s">
        <v>58</v>
      </c>
      <c r="F19" s="10">
        <v>8</v>
      </c>
      <c r="G19" s="10">
        <v>9</v>
      </c>
      <c r="H19" s="10">
        <v>10</v>
      </c>
      <c r="I19" s="10">
        <v>9</v>
      </c>
      <c r="J19" s="10">
        <v>8</v>
      </c>
      <c r="K19" s="10">
        <v>9</v>
      </c>
      <c r="L19" s="10">
        <v>6</v>
      </c>
      <c r="M19" s="10">
        <v>7</v>
      </c>
      <c r="N19" s="10">
        <v>6</v>
      </c>
      <c r="O19" s="10">
        <v>7</v>
      </c>
      <c r="P19" s="10">
        <v>7</v>
      </c>
      <c r="Q19" s="10">
        <v>6</v>
      </c>
      <c r="R19" s="10">
        <v>11</v>
      </c>
      <c r="S19" s="10">
        <v>8</v>
      </c>
      <c r="T19" s="2">
        <f t="shared" si="0"/>
        <v>7.9285714285714288</v>
      </c>
      <c r="U19" s="36"/>
      <c r="V19" s="35"/>
    </row>
    <row r="20" spans="1:23" ht="15" customHeight="1" x14ac:dyDescent="0.25">
      <c r="A20" s="33"/>
      <c r="B20" s="36"/>
      <c r="C20" s="20" t="s">
        <v>14</v>
      </c>
      <c r="D20" s="20">
        <v>10</v>
      </c>
      <c r="E20" s="9" t="s">
        <v>59</v>
      </c>
      <c r="F20" s="10">
        <v>7</v>
      </c>
      <c r="G20" s="10">
        <v>9</v>
      </c>
      <c r="H20" s="10">
        <v>10</v>
      </c>
      <c r="I20" s="10">
        <v>9</v>
      </c>
      <c r="J20" s="10">
        <v>9</v>
      </c>
      <c r="K20" s="10">
        <v>9</v>
      </c>
      <c r="L20" s="10">
        <v>7</v>
      </c>
      <c r="M20" s="10">
        <v>7</v>
      </c>
      <c r="N20" s="10">
        <v>5</v>
      </c>
      <c r="O20" s="10">
        <v>8</v>
      </c>
      <c r="P20" s="10">
        <v>9</v>
      </c>
      <c r="Q20" s="10">
        <v>5</v>
      </c>
      <c r="R20" s="10">
        <v>9</v>
      </c>
      <c r="S20" s="10">
        <v>4</v>
      </c>
      <c r="T20" s="2">
        <f t="shared" si="0"/>
        <v>7.6428571428571432</v>
      </c>
      <c r="U20" s="36"/>
      <c r="V20" s="35"/>
    </row>
    <row r="21" spans="1:23" ht="15" customHeight="1" x14ac:dyDescent="0.25">
      <c r="A21" s="33"/>
      <c r="B21" s="36"/>
      <c r="C21" s="11"/>
      <c r="D21" s="11"/>
      <c r="E21" s="9" t="s">
        <v>15</v>
      </c>
      <c r="F21" s="3">
        <f>IF(SUM(F11:F20)=0,"",SUM(F11:F20)/D20)</f>
        <v>7.4</v>
      </c>
      <c r="G21" s="3">
        <f>IF(SUM(G11:G20)=0,"",SUM(G11:G20)/D20)</f>
        <v>8.1999999999999993</v>
      </c>
      <c r="H21" s="3">
        <f>IF(SUM(H11:H20)=0,"",SUM(H11:H20)/D20)</f>
        <v>8.6</v>
      </c>
      <c r="I21" s="3">
        <f>IF(SUM(I11:I20)=0,"",SUM(I11:I20)/D20)</f>
        <v>9.5</v>
      </c>
      <c r="J21" s="3">
        <f>IF(SUM(J11:J20)=0,"",SUM(J11:J20)/D20)</f>
        <v>8.1999999999999993</v>
      </c>
      <c r="K21" s="3">
        <f>IF(SUM(K11:K20)=0,"",SUM(K11:K20)/D20)</f>
        <v>9.1</v>
      </c>
      <c r="L21" s="3">
        <f>IF(SUM(L11:L20)=0,"",SUM(L11:L20)/D20)</f>
        <v>7.2</v>
      </c>
      <c r="M21" s="3">
        <f>IF(SUM(M11:M20)=0,"",SUM(M11:M20)/D20)</f>
        <v>6.8</v>
      </c>
      <c r="N21" s="3">
        <f>IF(SUM(N11:N20)=0,"",SUM(N11:N20)/D20)</f>
        <v>5.5</v>
      </c>
      <c r="O21" s="3">
        <f>IF(SUM(O11:O20)=0,"",SUM(O11:O20)/D20)</f>
        <v>7.2</v>
      </c>
      <c r="P21" s="3">
        <f>IF(SUM(P11:P20)=0,"",SUM(P11:P20)/D20)</f>
        <v>7.2</v>
      </c>
      <c r="Q21" s="3">
        <f>IF(SUM(Q11:Q20)=0,"",SUM(Q11:Q20)/D20)</f>
        <v>6.1</v>
      </c>
      <c r="R21" s="3">
        <f>IF(SUM(R11:R20)=0,"",SUM(R11:R20)/D20)</f>
        <v>9.1</v>
      </c>
      <c r="S21" s="3">
        <f>IF(SUM(S11:S20)=0,"",SUM(S11:S20)/D20)</f>
        <v>5.5</v>
      </c>
      <c r="T21" s="2">
        <f>IFERROR(AVERAGE(F21:S21),"")</f>
        <v>7.5428571428571436</v>
      </c>
      <c r="U21" s="36"/>
      <c r="V21" s="35"/>
    </row>
    <row r="22" spans="1:23" ht="15" customHeight="1" x14ac:dyDescent="0.25">
      <c r="A22" s="33"/>
      <c r="B22" s="36"/>
      <c r="C22" s="11"/>
      <c r="D22" s="11"/>
      <c r="E22" s="9" t="s">
        <v>16</v>
      </c>
      <c r="F22" s="12">
        <f>IF(SUM(F11:F20)=0,"",IF(COUNTIF(F11:F20,"&gt;=4")=0,0,COUNTIF(F11:F20,"&gt;=4")/D20*100))</f>
        <v>100</v>
      </c>
      <c r="G22" s="12">
        <f>IF(SUM(G11:G20)=0,"",IF(COUNTIF(G11:G20,"&gt;=4")=0,0,COUNTIF(G11:G20,"&gt;=4")/D20*100))</f>
        <v>100</v>
      </c>
      <c r="H22" s="12">
        <f>IF(SUM(H11:H20)=0,"",IF(COUNTIF(H11:H20,"&gt;=4")=0,0,COUNTIF(H11:H20,"&gt;=4")/D20*100))</f>
        <v>100</v>
      </c>
      <c r="I22" s="12">
        <f>IF(SUM(I11:I20)=0,"",IF(COUNTIF(I11:I20,"&gt;=4")=0,0,COUNTIF(I11:I20,"&gt;=4")/D20*100))</f>
        <v>100</v>
      </c>
      <c r="J22" s="12">
        <f>IF(SUM(J11:J20)=0,"",IF(COUNTIF(J11:J20,"&gt;=4")=0,0,COUNTIF(J11:J20,"&gt;=4")/D20*100))</f>
        <v>100</v>
      </c>
      <c r="K22" s="12">
        <f>IF(SUM(K11:K20)=0,"",IF(COUNTIF(K11:K20,"&gt;=4")=0,0,COUNTIF(K11:K20,"&gt;=4")/D20*100))</f>
        <v>100</v>
      </c>
      <c r="L22" s="12">
        <f>IF(SUM(L11:L20)=0,"",IF(COUNTIF(L11:L20,"&gt;=4")=0,0,COUNTIF(L11:L20,"&gt;=4")/D20*100))</f>
        <v>100</v>
      </c>
      <c r="M22" s="12">
        <f>IF(SUM(M11:M20)=0,"",IF(COUNTIF(M11:M20,"&gt;=4")=0,0,COUNTIF(M11:M20,"&gt;=4")/D20*100))</f>
        <v>100</v>
      </c>
      <c r="N22" s="12">
        <f>IF(SUM(N11:N20)=0,"",IF(COUNTIF(N11:N20,"&gt;=4")=0,0,COUNTIF(N11:N20,"&gt;=4")/D20*100))</f>
        <v>100</v>
      </c>
      <c r="O22" s="12">
        <f>IF(SUM(O11:O20)=0,"",IF(COUNTIF(O11:O20,"&gt;=4")=0,0,COUNTIF(O11:O20,"&gt;=4")/D20*100))</f>
        <v>100</v>
      </c>
      <c r="P22" s="12">
        <f>IF(SUM(P11:P20)=0,"",IF(COUNTIF(P11:P20,"&gt;=4")=0,0,COUNTIF(P11:P20,"&gt;=4")/D20*100))</f>
        <v>100</v>
      </c>
      <c r="Q22" s="12">
        <f>IF(SUM(Q11:Q20)=0,"",IF(COUNTIF(Q11:Q20,"&gt;=4")=0,0,COUNTIF(Q11:Q20,"&gt;=4")/D20*100))</f>
        <v>100</v>
      </c>
      <c r="R22" s="12">
        <f>IF(SUM(R11:R20)=0,"",IF(COUNTIF(R11:R20,"&gt;=4")=0,0,COUNTIF(R11:R20,"&gt;=4")/D20*100))</f>
        <v>100</v>
      </c>
      <c r="S22" s="12">
        <f>IF(SUM(S11:S20)=0,"",IF(COUNTIF(S11:S20,"&gt;=4")=0,0,COUNTIF(S11:S20,"&gt;=4")/D20*100))</f>
        <v>100</v>
      </c>
      <c r="T22" s="13"/>
      <c r="U22" s="36"/>
      <c r="V22" s="35"/>
      <c r="W22" s="14"/>
    </row>
    <row r="23" spans="1:23" ht="15" customHeight="1" x14ac:dyDescent="0.25">
      <c r="A23" s="33"/>
      <c r="B23" s="36"/>
      <c r="C23" s="11"/>
      <c r="D23" s="11"/>
      <c r="E23" s="9" t="s">
        <v>17</v>
      </c>
      <c r="F23" s="12">
        <f>IF(SUM(F11:F20)=0,"",IF(COUNTIF(F11:F20,"&gt;=7")=0,0,COUNTIF(F11:F20,"&gt;=7")/D20*100))</f>
        <v>80</v>
      </c>
      <c r="G23" s="12">
        <f>IF(SUM(G11:G20)=0,"",IF(COUNTIF(G11:G20,"&gt;=7")=0,0,COUNTIF(G11:G20,"&gt;=7")/D20*100))</f>
        <v>70</v>
      </c>
      <c r="H23" s="12">
        <f>IF(SUM(H11:H20)=0,"",IF(COUNTIF(H11:H20,"&gt;=7")=0,0,COUNTIF(H11:H20,"&gt;=7")/D20*100))</f>
        <v>90</v>
      </c>
      <c r="I23" s="12">
        <f>IF(SUM(I11:I20)=0,"",IF(COUNTIF(I11:I20,"&gt;=7")=0,0,COUNTIF(I11:I20,"&gt;=7")/D20*100))</f>
        <v>100</v>
      </c>
      <c r="J23" s="12">
        <f>IF(SUM(J11:J20)=0,"",IF(COUNTIF(J11:J20,"&gt;=7")=0,0,COUNTIF(J11:J20,"&gt;=7")/D20*100))</f>
        <v>90</v>
      </c>
      <c r="K23" s="12">
        <f>IF(SUM(K11:K20)=0,"",IF(COUNTIF(K11:K20,"&gt;=7")=0,0,COUNTIF(K11:K20,"&gt;=7")/D20*100))</f>
        <v>90</v>
      </c>
      <c r="L23" s="12">
        <f>IF(SUM(L11:L20)=0,"",IF(COUNTIF(L11:L20,"&gt;=7")=0,0,COUNTIF(L11:L20,"&gt;=7")/D20*100))</f>
        <v>60</v>
      </c>
      <c r="M23" s="12">
        <f>IF(SUM(M11:M20)=0,"",IF(COUNTIF(M11:M20,"&gt;=7")=0,0,COUNTIF(M11:M20,"&gt;=7")/D20*100))</f>
        <v>70</v>
      </c>
      <c r="N23" s="12">
        <f>IF(SUM(N11:N20)=0,"",IF(COUNTIF(N11:N20,"&gt;=7")=0,0,COUNTIF(N11:N20,"&gt;=7")/D20*100))</f>
        <v>10</v>
      </c>
      <c r="O23" s="12">
        <f>IF(SUM(O11:O20)=0,"",IF(COUNTIF(O11:O20,"&gt;=7")=0,0,COUNTIF(O11:O20,"&gt;=7")/D20*100))</f>
        <v>90</v>
      </c>
      <c r="P23" s="12">
        <f>IF(SUM(P11:P20)=0,"",IF(COUNTIF(P11:P20,"&gt;=7")=0,0,COUNTIF(P11:P20,"&gt;=7")/D20*100))</f>
        <v>90</v>
      </c>
      <c r="Q23" s="12">
        <f>IF(SUM(Q11:Q20)=0,"",IF(COUNTIF(Q11:Q20,"&gt;=7")=0,0,COUNTIF(Q11:Q20,"&gt;=7")/D20*100))</f>
        <v>50</v>
      </c>
      <c r="R23" s="12">
        <f>IF(SUM(R11:R20)=0,"",IF(COUNTIF(R11:R20,"&gt;=7")=0,0,COUNTIF(R11:R20,"&gt;=7")/D20*100))</f>
        <v>90</v>
      </c>
      <c r="S23" s="12">
        <f>IF(SUM(S11:S20)=0,"",IF(COUNTIF(S11:S20,"&gt;=7")=0,0,COUNTIF(S11:S20,"&gt;=7")/D20*100))</f>
        <v>30</v>
      </c>
      <c r="T23" s="21"/>
      <c r="U23" s="36"/>
      <c r="V23" s="35"/>
      <c r="W23" s="14"/>
    </row>
    <row r="24" spans="1:23" ht="15" customHeight="1" x14ac:dyDescent="0.25">
      <c r="A24" s="33"/>
      <c r="B24" s="36"/>
      <c r="C24" s="11"/>
      <c r="D24" s="11"/>
      <c r="E24" s="9" t="s">
        <v>18</v>
      </c>
      <c r="F24" s="3">
        <f>IFERROR(AVERAGE(F22:S22),"")</f>
        <v>100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21"/>
      <c r="U24" s="36"/>
      <c r="V24" s="35"/>
      <c r="W24" s="14"/>
    </row>
    <row r="25" spans="1:23" ht="15" customHeight="1" x14ac:dyDescent="0.25">
      <c r="A25" s="33"/>
      <c r="B25" s="36"/>
      <c r="C25" s="11"/>
      <c r="D25" s="11"/>
      <c r="E25" s="9" t="s">
        <v>19</v>
      </c>
      <c r="F25" s="3">
        <f>IFERROR(AVERAGE(F23:S23),"")</f>
        <v>72.142857142857139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21"/>
      <c r="U25" s="36"/>
      <c r="V25" s="35"/>
      <c r="W25" s="14"/>
    </row>
    <row r="26" spans="1:23" ht="15" customHeight="1" x14ac:dyDescent="0.25">
      <c r="A26" s="33"/>
      <c r="B26" s="36"/>
      <c r="C26" s="11"/>
      <c r="D26" s="11"/>
      <c r="E26" s="9" t="s">
        <v>20</v>
      </c>
      <c r="F26" s="19">
        <f>IF(COUNTIF(C11:C20,"=Б")=0,IF(COUNTIF(C11:C20,"=К")=0,"",0),COUNTIF(C11:C20,"=Б"))</f>
        <v>10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1"/>
      <c r="U26" s="36"/>
      <c r="V26" s="35"/>
      <c r="W26" s="14"/>
    </row>
    <row r="27" spans="1:23" ht="15" customHeight="1" x14ac:dyDescent="0.25">
      <c r="A27" s="33"/>
      <c r="B27" s="36"/>
      <c r="C27" s="11"/>
      <c r="D27" s="11"/>
      <c r="E27" s="9" t="s">
        <v>21</v>
      </c>
      <c r="F27" s="19">
        <f>IF(COUNTIF(C11:C20,"=К")=0,IF(COUNTIF(C11:C20,"=Б")=0,"",0),COUNTIF(C11:C20,"=К"))</f>
        <v>0</v>
      </c>
      <c r="G27" s="11"/>
      <c r="H27" s="17" t="s">
        <v>22</v>
      </c>
      <c r="I27" s="11"/>
      <c r="J27" s="11"/>
      <c r="K27" s="11"/>
      <c r="L27" s="11"/>
      <c r="M27" s="11"/>
      <c r="N27" s="11"/>
      <c r="O27" s="1" t="s">
        <v>49</v>
      </c>
      <c r="P27" s="11"/>
      <c r="Q27" s="11"/>
      <c r="R27" s="11"/>
      <c r="S27" s="11"/>
      <c r="T27" s="11"/>
      <c r="U27" s="36"/>
      <c r="V27" s="35"/>
    </row>
    <row r="28" spans="1:23" ht="15" customHeight="1" x14ac:dyDescent="0.25">
      <c r="A28" s="33"/>
      <c r="B28" s="36"/>
      <c r="C28" s="11"/>
      <c r="D28" s="11"/>
      <c r="E28" s="9" t="s">
        <v>23</v>
      </c>
      <c r="F28" s="19">
        <v>2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36"/>
      <c r="V28" s="35"/>
    </row>
    <row r="29" spans="1:23" ht="15" customHeight="1" x14ac:dyDescent="0.25">
      <c r="A29" s="33"/>
      <c r="B29" s="36"/>
      <c r="C29" s="11"/>
      <c r="D29" s="11"/>
      <c r="E29" s="9" t="s">
        <v>24</v>
      </c>
      <c r="F29" s="19">
        <v>4</v>
      </c>
      <c r="G29" s="11"/>
      <c r="H29" s="17" t="s">
        <v>25</v>
      </c>
      <c r="I29" s="11"/>
      <c r="J29" s="11"/>
      <c r="K29" s="11"/>
      <c r="L29" s="11"/>
      <c r="M29" s="11"/>
      <c r="N29" s="11"/>
      <c r="O29" s="17" t="s">
        <v>26</v>
      </c>
      <c r="P29" s="11"/>
      <c r="Q29" s="11"/>
      <c r="R29" s="11"/>
      <c r="S29" s="11"/>
      <c r="T29" s="11"/>
      <c r="U29" s="36"/>
      <c r="V29" s="35"/>
    </row>
    <row r="30" spans="1:23" ht="12" customHeight="1" thickBot="1" x14ac:dyDescent="0.3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</row>
    <row r="31" spans="1:23" ht="12" customHeight="1" x14ac:dyDescent="0.2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</row>
  </sheetData>
  <sheetProtection selectLockedCells="1"/>
  <sortState ref="E11:E20">
    <sortCondition ref="E11"/>
  </sortState>
  <mergeCells count="18">
    <mergeCell ref="B31:U31"/>
    <mergeCell ref="C7:T7"/>
    <mergeCell ref="C8:T8"/>
    <mergeCell ref="C9:C10"/>
    <mergeCell ref="D9:D10"/>
    <mergeCell ref="E9:E10"/>
    <mergeCell ref="F9:T9"/>
    <mergeCell ref="B1:U1"/>
    <mergeCell ref="A2:A30"/>
    <mergeCell ref="B2:U2"/>
    <mergeCell ref="V2:V30"/>
    <mergeCell ref="B3:B29"/>
    <mergeCell ref="C3:T3"/>
    <mergeCell ref="U3:U29"/>
    <mergeCell ref="C4:T4"/>
    <mergeCell ref="C5:T5"/>
    <mergeCell ref="C6:T6"/>
    <mergeCell ref="B30:U30"/>
  </mergeCells>
  <conditionalFormatting sqref="T11:T19">
    <cfRule type="expression" dxfId="99" priority="5">
      <formula>$U$20&lt;&gt;""</formula>
    </cfRule>
  </conditionalFormatting>
  <conditionalFormatting sqref="C11:S11 F12:S20">
    <cfRule type="expression" dxfId="98" priority="6">
      <formula>$U$11&lt;&gt;""</formula>
    </cfRule>
  </conditionalFormatting>
  <conditionalFormatting sqref="C12:E12">
    <cfRule type="expression" dxfId="97" priority="7">
      <formula>$U$12&lt;&gt;""</formula>
    </cfRule>
  </conditionalFormatting>
  <conditionalFormatting sqref="C13:E13">
    <cfRule type="expression" dxfId="96" priority="8">
      <formula>$U$13&lt;&gt;""</formula>
    </cfRule>
  </conditionalFormatting>
  <conditionalFormatting sqref="C14:E14">
    <cfRule type="expression" dxfId="95" priority="9">
      <formula>$U$14&lt;&gt;""</formula>
    </cfRule>
  </conditionalFormatting>
  <conditionalFormatting sqref="C15:E15">
    <cfRule type="expression" dxfId="94" priority="10">
      <formula>$U$15&lt;&gt;""</formula>
    </cfRule>
  </conditionalFormatting>
  <conditionalFormatting sqref="C16:E16">
    <cfRule type="expression" dxfId="93" priority="11">
      <formula>$U$16&lt;&gt;""</formula>
    </cfRule>
  </conditionalFormatting>
  <conditionalFormatting sqref="C17:E17">
    <cfRule type="expression" dxfId="92" priority="12">
      <formula>$U$17&lt;&gt;""</formula>
    </cfRule>
  </conditionalFormatting>
  <conditionalFormatting sqref="C18:E18">
    <cfRule type="expression" dxfId="91" priority="13">
      <formula>$U$18&lt;&gt;""</formula>
    </cfRule>
  </conditionalFormatting>
  <conditionalFormatting sqref="C19:E19">
    <cfRule type="expression" dxfId="90" priority="14">
      <formula>$U$19&lt;&gt;""</formula>
    </cfRule>
  </conditionalFormatting>
  <conditionalFormatting sqref="T20">
    <cfRule type="expression" dxfId="89" priority="3">
      <formula>$U$20&lt;&gt;""</formula>
    </cfRule>
  </conditionalFormatting>
  <conditionalFormatting sqref="C20:E20">
    <cfRule type="expression" dxfId="88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6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3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5" customFormat="1" ht="15" customHeight="1" x14ac:dyDescent="0.25">
      <c r="A3" s="33"/>
      <c r="B3" s="36"/>
      <c r="C3" s="36" t="s">
        <v>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5"/>
    </row>
    <row r="4" spans="1:23" s="5" customFormat="1" ht="15" customHeight="1" x14ac:dyDescent="0.25">
      <c r="A4" s="33"/>
      <c r="B4" s="36"/>
      <c r="C4" s="36" t="s">
        <v>1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5"/>
    </row>
    <row r="5" spans="1:23" s="6" customFormat="1" ht="15" customHeight="1" x14ac:dyDescent="0.25">
      <c r="A5" s="33"/>
      <c r="B5" s="36"/>
      <c r="C5" s="37" t="s">
        <v>64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6"/>
      <c r="W5" s="35"/>
    </row>
    <row r="6" spans="1:23" s="5" customFormat="1" ht="15" customHeight="1" x14ac:dyDescent="0.25">
      <c r="A6" s="33"/>
      <c r="B6" s="36"/>
      <c r="C6" s="38" t="s">
        <v>60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6"/>
      <c r="W6" s="35"/>
    </row>
    <row r="7" spans="1:23" s="5" customFormat="1" ht="15" customHeight="1" x14ac:dyDescent="0.25">
      <c r="A7" s="33"/>
      <c r="B7" s="36"/>
      <c r="C7" s="38" t="s">
        <v>28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6"/>
      <c r="W7" s="35"/>
    </row>
    <row r="8" spans="1:23" s="5" customFormat="1" ht="15" customHeight="1" x14ac:dyDescent="0.25">
      <c r="A8" s="33"/>
      <c r="B8" s="36"/>
      <c r="C8" s="36" t="s">
        <v>48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5"/>
    </row>
    <row r="9" spans="1:23" ht="15" customHeight="1" x14ac:dyDescent="0.25">
      <c r="A9" s="33"/>
      <c r="B9" s="36"/>
      <c r="C9" s="40" t="s">
        <v>2</v>
      </c>
      <c r="D9" s="42" t="s">
        <v>3</v>
      </c>
      <c r="E9" s="42" t="s">
        <v>4</v>
      </c>
      <c r="F9" s="41" t="s">
        <v>31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36"/>
      <c r="W9" s="35"/>
    </row>
    <row r="10" spans="1:23" ht="125.1" customHeight="1" x14ac:dyDescent="0.25">
      <c r="A10" s="33"/>
      <c r="B10" s="36"/>
      <c r="C10" s="41"/>
      <c r="D10" s="41"/>
      <c r="E10" s="41"/>
      <c r="F10" s="18" t="s">
        <v>5</v>
      </c>
      <c r="G10" s="18" t="s">
        <v>6</v>
      </c>
      <c r="H10" s="18" t="s">
        <v>7</v>
      </c>
      <c r="I10" s="18" t="s">
        <v>29</v>
      </c>
      <c r="J10" s="18" t="s">
        <v>30</v>
      </c>
      <c r="K10" s="18" t="s">
        <v>32</v>
      </c>
      <c r="L10" s="18" t="s">
        <v>8</v>
      </c>
      <c r="M10" s="18" t="s">
        <v>9</v>
      </c>
      <c r="N10" s="18" t="s">
        <v>35</v>
      </c>
      <c r="O10" s="18" t="s">
        <v>33</v>
      </c>
      <c r="P10" s="18" t="s">
        <v>34</v>
      </c>
      <c r="Q10" s="18" t="s">
        <v>10</v>
      </c>
      <c r="R10" s="18" t="s">
        <v>36</v>
      </c>
      <c r="S10" s="18" t="s">
        <v>11</v>
      </c>
      <c r="T10" s="7" t="s">
        <v>12</v>
      </c>
      <c r="U10" s="7" t="s">
        <v>65</v>
      </c>
      <c r="V10" s="36"/>
      <c r="W10" s="35"/>
    </row>
    <row r="11" spans="1:23" ht="15" customHeight="1" x14ac:dyDescent="0.25">
      <c r="A11" s="33"/>
      <c r="B11" s="36"/>
      <c r="C11" s="28" t="s">
        <v>14</v>
      </c>
      <c r="D11" s="28">
        <v>1</v>
      </c>
      <c r="E11" s="29" t="s">
        <v>52</v>
      </c>
      <c r="F11" s="30">
        <v>8</v>
      </c>
      <c r="G11" s="30">
        <v>10</v>
      </c>
      <c r="H11" s="30">
        <v>9</v>
      </c>
      <c r="I11" s="30">
        <v>11</v>
      </c>
      <c r="J11" s="30">
        <v>9</v>
      </c>
      <c r="K11" s="30">
        <v>11</v>
      </c>
      <c r="L11" s="30">
        <v>10</v>
      </c>
      <c r="M11" s="30">
        <v>7</v>
      </c>
      <c r="N11" s="30">
        <v>6</v>
      </c>
      <c r="O11" s="30">
        <v>8</v>
      </c>
      <c r="P11" s="30">
        <v>8</v>
      </c>
      <c r="Q11" s="30">
        <v>8</v>
      </c>
      <c r="R11" s="30">
        <v>10</v>
      </c>
      <c r="S11" s="30">
        <v>6</v>
      </c>
      <c r="T11" s="31">
        <f t="shared" ref="T11:T20" si="0">IF(COUNTIF(F11:S11,"=*")&gt;0,"-",IF(COUNTIF(F11:S11,"&lt;4")&gt;0,"-",(IFERROR(AVERAGE(F11:S11),""))))</f>
        <v>8.6428571428571423</v>
      </c>
      <c r="U11" s="31">
        <f t="shared" ref="U11:U20" si="1">T11/12*90</f>
        <v>64.821428571428569</v>
      </c>
      <c r="V11" s="36"/>
      <c r="W11" s="35"/>
    </row>
    <row r="12" spans="1:23" ht="15" customHeight="1" x14ac:dyDescent="0.25">
      <c r="A12" s="33"/>
      <c r="B12" s="36"/>
      <c r="C12" s="28" t="s">
        <v>14</v>
      </c>
      <c r="D12" s="28">
        <v>2</v>
      </c>
      <c r="E12" s="29" t="s">
        <v>51</v>
      </c>
      <c r="F12" s="30">
        <v>8</v>
      </c>
      <c r="G12" s="30">
        <v>10</v>
      </c>
      <c r="H12" s="30">
        <v>9</v>
      </c>
      <c r="I12" s="30">
        <v>10</v>
      </c>
      <c r="J12" s="30">
        <v>9</v>
      </c>
      <c r="K12" s="30">
        <v>10</v>
      </c>
      <c r="L12" s="30">
        <v>9</v>
      </c>
      <c r="M12" s="30">
        <v>8</v>
      </c>
      <c r="N12" s="30">
        <v>6</v>
      </c>
      <c r="O12" s="30">
        <v>8</v>
      </c>
      <c r="P12" s="30">
        <v>8</v>
      </c>
      <c r="Q12" s="30">
        <v>7</v>
      </c>
      <c r="R12" s="30">
        <v>10</v>
      </c>
      <c r="S12" s="30">
        <v>5</v>
      </c>
      <c r="T12" s="31">
        <f t="shared" si="0"/>
        <v>8.3571428571428577</v>
      </c>
      <c r="U12" s="31">
        <f t="shared" si="1"/>
        <v>62.678571428571438</v>
      </c>
      <c r="V12" s="36"/>
      <c r="W12" s="35"/>
    </row>
    <row r="13" spans="1:23" ht="15" customHeight="1" x14ac:dyDescent="0.25">
      <c r="A13" s="33"/>
      <c r="B13" s="36"/>
      <c r="C13" s="28" t="s">
        <v>14</v>
      </c>
      <c r="D13" s="28">
        <v>3</v>
      </c>
      <c r="E13" s="29" t="s">
        <v>57</v>
      </c>
      <c r="F13" s="30">
        <v>9</v>
      </c>
      <c r="G13" s="30">
        <v>9</v>
      </c>
      <c r="H13" s="30">
        <v>9</v>
      </c>
      <c r="I13" s="30">
        <v>10</v>
      </c>
      <c r="J13" s="30">
        <v>10</v>
      </c>
      <c r="K13" s="30">
        <v>10</v>
      </c>
      <c r="L13" s="30">
        <v>8</v>
      </c>
      <c r="M13" s="30">
        <v>7</v>
      </c>
      <c r="N13" s="30">
        <v>6</v>
      </c>
      <c r="O13" s="30">
        <v>7</v>
      </c>
      <c r="P13" s="30">
        <v>7</v>
      </c>
      <c r="Q13" s="30">
        <v>7</v>
      </c>
      <c r="R13" s="30">
        <v>10</v>
      </c>
      <c r="S13" s="30">
        <v>8</v>
      </c>
      <c r="T13" s="31">
        <f t="shared" si="0"/>
        <v>8.3571428571428577</v>
      </c>
      <c r="U13" s="31">
        <f t="shared" si="1"/>
        <v>62.678571428571438</v>
      </c>
      <c r="V13" s="36"/>
      <c r="W13" s="35"/>
    </row>
    <row r="14" spans="1:23" ht="15" customHeight="1" x14ac:dyDescent="0.25">
      <c r="A14" s="33"/>
      <c r="B14" s="36"/>
      <c r="C14" s="28" t="s">
        <v>14</v>
      </c>
      <c r="D14" s="28">
        <v>4</v>
      </c>
      <c r="E14" s="29" t="s">
        <v>55</v>
      </c>
      <c r="F14" s="30">
        <v>8</v>
      </c>
      <c r="G14" s="30">
        <v>9</v>
      </c>
      <c r="H14" s="30">
        <v>8</v>
      </c>
      <c r="I14" s="30">
        <v>10</v>
      </c>
      <c r="J14" s="30">
        <v>8</v>
      </c>
      <c r="K14" s="30">
        <v>9</v>
      </c>
      <c r="L14" s="30">
        <v>8</v>
      </c>
      <c r="M14" s="30">
        <v>8</v>
      </c>
      <c r="N14" s="30">
        <v>7</v>
      </c>
      <c r="O14" s="30">
        <v>7</v>
      </c>
      <c r="P14" s="30">
        <v>7</v>
      </c>
      <c r="Q14" s="30">
        <v>7</v>
      </c>
      <c r="R14" s="30">
        <v>10</v>
      </c>
      <c r="S14" s="30">
        <v>8</v>
      </c>
      <c r="T14" s="31">
        <f t="shared" si="0"/>
        <v>8.1428571428571423</v>
      </c>
      <c r="U14" s="31">
        <f t="shared" si="1"/>
        <v>61.071428571428562</v>
      </c>
      <c r="V14" s="36"/>
      <c r="W14" s="35"/>
    </row>
    <row r="15" spans="1:23" ht="15" customHeight="1" x14ac:dyDescent="0.25">
      <c r="A15" s="33"/>
      <c r="B15" s="36"/>
      <c r="C15" s="25" t="s">
        <v>14</v>
      </c>
      <c r="D15" s="25">
        <v>5</v>
      </c>
      <c r="E15" s="9" t="s">
        <v>50</v>
      </c>
      <c r="F15" s="10">
        <v>8</v>
      </c>
      <c r="G15" s="10">
        <v>9</v>
      </c>
      <c r="H15" s="10">
        <v>8</v>
      </c>
      <c r="I15" s="10">
        <v>10</v>
      </c>
      <c r="J15" s="10">
        <v>9</v>
      </c>
      <c r="K15" s="10">
        <v>11</v>
      </c>
      <c r="L15" s="10">
        <v>8</v>
      </c>
      <c r="M15" s="10">
        <v>8</v>
      </c>
      <c r="N15" s="10">
        <v>5</v>
      </c>
      <c r="O15" s="10">
        <v>8</v>
      </c>
      <c r="P15" s="10">
        <v>8</v>
      </c>
      <c r="Q15" s="10">
        <v>7</v>
      </c>
      <c r="R15" s="10">
        <v>8</v>
      </c>
      <c r="S15" s="10">
        <v>4</v>
      </c>
      <c r="T15" s="27">
        <f t="shared" si="0"/>
        <v>7.9285714285714288</v>
      </c>
      <c r="U15" s="27">
        <f t="shared" si="1"/>
        <v>59.464285714285715</v>
      </c>
      <c r="V15" s="36"/>
      <c r="W15" s="35"/>
    </row>
    <row r="16" spans="1:23" ht="15" customHeight="1" x14ac:dyDescent="0.25">
      <c r="A16" s="33"/>
      <c r="B16" s="36"/>
      <c r="C16" s="25" t="s">
        <v>14</v>
      </c>
      <c r="D16" s="25">
        <v>6</v>
      </c>
      <c r="E16" s="9" t="s">
        <v>58</v>
      </c>
      <c r="F16" s="10">
        <v>8</v>
      </c>
      <c r="G16" s="10">
        <v>9</v>
      </c>
      <c r="H16" s="10">
        <v>10</v>
      </c>
      <c r="I16" s="10">
        <v>9</v>
      </c>
      <c r="J16" s="10">
        <v>8</v>
      </c>
      <c r="K16" s="10">
        <v>9</v>
      </c>
      <c r="L16" s="10">
        <v>6</v>
      </c>
      <c r="M16" s="10">
        <v>7</v>
      </c>
      <c r="N16" s="10">
        <v>6</v>
      </c>
      <c r="O16" s="10">
        <v>7</v>
      </c>
      <c r="P16" s="10">
        <v>7</v>
      </c>
      <c r="Q16" s="10">
        <v>6</v>
      </c>
      <c r="R16" s="10">
        <v>11</v>
      </c>
      <c r="S16" s="10">
        <v>8</v>
      </c>
      <c r="T16" s="27">
        <f t="shared" si="0"/>
        <v>7.9285714285714288</v>
      </c>
      <c r="U16" s="27">
        <f t="shared" si="1"/>
        <v>59.464285714285715</v>
      </c>
      <c r="V16" s="36"/>
      <c r="W16" s="35"/>
    </row>
    <row r="17" spans="1:24" ht="15" customHeight="1" x14ac:dyDescent="0.25">
      <c r="A17" s="33"/>
      <c r="B17" s="36"/>
      <c r="C17" s="25" t="s">
        <v>14</v>
      </c>
      <c r="D17" s="25">
        <v>7</v>
      </c>
      <c r="E17" s="9" t="s">
        <v>59</v>
      </c>
      <c r="F17" s="10">
        <v>7</v>
      </c>
      <c r="G17" s="10">
        <v>9</v>
      </c>
      <c r="H17" s="10">
        <v>10</v>
      </c>
      <c r="I17" s="10">
        <v>9</v>
      </c>
      <c r="J17" s="10">
        <v>9</v>
      </c>
      <c r="K17" s="10">
        <v>9</v>
      </c>
      <c r="L17" s="10">
        <v>7</v>
      </c>
      <c r="M17" s="10">
        <v>7</v>
      </c>
      <c r="N17" s="10">
        <v>5</v>
      </c>
      <c r="O17" s="10">
        <v>8</v>
      </c>
      <c r="P17" s="10">
        <v>9</v>
      </c>
      <c r="Q17" s="10">
        <v>5</v>
      </c>
      <c r="R17" s="10">
        <v>9</v>
      </c>
      <c r="S17" s="10">
        <v>4</v>
      </c>
      <c r="T17" s="27">
        <f t="shared" si="0"/>
        <v>7.6428571428571432</v>
      </c>
      <c r="U17" s="27">
        <f t="shared" si="1"/>
        <v>57.321428571428577</v>
      </c>
      <c r="V17" s="36"/>
      <c r="W17" s="35"/>
    </row>
    <row r="18" spans="1:24" ht="15" customHeight="1" x14ac:dyDescent="0.25">
      <c r="A18" s="33"/>
      <c r="B18" s="36"/>
      <c r="C18" s="25" t="s">
        <v>14</v>
      </c>
      <c r="D18" s="25">
        <v>8</v>
      </c>
      <c r="E18" s="9" t="s">
        <v>54</v>
      </c>
      <c r="F18" s="10">
        <v>6</v>
      </c>
      <c r="G18" s="10">
        <v>6</v>
      </c>
      <c r="H18" s="10">
        <v>9</v>
      </c>
      <c r="I18" s="10">
        <v>10</v>
      </c>
      <c r="J18" s="10">
        <v>8</v>
      </c>
      <c r="K18" s="10">
        <v>8</v>
      </c>
      <c r="L18" s="10">
        <v>6</v>
      </c>
      <c r="M18" s="10">
        <v>6</v>
      </c>
      <c r="N18" s="10">
        <v>4</v>
      </c>
      <c r="O18" s="10">
        <v>8</v>
      </c>
      <c r="P18" s="10">
        <v>7</v>
      </c>
      <c r="Q18" s="10">
        <v>5</v>
      </c>
      <c r="R18" s="10">
        <v>9</v>
      </c>
      <c r="S18" s="10">
        <v>4</v>
      </c>
      <c r="T18" s="27">
        <f t="shared" si="0"/>
        <v>6.8571428571428568</v>
      </c>
      <c r="U18" s="27">
        <f t="shared" si="1"/>
        <v>51.428571428571423</v>
      </c>
      <c r="V18" s="36"/>
      <c r="W18" s="35"/>
    </row>
    <row r="19" spans="1:24" ht="15" customHeight="1" x14ac:dyDescent="0.25">
      <c r="A19" s="33"/>
      <c r="B19" s="36"/>
      <c r="C19" s="25" t="s">
        <v>14</v>
      </c>
      <c r="D19" s="25">
        <v>9</v>
      </c>
      <c r="E19" s="9" t="s">
        <v>56</v>
      </c>
      <c r="F19" s="10">
        <v>7</v>
      </c>
      <c r="G19" s="10">
        <v>6</v>
      </c>
      <c r="H19" s="10">
        <v>4</v>
      </c>
      <c r="I19" s="10">
        <v>9</v>
      </c>
      <c r="J19" s="10">
        <v>8</v>
      </c>
      <c r="K19" s="10">
        <v>8</v>
      </c>
      <c r="L19" s="10">
        <v>6</v>
      </c>
      <c r="M19" s="10">
        <v>6</v>
      </c>
      <c r="N19" s="10">
        <v>6</v>
      </c>
      <c r="O19" s="10">
        <v>7</v>
      </c>
      <c r="P19" s="10">
        <v>7</v>
      </c>
      <c r="Q19" s="10">
        <v>5</v>
      </c>
      <c r="R19" s="10">
        <v>10</v>
      </c>
      <c r="S19" s="10">
        <v>4</v>
      </c>
      <c r="T19" s="27">
        <f t="shared" si="0"/>
        <v>6.6428571428571432</v>
      </c>
      <c r="U19" s="27">
        <f t="shared" si="1"/>
        <v>49.821428571428577</v>
      </c>
      <c r="V19" s="36"/>
      <c r="W19" s="35"/>
    </row>
    <row r="20" spans="1:24" ht="15" customHeight="1" x14ac:dyDescent="0.25">
      <c r="A20" s="33"/>
      <c r="B20" s="36"/>
      <c r="C20" s="25" t="s">
        <v>14</v>
      </c>
      <c r="D20" s="25">
        <v>10</v>
      </c>
      <c r="E20" s="9" t="s">
        <v>53</v>
      </c>
      <c r="F20" s="10">
        <v>5</v>
      </c>
      <c r="G20" s="10">
        <v>5</v>
      </c>
      <c r="H20" s="10">
        <v>10</v>
      </c>
      <c r="I20" s="10">
        <v>7</v>
      </c>
      <c r="J20" s="10">
        <v>4</v>
      </c>
      <c r="K20" s="10">
        <v>6</v>
      </c>
      <c r="L20" s="10">
        <v>4</v>
      </c>
      <c r="M20" s="10">
        <v>4</v>
      </c>
      <c r="N20" s="10">
        <v>4</v>
      </c>
      <c r="O20" s="10">
        <v>4</v>
      </c>
      <c r="P20" s="10">
        <v>4</v>
      </c>
      <c r="Q20" s="10">
        <v>4</v>
      </c>
      <c r="R20" s="10">
        <v>4</v>
      </c>
      <c r="S20" s="10">
        <v>4</v>
      </c>
      <c r="T20" s="27">
        <f t="shared" si="0"/>
        <v>4.9285714285714288</v>
      </c>
      <c r="U20" s="27">
        <f t="shared" si="1"/>
        <v>36.964285714285715</v>
      </c>
      <c r="V20" s="36"/>
      <c r="W20" s="35"/>
    </row>
    <row r="21" spans="1:24" ht="15" customHeight="1" x14ac:dyDescent="0.25">
      <c r="A21" s="33"/>
      <c r="B21" s="36"/>
      <c r="C21" s="11"/>
      <c r="D21" s="11"/>
      <c r="E21" s="9" t="s">
        <v>20</v>
      </c>
      <c r="F21" s="24">
        <f>'Зведена 161'!F26</f>
        <v>10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6"/>
      <c r="U21" s="26"/>
      <c r="V21" s="36"/>
      <c r="W21" s="35"/>
      <c r="X21" s="14"/>
    </row>
    <row r="22" spans="1:24" ht="15" customHeight="1" x14ac:dyDescent="0.25">
      <c r="A22" s="33"/>
      <c r="B22" s="36"/>
      <c r="C22" s="11"/>
      <c r="D22" s="11"/>
      <c r="E22" s="9" t="s">
        <v>21</v>
      </c>
      <c r="F22" s="24">
        <f>'Зведена 161'!F27</f>
        <v>0</v>
      </c>
      <c r="G22" s="11"/>
      <c r="H22" s="17" t="s">
        <v>22</v>
      </c>
      <c r="I22" s="11"/>
      <c r="J22" s="11"/>
      <c r="K22" s="11"/>
      <c r="L22" s="11"/>
      <c r="M22" s="11"/>
      <c r="N22" s="11"/>
      <c r="O22" s="1" t="s">
        <v>49</v>
      </c>
      <c r="P22" s="11"/>
      <c r="Q22" s="11"/>
      <c r="R22" s="11"/>
      <c r="S22" s="11"/>
      <c r="T22" s="11"/>
      <c r="U22" s="11"/>
      <c r="V22" s="36"/>
      <c r="W22" s="35"/>
    </row>
    <row r="23" spans="1:24" ht="15" customHeight="1" x14ac:dyDescent="0.25">
      <c r="A23" s="33"/>
      <c r="B23" s="36"/>
      <c r="C23" s="11"/>
      <c r="D23" s="11"/>
      <c r="E23" s="9" t="s">
        <v>23</v>
      </c>
      <c r="F23" s="24">
        <f>'Зведена 161'!F28</f>
        <v>2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36"/>
      <c r="W23" s="35"/>
    </row>
    <row r="24" spans="1:24" ht="15" customHeight="1" x14ac:dyDescent="0.25">
      <c r="A24" s="33"/>
      <c r="B24" s="36"/>
      <c r="C24" s="11"/>
      <c r="D24" s="11"/>
      <c r="E24" s="9" t="s">
        <v>24</v>
      </c>
      <c r="F24" s="24">
        <f>'Зведена 161'!F29</f>
        <v>4</v>
      </c>
      <c r="G24" s="11"/>
      <c r="H24" s="17" t="s">
        <v>25</v>
      </c>
      <c r="I24" s="11"/>
      <c r="J24" s="11"/>
      <c r="K24" s="11"/>
      <c r="L24" s="11"/>
      <c r="M24" s="11"/>
      <c r="N24" s="11"/>
      <c r="O24" s="17" t="s">
        <v>26</v>
      </c>
      <c r="P24" s="11"/>
      <c r="Q24" s="11"/>
      <c r="R24" s="11"/>
      <c r="S24" s="11"/>
      <c r="T24" s="11"/>
      <c r="U24" s="11"/>
      <c r="V24" s="36"/>
      <c r="W24" s="35"/>
    </row>
    <row r="25" spans="1:24" ht="12" customHeight="1" thickBot="1" x14ac:dyDescent="0.3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</row>
    <row r="26" spans="1:24" ht="12" customHeight="1" x14ac:dyDescent="0.25"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</sheetData>
  <sheetProtection selectLockedCells="1"/>
  <sortState ref="C11:U20">
    <sortCondition descending="1" ref="T11:T20"/>
  </sortState>
  <mergeCells count="18">
    <mergeCell ref="B26:V26"/>
    <mergeCell ref="C7:U7"/>
    <mergeCell ref="C8:U8"/>
    <mergeCell ref="C9:C10"/>
    <mergeCell ref="D9:D10"/>
    <mergeCell ref="E9:E10"/>
    <mergeCell ref="F9:U9"/>
    <mergeCell ref="B1:V1"/>
    <mergeCell ref="A2:A25"/>
    <mergeCell ref="B2:V2"/>
    <mergeCell ref="W2:W25"/>
    <mergeCell ref="B3:B24"/>
    <mergeCell ref="C3:U3"/>
    <mergeCell ref="V3:V24"/>
    <mergeCell ref="C4:U4"/>
    <mergeCell ref="C5:U5"/>
    <mergeCell ref="C6:U6"/>
    <mergeCell ref="B25:V25"/>
  </mergeCells>
  <conditionalFormatting sqref="U11:U20">
    <cfRule type="expression" dxfId="87" priority="5">
      <formula>$V$20&lt;&gt;""</formula>
    </cfRule>
  </conditionalFormatting>
  <conditionalFormatting sqref="C11:S11 F12:S20 D13 D15 D17 D19">
    <cfRule type="expression" dxfId="86" priority="6">
      <formula>$V$11&lt;&gt;""</formula>
    </cfRule>
  </conditionalFormatting>
  <conditionalFormatting sqref="C12:E12 D14 D16 D18 D20">
    <cfRule type="expression" dxfId="85" priority="7">
      <formula>$V$12&lt;&gt;""</formula>
    </cfRule>
  </conditionalFormatting>
  <conditionalFormatting sqref="C13 E13">
    <cfRule type="expression" dxfId="84" priority="8">
      <formula>$V$13&lt;&gt;""</formula>
    </cfRule>
  </conditionalFormatting>
  <conditionalFormatting sqref="C14 E14">
    <cfRule type="expression" dxfId="83" priority="9">
      <formula>$V$14&lt;&gt;""</formula>
    </cfRule>
  </conditionalFormatting>
  <conditionalFormatting sqref="C15 E15">
    <cfRule type="expression" dxfId="82" priority="10">
      <formula>$V$15&lt;&gt;""</formula>
    </cfRule>
  </conditionalFormatting>
  <conditionalFormatting sqref="C16 E16">
    <cfRule type="expression" dxfId="81" priority="11">
      <formula>$V$16&lt;&gt;""</formula>
    </cfRule>
  </conditionalFormatting>
  <conditionalFormatting sqref="C17 E17">
    <cfRule type="expression" dxfId="80" priority="12">
      <formula>$V$17&lt;&gt;""</formula>
    </cfRule>
  </conditionalFormatting>
  <conditionalFormatting sqref="C18 E18">
    <cfRule type="expression" dxfId="79" priority="13">
      <formula>$V$18&lt;&gt;""</formula>
    </cfRule>
  </conditionalFormatting>
  <conditionalFormatting sqref="C19 E19">
    <cfRule type="expression" dxfId="78" priority="14">
      <formula>$V$19&lt;&gt;""</formula>
    </cfRule>
  </conditionalFormatting>
  <conditionalFormatting sqref="C20 E20">
    <cfRule type="expression" dxfId="77" priority="3">
      <formula>#REF!&lt;&gt;""</formula>
    </cfRule>
  </conditionalFormatting>
  <conditionalFormatting sqref="T11:T20">
    <cfRule type="expression" dxfId="76" priority="2">
      <formula>$V$20&lt;&gt;""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F23"/>
  <sheetViews>
    <sheetView zoomScaleNormal="100" workbookViewId="0">
      <selection activeCell="E11" sqref="E11:S12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3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3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</row>
    <row r="3" spans="1:23" s="5" customFormat="1" ht="15" customHeight="1" x14ac:dyDescent="0.25">
      <c r="A3" s="33"/>
      <c r="B3" s="36"/>
      <c r="C3" s="36" t="s">
        <v>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5"/>
    </row>
    <row r="4" spans="1:23" s="5" customFormat="1" ht="15" customHeight="1" x14ac:dyDescent="0.25">
      <c r="A4" s="33"/>
      <c r="B4" s="36"/>
      <c r="C4" s="36" t="s">
        <v>1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5"/>
    </row>
    <row r="5" spans="1:23" s="6" customFormat="1" ht="15" customHeight="1" x14ac:dyDescent="0.25">
      <c r="A5" s="33"/>
      <c r="B5" s="36"/>
      <c r="C5" s="37" t="s">
        <v>27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6"/>
      <c r="V5" s="35"/>
    </row>
    <row r="6" spans="1:23" s="5" customFormat="1" ht="15" customHeight="1" x14ac:dyDescent="0.25">
      <c r="A6" s="33"/>
      <c r="B6" s="36"/>
      <c r="C6" s="38" t="s">
        <v>66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6"/>
      <c r="V6" s="35"/>
    </row>
    <row r="7" spans="1:23" s="5" customFormat="1" ht="15" customHeight="1" x14ac:dyDescent="0.25">
      <c r="A7" s="33"/>
      <c r="B7" s="36"/>
      <c r="C7" s="38" t="s">
        <v>28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6"/>
      <c r="V7" s="35"/>
    </row>
    <row r="8" spans="1:23" s="5" customFormat="1" ht="15" customHeight="1" x14ac:dyDescent="0.25">
      <c r="A8" s="33"/>
      <c r="B8" s="36"/>
      <c r="C8" s="36" t="s">
        <v>48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5"/>
    </row>
    <row r="9" spans="1:23" ht="15" customHeight="1" x14ac:dyDescent="0.25">
      <c r="A9" s="33"/>
      <c r="B9" s="36"/>
      <c r="C9" s="40" t="s">
        <v>2</v>
      </c>
      <c r="D9" s="42" t="s">
        <v>3</v>
      </c>
      <c r="E9" s="42" t="s">
        <v>4</v>
      </c>
      <c r="F9" s="41" t="s">
        <v>31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36"/>
      <c r="V9" s="35"/>
    </row>
    <row r="10" spans="1:23" ht="125.1" customHeight="1" x14ac:dyDescent="0.25">
      <c r="A10" s="33"/>
      <c r="B10" s="36"/>
      <c r="C10" s="41"/>
      <c r="D10" s="41"/>
      <c r="E10" s="41"/>
      <c r="F10" s="18" t="s">
        <v>5</v>
      </c>
      <c r="G10" s="18" t="s">
        <v>6</v>
      </c>
      <c r="H10" s="18" t="s">
        <v>7</v>
      </c>
      <c r="I10" s="18" t="s">
        <v>29</v>
      </c>
      <c r="J10" s="18" t="s">
        <v>30</v>
      </c>
      <c r="K10" s="18" t="s">
        <v>32</v>
      </c>
      <c r="L10" s="18" t="s">
        <v>8</v>
      </c>
      <c r="M10" s="18" t="s">
        <v>9</v>
      </c>
      <c r="N10" s="18" t="s">
        <v>35</v>
      </c>
      <c r="O10" s="18" t="s">
        <v>33</v>
      </c>
      <c r="P10" s="18" t="s">
        <v>34</v>
      </c>
      <c r="Q10" s="18" t="s">
        <v>10</v>
      </c>
      <c r="R10" s="18" t="s">
        <v>36</v>
      </c>
      <c r="S10" s="18" t="s">
        <v>11</v>
      </c>
      <c r="T10" s="7" t="s">
        <v>12</v>
      </c>
      <c r="U10" s="36"/>
      <c r="V10" s="35"/>
    </row>
    <row r="11" spans="1:23" ht="15" customHeight="1" x14ac:dyDescent="0.25">
      <c r="A11" s="33"/>
      <c r="B11" s="36"/>
      <c r="C11" s="25" t="s">
        <v>13</v>
      </c>
      <c r="D11" s="25">
        <v>1</v>
      </c>
      <c r="E11" s="9" t="s">
        <v>67</v>
      </c>
      <c r="F11" s="10">
        <v>8</v>
      </c>
      <c r="G11" s="10">
        <v>8</v>
      </c>
      <c r="H11" s="10">
        <v>7</v>
      </c>
      <c r="I11" s="10">
        <v>10</v>
      </c>
      <c r="J11" s="10">
        <v>7</v>
      </c>
      <c r="K11" s="10">
        <v>10</v>
      </c>
      <c r="L11" s="10">
        <v>7</v>
      </c>
      <c r="M11" s="10">
        <v>7</v>
      </c>
      <c r="N11" s="10">
        <v>7</v>
      </c>
      <c r="O11" s="10">
        <v>7</v>
      </c>
      <c r="P11" s="10">
        <v>7</v>
      </c>
      <c r="Q11" s="10">
        <v>8</v>
      </c>
      <c r="R11" s="10">
        <v>9</v>
      </c>
      <c r="S11" s="10">
        <v>5</v>
      </c>
      <c r="T11" s="2">
        <f t="shared" ref="T11:T12" si="0">IF(COUNTIF(F11:S11,"=*")&gt;0,"-",IF(COUNTIF(F11:S11,"&lt;4")&gt;0,"-",(IFERROR(AVERAGE(F11:S11),""))))</f>
        <v>7.6428571428571432</v>
      </c>
      <c r="U11" s="36"/>
      <c r="V11" s="35"/>
    </row>
    <row r="12" spans="1:23" ht="15" customHeight="1" x14ac:dyDescent="0.25">
      <c r="A12" s="33"/>
      <c r="B12" s="36"/>
      <c r="C12" s="25" t="s">
        <v>13</v>
      </c>
      <c r="D12" s="25">
        <v>2</v>
      </c>
      <c r="E12" s="9" t="s">
        <v>68</v>
      </c>
      <c r="F12" s="10">
        <v>8</v>
      </c>
      <c r="G12" s="10">
        <v>8</v>
      </c>
      <c r="H12" s="10">
        <v>4</v>
      </c>
      <c r="I12" s="10">
        <v>9</v>
      </c>
      <c r="J12" s="10">
        <v>4</v>
      </c>
      <c r="K12" s="10">
        <v>8</v>
      </c>
      <c r="L12" s="10">
        <v>4</v>
      </c>
      <c r="M12" s="10">
        <v>4</v>
      </c>
      <c r="N12" s="10">
        <v>4</v>
      </c>
      <c r="O12" s="10">
        <v>4</v>
      </c>
      <c r="P12" s="10">
        <v>4</v>
      </c>
      <c r="Q12" s="10">
        <v>4</v>
      </c>
      <c r="R12" s="10">
        <v>5</v>
      </c>
      <c r="S12" s="10">
        <v>4</v>
      </c>
      <c r="T12" s="2">
        <f t="shared" si="0"/>
        <v>5.2857142857142856</v>
      </c>
      <c r="U12" s="36"/>
      <c r="V12" s="35"/>
    </row>
    <row r="13" spans="1:23" ht="15" customHeight="1" x14ac:dyDescent="0.25">
      <c r="A13" s="33"/>
      <c r="B13" s="36"/>
      <c r="C13" s="11"/>
      <c r="D13" s="11"/>
      <c r="E13" s="9" t="s">
        <v>15</v>
      </c>
      <c r="F13" s="3">
        <f>IF(SUM(F11:F12)=0,"",SUM(F11:F12)/$D12)</f>
        <v>8</v>
      </c>
      <c r="G13" s="3">
        <f t="shared" ref="G13:S13" si="1">IF(SUM(G11:G12)=0,"",SUM(G11:G12)/$D12)</f>
        <v>8</v>
      </c>
      <c r="H13" s="3">
        <f t="shared" si="1"/>
        <v>5.5</v>
      </c>
      <c r="I13" s="3">
        <f t="shared" si="1"/>
        <v>9.5</v>
      </c>
      <c r="J13" s="3">
        <f t="shared" si="1"/>
        <v>5.5</v>
      </c>
      <c r="K13" s="3">
        <f t="shared" si="1"/>
        <v>9</v>
      </c>
      <c r="L13" s="3">
        <f t="shared" si="1"/>
        <v>5.5</v>
      </c>
      <c r="M13" s="3">
        <f t="shared" si="1"/>
        <v>5.5</v>
      </c>
      <c r="N13" s="3">
        <f t="shared" si="1"/>
        <v>5.5</v>
      </c>
      <c r="O13" s="3">
        <f t="shared" si="1"/>
        <v>5.5</v>
      </c>
      <c r="P13" s="3">
        <f t="shared" si="1"/>
        <v>5.5</v>
      </c>
      <c r="Q13" s="3">
        <f t="shared" si="1"/>
        <v>6</v>
      </c>
      <c r="R13" s="3">
        <f t="shared" si="1"/>
        <v>7</v>
      </c>
      <c r="S13" s="3">
        <f t="shared" si="1"/>
        <v>4.5</v>
      </c>
      <c r="T13" s="2">
        <f>IFERROR(AVERAGE(F13:S13),"")</f>
        <v>6.4642857142857144</v>
      </c>
      <c r="U13" s="36"/>
      <c r="V13" s="35"/>
    </row>
    <row r="14" spans="1:23" ht="15" customHeight="1" x14ac:dyDescent="0.25">
      <c r="A14" s="33"/>
      <c r="B14" s="36"/>
      <c r="C14" s="11"/>
      <c r="D14" s="11"/>
      <c r="E14" s="9" t="s">
        <v>16</v>
      </c>
      <c r="F14" s="12">
        <f>IF(SUM(F11:F12)=0,"",IF(COUNTIF(F11:F12,"&gt;=4")=0,0,COUNTIF(F11:F12,"&gt;=4")/$D12*100))</f>
        <v>100</v>
      </c>
      <c r="G14" s="12">
        <f t="shared" ref="G14:S14" si="2">IF(SUM(G11:G12)=0,"",IF(COUNTIF(G11:G12,"&gt;=4")=0,0,COUNTIF(G11:G12,"&gt;=4")/$D12*100))</f>
        <v>100</v>
      </c>
      <c r="H14" s="12">
        <f t="shared" si="2"/>
        <v>100</v>
      </c>
      <c r="I14" s="12">
        <f t="shared" si="2"/>
        <v>100</v>
      </c>
      <c r="J14" s="12">
        <f t="shared" si="2"/>
        <v>100</v>
      </c>
      <c r="K14" s="12">
        <f t="shared" si="2"/>
        <v>100</v>
      </c>
      <c r="L14" s="12">
        <f t="shared" si="2"/>
        <v>100</v>
      </c>
      <c r="M14" s="12">
        <f t="shared" si="2"/>
        <v>100</v>
      </c>
      <c r="N14" s="12">
        <f t="shared" si="2"/>
        <v>100</v>
      </c>
      <c r="O14" s="12">
        <f t="shared" si="2"/>
        <v>100</v>
      </c>
      <c r="P14" s="12">
        <f t="shared" si="2"/>
        <v>100</v>
      </c>
      <c r="Q14" s="12">
        <f t="shared" si="2"/>
        <v>100</v>
      </c>
      <c r="R14" s="12">
        <f t="shared" si="2"/>
        <v>100</v>
      </c>
      <c r="S14" s="12">
        <f t="shared" si="2"/>
        <v>100</v>
      </c>
      <c r="T14" s="13"/>
      <c r="U14" s="36"/>
      <c r="V14" s="35"/>
      <c r="W14" s="14"/>
    </row>
    <row r="15" spans="1:23" ht="15" customHeight="1" x14ac:dyDescent="0.25">
      <c r="A15" s="33"/>
      <c r="B15" s="36"/>
      <c r="C15" s="11"/>
      <c r="D15" s="11"/>
      <c r="E15" s="9" t="s">
        <v>17</v>
      </c>
      <c r="F15" s="12">
        <f>IF(SUM(F11:F12)=0,"",IF(COUNTIF(F11:F12,"&gt;=7")=0,0,COUNTIF(F11:F12,"&gt;=7")/$D12*100))</f>
        <v>100</v>
      </c>
      <c r="G15" s="12">
        <f t="shared" ref="G15:S15" si="3">IF(SUM(G11:G12)=0,"",IF(COUNTIF(G11:G12,"&gt;=7")=0,0,COUNTIF(G11:G12,"&gt;=7")/$D12*100))</f>
        <v>100</v>
      </c>
      <c r="H15" s="12">
        <f t="shared" si="3"/>
        <v>50</v>
      </c>
      <c r="I15" s="12">
        <f t="shared" si="3"/>
        <v>100</v>
      </c>
      <c r="J15" s="12">
        <f t="shared" si="3"/>
        <v>50</v>
      </c>
      <c r="K15" s="12">
        <f t="shared" si="3"/>
        <v>100</v>
      </c>
      <c r="L15" s="12">
        <f t="shared" si="3"/>
        <v>50</v>
      </c>
      <c r="M15" s="12">
        <f t="shared" si="3"/>
        <v>50</v>
      </c>
      <c r="N15" s="12">
        <f t="shared" si="3"/>
        <v>50</v>
      </c>
      <c r="O15" s="12">
        <f t="shared" si="3"/>
        <v>50</v>
      </c>
      <c r="P15" s="12">
        <f t="shared" si="3"/>
        <v>50</v>
      </c>
      <c r="Q15" s="12">
        <f t="shared" si="3"/>
        <v>50</v>
      </c>
      <c r="R15" s="12">
        <f t="shared" si="3"/>
        <v>50</v>
      </c>
      <c r="S15" s="12">
        <f t="shared" si="3"/>
        <v>0</v>
      </c>
      <c r="T15" s="26"/>
      <c r="U15" s="36"/>
      <c r="V15" s="35"/>
      <c r="W15" s="14"/>
    </row>
    <row r="16" spans="1:23" ht="15" customHeight="1" x14ac:dyDescent="0.25">
      <c r="A16" s="33"/>
      <c r="B16" s="36"/>
      <c r="C16" s="11"/>
      <c r="D16" s="11"/>
      <c r="E16" s="9" t="s">
        <v>18</v>
      </c>
      <c r="F16" s="3">
        <f>IFERROR(AVERAGE(F14:S14),"")</f>
        <v>100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6"/>
      <c r="U16" s="36"/>
      <c r="V16" s="35"/>
      <c r="W16" s="14"/>
    </row>
    <row r="17" spans="1:23" ht="15" customHeight="1" x14ac:dyDescent="0.25">
      <c r="A17" s="33"/>
      <c r="B17" s="36"/>
      <c r="C17" s="11"/>
      <c r="D17" s="11"/>
      <c r="E17" s="9" t="s">
        <v>19</v>
      </c>
      <c r="F17" s="3">
        <f>IFERROR(AVERAGE(F15:S15),"")</f>
        <v>60.714285714285715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6"/>
      <c r="U17" s="36"/>
      <c r="V17" s="35"/>
      <c r="W17" s="14"/>
    </row>
    <row r="18" spans="1:23" ht="15" customHeight="1" x14ac:dyDescent="0.25">
      <c r="A18" s="33"/>
      <c r="B18" s="36"/>
      <c r="C18" s="11"/>
      <c r="D18" s="11"/>
      <c r="E18" s="9" t="s">
        <v>20</v>
      </c>
      <c r="F18" s="24">
        <f>IF(COUNTIF(C11:C12,"=Б")=0,IF(COUNTIF(C11:C12,"=К")=0,"",0),COUNTIF(C11:C12,"=Б"))</f>
        <v>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26"/>
      <c r="U18" s="36"/>
      <c r="V18" s="35"/>
      <c r="W18" s="14"/>
    </row>
    <row r="19" spans="1:23" ht="15" customHeight="1" x14ac:dyDescent="0.25">
      <c r="A19" s="33"/>
      <c r="B19" s="36"/>
      <c r="C19" s="11"/>
      <c r="D19" s="11"/>
      <c r="E19" s="9" t="s">
        <v>21</v>
      </c>
      <c r="F19" s="24">
        <f>IF(COUNTIF(C11:C12,"=К")=0,IF(COUNTIF(C11:C12,"=Б")=0,"",0),COUNTIF(C11:C12,"=К"))</f>
        <v>2</v>
      </c>
      <c r="G19" s="11"/>
      <c r="H19" s="17" t="s">
        <v>22</v>
      </c>
      <c r="I19" s="11"/>
      <c r="J19" s="11"/>
      <c r="K19" s="11"/>
      <c r="L19" s="11"/>
      <c r="M19" s="11"/>
      <c r="N19" s="11"/>
      <c r="O19" s="1" t="s">
        <v>49</v>
      </c>
      <c r="P19" s="11"/>
      <c r="Q19" s="11"/>
      <c r="R19" s="11"/>
      <c r="S19" s="11"/>
      <c r="T19" s="11"/>
      <c r="U19" s="36"/>
      <c r="V19" s="35"/>
    </row>
    <row r="20" spans="1:23" ht="15" customHeight="1" x14ac:dyDescent="0.25">
      <c r="A20" s="33"/>
      <c r="B20" s="36"/>
      <c r="C20" s="11"/>
      <c r="D20" s="11"/>
      <c r="E20" s="9" t="s">
        <v>23</v>
      </c>
      <c r="F20" s="2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36"/>
      <c r="V20" s="35"/>
    </row>
    <row r="21" spans="1:23" ht="15" customHeight="1" x14ac:dyDescent="0.25">
      <c r="A21" s="33"/>
      <c r="B21" s="36"/>
      <c r="C21" s="11"/>
      <c r="D21" s="11"/>
      <c r="E21" s="9" t="s">
        <v>24</v>
      </c>
      <c r="F21" s="24"/>
      <c r="G21" s="11"/>
      <c r="H21" s="17" t="s">
        <v>25</v>
      </c>
      <c r="I21" s="11"/>
      <c r="J21" s="11"/>
      <c r="K21" s="11"/>
      <c r="L21" s="11"/>
      <c r="M21" s="11"/>
      <c r="N21" s="11"/>
      <c r="O21" s="17" t="s">
        <v>26</v>
      </c>
      <c r="P21" s="11"/>
      <c r="Q21" s="11"/>
      <c r="R21" s="11"/>
      <c r="S21" s="11"/>
      <c r="T21" s="11"/>
      <c r="U21" s="36"/>
      <c r="V21" s="35"/>
    </row>
    <row r="22" spans="1:23" ht="12" customHeight="1" thickBot="1" x14ac:dyDescent="0.3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5"/>
    </row>
    <row r="23" spans="1:23" ht="12" customHeight="1" x14ac:dyDescent="0.25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</row>
  </sheetData>
  <sheetProtection selectLockedCells="1"/>
  <mergeCells count="18">
    <mergeCell ref="B23:U23"/>
    <mergeCell ref="C7:T7"/>
    <mergeCell ref="C8:T8"/>
    <mergeCell ref="C9:C10"/>
    <mergeCell ref="D9:D10"/>
    <mergeCell ref="E9:E10"/>
    <mergeCell ref="F9:T9"/>
    <mergeCell ref="B1:U1"/>
    <mergeCell ref="A2:A22"/>
    <mergeCell ref="B2:U2"/>
    <mergeCell ref="V2:V22"/>
    <mergeCell ref="B3:B21"/>
    <mergeCell ref="C3:T3"/>
    <mergeCell ref="U3:U21"/>
    <mergeCell ref="C4:T4"/>
    <mergeCell ref="C5:T5"/>
    <mergeCell ref="C6:T6"/>
    <mergeCell ref="B22:U22"/>
  </mergeCells>
  <conditionalFormatting sqref="T12">
    <cfRule type="expression" dxfId="75" priority="5">
      <formula>$U$12&lt;&gt;""</formula>
    </cfRule>
  </conditionalFormatting>
  <conditionalFormatting sqref="F12:S12">
    <cfRule type="expression" dxfId="74" priority="6">
      <formula>#REF!&lt;&gt;""</formula>
    </cfRule>
  </conditionalFormatting>
  <conditionalFormatting sqref="C12:E12">
    <cfRule type="expression" dxfId="73" priority="4">
      <formula>#REF!&lt;&gt;""</formula>
    </cfRule>
  </conditionalFormatting>
  <conditionalFormatting sqref="T11">
    <cfRule type="expression" dxfId="72" priority="2">
      <formula>$U$12&lt;&gt;""</formula>
    </cfRule>
  </conditionalFormatting>
  <conditionalFormatting sqref="F11:S11">
    <cfRule type="expression" dxfId="71" priority="3">
      <formula>#REF!&lt;&gt;""</formula>
    </cfRule>
  </conditionalFormatting>
  <conditionalFormatting sqref="C11:E11">
    <cfRule type="expression" dxfId="70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F25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3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3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</row>
    <row r="3" spans="1:23" s="5" customFormat="1" ht="15" customHeight="1" x14ac:dyDescent="0.25">
      <c r="A3" s="33"/>
      <c r="B3" s="36"/>
      <c r="C3" s="36" t="s">
        <v>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5"/>
    </row>
    <row r="4" spans="1:23" s="5" customFormat="1" ht="15" customHeight="1" x14ac:dyDescent="0.25">
      <c r="A4" s="33"/>
      <c r="B4" s="36"/>
      <c r="C4" s="36" t="s">
        <v>1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5"/>
    </row>
    <row r="5" spans="1:23" s="6" customFormat="1" ht="15" customHeight="1" x14ac:dyDescent="0.25">
      <c r="A5" s="33"/>
      <c r="B5" s="36"/>
      <c r="C5" s="37" t="s">
        <v>27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6"/>
      <c r="V5" s="35"/>
    </row>
    <row r="6" spans="1:23" s="5" customFormat="1" ht="15" customHeight="1" x14ac:dyDescent="0.25">
      <c r="A6" s="33"/>
      <c r="B6" s="36"/>
      <c r="C6" s="38" t="s">
        <v>69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6"/>
      <c r="V6" s="35"/>
    </row>
    <row r="7" spans="1:23" s="5" customFormat="1" ht="15" customHeight="1" x14ac:dyDescent="0.25">
      <c r="A7" s="33"/>
      <c r="B7" s="36"/>
      <c r="C7" s="38" t="s">
        <v>28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6"/>
      <c r="V7" s="35"/>
    </row>
    <row r="8" spans="1:23" s="5" customFormat="1" ht="15" customHeight="1" x14ac:dyDescent="0.25">
      <c r="A8" s="33"/>
      <c r="B8" s="36"/>
      <c r="C8" s="36" t="s">
        <v>48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5"/>
    </row>
    <row r="9" spans="1:23" ht="15" customHeight="1" x14ac:dyDescent="0.25">
      <c r="A9" s="33"/>
      <c r="B9" s="36"/>
      <c r="C9" s="40" t="s">
        <v>2</v>
      </c>
      <c r="D9" s="42" t="s">
        <v>3</v>
      </c>
      <c r="E9" s="42" t="s">
        <v>4</v>
      </c>
      <c r="F9" s="41" t="s">
        <v>31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36"/>
      <c r="V9" s="35"/>
    </row>
    <row r="10" spans="1:23" ht="125.1" customHeight="1" x14ac:dyDescent="0.25">
      <c r="A10" s="33"/>
      <c r="B10" s="36"/>
      <c r="C10" s="41"/>
      <c r="D10" s="41"/>
      <c r="E10" s="41"/>
      <c r="F10" s="18" t="s">
        <v>5</v>
      </c>
      <c r="G10" s="18" t="s">
        <v>6</v>
      </c>
      <c r="H10" s="18" t="s">
        <v>7</v>
      </c>
      <c r="I10" s="18" t="s">
        <v>29</v>
      </c>
      <c r="J10" s="18" t="s">
        <v>30</v>
      </c>
      <c r="K10" s="18" t="s">
        <v>32</v>
      </c>
      <c r="L10" s="18" t="s">
        <v>8</v>
      </c>
      <c r="M10" s="18" t="s">
        <v>9</v>
      </c>
      <c r="N10" s="18" t="s">
        <v>35</v>
      </c>
      <c r="O10" s="18" t="s">
        <v>33</v>
      </c>
      <c r="P10" s="18" t="s">
        <v>34</v>
      </c>
      <c r="Q10" s="18" t="s">
        <v>10</v>
      </c>
      <c r="R10" s="18" t="s">
        <v>36</v>
      </c>
      <c r="S10" s="18" t="s">
        <v>11</v>
      </c>
      <c r="T10" s="7" t="s">
        <v>12</v>
      </c>
      <c r="U10" s="36"/>
      <c r="V10" s="35"/>
    </row>
    <row r="11" spans="1:23" ht="15" customHeight="1" x14ac:dyDescent="0.25">
      <c r="A11" s="33"/>
      <c r="B11" s="36"/>
      <c r="C11" s="25" t="s">
        <v>13</v>
      </c>
      <c r="D11" s="25">
        <v>1</v>
      </c>
      <c r="E11" s="9" t="s">
        <v>70</v>
      </c>
      <c r="F11" s="10">
        <v>7</v>
      </c>
      <c r="G11" s="10">
        <v>5</v>
      </c>
      <c r="H11" s="10">
        <v>8</v>
      </c>
      <c r="I11" s="10">
        <v>9</v>
      </c>
      <c r="J11" s="10">
        <v>5</v>
      </c>
      <c r="K11" s="10">
        <v>9</v>
      </c>
      <c r="L11" s="10">
        <v>8</v>
      </c>
      <c r="M11" s="10">
        <v>6</v>
      </c>
      <c r="N11" s="10">
        <v>4</v>
      </c>
      <c r="O11" s="10">
        <v>6</v>
      </c>
      <c r="P11" s="10">
        <v>6</v>
      </c>
      <c r="Q11" s="10">
        <v>4</v>
      </c>
      <c r="R11" s="10">
        <v>4</v>
      </c>
      <c r="S11" s="10">
        <v>4</v>
      </c>
      <c r="T11" s="2">
        <f t="shared" ref="T11:T14" si="0">IF(COUNTIF(F11:S11,"=*")&gt;0,"-",IF(COUNTIF(F11:S11,"&lt;4")&gt;0,"-",(IFERROR(AVERAGE(F11:S11),""))))</f>
        <v>6.0714285714285712</v>
      </c>
      <c r="U11" s="36"/>
      <c r="V11" s="35"/>
    </row>
    <row r="12" spans="1:23" ht="15" customHeight="1" x14ac:dyDescent="0.25">
      <c r="A12" s="33"/>
      <c r="B12" s="36"/>
      <c r="C12" s="25" t="s">
        <v>13</v>
      </c>
      <c r="D12" s="25">
        <v>2</v>
      </c>
      <c r="E12" s="9" t="s">
        <v>71</v>
      </c>
      <c r="F12" s="10">
        <v>5</v>
      </c>
      <c r="G12" s="10">
        <v>5</v>
      </c>
      <c r="H12" s="10">
        <v>4</v>
      </c>
      <c r="I12" s="10">
        <v>5</v>
      </c>
      <c r="J12" s="10">
        <v>4</v>
      </c>
      <c r="K12" s="10">
        <v>5</v>
      </c>
      <c r="L12" s="10">
        <v>4</v>
      </c>
      <c r="M12" s="10" t="s">
        <v>63</v>
      </c>
      <c r="N12" s="10" t="s">
        <v>72</v>
      </c>
      <c r="O12" s="10">
        <v>4</v>
      </c>
      <c r="P12" s="10">
        <v>4</v>
      </c>
      <c r="Q12" s="10">
        <v>4</v>
      </c>
      <c r="R12" s="10">
        <v>4</v>
      </c>
      <c r="S12" s="10">
        <v>4</v>
      </c>
      <c r="T12" s="2" t="str">
        <f t="shared" si="0"/>
        <v>-</v>
      </c>
      <c r="U12" s="36"/>
      <c r="V12" s="35"/>
    </row>
    <row r="13" spans="1:23" ht="15" customHeight="1" x14ac:dyDescent="0.25">
      <c r="A13" s="33"/>
      <c r="B13" s="36"/>
      <c r="C13" s="25" t="s">
        <v>13</v>
      </c>
      <c r="D13" s="25">
        <v>3</v>
      </c>
      <c r="E13" s="9" t="s">
        <v>73</v>
      </c>
      <c r="F13" s="10">
        <v>8</v>
      </c>
      <c r="G13" s="10">
        <v>9</v>
      </c>
      <c r="H13" s="10">
        <v>9</v>
      </c>
      <c r="I13" s="10">
        <v>8</v>
      </c>
      <c r="J13" s="10">
        <v>10</v>
      </c>
      <c r="K13" s="10">
        <v>8</v>
      </c>
      <c r="L13" s="10">
        <v>7</v>
      </c>
      <c r="M13" s="10">
        <v>9</v>
      </c>
      <c r="N13" s="10">
        <v>6</v>
      </c>
      <c r="O13" s="10">
        <v>8</v>
      </c>
      <c r="P13" s="10">
        <v>7</v>
      </c>
      <c r="Q13" s="10">
        <v>7</v>
      </c>
      <c r="R13" s="10">
        <v>10</v>
      </c>
      <c r="S13" s="10">
        <v>7</v>
      </c>
      <c r="T13" s="2">
        <f t="shared" si="0"/>
        <v>8.0714285714285712</v>
      </c>
      <c r="U13" s="36"/>
      <c r="V13" s="35"/>
    </row>
    <row r="14" spans="1:23" ht="15" customHeight="1" x14ac:dyDescent="0.25">
      <c r="A14" s="33"/>
      <c r="B14" s="36"/>
      <c r="C14" s="25" t="s">
        <v>13</v>
      </c>
      <c r="D14" s="25">
        <v>4</v>
      </c>
      <c r="E14" s="9" t="s">
        <v>74</v>
      </c>
      <c r="F14" s="10">
        <v>9</v>
      </c>
      <c r="G14" s="10">
        <v>8</v>
      </c>
      <c r="H14" s="10">
        <v>9</v>
      </c>
      <c r="I14" s="10">
        <v>9</v>
      </c>
      <c r="J14" s="10">
        <v>9</v>
      </c>
      <c r="K14" s="10">
        <v>9</v>
      </c>
      <c r="L14" s="10">
        <v>11</v>
      </c>
      <c r="M14" s="10">
        <v>8</v>
      </c>
      <c r="N14" s="10">
        <v>8</v>
      </c>
      <c r="O14" s="10">
        <v>10</v>
      </c>
      <c r="P14" s="10">
        <v>8</v>
      </c>
      <c r="Q14" s="10">
        <v>8</v>
      </c>
      <c r="R14" s="10">
        <v>11</v>
      </c>
      <c r="S14" s="10">
        <v>7</v>
      </c>
      <c r="T14" s="2">
        <f t="shared" si="0"/>
        <v>8.8571428571428577</v>
      </c>
      <c r="U14" s="36"/>
      <c r="V14" s="35"/>
    </row>
    <row r="15" spans="1:23" ht="15" customHeight="1" x14ac:dyDescent="0.25">
      <c r="A15" s="33"/>
      <c r="B15" s="36"/>
      <c r="C15" s="11"/>
      <c r="D15" s="11"/>
      <c r="E15" s="9" t="s">
        <v>15</v>
      </c>
      <c r="F15" s="3">
        <f>IF(SUM(F11:F14)=0,"",SUM(F11:F14)/D14)</f>
        <v>7.25</v>
      </c>
      <c r="G15" s="3">
        <f>IF(SUM(G11:G14)=0,"",SUM(G11:G14)/D14)</f>
        <v>6.75</v>
      </c>
      <c r="H15" s="3">
        <f>IF(SUM(H11:H14)=0,"",SUM(H11:H14)/D14)</f>
        <v>7.5</v>
      </c>
      <c r="I15" s="3">
        <f>IF(SUM(I11:I14)=0,"",SUM(I11:I14)/D14)</f>
        <v>7.75</v>
      </c>
      <c r="J15" s="3">
        <f>IF(SUM(J11:J14)=0,"",SUM(J11:J14)/D14)</f>
        <v>7</v>
      </c>
      <c r="K15" s="3">
        <f>IF(SUM(K11:K14)=0,"",SUM(K11:K14)/D14)</f>
        <v>7.75</v>
      </c>
      <c r="L15" s="3">
        <f>IF(SUM(L11:L14)=0,"",SUM(L11:L14)/D14)</f>
        <v>7.5</v>
      </c>
      <c r="M15" s="3">
        <f>IF(SUM(M11:M14)=0,"",SUM(M11:M14)/D14)</f>
        <v>5.75</v>
      </c>
      <c r="N15" s="3">
        <f>IF(SUM(N11:N14)=0,"",SUM(N11:N14)/D14)</f>
        <v>4.5</v>
      </c>
      <c r="O15" s="3">
        <f>IF(SUM(O11:O14)=0,"",SUM(O11:O14)/D14)</f>
        <v>7</v>
      </c>
      <c r="P15" s="3">
        <f>IF(SUM(P11:P14)=0,"",SUM(P11:P14)/D14)</f>
        <v>6.25</v>
      </c>
      <c r="Q15" s="3">
        <f>IF(SUM(Q11:Q14)=0,"",SUM(Q11:Q14)/D14)</f>
        <v>5.75</v>
      </c>
      <c r="R15" s="3">
        <f>IF(SUM(R11:R14)=0,"",SUM(R11:R14)/D14)</f>
        <v>7.25</v>
      </c>
      <c r="S15" s="3">
        <f>IF(SUM(S11:S14)=0,"",SUM(S11:S14)/D14)</f>
        <v>5.5</v>
      </c>
      <c r="T15" s="2">
        <f>IFERROR(AVERAGE(F15:S15),"")</f>
        <v>6.6785714285714288</v>
      </c>
      <c r="U15" s="36"/>
      <c r="V15" s="35"/>
    </row>
    <row r="16" spans="1:23" ht="15" customHeight="1" x14ac:dyDescent="0.25">
      <c r="A16" s="33"/>
      <c r="B16" s="36"/>
      <c r="C16" s="11"/>
      <c r="D16" s="11"/>
      <c r="E16" s="9" t="s">
        <v>16</v>
      </c>
      <c r="F16" s="12">
        <f>IF(SUM(F11:F14)=0,"",IF(COUNTIF(F11:F14,"&gt;=4")=0,0,COUNTIF(F11:F14,"&gt;=4")/D14*100))</f>
        <v>100</v>
      </c>
      <c r="G16" s="12">
        <f>IF(SUM(G11:G14)=0,"",IF(COUNTIF(G11:G14,"&gt;=4")=0,0,COUNTIF(G11:G14,"&gt;=4")/D14*100))</f>
        <v>100</v>
      </c>
      <c r="H16" s="12">
        <f>IF(SUM(H11:H14)=0,"",IF(COUNTIF(H11:H14,"&gt;=4")=0,0,COUNTIF(H11:H14,"&gt;=4")/D14*100))</f>
        <v>100</v>
      </c>
      <c r="I16" s="12">
        <f>IF(SUM(I11:I14)=0,"",IF(COUNTIF(I11:I14,"&gt;=4")=0,0,COUNTIF(I11:I14,"&gt;=4")/D14*100))</f>
        <v>100</v>
      </c>
      <c r="J16" s="12">
        <f>IF(SUM(J11:J14)=0,"",IF(COUNTIF(J11:J14,"&gt;=4")=0,0,COUNTIF(J11:J14,"&gt;=4")/D14*100))</f>
        <v>100</v>
      </c>
      <c r="K16" s="12">
        <f>IF(SUM(K11:K14)=0,"",IF(COUNTIF(K11:K14,"&gt;=4")=0,0,COUNTIF(K11:K14,"&gt;=4")/D14*100))</f>
        <v>100</v>
      </c>
      <c r="L16" s="12">
        <f>IF(SUM(L11:L14)=0,"",IF(COUNTIF(L11:L14,"&gt;=4")=0,0,COUNTIF(L11:L14,"&gt;=4")/D14*100))</f>
        <v>100</v>
      </c>
      <c r="M16" s="12">
        <f>IF(SUM(M11:M14)=0,"",IF(COUNTIF(M11:M14,"&gt;=4")=0,0,COUNTIF(M11:M14,"&gt;=4")/D14*100))</f>
        <v>75</v>
      </c>
      <c r="N16" s="12">
        <f>IF(SUM(N11:N14)=0,"",IF(COUNTIF(N11:N14,"&gt;=4")=0,0,COUNTIF(N11:N14,"&gt;=4")/D14*100))</f>
        <v>75</v>
      </c>
      <c r="O16" s="12">
        <f>IF(SUM(O11:O14)=0,"",IF(COUNTIF(O11:O14,"&gt;=4")=0,0,COUNTIF(O11:O14,"&gt;=4")/D14*100))</f>
        <v>100</v>
      </c>
      <c r="P16" s="12">
        <f>IF(SUM(P11:P14)=0,"",IF(COUNTIF(P11:P14,"&gt;=4")=0,0,COUNTIF(P11:P14,"&gt;=4")/D14*100))</f>
        <v>100</v>
      </c>
      <c r="Q16" s="12">
        <f>IF(SUM(Q11:Q14)=0,"",IF(COUNTIF(Q11:Q14,"&gt;=4")=0,0,COUNTIF(Q11:Q14,"&gt;=4")/D14*100))</f>
        <v>100</v>
      </c>
      <c r="R16" s="12">
        <f>IF(SUM(R11:R14)=0,"",IF(COUNTIF(R11:R14,"&gt;=4")=0,0,COUNTIF(R11:R14,"&gt;=4")/D14*100))</f>
        <v>100</v>
      </c>
      <c r="S16" s="12">
        <f>IF(SUM(S11:S14)=0,"",IF(COUNTIF(S11:S14,"&gt;=4")=0,0,COUNTIF(S11:S14,"&gt;=4")/D14*100))</f>
        <v>100</v>
      </c>
      <c r="T16" s="13"/>
      <c r="U16" s="36"/>
      <c r="V16" s="35"/>
      <c r="W16" s="14"/>
    </row>
    <row r="17" spans="1:23" ht="15" customHeight="1" x14ac:dyDescent="0.25">
      <c r="A17" s="33"/>
      <c r="B17" s="36"/>
      <c r="C17" s="11"/>
      <c r="D17" s="11"/>
      <c r="E17" s="9" t="s">
        <v>17</v>
      </c>
      <c r="F17" s="12">
        <f>IF(SUM(F11:F14)=0,"",IF(COUNTIF(F11:F14,"&gt;=7")=0,0,COUNTIF(F11:F14,"&gt;=7")/D14*100))</f>
        <v>75</v>
      </c>
      <c r="G17" s="12">
        <f>IF(SUM(G11:G14)=0,"",IF(COUNTIF(G11:G14,"&gt;=7")=0,0,COUNTIF(G11:G14,"&gt;=7")/D14*100))</f>
        <v>50</v>
      </c>
      <c r="H17" s="12">
        <f>IF(SUM(H11:H14)=0,"",IF(COUNTIF(H11:H14,"&gt;=7")=0,0,COUNTIF(H11:H14,"&gt;=7")/D14*100))</f>
        <v>75</v>
      </c>
      <c r="I17" s="12">
        <f>IF(SUM(I11:I14)=0,"",IF(COUNTIF(I11:I14,"&gt;=7")=0,0,COUNTIF(I11:I14,"&gt;=7")/D14*100))</f>
        <v>75</v>
      </c>
      <c r="J17" s="12">
        <f>IF(SUM(J11:J14)=0,"",IF(COUNTIF(J11:J14,"&gt;=7")=0,0,COUNTIF(J11:J14,"&gt;=7")/D14*100))</f>
        <v>50</v>
      </c>
      <c r="K17" s="12">
        <f>IF(SUM(K11:K14)=0,"",IF(COUNTIF(K11:K14,"&gt;=7")=0,0,COUNTIF(K11:K14,"&gt;=7")/D14*100))</f>
        <v>75</v>
      </c>
      <c r="L17" s="12">
        <f>IF(SUM(L11:L14)=0,"",IF(COUNTIF(L11:L14,"&gt;=7")=0,0,COUNTIF(L11:L14,"&gt;=7")/D14*100))</f>
        <v>75</v>
      </c>
      <c r="M17" s="12">
        <f>IF(SUM(M11:M14)=0,"",IF(COUNTIF(M11:M14,"&gt;=7")=0,0,COUNTIF(M11:M14,"&gt;=7")/D14*100))</f>
        <v>50</v>
      </c>
      <c r="N17" s="12">
        <f>IF(SUM(N11:N14)=0,"",IF(COUNTIF(N11:N14,"&gt;=7")=0,0,COUNTIF(N11:N14,"&gt;=7")/D14*100))</f>
        <v>25</v>
      </c>
      <c r="O17" s="12">
        <f>IF(SUM(O11:O14)=0,"",IF(COUNTIF(O11:O14,"&gt;=7")=0,0,COUNTIF(O11:O14,"&gt;=7")/D14*100))</f>
        <v>50</v>
      </c>
      <c r="P17" s="12">
        <f>IF(SUM(P11:P14)=0,"",IF(COUNTIF(P11:P14,"&gt;=7")=0,0,COUNTIF(P11:P14,"&gt;=7")/D14*100))</f>
        <v>50</v>
      </c>
      <c r="Q17" s="12">
        <f>IF(SUM(Q11:Q14)=0,"",IF(COUNTIF(Q11:Q14,"&gt;=7")=0,0,COUNTIF(Q11:Q14,"&gt;=7")/D14*100))</f>
        <v>50</v>
      </c>
      <c r="R17" s="12">
        <f>IF(SUM(R11:R14)=0,"",IF(COUNTIF(R11:R14,"&gt;=7")=0,0,COUNTIF(R11:R14,"&gt;=7")/D14*100))</f>
        <v>50</v>
      </c>
      <c r="S17" s="12">
        <f>IF(SUM(S11:S14)=0,"",IF(COUNTIF(S11:S14,"&gt;=7")=0,0,COUNTIF(S11:S14,"&gt;=7")/D14*100))</f>
        <v>50</v>
      </c>
      <c r="T17" s="26"/>
      <c r="U17" s="36"/>
      <c r="V17" s="35"/>
      <c r="W17" s="14"/>
    </row>
    <row r="18" spans="1:23" ht="15" customHeight="1" x14ac:dyDescent="0.25">
      <c r="A18" s="33"/>
      <c r="B18" s="36"/>
      <c r="C18" s="11"/>
      <c r="D18" s="11"/>
      <c r="E18" s="9" t="s">
        <v>18</v>
      </c>
      <c r="F18" s="3">
        <f>IFERROR(AVERAGE(F16:S16),"")</f>
        <v>96.428571428571431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26"/>
      <c r="U18" s="36"/>
      <c r="V18" s="35"/>
      <c r="W18" s="14"/>
    </row>
    <row r="19" spans="1:23" ht="15" customHeight="1" x14ac:dyDescent="0.25">
      <c r="A19" s="33"/>
      <c r="B19" s="36"/>
      <c r="C19" s="11"/>
      <c r="D19" s="11"/>
      <c r="E19" s="9" t="s">
        <v>19</v>
      </c>
      <c r="F19" s="3">
        <f>IFERROR(AVERAGE(F17:S17),"")</f>
        <v>57.142857142857146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26"/>
      <c r="U19" s="36"/>
      <c r="V19" s="35"/>
      <c r="W19" s="14"/>
    </row>
    <row r="20" spans="1:23" ht="15" customHeight="1" x14ac:dyDescent="0.25">
      <c r="A20" s="33"/>
      <c r="B20" s="36"/>
      <c r="C20" s="11"/>
      <c r="D20" s="11"/>
      <c r="E20" s="9" t="s">
        <v>20</v>
      </c>
      <c r="F20" s="24">
        <f>IF(COUNTIF(C11:C14,"=Б")=0,IF(COUNTIF(C11:C14,"=К")=0,"",0),COUNTIF(C11:C14,"=Б"))</f>
        <v>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6"/>
      <c r="U20" s="36"/>
      <c r="V20" s="35"/>
      <c r="W20" s="14"/>
    </row>
    <row r="21" spans="1:23" ht="15" customHeight="1" x14ac:dyDescent="0.25">
      <c r="A21" s="33"/>
      <c r="B21" s="36"/>
      <c r="C21" s="11"/>
      <c r="D21" s="11"/>
      <c r="E21" s="9" t="s">
        <v>21</v>
      </c>
      <c r="F21" s="24">
        <f>IF(COUNTIF(C11:C14,"=К")=0,IF(COUNTIF(C11:C14,"=Б")=0,"",0),COUNTIF(C11:C14,"=К"))</f>
        <v>4</v>
      </c>
      <c r="G21" s="11"/>
      <c r="H21" s="17" t="s">
        <v>22</v>
      </c>
      <c r="I21" s="11"/>
      <c r="J21" s="11"/>
      <c r="K21" s="11"/>
      <c r="L21" s="11"/>
      <c r="M21" s="11"/>
      <c r="N21" s="11"/>
      <c r="O21" s="1" t="s">
        <v>49</v>
      </c>
      <c r="P21" s="11"/>
      <c r="Q21" s="11"/>
      <c r="R21" s="11"/>
      <c r="S21" s="11"/>
      <c r="T21" s="11"/>
      <c r="U21" s="36"/>
      <c r="V21" s="35"/>
    </row>
    <row r="22" spans="1:23" ht="15" customHeight="1" x14ac:dyDescent="0.25">
      <c r="A22" s="33"/>
      <c r="B22" s="36"/>
      <c r="C22" s="11"/>
      <c r="D22" s="11"/>
      <c r="E22" s="9" t="s">
        <v>23</v>
      </c>
      <c r="F22" s="2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36"/>
      <c r="V22" s="35"/>
    </row>
    <row r="23" spans="1:23" ht="15" customHeight="1" x14ac:dyDescent="0.25">
      <c r="A23" s="33"/>
      <c r="B23" s="36"/>
      <c r="C23" s="11"/>
      <c r="D23" s="11"/>
      <c r="E23" s="9" t="s">
        <v>24</v>
      </c>
      <c r="F23" s="24"/>
      <c r="G23" s="11"/>
      <c r="H23" s="17" t="s">
        <v>25</v>
      </c>
      <c r="I23" s="11"/>
      <c r="J23" s="11"/>
      <c r="K23" s="11"/>
      <c r="L23" s="11"/>
      <c r="M23" s="11"/>
      <c r="N23" s="11"/>
      <c r="O23" s="17" t="s">
        <v>26</v>
      </c>
      <c r="P23" s="11"/>
      <c r="Q23" s="11"/>
      <c r="R23" s="11"/>
      <c r="S23" s="11"/>
      <c r="T23" s="11"/>
      <c r="U23" s="36"/>
      <c r="V23" s="35"/>
    </row>
    <row r="24" spans="1:23" ht="12" customHeight="1" thickBot="1" x14ac:dyDescent="0.3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</row>
    <row r="25" spans="1:23" ht="12" customHeight="1" x14ac:dyDescent="0.25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</row>
  </sheetData>
  <sheetProtection selectLockedCells="1"/>
  <mergeCells count="18">
    <mergeCell ref="B25:U25"/>
    <mergeCell ref="C7:T7"/>
    <mergeCell ref="C8:T8"/>
    <mergeCell ref="C9:C10"/>
    <mergeCell ref="D9:D10"/>
    <mergeCell ref="E9:E10"/>
    <mergeCell ref="F9:T9"/>
    <mergeCell ref="B1:U1"/>
    <mergeCell ref="A2:A24"/>
    <mergeCell ref="B2:U2"/>
    <mergeCell ref="V2:V24"/>
    <mergeCell ref="B3:B23"/>
    <mergeCell ref="C3:T3"/>
    <mergeCell ref="U3:U23"/>
    <mergeCell ref="C4:T4"/>
    <mergeCell ref="C5:T5"/>
    <mergeCell ref="C6:T6"/>
    <mergeCell ref="B24:U24"/>
  </mergeCells>
  <conditionalFormatting sqref="T11:T13">
    <cfRule type="expression" dxfId="69" priority="3">
      <formula>$U$14&lt;&gt;""</formula>
    </cfRule>
  </conditionalFormatting>
  <conditionalFormatting sqref="C11:S11 F12:S14">
    <cfRule type="expression" dxfId="68" priority="4">
      <formula>$U$11&lt;&gt;""</formula>
    </cfRule>
  </conditionalFormatting>
  <conditionalFormatting sqref="C12:E12">
    <cfRule type="expression" dxfId="67" priority="5">
      <formula>$U$12&lt;&gt;""</formula>
    </cfRule>
  </conditionalFormatting>
  <conditionalFormatting sqref="C13:E13">
    <cfRule type="expression" dxfId="66" priority="6">
      <formula>$U$13&lt;&gt;""</formula>
    </cfRule>
  </conditionalFormatting>
  <conditionalFormatting sqref="T14">
    <cfRule type="expression" dxfId="65" priority="2">
      <formula>$U$14&lt;&gt;""</formula>
    </cfRule>
  </conditionalFormatting>
  <conditionalFormatting sqref="C14:E14">
    <cfRule type="expression" dxfId="64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F23"/>
  <sheetViews>
    <sheetView zoomScaleNormal="100" workbookViewId="0">
      <selection activeCell="E11" sqref="E11:S12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3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3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</row>
    <row r="3" spans="1:23" s="5" customFormat="1" ht="15" customHeight="1" x14ac:dyDescent="0.25">
      <c r="A3" s="33"/>
      <c r="B3" s="36"/>
      <c r="C3" s="36" t="s">
        <v>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5"/>
    </row>
    <row r="4" spans="1:23" s="5" customFormat="1" ht="15" customHeight="1" x14ac:dyDescent="0.25">
      <c r="A4" s="33"/>
      <c r="B4" s="36"/>
      <c r="C4" s="36" t="s">
        <v>1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5"/>
    </row>
    <row r="5" spans="1:23" s="6" customFormat="1" ht="15" customHeight="1" x14ac:dyDescent="0.25">
      <c r="A5" s="33"/>
      <c r="B5" s="36"/>
      <c r="C5" s="37" t="s">
        <v>27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6"/>
      <c r="V5" s="35"/>
    </row>
    <row r="6" spans="1:23" s="5" customFormat="1" ht="15" customHeight="1" x14ac:dyDescent="0.25">
      <c r="A6" s="33"/>
      <c r="B6" s="36"/>
      <c r="C6" s="38" t="s">
        <v>75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6"/>
      <c r="V6" s="35"/>
    </row>
    <row r="7" spans="1:23" s="5" customFormat="1" ht="15" customHeight="1" x14ac:dyDescent="0.25">
      <c r="A7" s="33"/>
      <c r="B7" s="36"/>
      <c r="C7" s="38" t="s">
        <v>28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6"/>
      <c r="V7" s="35"/>
    </row>
    <row r="8" spans="1:23" s="5" customFormat="1" ht="15" customHeight="1" x14ac:dyDescent="0.25">
      <c r="A8" s="33"/>
      <c r="B8" s="36"/>
      <c r="C8" s="36" t="s">
        <v>48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5"/>
    </row>
    <row r="9" spans="1:23" ht="15" customHeight="1" x14ac:dyDescent="0.25">
      <c r="A9" s="33"/>
      <c r="B9" s="36"/>
      <c r="C9" s="40" t="s">
        <v>2</v>
      </c>
      <c r="D9" s="42" t="s">
        <v>3</v>
      </c>
      <c r="E9" s="42" t="s">
        <v>4</v>
      </c>
      <c r="F9" s="41" t="s">
        <v>31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36"/>
      <c r="V9" s="35"/>
    </row>
    <row r="10" spans="1:23" ht="125.1" customHeight="1" x14ac:dyDescent="0.25">
      <c r="A10" s="33"/>
      <c r="B10" s="36"/>
      <c r="C10" s="41"/>
      <c r="D10" s="41"/>
      <c r="E10" s="41"/>
      <c r="F10" s="18" t="s">
        <v>5</v>
      </c>
      <c r="G10" s="18" t="s">
        <v>6</v>
      </c>
      <c r="H10" s="18" t="s">
        <v>7</v>
      </c>
      <c r="I10" s="18" t="s">
        <v>29</v>
      </c>
      <c r="J10" s="18" t="s">
        <v>30</v>
      </c>
      <c r="K10" s="18" t="s">
        <v>32</v>
      </c>
      <c r="L10" s="18" t="s">
        <v>8</v>
      </c>
      <c r="M10" s="18" t="s">
        <v>9</v>
      </c>
      <c r="N10" s="18" t="s">
        <v>35</v>
      </c>
      <c r="O10" s="18" t="s">
        <v>33</v>
      </c>
      <c r="P10" s="18" t="s">
        <v>34</v>
      </c>
      <c r="Q10" s="18" t="s">
        <v>10</v>
      </c>
      <c r="R10" s="18" t="s">
        <v>36</v>
      </c>
      <c r="S10" s="18" t="s">
        <v>11</v>
      </c>
      <c r="T10" s="7" t="s">
        <v>12</v>
      </c>
      <c r="U10" s="36"/>
      <c r="V10" s="35"/>
    </row>
    <row r="11" spans="1:23" ht="15" customHeight="1" x14ac:dyDescent="0.25">
      <c r="A11" s="33"/>
      <c r="B11" s="36"/>
      <c r="C11" s="25" t="s">
        <v>13</v>
      </c>
      <c r="D11" s="25">
        <v>1</v>
      </c>
      <c r="E11" s="9" t="s">
        <v>76</v>
      </c>
      <c r="F11" s="10">
        <v>8</v>
      </c>
      <c r="G11" s="10">
        <v>7</v>
      </c>
      <c r="H11" s="10">
        <v>8</v>
      </c>
      <c r="I11" s="10">
        <v>9</v>
      </c>
      <c r="J11" s="10">
        <v>5</v>
      </c>
      <c r="K11" s="10">
        <v>10</v>
      </c>
      <c r="L11" s="10">
        <v>4</v>
      </c>
      <c r="M11" s="10">
        <v>6</v>
      </c>
      <c r="N11" s="10">
        <v>4</v>
      </c>
      <c r="O11" s="10">
        <v>6</v>
      </c>
      <c r="P11" s="10">
        <v>4</v>
      </c>
      <c r="Q11" s="10">
        <v>3</v>
      </c>
      <c r="R11" s="10">
        <v>7</v>
      </c>
      <c r="S11" s="10">
        <v>4</v>
      </c>
      <c r="T11" s="2">
        <f>AVERAGE(F11:S11)</f>
        <v>6.0714285714285712</v>
      </c>
      <c r="U11" s="36"/>
      <c r="V11" s="35"/>
    </row>
    <row r="12" spans="1:23" ht="15" customHeight="1" x14ac:dyDescent="0.25">
      <c r="A12" s="33"/>
      <c r="B12" s="36"/>
      <c r="C12" s="25" t="s">
        <v>13</v>
      </c>
      <c r="D12" s="25">
        <v>2</v>
      </c>
      <c r="E12" s="9" t="s">
        <v>77</v>
      </c>
      <c r="F12" s="10">
        <v>5</v>
      </c>
      <c r="G12" s="10">
        <v>7</v>
      </c>
      <c r="H12" s="10">
        <v>9</v>
      </c>
      <c r="I12" s="10">
        <v>10</v>
      </c>
      <c r="J12" s="10">
        <v>5</v>
      </c>
      <c r="K12" s="10">
        <v>10</v>
      </c>
      <c r="L12" s="10">
        <v>4</v>
      </c>
      <c r="M12" s="10">
        <v>6</v>
      </c>
      <c r="N12" s="10">
        <v>4</v>
      </c>
      <c r="O12" s="10">
        <v>7</v>
      </c>
      <c r="P12" s="10">
        <v>4</v>
      </c>
      <c r="Q12" s="10" t="s">
        <v>72</v>
      </c>
      <c r="R12" s="10">
        <v>5</v>
      </c>
      <c r="S12" s="10">
        <v>4</v>
      </c>
      <c r="T12" s="2" t="str">
        <f t="shared" ref="T12" si="0">IF(COUNTIF(F12:S12,"=*")&gt;0,"-",IF(COUNTIF(F12:S12,"&lt;4")&gt;0,"-",(IFERROR(AVERAGE(F12:S12),""))))</f>
        <v>-</v>
      </c>
      <c r="U12" s="36"/>
      <c r="V12" s="35"/>
    </row>
    <row r="13" spans="1:23" ht="15" customHeight="1" x14ac:dyDescent="0.25">
      <c r="A13" s="33"/>
      <c r="B13" s="36"/>
      <c r="C13" s="11"/>
      <c r="D13" s="11"/>
      <c r="E13" s="9" t="s">
        <v>15</v>
      </c>
      <c r="F13" s="3">
        <f>IF(SUM(F11:F12)=0,"",SUM(F11:F12)/D12)</f>
        <v>6.5</v>
      </c>
      <c r="G13" s="3">
        <f>IF(SUM(G11:G12)=0,"",SUM(G11:G12)/D12)</f>
        <v>7</v>
      </c>
      <c r="H13" s="3">
        <f>IF(SUM(H11:H12)=0,"",SUM(H11:H12)/D12)</f>
        <v>8.5</v>
      </c>
      <c r="I13" s="3">
        <f>IF(SUM(I11:I12)=0,"",SUM(I11:I12)/D12)</f>
        <v>9.5</v>
      </c>
      <c r="J13" s="3">
        <f>IF(SUM(J11:J12)=0,"",SUM(J11:J12)/D12)</f>
        <v>5</v>
      </c>
      <c r="K13" s="3">
        <f>IF(SUM(K11:K12)=0,"",SUM(K11:K12)/D12)</f>
        <v>10</v>
      </c>
      <c r="L13" s="3">
        <f>IF(SUM(L11:L12)=0,"",SUM(L11:L12)/D12)</f>
        <v>4</v>
      </c>
      <c r="M13" s="3">
        <f>IF(SUM(M11:M12)=0,"",SUM(M11:M12)/D12)</f>
        <v>6</v>
      </c>
      <c r="N13" s="3">
        <f>IF(SUM(N11:N12)=0,"",SUM(N11:N12)/D12)</f>
        <v>4</v>
      </c>
      <c r="O13" s="3">
        <f>IF(SUM(O11:O12)=0,"",SUM(O11:O12)/D12)</f>
        <v>6.5</v>
      </c>
      <c r="P13" s="3">
        <f>IF(SUM(P11:P12)=0,"",SUM(P11:P12)/D12)</f>
        <v>4</v>
      </c>
      <c r="Q13" s="3">
        <f>IF(SUM(Q11:Q12)=0,"",SUM(Q11:Q12)/D12)</f>
        <v>1.5</v>
      </c>
      <c r="R13" s="3">
        <f>IF(SUM(R11:R12)=0,"",SUM(R11:R12)/D12)</f>
        <v>6</v>
      </c>
      <c r="S13" s="3">
        <f>IF(SUM(S11:S12)=0,"",SUM(S11:S12)/D12)</f>
        <v>4</v>
      </c>
      <c r="T13" s="2">
        <f>IFERROR(AVERAGE(F13:S13),"")</f>
        <v>5.8928571428571432</v>
      </c>
      <c r="U13" s="36"/>
      <c r="V13" s="35"/>
    </row>
    <row r="14" spans="1:23" ht="15" customHeight="1" x14ac:dyDescent="0.25">
      <c r="A14" s="33"/>
      <c r="B14" s="36"/>
      <c r="C14" s="11"/>
      <c r="D14" s="11"/>
      <c r="E14" s="9" t="s">
        <v>16</v>
      </c>
      <c r="F14" s="12">
        <f>IF(SUM(F11:F12)=0,"",IF(COUNTIF(F11:F12,"&gt;=4")=0,0,COUNTIF(F11:F12,"&gt;=4")/D12*100))</f>
        <v>100</v>
      </c>
      <c r="G14" s="12">
        <f>IF(SUM(G11:G12)=0,"",IF(COUNTIF(G11:G12,"&gt;=4")=0,0,COUNTIF(G11:G12,"&gt;=4")/D12*100))</f>
        <v>100</v>
      </c>
      <c r="H14" s="12">
        <f>IF(SUM(H11:H12)=0,"",IF(COUNTIF(H11:H12,"&gt;=4")=0,0,COUNTIF(H11:H12,"&gt;=4")/D12*100))</f>
        <v>100</v>
      </c>
      <c r="I14" s="12">
        <f>IF(SUM(I11:I12)=0,"",IF(COUNTIF(I11:I12,"&gt;=4")=0,0,COUNTIF(I11:I12,"&gt;=4")/D12*100))</f>
        <v>100</v>
      </c>
      <c r="J14" s="12">
        <f>IF(SUM(J11:J12)=0,"",IF(COUNTIF(J11:J12,"&gt;=4")=0,0,COUNTIF(J11:J12,"&gt;=4")/D12*100))</f>
        <v>100</v>
      </c>
      <c r="K14" s="12">
        <f>IF(SUM(K11:K12)=0,"",IF(COUNTIF(K11:K12,"&gt;=4")=0,0,COUNTIF(K11:K12,"&gt;=4")/D12*100))</f>
        <v>100</v>
      </c>
      <c r="L14" s="12">
        <f>IF(SUM(L11:L12)=0,"",IF(COUNTIF(L11:L12,"&gt;=4")=0,0,COUNTIF(L11:L12,"&gt;=4")/D12*100))</f>
        <v>100</v>
      </c>
      <c r="M14" s="12">
        <f>IF(SUM(M11:M12)=0,"",IF(COUNTIF(M11:M12,"&gt;=4")=0,0,COUNTIF(M11:M12,"&gt;=4")/D12*100))</f>
        <v>100</v>
      </c>
      <c r="N14" s="12">
        <f>IF(SUM(N11:N12)=0,"",IF(COUNTIF(N11:N12,"&gt;=4")=0,0,COUNTIF(N11:N12,"&gt;=4")/D12*100))</f>
        <v>100</v>
      </c>
      <c r="O14" s="12">
        <f>IF(SUM(O11:O12)=0,"",IF(COUNTIF(O11:O12,"&gt;=4")=0,0,COUNTIF(O11:O12,"&gt;=4")/D12*100))</f>
        <v>100</v>
      </c>
      <c r="P14" s="12">
        <f>IF(SUM(P11:P12)=0,"",IF(COUNTIF(P11:P12,"&gt;=4")=0,0,COUNTIF(P11:P12,"&gt;=4")/D12*100))</f>
        <v>100</v>
      </c>
      <c r="Q14" s="12">
        <f>IF(SUM(Q11:Q12)=0,"",IF(COUNTIF(Q11:Q12,"&gt;=4")=0,0,COUNTIF(Q11:Q12,"&gt;=4")/D12*100))</f>
        <v>0</v>
      </c>
      <c r="R14" s="12">
        <f>IF(SUM(R11:R12)=0,"",IF(COUNTIF(R11:R12,"&gt;=4")=0,0,COUNTIF(R11:R12,"&gt;=4")/D12*100))</f>
        <v>100</v>
      </c>
      <c r="S14" s="12">
        <f>IF(SUM(S11:S12)=0,"",IF(COUNTIF(S11:S12,"&gt;=4")=0,0,COUNTIF(S11:S12,"&gt;=4")/D12*100))</f>
        <v>100</v>
      </c>
      <c r="T14" s="13"/>
      <c r="U14" s="36"/>
      <c r="V14" s="35"/>
      <c r="W14" s="14"/>
    </row>
    <row r="15" spans="1:23" ht="15" customHeight="1" x14ac:dyDescent="0.25">
      <c r="A15" s="33"/>
      <c r="B15" s="36"/>
      <c r="C15" s="11"/>
      <c r="D15" s="11"/>
      <c r="E15" s="9" t="s">
        <v>17</v>
      </c>
      <c r="F15" s="12">
        <f>IF(SUM(F11:F12)=0,"",IF(COUNTIF(F11:F12,"&gt;=7")=0,0,COUNTIF(F11:F12,"&gt;=7")/D12*100))</f>
        <v>50</v>
      </c>
      <c r="G15" s="12">
        <f>IF(SUM(G11:G12)=0,"",IF(COUNTIF(G11:G12,"&gt;=7")=0,0,COUNTIF(G11:G12,"&gt;=7")/D12*100))</f>
        <v>100</v>
      </c>
      <c r="H15" s="12">
        <f>IF(SUM(H11:H12)=0,"",IF(COUNTIF(H11:H12,"&gt;=7")=0,0,COUNTIF(H11:H12,"&gt;=7")/D12*100))</f>
        <v>100</v>
      </c>
      <c r="I15" s="12">
        <f>IF(SUM(I11:I12)=0,"",IF(COUNTIF(I11:I12,"&gt;=7")=0,0,COUNTIF(I11:I12,"&gt;=7")/D12*100))</f>
        <v>100</v>
      </c>
      <c r="J15" s="12">
        <f>IF(SUM(J11:J12)=0,"",IF(COUNTIF(J11:J12,"&gt;=7")=0,0,COUNTIF(J11:J12,"&gt;=7")/D12*100))</f>
        <v>0</v>
      </c>
      <c r="K15" s="12">
        <f>IF(SUM(K11:K12)=0,"",IF(COUNTIF(K11:K12,"&gt;=7")=0,0,COUNTIF(K11:K12,"&gt;=7")/D12*100))</f>
        <v>100</v>
      </c>
      <c r="L15" s="12">
        <f>IF(SUM(L11:L12)=0,"",IF(COUNTIF(L11:L12,"&gt;=7")=0,0,COUNTIF(L11:L12,"&gt;=7")/D12*100))</f>
        <v>0</v>
      </c>
      <c r="M15" s="12">
        <f>IF(SUM(M11:M12)=0,"",IF(COUNTIF(M11:M12,"&gt;=7")=0,0,COUNTIF(M11:M12,"&gt;=7")/D12*100))</f>
        <v>0</v>
      </c>
      <c r="N15" s="12">
        <f>IF(SUM(N11:N12)=0,"",IF(COUNTIF(N11:N12,"&gt;=7")=0,0,COUNTIF(N11:N12,"&gt;=7")/D12*100))</f>
        <v>0</v>
      </c>
      <c r="O15" s="12">
        <f>IF(SUM(O11:O12)=0,"",IF(COUNTIF(O11:O12,"&gt;=7")=0,0,COUNTIF(O11:O12,"&gt;=7")/D12*100))</f>
        <v>50</v>
      </c>
      <c r="P15" s="12">
        <f>IF(SUM(P11:P12)=0,"",IF(COUNTIF(P11:P12,"&gt;=7")=0,0,COUNTIF(P11:P12,"&gt;=7")/D12*100))</f>
        <v>0</v>
      </c>
      <c r="Q15" s="12">
        <f>IF(SUM(Q11:Q12)=0,"",IF(COUNTIF(Q11:Q12,"&gt;=7")=0,0,COUNTIF(Q11:Q12,"&gt;=7")/D12*100))</f>
        <v>0</v>
      </c>
      <c r="R15" s="12">
        <f>IF(SUM(R11:R12)=0,"",IF(COUNTIF(R11:R12,"&gt;=7")=0,0,COUNTIF(R11:R12,"&gt;=7")/D12*100))</f>
        <v>50</v>
      </c>
      <c r="S15" s="12">
        <f>IF(SUM(S11:S12)=0,"",IF(COUNTIF(S11:S12,"&gt;=7")=0,0,COUNTIF(S11:S12,"&gt;=7")/D12*100))</f>
        <v>0</v>
      </c>
      <c r="T15" s="26"/>
      <c r="U15" s="36"/>
      <c r="V15" s="35"/>
      <c r="W15" s="14"/>
    </row>
    <row r="16" spans="1:23" ht="15" customHeight="1" x14ac:dyDescent="0.25">
      <c r="A16" s="33"/>
      <c r="B16" s="36"/>
      <c r="C16" s="11"/>
      <c r="D16" s="11"/>
      <c r="E16" s="9" t="s">
        <v>18</v>
      </c>
      <c r="F16" s="3">
        <f>IFERROR(AVERAGE(F14:S14),"")</f>
        <v>92.857142857142861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6"/>
      <c r="U16" s="36"/>
      <c r="V16" s="35"/>
      <c r="W16" s="14"/>
    </row>
    <row r="17" spans="1:23" ht="15" customHeight="1" x14ac:dyDescent="0.25">
      <c r="A17" s="33"/>
      <c r="B17" s="36"/>
      <c r="C17" s="11"/>
      <c r="D17" s="11"/>
      <c r="E17" s="9" t="s">
        <v>19</v>
      </c>
      <c r="F17" s="3">
        <f>IFERROR(AVERAGE(F15:S15),"")</f>
        <v>39.285714285714285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6"/>
      <c r="U17" s="36"/>
      <c r="V17" s="35"/>
      <c r="W17" s="14"/>
    </row>
    <row r="18" spans="1:23" ht="15" customHeight="1" x14ac:dyDescent="0.25">
      <c r="A18" s="33"/>
      <c r="B18" s="36"/>
      <c r="C18" s="11"/>
      <c r="D18" s="11"/>
      <c r="E18" s="9" t="s">
        <v>20</v>
      </c>
      <c r="F18" s="24">
        <f>IF(COUNTIF(C11:C12,"=Б")=0,IF(COUNTIF(C11:C12,"=К")=0,"",0),COUNTIF(C11:C12,"=Б"))</f>
        <v>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26"/>
      <c r="U18" s="36"/>
      <c r="V18" s="35"/>
      <c r="W18" s="14"/>
    </row>
    <row r="19" spans="1:23" ht="15" customHeight="1" x14ac:dyDescent="0.25">
      <c r="A19" s="33"/>
      <c r="B19" s="36"/>
      <c r="C19" s="11"/>
      <c r="D19" s="11"/>
      <c r="E19" s="9" t="s">
        <v>21</v>
      </c>
      <c r="F19" s="24">
        <f>IF(COUNTIF(C11:C12,"=К")=0,IF(COUNTIF(C11:C12,"=Б")=0,"",0),COUNTIF(C11:C12,"=К"))</f>
        <v>2</v>
      </c>
      <c r="G19" s="11"/>
      <c r="H19" s="17" t="s">
        <v>22</v>
      </c>
      <c r="I19" s="11"/>
      <c r="J19" s="11"/>
      <c r="K19" s="11"/>
      <c r="L19" s="11"/>
      <c r="M19" s="11"/>
      <c r="N19" s="11"/>
      <c r="O19" s="1" t="s">
        <v>49</v>
      </c>
      <c r="P19" s="11"/>
      <c r="Q19" s="11"/>
      <c r="R19" s="11"/>
      <c r="S19" s="11"/>
      <c r="T19" s="11"/>
      <c r="U19" s="36"/>
      <c r="V19" s="35"/>
    </row>
    <row r="20" spans="1:23" ht="15" customHeight="1" x14ac:dyDescent="0.25">
      <c r="A20" s="33"/>
      <c r="B20" s="36"/>
      <c r="C20" s="11"/>
      <c r="D20" s="11"/>
      <c r="E20" s="9" t="s">
        <v>23</v>
      </c>
      <c r="F20" s="2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36"/>
      <c r="V20" s="35"/>
    </row>
    <row r="21" spans="1:23" ht="15" customHeight="1" x14ac:dyDescent="0.25">
      <c r="A21" s="33"/>
      <c r="B21" s="36"/>
      <c r="C21" s="11"/>
      <c r="D21" s="11"/>
      <c r="E21" s="9" t="s">
        <v>24</v>
      </c>
      <c r="F21" s="24"/>
      <c r="G21" s="11"/>
      <c r="H21" s="17" t="s">
        <v>25</v>
      </c>
      <c r="I21" s="11"/>
      <c r="J21" s="11"/>
      <c r="K21" s="11"/>
      <c r="L21" s="11"/>
      <c r="M21" s="11"/>
      <c r="N21" s="11"/>
      <c r="O21" s="17" t="s">
        <v>26</v>
      </c>
      <c r="P21" s="11"/>
      <c r="Q21" s="11"/>
      <c r="R21" s="11"/>
      <c r="S21" s="11"/>
      <c r="T21" s="11"/>
      <c r="U21" s="36"/>
      <c r="V21" s="35"/>
    </row>
    <row r="22" spans="1:23" ht="12" customHeight="1" thickBot="1" x14ac:dyDescent="0.3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5"/>
    </row>
    <row r="23" spans="1:23" ht="12" customHeight="1" x14ac:dyDescent="0.25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</row>
  </sheetData>
  <sheetProtection selectLockedCells="1"/>
  <mergeCells count="18">
    <mergeCell ref="B23:U23"/>
    <mergeCell ref="C7:T7"/>
    <mergeCell ref="C8:T8"/>
    <mergeCell ref="C9:C10"/>
    <mergeCell ref="D9:D10"/>
    <mergeCell ref="E9:E10"/>
    <mergeCell ref="F9:T9"/>
    <mergeCell ref="B1:U1"/>
    <mergeCell ref="A2:A22"/>
    <mergeCell ref="B2:U2"/>
    <mergeCell ref="V2:V22"/>
    <mergeCell ref="B3:B21"/>
    <mergeCell ref="C3:T3"/>
    <mergeCell ref="U3:U21"/>
    <mergeCell ref="C4:T4"/>
    <mergeCell ref="C5:T5"/>
    <mergeCell ref="C6:T6"/>
    <mergeCell ref="B22:U22"/>
  </mergeCells>
  <conditionalFormatting sqref="T11">
    <cfRule type="expression" dxfId="63" priority="3">
      <formula>$U$12&lt;&gt;""</formula>
    </cfRule>
  </conditionalFormatting>
  <conditionalFormatting sqref="C11:S11 F12:S12">
    <cfRule type="expression" dxfId="62" priority="4">
      <formula>$U$11&lt;&gt;""</formula>
    </cfRule>
  </conditionalFormatting>
  <conditionalFormatting sqref="T12">
    <cfRule type="expression" dxfId="61" priority="2">
      <formula>$U$12&lt;&gt;""</formula>
    </cfRule>
  </conditionalFormatting>
  <conditionalFormatting sqref="C12:E12">
    <cfRule type="expression" dxfId="60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7</vt:i4>
      </vt:variant>
    </vt:vector>
  </HeadingPairs>
  <TitlesOfParts>
    <vt:vector size="15" baseType="lpstr">
      <vt:lpstr>Зведена 101</vt:lpstr>
      <vt:lpstr>Лист1</vt:lpstr>
      <vt:lpstr>Рейтингова відомість 101</vt:lpstr>
      <vt:lpstr>Зведена 161</vt:lpstr>
      <vt:lpstr>Рейтингова відомість 161</vt:lpstr>
      <vt:lpstr>Зведена 172</vt:lpstr>
      <vt:lpstr>Зведена 181</vt:lpstr>
      <vt:lpstr>Зведена 241</vt:lpstr>
      <vt:lpstr>'Зведена 101'!Область_печати</vt:lpstr>
      <vt:lpstr>'Зведена 161'!Область_печати</vt:lpstr>
      <vt:lpstr>'Зведена 172'!Область_печати</vt:lpstr>
      <vt:lpstr>'Зведена 181'!Область_печати</vt:lpstr>
      <vt:lpstr>'Зведена 241'!Область_печати</vt:lpstr>
      <vt:lpstr>'Рейтингова відомість 101'!Область_печати</vt:lpstr>
      <vt:lpstr>'Рейтингова відомість 161'!Область_печати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BRITIKOVA_</cp:lastModifiedBy>
  <cp:revision/>
  <cp:lastPrinted>2023-05-09T12:08:03Z</cp:lastPrinted>
  <dcterms:created xsi:type="dcterms:W3CDTF">2006-09-28T05:33:49Z</dcterms:created>
  <dcterms:modified xsi:type="dcterms:W3CDTF">2024-01-25T10:24:39Z</dcterms:modified>
  <cp:category/>
  <cp:contentStatus/>
</cp:coreProperties>
</file>