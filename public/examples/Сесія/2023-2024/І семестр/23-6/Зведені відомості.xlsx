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codeName="ЭтаКнига"/>
  <bookViews>
    <workbookView xWindow="255" yWindow="0" windowWidth="18765" windowHeight="11760" tabRatio="865"/>
  </bookViews>
  <sheets>
    <sheet name="Зведена 101" sheetId="38" r:id="rId1"/>
    <sheet name="Зведена 161" sheetId="40" r:id="rId2"/>
  </sheets>
  <definedNames>
    <definedName name="A1048577" localSheetId="0">#REF!</definedName>
    <definedName name="A1048577" localSheetId="1">#REF!</definedName>
    <definedName name="A1048577">#REF!</definedName>
    <definedName name="_xlnm.Print_Area" localSheetId="0">'Зведена 101'!$B$2:$U$47</definedName>
    <definedName name="_xlnm.Print_Area" localSheetId="1">'Зведена 161'!$B$2:$U$29</definedName>
    <definedName name="Ф80" localSheetId="0">#REF!</definedName>
    <definedName name="Ф80" localSheetId="1">#REF!</definedName>
    <definedName name="Ф80">#REF!</definedName>
  </definedNames>
  <calcPr calcId="145621" calcMode="autoNoTable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1">
      <go:sheetsCustomData xmlns:go="http://customooxmlschemas.google.com/" r:id="" roundtripDataSignature="AMtx7mi/vqgVw2WeVD2CSZpRXBIyplAZAg=="/>
    </ext>
  </extLst>
</workbook>
</file>

<file path=xl/calcChain.xml><?xml version="1.0" encoding="utf-8"?>
<calcChain xmlns="http://schemas.openxmlformats.org/spreadsheetml/2006/main">
  <c r="T12" i="38" l="1"/>
  <c r="T13" i="38"/>
  <c r="T14" i="38"/>
  <c r="T15" i="38"/>
  <c r="T16" i="38"/>
  <c r="T17" i="38"/>
  <c r="T18" i="38"/>
  <c r="T19" i="38"/>
  <c r="T20" i="38"/>
  <c r="T21" i="38"/>
  <c r="T22" i="38"/>
  <c r="T23" i="38"/>
  <c r="T24" i="38"/>
  <c r="T25" i="38"/>
  <c r="T26" i="38"/>
  <c r="T27" i="38"/>
  <c r="T28" i="38"/>
  <c r="T29" i="38"/>
  <c r="T30" i="38"/>
  <c r="T31" i="38"/>
  <c r="T32" i="38"/>
  <c r="T33" i="38"/>
  <c r="T34" i="38"/>
  <c r="T35" i="38"/>
  <c r="T36" i="38"/>
  <c r="T37" i="38"/>
  <c r="T19" i="40"/>
  <c r="F26" i="40" l="1"/>
  <c r="F25" i="40"/>
  <c r="S22" i="40"/>
  <c r="R22" i="40"/>
  <c r="Q22" i="40"/>
  <c r="P22" i="40"/>
  <c r="O22" i="40"/>
  <c r="N22" i="40"/>
  <c r="M22" i="40"/>
  <c r="L22" i="40"/>
  <c r="K22" i="40"/>
  <c r="J22" i="40"/>
  <c r="I22" i="40"/>
  <c r="H22" i="40"/>
  <c r="G22" i="40"/>
  <c r="F22" i="40"/>
  <c r="S21" i="40"/>
  <c r="R21" i="40"/>
  <c r="Q21" i="40"/>
  <c r="P21" i="40"/>
  <c r="O21" i="40"/>
  <c r="N21" i="40"/>
  <c r="M21" i="40"/>
  <c r="L21" i="40"/>
  <c r="K21" i="40"/>
  <c r="J21" i="40"/>
  <c r="I21" i="40"/>
  <c r="H21" i="40"/>
  <c r="G21" i="40"/>
  <c r="F21" i="40"/>
  <c r="S20" i="40"/>
  <c r="R20" i="40"/>
  <c r="Q20" i="40"/>
  <c r="P20" i="40"/>
  <c r="O20" i="40"/>
  <c r="N20" i="40"/>
  <c r="M20" i="40"/>
  <c r="L20" i="40"/>
  <c r="K20" i="40"/>
  <c r="J20" i="40"/>
  <c r="I20" i="40"/>
  <c r="H20" i="40"/>
  <c r="G20" i="40"/>
  <c r="F20" i="40"/>
  <c r="T18" i="40"/>
  <c r="T17" i="40"/>
  <c r="T16" i="40"/>
  <c r="T15" i="40"/>
  <c r="T14" i="40"/>
  <c r="T13" i="40"/>
  <c r="T12" i="40"/>
  <c r="T11" i="40"/>
  <c r="T20" i="40" l="1"/>
  <c r="F24" i="40"/>
  <c r="F23" i="40"/>
  <c r="F44" i="38" l="1"/>
  <c r="F43" i="38"/>
  <c r="S40" i="38"/>
  <c r="R40" i="38"/>
  <c r="Q40" i="38"/>
  <c r="P40" i="38"/>
  <c r="O40" i="38"/>
  <c r="N40" i="38"/>
  <c r="M40" i="38"/>
  <c r="L40" i="38"/>
  <c r="K40" i="38"/>
  <c r="J40" i="38"/>
  <c r="I40" i="38"/>
  <c r="H40" i="38"/>
  <c r="G40" i="38"/>
  <c r="F40" i="38"/>
  <c r="S39" i="38"/>
  <c r="R39" i="38"/>
  <c r="Q39" i="38"/>
  <c r="P39" i="38"/>
  <c r="O39" i="38"/>
  <c r="N39" i="38"/>
  <c r="M39" i="38"/>
  <c r="L39" i="38"/>
  <c r="K39" i="38"/>
  <c r="J39" i="38"/>
  <c r="I39" i="38"/>
  <c r="H39" i="38"/>
  <c r="G39" i="38"/>
  <c r="F39" i="38"/>
  <c r="S38" i="38"/>
  <c r="R38" i="38"/>
  <c r="Q38" i="38"/>
  <c r="P38" i="38"/>
  <c r="O38" i="38"/>
  <c r="N38" i="38"/>
  <c r="M38" i="38"/>
  <c r="L38" i="38"/>
  <c r="K38" i="38"/>
  <c r="J38" i="38"/>
  <c r="I38" i="38"/>
  <c r="H38" i="38"/>
  <c r="G38" i="38"/>
  <c r="F38" i="38"/>
  <c r="T11" i="38"/>
  <c r="T38" i="38" l="1"/>
  <c r="F41" i="38"/>
  <c r="F42" i="38"/>
</calcChain>
</file>

<file path=xl/sharedStrings.xml><?xml version="1.0" encoding="utf-8"?>
<sst xmlns="http://schemas.openxmlformats.org/spreadsheetml/2006/main" count="153" uniqueCount="77">
  <si>
    <t>ВСП «ФАХОВИЙ КОЛЕДЖ НАФТОГАЗОВИХ ТЕХНОЛОГІЙ, ІНЖЕНЕРІЇ ТА ІНФРАСТРУКТУРИ СЕРВІСУ</t>
  </si>
  <si>
    <t>ОДЕСЬКОГО НАЦІОНАЛЬНОГО ТЕХНОЛОГІЧНОГО УНІВЕРСИТЕТУ»</t>
  </si>
  <si>
    <t>Б/К</t>
  </si>
  <si>
    <t>№
п/п</t>
  </si>
  <si>
    <t>Прізвище, ім’я, по батькові</t>
  </si>
  <si>
    <t>Біологія
Богданенко О.В.</t>
  </si>
  <si>
    <t>Всесвітня історія
Мельничук С.А.</t>
  </si>
  <si>
    <t>Географія
Наговська Т.С.</t>
  </si>
  <si>
    <t>Інформатика
Вівдіч М.І.</t>
  </si>
  <si>
    <t>Історія України
Левчук Т.Г.</t>
  </si>
  <si>
    <t>Фізика
Калюта Н.М.</t>
  </si>
  <si>
    <t>Хімія
Леонова Д.І.</t>
  </si>
  <si>
    <t>Середній бал</t>
  </si>
  <si>
    <t>К</t>
  </si>
  <si>
    <t>Середній бал успішності з дисципліни</t>
  </si>
  <si>
    <t>Абсолютна успішність</t>
  </si>
  <si>
    <t>Якісна успішність</t>
  </si>
  <si>
    <t>Абсолютна успішність по групі</t>
  </si>
  <si>
    <t>Якісна успішність по групі</t>
  </si>
  <si>
    <t>Кількість бюджетників</t>
  </si>
  <si>
    <t>Кількість контрактників</t>
  </si>
  <si>
    <t>Класний керівник</t>
  </si>
  <si>
    <t>Кількість соціального контингенту</t>
  </si>
  <si>
    <t>Вийшли на стипендію</t>
  </si>
  <si>
    <t>Завідувач відділення ПЗСО</t>
  </si>
  <si>
    <t>Маргарита БРІТІКОВА</t>
  </si>
  <si>
    <t>ЗВЕДЕНА ВІДОМІСТЬ</t>
  </si>
  <si>
    <t>За I семестр 2023-2024 н.р.</t>
  </si>
  <si>
    <t>Зарубіжна література
Сербулова Ю.А.</t>
  </si>
  <si>
    <t>Підсумкові оцінки дисциплін</t>
  </si>
  <si>
    <t>Іноземна мова
Сербулова Ю.А.</t>
  </si>
  <si>
    <t>Фізична культура
Галеніна І.С.</t>
  </si>
  <si>
    <t>Юлія СЕРБУЛОВА</t>
  </si>
  <si>
    <t>Успішності студентів спеціальності 241 «Готельно-ресторанна справа»</t>
  </si>
  <si>
    <t>Бакрив Олександра Сергіївна</t>
  </si>
  <si>
    <t>Башли Владлена Анатоліївна</t>
  </si>
  <si>
    <t>Бубнова Ірина Олегівна</t>
  </si>
  <si>
    <t>Вдов Евеліна Віталіївна</t>
  </si>
  <si>
    <t>Войт Кіра Максимівна</t>
  </si>
  <si>
    <t>Іванова Анастасія Анатоліївна</t>
  </si>
  <si>
    <t>Івненко Аліна Володимирівна</t>
  </si>
  <si>
    <t>Карнаушенко Софія Романівна</t>
  </si>
  <si>
    <t>Коновальчук Назар Сергійович</t>
  </si>
  <si>
    <t>Костюченко Вікторія Костянтинівна</t>
  </si>
  <si>
    <t>Крешун Ірина Сергіївна</t>
  </si>
  <si>
    <t>Майорова Анна Романівна</t>
  </si>
  <si>
    <t>Мартишев Давид Денисович</t>
  </si>
  <si>
    <t>Мирненко Анна Олександрівна</t>
  </si>
  <si>
    <t>Мозгова Тетяна Віталіївна</t>
  </si>
  <si>
    <t>Моісеєнко Анатолій Вікторович</t>
  </si>
  <si>
    <t>Молдованенко Ангеліна Олександрівна</t>
  </si>
  <si>
    <t>Нальотова Олександра Миколаївна</t>
  </si>
  <si>
    <t>Непом`яща Єлизавета Олександрівна</t>
  </si>
  <si>
    <t>Олійник Олександра Сергіївна</t>
  </si>
  <si>
    <t>Павлов Юрій Сергійович</t>
  </si>
  <si>
    <t>Пащенко Ілля Володимирович</t>
  </si>
  <si>
    <t>Підмогильна Валерія Вадимівна</t>
  </si>
  <si>
    <t>Ракітіна Маргарита Романівна</t>
  </si>
  <si>
    <t>Рибальченко Софія Олександрівна</t>
  </si>
  <si>
    <t>Сінькова Владлена Олександрівна</t>
  </si>
  <si>
    <t>Шестопалова Олександра Віталіївна</t>
  </si>
  <si>
    <t>Група 23-6 курс І</t>
  </si>
  <si>
    <t>Бочкур Олександра Василівна</t>
  </si>
  <si>
    <t>Віннічук Анастасія Миколаївна</t>
  </si>
  <si>
    <t>Грабчак Катерина Сергіївна</t>
  </si>
  <si>
    <t>Гусак Дар`я Вячеславівна</t>
  </si>
  <si>
    <t>Найден Марина Юріївна</t>
  </si>
  <si>
    <t>Рувінська Олександра Ігорівна</t>
  </si>
  <si>
    <t>Синчук Владислава Олександрівна</t>
  </si>
  <si>
    <t>Шаульська Каріна Сергіївна</t>
  </si>
  <si>
    <t>Ябурова Аделіна Олексіївна</t>
  </si>
  <si>
    <t>Успішності студентів спеціальності 242 «Туризм»</t>
  </si>
  <si>
    <t>Математика
Нужна Н.В.</t>
  </si>
  <si>
    <t>Захист України
Стельмах Н.Ю. / Лазар В.І.</t>
  </si>
  <si>
    <t>Українська література
Антропова Л.І.</t>
  </si>
  <si>
    <t>Українська мова
Антропова Л.І.</t>
  </si>
  <si>
    <t>н/а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</si>
</sst>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"/>
  </numFmts>
  <fonts count="8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  <font>
      <sz val="11"/>
      <color theme="1"/>
      <name val="Calibri"/>
      <family val="2"/>
      <scheme val="minor"/>
    </font>
    <font>
      <sz val="12"/>
      <name val="Times New Roman"/>
      <family val="1"/>
      <charset val="204"/>
    </font>
    <font>
      <b/>
      <sz val="12"/>
      <name val="Times New Roman"/>
      <family val="1"/>
      <charset val="204"/>
    </font>
    <font>
      <sz val="14"/>
      <name val="Times New Roman"/>
      <family val="1"/>
      <charset val="204"/>
    </font>
    <font>
      <b/>
      <sz val="14"/>
      <name val="Times New Roman"/>
      <family val="1"/>
      <charset val="204"/>
    </font>
    <font>
      <sz val="11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/>
        <bgColor indexed="64"/>
      </patternFill>
    </fill>
  </fills>
  <borders count="8">
    <border>
      <left/>
      <right/>
      <top/>
      <bottom/>
      <diagonal/>
    </border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mediumDashed">
        <color auto="1"/>
      </bottom>
      <diagonal/>
    </border>
    <border>
      <left/>
      <right style="mediumDashed">
        <color auto="1"/>
      </right>
      <top/>
      <bottom/>
      <diagonal/>
    </border>
    <border>
      <left style="mediumDashed">
        <color auto="1"/>
      </left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Dashed">
        <color auto="1"/>
      </top>
      <bottom/>
      <diagonal/>
    </border>
  </borders>
  <cellStyleXfs count="28">
    <xf numFmtId="0" fontId="0" fillId="0" borderId="0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2" fillId="0" borderId="1"/>
    <xf numFmtId="0" fontId="1" fillId="0" borderId="1"/>
    <xf numFmtId="0" fontId="2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1" fillId="0" borderId="1"/>
    <xf numFmtId="0" fontId="7" fillId="0" borderId="1"/>
    <xf numFmtId="0" fontId="7" fillId="0" borderId="1"/>
    <xf numFmtId="0" fontId="7" fillId="0" borderId="1"/>
    <xf numFmtId="0" fontId="1" fillId="0" borderId="1"/>
    <xf numFmtId="0" fontId="2" fillId="0" borderId="1"/>
  </cellStyleXfs>
  <cellXfs count="35">
    <xf numFmtId="0" fontId="0" fillId="0" borderId="0" xfId="0"/>
    <xf numFmtId="0" fontId="5" fillId="0" borderId="1" xfId="5" applyFont="1" applyAlignment="1">
      <alignment horizontal="left" vertical="center"/>
    </xf>
    <xf numFmtId="2" fontId="3" fillId="2" borderId="2" xfId="5" applyNumberFormat="1" applyFont="1" applyFill="1" applyBorder="1" applyAlignment="1">
      <alignment horizontal="center" vertical="center"/>
    </xf>
    <xf numFmtId="164" fontId="3" fillId="2" borderId="2" xfId="5" applyNumberFormat="1" applyFont="1" applyFill="1" applyBorder="1" applyAlignment="1">
      <alignment horizontal="center" vertical="center"/>
    </xf>
    <xf numFmtId="0" fontId="3" fillId="4" borderId="1" xfId="5" applyNumberFormat="1" applyFont="1" applyFill="1" applyAlignment="1">
      <alignment horizontal="center" vertical="center"/>
    </xf>
    <xf numFmtId="0" fontId="5" fillId="4" borderId="1" xfId="5" applyNumberFormat="1" applyFont="1" applyFill="1" applyAlignment="1">
      <alignment horizontal="center" vertical="center"/>
    </xf>
    <xf numFmtId="0" fontId="6" fillId="4" borderId="1" xfId="5" applyNumberFormat="1" applyFont="1" applyFill="1" applyAlignment="1">
      <alignment horizontal="center" vertical="center"/>
    </xf>
    <xf numFmtId="0" fontId="4" fillId="5" borderId="2" xfId="5" applyNumberFormat="1" applyFont="1" applyFill="1" applyBorder="1" applyAlignment="1">
      <alignment horizontal="center" vertical="center" textRotation="90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 applyProtection="1">
      <alignment horizontal="center" vertical="center"/>
      <protection locked="0"/>
    </xf>
    <xf numFmtId="0" fontId="3" fillId="5" borderId="1" xfId="5" applyNumberFormat="1" applyFont="1" applyFill="1" applyAlignment="1">
      <alignment horizontal="center" vertical="center"/>
    </xf>
    <xf numFmtId="164" fontId="3" fillId="3" borderId="6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 applyProtection="1">
      <alignment horizontal="center" vertical="center"/>
      <protection locked="0"/>
    </xf>
    <xf numFmtId="0" fontId="3" fillId="4" borderId="1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Alignment="1">
      <alignment horizontal="left" vertical="center"/>
    </xf>
    <xf numFmtId="0" fontId="3" fillId="0" borderId="2" xfId="5" applyFont="1" applyBorder="1" applyAlignment="1">
      <alignment horizontal="center" textRotation="90" wrapText="1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5" borderId="1" xfId="5" applyNumberFormat="1" applyFont="1" applyFill="1" applyBorder="1" applyAlignment="1">
      <alignment horizontal="center" vertical="center"/>
    </xf>
    <xf numFmtId="0" fontId="3" fillId="0" borderId="2" xfId="5" applyNumberFormat="1" applyFont="1" applyFill="1" applyBorder="1" applyAlignment="1">
      <alignment horizontal="left" vertical="center" wrapText="1"/>
    </xf>
    <xf numFmtId="0" fontId="3" fillId="5" borderId="2" xfId="5" applyNumberFormat="1" applyFont="1" applyFill="1" applyBorder="1" applyAlignment="1">
      <alignment horizontal="center" vertical="center" wrapText="1"/>
    </xf>
    <xf numFmtId="0" fontId="3" fillId="4" borderId="3" xfId="5" applyNumberFormat="1" applyFont="1" applyFill="1" applyBorder="1" applyAlignment="1">
      <alignment horizontal="center" vertical="center"/>
    </xf>
    <xf numFmtId="0" fontId="3" fillId="4" borderId="4" xfId="5" applyNumberFormat="1" applyFont="1" applyFill="1" applyBorder="1" applyAlignment="1">
      <alignment horizontal="center" vertical="center"/>
    </xf>
    <xf numFmtId="0" fontId="3" fillId="5" borderId="1" xfId="5" applyNumberFormat="1" applyFont="1" applyFill="1" applyBorder="1" applyAlignment="1">
      <alignment horizontal="center" vertical="center"/>
    </xf>
    <xf numFmtId="0" fontId="3" fillId="4" borderId="5" xfId="5" applyNumberFormat="1" applyFont="1" applyFill="1" applyBorder="1" applyAlignment="1">
      <alignment horizontal="center" vertical="center"/>
    </xf>
    <xf numFmtId="0" fontId="5" fillId="5" borderId="1" xfId="5" applyNumberFormat="1" applyFont="1" applyFill="1" applyBorder="1" applyAlignment="1">
      <alignment horizontal="center" vertical="center"/>
    </xf>
    <xf numFmtId="0" fontId="6" fillId="5" borderId="1" xfId="5" applyNumberFormat="1" applyFont="1" applyFill="1" applyAlignment="1">
      <alignment horizontal="center" vertical="center"/>
    </xf>
    <xf numFmtId="0" fontId="5" fillId="5" borderId="1" xfId="5" applyNumberFormat="1" applyFont="1" applyFill="1" applyAlignment="1">
      <alignment horizontal="center" vertical="center"/>
    </xf>
    <xf numFmtId="0" fontId="3" fillId="4" borderId="7" xfId="5" applyNumberFormat="1" applyFont="1" applyFill="1" applyBorder="1" applyAlignment="1">
      <alignment horizontal="center" vertical="center"/>
    </xf>
    <xf numFmtId="0" fontId="3" fillId="5" borderId="2" xfId="5" quotePrefix="1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/>
    </xf>
    <xf numFmtId="0" fontId="3" fillId="5" borderId="2" xfId="5" applyNumberFormat="1" applyFont="1" applyFill="1" applyBorder="1" applyAlignment="1">
      <alignment horizontal="center" vertical="center" wrapText="1"/>
    </xf>
  </cellXfs>
  <cellStyles count="28">
    <cellStyle name="Обычный" xfId="0" builtinId="0"/>
    <cellStyle name="Обычный 10" xfId="3"/>
    <cellStyle name="Обычный 10 2" xfId="4"/>
    <cellStyle name="Обычный 11" xfId="1"/>
    <cellStyle name="Обычный 11 2" xfId="5"/>
    <cellStyle name="Обычный 12" xfId="22"/>
    <cellStyle name="Обычный 13" xfId="23"/>
    <cellStyle name="Обычный 14" xfId="24"/>
    <cellStyle name="Обычный 15" xfId="25"/>
    <cellStyle name="Обычный 2" xfId="2"/>
    <cellStyle name="Обычный 2 2" xfId="6"/>
    <cellStyle name="Обычный 2 3" xfId="7"/>
    <cellStyle name="Обычный 2 3 2" xfId="8"/>
    <cellStyle name="Обычный 2 4" xfId="9"/>
    <cellStyle name="Обычный 2 4 2" xfId="10"/>
    <cellStyle name="Обычный 2 5" xfId="26"/>
    <cellStyle name="Обычный 2 6" xfId="27"/>
    <cellStyle name="Обычный 3" xfId="11"/>
    <cellStyle name="Обычный 3 2" xfId="12"/>
    <cellStyle name="Обычный 4" xfId="13"/>
    <cellStyle name="Обычный 4 2" xfId="14"/>
    <cellStyle name="Обычный 5" xfId="15"/>
    <cellStyle name="Обычный 6" xfId="16"/>
    <cellStyle name="Обычный 7" xfId="17"/>
    <cellStyle name="Обычный 8" xfId="18"/>
    <cellStyle name="Обычный 8 2" xfId="19"/>
    <cellStyle name="Обычный 9" xfId="20"/>
    <cellStyle name="Обычный 9 2" xfId="21"/>
  </cellStyles>
  <dxfs count="22"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  <dxf>
      <fill>
        <patternFill>
          <fgColor indexed="64"/>
          <bgColor rgb="FF82DCFF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Лист11">
    <tabColor rgb="FF00E100"/>
    <pageSetUpPr fitToPage="1"/>
  </sheetPr>
  <dimension ref="A1:BF48"/>
  <sheetViews>
    <sheetView tabSelected="1" topLeftCell="A7"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2" ht="12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7"/>
    </row>
    <row r="3" spans="1:22" s="5" customFormat="1" ht="15" customHeight="1" x14ac:dyDescent="0.25">
      <c r="A3" s="25"/>
      <c r="B3" s="28"/>
      <c r="C3" s="28" t="s">
        <v>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7"/>
    </row>
    <row r="4" spans="1:22" s="5" customFormat="1" ht="15" customHeight="1" x14ac:dyDescent="0.25">
      <c r="A4" s="25"/>
      <c r="B4" s="28"/>
      <c r="C4" s="28" t="s">
        <v>1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7"/>
    </row>
    <row r="5" spans="1:22" s="6" customFormat="1" ht="15" customHeight="1" x14ac:dyDescent="0.25">
      <c r="A5" s="25"/>
      <c r="B5" s="28"/>
      <c r="C5" s="29" t="s">
        <v>26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8"/>
      <c r="V5" s="27"/>
    </row>
    <row r="6" spans="1:22" s="5" customFormat="1" ht="15" customHeight="1" x14ac:dyDescent="0.25">
      <c r="A6" s="25"/>
      <c r="B6" s="28"/>
      <c r="C6" s="30" t="s">
        <v>33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28"/>
      <c r="V6" s="27"/>
    </row>
    <row r="7" spans="1:22" s="5" customFormat="1" ht="15" customHeight="1" x14ac:dyDescent="0.25">
      <c r="A7" s="25"/>
      <c r="B7" s="28"/>
      <c r="C7" s="30" t="s">
        <v>27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28"/>
      <c r="V7" s="27"/>
    </row>
    <row r="8" spans="1:22" s="5" customFormat="1" ht="15" customHeight="1" x14ac:dyDescent="0.25">
      <c r="A8" s="25"/>
      <c r="B8" s="28"/>
      <c r="C8" s="28" t="s">
        <v>61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7"/>
    </row>
    <row r="9" spans="1:22" ht="15" customHeight="1" x14ac:dyDescent="0.25">
      <c r="A9" s="25"/>
      <c r="B9" s="28"/>
      <c r="C9" s="32" t="s">
        <v>2</v>
      </c>
      <c r="D9" s="34" t="s">
        <v>3</v>
      </c>
      <c r="E9" s="34" t="s">
        <v>4</v>
      </c>
      <c r="F9" s="33" t="s">
        <v>29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28"/>
      <c r="V9" s="27"/>
    </row>
    <row r="10" spans="1:22" ht="125.1" customHeight="1" x14ac:dyDescent="0.25">
      <c r="A10" s="25"/>
      <c r="B10" s="28"/>
      <c r="C10" s="33"/>
      <c r="D10" s="33"/>
      <c r="E10" s="33"/>
      <c r="F10" s="18" t="s">
        <v>5</v>
      </c>
      <c r="G10" s="18" t="s">
        <v>6</v>
      </c>
      <c r="H10" s="18" t="s">
        <v>7</v>
      </c>
      <c r="I10" s="18" t="s">
        <v>28</v>
      </c>
      <c r="J10" s="18" t="s">
        <v>73</v>
      </c>
      <c r="K10" s="18" t="s">
        <v>30</v>
      </c>
      <c r="L10" s="18" t="s">
        <v>8</v>
      </c>
      <c r="M10" s="18" t="s">
        <v>9</v>
      </c>
      <c r="N10" s="18" t="s">
        <v>72</v>
      </c>
      <c r="O10" s="18" t="s">
        <v>74</v>
      </c>
      <c r="P10" s="18" t="s">
        <v>75</v>
      </c>
      <c r="Q10" s="18" t="s">
        <v>10</v>
      </c>
      <c r="R10" s="18" t="s">
        <v>31</v>
      </c>
      <c r="S10" s="18" t="s">
        <v>11</v>
      </c>
      <c r="T10" s="7" t="s">
        <v>12</v>
      </c>
      <c r="U10" s="28"/>
      <c r="V10" s="27"/>
    </row>
    <row r="11" spans="1:22" ht="15" customHeight="1" x14ac:dyDescent="0.25">
      <c r="A11" s="25"/>
      <c r="B11" s="28"/>
      <c r="C11" s="8" t="s">
        <v>13</v>
      </c>
      <c r="D11" s="8">
        <v>1</v>
      </c>
      <c r="E11" s="9" t="s">
        <v>34</v>
      </c>
      <c r="F11" s="10">
        <v>7</v>
      </c>
      <c r="G11" s="10">
        <v>7</v>
      </c>
      <c r="H11" s="10">
        <v>9</v>
      </c>
      <c r="I11" s="10">
        <v>9</v>
      </c>
      <c r="J11" s="10">
        <v>7</v>
      </c>
      <c r="K11" s="10">
        <v>5</v>
      </c>
      <c r="L11" s="10">
        <v>8</v>
      </c>
      <c r="M11" s="10">
        <v>8</v>
      </c>
      <c r="N11" s="10">
        <v>6</v>
      </c>
      <c r="O11" s="10">
        <v>7</v>
      </c>
      <c r="P11" s="10">
        <v>6</v>
      </c>
      <c r="Q11" s="10">
        <v>6</v>
      </c>
      <c r="R11" s="10">
        <v>9</v>
      </c>
      <c r="S11" s="10">
        <v>6</v>
      </c>
      <c r="T11" s="2">
        <f t="shared" ref="T11:T37" si="0">IF(COUNTIF(F11:S11,"=*")&gt;0,"-",IF(COUNTIF(F11:S11,"&lt;4")&gt;0,"-",(IFERROR(AVERAGE(F11:S11),""))))</f>
        <v>7.1428571428571432</v>
      </c>
      <c r="U11" s="28"/>
      <c r="V11" s="27"/>
    </row>
    <row r="12" spans="1:22" ht="15" customHeight="1" x14ac:dyDescent="0.25">
      <c r="A12" s="25"/>
      <c r="B12" s="28"/>
      <c r="C12" s="23" t="s">
        <v>13</v>
      </c>
      <c r="D12" s="23">
        <v>2</v>
      </c>
      <c r="E12" s="9" t="s">
        <v>35</v>
      </c>
      <c r="F12" s="10">
        <v>8</v>
      </c>
      <c r="G12" s="10">
        <v>9</v>
      </c>
      <c r="H12" s="10">
        <v>10</v>
      </c>
      <c r="I12" s="10">
        <v>10</v>
      </c>
      <c r="J12" s="10">
        <v>9</v>
      </c>
      <c r="K12" s="10">
        <v>10</v>
      </c>
      <c r="L12" s="10">
        <v>9</v>
      </c>
      <c r="M12" s="10">
        <v>8</v>
      </c>
      <c r="N12" s="10">
        <v>9</v>
      </c>
      <c r="O12" s="10">
        <v>10</v>
      </c>
      <c r="P12" s="10">
        <v>9</v>
      </c>
      <c r="Q12" s="10">
        <v>8</v>
      </c>
      <c r="R12" s="10">
        <v>9</v>
      </c>
      <c r="S12" s="10">
        <v>6</v>
      </c>
      <c r="T12" s="2">
        <f t="shared" si="0"/>
        <v>8.8571428571428577</v>
      </c>
      <c r="U12" s="28"/>
      <c r="V12" s="27"/>
    </row>
    <row r="13" spans="1:22" ht="15" customHeight="1" x14ac:dyDescent="0.25">
      <c r="A13" s="25"/>
      <c r="B13" s="28"/>
      <c r="C13" s="23" t="s">
        <v>13</v>
      </c>
      <c r="D13" s="23">
        <v>3</v>
      </c>
      <c r="E13" s="9" t="s">
        <v>36</v>
      </c>
      <c r="F13" s="10">
        <v>7</v>
      </c>
      <c r="G13" s="10">
        <v>9</v>
      </c>
      <c r="H13" s="10">
        <v>8</v>
      </c>
      <c r="I13" s="10">
        <v>11</v>
      </c>
      <c r="J13" s="10">
        <v>7</v>
      </c>
      <c r="K13" s="10">
        <v>10</v>
      </c>
      <c r="L13" s="10">
        <v>8</v>
      </c>
      <c r="M13" s="10">
        <v>7</v>
      </c>
      <c r="N13" s="10">
        <v>5</v>
      </c>
      <c r="O13" s="10">
        <v>8</v>
      </c>
      <c r="P13" s="10">
        <v>8</v>
      </c>
      <c r="Q13" s="10">
        <v>5</v>
      </c>
      <c r="R13" s="10">
        <v>9</v>
      </c>
      <c r="S13" s="10">
        <v>5</v>
      </c>
      <c r="T13" s="2">
        <f t="shared" si="0"/>
        <v>7.6428571428571432</v>
      </c>
      <c r="U13" s="28"/>
      <c r="V13" s="27"/>
    </row>
    <row r="14" spans="1:22" ht="15" customHeight="1" x14ac:dyDescent="0.25">
      <c r="A14" s="25"/>
      <c r="B14" s="28"/>
      <c r="C14" s="23" t="s">
        <v>13</v>
      </c>
      <c r="D14" s="23">
        <v>4</v>
      </c>
      <c r="E14" s="9" t="s">
        <v>37</v>
      </c>
      <c r="F14" s="10">
        <v>5</v>
      </c>
      <c r="G14" s="10">
        <v>9</v>
      </c>
      <c r="H14" s="10">
        <v>9</v>
      </c>
      <c r="I14" s="10">
        <v>9</v>
      </c>
      <c r="J14" s="10">
        <v>5</v>
      </c>
      <c r="K14" s="10">
        <v>8</v>
      </c>
      <c r="L14" s="10">
        <v>5</v>
      </c>
      <c r="M14" s="10">
        <v>6</v>
      </c>
      <c r="N14" s="10" t="s">
        <v>76</v>
      </c>
      <c r="O14" s="10">
        <v>6</v>
      </c>
      <c r="P14" s="10">
        <v>6</v>
      </c>
      <c r="Q14" s="10">
        <v>2</v>
      </c>
      <c r="R14" s="10">
        <v>4</v>
      </c>
      <c r="S14" s="10">
        <v>5</v>
      </c>
      <c r="T14" s="2" t="str">
        <f t="shared" si="0"/>
        <v>-</v>
      </c>
      <c r="U14" s="28"/>
      <c r="V14" s="27"/>
    </row>
    <row r="15" spans="1:22" ht="15" customHeight="1" x14ac:dyDescent="0.25">
      <c r="A15" s="25"/>
      <c r="B15" s="28"/>
      <c r="C15" s="23" t="s">
        <v>13</v>
      </c>
      <c r="D15" s="23">
        <v>5</v>
      </c>
      <c r="E15" s="9" t="s">
        <v>38</v>
      </c>
      <c r="F15" s="10">
        <v>10</v>
      </c>
      <c r="G15" s="10">
        <v>10</v>
      </c>
      <c r="H15" s="10">
        <v>9</v>
      </c>
      <c r="I15" s="10">
        <v>10</v>
      </c>
      <c r="J15" s="10">
        <v>10</v>
      </c>
      <c r="K15" s="10">
        <v>10</v>
      </c>
      <c r="L15" s="10">
        <v>10</v>
      </c>
      <c r="M15" s="10">
        <v>7</v>
      </c>
      <c r="N15" s="10">
        <v>10</v>
      </c>
      <c r="O15" s="10">
        <v>10</v>
      </c>
      <c r="P15" s="10">
        <v>10</v>
      </c>
      <c r="Q15" s="10">
        <v>10</v>
      </c>
      <c r="R15" s="10">
        <v>11</v>
      </c>
      <c r="S15" s="10">
        <v>9</v>
      </c>
      <c r="T15" s="2">
        <f t="shared" si="0"/>
        <v>9.7142857142857135</v>
      </c>
      <c r="U15" s="28"/>
      <c r="V15" s="27"/>
    </row>
    <row r="16" spans="1:22" ht="15" customHeight="1" x14ac:dyDescent="0.25">
      <c r="A16" s="25"/>
      <c r="B16" s="28"/>
      <c r="C16" s="23" t="s">
        <v>13</v>
      </c>
      <c r="D16" s="23">
        <v>6</v>
      </c>
      <c r="E16" s="9" t="s">
        <v>39</v>
      </c>
      <c r="F16" s="10">
        <v>9</v>
      </c>
      <c r="G16" s="10">
        <v>9</v>
      </c>
      <c r="H16" s="10">
        <v>9</v>
      </c>
      <c r="I16" s="10">
        <v>11</v>
      </c>
      <c r="J16" s="10">
        <v>9</v>
      </c>
      <c r="K16" s="10">
        <v>10</v>
      </c>
      <c r="L16" s="10">
        <v>9</v>
      </c>
      <c r="M16" s="10">
        <v>7</v>
      </c>
      <c r="N16" s="10">
        <v>6</v>
      </c>
      <c r="O16" s="10">
        <v>10</v>
      </c>
      <c r="P16" s="10">
        <v>8</v>
      </c>
      <c r="Q16" s="10">
        <v>7</v>
      </c>
      <c r="R16" s="10">
        <v>9</v>
      </c>
      <c r="S16" s="10">
        <v>5</v>
      </c>
      <c r="T16" s="2">
        <f t="shared" si="0"/>
        <v>8.4285714285714288</v>
      </c>
      <c r="U16" s="28"/>
      <c r="V16" s="27"/>
    </row>
    <row r="17" spans="1:22" ht="15" customHeight="1" x14ac:dyDescent="0.25">
      <c r="A17" s="25"/>
      <c r="B17" s="28"/>
      <c r="C17" s="23" t="s">
        <v>13</v>
      </c>
      <c r="D17" s="23">
        <v>7</v>
      </c>
      <c r="E17" s="22" t="s">
        <v>40</v>
      </c>
      <c r="F17" s="10">
        <v>4</v>
      </c>
      <c r="G17" s="10">
        <v>6</v>
      </c>
      <c r="H17" s="10">
        <v>4</v>
      </c>
      <c r="I17" s="10">
        <v>5</v>
      </c>
      <c r="J17" s="10">
        <v>4</v>
      </c>
      <c r="K17" s="10">
        <v>5</v>
      </c>
      <c r="L17" s="10">
        <v>4</v>
      </c>
      <c r="M17" s="10">
        <v>4</v>
      </c>
      <c r="N17" s="10" t="s">
        <v>76</v>
      </c>
      <c r="O17" s="10">
        <v>7</v>
      </c>
      <c r="P17" s="10">
        <v>6</v>
      </c>
      <c r="Q17" s="10" t="s">
        <v>76</v>
      </c>
      <c r="R17" s="10">
        <v>4</v>
      </c>
      <c r="S17" s="10">
        <v>5</v>
      </c>
      <c r="T17" s="2" t="str">
        <f t="shared" si="0"/>
        <v>-</v>
      </c>
      <c r="U17" s="28"/>
      <c r="V17" s="27"/>
    </row>
    <row r="18" spans="1:22" ht="15" customHeight="1" x14ac:dyDescent="0.25">
      <c r="A18" s="25"/>
      <c r="B18" s="28"/>
      <c r="C18" s="23" t="s">
        <v>13</v>
      </c>
      <c r="D18" s="23">
        <v>8</v>
      </c>
      <c r="E18" s="9" t="s">
        <v>41</v>
      </c>
      <c r="F18" s="10">
        <v>7</v>
      </c>
      <c r="G18" s="10">
        <v>8</v>
      </c>
      <c r="H18" s="10">
        <v>10</v>
      </c>
      <c r="I18" s="10">
        <v>10</v>
      </c>
      <c r="J18" s="10">
        <v>7</v>
      </c>
      <c r="K18" s="10">
        <v>10</v>
      </c>
      <c r="L18" s="10">
        <v>7</v>
      </c>
      <c r="M18" s="10">
        <v>7</v>
      </c>
      <c r="N18" s="10">
        <v>4</v>
      </c>
      <c r="O18" s="10">
        <v>7</v>
      </c>
      <c r="P18" s="10">
        <v>5</v>
      </c>
      <c r="Q18" s="10">
        <v>4</v>
      </c>
      <c r="R18" s="10">
        <v>5</v>
      </c>
      <c r="S18" s="10">
        <v>5</v>
      </c>
      <c r="T18" s="2">
        <f t="shared" si="0"/>
        <v>6.8571428571428568</v>
      </c>
      <c r="U18" s="28"/>
      <c r="V18" s="27"/>
    </row>
    <row r="19" spans="1:22" ht="15" customHeight="1" x14ac:dyDescent="0.25">
      <c r="A19" s="25"/>
      <c r="B19" s="28"/>
      <c r="C19" s="23" t="s">
        <v>13</v>
      </c>
      <c r="D19" s="23">
        <v>9</v>
      </c>
      <c r="E19" s="9" t="s">
        <v>42</v>
      </c>
      <c r="F19" s="10">
        <v>7</v>
      </c>
      <c r="G19" s="10">
        <v>8</v>
      </c>
      <c r="H19" s="10">
        <v>8</v>
      </c>
      <c r="I19" s="10">
        <v>9</v>
      </c>
      <c r="J19" s="10">
        <v>7</v>
      </c>
      <c r="K19" s="10">
        <v>8</v>
      </c>
      <c r="L19" s="10">
        <v>7</v>
      </c>
      <c r="M19" s="10">
        <v>7</v>
      </c>
      <c r="N19" s="10">
        <v>5</v>
      </c>
      <c r="O19" s="10">
        <v>8</v>
      </c>
      <c r="P19" s="10">
        <v>8</v>
      </c>
      <c r="Q19" s="10">
        <v>5</v>
      </c>
      <c r="R19" s="10">
        <v>11</v>
      </c>
      <c r="S19" s="10">
        <v>5</v>
      </c>
      <c r="T19" s="2">
        <f t="shared" si="0"/>
        <v>7.3571428571428568</v>
      </c>
      <c r="U19" s="28"/>
      <c r="V19" s="27"/>
    </row>
    <row r="20" spans="1:22" ht="15" customHeight="1" x14ac:dyDescent="0.25">
      <c r="A20" s="25"/>
      <c r="B20" s="28"/>
      <c r="C20" s="23" t="s">
        <v>13</v>
      </c>
      <c r="D20" s="23">
        <v>10</v>
      </c>
      <c r="E20" s="9" t="s">
        <v>43</v>
      </c>
      <c r="F20" s="10">
        <v>7</v>
      </c>
      <c r="G20" s="10">
        <v>8</v>
      </c>
      <c r="H20" s="10">
        <v>4</v>
      </c>
      <c r="I20" s="10">
        <v>8</v>
      </c>
      <c r="J20" s="10">
        <v>4</v>
      </c>
      <c r="K20" s="10">
        <v>5</v>
      </c>
      <c r="L20" s="10">
        <v>4</v>
      </c>
      <c r="M20" s="10">
        <v>4</v>
      </c>
      <c r="N20" s="10">
        <v>5</v>
      </c>
      <c r="O20" s="10">
        <v>6</v>
      </c>
      <c r="P20" s="10">
        <v>4</v>
      </c>
      <c r="Q20" s="10" t="s">
        <v>76</v>
      </c>
      <c r="R20" s="10">
        <v>4</v>
      </c>
      <c r="S20" s="10">
        <v>5</v>
      </c>
      <c r="T20" s="2" t="str">
        <f t="shared" si="0"/>
        <v>-</v>
      </c>
      <c r="U20" s="28"/>
      <c r="V20" s="27"/>
    </row>
    <row r="21" spans="1:22" ht="15" customHeight="1" x14ac:dyDescent="0.25">
      <c r="A21" s="25"/>
      <c r="B21" s="28"/>
      <c r="C21" s="23" t="s">
        <v>13</v>
      </c>
      <c r="D21" s="23">
        <v>11</v>
      </c>
      <c r="E21" s="9" t="s">
        <v>44</v>
      </c>
      <c r="F21" s="10">
        <v>9</v>
      </c>
      <c r="G21" s="10">
        <v>9</v>
      </c>
      <c r="H21" s="10">
        <v>9</v>
      </c>
      <c r="I21" s="10">
        <v>11</v>
      </c>
      <c r="J21" s="10">
        <v>9</v>
      </c>
      <c r="K21" s="10">
        <v>11</v>
      </c>
      <c r="L21" s="10">
        <v>7</v>
      </c>
      <c r="M21" s="10">
        <v>8</v>
      </c>
      <c r="N21" s="10">
        <v>9</v>
      </c>
      <c r="O21" s="10">
        <v>10</v>
      </c>
      <c r="P21" s="10">
        <v>9</v>
      </c>
      <c r="Q21" s="10">
        <v>9</v>
      </c>
      <c r="R21" s="10">
        <v>10</v>
      </c>
      <c r="S21" s="10">
        <v>8</v>
      </c>
      <c r="T21" s="2">
        <f t="shared" si="0"/>
        <v>9.1428571428571423</v>
      </c>
      <c r="U21" s="28"/>
      <c r="V21" s="27"/>
    </row>
    <row r="22" spans="1:22" ht="15" customHeight="1" x14ac:dyDescent="0.25">
      <c r="A22" s="25"/>
      <c r="B22" s="28"/>
      <c r="C22" s="23" t="s">
        <v>13</v>
      </c>
      <c r="D22" s="23">
        <v>12</v>
      </c>
      <c r="E22" s="9" t="s">
        <v>45</v>
      </c>
      <c r="F22" s="10">
        <v>7</v>
      </c>
      <c r="G22" s="10">
        <v>9</v>
      </c>
      <c r="H22" s="10">
        <v>8</v>
      </c>
      <c r="I22" s="10">
        <v>10</v>
      </c>
      <c r="J22" s="10">
        <v>7</v>
      </c>
      <c r="K22" s="10">
        <v>6</v>
      </c>
      <c r="L22" s="10">
        <v>6</v>
      </c>
      <c r="M22" s="10">
        <v>8</v>
      </c>
      <c r="N22" s="10">
        <v>4</v>
      </c>
      <c r="O22" s="10">
        <v>8</v>
      </c>
      <c r="P22" s="10">
        <v>8</v>
      </c>
      <c r="Q22" s="10">
        <v>6</v>
      </c>
      <c r="R22" s="10">
        <v>6</v>
      </c>
      <c r="S22" s="10">
        <v>7</v>
      </c>
      <c r="T22" s="2">
        <f t="shared" si="0"/>
        <v>7.1428571428571432</v>
      </c>
      <c r="U22" s="28"/>
      <c r="V22" s="27"/>
    </row>
    <row r="23" spans="1:22" ht="15" customHeight="1" x14ac:dyDescent="0.25">
      <c r="A23" s="25"/>
      <c r="B23" s="28"/>
      <c r="C23" s="23" t="s">
        <v>13</v>
      </c>
      <c r="D23" s="23">
        <v>13</v>
      </c>
      <c r="E23" s="9" t="s">
        <v>46</v>
      </c>
      <c r="F23" s="10">
        <v>8</v>
      </c>
      <c r="G23" s="10">
        <v>8</v>
      </c>
      <c r="H23" s="10">
        <v>9</v>
      </c>
      <c r="I23" s="10">
        <v>9</v>
      </c>
      <c r="J23" s="10">
        <v>7</v>
      </c>
      <c r="K23" s="10">
        <v>9</v>
      </c>
      <c r="L23" s="10">
        <v>8</v>
      </c>
      <c r="M23" s="10">
        <v>8</v>
      </c>
      <c r="N23" s="10">
        <v>8</v>
      </c>
      <c r="O23" s="10">
        <v>10</v>
      </c>
      <c r="P23" s="10">
        <v>8</v>
      </c>
      <c r="Q23" s="10">
        <v>7</v>
      </c>
      <c r="R23" s="10">
        <v>9</v>
      </c>
      <c r="S23" s="10">
        <v>6</v>
      </c>
      <c r="T23" s="2">
        <f t="shared" si="0"/>
        <v>8.1428571428571423</v>
      </c>
      <c r="U23" s="28"/>
      <c r="V23" s="27"/>
    </row>
    <row r="24" spans="1:22" ht="15" customHeight="1" x14ac:dyDescent="0.25">
      <c r="A24" s="25"/>
      <c r="B24" s="28"/>
      <c r="C24" s="23" t="s">
        <v>13</v>
      </c>
      <c r="D24" s="23">
        <v>14</v>
      </c>
      <c r="E24" s="9" t="s">
        <v>47</v>
      </c>
      <c r="F24" s="10">
        <v>7</v>
      </c>
      <c r="G24" s="10">
        <v>8</v>
      </c>
      <c r="H24" s="10">
        <v>9</v>
      </c>
      <c r="I24" s="10">
        <v>9</v>
      </c>
      <c r="J24" s="10">
        <v>7</v>
      </c>
      <c r="K24" s="10">
        <v>9</v>
      </c>
      <c r="L24" s="10">
        <v>10</v>
      </c>
      <c r="M24" s="10">
        <v>6</v>
      </c>
      <c r="N24" s="10">
        <v>6</v>
      </c>
      <c r="O24" s="10">
        <v>8</v>
      </c>
      <c r="P24" s="10">
        <v>8</v>
      </c>
      <c r="Q24" s="10">
        <v>7</v>
      </c>
      <c r="R24" s="10">
        <v>6</v>
      </c>
      <c r="S24" s="10">
        <v>5</v>
      </c>
      <c r="T24" s="2">
        <f t="shared" si="0"/>
        <v>7.5</v>
      </c>
      <c r="U24" s="28"/>
      <c r="V24" s="27"/>
    </row>
    <row r="25" spans="1:22" ht="15" customHeight="1" x14ac:dyDescent="0.25">
      <c r="A25" s="25"/>
      <c r="B25" s="28"/>
      <c r="C25" s="23" t="s">
        <v>13</v>
      </c>
      <c r="D25" s="23">
        <v>15</v>
      </c>
      <c r="E25" s="9" t="s">
        <v>48</v>
      </c>
      <c r="F25" s="10">
        <v>7</v>
      </c>
      <c r="G25" s="10">
        <v>6</v>
      </c>
      <c r="H25" s="10">
        <v>8</v>
      </c>
      <c r="I25" s="10">
        <v>9</v>
      </c>
      <c r="J25" s="10">
        <v>5</v>
      </c>
      <c r="K25" s="10">
        <v>5</v>
      </c>
      <c r="L25" s="10">
        <v>6</v>
      </c>
      <c r="M25" s="10">
        <v>5</v>
      </c>
      <c r="N25" s="10">
        <v>4</v>
      </c>
      <c r="O25" s="10">
        <v>5</v>
      </c>
      <c r="P25" s="10">
        <v>7</v>
      </c>
      <c r="Q25" s="10">
        <v>5</v>
      </c>
      <c r="R25" s="10">
        <v>7</v>
      </c>
      <c r="S25" s="10">
        <v>5</v>
      </c>
      <c r="T25" s="2">
        <f t="shared" si="0"/>
        <v>6</v>
      </c>
      <c r="U25" s="28"/>
      <c r="V25" s="27"/>
    </row>
    <row r="26" spans="1:22" ht="15" customHeight="1" x14ac:dyDescent="0.25">
      <c r="A26" s="25"/>
      <c r="B26" s="28"/>
      <c r="C26" s="23" t="s">
        <v>13</v>
      </c>
      <c r="D26" s="23">
        <v>16</v>
      </c>
      <c r="E26" s="9" t="s">
        <v>49</v>
      </c>
      <c r="F26" s="10">
        <v>7</v>
      </c>
      <c r="G26" s="10">
        <v>9</v>
      </c>
      <c r="H26" s="10">
        <v>9</v>
      </c>
      <c r="I26" s="10">
        <v>9</v>
      </c>
      <c r="J26" s="10">
        <v>10</v>
      </c>
      <c r="K26" s="10">
        <v>7</v>
      </c>
      <c r="L26" s="10">
        <v>7</v>
      </c>
      <c r="M26" s="10">
        <v>8</v>
      </c>
      <c r="N26" s="10">
        <v>4</v>
      </c>
      <c r="O26" s="10">
        <v>8</v>
      </c>
      <c r="P26" s="10">
        <v>8</v>
      </c>
      <c r="Q26" s="10">
        <v>4</v>
      </c>
      <c r="R26" s="10">
        <v>10</v>
      </c>
      <c r="S26" s="10">
        <v>5</v>
      </c>
      <c r="T26" s="2">
        <f t="shared" si="0"/>
        <v>7.5</v>
      </c>
      <c r="U26" s="28"/>
      <c r="V26" s="27"/>
    </row>
    <row r="27" spans="1:22" ht="15" customHeight="1" x14ac:dyDescent="0.25">
      <c r="A27" s="25"/>
      <c r="B27" s="28"/>
      <c r="C27" s="23" t="s">
        <v>13</v>
      </c>
      <c r="D27" s="23">
        <v>17</v>
      </c>
      <c r="E27" s="22" t="s">
        <v>50</v>
      </c>
      <c r="F27" s="10">
        <v>8</v>
      </c>
      <c r="G27" s="10">
        <v>9</v>
      </c>
      <c r="H27" s="10">
        <v>10</v>
      </c>
      <c r="I27" s="10">
        <v>10</v>
      </c>
      <c r="J27" s="10">
        <v>8</v>
      </c>
      <c r="K27" s="10">
        <v>10</v>
      </c>
      <c r="L27" s="10">
        <v>9</v>
      </c>
      <c r="M27" s="10">
        <v>10</v>
      </c>
      <c r="N27" s="10">
        <v>7</v>
      </c>
      <c r="O27" s="10">
        <v>10</v>
      </c>
      <c r="P27" s="10">
        <v>10</v>
      </c>
      <c r="Q27" s="10">
        <v>8</v>
      </c>
      <c r="R27" s="10">
        <v>9</v>
      </c>
      <c r="S27" s="10">
        <v>5</v>
      </c>
      <c r="T27" s="2">
        <f t="shared" si="0"/>
        <v>8.7857142857142865</v>
      </c>
      <c r="U27" s="28"/>
      <c r="V27" s="27"/>
    </row>
    <row r="28" spans="1:22" ht="15" customHeight="1" x14ac:dyDescent="0.25">
      <c r="A28" s="25"/>
      <c r="B28" s="28"/>
      <c r="C28" s="23" t="s">
        <v>13</v>
      </c>
      <c r="D28" s="23">
        <v>18</v>
      </c>
      <c r="E28" s="9" t="s">
        <v>51</v>
      </c>
      <c r="F28" s="10">
        <v>9</v>
      </c>
      <c r="G28" s="10">
        <v>8</v>
      </c>
      <c r="H28" s="10">
        <v>9</v>
      </c>
      <c r="I28" s="10">
        <v>10</v>
      </c>
      <c r="J28" s="10">
        <v>8</v>
      </c>
      <c r="K28" s="10">
        <v>9</v>
      </c>
      <c r="L28" s="10">
        <v>7</v>
      </c>
      <c r="M28" s="10">
        <v>8</v>
      </c>
      <c r="N28" s="10">
        <v>9</v>
      </c>
      <c r="O28" s="10">
        <v>9</v>
      </c>
      <c r="P28" s="10">
        <v>9</v>
      </c>
      <c r="Q28" s="10">
        <v>8</v>
      </c>
      <c r="R28" s="10">
        <v>10</v>
      </c>
      <c r="S28" s="10">
        <v>5</v>
      </c>
      <c r="T28" s="2">
        <f t="shared" si="0"/>
        <v>8.4285714285714288</v>
      </c>
      <c r="U28" s="28"/>
      <c r="V28" s="27"/>
    </row>
    <row r="29" spans="1:22" ht="15" customHeight="1" x14ac:dyDescent="0.25">
      <c r="A29" s="25"/>
      <c r="B29" s="28"/>
      <c r="C29" s="23" t="s">
        <v>13</v>
      </c>
      <c r="D29" s="23">
        <v>19</v>
      </c>
      <c r="E29" s="9" t="s">
        <v>52</v>
      </c>
      <c r="F29" s="10">
        <v>6</v>
      </c>
      <c r="G29" s="10">
        <v>9</v>
      </c>
      <c r="H29" s="10">
        <v>9</v>
      </c>
      <c r="I29" s="10">
        <v>9</v>
      </c>
      <c r="J29" s="10">
        <v>6</v>
      </c>
      <c r="K29" s="10">
        <v>7</v>
      </c>
      <c r="L29" s="10">
        <v>8</v>
      </c>
      <c r="M29" s="10">
        <v>7</v>
      </c>
      <c r="N29" s="10">
        <v>5</v>
      </c>
      <c r="O29" s="10">
        <v>7</v>
      </c>
      <c r="P29" s="10">
        <v>8</v>
      </c>
      <c r="Q29" s="10">
        <v>6</v>
      </c>
      <c r="R29" s="10">
        <v>10</v>
      </c>
      <c r="S29" s="10">
        <v>6</v>
      </c>
      <c r="T29" s="2">
        <f t="shared" si="0"/>
        <v>7.3571428571428568</v>
      </c>
      <c r="U29" s="28"/>
      <c r="V29" s="27"/>
    </row>
    <row r="30" spans="1:22" ht="15" customHeight="1" x14ac:dyDescent="0.25">
      <c r="A30" s="25"/>
      <c r="B30" s="28"/>
      <c r="C30" s="23" t="s">
        <v>13</v>
      </c>
      <c r="D30" s="23">
        <v>20</v>
      </c>
      <c r="E30" s="9" t="s">
        <v>53</v>
      </c>
      <c r="F30" s="10">
        <v>6</v>
      </c>
      <c r="G30" s="10">
        <v>9</v>
      </c>
      <c r="H30" s="10">
        <v>8</v>
      </c>
      <c r="I30" s="10">
        <v>9</v>
      </c>
      <c r="J30" s="10">
        <v>7</v>
      </c>
      <c r="K30" s="10">
        <v>5</v>
      </c>
      <c r="L30" s="10">
        <v>9</v>
      </c>
      <c r="M30" s="10">
        <v>6</v>
      </c>
      <c r="N30" s="10">
        <v>6</v>
      </c>
      <c r="O30" s="10">
        <v>8</v>
      </c>
      <c r="P30" s="10">
        <v>6</v>
      </c>
      <c r="Q30" s="10">
        <v>6</v>
      </c>
      <c r="R30" s="10">
        <v>9</v>
      </c>
      <c r="S30" s="10">
        <v>5</v>
      </c>
      <c r="T30" s="2">
        <f t="shared" si="0"/>
        <v>7.0714285714285712</v>
      </c>
      <c r="U30" s="28"/>
      <c r="V30" s="27"/>
    </row>
    <row r="31" spans="1:22" ht="15" customHeight="1" x14ac:dyDescent="0.25">
      <c r="A31" s="25"/>
      <c r="B31" s="28"/>
      <c r="C31" s="23" t="s">
        <v>13</v>
      </c>
      <c r="D31" s="23">
        <v>21</v>
      </c>
      <c r="E31" s="9" t="s">
        <v>54</v>
      </c>
      <c r="F31" s="10">
        <v>6</v>
      </c>
      <c r="G31" s="10">
        <v>5</v>
      </c>
      <c r="H31" s="10">
        <v>7</v>
      </c>
      <c r="I31" s="10">
        <v>5</v>
      </c>
      <c r="J31" s="10">
        <v>6</v>
      </c>
      <c r="K31" s="10">
        <v>5</v>
      </c>
      <c r="L31" s="10">
        <v>7</v>
      </c>
      <c r="M31" s="10">
        <v>7</v>
      </c>
      <c r="N31" s="10">
        <v>4</v>
      </c>
      <c r="O31" s="10">
        <v>5</v>
      </c>
      <c r="P31" s="10">
        <v>6</v>
      </c>
      <c r="Q31" s="10">
        <v>4</v>
      </c>
      <c r="R31" s="10">
        <v>9</v>
      </c>
      <c r="S31" s="10">
        <v>6</v>
      </c>
      <c r="T31" s="2">
        <f t="shared" si="0"/>
        <v>5.8571428571428568</v>
      </c>
      <c r="U31" s="28"/>
      <c r="V31" s="27"/>
    </row>
    <row r="32" spans="1:22" ht="15" customHeight="1" x14ac:dyDescent="0.25">
      <c r="A32" s="25"/>
      <c r="B32" s="28"/>
      <c r="C32" s="23" t="s">
        <v>13</v>
      </c>
      <c r="D32" s="23">
        <v>22</v>
      </c>
      <c r="E32" s="9" t="s">
        <v>55</v>
      </c>
      <c r="F32" s="10">
        <v>5</v>
      </c>
      <c r="G32" s="10">
        <v>5</v>
      </c>
      <c r="H32" s="10">
        <v>4</v>
      </c>
      <c r="I32" s="10">
        <v>5</v>
      </c>
      <c r="J32" s="10">
        <v>5</v>
      </c>
      <c r="K32" s="10">
        <v>6</v>
      </c>
      <c r="L32" s="10">
        <v>4</v>
      </c>
      <c r="M32" s="10">
        <v>7</v>
      </c>
      <c r="N32" s="10">
        <v>4</v>
      </c>
      <c r="O32" s="10">
        <v>8</v>
      </c>
      <c r="P32" s="10">
        <v>8</v>
      </c>
      <c r="Q32" s="10" t="s">
        <v>76</v>
      </c>
      <c r="R32" s="10">
        <v>8</v>
      </c>
      <c r="S32" s="10">
        <v>5</v>
      </c>
      <c r="T32" s="2" t="str">
        <f t="shared" si="0"/>
        <v>-</v>
      </c>
      <c r="U32" s="28"/>
      <c r="V32" s="27"/>
    </row>
    <row r="33" spans="1:23" ht="15" customHeight="1" x14ac:dyDescent="0.25">
      <c r="A33" s="25"/>
      <c r="B33" s="28"/>
      <c r="C33" s="23" t="s">
        <v>13</v>
      </c>
      <c r="D33" s="23">
        <v>23</v>
      </c>
      <c r="E33" s="9" t="s">
        <v>56</v>
      </c>
      <c r="F33" s="10">
        <v>8</v>
      </c>
      <c r="G33" s="10">
        <v>9</v>
      </c>
      <c r="H33" s="10">
        <v>10</v>
      </c>
      <c r="I33" s="10">
        <v>10</v>
      </c>
      <c r="J33" s="10">
        <v>10</v>
      </c>
      <c r="K33" s="10">
        <v>10</v>
      </c>
      <c r="L33" s="10">
        <v>9</v>
      </c>
      <c r="M33" s="10">
        <v>8</v>
      </c>
      <c r="N33" s="10">
        <v>9</v>
      </c>
      <c r="O33" s="10">
        <v>9</v>
      </c>
      <c r="P33" s="10">
        <v>9</v>
      </c>
      <c r="Q33" s="10">
        <v>8</v>
      </c>
      <c r="R33" s="10">
        <v>10</v>
      </c>
      <c r="S33" s="10">
        <v>5</v>
      </c>
      <c r="T33" s="2">
        <f t="shared" si="0"/>
        <v>8.8571428571428577</v>
      </c>
      <c r="U33" s="28"/>
      <c r="V33" s="27"/>
    </row>
    <row r="34" spans="1:23" ht="15" customHeight="1" x14ac:dyDescent="0.25">
      <c r="A34" s="25"/>
      <c r="B34" s="28"/>
      <c r="C34" s="23" t="s">
        <v>13</v>
      </c>
      <c r="D34" s="23">
        <v>24</v>
      </c>
      <c r="E34" s="9" t="s">
        <v>57</v>
      </c>
      <c r="F34" s="10">
        <v>7</v>
      </c>
      <c r="G34" s="10">
        <v>9</v>
      </c>
      <c r="H34" s="10">
        <v>10</v>
      </c>
      <c r="I34" s="10">
        <v>10</v>
      </c>
      <c r="J34" s="10">
        <v>8</v>
      </c>
      <c r="K34" s="10">
        <v>9</v>
      </c>
      <c r="L34" s="10">
        <v>6</v>
      </c>
      <c r="M34" s="10">
        <v>8</v>
      </c>
      <c r="N34" s="10">
        <v>9</v>
      </c>
      <c r="O34" s="10">
        <v>10</v>
      </c>
      <c r="P34" s="10">
        <v>9</v>
      </c>
      <c r="Q34" s="10">
        <v>7</v>
      </c>
      <c r="R34" s="10">
        <v>9</v>
      </c>
      <c r="S34" s="10">
        <v>6</v>
      </c>
      <c r="T34" s="2">
        <f t="shared" si="0"/>
        <v>8.3571428571428577</v>
      </c>
      <c r="U34" s="28"/>
      <c r="V34" s="27"/>
    </row>
    <row r="35" spans="1:23" ht="15" customHeight="1" x14ac:dyDescent="0.25">
      <c r="A35" s="25"/>
      <c r="B35" s="28"/>
      <c r="C35" s="23" t="s">
        <v>13</v>
      </c>
      <c r="D35" s="23">
        <v>25</v>
      </c>
      <c r="E35" s="9" t="s">
        <v>58</v>
      </c>
      <c r="F35" s="10">
        <v>7</v>
      </c>
      <c r="G35" s="10">
        <v>9</v>
      </c>
      <c r="H35" s="10">
        <v>9</v>
      </c>
      <c r="I35" s="10">
        <v>8</v>
      </c>
      <c r="J35" s="10">
        <v>8</v>
      </c>
      <c r="K35" s="10">
        <v>10</v>
      </c>
      <c r="L35" s="10">
        <v>6</v>
      </c>
      <c r="M35" s="10">
        <v>8</v>
      </c>
      <c r="N35" s="10">
        <v>4</v>
      </c>
      <c r="O35" s="10">
        <v>7</v>
      </c>
      <c r="P35" s="10">
        <v>7</v>
      </c>
      <c r="Q35" s="10">
        <v>4</v>
      </c>
      <c r="R35" s="10">
        <v>9</v>
      </c>
      <c r="S35" s="10">
        <v>6</v>
      </c>
      <c r="T35" s="2">
        <f t="shared" si="0"/>
        <v>7.2857142857142856</v>
      </c>
      <c r="U35" s="28"/>
      <c r="V35" s="27"/>
    </row>
    <row r="36" spans="1:23" ht="15" customHeight="1" x14ac:dyDescent="0.25">
      <c r="A36" s="25"/>
      <c r="B36" s="28"/>
      <c r="C36" s="23" t="s">
        <v>13</v>
      </c>
      <c r="D36" s="23">
        <v>26</v>
      </c>
      <c r="E36" s="9" t="s">
        <v>59</v>
      </c>
      <c r="F36" s="10">
        <v>9</v>
      </c>
      <c r="G36" s="10">
        <v>10</v>
      </c>
      <c r="H36" s="10">
        <v>10</v>
      </c>
      <c r="I36" s="10">
        <v>10</v>
      </c>
      <c r="J36" s="10">
        <v>9</v>
      </c>
      <c r="K36" s="10">
        <v>10</v>
      </c>
      <c r="L36" s="10">
        <v>8</v>
      </c>
      <c r="M36" s="10">
        <v>7</v>
      </c>
      <c r="N36" s="10">
        <v>9</v>
      </c>
      <c r="O36" s="10">
        <v>10</v>
      </c>
      <c r="P36" s="10">
        <v>10</v>
      </c>
      <c r="Q36" s="10">
        <v>9</v>
      </c>
      <c r="R36" s="10">
        <v>10</v>
      </c>
      <c r="S36" s="10">
        <v>5</v>
      </c>
      <c r="T36" s="2">
        <f t="shared" si="0"/>
        <v>9</v>
      </c>
      <c r="U36" s="28"/>
      <c r="V36" s="27"/>
    </row>
    <row r="37" spans="1:23" ht="15" customHeight="1" x14ac:dyDescent="0.25">
      <c r="A37" s="25"/>
      <c r="B37" s="28"/>
      <c r="C37" s="23" t="s">
        <v>13</v>
      </c>
      <c r="D37" s="23">
        <v>27</v>
      </c>
      <c r="E37" s="22" t="s">
        <v>60</v>
      </c>
      <c r="F37" s="10">
        <v>8</v>
      </c>
      <c r="G37" s="10">
        <v>8</v>
      </c>
      <c r="H37" s="10">
        <v>9</v>
      </c>
      <c r="I37" s="10">
        <v>11</v>
      </c>
      <c r="J37" s="10">
        <v>8</v>
      </c>
      <c r="K37" s="10">
        <v>10</v>
      </c>
      <c r="L37" s="10">
        <v>10</v>
      </c>
      <c r="M37" s="10">
        <v>8</v>
      </c>
      <c r="N37" s="10">
        <v>9</v>
      </c>
      <c r="O37" s="10">
        <v>10</v>
      </c>
      <c r="P37" s="10">
        <v>10</v>
      </c>
      <c r="Q37" s="10">
        <v>8</v>
      </c>
      <c r="R37" s="10">
        <v>9</v>
      </c>
      <c r="S37" s="10">
        <v>5</v>
      </c>
      <c r="T37" s="2">
        <f t="shared" si="0"/>
        <v>8.7857142857142865</v>
      </c>
      <c r="U37" s="28"/>
      <c r="V37" s="27"/>
    </row>
    <row r="38" spans="1:23" ht="15" customHeight="1" x14ac:dyDescent="0.25">
      <c r="A38" s="25"/>
      <c r="B38" s="28"/>
      <c r="C38" s="11"/>
      <c r="D38" s="11"/>
      <c r="E38" s="9" t="s">
        <v>14</v>
      </c>
      <c r="F38" s="3">
        <f>IF(SUM(F11:F37)=0,"",SUM(F11:F37)/D37)</f>
        <v>7.2222222222222223</v>
      </c>
      <c r="G38" s="3">
        <f>IF(SUM(G11:G37)=0,"",SUM(G11:G37)/D37)</f>
        <v>8.2222222222222214</v>
      </c>
      <c r="H38" s="3">
        <f>IF(SUM(H11:H37)=0,"",SUM(H11:H37)/D37)</f>
        <v>8.4074074074074066</v>
      </c>
      <c r="I38" s="3">
        <f>IF(SUM(I11:I37)=0,"",SUM(I11:I37)/D37)</f>
        <v>9.1111111111111107</v>
      </c>
      <c r="J38" s="3">
        <f>IF(SUM(J11:J37)=0,"",SUM(J11:J37)/D37)</f>
        <v>7.2962962962962967</v>
      </c>
      <c r="K38" s="3">
        <f>IF(SUM(K11:K37)=0,"",SUM(K11:K37)/D37)</f>
        <v>8.1111111111111107</v>
      </c>
      <c r="L38" s="3">
        <f>IF(SUM(L11:L37)=0,"",SUM(L11:L37)/D37)</f>
        <v>7.333333333333333</v>
      </c>
      <c r="M38" s="3">
        <f>IF(SUM(M11:M37)=0,"",SUM(M11:M37)/D37)</f>
        <v>7.1111111111111107</v>
      </c>
      <c r="N38" s="3">
        <f>IF(SUM(N11:N37)=0,"",SUM(N11:N37)/D37)</f>
        <v>5.9259259259259256</v>
      </c>
      <c r="O38" s="3">
        <f>IF(SUM(O11:O37)=0,"",SUM(O11:O37)/D37)</f>
        <v>8.1851851851851851</v>
      </c>
      <c r="P38" s="3">
        <f>IF(SUM(P11:P37)=0,"",SUM(P11:P37)/D37)</f>
        <v>7.7777777777777777</v>
      </c>
      <c r="Q38" s="3">
        <f>IF(SUM(Q11:Q37)=0,"",SUM(Q11:Q37)/D37)</f>
        <v>5.666666666666667</v>
      </c>
      <c r="R38" s="3">
        <f>IF(SUM(R11:R37)=0,"",SUM(R11:R37)/D37)</f>
        <v>8.3333333333333339</v>
      </c>
      <c r="S38" s="3">
        <f>IF(SUM(S11:S37)=0,"",SUM(S11:S37)/D37)</f>
        <v>5.5925925925925926</v>
      </c>
      <c r="T38" s="2">
        <f>IFERROR(AVERAGE(F38:S38),"")</f>
        <v>7.4497354497354493</v>
      </c>
      <c r="U38" s="28"/>
      <c r="V38" s="27"/>
    </row>
    <row r="39" spans="1:23" ht="15" customHeight="1" x14ac:dyDescent="0.25">
      <c r="A39" s="25"/>
      <c r="B39" s="28"/>
      <c r="C39" s="11"/>
      <c r="D39" s="11"/>
      <c r="E39" s="9" t="s">
        <v>15</v>
      </c>
      <c r="F39" s="12">
        <f>IF(SUM(F11:F37)=0,"",IF(COUNTIF(F11:F37,"&gt;=4")=0,0,COUNTIF(F11:F37,"&gt;=4")/D37*100))</f>
        <v>100</v>
      </c>
      <c r="G39" s="12">
        <f>IF(SUM(G11:G37)=0,"",IF(COUNTIF(G11:G37,"&gt;=4")=0,0,COUNTIF(G11:G37,"&gt;=4")/D37*100))</f>
        <v>100</v>
      </c>
      <c r="H39" s="12">
        <f>IF(SUM(H11:H37)=0,"",IF(COUNTIF(H11:H37,"&gt;=4")=0,0,COUNTIF(H11:H37,"&gt;=4")/D37*100))</f>
        <v>100</v>
      </c>
      <c r="I39" s="12">
        <f>IF(SUM(I11:I37)=0,"",IF(COUNTIF(I11:I37,"&gt;=4")=0,0,COUNTIF(I11:I37,"&gt;=4")/D37*100))</f>
        <v>100</v>
      </c>
      <c r="J39" s="12">
        <f>IF(SUM(J11:J37)=0,"",IF(COUNTIF(J11:J37,"&gt;=4")=0,0,COUNTIF(J11:J37,"&gt;=4")/D37*100))</f>
        <v>100</v>
      </c>
      <c r="K39" s="12">
        <f>IF(SUM(K11:K37)=0,"",IF(COUNTIF(K11:K37,"&gt;=4")=0,0,COUNTIF(K11:K37,"&gt;=4")/D37*100))</f>
        <v>100</v>
      </c>
      <c r="L39" s="12">
        <f>IF(SUM(L11:L37)=0,"",IF(COUNTIF(L11:L37,"&gt;=4")=0,0,COUNTIF(L11:L37,"&gt;=4")/D37*100))</f>
        <v>100</v>
      </c>
      <c r="M39" s="12">
        <f>IF(SUM(M11:M37)=0,"",IF(COUNTIF(M11:M37,"&gt;=4")=0,0,COUNTIF(M11:M37,"&gt;=4")/D37*100))</f>
        <v>100</v>
      </c>
      <c r="N39" s="12">
        <f>IF(SUM(N11:N37)=0,"",IF(COUNTIF(N11:N37,"&gt;=4")=0,0,COUNTIF(N11:N37,"&gt;=4")/D37*100))</f>
        <v>92.592592592592595</v>
      </c>
      <c r="O39" s="12">
        <f>IF(SUM(O11:O37)=0,"",IF(COUNTIF(O11:O37,"&gt;=4")=0,0,COUNTIF(O11:O37,"&gt;=4")/D37*100))</f>
        <v>100</v>
      </c>
      <c r="P39" s="12">
        <f>IF(SUM(P11:P37)=0,"",IF(COUNTIF(P11:P37,"&gt;=4")=0,0,COUNTIF(P11:P37,"&gt;=4")/D37*100))</f>
        <v>100</v>
      </c>
      <c r="Q39" s="12">
        <f>IF(SUM(Q11:Q37)=0,"",IF(COUNTIF(Q11:Q37,"&gt;=4")=0,0,COUNTIF(Q11:Q37,"&gt;=4")/D37*100))</f>
        <v>85.18518518518519</v>
      </c>
      <c r="R39" s="12">
        <f>IF(SUM(R11:R37)=0,"",IF(COUNTIF(R11:R37,"&gt;=4")=0,0,COUNTIF(R11:R37,"&gt;=4")/D37*100))</f>
        <v>100</v>
      </c>
      <c r="S39" s="12">
        <f>IF(SUM(S11:S37)=0,"",IF(COUNTIF(S11:S37,"&gt;=4")=0,0,COUNTIF(S11:S37,"&gt;=4")/D37*100))</f>
        <v>100</v>
      </c>
      <c r="T39" s="13"/>
      <c r="U39" s="28"/>
      <c r="V39" s="27"/>
      <c r="W39" s="14"/>
    </row>
    <row r="40" spans="1:23" ht="15" customHeight="1" x14ac:dyDescent="0.25">
      <c r="A40" s="25"/>
      <c r="B40" s="28"/>
      <c r="C40" s="11"/>
      <c r="D40" s="11"/>
      <c r="E40" s="9" t="s">
        <v>16</v>
      </c>
      <c r="F40" s="12">
        <f>IF(SUM(F11:F37)=0,"",IF(COUNTIF(F11:F37,"&gt;=7")=0,0,COUNTIF(F11:F37,"&gt;=7")/D37*100))</f>
        <v>77.777777777777786</v>
      </c>
      <c r="G40" s="12">
        <f>IF(SUM(G11:G37)=0,"",IF(COUNTIF(G11:G37,"&gt;=7")=0,0,COUNTIF(G11:G37,"&gt;=7")/D37*100))</f>
        <v>85.18518518518519</v>
      </c>
      <c r="H40" s="12">
        <f>IF(SUM(H11:H37)=0,"",IF(COUNTIF(H11:H37,"&gt;=7")=0,0,COUNTIF(H11:H37,"&gt;=7")/D37*100))</f>
        <v>88.888888888888886</v>
      </c>
      <c r="I40" s="12">
        <f>IF(SUM(I11:I37)=0,"",IF(COUNTIF(I11:I37,"&gt;=7")=0,0,COUNTIF(I11:I37,"&gt;=7")/D37*100))</f>
        <v>88.888888888888886</v>
      </c>
      <c r="J40" s="12">
        <f>IF(SUM(J11:J37)=0,"",IF(COUNTIF(J11:J37,"&gt;=7")=0,0,COUNTIF(J11:J37,"&gt;=7")/D37*100))</f>
        <v>74.074074074074076</v>
      </c>
      <c r="K40" s="12">
        <f>IF(SUM(K11:K37)=0,"",IF(COUNTIF(K11:K37,"&gt;=7")=0,0,COUNTIF(K11:K37,"&gt;=7")/D37*100))</f>
        <v>70.370370370370367</v>
      </c>
      <c r="L40" s="12">
        <f>IF(SUM(L11:L37)=0,"",IF(COUNTIF(L11:L37,"&gt;=7")=0,0,COUNTIF(L11:L37,"&gt;=7")/D37*100))</f>
        <v>70.370370370370367</v>
      </c>
      <c r="M40" s="12">
        <f>IF(SUM(M11:M37)=0,"",IF(COUNTIF(M11:M37,"&gt;=7")=0,0,COUNTIF(M11:M37,"&gt;=7")/D37*100))</f>
        <v>77.777777777777786</v>
      </c>
      <c r="N40" s="12">
        <f>IF(SUM(N11:N37)=0,"",IF(COUNTIF(N11:N37,"&gt;=7")=0,0,COUNTIF(N11:N37,"&gt;=7")/D37*100))</f>
        <v>37.037037037037038</v>
      </c>
      <c r="O40" s="12">
        <f>IF(SUM(O11:O37)=0,"",IF(COUNTIF(O11:O37,"&gt;=7")=0,0,COUNTIF(O11:O37,"&gt;=7")/D37*100))</f>
        <v>85.18518518518519</v>
      </c>
      <c r="P40" s="12">
        <f>IF(SUM(P11:P37)=0,"",IF(COUNTIF(P11:P37,"&gt;=7")=0,0,COUNTIF(P11:P37,"&gt;=7")/D37*100))</f>
        <v>74.074074074074076</v>
      </c>
      <c r="Q40" s="12">
        <f>IF(SUM(Q11:Q37)=0,"",IF(COUNTIF(Q11:Q37,"&gt;=7")=0,0,COUNTIF(Q11:Q37,"&gt;=7")/D37*100))</f>
        <v>44.444444444444443</v>
      </c>
      <c r="R40" s="12">
        <f>IF(SUM(R11:R37)=0,"",IF(COUNTIF(R11:R37,"&gt;=7")=0,0,COUNTIF(R11:R37,"&gt;=7")/D37*100))</f>
        <v>77.777777777777786</v>
      </c>
      <c r="S40" s="12">
        <f>IF(SUM(S11:S37)=0,"",IF(COUNTIF(S11:S37,"&gt;=7")=0,0,COUNTIF(S11:S37,"&gt;=7")/D37*100))</f>
        <v>11.111111111111111</v>
      </c>
      <c r="T40" s="15"/>
      <c r="U40" s="28"/>
      <c r="V40" s="27"/>
      <c r="W40" s="14"/>
    </row>
    <row r="41" spans="1:23" ht="15" customHeight="1" x14ac:dyDescent="0.25">
      <c r="A41" s="25"/>
      <c r="B41" s="28"/>
      <c r="C41" s="11"/>
      <c r="D41" s="11"/>
      <c r="E41" s="9" t="s">
        <v>17</v>
      </c>
      <c r="F41" s="3">
        <f>IFERROR(AVERAGE(F39:S39),"")</f>
        <v>98.412698412698418</v>
      </c>
      <c r="G41" s="11"/>
      <c r="H41" s="11"/>
      <c r="I41" s="11"/>
      <c r="J41" s="11"/>
      <c r="K41" s="11"/>
      <c r="L41" s="11"/>
      <c r="M41" s="11"/>
      <c r="N41" s="11"/>
      <c r="O41" s="11"/>
      <c r="P41" s="11"/>
      <c r="Q41" s="11"/>
      <c r="R41" s="11"/>
      <c r="S41" s="11"/>
      <c r="T41" s="15"/>
      <c r="U41" s="28"/>
      <c r="V41" s="27"/>
      <c r="W41" s="14"/>
    </row>
    <row r="42" spans="1:23" ht="15" customHeight="1" x14ac:dyDescent="0.25">
      <c r="A42" s="25"/>
      <c r="B42" s="28"/>
      <c r="C42" s="11"/>
      <c r="D42" s="11"/>
      <c r="E42" s="9" t="s">
        <v>18</v>
      </c>
      <c r="F42" s="3">
        <f>IFERROR(AVERAGE(F40:S40),"")</f>
        <v>68.783068783068799</v>
      </c>
      <c r="G42" s="11"/>
      <c r="H42" s="11"/>
      <c r="I42" s="11"/>
      <c r="J42" s="11"/>
      <c r="K42" s="11"/>
      <c r="L42" s="11"/>
      <c r="M42" s="11"/>
      <c r="N42" s="11"/>
      <c r="O42" s="11"/>
      <c r="P42" s="11"/>
      <c r="Q42" s="11"/>
      <c r="R42" s="11"/>
      <c r="S42" s="11"/>
      <c r="T42" s="15"/>
      <c r="U42" s="28"/>
      <c r="V42" s="27"/>
      <c r="W42" s="14"/>
    </row>
    <row r="43" spans="1:23" ht="15" customHeight="1" x14ac:dyDescent="0.25">
      <c r="A43" s="25"/>
      <c r="B43" s="28"/>
      <c r="C43" s="11"/>
      <c r="D43" s="11"/>
      <c r="E43" s="9" t="s">
        <v>19</v>
      </c>
      <c r="F43" s="16">
        <f>IF(COUNTIF(C11:C37,"=Б")=0,IF(COUNTIF(C11:C37,"=К")=0,"",0),COUNTIF(C11:C37,"=Б"))</f>
        <v>0</v>
      </c>
      <c r="G43" s="11"/>
      <c r="H43" s="11"/>
      <c r="I43" s="11"/>
      <c r="J43" s="11"/>
      <c r="K43" s="11"/>
      <c r="L43" s="11"/>
      <c r="M43" s="11"/>
      <c r="N43" s="11"/>
      <c r="O43" s="11"/>
      <c r="P43" s="11"/>
      <c r="Q43" s="11"/>
      <c r="R43" s="11"/>
      <c r="S43" s="11"/>
      <c r="T43" s="15"/>
      <c r="U43" s="28"/>
      <c r="V43" s="27"/>
      <c r="W43" s="14"/>
    </row>
    <row r="44" spans="1:23" ht="15" customHeight="1" x14ac:dyDescent="0.25">
      <c r="A44" s="25"/>
      <c r="B44" s="28"/>
      <c r="C44" s="11"/>
      <c r="D44" s="11"/>
      <c r="E44" s="9" t="s">
        <v>20</v>
      </c>
      <c r="F44" s="16">
        <f>IF(COUNTIF(C11:C37,"=К")=0,IF(COUNTIF(C11:C37,"=Б")=0,"",0),COUNTIF(C11:C37,"=К"))</f>
        <v>27</v>
      </c>
      <c r="G44" s="11"/>
      <c r="H44" s="17" t="s">
        <v>21</v>
      </c>
      <c r="I44" s="11"/>
      <c r="J44" s="11"/>
      <c r="K44" s="11"/>
      <c r="L44" s="11"/>
      <c r="M44" s="11"/>
      <c r="N44" s="11"/>
      <c r="O44" s="1" t="s">
        <v>32</v>
      </c>
      <c r="P44" s="11"/>
      <c r="Q44" s="11"/>
      <c r="R44" s="11"/>
      <c r="S44" s="11"/>
      <c r="T44" s="11"/>
      <c r="U44" s="28"/>
      <c r="V44" s="27"/>
    </row>
    <row r="45" spans="1:23" ht="15" customHeight="1" x14ac:dyDescent="0.25">
      <c r="A45" s="25"/>
      <c r="B45" s="28"/>
      <c r="C45" s="11"/>
      <c r="D45" s="11"/>
      <c r="E45" s="9" t="s">
        <v>22</v>
      </c>
      <c r="F45" s="16">
        <v>0</v>
      </c>
      <c r="G45" s="11"/>
      <c r="H45" s="11"/>
      <c r="I45" s="11"/>
      <c r="J45" s="11"/>
      <c r="K45" s="11"/>
      <c r="L45" s="11"/>
      <c r="M45" s="11"/>
      <c r="N45" s="11"/>
      <c r="O45" s="11"/>
      <c r="P45" s="11"/>
      <c r="Q45" s="11"/>
      <c r="R45" s="11"/>
      <c r="S45" s="11"/>
      <c r="T45" s="11"/>
      <c r="U45" s="28"/>
      <c r="V45" s="27"/>
    </row>
    <row r="46" spans="1:23" ht="15" customHeight="1" x14ac:dyDescent="0.25">
      <c r="A46" s="25"/>
      <c r="B46" s="28"/>
      <c r="C46" s="11"/>
      <c r="D46" s="11"/>
      <c r="E46" s="9" t="s">
        <v>23</v>
      </c>
      <c r="F46" s="16">
        <v>0</v>
      </c>
      <c r="G46" s="11"/>
      <c r="H46" s="17" t="s">
        <v>24</v>
      </c>
      <c r="I46" s="11"/>
      <c r="J46" s="11"/>
      <c r="K46" s="11"/>
      <c r="L46" s="11"/>
      <c r="M46" s="11"/>
      <c r="N46" s="11"/>
      <c r="O46" s="17" t="s">
        <v>25</v>
      </c>
      <c r="P46" s="11"/>
      <c r="Q46" s="11"/>
      <c r="R46" s="11"/>
      <c r="S46" s="11"/>
      <c r="T46" s="11"/>
      <c r="U46" s="28"/>
      <c r="V46" s="27"/>
    </row>
    <row r="47" spans="1:23" ht="12" customHeight="1" thickBot="1" x14ac:dyDescent="0.3">
      <c r="A47" s="25"/>
      <c r="B47" s="26"/>
      <c r="C47" s="26"/>
      <c r="D47" s="26"/>
      <c r="E47" s="26"/>
      <c r="F47" s="26"/>
      <c r="G47" s="26"/>
      <c r="H47" s="26"/>
      <c r="I47" s="26"/>
      <c r="J47" s="26"/>
      <c r="K47" s="26"/>
      <c r="L47" s="26"/>
      <c r="M47" s="26"/>
      <c r="N47" s="26"/>
      <c r="O47" s="26"/>
      <c r="P47" s="26"/>
      <c r="Q47" s="26"/>
      <c r="R47" s="26"/>
      <c r="S47" s="26"/>
      <c r="T47" s="26"/>
      <c r="U47" s="26"/>
      <c r="V47" s="27"/>
    </row>
    <row r="48" spans="1:23" ht="12" customHeight="1" x14ac:dyDescent="0.25">
      <c r="B48" s="31"/>
      <c r="C48" s="31"/>
      <c r="D48" s="31"/>
      <c r="E48" s="31"/>
      <c r="F48" s="31"/>
      <c r="G48" s="31"/>
      <c r="H48" s="31"/>
      <c r="I48" s="31"/>
      <c r="J48" s="31"/>
      <c r="K48" s="31"/>
      <c r="L48" s="31"/>
      <c r="M48" s="31"/>
      <c r="N48" s="31"/>
      <c r="O48" s="31"/>
      <c r="P48" s="31"/>
      <c r="Q48" s="31"/>
      <c r="R48" s="31"/>
      <c r="S48" s="31"/>
      <c r="T48" s="31"/>
      <c r="U48" s="31"/>
    </row>
  </sheetData>
  <sheetProtection selectLockedCells="1"/>
  <sortState ref="E11:E20">
    <sortCondition ref="E11"/>
  </sortState>
  <mergeCells count="18">
    <mergeCell ref="B48:U48"/>
    <mergeCell ref="C7:T7"/>
    <mergeCell ref="C8:T8"/>
    <mergeCell ref="C9:C10"/>
    <mergeCell ref="D9:D10"/>
    <mergeCell ref="E9:E10"/>
    <mergeCell ref="F9:T9"/>
    <mergeCell ref="B1:U1"/>
    <mergeCell ref="A2:A47"/>
    <mergeCell ref="B2:U2"/>
    <mergeCell ref="V2:V47"/>
    <mergeCell ref="B3:B46"/>
    <mergeCell ref="C3:T3"/>
    <mergeCell ref="U3:U46"/>
    <mergeCell ref="C4:T4"/>
    <mergeCell ref="C5:T5"/>
    <mergeCell ref="C6:T6"/>
    <mergeCell ref="B47:U47"/>
  </mergeCells>
  <conditionalFormatting sqref="T11:T37">
    <cfRule type="expression" dxfId="21" priority="55">
      <formula>$U$37&lt;&gt;""</formula>
    </cfRule>
  </conditionalFormatting>
  <conditionalFormatting sqref="D13 D15 D17 D19 D21 D23 D25 D27 D29 D31 D33 D35 D37 C11:S11 F12:S37">
    <cfRule type="expression" dxfId="20" priority="56">
      <formula>$U$11&lt;&gt;""</formula>
    </cfRule>
  </conditionalFormatting>
  <conditionalFormatting sqref="C12:E12 D14 D16 D18 D20 C22:E22 D24 D26 D28 D30 C32:E32 D34 D36">
    <cfRule type="expression" dxfId="19" priority="57">
      <formula>#REF!&lt;&gt;""</formula>
    </cfRule>
  </conditionalFormatting>
  <conditionalFormatting sqref="E33 C33 E23 C23 E13 C13">
    <cfRule type="expression" dxfId="18" priority="71">
      <formula>#REF!&lt;&gt;""</formula>
    </cfRule>
  </conditionalFormatting>
  <conditionalFormatting sqref="E34 C34 E24 C24 E14 C14">
    <cfRule type="expression" dxfId="17" priority="72">
      <formula>#REF!&lt;&gt;""</formula>
    </cfRule>
  </conditionalFormatting>
  <conditionalFormatting sqref="E35 C35 E25 C25 E15 C15">
    <cfRule type="expression" dxfId="16" priority="73">
      <formula>#REF!&lt;&gt;""</formula>
    </cfRule>
  </conditionalFormatting>
  <conditionalFormatting sqref="C36 E36 C26:C27 E26:E27 C16:C17 E16:E17">
    <cfRule type="expression" dxfId="15" priority="74">
      <formula>#REF!&lt;&gt;""</formula>
    </cfRule>
  </conditionalFormatting>
  <conditionalFormatting sqref="E28 C28 E18 C18">
    <cfRule type="expression" dxfId="14" priority="85">
      <formula>#REF!&lt;&gt;""</formula>
    </cfRule>
  </conditionalFormatting>
  <conditionalFormatting sqref="E29:E30 C29:C30 E19:E20 C19:C20">
    <cfRule type="expression" dxfId="13" priority="86">
      <formula>#REF!&lt;&gt;""</formula>
    </cfRule>
  </conditionalFormatting>
  <conditionalFormatting sqref="E31 C31 E21 C21">
    <cfRule type="expression" dxfId="12" priority="87">
      <formula>#REF!&lt;&gt;""</formula>
    </cfRule>
  </conditionalFormatting>
  <conditionalFormatting sqref="C37 E37">
    <cfRule type="expression" dxfId="11" priority="3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E100"/>
    <pageSetUpPr fitToPage="1"/>
  </sheetPr>
  <dimension ref="A1:BF30"/>
  <sheetViews>
    <sheetView zoomScaleNormal="100" workbookViewId="0"/>
  </sheetViews>
  <sheetFormatPr defaultColWidth="0" defaultRowHeight="0" customHeight="1" zeroHeight="1" x14ac:dyDescent="0.25"/>
  <cols>
    <col min="1" max="2" width="2.7109375" style="4" customWidth="1"/>
    <col min="3" max="3" width="4.140625" style="4" customWidth="1"/>
    <col min="4" max="4" width="6.5703125" style="4" customWidth="1"/>
    <col min="5" max="5" width="40.42578125" style="4" customWidth="1"/>
    <col min="6" max="19" width="6.7109375" style="4" customWidth="1"/>
    <col min="20" max="20" width="11.28515625" style="4" customWidth="1"/>
    <col min="21" max="22" width="2.7109375" style="4" customWidth="1"/>
    <col min="23" max="28" width="14.42578125" style="4" hidden="1" customWidth="1"/>
    <col min="29" max="29" width="14.85546875" style="4" hidden="1" customWidth="1"/>
    <col min="30" max="43" width="3.7109375" style="4" hidden="1" customWidth="1"/>
    <col min="44" max="58" width="5.7109375" style="4" hidden="1" customWidth="1"/>
    <col min="59" max="16384" width="14.42578125" style="4" hidden="1"/>
  </cols>
  <sheetData>
    <row r="1" spans="1:22" ht="12" customHeight="1" thickBot="1" x14ac:dyDescent="0.3">
      <c r="B1" s="24"/>
      <c r="C1" s="24"/>
      <c r="D1" s="24"/>
      <c r="E1" s="24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</row>
    <row r="2" spans="1:22" ht="12" customHeight="1" x14ac:dyDescent="0.25">
      <c r="A2" s="25"/>
      <c r="B2" s="26"/>
      <c r="C2" s="26"/>
      <c r="D2" s="26"/>
      <c r="E2" s="26"/>
      <c r="F2" s="26"/>
      <c r="G2" s="26"/>
      <c r="H2" s="26"/>
      <c r="I2" s="26"/>
      <c r="J2" s="26"/>
      <c r="K2" s="26"/>
      <c r="L2" s="26"/>
      <c r="M2" s="26"/>
      <c r="N2" s="26"/>
      <c r="O2" s="26"/>
      <c r="P2" s="26"/>
      <c r="Q2" s="26"/>
      <c r="R2" s="26"/>
      <c r="S2" s="26"/>
      <c r="T2" s="26"/>
      <c r="U2" s="26"/>
      <c r="V2" s="27"/>
    </row>
    <row r="3" spans="1:22" s="5" customFormat="1" ht="15" customHeight="1" x14ac:dyDescent="0.25">
      <c r="A3" s="25"/>
      <c r="B3" s="28"/>
      <c r="C3" s="28" t="s">
        <v>0</v>
      </c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28"/>
      <c r="T3" s="28"/>
      <c r="U3" s="28"/>
      <c r="V3" s="27"/>
    </row>
    <row r="4" spans="1:22" s="5" customFormat="1" ht="15" customHeight="1" x14ac:dyDescent="0.25">
      <c r="A4" s="25"/>
      <c r="B4" s="28"/>
      <c r="C4" s="28" t="s">
        <v>1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28"/>
      <c r="T4" s="28"/>
      <c r="U4" s="28"/>
      <c r="V4" s="27"/>
    </row>
    <row r="5" spans="1:22" s="6" customFormat="1" ht="15" customHeight="1" x14ac:dyDescent="0.25">
      <c r="A5" s="25"/>
      <c r="B5" s="28"/>
      <c r="C5" s="29" t="s">
        <v>26</v>
      </c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29"/>
      <c r="T5" s="29"/>
      <c r="U5" s="28"/>
      <c r="V5" s="27"/>
    </row>
    <row r="6" spans="1:22" s="5" customFormat="1" ht="15" customHeight="1" x14ac:dyDescent="0.25">
      <c r="A6" s="25"/>
      <c r="B6" s="28"/>
      <c r="C6" s="30" t="s">
        <v>71</v>
      </c>
      <c r="D6" s="30"/>
      <c r="E6" s="30"/>
      <c r="F6" s="30"/>
      <c r="G6" s="30"/>
      <c r="H6" s="30"/>
      <c r="I6" s="30"/>
      <c r="J6" s="30"/>
      <c r="K6" s="30"/>
      <c r="L6" s="30"/>
      <c r="M6" s="30"/>
      <c r="N6" s="30"/>
      <c r="O6" s="30"/>
      <c r="P6" s="30"/>
      <c r="Q6" s="30"/>
      <c r="R6" s="30"/>
      <c r="S6" s="30"/>
      <c r="T6" s="30"/>
      <c r="U6" s="28"/>
      <c r="V6" s="27"/>
    </row>
    <row r="7" spans="1:22" s="5" customFormat="1" ht="15" customHeight="1" x14ac:dyDescent="0.25">
      <c r="A7" s="25"/>
      <c r="B7" s="28"/>
      <c r="C7" s="30" t="s">
        <v>27</v>
      </c>
      <c r="D7" s="30"/>
      <c r="E7" s="30"/>
      <c r="F7" s="30"/>
      <c r="G7" s="30"/>
      <c r="H7" s="30"/>
      <c r="I7" s="30"/>
      <c r="J7" s="30"/>
      <c r="K7" s="30"/>
      <c r="L7" s="30"/>
      <c r="M7" s="30"/>
      <c r="N7" s="30"/>
      <c r="O7" s="30"/>
      <c r="P7" s="30"/>
      <c r="Q7" s="30"/>
      <c r="R7" s="30"/>
      <c r="S7" s="30"/>
      <c r="T7" s="30"/>
      <c r="U7" s="28"/>
      <c r="V7" s="27"/>
    </row>
    <row r="8" spans="1:22" s="5" customFormat="1" ht="15" customHeight="1" x14ac:dyDescent="0.25">
      <c r="A8" s="25"/>
      <c r="B8" s="28"/>
      <c r="C8" s="28" t="s">
        <v>61</v>
      </c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8"/>
      <c r="V8" s="27"/>
    </row>
    <row r="9" spans="1:22" ht="15" customHeight="1" x14ac:dyDescent="0.25">
      <c r="A9" s="25"/>
      <c r="B9" s="28"/>
      <c r="C9" s="32" t="s">
        <v>2</v>
      </c>
      <c r="D9" s="34" t="s">
        <v>3</v>
      </c>
      <c r="E9" s="34" t="s">
        <v>4</v>
      </c>
      <c r="F9" s="33" t="s">
        <v>29</v>
      </c>
      <c r="G9" s="33"/>
      <c r="H9" s="33"/>
      <c r="I9" s="33"/>
      <c r="J9" s="33"/>
      <c r="K9" s="33"/>
      <c r="L9" s="33"/>
      <c r="M9" s="33"/>
      <c r="N9" s="33"/>
      <c r="O9" s="33"/>
      <c r="P9" s="33"/>
      <c r="Q9" s="33"/>
      <c r="R9" s="33"/>
      <c r="S9" s="33"/>
      <c r="T9" s="33"/>
      <c r="U9" s="28"/>
      <c r="V9" s="27"/>
    </row>
    <row r="10" spans="1:22" ht="125.1" customHeight="1" x14ac:dyDescent="0.25">
      <c r="A10" s="25"/>
      <c r="B10" s="28"/>
      <c r="C10" s="33"/>
      <c r="D10" s="33"/>
      <c r="E10" s="33"/>
      <c r="F10" s="18" t="s">
        <v>5</v>
      </c>
      <c r="G10" s="18" t="s">
        <v>6</v>
      </c>
      <c r="H10" s="18" t="s">
        <v>7</v>
      </c>
      <c r="I10" s="18" t="s">
        <v>28</v>
      </c>
      <c r="J10" s="18" t="s">
        <v>73</v>
      </c>
      <c r="K10" s="18" t="s">
        <v>30</v>
      </c>
      <c r="L10" s="18" t="s">
        <v>8</v>
      </c>
      <c r="M10" s="18" t="s">
        <v>9</v>
      </c>
      <c r="N10" s="18" t="s">
        <v>72</v>
      </c>
      <c r="O10" s="18" t="s">
        <v>74</v>
      </c>
      <c r="P10" s="18" t="s">
        <v>75</v>
      </c>
      <c r="Q10" s="18" t="s">
        <v>10</v>
      </c>
      <c r="R10" s="18" t="s">
        <v>31</v>
      </c>
      <c r="S10" s="18" t="s">
        <v>11</v>
      </c>
      <c r="T10" s="7" t="s">
        <v>12</v>
      </c>
      <c r="U10" s="28"/>
      <c r="V10" s="27"/>
    </row>
    <row r="11" spans="1:22" ht="15" customHeight="1" x14ac:dyDescent="0.25">
      <c r="A11" s="25"/>
      <c r="B11" s="28"/>
      <c r="C11" s="20" t="s">
        <v>13</v>
      </c>
      <c r="D11" s="20">
        <v>1</v>
      </c>
      <c r="E11" s="9" t="s">
        <v>62</v>
      </c>
      <c r="F11" s="10">
        <v>8</v>
      </c>
      <c r="G11" s="10">
        <v>9</v>
      </c>
      <c r="H11" s="10">
        <v>10</v>
      </c>
      <c r="I11" s="10">
        <v>11</v>
      </c>
      <c r="J11" s="10">
        <v>9</v>
      </c>
      <c r="K11" s="10">
        <v>9</v>
      </c>
      <c r="L11" s="10">
        <v>9</v>
      </c>
      <c r="M11" s="10">
        <v>9</v>
      </c>
      <c r="N11" s="10">
        <v>10</v>
      </c>
      <c r="O11" s="10">
        <v>9</v>
      </c>
      <c r="P11" s="10">
        <v>9</v>
      </c>
      <c r="Q11" s="10">
        <v>7</v>
      </c>
      <c r="R11" s="10">
        <v>9</v>
      </c>
      <c r="S11" s="10">
        <v>9</v>
      </c>
      <c r="T11" s="2">
        <f t="shared" ref="T11:T18" si="0">IF(COUNTIF(F11:S11,"=*")&gt;0,"-",IF(COUNTIF(F11:S11,"&lt;4")&gt;0,"-",(IFERROR(AVERAGE(F11:S11),""))))</f>
        <v>9.0714285714285712</v>
      </c>
      <c r="U11" s="28"/>
      <c r="V11" s="27"/>
    </row>
    <row r="12" spans="1:22" ht="15" customHeight="1" x14ac:dyDescent="0.25">
      <c r="A12" s="25"/>
      <c r="B12" s="28"/>
      <c r="C12" s="20" t="s">
        <v>13</v>
      </c>
      <c r="D12" s="20">
        <v>2</v>
      </c>
      <c r="E12" s="9" t="s">
        <v>63</v>
      </c>
      <c r="F12" s="10">
        <v>7</v>
      </c>
      <c r="G12" s="10">
        <v>9</v>
      </c>
      <c r="H12" s="10">
        <v>8</v>
      </c>
      <c r="I12" s="10">
        <v>8</v>
      </c>
      <c r="J12" s="10">
        <v>6</v>
      </c>
      <c r="K12" s="10">
        <v>8</v>
      </c>
      <c r="L12" s="10">
        <v>7</v>
      </c>
      <c r="M12" s="10">
        <v>8</v>
      </c>
      <c r="N12" s="10">
        <v>4</v>
      </c>
      <c r="O12" s="10">
        <v>6</v>
      </c>
      <c r="P12" s="10">
        <v>5</v>
      </c>
      <c r="Q12" s="10">
        <v>2</v>
      </c>
      <c r="R12" s="10">
        <v>6</v>
      </c>
      <c r="S12" s="10">
        <v>5</v>
      </c>
      <c r="T12" s="2" t="str">
        <f t="shared" si="0"/>
        <v>-</v>
      </c>
      <c r="U12" s="28"/>
      <c r="V12" s="27"/>
    </row>
    <row r="13" spans="1:22" ht="15" customHeight="1" x14ac:dyDescent="0.25">
      <c r="A13" s="25"/>
      <c r="B13" s="28"/>
      <c r="C13" s="20" t="s">
        <v>13</v>
      </c>
      <c r="D13" s="20">
        <v>3</v>
      </c>
      <c r="E13" s="9" t="s">
        <v>64</v>
      </c>
      <c r="F13" s="10">
        <v>7</v>
      </c>
      <c r="G13" s="10">
        <v>6</v>
      </c>
      <c r="H13" s="10">
        <v>8</v>
      </c>
      <c r="I13" s="10">
        <v>9</v>
      </c>
      <c r="J13" s="10">
        <v>8</v>
      </c>
      <c r="K13" s="10">
        <v>7</v>
      </c>
      <c r="L13" s="10">
        <v>4</v>
      </c>
      <c r="M13" s="10">
        <v>5</v>
      </c>
      <c r="N13" s="10">
        <v>2</v>
      </c>
      <c r="O13" s="10">
        <v>6</v>
      </c>
      <c r="P13" s="10">
        <v>6</v>
      </c>
      <c r="Q13" s="10">
        <v>9</v>
      </c>
      <c r="R13" s="10">
        <v>4</v>
      </c>
      <c r="S13" s="10">
        <v>5</v>
      </c>
      <c r="T13" s="2" t="str">
        <f t="shared" si="0"/>
        <v>-</v>
      </c>
      <c r="U13" s="28"/>
      <c r="V13" s="27"/>
    </row>
    <row r="14" spans="1:22" ht="15" customHeight="1" x14ac:dyDescent="0.25">
      <c r="A14" s="25"/>
      <c r="B14" s="28"/>
      <c r="C14" s="20" t="s">
        <v>13</v>
      </c>
      <c r="D14" s="20">
        <v>4</v>
      </c>
      <c r="E14" s="9" t="s">
        <v>65</v>
      </c>
      <c r="F14" s="10">
        <v>9</v>
      </c>
      <c r="G14" s="10">
        <v>9</v>
      </c>
      <c r="H14" s="10">
        <v>9</v>
      </c>
      <c r="I14" s="10">
        <v>11</v>
      </c>
      <c r="J14" s="10">
        <v>10</v>
      </c>
      <c r="K14" s="10">
        <v>11</v>
      </c>
      <c r="L14" s="10">
        <v>9</v>
      </c>
      <c r="M14" s="10">
        <v>8</v>
      </c>
      <c r="N14" s="10">
        <v>10</v>
      </c>
      <c r="O14" s="10">
        <v>10</v>
      </c>
      <c r="P14" s="10">
        <v>9</v>
      </c>
      <c r="Q14" s="10">
        <v>8</v>
      </c>
      <c r="R14" s="10">
        <v>11</v>
      </c>
      <c r="S14" s="10">
        <v>7</v>
      </c>
      <c r="T14" s="2">
        <f t="shared" si="0"/>
        <v>9.3571428571428577</v>
      </c>
      <c r="U14" s="28"/>
      <c r="V14" s="27"/>
    </row>
    <row r="15" spans="1:22" ht="15" customHeight="1" x14ac:dyDescent="0.25">
      <c r="A15" s="25"/>
      <c r="B15" s="28"/>
      <c r="C15" s="20" t="s">
        <v>13</v>
      </c>
      <c r="D15" s="20">
        <v>5</v>
      </c>
      <c r="E15" s="9" t="s">
        <v>66</v>
      </c>
      <c r="F15" s="10">
        <v>8</v>
      </c>
      <c r="G15" s="10">
        <v>8</v>
      </c>
      <c r="H15" s="10">
        <v>10</v>
      </c>
      <c r="I15" s="10">
        <v>11</v>
      </c>
      <c r="J15" s="10">
        <v>9</v>
      </c>
      <c r="K15" s="10">
        <v>11</v>
      </c>
      <c r="L15" s="10">
        <v>10</v>
      </c>
      <c r="M15" s="10">
        <v>8</v>
      </c>
      <c r="N15" s="10">
        <v>10</v>
      </c>
      <c r="O15" s="10">
        <v>10</v>
      </c>
      <c r="P15" s="10">
        <v>9</v>
      </c>
      <c r="Q15" s="10">
        <v>7</v>
      </c>
      <c r="R15" s="10">
        <v>5</v>
      </c>
      <c r="S15" s="10">
        <v>7</v>
      </c>
      <c r="T15" s="2">
        <f t="shared" si="0"/>
        <v>8.7857142857142865</v>
      </c>
      <c r="U15" s="28"/>
      <c r="V15" s="27"/>
    </row>
    <row r="16" spans="1:22" ht="15" customHeight="1" x14ac:dyDescent="0.25">
      <c r="A16" s="25"/>
      <c r="B16" s="28"/>
      <c r="C16" s="20" t="s">
        <v>13</v>
      </c>
      <c r="D16" s="20">
        <v>6</v>
      </c>
      <c r="E16" s="9" t="s">
        <v>67</v>
      </c>
      <c r="F16" s="10">
        <v>7</v>
      </c>
      <c r="G16" s="10">
        <v>6</v>
      </c>
      <c r="H16" s="10">
        <v>4</v>
      </c>
      <c r="I16" s="10">
        <v>9</v>
      </c>
      <c r="J16" s="10">
        <v>6</v>
      </c>
      <c r="K16" s="10">
        <v>8</v>
      </c>
      <c r="L16" s="10">
        <v>4</v>
      </c>
      <c r="M16" s="10">
        <v>4</v>
      </c>
      <c r="N16" s="10">
        <v>4</v>
      </c>
      <c r="O16" s="10">
        <v>8</v>
      </c>
      <c r="P16" s="10">
        <v>7</v>
      </c>
      <c r="Q16" s="10">
        <v>4</v>
      </c>
      <c r="R16" s="10">
        <v>4</v>
      </c>
      <c r="S16" s="10">
        <v>5</v>
      </c>
      <c r="T16" s="2">
        <f t="shared" si="0"/>
        <v>5.7142857142857144</v>
      </c>
      <c r="U16" s="28"/>
      <c r="V16" s="27"/>
    </row>
    <row r="17" spans="1:23" ht="15" customHeight="1" x14ac:dyDescent="0.25">
      <c r="A17" s="25"/>
      <c r="B17" s="28"/>
      <c r="C17" s="20" t="s">
        <v>13</v>
      </c>
      <c r="D17" s="20">
        <v>7</v>
      </c>
      <c r="E17" s="9" t="s">
        <v>68</v>
      </c>
      <c r="F17" s="10">
        <v>8</v>
      </c>
      <c r="G17" s="10">
        <v>8</v>
      </c>
      <c r="H17" s="10">
        <v>9</v>
      </c>
      <c r="I17" s="10">
        <v>10</v>
      </c>
      <c r="J17" s="10">
        <v>8</v>
      </c>
      <c r="K17" s="10">
        <v>9</v>
      </c>
      <c r="L17" s="10">
        <v>10</v>
      </c>
      <c r="M17" s="10">
        <v>8</v>
      </c>
      <c r="N17" s="10">
        <v>7</v>
      </c>
      <c r="O17" s="10">
        <v>8</v>
      </c>
      <c r="P17" s="10">
        <v>9</v>
      </c>
      <c r="Q17" s="10">
        <v>7</v>
      </c>
      <c r="R17" s="10">
        <v>4</v>
      </c>
      <c r="S17" s="10">
        <v>5</v>
      </c>
      <c r="T17" s="2">
        <f t="shared" si="0"/>
        <v>7.8571428571428568</v>
      </c>
      <c r="U17" s="28"/>
      <c r="V17" s="27"/>
    </row>
    <row r="18" spans="1:23" ht="15" customHeight="1" x14ac:dyDescent="0.25">
      <c r="A18" s="25"/>
      <c r="B18" s="28"/>
      <c r="C18" s="20" t="s">
        <v>13</v>
      </c>
      <c r="D18" s="20">
        <v>8</v>
      </c>
      <c r="E18" s="9" t="s">
        <v>69</v>
      </c>
      <c r="F18" s="10">
        <v>9</v>
      </c>
      <c r="G18" s="10">
        <v>8</v>
      </c>
      <c r="H18" s="10">
        <v>10</v>
      </c>
      <c r="I18" s="10">
        <v>10</v>
      </c>
      <c r="J18" s="10">
        <v>8</v>
      </c>
      <c r="K18" s="10">
        <v>11</v>
      </c>
      <c r="L18" s="10">
        <v>10</v>
      </c>
      <c r="M18" s="10">
        <v>9</v>
      </c>
      <c r="N18" s="10">
        <v>9</v>
      </c>
      <c r="O18" s="10">
        <v>9</v>
      </c>
      <c r="P18" s="10">
        <v>10</v>
      </c>
      <c r="Q18" s="10">
        <v>8</v>
      </c>
      <c r="R18" s="10">
        <v>10</v>
      </c>
      <c r="S18" s="10">
        <v>5</v>
      </c>
      <c r="T18" s="2">
        <f t="shared" si="0"/>
        <v>9</v>
      </c>
      <c r="U18" s="28"/>
      <c r="V18" s="27"/>
    </row>
    <row r="19" spans="1:23" ht="15" customHeight="1" x14ac:dyDescent="0.25">
      <c r="A19" s="25"/>
      <c r="B19" s="28"/>
      <c r="C19" s="23" t="s">
        <v>13</v>
      </c>
      <c r="D19" s="23">
        <v>9</v>
      </c>
      <c r="E19" s="9" t="s">
        <v>70</v>
      </c>
      <c r="F19" s="10">
        <v>9</v>
      </c>
      <c r="G19" s="10">
        <v>10</v>
      </c>
      <c r="H19" s="10">
        <v>9</v>
      </c>
      <c r="I19" s="10">
        <v>10</v>
      </c>
      <c r="J19" s="10">
        <v>9</v>
      </c>
      <c r="K19" s="10">
        <v>10</v>
      </c>
      <c r="L19" s="10">
        <v>10</v>
      </c>
      <c r="M19" s="10">
        <v>8</v>
      </c>
      <c r="N19" s="10">
        <v>8</v>
      </c>
      <c r="O19" s="10">
        <v>9</v>
      </c>
      <c r="P19" s="10">
        <v>9</v>
      </c>
      <c r="Q19" s="10">
        <v>9</v>
      </c>
      <c r="R19" s="10">
        <v>9</v>
      </c>
      <c r="S19" s="10">
        <v>5</v>
      </c>
      <c r="T19" s="2">
        <f t="shared" ref="T19" si="1">IF(COUNTIF(F19:S19,"=*")&gt;0,"-",IF(COUNTIF(F19:S19,"&lt;4")&gt;0,"-",(IFERROR(AVERAGE(F19:S19),""))))</f>
        <v>8.8571428571428577</v>
      </c>
      <c r="U19" s="28"/>
      <c r="V19" s="27"/>
    </row>
    <row r="20" spans="1:23" ht="15" customHeight="1" x14ac:dyDescent="0.25">
      <c r="A20" s="25"/>
      <c r="B20" s="28"/>
      <c r="C20" s="11"/>
      <c r="D20" s="11"/>
      <c r="E20" s="9" t="s">
        <v>14</v>
      </c>
      <c r="F20" s="3">
        <f>IF(SUM(F11:F19)=0,"",SUM(F11:F19)/D19)</f>
        <v>8</v>
      </c>
      <c r="G20" s="3">
        <f>IF(SUM(G11:G19)=0,"",SUM(G11:G19)/D19)</f>
        <v>8.1111111111111107</v>
      </c>
      <c r="H20" s="3">
        <f>IF(SUM(H11:H19)=0,"",SUM(H11:H19)/D19)</f>
        <v>8.5555555555555554</v>
      </c>
      <c r="I20" s="3">
        <f>IF(SUM(I11:I19)=0,"",SUM(I11:I19)/D19)</f>
        <v>9.8888888888888893</v>
      </c>
      <c r="J20" s="3">
        <f>IF(SUM(J11:J19)=0,"",SUM(J11:J19)/D19)</f>
        <v>8.1111111111111107</v>
      </c>
      <c r="K20" s="3">
        <f>IF(SUM(K11:K19)=0,"",SUM(K11:K19)/D19)</f>
        <v>9.3333333333333339</v>
      </c>
      <c r="L20" s="3">
        <f>IF(SUM(L11:L19)=0,"",SUM(L11:L19)/D19)</f>
        <v>8.1111111111111107</v>
      </c>
      <c r="M20" s="3">
        <f>IF(SUM(M11:M19)=0,"",SUM(M11:M19)/D19)</f>
        <v>7.4444444444444446</v>
      </c>
      <c r="N20" s="3">
        <f>IF(SUM(N11:N19)=0,"",SUM(N11:N19)/D19)</f>
        <v>7.1111111111111107</v>
      </c>
      <c r="O20" s="3">
        <f>IF(SUM(O11:O19)=0,"",SUM(O11:O19)/D19)</f>
        <v>8.3333333333333339</v>
      </c>
      <c r="P20" s="3">
        <f>IF(SUM(P11:P19)=0,"",SUM(P11:P19)/D19)</f>
        <v>8.1111111111111107</v>
      </c>
      <c r="Q20" s="3">
        <f>IF(SUM(Q11:Q19)=0,"",SUM(Q11:Q19)/D19)</f>
        <v>6.7777777777777777</v>
      </c>
      <c r="R20" s="3">
        <f>IF(SUM(R11:R19)=0,"",SUM(R11:R19)/D19)</f>
        <v>6.8888888888888893</v>
      </c>
      <c r="S20" s="3">
        <f>IF(SUM(S11:S19)=0,"",SUM(S11:S19)/D19)</f>
        <v>5.8888888888888893</v>
      </c>
      <c r="T20" s="2">
        <f>IFERROR(AVERAGE(F20:S20),"")</f>
        <v>7.9047619047619042</v>
      </c>
      <c r="U20" s="28"/>
      <c r="V20" s="27"/>
    </row>
    <row r="21" spans="1:23" ht="15" customHeight="1" x14ac:dyDescent="0.25">
      <c r="A21" s="25"/>
      <c r="B21" s="28"/>
      <c r="C21" s="11"/>
      <c r="D21" s="11"/>
      <c r="E21" s="9" t="s">
        <v>15</v>
      </c>
      <c r="F21" s="12">
        <f>IF(SUM(F11:F19)=0,"",IF(COUNTIF(F11:F19,"&gt;=4")=0,0,COUNTIF(F11:F19,"&gt;=4")/D19*100))</f>
        <v>100</v>
      </c>
      <c r="G21" s="12">
        <f>IF(SUM(G11:G19)=0,"",IF(COUNTIF(G11:G19,"&gt;=4")=0,0,COUNTIF(G11:G19,"&gt;=4")/D19*100))</f>
        <v>100</v>
      </c>
      <c r="H21" s="12">
        <f>IF(SUM(H11:H19)=0,"",IF(COUNTIF(H11:H19,"&gt;=4")=0,0,COUNTIF(H11:H19,"&gt;=4")/D19*100))</f>
        <v>100</v>
      </c>
      <c r="I21" s="12">
        <f>IF(SUM(I11:I19)=0,"",IF(COUNTIF(I11:I19,"&gt;=4")=0,0,COUNTIF(I11:I19,"&gt;=4")/D19*100))</f>
        <v>100</v>
      </c>
      <c r="J21" s="12">
        <f>IF(SUM(J11:J19)=0,"",IF(COUNTIF(J11:J19,"&gt;=4")=0,0,COUNTIF(J11:J19,"&gt;=4")/D19*100))</f>
        <v>100</v>
      </c>
      <c r="K21" s="12">
        <f>IF(SUM(K11:K19)=0,"",IF(COUNTIF(K11:K19,"&gt;=4")=0,0,COUNTIF(K11:K19,"&gt;=4")/D19*100))</f>
        <v>100</v>
      </c>
      <c r="L21" s="12">
        <f>IF(SUM(L11:L19)=0,"",IF(COUNTIF(L11:L19,"&gt;=4")=0,0,COUNTIF(L11:L19,"&gt;=4")/D19*100))</f>
        <v>100</v>
      </c>
      <c r="M21" s="12">
        <f>IF(SUM(M11:M19)=0,"",IF(COUNTIF(M11:M19,"&gt;=4")=0,0,COUNTIF(M11:M19,"&gt;=4")/D19*100))</f>
        <v>100</v>
      </c>
      <c r="N21" s="12">
        <f>IF(SUM(N11:N19)=0,"",IF(COUNTIF(N11:N19,"&gt;=4")=0,0,COUNTIF(N11:N19,"&gt;=4")/D19*100))</f>
        <v>88.888888888888886</v>
      </c>
      <c r="O21" s="12">
        <f>IF(SUM(O11:O19)=0,"",IF(COUNTIF(O11:O19,"&gt;=4")=0,0,COUNTIF(O11:O19,"&gt;=4")/D19*100))</f>
        <v>100</v>
      </c>
      <c r="P21" s="12">
        <f>IF(SUM(P11:P19)=0,"",IF(COUNTIF(P11:P19,"&gt;=4")=0,0,COUNTIF(P11:P19,"&gt;=4")/D19*100))</f>
        <v>100</v>
      </c>
      <c r="Q21" s="12">
        <f>IF(SUM(Q11:Q19)=0,"",IF(COUNTIF(Q11:Q19,"&gt;=4")=0,0,COUNTIF(Q11:Q19,"&gt;=4")/D19*100))</f>
        <v>88.888888888888886</v>
      </c>
      <c r="R21" s="12">
        <f>IF(SUM(R11:R19)=0,"",IF(COUNTIF(R11:R19,"&gt;=4")=0,0,COUNTIF(R11:R19,"&gt;=4")/D19*100))</f>
        <v>100</v>
      </c>
      <c r="S21" s="12">
        <f>IF(SUM(S11:S19)=0,"",IF(COUNTIF(S11:S19,"&gt;=4")=0,0,COUNTIF(S11:S19,"&gt;=4")/D19*100))</f>
        <v>100</v>
      </c>
      <c r="T21" s="13"/>
      <c r="U21" s="28"/>
      <c r="V21" s="27"/>
      <c r="W21" s="14"/>
    </row>
    <row r="22" spans="1:23" ht="15" customHeight="1" x14ac:dyDescent="0.25">
      <c r="A22" s="25"/>
      <c r="B22" s="28"/>
      <c r="C22" s="11"/>
      <c r="D22" s="11"/>
      <c r="E22" s="9" t="s">
        <v>16</v>
      </c>
      <c r="F22" s="12">
        <f>IF(SUM(F11:F19)=0,"",IF(COUNTIF(F11:F19,"&gt;=7")=0,0,COUNTIF(F11:F19,"&gt;=7")/D19*100))</f>
        <v>100</v>
      </c>
      <c r="G22" s="12">
        <f>IF(SUM(G11:G19)=0,"",IF(COUNTIF(G11:G19,"&gt;=7")=0,0,COUNTIF(G11:G19,"&gt;=7")/D19*100))</f>
        <v>77.777777777777786</v>
      </c>
      <c r="H22" s="12">
        <f>IF(SUM(H11:H19)=0,"",IF(COUNTIF(H11:H19,"&gt;=7")=0,0,COUNTIF(H11:H19,"&gt;=7")/D19*100))</f>
        <v>88.888888888888886</v>
      </c>
      <c r="I22" s="12">
        <f>IF(SUM(I11:I19)=0,"",IF(COUNTIF(I11:I19,"&gt;=7")=0,0,COUNTIF(I11:I19,"&gt;=7")/D19*100))</f>
        <v>100</v>
      </c>
      <c r="J22" s="12">
        <f>IF(SUM(J11:J19)=0,"",IF(COUNTIF(J11:J19,"&gt;=7")=0,0,COUNTIF(J11:J19,"&gt;=7")/D19*100))</f>
        <v>77.777777777777786</v>
      </c>
      <c r="K22" s="12">
        <f>IF(SUM(K11:K19)=0,"",IF(COUNTIF(K11:K19,"&gt;=7")=0,0,COUNTIF(K11:K19,"&gt;=7")/D19*100))</f>
        <v>100</v>
      </c>
      <c r="L22" s="12">
        <f>IF(SUM(L11:L19)=0,"",IF(COUNTIF(L11:L19,"&gt;=7")=0,0,COUNTIF(L11:L19,"&gt;=7")/D19*100))</f>
        <v>77.777777777777786</v>
      </c>
      <c r="M22" s="12">
        <f>IF(SUM(M11:M19)=0,"",IF(COUNTIF(M11:M19,"&gt;=7")=0,0,COUNTIF(M11:M19,"&gt;=7")/D19*100))</f>
        <v>77.777777777777786</v>
      </c>
      <c r="N22" s="12">
        <f>IF(SUM(N11:N19)=0,"",IF(COUNTIF(N11:N19,"&gt;=7")=0,0,COUNTIF(N11:N19,"&gt;=7")/D19*100))</f>
        <v>66.666666666666657</v>
      </c>
      <c r="O22" s="12">
        <f>IF(SUM(O11:O19)=0,"",IF(COUNTIF(O11:O19,"&gt;=7")=0,0,COUNTIF(O11:O19,"&gt;=7")/D19*100))</f>
        <v>77.777777777777786</v>
      </c>
      <c r="P22" s="12">
        <f>IF(SUM(P11:P19)=0,"",IF(COUNTIF(P11:P19,"&gt;=7")=0,0,COUNTIF(P11:P19,"&gt;=7")/D19*100))</f>
        <v>77.777777777777786</v>
      </c>
      <c r="Q22" s="12">
        <f>IF(SUM(Q11:Q19)=0,"",IF(COUNTIF(Q11:Q19,"&gt;=7")=0,0,COUNTIF(Q11:Q19,"&gt;=7")/D19*100))</f>
        <v>77.777777777777786</v>
      </c>
      <c r="R22" s="12">
        <f>IF(SUM(R11:R19)=0,"",IF(COUNTIF(R11:R19,"&gt;=7")=0,0,COUNTIF(R11:R19,"&gt;=7")/D19*100))</f>
        <v>44.444444444444443</v>
      </c>
      <c r="S22" s="12">
        <f>IF(SUM(S11:S19)=0,"",IF(COUNTIF(S11:S19,"&gt;=7")=0,0,COUNTIF(S11:S19,"&gt;=7")/D19*100))</f>
        <v>33.333333333333329</v>
      </c>
      <c r="T22" s="21"/>
      <c r="U22" s="28"/>
      <c r="V22" s="27"/>
      <c r="W22" s="14"/>
    </row>
    <row r="23" spans="1:23" ht="15" customHeight="1" x14ac:dyDescent="0.25">
      <c r="A23" s="25"/>
      <c r="B23" s="28"/>
      <c r="C23" s="11"/>
      <c r="D23" s="11"/>
      <c r="E23" s="9" t="s">
        <v>17</v>
      </c>
      <c r="F23" s="3">
        <f>IFERROR(AVERAGE(F21:S21),"")</f>
        <v>98.412698412698418</v>
      </c>
      <c r="G23" s="11"/>
      <c r="H23" s="11"/>
      <c r="I23" s="11"/>
      <c r="J23" s="11"/>
      <c r="K23" s="11"/>
      <c r="L23" s="11"/>
      <c r="M23" s="11"/>
      <c r="N23" s="11"/>
      <c r="O23" s="11"/>
      <c r="P23" s="11"/>
      <c r="Q23" s="11"/>
      <c r="R23" s="11"/>
      <c r="S23" s="11"/>
      <c r="T23" s="21"/>
      <c r="U23" s="28"/>
      <c r="V23" s="27"/>
      <c r="W23" s="14"/>
    </row>
    <row r="24" spans="1:23" ht="15" customHeight="1" x14ac:dyDescent="0.25">
      <c r="A24" s="25"/>
      <c r="B24" s="28"/>
      <c r="C24" s="11"/>
      <c r="D24" s="11"/>
      <c r="E24" s="9" t="s">
        <v>18</v>
      </c>
      <c r="F24" s="3">
        <f>IFERROR(AVERAGE(F22:S22),"")</f>
        <v>76.984126984126988</v>
      </c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21"/>
      <c r="U24" s="28"/>
      <c r="V24" s="27"/>
      <c r="W24" s="14"/>
    </row>
    <row r="25" spans="1:23" ht="15" customHeight="1" x14ac:dyDescent="0.25">
      <c r="A25" s="25"/>
      <c r="B25" s="28"/>
      <c r="C25" s="11"/>
      <c r="D25" s="11"/>
      <c r="E25" s="9" t="s">
        <v>19</v>
      </c>
      <c r="F25" s="19">
        <f>IF(COUNTIF(C11:C19,"=Б")=0,IF(COUNTIF(C11:C19,"=К")=0,"",0),COUNTIF(C11:C19,"=Б"))</f>
        <v>0</v>
      </c>
      <c r="G25" s="11"/>
      <c r="H25" s="11"/>
      <c r="I25" s="11"/>
      <c r="J25" s="11"/>
      <c r="K25" s="11"/>
      <c r="L25" s="11"/>
      <c r="M25" s="11"/>
      <c r="N25" s="11"/>
      <c r="O25" s="11"/>
      <c r="P25" s="11"/>
      <c r="Q25" s="11"/>
      <c r="R25" s="11"/>
      <c r="S25" s="11"/>
      <c r="T25" s="21"/>
      <c r="U25" s="28"/>
      <c r="V25" s="27"/>
      <c r="W25" s="14"/>
    </row>
    <row r="26" spans="1:23" ht="15" customHeight="1" x14ac:dyDescent="0.25">
      <c r="A26" s="25"/>
      <c r="B26" s="28"/>
      <c r="C26" s="11"/>
      <c r="D26" s="11"/>
      <c r="E26" s="9" t="s">
        <v>20</v>
      </c>
      <c r="F26" s="19">
        <f>IF(COUNTIF(C11:C19,"=К")=0,IF(COUNTIF(C11:C19,"=Б")=0,"",0),COUNTIF(C11:C19,"=К"))</f>
        <v>9</v>
      </c>
      <c r="G26" s="11"/>
      <c r="H26" s="17" t="s">
        <v>21</v>
      </c>
      <c r="I26" s="11"/>
      <c r="J26" s="11"/>
      <c r="K26" s="11"/>
      <c r="L26" s="11"/>
      <c r="M26" s="11"/>
      <c r="N26" s="11"/>
      <c r="O26" s="1" t="s">
        <v>32</v>
      </c>
      <c r="P26" s="11"/>
      <c r="Q26" s="11"/>
      <c r="R26" s="11"/>
      <c r="S26" s="11"/>
      <c r="T26" s="11"/>
      <c r="U26" s="28"/>
      <c r="V26" s="27"/>
    </row>
    <row r="27" spans="1:23" ht="15" customHeight="1" x14ac:dyDescent="0.25">
      <c r="A27" s="25"/>
      <c r="B27" s="28"/>
      <c r="C27" s="11"/>
      <c r="D27" s="11"/>
      <c r="E27" s="9" t="s">
        <v>22</v>
      </c>
      <c r="F27" s="19">
        <v>0</v>
      </c>
      <c r="G27" s="11"/>
      <c r="H27" s="11"/>
      <c r="I27" s="11"/>
      <c r="J27" s="11"/>
      <c r="K27" s="11"/>
      <c r="L27" s="11"/>
      <c r="M27" s="11"/>
      <c r="N27" s="11"/>
      <c r="O27" s="11"/>
      <c r="P27" s="11"/>
      <c r="Q27" s="11"/>
      <c r="R27" s="11"/>
      <c r="S27" s="11"/>
      <c r="T27" s="11"/>
      <c r="U27" s="28"/>
      <c r="V27" s="27"/>
    </row>
    <row r="28" spans="1:23" ht="15" customHeight="1" x14ac:dyDescent="0.25">
      <c r="A28" s="25"/>
      <c r="B28" s="28"/>
      <c r="C28" s="11"/>
      <c r="D28" s="11"/>
      <c r="E28" s="9" t="s">
        <v>23</v>
      </c>
      <c r="F28" s="19">
        <v>0</v>
      </c>
      <c r="G28" s="11"/>
      <c r="H28" s="17" t="s">
        <v>24</v>
      </c>
      <c r="I28" s="11"/>
      <c r="J28" s="11"/>
      <c r="K28" s="11"/>
      <c r="L28" s="11"/>
      <c r="M28" s="11"/>
      <c r="N28" s="11"/>
      <c r="O28" s="17" t="s">
        <v>25</v>
      </c>
      <c r="P28" s="11"/>
      <c r="Q28" s="11"/>
      <c r="R28" s="11"/>
      <c r="S28" s="11"/>
      <c r="T28" s="11"/>
      <c r="U28" s="28"/>
      <c r="V28" s="27"/>
    </row>
    <row r="29" spans="1:23" ht="12" customHeight="1" thickBot="1" x14ac:dyDescent="0.3">
      <c r="A29" s="25"/>
      <c r="B29" s="26"/>
      <c r="C29" s="26"/>
      <c r="D29" s="26"/>
      <c r="E29" s="26"/>
      <c r="F29" s="26"/>
      <c r="G29" s="26"/>
      <c r="H29" s="26"/>
      <c r="I29" s="26"/>
      <c r="J29" s="26"/>
      <c r="K29" s="26"/>
      <c r="L29" s="26"/>
      <c r="M29" s="26"/>
      <c r="N29" s="26"/>
      <c r="O29" s="26"/>
      <c r="P29" s="26"/>
      <c r="Q29" s="26"/>
      <c r="R29" s="26"/>
      <c r="S29" s="26"/>
      <c r="T29" s="26"/>
      <c r="U29" s="26"/>
      <c r="V29" s="27"/>
    </row>
    <row r="30" spans="1:23" ht="12" customHeight="1" x14ac:dyDescent="0.25">
      <c r="B30" s="31"/>
      <c r="C30" s="31"/>
      <c r="D30" s="31"/>
      <c r="E30" s="31"/>
      <c r="F30" s="31"/>
      <c r="G30" s="31"/>
      <c r="H30" s="31"/>
      <c r="I30" s="31"/>
      <c r="J30" s="31"/>
      <c r="K30" s="31"/>
      <c r="L30" s="31"/>
      <c r="M30" s="31"/>
      <c r="N30" s="31"/>
      <c r="O30" s="31"/>
      <c r="P30" s="31"/>
      <c r="Q30" s="31"/>
      <c r="R30" s="31"/>
      <c r="S30" s="31"/>
      <c r="T30" s="31"/>
      <c r="U30" s="31"/>
    </row>
  </sheetData>
  <sheetProtection selectLockedCells="1"/>
  <sortState ref="E11:E20">
    <sortCondition ref="E11"/>
  </sortState>
  <mergeCells count="18">
    <mergeCell ref="B30:U30"/>
    <mergeCell ref="C7:T7"/>
    <mergeCell ref="C8:T8"/>
    <mergeCell ref="C9:C10"/>
    <mergeCell ref="D9:D10"/>
    <mergeCell ref="E9:E10"/>
    <mergeCell ref="F9:T9"/>
    <mergeCell ref="B1:U1"/>
    <mergeCell ref="A2:A29"/>
    <mergeCell ref="B2:U2"/>
    <mergeCell ref="V2:V29"/>
    <mergeCell ref="B3:B28"/>
    <mergeCell ref="C3:T3"/>
    <mergeCell ref="U3:U28"/>
    <mergeCell ref="C4:T4"/>
    <mergeCell ref="C5:T5"/>
    <mergeCell ref="C6:T6"/>
    <mergeCell ref="B29:U29"/>
  </mergeCells>
  <conditionalFormatting sqref="T11:T18">
    <cfRule type="expression" dxfId="10" priority="8">
      <formula>$U$19&lt;&gt;""</formula>
    </cfRule>
  </conditionalFormatting>
  <conditionalFormatting sqref="C11:S11 F12:S19">
    <cfRule type="expression" dxfId="9" priority="9">
      <formula>$U$11&lt;&gt;""</formula>
    </cfRule>
  </conditionalFormatting>
  <conditionalFormatting sqref="C12:E12">
    <cfRule type="expression" dxfId="8" priority="10">
      <formula>$U$12&lt;&gt;""</formula>
    </cfRule>
  </conditionalFormatting>
  <conditionalFormatting sqref="C13:E13">
    <cfRule type="expression" dxfId="7" priority="11">
      <formula>$U$13&lt;&gt;""</formula>
    </cfRule>
  </conditionalFormatting>
  <conditionalFormatting sqref="C14:E14">
    <cfRule type="expression" dxfId="6" priority="12">
      <formula>$U$14&lt;&gt;""</formula>
    </cfRule>
  </conditionalFormatting>
  <conditionalFormatting sqref="C15:E15">
    <cfRule type="expression" dxfId="5" priority="13">
      <formula>$U$15&lt;&gt;""</formula>
    </cfRule>
  </conditionalFormatting>
  <conditionalFormatting sqref="C16:E16">
    <cfRule type="expression" dxfId="4" priority="14">
      <formula>$U$16&lt;&gt;""</formula>
    </cfRule>
  </conditionalFormatting>
  <conditionalFormatting sqref="C17:E17">
    <cfRule type="expression" dxfId="3" priority="15">
      <formula>$U$17&lt;&gt;""</formula>
    </cfRule>
  </conditionalFormatting>
  <conditionalFormatting sqref="C18:E18">
    <cfRule type="expression" dxfId="2" priority="16">
      <formula>$U$18&lt;&gt;""</formula>
    </cfRule>
  </conditionalFormatting>
  <conditionalFormatting sqref="T19">
    <cfRule type="expression" dxfId="1" priority="1">
      <formula>$U$19&lt;&gt;""</formula>
    </cfRule>
  </conditionalFormatting>
  <conditionalFormatting sqref="C19:E19">
    <cfRule type="expression" dxfId="0" priority="3">
      <formula>#REF!&lt;&gt;""</formula>
    </cfRule>
  </conditionalFormatting>
  <printOptions horizontalCentered="1"/>
  <pageMargins left="0" right="0" top="0" bottom="0" header="0" footer="0"/>
  <pageSetup paperSize="9" scale="75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2</vt:i4>
      </vt:variant>
    </vt:vector>
  </HeadingPairs>
  <TitlesOfParts>
    <vt:vector size="4" baseType="lpstr">
      <vt:lpstr>Зведена 101</vt:lpstr>
      <vt:lpstr>Зведена 161</vt:lpstr>
      <vt:lpstr>'Зведена 101'!Область_печати</vt:lpstr>
      <vt:lpstr>'Зведена 161'!Область_печати</vt:lpstr>
    </vt:vector>
  </TitlesOfParts>
  <Manager/>
  <Company/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37063</dc:creator>
  <cp:keywords/>
  <dc:description/>
  <cp:lastModifiedBy>SURKOV</cp:lastModifiedBy>
  <cp:revision/>
  <cp:lastPrinted>2023-05-09T12:08:03Z</cp:lastPrinted>
  <dcterms:created xsi:type="dcterms:W3CDTF">2006-09-28T05:33:49Z</dcterms:created>
  <dcterms:modified xsi:type="dcterms:W3CDTF">2024-02-15T11:03:56Z</dcterms:modified>
  <cp:category/>
  <cp:contentStatus/>
</cp:coreProperties>
</file>