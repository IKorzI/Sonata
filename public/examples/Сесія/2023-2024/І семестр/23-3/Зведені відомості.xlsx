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255" yWindow="165" windowWidth="19410" windowHeight="11640" activeTab="4"/>
  </bookViews>
  <sheets>
    <sheet name="Зведена 174" sheetId="39" r:id="rId1"/>
    <sheet name="Лист1" sheetId="42" r:id="rId2"/>
    <sheet name="Рейтингова відомість 174" sheetId="41" r:id="rId3"/>
    <sheet name="Зведена 172" sheetId="38" r:id="rId4"/>
    <sheet name="Рейтингова відомість 172" sheetId="40" r:id="rId5"/>
  </sheets>
  <definedNames>
    <definedName name="A1048577" localSheetId="3">#REF!</definedName>
    <definedName name="A1048577" localSheetId="0">#REF!</definedName>
    <definedName name="A1048577" localSheetId="4">#REF!</definedName>
    <definedName name="A1048577" localSheetId="2">#REF!</definedName>
    <definedName name="A1048577">#REF!</definedName>
    <definedName name="_xlnm.Print_Area" localSheetId="3">'Зведена 172'!$B$2:$U$37</definedName>
    <definedName name="_xlnm.Print_Area" localSheetId="0">'Зведена 174'!$B$2:$U$39</definedName>
    <definedName name="_xlnm.Print_Area" localSheetId="4">'Рейтингова відомість 172'!$B$2:$V$24</definedName>
    <definedName name="_xlnm.Print_Area" localSheetId="2">'Рейтингова відомість 174'!$B$2:$V$29</definedName>
    <definedName name="Ф80" localSheetId="3">#REF!</definedName>
    <definedName name="Ф80" localSheetId="0">#REF!</definedName>
    <definedName name="Ф80" localSheetId="4">#REF!</definedName>
    <definedName name="Ф80" localSheetId="2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6" i="40" l="1"/>
  <c r="U16" i="40" s="1"/>
  <c r="T24" i="38" l="1"/>
  <c r="T22" i="41" l="1"/>
  <c r="U22" i="41" s="1"/>
  <c r="T20" i="41"/>
  <c r="U20" i="41" s="1"/>
  <c r="T15" i="41"/>
  <c r="U15" i="41" s="1"/>
  <c r="T18" i="41"/>
  <c r="U18" i="41" s="1"/>
  <c r="T14" i="41"/>
  <c r="U14" i="41" s="1"/>
  <c r="T16" i="41"/>
  <c r="U16" i="41" s="1"/>
  <c r="T12" i="41"/>
  <c r="U12" i="41" s="1"/>
  <c r="T23" i="41"/>
  <c r="U23" i="41" s="1"/>
  <c r="T11" i="41"/>
  <c r="U11" i="41" s="1"/>
  <c r="T19" i="41"/>
  <c r="U19" i="41" s="1"/>
  <c r="T17" i="41"/>
  <c r="U17" i="41" s="1"/>
  <c r="T13" i="41"/>
  <c r="U13" i="41" s="1"/>
  <c r="T24" i="41"/>
  <c r="U24" i="41" s="1"/>
  <c r="U21" i="41"/>
  <c r="T21" i="41"/>
  <c r="F28" i="41"/>
  <c r="F27" i="41"/>
  <c r="T14" i="40"/>
  <c r="U14" i="40" s="1"/>
  <c r="T11" i="40"/>
  <c r="U11" i="40" s="1"/>
  <c r="T12" i="40"/>
  <c r="U12" i="40" s="1"/>
  <c r="T17" i="40"/>
  <c r="U17" i="40" s="1"/>
  <c r="T13" i="40"/>
  <c r="U13" i="40" s="1"/>
  <c r="T19" i="40"/>
  <c r="U19" i="40" s="1"/>
  <c r="T15" i="40"/>
  <c r="U15" i="40" s="1"/>
  <c r="T18" i="40"/>
  <c r="U18" i="40" s="1"/>
  <c r="F23" i="40"/>
  <c r="F22" i="40"/>
  <c r="T17" i="38" l="1"/>
  <c r="T28" i="39"/>
  <c r="F36" i="39" l="1"/>
  <c r="F26" i="41" s="1"/>
  <c r="F35" i="39"/>
  <c r="F25" i="41" s="1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T29" i="39"/>
  <c r="T27" i="39"/>
  <c r="T26" i="39"/>
  <c r="T25" i="39"/>
  <c r="T24" i="39"/>
  <c r="T23" i="39"/>
  <c r="T22" i="39"/>
  <c r="T21" i="39"/>
  <c r="T20" i="39"/>
  <c r="T19" i="39"/>
  <c r="T18" i="39"/>
  <c r="T17" i="39"/>
  <c r="T16" i="39"/>
  <c r="T15" i="39"/>
  <c r="T14" i="39"/>
  <c r="T13" i="39"/>
  <c r="T12" i="39"/>
  <c r="T11" i="39"/>
  <c r="T30" i="39" l="1"/>
  <c r="F33" i="39"/>
  <c r="F34" i="39"/>
  <c r="T27" i="38"/>
  <c r="F34" i="38" l="1"/>
  <c r="F21" i="40" s="1"/>
  <c r="F33" i="38"/>
  <c r="F20" i="40" s="1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T26" i="38"/>
  <c r="T25" i="38"/>
  <c r="T23" i="38"/>
  <c r="T22" i="38"/>
  <c r="T21" i="38"/>
  <c r="T20" i="38"/>
  <c r="T19" i="38"/>
  <c r="T18" i="38"/>
  <c r="T16" i="38"/>
  <c r="T15" i="38"/>
  <c r="T14" i="38"/>
  <c r="T13" i="38"/>
  <c r="T12" i="38"/>
  <c r="F28" i="38"/>
  <c r="F29" i="38" l="1"/>
  <c r="F31" i="38" s="1"/>
  <c r="T11" i="38"/>
  <c r="T28" i="38"/>
  <c r="F30" i="38"/>
  <c r="F32" i="38" s="1"/>
</calcChain>
</file>

<file path=xl/sharedStrings.xml><?xml version="1.0" encoding="utf-8"?>
<sst xmlns="http://schemas.openxmlformats.org/spreadsheetml/2006/main" count="324" uniqueCount="80">
  <si>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</si>
  <si>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</si>
  <si>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</si>
  <si>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</si>
  <si>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</si>
  <si>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</si>
  <si>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</si>
  <si>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</si>
  <si>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</si>
  <si>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</si>
  <si>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</si>
  <si>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</si>
  <si>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</si>
  <si>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</si>
  <si>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</si>
  <si>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</si>
  <si>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</si>
  <si>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</si>
  <si>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</si>
  <si>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</si>
  <si>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</si>
  <si>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</si>
  <si>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</si>
  <si>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</si>
  <si>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</si>
  <si>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</si>
  <si>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</si>
  <si>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 I семестр 2023-2024 н.р.</t>
  </si>
  <si>
    <t>Зарубіжна література
Сербулова Ю.А.</t>
  </si>
  <si>
    <t>Захист України
Стельмах Н.Ю.</t>
  </si>
  <si>
    <t>Підсумкові оцінки дисциплін</t>
  </si>
  <si>
    <t>Алачев Денис Васильович</t>
  </si>
  <si>
    <t>Бакуменко Максим Миколайович</t>
  </si>
  <si>
    <t>Булат Володимир Віталійович</t>
  </si>
  <si>
    <t>Водяний Артем Андрійович</t>
  </si>
  <si>
    <t>Воротнік Маргарита Денисівна</t>
  </si>
  <si>
    <t>Голубєв Данило Васильович</t>
  </si>
  <si>
    <t>Горова Діана Максимівна</t>
  </si>
  <si>
    <t>Горяінов Микита Володимирович</t>
  </si>
  <si>
    <t>Катречко Олексій Костянтинович</t>
  </si>
  <si>
    <t>Кирилюк Даніїл Васильович</t>
  </si>
  <si>
    <t>Макарський Артем Олексійович</t>
  </si>
  <si>
    <t>Мельник Кирило Олександрович</t>
  </si>
  <si>
    <t>Подойніцин Даніїл Романович</t>
  </si>
  <si>
    <t>Рубан Володимир Олегович</t>
  </si>
  <si>
    <t>Самуйлик Ярослав Олександрович</t>
  </si>
  <si>
    <t>Шевчук Ілья Сергійович</t>
  </si>
  <si>
    <t>Ястремський Дамір Володимирович</t>
  </si>
  <si>
    <t>Богач Володимир Миколайович</t>
  </si>
  <si>
    <t>Борис Максим Миколайович</t>
  </si>
  <si>
    <t>Бородін Максим Сергійович</t>
  </si>
  <si>
    <t>Галган Сергій Сергійович</t>
  </si>
  <si>
    <t>Івчук Надія Вікторівна</t>
  </si>
  <si>
    <t>Калинюк Артур Ігорович</t>
  </si>
  <si>
    <t>Калниболончук Марина Олегівна</t>
  </si>
  <si>
    <t>Лисичкін Єгор Андрійович</t>
  </si>
  <si>
    <t>Лобзов Микола Олексійович</t>
  </si>
  <si>
    <t>Логвиненко Максим Костянтинович</t>
  </si>
  <si>
    <t>Поляков Анатолій Олексійович</t>
  </si>
  <si>
    <t>Пуленко Владислав Олегович</t>
  </si>
  <si>
    <t>Савченко Сергій Ігорович</t>
  </si>
  <si>
    <t>Семенов Володимир Ігорович</t>
  </si>
  <si>
    <t>Серий Євгеній Костянтинович</t>
  </si>
  <si>
    <t>Смізюк Павло Ігоревич</t>
  </si>
  <si>
    <t>Тараненко Ярослав Романович</t>
  </si>
  <si>
    <t>Улецький Іван Сергійович</t>
  </si>
  <si>
    <t>Філюк Степан Олегович</t>
  </si>
  <si>
    <t>Надія ПЕНЬКОВСЬКА</t>
  </si>
  <si>
    <t>Успішності студентів спеціальності 172 «Телекомунікації та радіотехніка»</t>
  </si>
  <si>
    <t>Група 23-3 курс І</t>
  </si>
  <si>
    <t>Успішності студентів спеціальності 174 «Автоматизація, комп'ютерно-інтегровані технології та робототехніка»</t>
  </si>
  <si>
    <t>Іноземна мова
Сербулова Ю.А.</t>
  </si>
  <si>
    <t>Математика
Ромчук В.В.</t>
  </si>
  <si>
    <t>Українська література
Юрченко О.Б.</t>
  </si>
  <si>
    <t>Українська мова
Юрченко О.Б.</t>
  </si>
  <si>
    <t>н/а</t>
  </si>
  <si>
    <t>РЕЙТИНГОВА ВІДОМІСТЬ</t>
  </si>
  <si>
    <t>Рейтинговий бал</t>
  </si>
  <si>
    <t>ВІДОКРЕМЛЕНИЙ СТРУКТУРНИЙ ПІДРОЗДІЛ «ФАХОВИЙ КОЛЕДЖ НАФТОГАЗОВИХ ТЕХНОЛОГІЙ,
ІНЖЕНЕРІЇ ТА ІНФРАСТРУКТУРИ СЕРВІСУ</t>
  </si>
  <si>
    <t>Завідувачка відділення ПЗСО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</si>
</sst>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4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11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F40"/>
  <sheetViews>
    <sheetView zoomScale="85" zoomScaleNormal="85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2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</row>
    <row r="3" spans="1:22" s="5" customFormat="1" ht="35.1" customHeight="1" x14ac:dyDescent="0.3">
      <c r="A3" s="38"/>
      <c r="B3" s="33"/>
      <c r="C3" s="41" t="s">
        <v>78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33"/>
      <c r="V3" s="40"/>
    </row>
    <row r="4" spans="1:22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40"/>
    </row>
    <row r="5" spans="1:22" s="6" customFormat="1" ht="15" customHeight="1" x14ac:dyDescent="0.25">
      <c r="A5" s="38"/>
      <c r="B5" s="33"/>
      <c r="C5" s="43" t="s">
        <v>26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3"/>
      <c r="V5" s="40"/>
    </row>
    <row r="6" spans="1:22" s="5" customFormat="1" ht="15" customHeight="1" x14ac:dyDescent="0.25">
      <c r="A6" s="38"/>
      <c r="B6" s="33"/>
      <c r="C6" s="32" t="s">
        <v>70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3"/>
      <c r="V6" s="40"/>
    </row>
    <row r="7" spans="1:22" s="5" customFormat="1" ht="15" customHeight="1" x14ac:dyDescent="0.25">
      <c r="A7" s="38"/>
      <c r="B7" s="33"/>
      <c r="C7" s="32" t="s">
        <v>27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3"/>
      <c r="V7" s="40"/>
    </row>
    <row r="8" spans="1:22" s="5" customFormat="1" ht="15" customHeight="1" x14ac:dyDescent="0.25">
      <c r="A8" s="38"/>
      <c r="B8" s="33"/>
      <c r="C8" s="33" t="s">
        <v>69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40"/>
    </row>
    <row r="9" spans="1:22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30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3"/>
      <c r="V9" s="40"/>
    </row>
    <row r="10" spans="1:22" ht="125.1" customHeight="1" x14ac:dyDescent="0.25">
      <c r="A10" s="38"/>
      <c r="B10" s="33"/>
      <c r="C10" s="35"/>
      <c r="D10" s="35"/>
      <c r="E10" s="35"/>
      <c r="F10" s="18" t="s">
        <v>4</v>
      </c>
      <c r="G10" s="18" t="s">
        <v>5</v>
      </c>
      <c r="H10" s="18" t="s">
        <v>6</v>
      </c>
      <c r="I10" s="18" t="s">
        <v>28</v>
      </c>
      <c r="J10" s="18" t="s">
        <v>29</v>
      </c>
      <c r="K10" s="18" t="s">
        <v>71</v>
      </c>
      <c r="L10" s="18" t="s">
        <v>7</v>
      </c>
      <c r="M10" s="18" t="s">
        <v>8</v>
      </c>
      <c r="N10" s="18" t="s">
        <v>72</v>
      </c>
      <c r="O10" s="18" t="s">
        <v>73</v>
      </c>
      <c r="P10" s="18" t="s">
        <v>74</v>
      </c>
      <c r="Q10" s="18" t="s">
        <v>9</v>
      </c>
      <c r="R10" s="18" t="s">
        <v>10</v>
      </c>
      <c r="S10" s="18" t="s">
        <v>11</v>
      </c>
      <c r="T10" s="7" t="s">
        <v>12</v>
      </c>
      <c r="U10" s="33"/>
      <c r="V10" s="40"/>
    </row>
    <row r="11" spans="1:22" ht="15" customHeight="1" x14ac:dyDescent="0.25">
      <c r="A11" s="38"/>
      <c r="B11" s="33"/>
      <c r="C11" s="20" t="s">
        <v>14</v>
      </c>
      <c r="D11" s="20">
        <v>1</v>
      </c>
      <c r="E11" s="9" t="s">
        <v>48</v>
      </c>
      <c r="F11" s="10">
        <v>7</v>
      </c>
      <c r="G11" s="10">
        <v>8</v>
      </c>
      <c r="H11" s="10">
        <v>5</v>
      </c>
      <c r="I11" s="10">
        <v>9</v>
      </c>
      <c r="J11" s="10">
        <v>8</v>
      </c>
      <c r="K11" s="10">
        <v>9</v>
      </c>
      <c r="L11" s="10">
        <v>6</v>
      </c>
      <c r="M11" s="10">
        <v>6</v>
      </c>
      <c r="N11" s="10">
        <v>6</v>
      </c>
      <c r="O11" s="10">
        <v>7</v>
      </c>
      <c r="P11" s="10">
        <v>4</v>
      </c>
      <c r="Q11" s="10">
        <v>5</v>
      </c>
      <c r="R11" s="10">
        <v>8</v>
      </c>
      <c r="S11" s="10">
        <v>6</v>
      </c>
      <c r="T11" s="2">
        <f t="shared" ref="T11:T27" si="0">IF(COUNTIF(F11:S11,"=*")&gt;0,"-",IF(COUNTIF(F11:S11,"&lt;4")&gt;0,"-",(IFERROR(AVERAGE(F11:S11),""))))</f>
        <v>6.7142857142857144</v>
      </c>
      <c r="U11" s="33"/>
      <c r="V11" s="40"/>
    </row>
    <row r="12" spans="1:22" ht="15" customHeight="1" x14ac:dyDescent="0.25">
      <c r="A12" s="38"/>
      <c r="B12" s="33"/>
      <c r="C12" s="20" t="s">
        <v>13</v>
      </c>
      <c r="D12" s="20">
        <v>2</v>
      </c>
      <c r="E12" s="9" t="s">
        <v>49</v>
      </c>
      <c r="F12" s="10">
        <v>5</v>
      </c>
      <c r="G12" s="10">
        <v>7</v>
      </c>
      <c r="H12" s="10">
        <v>6</v>
      </c>
      <c r="I12" s="10">
        <v>5</v>
      </c>
      <c r="J12" s="10">
        <v>4</v>
      </c>
      <c r="K12" s="10">
        <v>8</v>
      </c>
      <c r="L12" s="10">
        <v>4</v>
      </c>
      <c r="M12" s="10">
        <v>6</v>
      </c>
      <c r="N12" s="10">
        <v>4</v>
      </c>
      <c r="O12" s="10">
        <v>4</v>
      </c>
      <c r="P12" s="10">
        <v>6</v>
      </c>
      <c r="Q12" s="10">
        <v>4</v>
      </c>
      <c r="R12" s="10">
        <v>10</v>
      </c>
      <c r="S12" s="10">
        <v>6</v>
      </c>
      <c r="T12" s="2">
        <f t="shared" si="0"/>
        <v>5.6428571428571432</v>
      </c>
      <c r="U12" s="33"/>
      <c r="V12" s="40"/>
    </row>
    <row r="13" spans="1:22" ht="15" customHeight="1" x14ac:dyDescent="0.25">
      <c r="A13" s="38"/>
      <c r="B13" s="33"/>
      <c r="C13" s="20" t="s">
        <v>14</v>
      </c>
      <c r="D13" s="20">
        <v>3</v>
      </c>
      <c r="E13" s="9" t="s">
        <v>50</v>
      </c>
      <c r="F13" s="10">
        <v>7</v>
      </c>
      <c r="G13" s="10">
        <v>8</v>
      </c>
      <c r="H13" s="10">
        <v>8</v>
      </c>
      <c r="I13" s="10">
        <v>9</v>
      </c>
      <c r="J13" s="10">
        <v>7</v>
      </c>
      <c r="K13" s="10">
        <v>9</v>
      </c>
      <c r="L13" s="10">
        <v>7</v>
      </c>
      <c r="M13" s="10">
        <v>7</v>
      </c>
      <c r="N13" s="10">
        <v>5</v>
      </c>
      <c r="O13" s="10">
        <v>4</v>
      </c>
      <c r="P13" s="10">
        <v>4</v>
      </c>
      <c r="Q13" s="10">
        <v>5</v>
      </c>
      <c r="R13" s="10">
        <v>6</v>
      </c>
      <c r="S13" s="10">
        <v>6</v>
      </c>
      <c r="T13" s="2">
        <f t="shared" si="0"/>
        <v>6.5714285714285712</v>
      </c>
      <c r="U13" s="33"/>
      <c r="V13" s="40"/>
    </row>
    <row r="14" spans="1:22" ht="15" customHeight="1" x14ac:dyDescent="0.25">
      <c r="A14" s="38"/>
      <c r="B14" s="33"/>
      <c r="C14" s="20" t="s">
        <v>14</v>
      </c>
      <c r="D14" s="20">
        <v>4</v>
      </c>
      <c r="E14" s="9" t="s">
        <v>51</v>
      </c>
      <c r="F14" s="10">
        <v>6</v>
      </c>
      <c r="G14" s="10">
        <v>7</v>
      </c>
      <c r="H14" s="10">
        <v>8</v>
      </c>
      <c r="I14" s="10">
        <v>10</v>
      </c>
      <c r="J14" s="10">
        <v>8</v>
      </c>
      <c r="K14" s="10">
        <v>9</v>
      </c>
      <c r="L14" s="10">
        <v>8</v>
      </c>
      <c r="M14" s="10">
        <v>5</v>
      </c>
      <c r="N14" s="10">
        <v>5</v>
      </c>
      <c r="O14" s="10">
        <v>7</v>
      </c>
      <c r="P14" s="10">
        <v>6</v>
      </c>
      <c r="Q14" s="10">
        <v>5</v>
      </c>
      <c r="R14" s="10">
        <v>8</v>
      </c>
      <c r="S14" s="10">
        <v>5</v>
      </c>
      <c r="T14" s="2">
        <f t="shared" si="0"/>
        <v>6.9285714285714288</v>
      </c>
      <c r="U14" s="33"/>
      <c r="V14" s="40"/>
    </row>
    <row r="15" spans="1:22" ht="15" customHeight="1" x14ac:dyDescent="0.25">
      <c r="A15" s="38"/>
      <c r="B15" s="33"/>
      <c r="C15" s="20" t="s">
        <v>14</v>
      </c>
      <c r="D15" s="20">
        <v>5</v>
      </c>
      <c r="E15" s="9" t="s">
        <v>52</v>
      </c>
      <c r="F15" s="10">
        <v>8</v>
      </c>
      <c r="G15" s="10">
        <v>9</v>
      </c>
      <c r="H15" s="10">
        <v>10</v>
      </c>
      <c r="I15" s="10">
        <v>10</v>
      </c>
      <c r="J15" s="10">
        <v>9</v>
      </c>
      <c r="K15" s="10">
        <v>10</v>
      </c>
      <c r="L15" s="10">
        <v>10</v>
      </c>
      <c r="M15" s="10">
        <v>7</v>
      </c>
      <c r="N15" s="10">
        <v>9</v>
      </c>
      <c r="O15" s="10">
        <v>9</v>
      </c>
      <c r="P15" s="10">
        <v>9</v>
      </c>
      <c r="Q15" s="10">
        <v>7</v>
      </c>
      <c r="R15" s="10">
        <v>6</v>
      </c>
      <c r="S15" s="10">
        <v>10</v>
      </c>
      <c r="T15" s="2">
        <f t="shared" si="0"/>
        <v>8.7857142857142865</v>
      </c>
      <c r="U15" s="33"/>
      <c r="V15" s="40"/>
    </row>
    <row r="16" spans="1:22" ht="15" customHeight="1" x14ac:dyDescent="0.25">
      <c r="A16" s="38"/>
      <c r="B16" s="33"/>
      <c r="C16" s="20" t="s">
        <v>14</v>
      </c>
      <c r="D16" s="20">
        <v>6</v>
      </c>
      <c r="E16" s="9" t="s">
        <v>53</v>
      </c>
      <c r="F16" s="10">
        <v>7</v>
      </c>
      <c r="G16" s="10">
        <v>8</v>
      </c>
      <c r="H16" s="10">
        <v>9</v>
      </c>
      <c r="I16" s="10">
        <v>9</v>
      </c>
      <c r="J16" s="10">
        <v>8</v>
      </c>
      <c r="K16" s="10">
        <v>9</v>
      </c>
      <c r="L16" s="10">
        <v>6</v>
      </c>
      <c r="M16" s="10">
        <v>6</v>
      </c>
      <c r="N16" s="10">
        <v>7</v>
      </c>
      <c r="O16" s="10">
        <v>9</v>
      </c>
      <c r="P16" s="10">
        <v>5</v>
      </c>
      <c r="Q16" s="10">
        <v>7</v>
      </c>
      <c r="R16" s="10">
        <v>10</v>
      </c>
      <c r="S16" s="10">
        <v>6</v>
      </c>
      <c r="T16" s="2">
        <f t="shared" si="0"/>
        <v>7.5714285714285712</v>
      </c>
      <c r="U16" s="33"/>
      <c r="V16" s="40"/>
    </row>
    <row r="17" spans="1:23" ht="15" customHeight="1" x14ac:dyDescent="0.25">
      <c r="A17" s="38"/>
      <c r="B17" s="33"/>
      <c r="C17" s="20" t="s">
        <v>13</v>
      </c>
      <c r="D17" s="20">
        <v>7</v>
      </c>
      <c r="E17" s="9" t="s">
        <v>54</v>
      </c>
      <c r="F17" s="10">
        <v>8</v>
      </c>
      <c r="G17" s="10">
        <v>10</v>
      </c>
      <c r="H17" s="10">
        <v>10</v>
      </c>
      <c r="I17" s="10">
        <v>8</v>
      </c>
      <c r="J17" s="10">
        <v>8</v>
      </c>
      <c r="K17" s="10">
        <v>10</v>
      </c>
      <c r="L17" s="10">
        <v>8</v>
      </c>
      <c r="M17" s="10">
        <v>8</v>
      </c>
      <c r="N17" s="10">
        <v>7</v>
      </c>
      <c r="O17" s="10">
        <v>8</v>
      </c>
      <c r="P17" s="10">
        <v>7</v>
      </c>
      <c r="Q17" s="10">
        <v>7</v>
      </c>
      <c r="R17" s="10">
        <v>7</v>
      </c>
      <c r="S17" s="10">
        <v>6</v>
      </c>
      <c r="T17" s="2">
        <f t="shared" si="0"/>
        <v>8</v>
      </c>
      <c r="U17" s="33"/>
      <c r="V17" s="40"/>
    </row>
    <row r="18" spans="1:23" ht="15" customHeight="1" x14ac:dyDescent="0.25">
      <c r="A18" s="38"/>
      <c r="B18" s="33"/>
      <c r="C18" s="20" t="s">
        <v>13</v>
      </c>
      <c r="D18" s="20">
        <v>8</v>
      </c>
      <c r="E18" s="9" t="s">
        <v>55</v>
      </c>
      <c r="F18" s="10">
        <v>7</v>
      </c>
      <c r="G18" s="10">
        <v>8</v>
      </c>
      <c r="H18" s="10">
        <v>9</v>
      </c>
      <c r="I18" s="10">
        <v>7</v>
      </c>
      <c r="J18" s="10">
        <v>8</v>
      </c>
      <c r="K18" s="10">
        <v>9</v>
      </c>
      <c r="L18" s="10">
        <v>8</v>
      </c>
      <c r="M18" s="10">
        <v>7</v>
      </c>
      <c r="N18" s="10">
        <v>5</v>
      </c>
      <c r="O18" s="10">
        <v>7</v>
      </c>
      <c r="P18" s="10">
        <v>6</v>
      </c>
      <c r="Q18" s="10">
        <v>6</v>
      </c>
      <c r="R18" s="10">
        <v>6</v>
      </c>
      <c r="S18" s="10">
        <v>6</v>
      </c>
      <c r="T18" s="2">
        <f t="shared" si="0"/>
        <v>7.0714285714285712</v>
      </c>
      <c r="U18" s="33"/>
      <c r="V18" s="40"/>
    </row>
    <row r="19" spans="1:23" ht="15" customHeight="1" x14ac:dyDescent="0.25">
      <c r="A19" s="38"/>
      <c r="B19" s="33"/>
      <c r="C19" s="20" t="s">
        <v>14</v>
      </c>
      <c r="D19" s="20">
        <v>9</v>
      </c>
      <c r="E19" s="9" t="s">
        <v>56</v>
      </c>
      <c r="F19" s="10">
        <v>8</v>
      </c>
      <c r="G19" s="10">
        <v>10</v>
      </c>
      <c r="H19" s="10">
        <v>10</v>
      </c>
      <c r="I19" s="10">
        <v>10</v>
      </c>
      <c r="J19" s="10">
        <v>9</v>
      </c>
      <c r="K19" s="10">
        <v>10</v>
      </c>
      <c r="L19" s="10">
        <v>9</v>
      </c>
      <c r="M19" s="10">
        <v>7</v>
      </c>
      <c r="N19" s="10">
        <v>9</v>
      </c>
      <c r="O19" s="10">
        <v>7</v>
      </c>
      <c r="P19" s="10">
        <v>9</v>
      </c>
      <c r="Q19" s="10">
        <v>7</v>
      </c>
      <c r="R19" s="10">
        <v>10</v>
      </c>
      <c r="S19" s="10">
        <v>9</v>
      </c>
      <c r="T19" s="2">
        <f t="shared" si="0"/>
        <v>8.8571428571428577</v>
      </c>
      <c r="U19" s="33"/>
      <c r="V19" s="40"/>
    </row>
    <row r="20" spans="1:23" ht="15" customHeight="1" x14ac:dyDescent="0.25">
      <c r="A20" s="38"/>
      <c r="B20" s="33"/>
      <c r="C20" s="20" t="s">
        <v>14</v>
      </c>
      <c r="D20" s="20">
        <v>10</v>
      </c>
      <c r="E20" s="9" t="s">
        <v>57</v>
      </c>
      <c r="F20" s="10">
        <v>9</v>
      </c>
      <c r="G20" s="10">
        <v>10</v>
      </c>
      <c r="H20" s="10">
        <v>9</v>
      </c>
      <c r="I20" s="10">
        <v>10</v>
      </c>
      <c r="J20" s="10">
        <v>9</v>
      </c>
      <c r="K20" s="10">
        <v>10</v>
      </c>
      <c r="L20" s="10">
        <v>9</v>
      </c>
      <c r="M20" s="10">
        <v>8</v>
      </c>
      <c r="N20" s="10">
        <v>7</v>
      </c>
      <c r="O20" s="10">
        <v>9</v>
      </c>
      <c r="P20" s="10">
        <v>9</v>
      </c>
      <c r="Q20" s="10">
        <v>7</v>
      </c>
      <c r="R20" s="10">
        <v>10</v>
      </c>
      <c r="S20" s="10">
        <v>6</v>
      </c>
      <c r="T20" s="2">
        <f t="shared" si="0"/>
        <v>8.7142857142857135</v>
      </c>
      <c r="U20" s="33"/>
      <c r="V20" s="40"/>
    </row>
    <row r="21" spans="1:23" ht="15" customHeight="1" x14ac:dyDescent="0.25">
      <c r="A21" s="38"/>
      <c r="B21" s="33"/>
      <c r="C21" s="20" t="s">
        <v>14</v>
      </c>
      <c r="D21" s="20">
        <v>11</v>
      </c>
      <c r="E21" s="9" t="s">
        <v>58</v>
      </c>
      <c r="F21" s="10">
        <v>10</v>
      </c>
      <c r="G21" s="10">
        <v>9</v>
      </c>
      <c r="H21" s="10">
        <v>10</v>
      </c>
      <c r="I21" s="10">
        <v>10</v>
      </c>
      <c r="J21" s="10">
        <v>8</v>
      </c>
      <c r="K21" s="10">
        <v>10</v>
      </c>
      <c r="L21" s="10">
        <v>9</v>
      </c>
      <c r="M21" s="10">
        <v>8</v>
      </c>
      <c r="N21" s="10">
        <v>8</v>
      </c>
      <c r="O21" s="10">
        <v>10</v>
      </c>
      <c r="P21" s="10">
        <v>9</v>
      </c>
      <c r="Q21" s="10">
        <v>8</v>
      </c>
      <c r="R21" s="10">
        <v>10</v>
      </c>
      <c r="S21" s="10">
        <v>8</v>
      </c>
      <c r="T21" s="2">
        <f t="shared" si="0"/>
        <v>9.0714285714285712</v>
      </c>
      <c r="U21" s="33"/>
      <c r="V21" s="40"/>
    </row>
    <row r="22" spans="1:23" ht="15" customHeight="1" x14ac:dyDescent="0.25">
      <c r="A22" s="38"/>
      <c r="B22" s="33"/>
      <c r="C22" s="20" t="s">
        <v>14</v>
      </c>
      <c r="D22" s="20">
        <v>12</v>
      </c>
      <c r="E22" s="9" t="s">
        <v>59</v>
      </c>
      <c r="F22" s="10">
        <v>6</v>
      </c>
      <c r="G22" s="10">
        <v>6</v>
      </c>
      <c r="H22" s="10">
        <v>9</v>
      </c>
      <c r="I22" s="10">
        <v>7</v>
      </c>
      <c r="J22" s="10">
        <v>6</v>
      </c>
      <c r="K22" s="10">
        <v>8</v>
      </c>
      <c r="L22" s="10">
        <v>7</v>
      </c>
      <c r="M22" s="10">
        <v>7</v>
      </c>
      <c r="N22" s="10">
        <v>5</v>
      </c>
      <c r="O22" s="10">
        <v>6</v>
      </c>
      <c r="P22" s="10">
        <v>6</v>
      </c>
      <c r="Q22" s="10">
        <v>5</v>
      </c>
      <c r="R22" s="10">
        <v>6</v>
      </c>
      <c r="S22" s="10">
        <v>6</v>
      </c>
      <c r="T22" s="2">
        <f t="shared" si="0"/>
        <v>6.4285714285714288</v>
      </c>
      <c r="U22" s="33"/>
      <c r="V22" s="40"/>
    </row>
    <row r="23" spans="1:23" ht="15" customHeight="1" x14ac:dyDescent="0.25">
      <c r="A23" s="38"/>
      <c r="B23" s="33"/>
      <c r="C23" s="20" t="s">
        <v>14</v>
      </c>
      <c r="D23" s="20">
        <v>13</v>
      </c>
      <c r="E23" s="9" t="s">
        <v>60</v>
      </c>
      <c r="F23" s="10">
        <v>10</v>
      </c>
      <c r="G23" s="10">
        <v>9</v>
      </c>
      <c r="H23" s="10">
        <v>10</v>
      </c>
      <c r="I23" s="10">
        <v>10</v>
      </c>
      <c r="J23" s="10">
        <v>10</v>
      </c>
      <c r="K23" s="10">
        <v>11</v>
      </c>
      <c r="L23" s="10">
        <v>10</v>
      </c>
      <c r="M23" s="10">
        <v>9</v>
      </c>
      <c r="N23" s="10">
        <v>10</v>
      </c>
      <c r="O23" s="10">
        <v>10</v>
      </c>
      <c r="P23" s="10">
        <v>7</v>
      </c>
      <c r="Q23" s="10">
        <v>10</v>
      </c>
      <c r="R23" s="10">
        <v>10</v>
      </c>
      <c r="S23" s="10">
        <v>9</v>
      </c>
      <c r="T23" s="2">
        <f t="shared" si="0"/>
        <v>9.6428571428571423</v>
      </c>
      <c r="U23" s="33"/>
      <c r="V23" s="40"/>
    </row>
    <row r="24" spans="1:23" ht="15" customHeight="1" x14ac:dyDescent="0.25">
      <c r="A24" s="38"/>
      <c r="B24" s="33"/>
      <c r="C24" s="20" t="s">
        <v>14</v>
      </c>
      <c r="D24" s="20">
        <v>14</v>
      </c>
      <c r="E24" s="9" t="s">
        <v>61</v>
      </c>
      <c r="F24" s="10">
        <v>7</v>
      </c>
      <c r="G24" s="10">
        <v>7</v>
      </c>
      <c r="H24" s="10">
        <v>10</v>
      </c>
      <c r="I24" s="10">
        <v>9</v>
      </c>
      <c r="J24" s="10">
        <v>8</v>
      </c>
      <c r="K24" s="10">
        <v>8</v>
      </c>
      <c r="L24" s="10">
        <v>7</v>
      </c>
      <c r="M24" s="10">
        <v>9</v>
      </c>
      <c r="N24" s="10">
        <v>6</v>
      </c>
      <c r="O24" s="10">
        <v>7</v>
      </c>
      <c r="P24" s="10">
        <v>5</v>
      </c>
      <c r="Q24" s="10">
        <v>7</v>
      </c>
      <c r="R24" s="10">
        <v>10</v>
      </c>
      <c r="S24" s="10">
        <v>6</v>
      </c>
      <c r="T24" s="2">
        <f t="shared" si="0"/>
        <v>7.5714285714285712</v>
      </c>
      <c r="U24" s="33"/>
      <c r="V24" s="40"/>
    </row>
    <row r="25" spans="1:23" ht="15" customHeight="1" x14ac:dyDescent="0.25">
      <c r="A25" s="38"/>
      <c r="B25" s="33"/>
      <c r="C25" s="20" t="s">
        <v>14</v>
      </c>
      <c r="D25" s="20">
        <v>15</v>
      </c>
      <c r="E25" s="9" t="s">
        <v>62</v>
      </c>
      <c r="F25" s="10">
        <v>8</v>
      </c>
      <c r="G25" s="10">
        <v>8</v>
      </c>
      <c r="H25" s="10">
        <v>9</v>
      </c>
      <c r="I25" s="10">
        <v>10</v>
      </c>
      <c r="J25" s="10">
        <v>7</v>
      </c>
      <c r="K25" s="10">
        <v>11</v>
      </c>
      <c r="L25" s="10">
        <v>7</v>
      </c>
      <c r="M25" s="10">
        <v>8</v>
      </c>
      <c r="N25" s="10">
        <v>8</v>
      </c>
      <c r="O25" s="10">
        <v>8</v>
      </c>
      <c r="P25" s="10">
        <v>7</v>
      </c>
      <c r="Q25" s="10">
        <v>6</v>
      </c>
      <c r="R25" s="10">
        <v>6</v>
      </c>
      <c r="S25" s="10">
        <v>5</v>
      </c>
      <c r="T25" s="2">
        <f t="shared" si="0"/>
        <v>7.7142857142857144</v>
      </c>
      <c r="U25" s="33"/>
      <c r="V25" s="40"/>
    </row>
    <row r="26" spans="1:23" ht="15" customHeight="1" x14ac:dyDescent="0.25">
      <c r="A26" s="38"/>
      <c r="B26" s="33"/>
      <c r="C26" s="20" t="s">
        <v>14</v>
      </c>
      <c r="D26" s="20">
        <v>16</v>
      </c>
      <c r="E26" s="9" t="s">
        <v>63</v>
      </c>
      <c r="F26" s="10">
        <v>9</v>
      </c>
      <c r="G26" s="10">
        <v>9</v>
      </c>
      <c r="H26" s="10">
        <v>10</v>
      </c>
      <c r="I26" s="10">
        <v>10</v>
      </c>
      <c r="J26" s="10">
        <v>10</v>
      </c>
      <c r="K26" s="10">
        <v>10</v>
      </c>
      <c r="L26" s="10">
        <v>10</v>
      </c>
      <c r="M26" s="10">
        <v>7</v>
      </c>
      <c r="N26" s="10">
        <v>10</v>
      </c>
      <c r="O26" s="10">
        <v>7</v>
      </c>
      <c r="P26" s="10">
        <v>8</v>
      </c>
      <c r="Q26" s="10">
        <v>8</v>
      </c>
      <c r="R26" s="10">
        <v>10</v>
      </c>
      <c r="S26" s="10">
        <v>8</v>
      </c>
      <c r="T26" s="2">
        <f t="shared" si="0"/>
        <v>9</v>
      </c>
      <c r="U26" s="33"/>
      <c r="V26" s="40"/>
    </row>
    <row r="27" spans="1:23" ht="15" customHeight="1" x14ac:dyDescent="0.25">
      <c r="A27" s="38"/>
      <c r="B27" s="33"/>
      <c r="C27" s="20" t="s">
        <v>14</v>
      </c>
      <c r="D27" s="20">
        <v>17</v>
      </c>
      <c r="E27" s="9" t="s">
        <v>64</v>
      </c>
      <c r="F27" s="10">
        <v>5</v>
      </c>
      <c r="G27" s="10">
        <v>10</v>
      </c>
      <c r="H27" s="10">
        <v>9</v>
      </c>
      <c r="I27" s="10">
        <v>8</v>
      </c>
      <c r="J27" s="10">
        <v>5</v>
      </c>
      <c r="K27" s="10">
        <v>5</v>
      </c>
      <c r="L27" s="10">
        <v>4</v>
      </c>
      <c r="M27" s="10" t="s">
        <v>75</v>
      </c>
      <c r="N27" s="10">
        <v>5</v>
      </c>
      <c r="O27" s="10">
        <v>4</v>
      </c>
      <c r="P27" s="10">
        <v>6</v>
      </c>
      <c r="Q27" s="10">
        <v>3</v>
      </c>
      <c r="R27" s="10">
        <v>10</v>
      </c>
      <c r="S27" s="10">
        <v>6</v>
      </c>
      <c r="T27" s="2" t="str">
        <f t="shared" si="0"/>
        <v>-</v>
      </c>
      <c r="U27" s="33"/>
      <c r="V27" s="40"/>
    </row>
    <row r="28" spans="1:23" ht="15" customHeight="1" x14ac:dyDescent="0.25">
      <c r="A28" s="38"/>
      <c r="B28" s="33"/>
      <c r="C28" s="20" t="s">
        <v>13</v>
      </c>
      <c r="D28" s="20">
        <v>18</v>
      </c>
      <c r="E28" s="9" t="s">
        <v>65</v>
      </c>
      <c r="F28" s="10">
        <v>7</v>
      </c>
      <c r="G28" s="10">
        <v>7</v>
      </c>
      <c r="H28" s="10">
        <v>9</v>
      </c>
      <c r="I28" s="10">
        <v>8</v>
      </c>
      <c r="J28" s="10">
        <v>6</v>
      </c>
      <c r="K28" s="10">
        <v>8</v>
      </c>
      <c r="L28" s="10">
        <v>6</v>
      </c>
      <c r="M28" s="10">
        <v>6</v>
      </c>
      <c r="N28" s="10">
        <v>5</v>
      </c>
      <c r="O28" s="10">
        <v>5</v>
      </c>
      <c r="P28" s="10">
        <v>6</v>
      </c>
      <c r="Q28" s="10">
        <v>3</v>
      </c>
      <c r="R28" s="10">
        <v>8</v>
      </c>
      <c r="S28" s="10">
        <v>6</v>
      </c>
      <c r="T28" s="2">
        <f>AVERAGE(F28:S28)</f>
        <v>6.4285714285714288</v>
      </c>
      <c r="U28" s="33"/>
      <c r="V28" s="40"/>
    </row>
    <row r="29" spans="1:23" ht="15" customHeight="1" x14ac:dyDescent="0.25">
      <c r="A29" s="38"/>
      <c r="B29" s="33"/>
      <c r="C29" s="20" t="s">
        <v>14</v>
      </c>
      <c r="D29" s="20">
        <v>19</v>
      </c>
      <c r="E29" s="9" t="s">
        <v>66</v>
      </c>
      <c r="F29" s="10">
        <v>5</v>
      </c>
      <c r="G29" s="10">
        <v>9</v>
      </c>
      <c r="H29" s="10">
        <v>7</v>
      </c>
      <c r="I29" s="10">
        <v>8</v>
      </c>
      <c r="J29" s="10">
        <v>5</v>
      </c>
      <c r="K29" s="10">
        <v>9</v>
      </c>
      <c r="L29" s="10">
        <v>6</v>
      </c>
      <c r="M29" s="10">
        <v>6</v>
      </c>
      <c r="N29" s="10">
        <v>5</v>
      </c>
      <c r="O29" s="10">
        <v>4</v>
      </c>
      <c r="P29" s="10">
        <v>4</v>
      </c>
      <c r="Q29" s="10">
        <v>4</v>
      </c>
      <c r="R29" s="10">
        <v>8</v>
      </c>
      <c r="S29" s="10">
        <v>5</v>
      </c>
      <c r="T29" s="2">
        <f t="shared" ref="T29" si="1">IF(COUNTIF(F29:S29,"=*")&gt;0,"-",IF(COUNTIF(F29:S29,"&lt;4")&gt;0,"-",(IFERROR(AVERAGE(F29:S29),""))))</f>
        <v>6.0714285714285712</v>
      </c>
      <c r="U29" s="33"/>
      <c r="V29" s="40"/>
    </row>
    <row r="30" spans="1:23" ht="15" customHeight="1" x14ac:dyDescent="0.25">
      <c r="A30" s="38"/>
      <c r="B30" s="33"/>
      <c r="C30" s="11"/>
      <c r="D30" s="11"/>
      <c r="E30" s="9" t="s">
        <v>15</v>
      </c>
      <c r="F30" s="3">
        <f>IF(SUM(F11:F29)=0,"",SUM(F11:F29)/D29)</f>
        <v>7.3157894736842106</v>
      </c>
      <c r="G30" s="3">
        <f>IF(SUM(G11:G29)=0,"",SUM(G11:G29)/D29)</f>
        <v>8.3684210526315788</v>
      </c>
      <c r="H30" s="3">
        <f>IF(SUM(H11:H29)=0,"",SUM(H11:H29)/D29)</f>
        <v>8.7894736842105257</v>
      </c>
      <c r="I30" s="3">
        <f>IF(SUM(I11:I29)=0,"",SUM(I11:I29)/D29)</f>
        <v>8.7894736842105257</v>
      </c>
      <c r="J30" s="3">
        <f>IF(SUM(J11:J29)=0,"",SUM(J11:J29)/D29)</f>
        <v>7.5263157894736841</v>
      </c>
      <c r="K30" s="3">
        <f>IF(SUM(K11:K29)=0,"",SUM(K11:K29)/D29)</f>
        <v>9.1052631578947363</v>
      </c>
      <c r="L30" s="3">
        <f>IF(SUM(L11:L29)=0,"",SUM(L11:L29)/D29)</f>
        <v>7.4210526315789478</v>
      </c>
      <c r="M30" s="3">
        <f>IF(SUM(M11:M29)=0,"",SUM(M11:M29)/D29)</f>
        <v>6.6842105263157894</v>
      </c>
      <c r="N30" s="3">
        <f>IF(SUM(N11:N29)=0,"",SUM(N11:N29)/D29)</f>
        <v>6.6315789473684212</v>
      </c>
      <c r="O30" s="3">
        <f>IF(SUM(O11:O29)=0,"",SUM(O11:O29)/D29)</f>
        <v>6.9473684210526319</v>
      </c>
      <c r="P30" s="3">
        <f>IF(SUM(P11:P29)=0,"",SUM(P11:P29)/D29)</f>
        <v>6.4736842105263159</v>
      </c>
      <c r="Q30" s="3">
        <f>IF(SUM(Q11:Q29)=0,"",SUM(Q11:Q29)/D29)</f>
        <v>6</v>
      </c>
      <c r="R30" s="3">
        <f>IF(SUM(R11:R29)=0,"",SUM(R11:R29)/D29)</f>
        <v>8.3684210526315788</v>
      </c>
      <c r="S30" s="3">
        <f>IF(SUM(S11:S29)=0,"",SUM(S11:S29)/D29)</f>
        <v>6.5789473684210522</v>
      </c>
      <c r="T30" s="2">
        <f>IFERROR(AVERAGE(F30:S30),"")</f>
        <v>7.4999999999999991</v>
      </c>
      <c r="U30" s="33"/>
      <c r="V30" s="40"/>
    </row>
    <row r="31" spans="1:23" ht="15" customHeight="1" x14ac:dyDescent="0.25">
      <c r="A31" s="38"/>
      <c r="B31" s="33"/>
      <c r="C31" s="11"/>
      <c r="D31" s="11"/>
      <c r="E31" s="9" t="s">
        <v>16</v>
      </c>
      <c r="F31" s="12">
        <f>IF(SUM(F11:F29)=0,"",IF(COUNTIF(F11:F29,"&gt;=4")=0,0,COUNTIF(F11:F29,"&gt;=4")/D29*100))</f>
        <v>100</v>
      </c>
      <c r="G31" s="12">
        <f>IF(SUM(G11:G29)=0,"",IF(COUNTIF(G11:G29,"&gt;=4")=0,0,COUNTIF(G11:G29,"&gt;=4")/D29*100))</f>
        <v>100</v>
      </c>
      <c r="H31" s="12">
        <f>IF(SUM(H11:H29)=0,"",IF(COUNTIF(H11:H29,"&gt;=4")=0,0,COUNTIF(H11:H29,"&gt;=4")/D29*100))</f>
        <v>100</v>
      </c>
      <c r="I31" s="12">
        <f>IF(SUM(I11:I29)=0,"",IF(COUNTIF(I11:I29,"&gt;=4")=0,0,COUNTIF(I11:I29,"&gt;=4")/D29*100))</f>
        <v>100</v>
      </c>
      <c r="J31" s="12">
        <f>IF(SUM(J11:J29)=0,"",IF(COUNTIF(J11:J29,"&gt;=4")=0,0,COUNTIF(J11:J29,"&gt;=4")/D29*100))</f>
        <v>100</v>
      </c>
      <c r="K31" s="12">
        <f>IF(SUM(K11:K29)=0,"",IF(COUNTIF(K11:K29,"&gt;=4")=0,0,COUNTIF(K11:K29,"&gt;=4")/D29*100))</f>
        <v>100</v>
      </c>
      <c r="L31" s="12">
        <f>IF(SUM(L11:L29)=0,"",IF(COUNTIF(L11:L29,"&gt;=4")=0,0,COUNTIF(L11:L29,"&gt;=4")/D29*100))</f>
        <v>100</v>
      </c>
      <c r="M31" s="12">
        <f>IF(SUM(M11:M29)=0,"",IF(COUNTIF(M11:M29,"&gt;=4")=0,0,COUNTIF(M11:M29,"&gt;=4")/D29*100))</f>
        <v>94.73684210526315</v>
      </c>
      <c r="N31" s="12">
        <f>IF(SUM(N11:N29)=0,"",IF(COUNTIF(N11:N29,"&gt;=4")=0,0,COUNTIF(N11:N29,"&gt;=4")/D29*100))</f>
        <v>100</v>
      </c>
      <c r="O31" s="12">
        <f>IF(SUM(O11:O29)=0,"",IF(COUNTIF(O11:O29,"&gt;=4")=0,0,COUNTIF(O11:O29,"&gt;=4")/D29*100))</f>
        <v>100</v>
      </c>
      <c r="P31" s="12">
        <f>IF(SUM(P11:P29)=0,"",IF(COUNTIF(P11:P29,"&gt;=4")=0,0,COUNTIF(P11:P29,"&gt;=4")/D29*100))</f>
        <v>100</v>
      </c>
      <c r="Q31" s="12">
        <f>IF(SUM(Q11:Q29)=0,"",IF(COUNTIF(Q11:Q29,"&gt;=4")=0,0,COUNTIF(Q11:Q29,"&gt;=4")/D29*100))</f>
        <v>89.473684210526315</v>
      </c>
      <c r="R31" s="12">
        <f>IF(SUM(R11:R29)=0,"",IF(COUNTIF(R11:R29,"&gt;=4")=0,0,COUNTIF(R11:R29,"&gt;=4")/D29*100))</f>
        <v>100</v>
      </c>
      <c r="S31" s="12">
        <f>IF(SUM(S11:S29)=0,"",IF(COUNTIF(S11:S29,"&gt;=4")=0,0,COUNTIF(S11:S29,"&gt;=4")/D29*100))</f>
        <v>100</v>
      </c>
      <c r="T31" s="13"/>
      <c r="U31" s="33"/>
      <c r="V31" s="40"/>
      <c r="W31" s="14"/>
    </row>
    <row r="32" spans="1:23" ht="15" customHeight="1" x14ac:dyDescent="0.25">
      <c r="A32" s="38"/>
      <c r="B32" s="33"/>
      <c r="C32" s="11"/>
      <c r="D32" s="11"/>
      <c r="E32" s="9" t="s">
        <v>17</v>
      </c>
      <c r="F32" s="12">
        <f>IF(SUM(F11:F29)=0,"",IF(COUNTIF(F11:F29,"&gt;=7")=0,0,COUNTIF(F11:F29,"&gt;=7")/D29*100))</f>
        <v>73.68421052631578</v>
      </c>
      <c r="G32" s="12">
        <f>IF(SUM(G11:G29)=0,"",IF(COUNTIF(G11:G29,"&gt;=7")=0,0,COUNTIF(G11:G29,"&gt;=7")/D29*100))</f>
        <v>94.73684210526315</v>
      </c>
      <c r="H32" s="12">
        <f>IF(SUM(H11:H29)=0,"",IF(COUNTIF(H11:H29,"&gt;=7")=0,0,COUNTIF(H11:H29,"&gt;=7")/D29*100))</f>
        <v>89.473684210526315</v>
      </c>
      <c r="I32" s="12">
        <f>IF(SUM(I11:I29)=0,"",IF(COUNTIF(I11:I29,"&gt;=7")=0,0,COUNTIF(I11:I29,"&gt;=7")/D29*100))</f>
        <v>94.73684210526315</v>
      </c>
      <c r="J32" s="12">
        <f>IF(SUM(J11:J29)=0,"",IF(COUNTIF(J11:J29,"&gt;=7")=0,0,COUNTIF(J11:J29,"&gt;=7")/D29*100))</f>
        <v>73.68421052631578</v>
      </c>
      <c r="K32" s="12">
        <f>IF(SUM(K11:K29)=0,"",IF(COUNTIF(K11:K29,"&gt;=7")=0,0,COUNTIF(K11:K29,"&gt;=7")/D29*100))</f>
        <v>94.73684210526315</v>
      </c>
      <c r="L32" s="12">
        <f>IF(SUM(L11:L29)=0,"",IF(COUNTIF(L11:L29,"&gt;=7")=0,0,COUNTIF(L11:L29,"&gt;=7")/D29*100))</f>
        <v>68.421052631578945</v>
      </c>
      <c r="M32" s="12">
        <f>IF(SUM(M11:M29)=0,"",IF(COUNTIF(M11:M29,"&gt;=7")=0,0,COUNTIF(M11:M29,"&gt;=7")/D29*100))</f>
        <v>63.157894736842103</v>
      </c>
      <c r="N32" s="12">
        <f>IF(SUM(N11:N29)=0,"",IF(COUNTIF(N11:N29,"&gt;=7")=0,0,COUNTIF(N11:N29,"&gt;=7")/D29*100))</f>
        <v>47.368421052631575</v>
      </c>
      <c r="O32" s="12">
        <f>IF(SUM(O11:O29)=0,"",IF(COUNTIF(O11:O29,"&gt;=7")=0,0,COUNTIF(O11:O29,"&gt;=7")/D29*100))</f>
        <v>68.421052631578945</v>
      </c>
      <c r="P32" s="12">
        <f>IF(SUM(P11:P29)=0,"",IF(COUNTIF(P11:P29,"&gt;=7")=0,0,COUNTIF(P11:P29,"&gt;=7")/D29*100))</f>
        <v>42.105263157894733</v>
      </c>
      <c r="Q32" s="12">
        <f>IF(SUM(Q11:Q29)=0,"",IF(COUNTIF(Q11:Q29,"&gt;=7")=0,0,COUNTIF(Q11:Q29,"&gt;=7")/D29*100))</f>
        <v>47.368421052631575</v>
      </c>
      <c r="R32" s="12">
        <f>IF(SUM(R11:R29)=0,"",IF(COUNTIF(R11:R29,"&gt;=7")=0,0,COUNTIF(R11:R29,"&gt;=7")/D29*100))</f>
        <v>73.68421052631578</v>
      </c>
      <c r="S32" s="12">
        <f>IF(SUM(S11:S29)=0,"",IF(COUNTIF(S11:S29,"&gt;=7")=0,0,COUNTIF(S11:S29,"&gt;=7")/D29*100))</f>
        <v>26.315789473684209</v>
      </c>
      <c r="T32" s="21"/>
      <c r="U32" s="33"/>
      <c r="V32" s="40"/>
      <c r="W32" s="14"/>
    </row>
    <row r="33" spans="1:23" ht="15" customHeight="1" x14ac:dyDescent="0.25">
      <c r="A33" s="38"/>
      <c r="B33" s="33"/>
      <c r="C33" s="11"/>
      <c r="D33" s="11"/>
      <c r="E33" s="9" t="s">
        <v>18</v>
      </c>
      <c r="F33" s="3">
        <f>IFERROR(AVERAGE(F31:S31),"")</f>
        <v>98.872180451127818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21"/>
      <c r="U33" s="33"/>
      <c r="V33" s="40"/>
      <c r="W33" s="14"/>
    </row>
    <row r="34" spans="1:23" ht="15" customHeight="1" x14ac:dyDescent="0.25">
      <c r="A34" s="38"/>
      <c r="B34" s="33"/>
      <c r="C34" s="11"/>
      <c r="D34" s="11"/>
      <c r="E34" s="9" t="s">
        <v>19</v>
      </c>
      <c r="F34" s="3">
        <f>IFERROR(AVERAGE(F32:S32),"")</f>
        <v>68.421052631578945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1"/>
      <c r="U34" s="33"/>
      <c r="V34" s="40"/>
      <c r="W34" s="14"/>
    </row>
    <row r="35" spans="1:23" ht="15" customHeight="1" x14ac:dyDescent="0.25">
      <c r="A35" s="38"/>
      <c r="B35" s="33"/>
      <c r="C35" s="11"/>
      <c r="D35" s="11"/>
      <c r="E35" s="9" t="s">
        <v>20</v>
      </c>
      <c r="F35" s="19">
        <f>IF(COUNTIF(C11:C29,"=Б")=0,IF(COUNTIF(C11:C29,"=К")=0,"",0),COUNTIF(C11:C29,"=Б"))</f>
        <v>15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21"/>
      <c r="U35" s="33"/>
      <c r="V35" s="40"/>
      <c r="W35" s="14"/>
    </row>
    <row r="36" spans="1:23" ht="15" customHeight="1" x14ac:dyDescent="0.25">
      <c r="A36" s="38"/>
      <c r="B36" s="33"/>
      <c r="C36" s="11"/>
      <c r="D36" s="11"/>
      <c r="E36" s="9" t="s">
        <v>21</v>
      </c>
      <c r="F36" s="19">
        <f>IF(COUNTIF(C11:C29,"=К")=0,IF(COUNTIF(C11:C29,"=Б")=0,"",0),COUNTIF(C11:C29,"=К"))</f>
        <v>4</v>
      </c>
      <c r="G36" s="11"/>
      <c r="H36" s="17" t="s">
        <v>22</v>
      </c>
      <c r="I36" s="11"/>
      <c r="J36" s="11"/>
      <c r="K36" s="11"/>
      <c r="L36" s="11"/>
      <c r="M36" s="11"/>
      <c r="N36" s="11"/>
      <c r="O36" s="1" t="s">
        <v>67</v>
      </c>
      <c r="P36" s="11"/>
      <c r="Q36" s="11"/>
      <c r="R36" s="11"/>
      <c r="S36" s="11"/>
      <c r="T36" s="11"/>
      <c r="U36" s="33"/>
      <c r="V36" s="40"/>
    </row>
    <row r="37" spans="1:23" ht="15" customHeight="1" x14ac:dyDescent="0.25">
      <c r="A37" s="38"/>
      <c r="B37" s="33"/>
      <c r="C37" s="11"/>
      <c r="D37" s="11"/>
      <c r="E37" s="9" t="s">
        <v>23</v>
      </c>
      <c r="F37" s="19">
        <v>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33"/>
      <c r="V37" s="40"/>
    </row>
    <row r="38" spans="1:23" ht="15" customHeight="1" x14ac:dyDescent="0.25">
      <c r="A38" s="38"/>
      <c r="B38" s="33"/>
      <c r="C38" s="11"/>
      <c r="D38" s="11"/>
      <c r="E38" s="9" t="s">
        <v>24</v>
      </c>
      <c r="F38" s="19">
        <v>6</v>
      </c>
      <c r="G38" s="11"/>
      <c r="H38" s="17" t="s">
        <v>79</v>
      </c>
      <c r="I38" s="11"/>
      <c r="J38" s="11"/>
      <c r="K38" s="11"/>
      <c r="L38" s="11"/>
      <c r="M38" s="11"/>
      <c r="N38" s="11"/>
      <c r="O38" s="17" t="s">
        <v>25</v>
      </c>
      <c r="P38" s="11"/>
      <c r="Q38" s="11"/>
      <c r="R38" s="11"/>
      <c r="S38" s="11"/>
      <c r="T38" s="11"/>
      <c r="U38" s="33"/>
      <c r="V38" s="40"/>
    </row>
    <row r="39" spans="1:23" ht="12" customHeight="1" thickBot="1" x14ac:dyDescent="0.3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40"/>
    </row>
    <row r="40" spans="1:23" ht="12" customHeight="1" x14ac:dyDescent="0.25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</sheetData>
  <sheetProtection selectLockedCells="1"/>
  <sortState ref="E11:E29">
    <sortCondition ref="E11"/>
  </sortState>
  <mergeCells count="18">
    <mergeCell ref="B1:U1"/>
    <mergeCell ref="A2:A39"/>
    <mergeCell ref="B2:U2"/>
    <mergeCell ref="V2:V39"/>
    <mergeCell ref="B3:B38"/>
    <mergeCell ref="C3:T3"/>
    <mergeCell ref="U3:U38"/>
    <mergeCell ref="C4:T4"/>
    <mergeCell ref="C5:T5"/>
    <mergeCell ref="C6:T6"/>
    <mergeCell ref="B39:U39"/>
    <mergeCell ref="B40:U40"/>
    <mergeCell ref="C7:T7"/>
    <mergeCell ref="C8:T8"/>
    <mergeCell ref="C9:C10"/>
    <mergeCell ref="D9:D10"/>
    <mergeCell ref="E9:E10"/>
    <mergeCell ref="F9:T9"/>
  </mergeCells>
  <conditionalFormatting sqref="T11:T28">
    <cfRule type="expression" dxfId="106" priority="4">
      <formula>$U$29&lt;&gt;""</formula>
    </cfRule>
  </conditionalFormatting>
  <conditionalFormatting sqref="C11:S11 F12:S29">
    <cfRule type="expression" dxfId="105" priority="5">
      <formula>$U$11&lt;&gt;""</formula>
    </cfRule>
  </conditionalFormatting>
  <conditionalFormatting sqref="C12:E12">
    <cfRule type="expression" dxfId="104" priority="6">
      <formula>$U$12&lt;&gt;""</formula>
    </cfRule>
  </conditionalFormatting>
  <conditionalFormatting sqref="C13:E13">
    <cfRule type="expression" dxfId="103" priority="7">
      <formula>$U$13&lt;&gt;""</formula>
    </cfRule>
  </conditionalFormatting>
  <conditionalFormatting sqref="C14:E14">
    <cfRule type="expression" dxfId="102" priority="8">
      <formula>$U$14&lt;&gt;""</formula>
    </cfRule>
  </conditionalFormatting>
  <conditionalFormatting sqref="C15:E15">
    <cfRule type="expression" dxfId="101" priority="9">
      <formula>$U$15&lt;&gt;""</formula>
    </cfRule>
  </conditionalFormatting>
  <conditionalFormatting sqref="C16:E16">
    <cfRule type="expression" dxfId="100" priority="10">
      <formula>$U$16&lt;&gt;""</formula>
    </cfRule>
  </conditionalFormatting>
  <conditionalFormatting sqref="C17:E17">
    <cfRule type="expression" dxfId="99" priority="11">
      <formula>$U$17&lt;&gt;""</formula>
    </cfRule>
  </conditionalFormatting>
  <conditionalFormatting sqref="C18:E18">
    <cfRule type="expression" dxfId="98" priority="12">
      <formula>$U$18&lt;&gt;""</formula>
    </cfRule>
  </conditionalFormatting>
  <conditionalFormatting sqref="C19:E19">
    <cfRule type="expression" dxfId="97" priority="13">
      <formula>$U$19&lt;&gt;""</formula>
    </cfRule>
  </conditionalFormatting>
  <conditionalFormatting sqref="C20:E20">
    <cfRule type="expression" dxfId="96" priority="14">
      <formula>$U$20&lt;&gt;""</formula>
    </cfRule>
  </conditionalFormatting>
  <conditionalFormatting sqref="C21:E21">
    <cfRule type="expression" dxfId="95" priority="15">
      <formula>$U$21&lt;&gt;""</formula>
    </cfRule>
  </conditionalFormatting>
  <conditionalFormatting sqref="C22:E22">
    <cfRule type="expression" dxfId="94" priority="16">
      <formula>$U$22&lt;&gt;""</formula>
    </cfRule>
  </conditionalFormatting>
  <conditionalFormatting sqref="C23:E23">
    <cfRule type="expression" dxfId="93" priority="17">
      <formula>$U$23&lt;&gt;""</formula>
    </cfRule>
  </conditionalFormatting>
  <conditionalFormatting sqref="C24:E24">
    <cfRule type="expression" dxfId="92" priority="18">
      <formula>$U$24&lt;&gt;""</formula>
    </cfRule>
  </conditionalFormatting>
  <conditionalFormatting sqref="C25:E25">
    <cfRule type="expression" dxfId="91" priority="19">
      <formula>$U$25&lt;&gt;""</formula>
    </cfRule>
  </conditionalFormatting>
  <conditionalFormatting sqref="C26:E26">
    <cfRule type="expression" dxfId="90" priority="20">
      <formula>$U$26&lt;&gt;""</formula>
    </cfRule>
  </conditionalFormatting>
  <conditionalFormatting sqref="C27:E27">
    <cfRule type="expression" dxfId="89" priority="21">
      <formula>$U$27&lt;&gt;""</formula>
    </cfRule>
  </conditionalFormatting>
  <conditionalFormatting sqref="C28:E28">
    <cfRule type="expression" dxfId="88" priority="22">
      <formula>$U$28&lt;&gt;""</formula>
    </cfRule>
  </conditionalFormatting>
  <conditionalFormatting sqref="T29">
    <cfRule type="expression" dxfId="87" priority="2">
      <formula>$U$29&lt;&gt;""</formula>
    </cfRule>
  </conditionalFormatting>
  <conditionalFormatting sqref="C29:E29">
    <cfRule type="expression" dxfId="86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</sheetPr>
  <dimension ref="A2:P38"/>
  <sheetViews>
    <sheetView zoomScale="70" zoomScaleNormal="70" workbookViewId="0"/>
  </sheetViews>
  <sheetFormatPr defaultRowHeight="12.95" customHeight="1" x14ac:dyDescent="0.25"/>
  <cols>
    <col min="2" max="2" width="40.85546875" customWidth="1"/>
  </cols>
  <sheetData>
    <row r="2" spans="1:16" ht="97.5" customHeight="1" x14ac:dyDescent="0.25">
      <c r="C2" s="18" t="s">
        <v>4</v>
      </c>
      <c r="D2" s="18" t="s">
        <v>5</v>
      </c>
      <c r="E2" s="18" t="s">
        <v>6</v>
      </c>
      <c r="F2" s="18" t="s">
        <v>28</v>
      </c>
      <c r="G2" s="18" t="s">
        <v>29</v>
      </c>
      <c r="H2" s="18" t="s">
        <v>71</v>
      </c>
      <c r="I2" s="18" t="s">
        <v>7</v>
      </c>
      <c r="J2" s="18" t="s">
        <v>8</v>
      </c>
      <c r="K2" s="18" t="s">
        <v>72</v>
      </c>
      <c r="L2" s="18" t="s">
        <v>73</v>
      </c>
      <c r="M2" s="18" t="s">
        <v>74</v>
      </c>
      <c r="N2" s="18" t="s">
        <v>9</v>
      </c>
      <c r="O2" s="18" t="s">
        <v>10</v>
      </c>
      <c r="P2" s="18" t="s">
        <v>11</v>
      </c>
    </row>
    <row r="3" spans="1:16" ht="12.95" customHeight="1" x14ac:dyDescent="0.25">
      <c r="A3">
        <v>1</v>
      </c>
      <c r="B3" s="9" t="s">
        <v>31</v>
      </c>
      <c r="C3" s="10">
        <v>5</v>
      </c>
      <c r="D3" s="10">
        <v>8</v>
      </c>
      <c r="E3" s="10">
        <v>9</v>
      </c>
      <c r="F3" s="10">
        <v>8</v>
      </c>
      <c r="G3" s="10">
        <v>6</v>
      </c>
      <c r="H3" s="10">
        <v>8</v>
      </c>
      <c r="I3" s="10">
        <v>4</v>
      </c>
      <c r="J3" s="10">
        <v>7</v>
      </c>
      <c r="K3" s="10">
        <v>6</v>
      </c>
      <c r="L3" s="10">
        <v>6</v>
      </c>
      <c r="M3" s="10">
        <v>5</v>
      </c>
      <c r="N3" s="10">
        <v>4</v>
      </c>
      <c r="O3" s="10">
        <v>10</v>
      </c>
      <c r="P3" s="10">
        <v>6</v>
      </c>
    </row>
    <row r="4" spans="1:16" ht="12.95" customHeight="1" x14ac:dyDescent="0.25">
      <c r="A4">
        <v>2</v>
      </c>
      <c r="B4" s="9" t="s">
        <v>32</v>
      </c>
      <c r="C4" s="10">
        <v>7</v>
      </c>
      <c r="D4" s="10">
        <v>8</v>
      </c>
      <c r="E4" s="10">
        <v>7</v>
      </c>
      <c r="F4" s="10">
        <v>9</v>
      </c>
      <c r="G4" s="10">
        <v>8</v>
      </c>
      <c r="H4" s="10">
        <v>10</v>
      </c>
      <c r="I4" s="10">
        <v>8</v>
      </c>
      <c r="J4" s="10">
        <v>7</v>
      </c>
      <c r="K4" s="10">
        <v>6</v>
      </c>
      <c r="L4" s="10">
        <v>8</v>
      </c>
      <c r="M4" s="10">
        <v>7</v>
      </c>
      <c r="N4" s="10">
        <v>5</v>
      </c>
      <c r="O4" s="10">
        <v>6</v>
      </c>
      <c r="P4" s="10">
        <v>6</v>
      </c>
    </row>
    <row r="5" spans="1:16" ht="12.95" customHeight="1" x14ac:dyDescent="0.25">
      <c r="A5">
        <v>3</v>
      </c>
      <c r="B5" s="9" t="s">
        <v>48</v>
      </c>
      <c r="C5" s="10">
        <v>7</v>
      </c>
      <c r="D5" s="10">
        <v>8</v>
      </c>
      <c r="E5" s="10">
        <v>5</v>
      </c>
      <c r="F5" s="10">
        <v>9</v>
      </c>
      <c r="G5" s="10">
        <v>8</v>
      </c>
      <c r="H5" s="10">
        <v>9</v>
      </c>
      <c r="I5" s="10">
        <v>6</v>
      </c>
      <c r="J5" s="10">
        <v>6</v>
      </c>
      <c r="K5" s="10">
        <v>6</v>
      </c>
      <c r="L5" s="10">
        <v>7</v>
      </c>
      <c r="M5" s="10">
        <v>4</v>
      </c>
      <c r="N5" s="10">
        <v>5</v>
      </c>
      <c r="O5" s="10">
        <v>8</v>
      </c>
      <c r="P5" s="10">
        <v>6</v>
      </c>
    </row>
    <row r="6" spans="1:16" ht="12.95" customHeight="1" x14ac:dyDescent="0.25">
      <c r="A6">
        <v>4</v>
      </c>
      <c r="B6" s="9" t="s">
        <v>49</v>
      </c>
      <c r="C6" s="10">
        <v>5</v>
      </c>
      <c r="D6" s="10">
        <v>7</v>
      </c>
      <c r="E6" s="10">
        <v>6</v>
      </c>
      <c r="F6" s="10">
        <v>5</v>
      </c>
      <c r="G6" s="10">
        <v>4</v>
      </c>
      <c r="H6" s="10">
        <v>8</v>
      </c>
      <c r="I6" s="10">
        <v>4</v>
      </c>
      <c r="J6" s="10">
        <v>6</v>
      </c>
      <c r="K6" s="10">
        <v>4</v>
      </c>
      <c r="L6" s="10">
        <v>4</v>
      </c>
      <c r="M6" s="10">
        <v>6</v>
      </c>
      <c r="N6" s="10">
        <v>4</v>
      </c>
      <c r="O6" s="10">
        <v>10</v>
      </c>
      <c r="P6" s="10">
        <v>6</v>
      </c>
    </row>
    <row r="7" spans="1:16" ht="12.95" customHeight="1" x14ac:dyDescent="0.25">
      <c r="A7">
        <v>5</v>
      </c>
      <c r="B7" s="9" t="s">
        <v>50</v>
      </c>
      <c r="C7" s="10">
        <v>7</v>
      </c>
      <c r="D7" s="10">
        <v>8</v>
      </c>
      <c r="E7" s="10">
        <v>8</v>
      </c>
      <c r="F7" s="10">
        <v>9</v>
      </c>
      <c r="G7" s="10">
        <v>7</v>
      </c>
      <c r="H7" s="10">
        <v>9</v>
      </c>
      <c r="I7" s="10">
        <v>7</v>
      </c>
      <c r="J7" s="10">
        <v>7</v>
      </c>
      <c r="K7" s="10">
        <v>5</v>
      </c>
      <c r="L7" s="10">
        <v>4</v>
      </c>
      <c r="M7" s="10">
        <v>4</v>
      </c>
      <c r="N7" s="10">
        <v>5</v>
      </c>
      <c r="O7" s="10">
        <v>6</v>
      </c>
      <c r="P7" s="10">
        <v>6</v>
      </c>
    </row>
    <row r="8" spans="1:16" ht="12.95" customHeight="1" x14ac:dyDescent="0.25">
      <c r="A8">
        <v>6</v>
      </c>
      <c r="B8" s="9" t="s">
        <v>33</v>
      </c>
      <c r="C8" s="10">
        <v>5</v>
      </c>
      <c r="D8" s="10">
        <v>5</v>
      </c>
      <c r="E8" s="10">
        <v>4</v>
      </c>
      <c r="F8" s="10">
        <v>9</v>
      </c>
      <c r="G8" s="10">
        <v>6</v>
      </c>
      <c r="H8" s="10">
        <v>7</v>
      </c>
      <c r="I8" s="10" t="s">
        <v>75</v>
      </c>
      <c r="J8" s="10">
        <v>4</v>
      </c>
      <c r="K8" s="10">
        <v>5</v>
      </c>
      <c r="L8" s="10">
        <v>4</v>
      </c>
      <c r="M8" s="10">
        <v>6</v>
      </c>
      <c r="N8" s="10">
        <v>4</v>
      </c>
      <c r="O8" s="10">
        <v>10</v>
      </c>
      <c r="P8" s="10">
        <v>6</v>
      </c>
    </row>
    <row r="9" spans="1:16" ht="12.95" customHeight="1" x14ac:dyDescent="0.25">
      <c r="A9">
        <v>7</v>
      </c>
      <c r="B9" s="9" t="s">
        <v>34</v>
      </c>
      <c r="C9" s="10">
        <v>7</v>
      </c>
      <c r="D9" s="10">
        <v>8</v>
      </c>
      <c r="E9" s="10">
        <v>9</v>
      </c>
      <c r="F9" s="10">
        <v>9</v>
      </c>
      <c r="G9" s="10">
        <v>8</v>
      </c>
      <c r="H9" s="10">
        <v>9</v>
      </c>
      <c r="I9" s="10">
        <v>6</v>
      </c>
      <c r="J9" s="10">
        <v>6</v>
      </c>
      <c r="K9" s="10">
        <v>6</v>
      </c>
      <c r="L9" s="10">
        <v>8</v>
      </c>
      <c r="M9" s="10">
        <v>7</v>
      </c>
      <c r="N9" s="10">
        <v>6</v>
      </c>
      <c r="O9" s="10">
        <v>9</v>
      </c>
      <c r="P9" s="10">
        <v>6</v>
      </c>
    </row>
    <row r="10" spans="1:16" ht="12.95" customHeight="1" x14ac:dyDescent="0.25">
      <c r="A10">
        <v>8</v>
      </c>
      <c r="B10" s="9" t="s">
        <v>35</v>
      </c>
      <c r="C10" s="10">
        <v>8</v>
      </c>
      <c r="D10" s="10">
        <v>9</v>
      </c>
      <c r="E10" s="10">
        <v>9</v>
      </c>
      <c r="F10" s="10">
        <v>10</v>
      </c>
      <c r="G10" s="10">
        <v>9</v>
      </c>
      <c r="H10" s="10">
        <v>10</v>
      </c>
      <c r="I10" s="10">
        <v>8</v>
      </c>
      <c r="J10" s="10">
        <v>8</v>
      </c>
      <c r="K10" s="10">
        <v>8</v>
      </c>
      <c r="L10" s="10">
        <v>7</v>
      </c>
      <c r="M10" s="10">
        <v>5</v>
      </c>
      <c r="N10" s="10">
        <v>7</v>
      </c>
      <c r="O10" s="10">
        <v>10</v>
      </c>
      <c r="P10" s="10">
        <v>6</v>
      </c>
    </row>
    <row r="11" spans="1:16" ht="12.95" customHeight="1" x14ac:dyDescent="0.25">
      <c r="A11">
        <v>9</v>
      </c>
      <c r="B11" s="9" t="s">
        <v>51</v>
      </c>
      <c r="C11" s="10">
        <v>6</v>
      </c>
      <c r="D11" s="10">
        <v>7</v>
      </c>
      <c r="E11" s="10">
        <v>8</v>
      </c>
      <c r="F11" s="10">
        <v>10</v>
      </c>
      <c r="G11" s="10">
        <v>8</v>
      </c>
      <c r="H11" s="10">
        <v>9</v>
      </c>
      <c r="I11" s="10">
        <v>8</v>
      </c>
      <c r="J11" s="10">
        <v>5</v>
      </c>
      <c r="K11" s="10">
        <v>5</v>
      </c>
      <c r="L11" s="10">
        <v>7</v>
      </c>
      <c r="M11" s="10">
        <v>6</v>
      </c>
      <c r="N11" s="10">
        <v>5</v>
      </c>
      <c r="O11" s="10">
        <v>8</v>
      </c>
      <c r="P11" s="10">
        <v>5</v>
      </c>
    </row>
    <row r="12" spans="1:16" ht="12.95" customHeight="1" x14ac:dyDescent="0.25">
      <c r="A12">
        <v>10</v>
      </c>
      <c r="B12" s="9" t="s">
        <v>36</v>
      </c>
      <c r="C12" s="10">
        <v>9</v>
      </c>
      <c r="D12" s="10">
        <v>9</v>
      </c>
      <c r="E12" s="10">
        <v>10</v>
      </c>
      <c r="F12" s="10">
        <v>10</v>
      </c>
      <c r="G12" s="10">
        <v>10</v>
      </c>
      <c r="H12" s="10">
        <v>8</v>
      </c>
      <c r="I12" s="10">
        <v>9</v>
      </c>
      <c r="J12" s="10">
        <v>8</v>
      </c>
      <c r="K12" s="10">
        <v>10</v>
      </c>
      <c r="L12" s="10">
        <v>8</v>
      </c>
      <c r="M12" s="10">
        <v>8</v>
      </c>
      <c r="N12" s="10">
        <v>9</v>
      </c>
      <c r="O12" s="10">
        <v>10</v>
      </c>
      <c r="P12" s="10">
        <v>8</v>
      </c>
    </row>
    <row r="13" spans="1:16" ht="12.95" customHeight="1" x14ac:dyDescent="0.25">
      <c r="A13">
        <v>11</v>
      </c>
      <c r="B13" s="9" t="s">
        <v>37</v>
      </c>
      <c r="C13" s="10">
        <v>5</v>
      </c>
      <c r="D13" s="10">
        <v>7</v>
      </c>
      <c r="E13" s="10">
        <v>10</v>
      </c>
      <c r="F13" s="10">
        <v>5</v>
      </c>
      <c r="G13" s="10">
        <v>7</v>
      </c>
      <c r="H13" s="10">
        <v>5</v>
      </c>
      <c r="I13" s="10">
        <v>6</v>
      </c>
      <c r="J13" s="10">
        <v>6</v>
      </c>
      <c r="K13" s="10">
        <v>6</v>
      </c>
      <c r="L13" s="10">
        <v>4</v>
      </c>
      <c r="M13" s="10">
        <v>7</v>
      </c>
      <c r="N13" s="10">
        <v>2</v>
      </c>
      <c r="O13" s="10">
        <v>7</v>
      </c>
      <c r="P13" s="10">
        <v>5</v>
      </c>
    </row>
    <row r="14" spans="1:16" ht="12.95" customHeight="1" x14ac:dyDescent="0.25">
      <c r="A14">
        <v>12</v>
      </c>
      <c r="B14" s="9" t="s">
        <v>38</v>
      </c>
      <c r="C14" s="10">
        <v>7</v>
      </c>
      <c r="D14" s="10">
        <v>8</v>
      </c>
      <c r="E14" s="10">
        <v>9</v>
      </c>
      <c r="F14" s="10">
        <v>10</v>
      </c>
      <c r="G14" s="10">
        <v>8</v>
      </c>
      <c r="H14" s="10">
        <v>10</v>
      </c>
      <c r="I14" s="10">
        <v>9</v>
      </c>
      <c r="J14" s="10">
        <v>9</v>
      </c>
      <c r="K14" s="10">
        <v>9</v>
      </c>
      <c r="L14" s="10">
        <v>9</v>
      </c>
      <c r="M14" s="10">
        <v>7</v>
      </c>
      <c r="N14" s="10">
        <v>7</v>
      </c>
      <c r="O14" s="10">
        <v>10</v>
      </c>
      <c r="P14" s="10">
        <v>6</v>
      </c>
    </row>
    <row r="15" spans="1:16" ht="12.95" customHeight="1" x14ac:dyDescent="0.25">
      <c r="A15">
        <v>13</v>
      </c>
      <c r="B15" s="9" t="s">
        <v>52</v>
      </c>
      <c r="C15" s="10">
        <v>8</v>
      </c>
      <c r="D15" s="10">
        <v>9</v>
      </c>
      <c r="E15" s="10">
        <v>10</v>
      </c>
      <c r="F15" s="10">
        <v>10</v>
      </c>
      <c r="G15" s="10">
        <v>9</v>
      </c>
      <c r="H15" s="10">
        <v>10</v>
      </c>
      <c r="I15" s="10">
        <v>10</v>
      </c>
      <c r="J15" s="10">
        <v>7</v>
      </c>
      <c r="K15" s="10">
        <v>9</v>
      </c>
      <c r="L15" s="10">
        <v>9</v>
      </c>
      <c r="M15" s="10">
        <v>9</v>
      </c>
      <c r="N15" s="10">
        <v>7</v>
      </c>
      <c r="O15" s="10">
        <v>6</v>
      </c>
      <c r="P15" s="10">
        <v>10</v>
      </c>
    </row>
    <row r="16" spans="1:16" ht="12.95" customHeight="1" x14ac:dyDescent="0.25">
      <c r="A16">
        <v>14</v>
      </c>
      <c r="B16" s="9" t="s">
        <v>53</v>
      </c>
      <c r="C16" s="10">
        <v>7</v>
      </c>
      <c r="D16" s="10">
        <v>8</v>
      </c>
      <c r="E16" s="10">
        <v>9</v>
      </c>
      <c r="F16" s="10">
        <v>9</v>
      </c>
      <c r="G16" s="10">
        <v>8</v>
      </c>
      <c r="H16" s="10">
        <v>9</v>
      </c>
      <c r="I16" s="10">
        <v>6</v>
      </c>
      <c r="J16" s="10">
        <v>6</v>
      </c>
      <c r="K16" s="10">
        <v>7</v>
      </c>
      <c r="L16" s="10">
        <v>9</v>
      </c>
      <c r="M16" s="10">
        <v>5</v>
      </c>
      <c r="N16" s="10">
        <v>7</v>
      </c>
      <c r="O16" s="10">
        <v>10</v>
      </c>
      <c r="P16" s="10">
        <v>6</v>
      </c>
    </row>
    <row r="17" spans="1:16" ht="12.95" customHeight="1" x14ac:dyDescent="0.25">
      <c r="A17">
        <v>15</v>
      </c>
      <c r="B17" s="9" t="s">
        <v>54</v>
      </c>
      <c r="C17" s="10">
        <v>8</v>
      </c>
      <c r="D17" s="10">
        <v>10</v>
      </c>
      <c r="E17" s="10">
        <v>10</v>
      </c>
      <c r="F17" s="10">
        <v>8</v>
      </c>
      <c r="G17" s="10">
        <v>8</v>
      </c>
      <c r="H17" s="10">
        <v>10</v>
      </c>
      <c r="I17" s="10">
        <v>8</v>
      </c>
      <c r="J17" s="10">
        <v>8</v>
      </c>
      <c r="K17" s="10">
        <v>7</v>
      </c>
      <c r="L17" s="10">
        <v>8</v>
      </c>
      <c r="M17" s="10">
        <v>7</v>
      </c>
      <c r="N17" s="10">
        <v>7</v>
      </c>
      <c r="O17" s="10">
        <v>7</v>
      </c>
      <c r="P17" s="10">
        <v>6</v>
      </c>
    </row>
    <row r="18" spans="1:16" ht="12.95" customHeight="1" x14ac:dyDescent="0.25">
      <c r="A18">
        <v>16</v>
      </c>
      <c r="B18" s="9" t="s">
        <v>39</v>
      </c>
      <c r="C18" s="10">
        <v>6</v>
      </c>
      <c r="D18" s="10">
        <v>8</v>
      </c>
      <c r="E18" s="10">
        <v>8</v>
      </c>
      <c r="F18" s="10">
        <v>7</v>
      </c>
      <c r="G18" s="10">
        <v>7</v>
      </c>
      <c r="H18" s="10">
        <v>9</v>
      </c>
      <c r="I18" s="10">
        <v>6</v>
      </c>
      <c r="J18" s="10">
        <v>4</v>
      </c>
      <c r="K18" s="10">
        <v>7</v>
      </c>
      <c r="L18" s="10">
        <v>6</v>
      </c>
      <c r="M18" s="10">
        <v>6</v>
      </c>
      <c r="N18" s="10">
        <v>5</v>
      </c>
      <c r="O18" s="10">
        <v>10</v>
      </c>
      <c r="P18" s="10">
        <v>6</v>
      </c>
    </row>
    <row r="19" spans="1:16" ht="12.95" customHeight="1" x14ac:dyDescent="0.25">
      <c r="A19">
        <v>17</v>
      </c>
      <c r="B19" s="9" t="s">
        <v>40</v>
      </c>
      <c r="C19" s="10">
        <v>6</v>
      </c>
      <c r="D19" s="10">
        <v>10</v>
      </c>
      <c r="E19" s="10">
        <v>10</v>
      </c>
      <c r="F19" s="10">
        <v>7</v>
      </c>
      <c r="G19" s="10">
        <v>9</v>
      </c>
      <c r="H19" s="10">
        <v>10</v>
      </c>
      <c r="I19" s="10">
        <v>9</v>
      </c>
      <c r="J19" s="10">
        <v>7</v>
      </c>
      <c r="K19" s="10">
        <v>6</v>
      </c>
      <c r="L19" s="10">
        <v>7</v>
      </c>
      <c r="M19" s="10">
        <v>8</v>
      </c>
      <c r="N19" s="10">
        <v>6</v>
      </c>
      <c r="O19" s="10">
        <v>8</v>
      </c>
      <c r="P19" s="10">
        <v>5</v>
      </c>
    </row>
    <row r="20" spans="1:16" ht="12.95" customHeight="1" x14ac:dyDescent="0.25">
      <c r="A20">
        <v>18</v>
      </c>
      <c r="B20" s="9" t="s">
        <v>55</v>
      </c>
      <c r="C20" s="10">
        <v>7</v>
      </c>
      <c r="D20" s="10">
        <v>8</v>
      </c>
      <c r="E20" s="10">
        <v>9</v>
      </c>
      <c r="F20" s="10">
        <v>7</v>
      </c>
      <c r="G20" s="10">
        <v>8</v>
      </c>
      <c r="H20" s="10">
        <v>9</v>
      </c>
      <c r="I20" s="10">
        <v>8</v>
      </c>
      <c r="J20" s="10">
        <v>7</v>
      </c>
      <c r="K20" s="10">
        <v>5</v>
      </c>
      <c r="L20" s="10">
        <v>7</v>
      </c>
      <c r="M20" s="10">
        <v>6</v>
      </c>
      <c r="N20" s="10">
        <v>6</v>
      </c>
      <c r="O20" s="10">
        <v>6</v>
      </c>
      <c r="P20" s="10">
        <v>6</v>
      </c>
    </row>
    <row r="21" spans="1:16" ht="12.95" customHeight="1" x14ac:dyDescent="0.25">
      <c r="A21">
        <v>19</v>
      </c>
      <c r="B21" s="9" t="s">
        <v>56</v>
      </c>
      <c r="C21" s="10">
        <v>8</v>
      </c>
      <c r="D21" s="10">
        <v>10</v>
      </c>
      <c r="E21" s="10">
        <v>10</v>
      </c>
      <c r="F21" s="10">
        <v>10</v>
      </c>
      <c r="G21" s="10">
        <v>9</v>
      </c>
      <c r="H21" s="10">
        <v>10</v>
      </c>
      <c r="I21" s="10">
        <v>9</v>
      </c>
      <c r="J21" s="10">
        <v>7</v>
      </c>
      <c r="K21" s="10">
        <v>9</v>
      </c>
      <c r="L21" s="10">
        <v>7</v>
      </c>
      <c r="M21" s="10">
        <v>9</v>
      </c>
      <c r="N21" s="10">
        <v>7</v>
      </c>
      <c r="O21" s="10">
        <v>10</v>
      </c>
      <c r="P21" s="10">
        <v>9</v>
      </c>
    </row>
    <row r="22" spans="1:16" ht="12.95" customHeight="1" x14ac:dyDescent="0.25">
      <c r="A22">
        <v>20</v>
      </c>
      <c r="B22" s="9" t="s">
        <v>57</v>
      </c>
      <c r="C22" s="10">
        <v>9</v>
      </c>
      <c r="D22" s="10">
        <v>10</v>
      </c>
      <c r="E22" s="10">
        <v>9</v>
      </c>
      <c r="F22" s="10">
        <v>10</v>
      </c>
      <c r="G22" s="10">
        <v>9</v>
      </c>
      <c r="H22" s="10">
        <v>10</v>
      </c>
      <c r="I22" s="10">
        <v>9</v>
      </c>
      <c r="J22" s="10">
        <v>8</v>
      </c>
      <c r="K22" s="10">
        <v>7</v>
      </c>
      <c r="L22" s="10">
        <v>9</v>
      </c>
      <c r="M22" s="10">
        <v>9</v>
      </c>
      <c r="N22" s="10">
        <v>7</v>
      </c>
      <c r="O22" s="10">
        <v>10</v>
      </c>
      <c r="P22" s="10">
        <v>6</v>
      </c>
    </row>
    <row r="23" spans="1:16" ht="12.95" customHeight="1" x14ac:dyDescent="0.25">
      <c r="A23">
        <v>21</v>
      </c>
      <c r="B23" s="9" t="s">
        <v>41</v>
      </c>
      <c r="C23" s="10">
        <v>6</v>
      </c>
      <c r="D23" s="10">
        <v>7</v>
      </c>
      <c r="E23" s="10">
        <v>10</v>
      </c>
      <c r="F23" s="10">
        <v>8</v>
      </c>
      <c r="G23" s="10">
        <v>7</v>
      </c>
      <c r="H23" s="10">
        <v>8</v>
      </c>
      <c r="I23" s="10">
        <v>5</v>
      </c>
      <c r="J23" s="10">
        <v>5</v>
      </c>
      <c r="K23" s="10">
        <v>5</v>
      </c>
      <c r="L23" s="10">
        <v>5</v>
      </c>
      <c r="M23" s="10">
        <v>5</v>
      </c>
      <c r="N23" s="10">
        <v>6</v>
      </c>
      <c r="O23" s="10" t="s">
        <v>75</v>
      </c>
      <c r="P23" s="10">
        <v>6</v>
      </c>
    </row>
    <row r="24" spans="1:16" ht="12.95" customHeight="1" x14ac:dyDescent="0.25">
      <c r="A24">
        <v>22</v>
      </c>
      <c r="B24" s="9" t="s">
        <v>42</v>
      </c>
      <c r="C24" s="10">
        <v>6</v>
      </c>
      <c r="D24" s="10">
        <v>7</v>
      </c>
      <c r="E24" s="10">
        <v>4</v>
      </c>
      <c r="F24" s="10">
        <v>8</v>
      </c>
      <c r="G24" s="10">
        <v>4</v>
      </c>
      <c r="H24" s="10">
        <v>7</v>
      </c>
      <c r="I24" s="10" t="s">
        <v>75</v>
      </c>
      <c r="J24" s="10" t="s">
        <v>75</v>
      </c>
      <c r="K24" s="10">
        <v>4</v>
      </c>
      <c r="L24" s="10">
        <v>4</v>
      </c>
      <c r="M24" s="10">
        <v>4</v>
      </c>
      <c r="N24" s="10">
        <v>2</v>
      </c>
      <c r="O24" s="10" t="s">
        <v>75</v>
      </c>
      <c r="P24" s="10">
        <v>6</v>
      </c>
    </row>
    <row r="25" spans="1:16" ht="12.95" customHeight="1" x14ac:dyDescent="0.25">
      <c r="A25">
        <v>23</v>
      </c>
      <c r="B25" s="9" t="s">
        <v>43</v>
      </c>
      <c r="C25" s="10">
        <v>7</v>
      </c>
      <c r="D25" s="10">
        <v>8</v>
      </c>
      <c r="E25" s="10">
        <v>8</v>
      </c>
      <c r="F25" s="10">
        <v>7</v>
      </c>
      <c r="G25" s="10">
        <v>7</v>
      </c>
      <c r="H25" s="10">
        <v>8</v>
      </c>
      <c r="I25" s="10">
        <v>6</v>
      </c>
      <c r="J25" s="10">
        <v>6</v>
      </c>
      <c r="K25" s="10">
        <v>6</v>
      </c>
      <c r="L25" s="10">
        <v>7</v>
      </c>
      <c r="M25" s="10">
        <v>6</v>
      </c>
      <c r="N25" s="10">
        <v>7</v>
      </c>
      <c r="O25" s="10">
        <v>10</v>
      </c>
      <c r="P25" s="10">
        <v>8</v>
      </c>
    </row>
    <row r="26" spans="1:16" ht="12.95" customHeight="1" x14ac:dyDescent="0.25">
      <c r="A26">
        <v>24</v>
      </c>
      <c r="B26" s="9" t="s">
        <v>58</v>
      </c>
      <c r="C26" s="10">
        <v>10</v>
      </c>
      <c r="D26" s="10">
        <v>9</v>
      </c>
      <c r="E26" s="10">
        <v>10</v>
      </c>
      <c r="F26" s="10">
        <v>10</v>
      </c>
      <c r="G26" s="10">
        <v>8</v>
      </c>
      <c r="H26" s="10">
        <v>10</v>
      </c>
      <c r="I26" s="10">
        <v>9</v>
      </c>
      <c r="J26" s="10">
        <v>8</v>
      </c>
      <c r="K26" s="10">
        <v>8</v>
      </c>
      <c r="L26" s="10">
        <v>10</v>
      </c>
      <c r="M26" s="10">
        <v>9</v>
      </c>
      <c r="N26" s="10">
        <v>8</v>
      </c>
      <c r="O26" s="10">
        <v>10</v>
      </c>
      <c r="P26" s="10">
        <v>8</v>
      </c>
    </row>
    <row r="27" spans="1:16" ht="12.95" customHeight="1" x14ac:dyDescent="0.25">
      <c r="A27">
        <v>25</v>
      </c>
      <c r="B27" s="9" t="s">
        <v>59</v>
      </c>
      <c r="C27" s="10">
        <v>6</v>
      </c>
      <c r="D27" s="10">
        <v>6</v>
      </c>
      <c r="E27" s="10">
        <v>9</v>
      </c>
      <c r="F27" s="10">
        <v>7</v>
      </c>
      <c r="G27" s="10">
        <v>6</v>
      </c>
      <c r="H27" s="10">
        <v>8</v>
      </c>
      <c r="I27" s="10">
        <v>7</v>
      </c>
      <c r="J27" s="10">
        <v>7</v>
      </c>
      <c r="K27" s="10">
        <v>5</v>
      </c>
      <c r="L27" s="10">
        <v>6</v>
      </c>
      <c r="M27" s="10">
        <v>6</v>
      </c>
      <c r="N27" s="10">
        <v>5</v>
      </c>
      <c r="O27" s="10">
        <v>6</v>
      </c>
      <c r="P27" s="10">
        <v>6</v>
      </c>
    </row>
    <row r="28" spans="1:16" ht="12.95" customHeight="1" x14ac:dyDescent="0.25">
      <c r="A28">
        <v>26</v>
      </c>
      <c r="B28" s="9" t="s">
        <v>44</v>
      </c>
      <c r="C28" s="10">
        <v>6</v>
      </c>
      <c r="D28" s="10">
        <v>8</v>
      </c>
      <c r="E28" s="10">
        <v>4</v>
      </c>
      <c r="F28" s="10">
        <v>7</v>
      </c>
      <c r="G28" s="10">
        <v>6</v>
      </c>
      <c r="H28" s="10">
        <v>6</v>
      </c>
      <c r="I28" s="10">
        <v>4</v>
      </c>
      <c r="J28" s="10">
        <v>7</v>
      </c>
      <c r="K28" s="10">
        <v>5</v>
      </c>
      <c r="L28" s="10">
        <v>4</v>
      </c>
      <c r="M28" s="10">
        <v>6</v>
      </c>
      <c r="N28" s="10">
        <v>3</v>
      </c>
      <c r="O28" s="10">
        <v>6</v>
      </c>
      <c r="P28" s="10">
        <v>6</v>
      </c>
    </row>
    <row r="29" spans="1:16" ht="12.95" customHeight="1" x14ac:dyDescent="0.25">
      <c r="A29">
        <v>27</v>
      </c>
      <c r="B29" s="9" t="s">
        <v>60</v>
      </c>
      <c r="C29" s="10">
        <v>10</v>
      </c>
      <c r="D29" s="10">
        <v>9</v>
      </c>
      <c r="E29" s="10">
        <v>10</v>
      </c>
      <c r="F29" s="10">
        <v>10</v>
      </c>
      <c r="G29" s="10">
        <v>10</v>
      </c>
      <c r="H29" s="10">
        <v>11</v>
      </c>
      <c r="I29" s="10">
        <v>10</v>
      </c>
      <c r="J29" s="10">
        <v>9</v>
      </c>
      <c r="K29" s="10">
        <v>10</v>
      </c>
      <c r="L29" s="10">
        <v>10</v>
      </c>
      <c r="M29" s="10">
        <v>7</v>
      </c>
      <c r="N29" s="10">
        <v>10</v>
      </c>
      <c r="O29" s="10">
        <v>10</v>
      </c>
      <c r="P29" s="10">
        <v>9</v>
      </c>
    </row>
    <row r="30" spans="1:16" ht="12.95" customHeight="1" x14ac:dyDescent="0.25">
      <c r="A30">
        <v>28</v>
      </c>
      <c r="B30" s="9" t="s">
        <v>45</v>
      </c>
      <c r="C30" s="10">
        <v>6</v>
      </c>
      <c r="D30" s="10">
        <v>9</v>
      </c>
      <c r="E30" s="10">
        <v>8</v>
      </c>
      <c r="F30" s="10">
        <v>9</v>
      </c>
      <c r="G30" s="10">
        <v>8</v>
      </c>
      <c r="H30" s="10">
        <v>9</v>
      </c>
      <c r="I30" s="10">
        <v>8</v>
      </c>
      <c r="J30" s="10">
        <v>7</v>
      </c>
      <c r="K30" s="10">
        <v>8</v>
      </c>
      <c r="L30" s="10">
        <v>7</v>
      </c>
      <c r="M30" s="10">
        <v>9</v>
      </c>
      <c r="N30" s="10">
        <v>6</v>
      </c>
      <c r="O30" s="10">
        <v>10</v>
      </c>
      <c r="P30" s="10">
        <v>7</v>
      </c>
    </row>
    <row r="31" spans="1:16" ht="12.95" customHeight="1" x14ac:dyDescent="0.25">
      <c r="A31">
        <v>29</v>
      </c>
      <c r="B31" s="9" t="s">
        <v>61</v>
      </c>
      <c r="C31" s="10">
        <v>7</v>
      </c>
      <c r="D31" s="10">
        <v>7</v>
      </c>
      <c r="E31" s="10">
        <v>10</v>
      </c>
      <c r="F31" s="10">
        <v>9</v>
      </c>
      <c r="G31" s="10">
        <v>8</v>
      </c>
      <c r="H31" s="10">
        <v>8</v>
      </c>
      <c r="I31" s="10">
        <v>7</v>
      </c>
      <c r="J31" s="10">
        <v>9</v>
      </c>
      <c r="K31" s="10">
        <v>6</v>
      </c>
      <c r="L31" s="10">
        <v>7</v>
      </c>
      <c r="M31" s="10">
        <v>5</v>
      </c>
      <c r="N31" s="10">
        <v>7</v>
      </c>
      <c r="O31" s="10">
        <v>10</v>
      </c>
      <c r="P31" s="10">
        <v>6</v>
      </c>
    </row>
    <row r="32" spans="1:16" ht="12.95" customHeight="1" x14ac:dyDescent="0.25">
      <c r="A32">
        <v>30</v>
      </c>
      <c r="B32" s="9" t="s">
        <v>62</v>
      </c>
      <c r="C32" s="10">
        <v>8</v>
      </c>
      <c r="D32" s="10">
        <v>8</v>
      </c>
      <c r="E32" s="10">
        <v>9</v>
      </c>
      <c r="F32" s="10">
        <v>10</v>
      </c>
      <c r="G32" s="10">
        <v>7</v>
      </c>
      <c r="H32" s="10">
        <v>11</v>
      </c>
      <c r="I32" s="10">
        <v>7</v>
      </c>
      <c r="J32" s="10">
        <v>8</v>
      </c>
      <c r="K32" s="10">
        <v>8</v>
      </c>
      <c r="L32" s="10">
        <v>8</v>
      </c>
      <c r="M32" s="10">
        <v>7</v>
      </c>
      <c r="N32" s="10">
        <v>6</v>
      </c>
      <c r="O32" s="10">
        <v>6</v>
      </c>
      <c r="P32" s="10">
        <v>5</v>
      </c>
    </row>
    <row r="33" spans="1:16" ht="12.95" customHeight="1" x14ac:dyDescent="0.25">
      <c r="A33">
        <v>31</v>
      </c>
      <c r="B33" s="9" t="s">
        <v>63</v>
      </c>
      <c r="C33" s="10">
        <v>9</v>
      </c>
      <c r="D33" s="10">
        <v>9</v>
      </c>
      <c r="E33" s="10">
        <v>10</v>
      </c>
      <c r="F33" s="10">
        <v>10</v>
      </c>
      <c r="G33" s="10">
        <v>10</v>
      </c>
      <c r="H33" s="10">
        <v>10</v>
      </c>
      <c r="I33" s="10">
        <v>10</v>
      </c>
      <c r="J33" s="10">
        <v>7</v>
      </c>
      <c r="K33" s="10">
        <v>10</v>
      </c>
      <c r="L33" s="10">
        <v>7</v>
      </c>
      <c r="M33" s="10">
        <v>8</v>
      </c>
      <c r="N33" s="10">
        <v>8</v>
      </c>
      <c r="O33" s="10">
        <v>10</v>
      </c>
      <c r="P33" s="10">
        <v>8</v>
      </c>
    </row>
    <row r="34" spans="1:16" ht="12.95" customHeight="1" x14ac:dyDescent="0.25">
      <c r="A34">
        <v>32</v>
      </c>
      <c r="B34" s="9" t="s">
        <v>64</v>
      </c>
      <c r="C34" s="10">
        <v>5</v>
      </c>
      <c r="D34" s="10">
        <v>10</v>
      </c>
      <c r="E34" s="10">
        <v>9</v>
      </c>
      <c r="F34" s="10">
        <v>8</v>
      </c>
      <c r="G34" s="10">
        <v>5</v>
      </c>
      <c r="H34" s="10">
        <v>5</v>
      </c>
      <c r="I34" s="10">
        <v>4</v>
      </c>
      <c r="J34" s="10" t="s">
        <v>75</v>
      </c>
      <c r="K34" s="10">
        <v>5</v>
      </c>
      <c r="L34" s="10">
        <v>4</v>
      </c>
      <c r="M34" s="10">
        <v>6</v>
      </c>
      <c r="N34" s="10">
        <v>3</v>
      </c>
      <c r="O34" s="10">
        <v>10</v>
      </c>
      <c r="P34" s="10">
        <v>6</v>
      </c>
    </row>
    <row r="35" spans="1:16" ht="12.95" customHeight="1" x14ac:dyDescent="0.25">
      <c r="A35">
        <v>33</v>
      </c>
      <c r="B35" s="9" t="s">
        <v>65</v>
      </c>
      <c r="C35" s="10">
        <v>7</v>
      </c>
      <c r="D35" s="10">
        <v>7</v>
      </c>
      <c r="E35" s="10">
        <v>9</v>
      </c>
      <c r="F35" s="10">
        <v>8</v>
      </c>
      <c r="G35" s="10">
        <v>6</v>
      </c>
      <c r="H35" s="10">
        <v>8</v>
      </c>
      <c r="I35" s="10">
        <v>6</v>
      </c>
      <c r="J35" s="10">
        <v>6</v>
      </c>
      <c r="K35" s="10">
        <v>5</v>
      </c>
      <c r="L35" s="10">
        <v>5</v>
      </c>
      <c r="M35" s="10">
        <v>6</v>
      </c>
      <c r="N35" s="10">
        <v>3</v>
      </c>
      <c r="O35" s="10">
        <v>8</v>
      </c>
      <c r="P35" s="10">
        <v>6</v>
      </c>
    </row>
    <row r="36" spans="1:16" ht="12.95" customHeight="1" x14ac:dyDescent="0.25">
      <c r="A36">
        <v>34</v>
      </c>
      <c r="B36" s="9" t="s">
        <v>66</v>
      </c>
      <c r="C36" s="10">
        <v>5</v>
      </c>
      <c r="D36" s="10">
        <v>9</v>
      </c>
      <c r="E36" s="10">
        <v>7</v>
      </c>
      <c r="F36" s="10">
        <v>8</v>
      </c>
      <c r="G36" s="10">
        <v>5</v>
      </c>
      <c r="H36" s="10">
        <v>9</v>
      </c>
      <c r="I36" s="10">
        <v>6</v>
      </c>
      <c r="J36" s="10">
        <v>6</v>
      </c>
      <c r="K36" s="10">
        <v>5</v>
      </c>
      <c r="L36" s="10">
        <v>4</v>
      </c>
      <c r="M36" s="10">
        <v>4</v>
      </c>
      <c r="N36" s="10">
        <v>4</v>
      </c>
      <c r="O36" s="10">
        <v>8</v>
      </c>
      <c r="P36" s="10">
        <v>5</v>
      </c>
    </row>
    <row r="37" spans="1:16" ht="12.95" customHeight="1" x14ac:dyDescent="0.25">
      <c r="A37">
        <v>35</v>
      </c>
      <c r="B37" s="9" t="s">
        <v>46</v>
      </c>
      <c r="C37" s="10">
        <v>9</v>
      </c>
      <c r="D37" s="10">
        <v>5</v>
      </c>
      <c r="E37" s="10">
        <v>8</v>
      </c>
      <c r="F37" s="10">
        <v>9</v>
      </c>
      <c r="G37" s="10">
        <v>7</v>
      </c>
      <c r="H37" s="10">
        <v>8</v>
      </c>
      <c r="I37" s="10">
        <v>9</v>
      </c>
      <c r="J37" s="10">
        <v>5</v>
      </c>
      <c r="K37" s="10">
        <v>6</v>
      </c>
      <c r="L37" s="10">
        <v>9</v>
      </c>
      <c r="M37" s="10">
        <v>7</v>
      </c>
      <c r="N37" s="10">
        <v>5</v>
      </c>
      <c r="O37" s="10">
        <v>10</v>
      </c>
      <c r="P37" s="10">
        <v>6</v>
      </c>
    </row>
    <row r="38" spans="1:16" ht="12.95" customHeight="1" x14ac:dyDescent="0.25">
      <c r="A38">
        <v>36</v>
      </c>
      <c r="B38" s="9" t="s">
        <v>47</v>
      </c>
      <c r="C38" s="10">
        <v>6</v>
      </c>
      <c r="D38" s="10">
        <v>6</v>
      </c>
      <c r="E38" s="10">
        <v>8</v>
      </c>
      <c r="F38" s="10">
        <v>6</v>
      </c>
      <c r="G38" s="10">
        <v>7</v>
      </c>
      <c r="H38" s="10">
        <v>7</v>
      </c>
      <c r="I38" s="10">
        <v>5</v>
      </c>
      <c r="J38" s="10">
        <v>5</v>
      </c>
      <c r="K38" s="10">
        <v>6</v>
      </c>
      <c r="L38" s="10">
        <v>8</v>
      </c>
      <c r="M38" s="10">
        <v>6</v>
      </c>
      <c r="N38" s="10">
        <v>4</v>
      </c>
      <c r="O38" s="10">
        <v>6</v>
      </c>
      <c r="P38" s="10">
        <v>6</v>
      </c>
    </row>
  </sheetData>
  <sortState ref="B3:P38">
    <sortCondition ref="B3:B38"/>
  </sortState>
  <conditionalFormatting sqref="B3:P3 C4:P21 C23:P38">
    <cfRule type="expression" dxfId="85" priority="19">
      <formula>$V$11&lt;&gt;""</formula>
    </cfRule>
  </conditionalFormatting>
  <conditionalFormatting sqref="B4">
    <cfRule type="expression" dxfId="84" priority="20">
      <formula>$V$12&lt;&gt;""</formula>
    </cfRule>
  </conditionalFormatting>
  <conditionalFormatting sqref="B5">
    <cfRule type="expression" dxfId="83" priority="21">
      <formula>$V$13&lt;&gt;""</formula>
    </cfRule>
  </conditionalFormatting>
  <conditionalFormatting sqref="B6">
    <cfRule type="expression" dxfId="82" priority="22">
      <formula>$V$14&lt;&gt;""</formula>
    </cfRule>
  </conditionalFormatting>
  <conditionalFormatting sqref="B7">
    <cfRule type="expression" dxfId="81" priority="23">
      <formula>$V$15&lt;&gt;""</formula>
    </cfRule>
  </conditionalFormatting>
  <conditionalFormatting sqref="B8">
    <cfRule type="expression" dxfId="80" priority="24">
      <formula>$V$16&lt;&gt;""</formula>
    </cfRule>
  </conditionalFormatting>
  <conditionalFormatting sqref="B9">
    <cfRule type="expression" dxfId="79" priority="25">
      <formula>$V$17&lt;&gt;""</formula>
    </cfRule>
  </conditionalFormatting>
  <conditionalFormatting sqref="B10">
    <cfRule type="expression" dxfId="78" priority="26">
      <formula>$V$18&lt;&gt;""</formula>
    </cfRule>
  </conditionalFormatting>
  <conditionalFormatting sqref="B11">
    <cfRule type="expression" dxfId="77" priority="27">
      <formula>$V$19&lt;&gt;""</formula>
    </cfRule>
  </conditionalFormatting>
  <conditionalFormatting sqref="B12">
    <cfRule type="expression" dxfId="76" priority="28">
      <formula>$V$20&lt;&gt;""</formula>
    </cfRule>
  </conditionalFormatting>
  <conditionalFormatting sqref="B13">
    <cfRule type="expression" dxfId="75" priority="29">
      <formula>$V$21&lt;&gt;""</formula>
    </cfRule>
  </conditionalFormatting>
  <conditionalFormatting sqref="B14">
    <cfRule type="expression" dxfId="74" priority="30">
      <formula>$V$22&lt;&gt;""</formula>
    </cfRule>
  </conditionalFormatting>
  <conditionalFormatting sqref="B15">
    <cfRule type="expression" dxfId="73" priority="31">
      <formula>$V$23&lt;&gt;""</formula>
    </cfRule>
  </conditionalFormatting>
  <conditionalFormatting sqref="B16">
    <cfRule type="expression" dxfId="72" priority="32">
      <formula>$V$24&lt;&gt;""</formula>
    </cfRule>
  </conditionalFormatting>
  <conditionalFormatting sqref="B17">
    <cfRule type="expression" dxfId="71" priority="33">
      <formula>$V$25&lt;&gt;""</formula>
    </cfRule>
  </conditionalFormatting>
  <conditionalFormatting sqref="B18">
    <cfRule type="expression" dxfId="70" priority="34">
      <formula>$V$26&lt;&gt;""</formula>
    </cfRule>
  </conditionalFormatting>
  <conditionalFormatting sqref="B19">
    <cfRule type="expression" dxfId="69" priority="35">
      <formula>$V$27&lt;&gt;""</formula>
    </cfRule>
  </conditionalFormatting>
  <conditionalFormatting sqref="B20">
    <cfRule type="expression" dxfId="68" priority="36">
      <formula>$V$28&lt;&gt;""</formula>
    </cfRule>
  </conditionalFormatting>
  <conditionalFormatting sqref="B21">
    <cfRule type="expression" dxfId="67" priority="18">
      <formula>#REF!&lt;&gt;""</formula>
    </cfRule>
  </conditionalFormatting>
  <conditionalFormatting sqref="B22:P22">
    <cfRule type="expression" dxfId="66" priority="2">
      <formula>$V$11&lt;&gt;""</formula>
    </cfRule>
  </conditionalFormatting>
  <conditionalFormatting sqref="B23">
    <cfRule type="expression" dxfId="65" priority="3">
      <formula>$V$12&lt;&gt;""</formula>
    </cfRule>
  </conditionalFormatting>
  <conditionalFormatting sqref="B24">
    <cfRule type="expression" dxfId="64" priority="4">
      <formula>$V$13&lt;&gt;""</formula>
    </cfRule>
  </conditionalFormatting>
  <conditionalFormatting sqref="B25">
    <cfRule type="expression" dxfId="63" priority="5">
      <formula>$V$14&lt;&gt;""</formula>
    </cfRule>
  </conditionalFormatting>
  <conditionalFormatting sqref="B26">
    <cfRule type="expression" dxfId="62" priority="6">
      <formula>$V$15&lt;&gt;""</formula>
    </cfRule>
  </conditionalFormatting>
  <conditionalFormatting sqref="B27">
    <cfRule type="expression" dxfId="61" priority="7">
      <formula>$V$16&lt;&gt;""</formula>
    </cfRule>
  </conditionalFormatting>
  <conditionalFormatting sqref="B28">
    <cfRule type="expression" dxfId="60" priority="8">
      <formula>$V$17&lt;&gt;""</formula>
    </cfRule>
  </conditionalFormatting>
  <conditionalFormatting sqref="B29">
    <cfRule type="expression" dxfId="59" priority="9">
      <formula>$V$18&lt;&gt;""</formula>
    </cfRule>
  </conditionalFormatting>
  <conditionalFormatting sqref="B30">
    <cfRule type="expression" dxfId="58" priority="10">
      <formula>$V$19&lt;&gt;""</formula>
    </cfRule>
  </conditionalFormatting>
  <conditionalFormatting sqref="B31">
    <cfRule type="expression" dxfId="57" priority="11">
      <formula>$V$20&lt;&gt;""</formula>
    </cfRule>
  </conditionalFormatting>
  <conditionalFormatting sqref="B32">
    <cfRule type="expression" dxfId="56" priority="12">
      <formula>$V$21&lt;&gt;""</formula>
    </cfRule>
  </conditionalFormatting>
  <conditionalFormatting sqref="B33">
    <cfRule type="expression" dxfId="55" priority="13">
      <formula>$V$22&lt;&gt;""</formula>
    </cfRule>
  </conditionalFormatting>
  <conditionalFormatting sqref="B34">
    <cfRule type="expression" dxfId="54" priority="14">
      <formula>$V$23&lt;&gt;""</formula>
    </cfRule>
  </conditionalFormatting>
  <conditionalFormatting sqref="B35">
    <cfRule type="expression" dxfId="53" priority="15">
      <formula>$V$24&lt;&gt;""</formula>
    </cfRule>
  </conditionalFormatting>
  <conditionalFormatting sqref="B36">
    <cfRule type="expression" dxfId="52" priority="16">
      <formula>$V$25&lt;&gt;""</formula>
    </cfRule>
  </conditionalFormatting>
  <conditionalFormatting sqref="B37">
    <cfRule type="expression" dxfId="51" priority="17">
      <formula>$V$26&lt;&gt;""</formula>
    </cfRule>
  </conditionalFormatting>
  <conditionalFormatting sqref="B38">
    <cfRule type="expression" dxfId="50" priority="1">
      <formula>#REF!&lt;&gt;""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0"/>
  <sheetViews>
    <sheetView topLeftCell="A7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35.1" customHeight="1" x14ac:dyDescent="0.3">
      <c r="A3" s="38"/>
      <c r="B3" s="33"/>
      <c r="C3" s="41" t="s">
        <v>78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76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2" t="s">
        <v>70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0"/>
    </row>
    <row r="7" spans="1:23" s="5" customFormat="1" ht="15" customHeight="1" x14ac:dyDescent="0.25">
      <c r="A7" s="38"/>
      <c r="B7" s="33"/>
      <c r="C7" s="32" t="s">
        <v>27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0"/>
    </row>
    <row r="8" spans="1:23" s="5" customFormat="1" ht="15" customHeight="1" x14ac:dyDescent="0.25">
      <c r="A8" s="38"/>
      <c r="B8" s="33"/>
      <c r="C8" s="33" t="s">
        <v>69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30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8" t="s">
        <v>4</v>
      </c>
      <c r="G10" s="18" t="s">
        <v>5</v>
      </c>
      <c r="H10" s="18" t="s">
        <v>6</v>
      </c>
      <c r="I10" s="18" t="s">
        <v>28</v>
      </c>
      <c r="J10" s="18" t="s">
        <v>29</v>
      </c>
      <c r="K10" s="18" t="s">
        <v>71</v>
      </c>
      <c r="L10" s="18" t="s">
        <v>7</v>
      </c>
      <c r="M10" s="18" t="s">
        <v>8</v>
      </c>
      <c r="N10" s="18" t="s">
        <v>72</v>
      </c>
      <c r="O10" s="18" t="s">
        <v>73</v>
      </c>
      <c r="P10" s="18" t="s">
        <v>74</v>
      </c>
      <c r="Q10" s="18" t="s">
        <v>9</v>
      </c>
      <c r="R10" s="18" t="s">
        <v>10</v>
      </c>
      <c r="S10" s="18" t="s">
        <v>11</v>
      </c>
      <c r="T10" s="7" t="s">
        <v>12</v>
      </c>
      <c r="U10" s="7" t="s">
        <v>77</v>
      </c>
      <c r="V10" s="33"/>
      <c r="W10" s="40"/>
    </row>
    <row r="11" spans="1:23" ht="15" customHeight="1" x14ac:dyDescent="0.25">
      <c r="A11" s="38"/>
      <c r="B11" s="33"/>
      <c r="C11" s="26" t="s">
        <v>14</v>
      </c>
      <c r="D11" s="26">
        <v>1</v>
      </c>
      <c r="E11" s="27" t="s">
        <v>60</v>
      </c>
      <c r="F11" s="28">
        <v>10</v>
      </c>
      <c r="G11" s="28">
        <v>9</v>
      </c>
      <c r="H11" s="28">
        <v>10</v>
      </c>
      <c r="I11" s="28">
        <v>10</v>
      </c>
      <c r="J11" s="28">
        <v>10</v>
      </c>
      <c r="K11" s="28">
        <v>11</v>
      </c>
      <c r="L11" s="28">
        <v>10</v>
      </c>
      <c r="M11" s="28">
        <v>9</v>
      </c>
      <c r="N11" s="28">
        <v>10</v>
      </c>
      <c r="O11" s="28">
        <v>10</v>
      </c>
      <c r="P11" s="28">
        <v>7</v>
      </c>
      <c r="Q11" s="28">
        <v>10</v>
      </c>
      <c r="R11" s="28">
        <v>10</v>
      </c>
      <c r="S11" s="28">
        <v>9</v>
      </c>
      <c r="T11" s="29">
        <f t="shared" ref="T11:T16" si="0">IF(COUNTIF(F11:S11,"=*")&gt;0,"-",IF(COUNTIF(F11:S11,"&lt;4")&gt;0,"-",(IFERROR(AVERAGE(F11:S11),""))))</f>
        <v>9.6428571428571423</v>
      </c>
      <c r="U11" s="29">
        <f t="shared" ref="U11:U16" si="1">T11/12*90</f>
        <v>72.321428571428569</v>
      </c>
      <c r="V11" s="33"/>
      <c r="W11" s="40"/>
    </row>
    <row r="12" spans="1:23" ht="15" customHeight="1" x14ac:dyDescent="0.25">
      <c r="A12" s="38"/>
      <c r="B12" s="33"/>
      <c r="C12" s="26" t="s">
        <v>14</v>
      </c>
      <c r="D12" s="26">
        <v>2</v>
      </c>
      <c r="E12" s="27" t="s">
        <v>58</v>
      </c>
      <c r="F12" s="28">
        <v>10</v>
      </c>
      <c r="G12" s="28">
        <v>9</v>
      </c>
      <c r="H12" s="28">
        <v>10</v>
      </c>
      <c r="I12" s="28">
        <v>10</v>
      </c>
      <c r="J12" s="28">
        <v>8</v>
      </c>
      <c r="K12" s="28">
        <v>10</v>
      </c>
      <c r="L12" s="28">
        <v>9</v>
      </c>
      <c r="M12" s="28">
        <v>8</v>
      </c>
      <c r="N12" s="28">
        <v>8</v>
      </c>
      <c r="O12" s="28">
        <v>10</v>
      </c>
      <c r="P12" s="28">
        <v>9</v>
      </c>
      <c r="Q12" s="28">
        <v>8</v>
      </c>
      <c r="R12" s="28">
        <v>10</v>
      </c>
      <c r="S12" s="28">
        <v>8</v>
      </c>
      <c r="T12" s="29">
        <f t="shared" si="0"/>
        <v>9.0714285714285712</v>
      </c>
      <c r="U12" s="29">
        <f t="shared" si="1"/>
        <v>68.035714285714278</v>
      </c>
      <c r="V12" s="33"/>
      <c r="W12" s="40"/>
    </row>
    <row r="13" spans="1:23" ht="15" customHeight="1" x14ac:dyDescent="0.25">
      <c r="A13" s="38"/>
      <c r="B13" s="33"/>
      <c r="C13" s="26" t="s">
        <v>14</v>
      </c>
      <c r="D13" s="26">
        <v>3</v>
      </c>
      <c r="E13" s="27" t="s">
        <v>63</v>
      </c>
      <c r="F13" s="28">
        <v>9</v>
      </c>
      <c r="G13" s="28">
        <v>9</v>
      </c>
      <c r="H13" s="28">
        <v>10</v>
      </c>
      <c r="I13" s="28">
        <v>10</v>
      </c>
      <c r="J13" s="28">
        <v>10</v>
      </c>
      <c r="K13" s="28">
        <v>10</v>
      </c>
      <c r="L13" s="28">
        <v>10</v>
      </c>
      <c r="M13" s="28">
        <v>7</v>
      </c>
      <c r="N13" s="28">
        <v>10</v>
      </c>
      <c r="O13" s="28">
        <v>7</v>
      </c>
      <c r="P13" s="28">
        <v>8</v>
      </c>
      <c r="Q13" s="28">
        <v>8</v>
      </c>
      <c r="R13" s="28">
        <v>10</v>
      </c>
      <c r="S13" s="28">
        <v>8</v>
      </c>
      <c r="T13" s="29">
        <f t="shared" si="0"/>
        <v>9</v>
      </c>
      <c r="U13" s="29">
        <f t="shared" si="1"/>
        <v>67.5</v>
      </c>
      <c r="V13" s="33"/>
      <c r="W13" s="40"/>
    </row>
    <row r="14" spans="1:23" ht="15" customHeight="1" x14ac:dyDescent="0.25">
      <c r="A14" s="38"/>
      <c r="B14" s="33"/>
      <c r="C14" s="26" t="s">
        <v>14</v>
      </c>
      <c r="D14" s="26">
        <v>4</v>
      </c>
      <c r="E14" s="27" t="s">
        <v>56</v>
      </c>
      <c r="F14" s="28">
        <v>8</v>
      </c>
      <c r="G14" s="28">
        <v>10</v>
      </c>
      <c r="H14" s="28">
        <v>10</v>
      </c>
      <c r="I14" s="28">
        <v>10</v>
      </c>
      <c r="J14" s="28">
        <v>9</v>
      </c>
      <c r="K14" s="28">
        <v>10</v>
      </c>
      <c r="L14" s="28">
        <v>9</v>
      </c>
      <c r="M14" s="28">
        <v>7</v>
      </c>
      <c r="N14" s="28">
        <v>9</v>
      </c>
      <c r="O14" s="28">
        <v>7</v>
      </c>
      <c r="P14" s="28">
        <v>9</v>
      </c>
      <c r="Q14" s="28">
        <v>7</v>
      </c>
      <c r="R14" s="28">
        <v>10</v>
      </c>
      <c r="S14" s="28">
        <v>9</v>
      </c>
      <c r="T14" s="29">
        <f t="shared" si="0"/>
        <v>8.8571428571428577</v>
      </c>
      <c r="U14" s="29">
        <f t="shared" si="1"/>
        <v>66.428571428571431</v>
      </c>
      <c r="V14" s="33"/>
      <c r="W14" s="40"/>
    </row>
    <row r="15" spans="1:23" ht="15" customHeight="1" x14ac:dyDescent="0.25">
      <c r="A15" s="38"/>
      <c r="B15" s="33"/>
      <c r="C15" s="26" t="s">
        <v>14</v>
      </c>
      <c r="D15" s="26">
        <v>5</v>
      </c>
      <c r="E15" s="27" t="s">
        <v>52</v>
      </c>
      <c r="F15" s="28">
        <v>8</v>
      </c>
      <c r="G15" s="28">
        <v>9</v>
      </c>
      <c r="H15" s="28">
        <v>10</v>
      </c>
      <c r="I15" s="28">
        <v>10</v>
      </c>
      <c r="J15" s="28">
        <v>9</v>
      </c>
      <c r="K15" s="28">
        <v>10</v>
      </c>
      <c r="L15" s="28">
        <v>10</v>
      </c>
      <c r="M15" s="28">
        <v>7</v>
      </c>
      <c r="N15" s="28">
        <v>9</v>
      </c>
      <c r="O15" s="28">
        <v>9</v>
      </c>
      <c r="P15" s="28">
        <v>9</v>
      </c>
      <c r="Q15" s="28">
        <v>7</v>
      </c>
      <c r="R15" s="28">
        <v>6</v>
      </c>
      <c r="S15" s="28">
        <v>10</v>
      </c>
      <c r="T15" s="29">
        <f t="shared" si="0"/>
        <v>8.7857142857142865</v>
      </c>
      <c r="U15" s="29">
        <f t="shared" si="1"/>
        <v>65.892857142857153</v>
      </c>
      <c r="V15" s="33"/>
      <c r="W15" s="40"/>
    </row>
    <row r="16" spans="1:23" ht="15" customHeight="1" x14ac:dyDescent="0.25">
      <c r="A16" s="38"/>
      <c r="B16" s="33"/>
      <c r="C16" s="26" t="s">
        <v>14</v>
      </c>
      <c r="D16" s="26">
        <v>6</v>
      </c>
      <c r="E16" s="27" t="s">
        <v>57</v>
      </c>
      <c r="F16" s="28">
        <v>9</v>
      </c>
      <c r="G16" s="28">
        <v>10</v>
      </c>
      <c r="H16" s="28">
        <v>9</v>
      </c>
      <c r="I16" s="28">
        <v>10</v>
      </c>
      <c r="J16" s="28">
        <v>9</v>
      </c>
      <c r="K16" s="28">
        <v>10</v>
      </c>
      <c r="L16" s="28">
        <v>9</v>
      </c>
      <c r="M16" s="28">
        <v>8</v>
      </c>
      <c r="N16" s="28">
        <v>7</v>
      </c>
      <c r="O16" s="28">
        <v>9</v>
      </c>
      <c r="P16" s="28">
        <v>9</v>
      </c>
      <c r="Q16" s="28">
        <v>7</v>
      </c>
      <c r="R16" s="28">
        <v>10</v>
      </c>
      <c r="S16" s="28">
        <v>6</v>
      </c>
      <c r="T16" s="29">
        <f t="shared" si="0"/>
        <v>8.7142857142857135</v>
      </c>
      <c r="U16" s="29">
        <f t="shared" si="1"/>
        <v>65.357142857142861</v>
      </c>
      <c r="V16" s="33"/>
      <c r="W16" s="40"/>
    </row>
    <row r="17" spans="1:24" ht="15" customHeight="1" x14ac:dyDescent="0.25">
      <c r="A17" s="38"/>
      <c r="B17" s="33"/>
      <c r="C17" s="24" t="s">
        <v>14</v>
      </c>
      <c r="D17" s="24">
        <v>7</v>
      </c>
      <c r="E17" s="9" t="s">
        <v>62</v>
      </c>
      <c r="F17" s="10">
        <v>8</v>
      </c>
      <c r="G17" s="10">
        <v>8</v>
      </c>
      <c r="H17" s="10">
        <v>9</v>
      </c>
      <c r="I17" s="10">
        <v>10</v>
      </c>
      <c r="J17" s="10">
        <v>7</v>
      </c>
      <c r="K17" s="10">
        <v>11</v>
      </c>
      <c r="L17" s="10">
        <v>7</v>
      </c>
      <c r="M17" s="10">
        <v>8</v>
      </c>
      <c r="N17" s="10">
        <v>8</v>
      </c>
      <c r="O17" s="10">
        <v>8</v>
      </c>
      <c r="P17" s="10">
        <v>7</v>
      </c>
      <c r="Q17" s="10">
        <v>6</v>
      </c>
      <c r="R17" s="10">
        <v>6</v>
      </c>
      <c r="S17" s="10">
        <v>5</v>
      </c>
      <c r="T17" s="25">
        <f t="shared" ref="T17:T24" si="2">IF(COUNTIF(F17:S17,"=*")&gt;0,"-",IF(COUNTIF(F17:S17,"&lt;4")&gt;0,"-",(IFERROR(AVERAGE(F17:S17),""))))</f>
        <v>7.7142857142857144</v>
      </c>
      <c r="U17" s="25">
        <f t="shared" ref="U17:U24" si="3">T17/12*90</f>
        <v>57.857142857142861</v>
      </c>
      <c r="V17" s="33"/>
      <c r="W17" s="40"/>
    </row>
    <row r="18" spans="1:24" ht="15" customHeight="1" x14ac:dyDescent="0.25">
      <c r="A18" s="38"/>
      <c r="B18" s="33"/>
      <c r="C18" s="24" t="s">
        <v>14</v>
      </c>
      <c r="D18" s="24">
        <v>8</v>
      </c>
      <c r="E18" s="9" t="s">
        <v>53</v>
      </c>
      <c r="F18" s="10">
        <v>7</v>
      </c>
      <c r="G18" s="10">
        <v>8</v>
      </c>
      <c r="H18" s="10">
        <v>9</v>
      </c>
      <c r="I18" s="10">
        <v>9</v>
      </c>
      <c r="J18" s="10">
        <v>8</v>
      </c>
      <c r="K18" s="10">
        <v>9</v>
      </c>
      <c r="L18" s="10">
        <v>6</v>
      </c>
      <c r="M18" s="10">
        <v>6</v>
      </c>
      <c r="N18" s="10">
        <v>7</v>
      </c>
      <c r="O18" s="10">
        <v>9</v>
      </c>
      <c r="P18" s="10">
        <v>5</v>
      </c>
      <c r="Q18" s="10">
        <v>7</v>
      </c>
      <c r="R18" s="10">
        <v>10</v>
      </c>
      <c r="S18" s="10">
        <v>6</v>
      </c>
      <c r="T18" s="25">
        <f t="shared" si="2"/>
        <v>7.5714285714285712</v>
      </c>
      <c r="U18" s="25">
        <f t="shared" si="3"/>
        <v>56.785714285714285</v>
      </c>
      <c r="V18" s="33"/>
      <c r="W18" s="40"/>
    </row>
    <row r="19" spans="1:24" ht="15" customHeight="1" x14ac:dyDescent="0.25">
      <c r="A19" s="38"/>
      <c r="B19" s="33"/>
      <c r="C19" s="24" t="s">
        <v>14</v>
      </c>
      <c r="D19" s="24">
        <v>9</v>
      </c>
      <c r="E19" s="9" t="s">
        <v>61</v>
      </c>
      <c r="F19" s="10">
        <v>7</v>
      </c>
      <c r="G19" s="10">
        <v>7</v>
      </c>
      <c r="H19" s="10">
        <v>10</v>
      </c>
      <c r="I19" s="10">
        <v>9</v>
      </c>
      <c r="J19" s="10">
        <v>8</v>
      </c>
      <c r="K19" s="10">
        <v>8</v>
      </c>
      <c r="L19" s="10">
        <v>7</v>
      </c>
      <c r="M19" s="10">
        <v>9</v>
      </c>
      <c r="N19" s="10">
        <v>6</v>
      </c>
      <c r="O19" s="10">
        <v>7</v>
      </c>
      <c r="P19" s="10">
        <v>5</v>
      </c>
      <c r="Q19" s="10">
        <v>7</v>
      </c>
      <c r="R19" s="10">
        <v>10</v>
      </c>
      <c r="S19" s="10">
        <v>6</v>
      </c>
      <c r="T19" s="25">
        <f t="shared" si="2"/>
        <v>7.5714285714285712</v>
      </c>
      <c r="U19" s="25">
        <f t="shared" si="3"/>
        <v>56.785714285714285</v>
      </c>
      <c r="V19" s="33"/>
      <c r="W19" s="40"/>
    </row>
    <row r="20" spans="1:24" ht="15" customHeight="1" x14ac:dyDescent="0.25">
      <c r="A20" s="38"/>
      <c r="B20" s="33"/>
      <c r="C20" s="24" t="s">
        <v>14</v>
      </c>
      <c r="D20" s="24">
        <v>10</v>
      </c>
      <c r="E20" s="9" t="s">
        <v>51</v>
      </c>
      <c r="F20" s="10">
        <v>6</v>
      </c>
      <c r="G20" s="10">
        <v>7</v>
      </c>
      <c r="H20" s="10">
        <v>8</v>
      </c>
      <c r="I20" s="10">
        <v>10</v>
      </c>
      <c r="J20" s="10">
        <v>8</v>
      </c>
      <c r="K20" s="10">
        <v>9</v>
      </c>
      <c r="L20" s="10">
        <v>8</v>
      </c>
      <c r="M20" s="10">
        <v>5</v>
      </c>
      <c r="N20" s="10">
        <v>5</v>
      </c>
      <c r="O20" s="10">
        <v>7</v>
      </c>
      <c r="P20" s="10">
        <v>6</v>
      </c>
      <c r="Q20" s="10">
        <v>5</v>
      </c>
      <c r="R20" s="10">
        <v>8</v>
      </c>
      <c r="S20" s="10">
        <v>5</v>
      </c>
      <c r="T20" s="25">
        <f t="shared" si="2"/>
        <v>6.9285714285714288</v>
      </c>
      <c r="U20" s="25">
        <f t="shared" si="3"/>
        <v>51.964285714285722</v>
      </c>
      <c r="V20" s="33"/>
      <c r="W20" s="40"/>
    </row>
    <row r="21" spans="1:24" ht="15" customHeight="1" x14ac:dyDescent="0.25">
      <c r="A21" s="38"/>
      <c r="B21" s="33"/>
      <c r="C21" s="24" t="s">
        <v>14</v>
      </c>
      <c r="D21" s="24">
        <v>11</v>
      </c>
      <c r="E21" s="9" t="s">
        <v>48</v>
      </c>
      <c r="F21" s="10">
        <v>7</v>
      </c>
      <c r="G21" s="10">
        <v>8</v>
      </c>
      <c r="H21" s="10">
        <v>5</v>
      </c>
      <c r="I21" s="10">
        <v>9</v>
      </c>
      <c r="J21" s="10">
        <v>8</v>
      </c>
      <c r="K21" s="10">
        <v>9</v>
      </c>
      <c r="L21" s="10">
        <v>6</v>
      </c>
      <c r="M21" s="10">
        <v>6</v>
      </c>
      <c r="N21" s="10">
        <v>6</v>
      </c>
      <c r="O21" s="10">
        <v>7</v>
      </c>
      <c r="P21" s="10">
        <v>4</v>
      </c>
      <c r="Q21" s="10">
        <v>5</v>
      </c>
      <c r="R21" s="10">
        <v>8</v>
      </c>
      <c r="S21" s="10">
        <v>6</v>
      </c>
      <c r="T21" s="25">
        <f t="shared" si="2"/>
        <v>6.7142857142857144</v>
      </c>
      <c r="U21" s="25">
        <f t="shared" si="3"/>
        <v>50.357142857142861</v>
      </c>
      <c r="V21" s="33"/>
      <c r="W21" s="40"/>
    </row>
    <row r="22" spans="1:24" ht="15" customHeight="1" x14ac:dyDescent="0.25">
      <c r="A22" s="38"/>
      <c r="B22" s="33"/>
      <c r="C22" s="24" t="s">
        <v>14</v>
      </c>
      <c r="D22" s="24">
        <v>12</v>
      </c>
      <c r="E22" s="9" t="s">
        <v>50</v>
      </c>
      <c r="F22" s="10">
        <v>7</v>
      </c>
      <c r="G22" s="10">
        <v>8</v>
      </c>
      <c r="H22" s="10">
        <v>8</v>
      </c>
      <c r="I22" s="10">
        <v>9</v>
      </c>
      <c r="J22" s="10">
        <v>7</v>
      </c>
      <c r="K22" s="10">
        <v>9</v>
      </c>
      <c r="L22" s="10">
        <v>7</v>
      </c>
      <c r="M22" s="10">
        <v>7</v>
      </c>
      <c r="N22" s="10">
        <v>5</v>
      </c>
      <c r="O22" s="10">
        <v>4</v>
      </c>
      <c r="P22" s="10">
        <v>4</v>
      </c>
      <c r="Q22" s="10">
        <v>5</v>
      </c>
      <c r="R22" s="10">
        <v>6</v>
      </c>
      <c r="S22" s="10">
        <v>6</v>
      </c>
      <c r="T22" s="25">
        <f t="shared" si="2"/>
        <v>6.5714285714285712</v>
      </c>
      <c r="U22" s="25">
        <f t="shared" si="3"/>
        <v>49.285714285714278</v>
      </c>
      <c r="V22" s="33"/>
      <c r="W22" s="40"/>
    </row>
    <row r="23" spans="1:24" ht="15" customHeight="1" x14ac:dyDescent="0.25">
      <c r="A23" s="38"/>
      <c r="B23" s="33"/>
      <c r="C23" s="24" t="s">
        <v>14</v>
      </c>
      <c r="D23" s="24">
        <v>13</v>
      </c>
      <c r="E23" s="9" t="s">
        <v>59</v>
      </c>
      <c r="F23" s="10">
        <v>6</v>
      </c>
      <c r="G23" s="10">
        <v>6</v>
      </c>
      <c r="H23" s="10">
        <v>9</v>
      </c>
      <c r="I23" s="10">
        <v>7</v>
      </c>
      <c r="J23" s="10">
        <v>6</v>
      </c>
      <c r="K23" s="10">
        <v>8</v>
      </c>
      <c r="L23" s="10">
        <v>7</v>
      </c>
      <c r="M23" s="10">
        <v>7</v>
      </c>
      <c r="N23" s="10">
        <v>5</v>
      </c>
      <c r="O23" s="10">
        <v>6</v>
      </c>
      <c r="P23" s="10">
        <v>6</v>
      </c>
      <c r="Q23" s="10">
        <v>5</v>
      </c>
      <c r="R23" s="10">
        <v>6</v>
      </c>
      <c r="S23" s="10">
        <v>6</v>
      </c>
      <c r="T23" s="25">
        <f t="shared" si="2"/>
        <v>6.4285714285714288</v>
      </c>
      <c r="U23" s="25">
        <f t="shared" si="3"/>
        <v>48.214285714285715</v>
      </c>
      <c r="V23" s="33"/>
      <c r="W23" s="40"/>
    </row>
    <row r="24" spans="1:24" ht="15" customHeight="1" x14ac:dyDescent="0.25">
      <c r="A24" s="38"/>
      <c r="B24" s="33"/>
      <c r="C24" s="24" t="s">
        <v>14</v>
      </c>
      <c r="D24" s="24">
        <v>14</v>
      </c>
      <c r="E24" s="9" t="s">
        <v>66</v>
      </c>
      <c r="F24" s="10">
        <v>5</v>
      </c>
      <c r="G24" s="10">
        <v>9</v>
      </c>
      <c r="H24" s="10">
        <v>7</v>
      </c>
      <c r="I24" s="10">
        <v>8</v>
      </c>
      <c r="J24" s="10">
        <v>5</v>
      </c>
      <c r="K24" s="10">
        <v>9</v>
      </c>
      <c r="L24" s="10">
        <v>6</v>
      </c>
      <c r="M24" s="10">
        <v>6</v>
      </c>
      <c r="N24" s="10">
        <v>5</v>
      </c>
      <c r="O24" s="10">
        <v>4</v>
      </c>
      <c r="P24" s="10">
        <v>4</v>
      </c>
      <c r="Q24" s="10">
        <v>4</v>
      </c>
      <c r="R24" s="10">
        <v>8</v>
      </c>
      <c r="S24" s="10">
        <v>5</v>
      </c>
      <c r="T24" s="25">
        <f t="shared" si="2"/>
        <v>6.0714285714285712</v>
      </c>
      <c r="U24" s="25">
        <f t="shared" si="3"/>
        <v>45.535714285714285</v>
      </c>
      <c r="V24" s="33"/>
      <c r="W24" s="40"/>
    </row>
    <row r="25" spans="1:24" ht="15" customHeight="1" x14ac:dyDescent="0.25">
      <c r="A25" s="38"/>
      <c r="B25" s="33"/>
      <c r="C25" s="11"/>
      <c r="D25" s="11"/>
      <c r="E25" s="9" t="s">
        <v>20</v>
      </c>
      <c r="F25" s="23">
        <f>'Зведена 174'!F35</f>
        <v>15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2"/>
      <c r="U25" s="22"/>
      <c r="V25" s="33"/>
      <c r="W25" s="40"/>
      <c r="X25" s="14"/>
    </row>
    <row r="26" spans="1:24" ht="15" customHeight="1" x14ac:dyDescent="0.25">
      <c r="A26" s="38"/>
      <c r="B26" s="33"/>
      <c r="C26" s="11"/>
      <c r="D26" s="11"/>
      <c r="E26" s="9" t="s">
        <v>21</v>
      </c>
      <c r="F26" s="23">
        <f>'Зведена 174'!F36</f>
        <v>4</v>
      </c>
      <c r="G26" s="11"/>
      <c r="H26" s="17" t="s">
        <v>22</v>
      </c>
      <c r="I26" s="11"/>
      <c r="J26" s="11"/>
      <c r="K26" s="11"/>
      <c r="L26" s="11"/>
      <c r="M26" s="11"/>
      <c r="N26" s="11"/>
      <c r="O26" s="1" t="s">
        <v>67</v>
      </c>
      <c r="P26" s="11"/>
      <c r="Q26" s="11"/>
      <c r="R26" s="11"/>
      <c r="S26" s="11"/>
      <c r="T26" s="11"/>
      <c r="U26" s="11"/>
      <c r="V26" s="33"/>
      <c r="W26" s="40"/>
    </row>
    <row r="27" spans="1:24" ht="15" customHeight="1" x14ac:dyDescent="0.25">
      <c r="A27" s="38"/>
      <c r="B27" s="33"/>
      <c r="C27" s="11"/>
      <c r="D27" s="11"/>
      <c r="E27" s="9" t="s">
        <v>23</v>
      </c>
      <c r="F27" s="23">
        <f>'Зведена 174'!F37</f>
        <v>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33"/>
      <c r="W27" s="40"/>
    </row>
    <row r="28" spans="1:24" ht="15" customHeight="1" x14ac:dyDescent="0.25">
      <c r="A28" s="38"/>
      <c r="B28" s="33"/>
      <c r="C28" s="11"/>
      <c r="D28" s="11"/>
      <c r="E28" s="9" t="s">
        <v>24</v>
      </c>
      <c r="F28" s="23">
        <f>'Зведена 174'!F38</f>
        <v>6</v>
      </c>
      <c r="G28" s="11"/>
      <c r="H28" s="17" t="s">
        <v>79</v>
      </c>
      <c r="I28" s="11"/>
      <c r="J28" s="11"/>
      <c r="K28" s="11"/>
      <c r="L28" s="11"/>
      <c r="M28" s="11"/>
      <c r="N28" s="11"/>
      <c r="O28" s="17" t="s">
        <v>25</v>
      </c>
      <c r="P28" s="11"/>
      <c r="Q28" s="11"/>
      <c r="R28" s="11"/>
      <c r="S28" s="11"/>
      <c r="T28" s="11"/>
      <c r="U28" s="11"/>
      <c r="V28" s="33"/>
      <c r="W28" s="40"/>
    </row>
    <row r="29" spans="1:24" ht="12" customHeight="1" thickBot="1" x14ac:dyDescent="0.3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40"/>
    </row>
    <row r="30" spans="1:24" ht="12" customHeight="1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</sheetData>
  <sheetProtection selectLockedCells="1"/>
  <sortState ref="E11:U16">
    <sortCondition descending="1" ref="T11:T16"/>
  </sortState>
  <mergeCells count="18">
    <mergeCell ref="B30:V30"/>
    <mergeCell ref="C7:U7"/>
    <mergeCell ref="C8:U8"/>
    <mergeCell ref="C9:C10"/>
    <mergeCell ref="D9:D10"/>
    <mergeCell ref="E9:E10"/>
    <mergeCell ref="F9:U9"/>
    <mergeCell ref="B1:V1"/>
    <mergeCell ref="A2:A29"/>
    <mergeCell ref="B2:V2"/>
    <mergeCell ref="W2:W29"/>
    <mergeCell ref="B3:B28"/>
    <mergeCell ref="C3:U3"/>
    <mergeCell ref="V3:V28"/>
    <mergeCell ref="C4:U4"/>
    <mergeCell ref="C5:U5"/>
    <mergeCell ref="C6:U6"/>
    <mergeCell ref="B29:V29"/>
  </mergeCells>
  <conditionalFormatting sqref="C11:S11 F12:S24 D13 D15 D17 D19 D21 D23">
    <cfRule type="expression" dxfId="49" priority="5">
      <formula>$V$11&lt;&gt;""</formula>
    </cfRule>
  </conditionalFormatting>
  <conditionalFormatting sqref="C12:E12 D14 D16 D18 D20 D22 D24">
    <cfRule type="expression" dxfId="48" priority="7">
      <formula>$V$12&lt;&gt;""</formula>
    </cfRule>
  </conditionalFormatting>
  <conditionalFormatting sqref="C13 E13">
    <cfRule type="expression" dxfId="47" priority="8">
      <formula>$V$13&lt;&gt;""</formula>
    </cfRule>
  </conditionalFormatting>
  <conditionalFormatting sqref="C14 E14">
    <cfRule type="expression" dxfId="46" priority="9">
      <formula>$V$14&lt;&gt;""</formula>
    </cfRule>
  </conditionalFormatting>
  <conditionalFormatting sqref="C15 E15">
    <cfRule type="expression" dxfId="45" priority="10">
      <formula>$V$15&lt;&gt;""</formula>
    </cfRule>
  </conditionalFormatting>
  <conditionalFormatting sqref="C16 E16">
    <cfRule type="expression" dxfId="44" priority="13">
      <formula>$V$16&lt;&gt;""</formula>
    </cfRule>
  </conditionalFormatting>
  <conditionalFormatting sqref="C17 E17">
    <cfRule type="expression" dxfId="43" priority="14">
      <formula>$V$17&lt;&gt;""</formula>
    </cfRule>
  </conditionalFormatting>
  <conditionalFormatting sqref="C18 E18">
    <cfRule type="expression" dxfId="42" priority="15">
      <formula>$V$18&lt;&gt;""</formula>
    </cfRule>
  </conditionalFormatting>
  <conditionalFormatting sqref="C19 E19">
    <cfRule type="expression" dxfId="41" priority="16">
      <formula>$V$19&lt;&gt;""</formula>
    </cfRule>
  </conditionalFormatting>
  <conditionalFormatting sqref="C20 E20">
    <cfRule type="expression" dxfId="40" priority="17">
      <formula>$V$20&lt;&gt;""</formula>
    </cfRule>
  </conditionalFormatting>
  <conditionalFormatting sqref="C21 E21">
    <cfRule type="expression" dxfId="39" priority="18">
      <formula>$V$21&lt;&gt;""</formula>
    </cfRule>
  </conditionalFormatting>
  <conditionalFormatting sqref="C22 E22">
    <cfRule type="expression" dxfId="38" priority="19">
      <formula>$V$22&lt;&gt;""</formula>
    </cfRule>
  </conditionalFormatting>
  <conditionalFormatting sqref="C23 E23">
    <cfRule type="expression" dxfId="37" priority="20">
      <formula>$V$23&lt;&gt;""</formula>
    </cfRule>
  </conditionalFormatting>
  <conditionalFormatting sqref="C24 E24">
    <cfRule type="expression" dxfId="36" priority="2">
      <formula>#REF!&lt;&gt;""</formula>
    </cfRule>
  </conditionalFormatting>
  <conditionalFormatting sqref="U11:U24">
    <cfRule type="expression" dxfId="35" priority="49">
      <formula>$V$24&lt;&gt;""</formula>
    </cfRule>
  </conditionalFormatting>
  <conditionalFormatting sqref="T11:T24">
    <cfRule type="expression" dxfId="34" priority="1">
      <formula>$V$24&lt;&gt;""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F3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2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</row>
    <row r="3" spans="1:22" s="5" customFormat="1" ht="35.1" customHeight="1" x14ac:dyDescent="0.3">
      <c r="A3" s="38"/>
      <c r="B3" s="33"/>
      <c r="C3" s="41" t="s">
        <v>78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33"/>
      <c r="V3" s="40"/>
    </row>
    <row r="4" spans="1:22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40"/>
    </row>
    <row r="5" spans="1:22" s="6" customFormat="1" ht="15" customHeight="1" x14ac:dyDescent="0.25">
      <c r="A5" s="38"/>
      <c r="B5" s="33"/>
      <c r="C5" s="43" t="s">
        <v>26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3"/>
      <c r="V5" s="40"/>
    </row>
    <row r="6" spans="1:22" s="5" customFormat="1" ht="15" customHeight="1" x14ac:dyDescent="0.25">
      <c r="A6" s="38"/>
      <c r="B6" s="33"/>
      <c r="C6" s="32" t="s">
        <v>68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3"/>
      <c r="V6" s="40"/>
    </row>
    <row r="7" spans="1:22" s="5" customFormat="1" ht="15" customHeight="1" x14ac:dyDescent="0.25">
      <c r="A7" s="38"/>
      <c r="B7" s="33"/>
      <c r="C7" s="32" t="s">
        <v>27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3"/>
      <c r="V7" s="40"/>
    </row>
    <row r="8" spans="1:22" s="5" customFormat="1" ht="15" customHeight="1" x14ac:dyDescent="0.25">
      <c r="A8" s="38"/>
      <c r="B8" s="33"/>
      <c r="C8" s="33" t="s">
        <v>69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40"/>
    </row>
    <row r="9" spans="1:22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30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3"/>
      <c r="V9" s="40"/>
    </row>
    <row r="10" spans="1:22" ht="125.1" customHeight="1" x14ac:dyDescent="0.25">
      <c r="A10" s="38"/>
      <c r="B10" s="33"/>
      <c r="C10" s="35"/>
      <c r="D10" s="35"/>
      <c r="E10" s="35"/>
      <c r="F10" s="18" t="s">
        <v>4</v>
      </c>
      <c r="G10" s="18" t="s">
        <v>5</v>
      </c>
      <c r="H10" s="18" t="s">
        <v>6</v>
      </c>
      <c r="I10" s="18" t="s">
        <v>28</v>
      </c>
      <c r="J10" s="18" t="s">
        <v>29</v>
      </c>
      <c r="K10" s="18" t="s">
        <v>71</v>
      </c>
      <c r="L10" s="18" t="s">
        <v>7</v>
      </c>
      <c r="M10" s="18" t="s">
        <v>8</v>
      </c>
      <c r="N10" s="18" t="s">
        <v>72</v>
      </c>
      <c r="O10" s="18" t="s">
        <v>73</v>
      </c>
      <c r="P10" s="18" t="s">
        <v>74</v>
      </c>
      <c r="Q10" s="18" t="s">
        <v>9</v>
      </c>
      <c r="R10" s="18" t="s">
        <v>10</v>
      </c>
      <c r="S10" s="18" t="s">
        <v>11</v>
      </c>
      <c r="T10" s="7" t="s">
        <v>12</v>
      </c>
      <c r="U10" s="33"/>
      <c r="V10" s="40"/>
    </row>
    <row r="11" spans="1:22" ht="15" customHeight="1" x14ac:dyDescent="0.25">
      <c r="A11" s="38"/>
      <c r="B11" s="33"/>
      <c r="C11" s="8" t="s">
        <v>14</v>
      </c>
      <c r="D11" s="8">
        <v>1</v>
      </c>
      <c r="E11" s="9" t="s">
        <v>31</v>
      </c>
      <c r="F11" s="10">
        <v>8</v>
      </c>
      <c r="G11" s="10">
        <v>8</v>
      </c>
      <c r="H11" s="10">
        <v>9</v>
      </c>
      <c r="I11" s="10">
        <v>8</v>
      </c>
      <c r="J11" s="10">
        <v>6</v>
      </c>
      <c r="K11" s="10">
        <v>8</v>
      </c>
      <c r="L11" s="10">
        <v>8</v>
      </c>
      <c r="M11" s="10">
        <v>7</v>
      </c>
      <c r="N11" s="10">
        <v>6</v>
      </c>
      <c r="O11" s="10">
        <v>6</v>
      </c>
      <c r="P11" s="10">
        <v>5</v>
      </c>
      <c r="Q11" s="10">
        <v>4</v>
      </c>
      <c r="R11" s="10">
        <v>10</v>
      </c>
      <c r="S11" s="10">
        <v>6</v>
      </c>
      <c r="T11" s="2">
        <f t="shared" ref="T11:T26" si="0">IF(COUNTIF(F11:S11,"=*")&gt;0,"-",IF(COUNTIF(F11:S11,"&lt;4")&gt;0,"-",(IFERROR(AVERAGE(F11:S11),""))))</f>
        <v>7.0714285714285712</v>
      </c>
      <c r="U11" s="33"/>
      <c r="V11" s="40"/>
    </row>
    <row r="12" spans="1:22" ht="15" customHeight="1" x14ac:dyDescent="0.25">
      <c r="A12" s="38"/>
      <c r="B12" s="33"/>
      <c r="C12" s="8" t="s">
        <v>13</v>
      </c>
      <c r="D12" s="8">
        <v>2</v>
      </c>
      <c r="E12" s="9" t="s">
        <v>32</v>
      </c>
      <c r="F12" s="10">
        <v>7</v>
      </c>
      <c r="G12" s="10">
        <v>8</v>
      </c>
      <c r="H12" s="10">
        <v>7</v>
      </c>
      <c r="I12" s="10">
        <v>9</v>
      </c>
      <c r="J12" s="10">
        <v>8</v>
      </c>
      <c r="K12" s="10">
        <v>10</v>
      </c>
      <c r="L12" s="10">
        <v>8</v>
      </c>
      <c r="M12" s="10">
        <v>7</v>
      </c>
      <c r="N12" s="10">
        <v>6</v>
      </c>
      <c r="O12" s="10">
        <v>8</v>
      </c>
      <c r="P12" s="10">
        <v>7</v>
      </c>
      <c r="Q12" s="10">
        <v>5</v>
      </c>
      <c r="R12" s="10">
        <v>6</v>
      </c>
      <c r="S12" s="10">
        <v>6</v>
      </c>
      <c r="T12" s="2">
        <f t="shared" si="0"/>
        <v>7.2857142857142856</v>
      </c>
      <c r="U12" s="33"/>
      <c r="V12" s="40"/>
    </row>
    <row r="13" spans="1:22" ht="15" customHeight="1" x14ac:dyDescent="0.25">
      <c r="A13" s="38"/>
      <c r="B13" s="33"/>
      <c r="C13" s="8" t="s">
        <v>14</v>
      </c>
      <c r="D13" s="8">
        <v>3</v>
      </c>
      <c r="E13" s="9" t="s">
        <v>33</v>
      </c>
      <c r="F13" s="10">
        <v>5</v>
      </c>
      <c r="G13" s="10">
        <v>5</v>
      </c>
      <c r="H13" s="10">
        <v>4</v>
      </c>
      <c r="I13" s="10">
        <v>9</v>
      </c>
      <c r="J13" s="10">
        <v>6</v>
      </c>
      <c r="K13" s="10">
        <v>7</v>
      </c>
      <c r="L13" s="10" t="s">
        <v>75</v>
      </c>
      <c r="M13" s="10">
        <v>4</v>
      </c>
      <c r="N13" s="10">
        <v>5</v>
      </c>
      <c r="O13" s="10">
        <v>4</v>
      </c>
      <c r="P13" s="10">
        <v>6</v>
      </c>
      <c r="Q13" s="10">
        <v>4</v>
      </c>
      <c r="R13" s="10">
        <v>10</v>
      </c>
      <c r="S13" s="10">
        <v>6</v>
      </c>
      <c r="T13" s="2" t="str">
        <f t="shared" si="0"/>
        <v>-</v>
      </c>
      <c r="U13" s="33"/>
      <c r="V13" s="40"/>
    </row>
    <row r="14" spans="1:22" ht="15" customHeight="1" x14ac:dyDescent="0.25">
      <c r="A14" s="38"/>
      <c r="B14" s="33"/>
      <c r="C14" s="8" t="s">
        <v>14</v>
      </c>
      <c r="D14" s="8">
        <v>4</v>
      </c>
      <c r="E14" s="9" t="s">
        <v>34</v>
      </c>
      <c r="F14" s="10">
        <v>7</v>
      </c>
      <c r="G14" s="10">
        <v>8</v>
      </c>
      <c r="H14" s="10">
        <v>9</v>
      </c>
      <c r="I14" s="10">
        <v>9</v>
      </c>
      <c r="J14" s="10">
        <v>8</v>
      </c>
      <c r="K14" s="10">
        <v>9</v>
      </c>
      <c r="L14" s="10">
        <v>6</v>
      </c>
      <c r="M14" s="10">
        <v>6</v>
      </c>
      <c r="N14" s="10">
        <v>6</v>
      </c>
      <c r="O14" s="10">
        <v>8</v>
      </c>
      <c r="P14" s="10">
        <v>7</v>
      </c>
      <c r="Q14" s="10">
        <v>6</v>
      </c>
      <c r="R14" s="10">
        <v>9</v>
      </c>
      <c r="S14" s="10">
        <v>6</v>
      </c>
      <c r="T14" s="2">
        <f t="shared" si="0"/>
        <v>7.4285714285714288</v>
      </c>
      <c r="U14" s="33"/>
      <c r="V14" s="40"/>
    </row>
    <row r="15" spans="1:22" ht="15" customHeight="1" x14ac:dyDescent="0.25">
      <c r="A15" s="38"/>
      <c r="B15" s="33"/>
      <c r="C15" s="8" t="s">
        <v>13</v>
      </c>
      <c r="D15" s="8">
        <v>5</v>
      </c>
      <c r="E15" s="9" t="s">
        <v>35</v>
      </c>
      <c r="F15" s="10">
        <v>8</v>
      </c>
      <c r="G15" s="10">
        <v>9</v>
      </c>
      <c r="H15" s="10">
        <v>9</v>
      </c>
      <c r="I15" s="10">
        <v>10</v>
      </c>
      <c r="J15" s="10">
        <v>9</v>
      </c>
      <c r="K15" s="10">
        <v>10</v>
      </c>
      <c r="L15" s="10">
        <v>8</v>
      </c>
      <c r="M15" s="10">
        <v>8</v>
      </c>
      <c r="N15" s="10">
        <v>8</v>
      </c>
      <c r="O15" s="10">
        <v>7</v>
      </c>
      <c r="P15" s="10">
        <v>5</v>
      </c>
      <c r="Q15" s="10">
        <v>7</v>
      </c>
      <c r="R15" s="10">
        <v>10</v>
      </c>
      <c r="S15" s="10">
        <v>6</v>
      </c>
      <c r="T15" s="2">
        <f t="shared" si="0"/>
        <v>8.1428571428571423</v>
      </c>
      <c r="U15" s="33"/>
      <c r="V15" s="40"/>
    </row>
    <row r="16" spans="1:22" ht="15" customHeight="1" x14ac:dyDescent="0.25">
      <c r="A16" s="38"/>
      <c r="B16" s="33"/>
      <c r="C16" s="8" t="s">
        <v>14</v>
      </c>
      <c r="D16" s="8">
        <v>6</v>
      </c>
      <c r="E16" s="9" t="s">
        <v>36</v>
      </c>
      <c r="F16" s="10">
        <v>9</v>
      </c>
      <c r="G16" s="10">
        <v>9</v>
      </c>
      <c r="H16" s="10">
        <v>10</v>
      </c>
      <c r="I16" s="10">
        <v>10</v>
      </c>
      <c r="J16" s="10">
        <v>10</v>
      </c>
      <c r="K16" s="10">
        <v>8</v>
      </c>
      <c r="L16" s="10">
        <v>9</v>
      </c>
      <c r="M16" s="10">
        <v>8</v>
      </c>
      <c r="N16" s="10">
        <v>10</v>
      </c>
      <c r="O16" s="10">
        <v>8</v>
      </c>
      <c r="P16" s="10">
        <v>8</v>
      </c>
      <c r="Q16" s="10">
        <v>9</v>
      </c>
      <c r="R16" s="10">
        <v>10</v>
      </c>
      <c r="S16" s="10">
        <v>8</v>
      </c>
      <c r="T16" s="2">
        <f t="shared" si="0"/>
        <v>9</v>
      </c>
      <c r="U16" s="33"/>
      <c r="V16" s="40"/>
    </row>
    <row r="17" spans="1:23" ht="15" customHeight="1" x14ac:dyDescent="0.25">
      <c r="A17" s="38"/>
      <c r="B17" s="33"/>
      <c r="C17" s="8" t="s">
        <v>13</v>
      </c>
      <c r="D17" s="8">
        <v>7</v>
      </c>
      <c r="E17" s="9" t="s">
        <v>37</v>
      </c>
      <c r="F17" s="10">
        <v>5</v>
      </c>
      <c r="G17" s="10">
        <v>7</v>
      </c>
      <c r="H17" s="10">
        <v>10</v>
      </c>
      <c r="I17" s="10">
        <v>5</v>
      </c>
      <c r="J17" s="10">
        <v>7</v>
      </c>
      <c r="K17" s="10">
        <v>5</v>
      </c>
      <c r="L17" s="10">
        <v>6</v>
      </c>
      <c r="M17" s="10">
        <v>6</v>
      </c>
      <c r="N17" s="10">
        <v>6</v>
      </c>
      <c r="O17" s="10">
        <v>4</v>
      </c>
      <c r="P17" s="10">
        <v>7</v>
      </c>
      <c r="Q17" s="10">
        <v>2</v>
      </c>
      <c r="R17" s="10">
        <v>7</v>
      </c>
      <c r="S17" s="10">
        <v>5</v>
      </c>
      <c r="T17" s="2">
        <f>AVERAGE(F17:S17)</f>
        <v>5.8571428571428568</v>
      </c>
      <c r="U17" s="33"/>
      <c r="V17" s="40"/>
    </row>
    <row r="18" spans="1:23" ht="15" customHeight="1" x14ac:dyDescent="0.25">
      <c r="A18" s="38"/>
      <c r="B18" s="33"/>
      <c r="C18" s="8" t="s">
        <v>14</v>
      </c>
      <c r="D18" s="8">
        <v>8</v>
      </c>
      <c r="E18" s="9" t="s">
        <v>38</v>
      </c>
      <c r="F18" s="10">
        <v>7</v>
      </c>
      <c r="G18" s="10">
        <v>8</v>
      </c>
      <c r="H18" s="10">
        <v>9</v>
      </c>
      <c r="I18" s="10">
        <v>10</v>
      </c>
      <c r="J18" s="10">
        <v>8</v>
      </c>
      <c r="K18" s="10">
        <v>10</v>
      </c>
      <c r="L18" s="10">
        <v>9</v>
      </c>
      <c r="M18" s="10">
        <v>9</v>
      </c>
      <c r="N18" s="10">
        <v>9</v>
      </c>
      <c r="O18" s="10">
        <v>9</v>
      </c>
      <c r="P18" s="10">
        <v>7</v>
      </c>
      <c r="Q18" s="10">
        <v>7</v>
      </c>
      <c r="R18" s="10">
        <v>10</v>
      </c>
      <c r="S18" s="10">
        <v>6</v>
      </c>
      <c r="T18" s="2">
        <f t="shared" si="0"/>
        <v>8.4285714285714288</v>
      </c>
      <c r="U18" s="33"/>
      <c r="V18" s="40"/>
    </row>
    <row r="19" spans="1:23" ht="15" customHeight="1" x14ac:dyDescent="0.25">
      <c r="A19" s="38"/>
      <c r="B19" s="33"/>
      <c r="C19" s="8" t="s">
        <v>14</v>
      </c>
      <c r="D19" s="8">
        <v>9</v>
      </c>
      <c r="E19" s="9" t="s">
        <v>39</v>
      </c>
      <c r="F19" s="10">
        <v>6</v>
      </c>
      <c r="G19" s="10">
        <v>8</v>
      </c>
      <c r="H19" s="10">
        <v>8</v>
      </c>
      <c r="I19" s="10">
        <v>7</v>
      </c>
      <c r="J19" s="10">
        <v>7</v>
      </c>
      <c r="K19" s="10">
        <v>9</v>
      </c>
      <c r="L19" s="10">
        <v>6</v>
      </c>
      <c r="M19" s="10">
        <v>4</v>
      </c>
      <c r="N19" s="10">
        <v>7</v>
      </c>
      <c r="O19" s="10">
        <v>6</v>
      </c>
      <c r="P19" s="10">
        <v>6</v>
      </c>
      <c r="Q19" s="10">
        <v>5</v>
      </c>
      <c r="R19" s="10">
        <v>10</v>
      </c>
      <c r="S19" s="10">
        <v>6</v>
      </c>
      <c r="T19" s="2">
        <f t="shared" si="0"/>
        <v>6.7857142857142856</v>
      </c>
      <c r="U19" s="33"/>
      <c r="V19" s="40"/>
    </row>
    <row r="20" spans="1:23" ht="15" customHeight="1" x14ac:dyDescent="0.25">
      <c r="A20" s="38"/>
      <c r="B20" s="33"/>
      <c r="C20" s="8" t="s">
        <v>14</v>
      </c>
      <c r="D20" s="8">
        <v>10</v>
      </c>
      <c r="E20" s="9" t="s">
        <v>40</v>
      </c>
      <c r="F20" s="10">
        <v>6</v>
      </c>
      <c r="G20" s="10">
        <v>10</v>
      </c>
      <c r="H20" s="10">
        <v>10</v>
      </c>
      <c r="I20" s="10">
        <v>7</v>
      </c>
      <c r="J20" s="10">
        <v>9</v>
      </c>
      <c r="K20" s="10">
        <v>10</v>
      </c>
      <c r="L20" s="10">
        <v>9</v>
      </c>
      <c r="M20" s="10">
        <v>7</v>
      </c>
      <c r="N20" s="10">
        <v>6</v>
      </c>
      <c r="O20" s="10">
        <v>7</v>
      </c>
      <c r="P20" s="10">
        <v>8</v>
      </c>
      <c r="Q20" s="10">
        <v>6</v>
      </c>
      <c r="R20" s="10">
        <v>8</v>
      </c>
      <c r="S20" s="10">
        <v>5</v>
      </c>
      <c r="T20" s="2">
        <f t="shared" si="0"/>
        <v>7.7142857142857144</v>
      </c>
      <c r="U20" s="33"/>
      <c r="V20" s="40"/>
    </row>
    <row r="21" spans="1:23" ht="15" customHeight="1" x14ac:dyDescent="0.25">
      <c r="A21" s="38"/>
      <c r="B21" s="33"/>
      <c r="C21" s="8" t="s">
        <v>13</v>
      </c>
      <c r="D21" s="8">
        <v>11</v>
      </c>
      <c r="E21" s="9" t="s">
        <v>41</v>
      </c>
      <c r="F21" s="10">
        <v>6</v>
      </c>
      <c r="G21" s="10">
        <v>7</v>
      </c>
      <c r="H21" s="10">
        <v>10</v>
      </c>
      <c r="I21" s="10">
        <v>8</v>
      </c>
      <c r="J21" s="10">
        <v>7</v>
      </c>
      <c r="K21" s="10">
        <v>8</v>
      </c>
      <c r="L21" s="10">
        <v>5</v>
      </c>
      <c r="M21" s="10">
        <v>5</v>
      </c>
      <c r="N21" s="10">
        <v>5</v>
      </c>
      <c r="O21" s="10">
        <v>5</v>
      </c>
      <c r="P21" s="10">
        <v>5</v>
      </c>
      <c r="Q21" s="10">
        <v>6</v>
      </c>
      <c r="R21" s="10" t="s">
        <v>75</v>
      </c>
      <c r="S21" s="10">
        <v>6</v>
      </c>
      <c r="T21" s="2" t="str">
        <f t="shared" si="0"/>
        <v>-</v>
      </c>
      <c r="U21" s="33"/>
      <c r="V21" s="40"/>
    </row>
    <row r="22" spans="1:23" ht="15" customHeight="1" x14ac:dyDescent="0.25">
      <c r="A22" s="38"/>
      <c r="B22" s="33"/>
      <c r="C22" s="8" t="s">
        <v>13</v>
      </c>
      <c r="D22" s="8">
        <v>12</v>
      </c>
      <c r="E22" s="9" t="s">
        <v>42</v>
      </c>
      <c r="F22" s="10">
        <v>6</v>
      </c>
      <c r="G22" s="10">
        <v>7</v>
      </c>
      <c r="H22" s="10">
        <v>4</v>
      </c>
      <c r="I22" s="10">
        <v>8</v>
      </c>
      <c r="J22" s="10">
        <v>4</v>
      </c>
      <c r="K22" s="10">
        <v>7</v>
      </c>
      <c r="L22" s="10" t="s">
        <v>75</v>
      </c>
      <c r="M22" s="10" t="s">
        <v>75</v>
      </c>
      <c r="N22" s="10">
        <v>4</v>
      </c>
      <c r="O22" s="10">
        <v>4</v>
      </c>
      <c r="P22" s="10">
        <v>4</v>
      </c>
      <c r="Q22" s="10">
        <v>2</v>
      </c>
      <c r="R22" s="10" t="s">
        <v>75</v>
      </c>
      <c r="S22" s="10">
        <v>6</v>
      </c>
      <c r="T22" s="2" t="str">
        <f t="shared" si="0"/>
        <v>-</v>
      </c>
      <c r="U22" s="33"/>
      <c r="V22" s="40"/>
    </row>
    <row r="23" spans="1:23" ht="15" customHeight="1" x14ac:dyDescent="0.25">
      <c r="A23" s="38"/>
      <c r="B23" s="33"/>
      <c r="C23" s="8" t="s">
        <v>13</v>
      </c>
      <c r="D23" s="8">
        <v>13</v>
      </c>
      <c r="E23" s="9" t="s">
        <v>43</v>
      </c>
      <c r="F23" s="10">
        <v>7</v>
      </c>
      <c r="G23" s="10">
        <v>8</v>
      </c>
      <c r="H23" s="10">
        <v>8</v>
      </c>
      <c r="I23" s="10">
        <v>7</v>
      </c>
      <c r="J23" s="10">
        <v>7</v>
      </c>
      <c r="K23" s="10">
        <v>8</v>
      </c>
      <c r="L23" s="10">
        <v>6</v>
      </c>
      <c r="M23" s="10">
        <v>6</v>
      </c>
      <c r="N23" s="10">
        <v>6</v>
      </c>
      <c r="O23" s="10">
        <v>7</v>
      </c>
      <c r="P23" s="10">
        <v>6</v>
      </c>
      <c r="Q23" s="10">
        <v>7</v>
      </c>
      <c r="R23" s="10">
        <v>10</v>
      </c>
      <c r="S23" s="10">
        <v>8</v>
      </c>
      <c r="T23" s="2">
        <f t="shared" si="0"/>
        <v>7.2142857142857144</v>
      </c>
      <c r="U23" s="33"/>
      <c r="V23" s="40"/>
    </row>
    <row r="24" spans="1:23" ht="15" customHeight="1" x14ac:dyDescent="0.25">
      <c r="A24" s="38"/>
      <c r="B24" s="33"/>
      <c r="C24" s="8" t="s">
        <v>14</v>
      </c>
      <c r="D24" s="8">
        <v>14</v>
      </c>
      <c r="E24" s="9" t="s">
        <v>44</v>
      </c>
      <c r="F24" s="10">
        <v>6</v>
      </c>
      <c r="G24" s="10">
        <v>8</v>
      </c>
      <c r="H24" s="10">
        <v>4</v>
      </c>
      <c r="I24" s="10">
        <v>7</v>
      </c>
      <c r="J24" s="10">
        <v>6</v>
      </c>
      <c r="K24" s="10">
        <v>6</v>
      </c>
      <c r="L24" s="10">
        <v>4</v>
      </c>
      <c r="M24" s="10">
        <v>7</v>
      </c>
      <c r="N24" s="10">
        <v>5</v>
      </c>
      <c r="O24" s="10">
        <v>4</v>
      </c>
      <c r="P24" s="10">
        <v>6</v>
      </c>
      <c r="Q24" s="10">
        <v>3</v>
      </c>
      <c r="R24" s="10">
        <v>6</v>
      </c>
      <c r="S24" s="10">
        <v>6</v>
      </c>
      <c r="T24" s="2">
        <f>AVERAGE(F24:S24)</f>
        <v>5.5714285714285712</v>
      </c>
      <c r="U24" s="33"/>
      <c r="V24" s="40"/>
    </row>
    <row r="25" spans="1:23" ht="15" customHeight="1" x14ac:dyDescent="0.25">
      <c r="A25" s="38"/>
      <c r="B25" s="33"/>
      <c r="C25" s="8" t="s">
        <v>13</v>
      </c>
      <c r="D25" s="8">
        <v>15</v>
      </c>
      <c r="E25" s="9" t="s">
        <v>45</v>
      </c>
      <c r="F25" s="10">
        <v>6</v>
      </c>
      <c r="G25" s="10">
        <v>9</v>
      </c>
      <c r="H25" s="10">
        <v>8</v>
      </c>
      <c r="I25" s="10">
        <v>9</v>
      </c>
      <c r="J25" s="10">
        <v>8</v>
      </c>
      <c r="K25" s="10">
        <v>9</v>
      </c>
      <c r="L25" s="10">
        <v>8</v>
      </c>
      <c r="M25" s="10">
        <v>7</v>
      </c>
      <c r="N25" s="10">
        <v>8</v>
      </c>
      <c r="O25" s="10">
        <v>7</v>
      </c>
      <c r="P25" s="10">
        <v>9</v>
      </c>
      <c r="Q25" s="10">
        <v>6</v>
      </c>
      <c r="R25" s="10">
        <v>10</v>
      </c>
      <c r="S25" s="10">
        <v>7</v>
      </c>
      <c r="T25" s="2">
        <f t="shared" si="0"/>
        <v>7.9285714285714288</v>
      </c>
      <c r="U25" s="33"/>
      <c r="V25" s="40"/>
    </row>
    <row r="26" spans="1:23" ht="15" customHeight="1" x14ac:dyDescent="0.25">
      <c r="A26" s="38"/>
      <c r="B26" s="33"/>
      <c r="C26" s="8" t="s">
        <v>14</v>
      </c>
      <c r="D26" s="8">
        <v>16</v>
      </c>
      <c r="E26" s="9" t="s">
        <v>46</v>
      </c>
      <c r="F26" s="10">
        <v>9</v>
      </c>
      <c r="G26" s="10">
        <v>5</v>
      </c>
      <c r="H26" s="10">
        <v>8</v>
      </c>
      <c r="I26" s="10">
        <v>9</v>
      </c>
      <c r="J26" s="10">
        <v>7</v>
      </c>
      <c r="K26" s="10">
        <v>8</v>
      </c>
      <c r="L26" s="10">
        <v>9</v>
      </c>
      <c r="M26" s="10">
        <v>5</v>
      </c>
      <c r="N26" s="10">
        <v>6</v>
      </c>
      <c r="O26" s="10">
        <v>9</v>
      </c>
      <c r="P26" s="10">
        <v>7</v>
      </c>
      <c r="Q26" s="10">
        <v>5</v>
      </c>
      <c r="R26" s="10">
        <v>10</v>
      </c>
      <c r="S26" s="10">
        <v>6</v>
      </c>
      <c r="T26" s="2">
        <f t="shared" si="0"/>
        <v>7.3571428571428568</v>
      </c>
      <c r="U26" s="33"/>
      <c r="V26" s="40"/>
    </row>
    <row r="27" spans="1:23" ht="15" customHeight="1" x14ac:dyDescent="0.25">
      <c r="A27" s="38"/>
      <c r="B27" s="33"/>
      <c r="C27" s="20" t="s">
        <v>14</v>
      </c>
      <c r="D27" s="20">
        <v>17</v>
      </c>
      <c r="E27" s="9" t="s">
        <v>47</v>
      </c>
      <c r="F27" s="10">
        <v>6</v>
      </c>
      <c r="G27" s="10">
        <v>6</v>
      </c>
      <c r="H27" s="10">
        <v>8</v>
      </c>
      <c r="I27" s="10">
        <v>6</v>
      </c>
      <c r="J27" s="10">
        <v>7</v>
      </c>
      <c r="K27" s="10">
        <v>7</v>
      </c>
      <c r="L27" s="10">
        <v>5</v>
      </c>
      <c r="M27" s="10">
        <v>5</v>
      </c>
      <c r="N27" s="10">
        <v>6</v>
      </c>
      <c r="O27" s="10">
        <v>8</v>
      </c>
      <c r="P27" s="10">
        <v>6</v>
      </c>
      <c r="Q27" s="10">
        <v>4</v>
      </c>
      <c r="R27" s="10">
        <v>6</v>
      </c>
      <c r="S27" s="10">
        <v>6</v>
      </c>
      <c r="T27" s="2">
        <f t="shared" ref="T27" si="1">IF(COUNTIF(F27:S27,"=*")&gt;0,"-",IF(COUNTIF(F27:S27,"&lt;4")&gt;0,"-",(IFERROR(AVERAGE(F27:S27),""))))</f>
        <v>6.1428571428571432</v>
      </c>
      <c r="U27" s="33"/>
      <c r="V27" s="40"/>
    </row>
    <row r="28" spans="1:23" ht="15" customHeight="1" x14ac:dyDescent="0.25">
      <c r="A28" s="38"/>
      <c r="B28" s="33"/>
      <c r="C28" s="11"/>
      <c r="D28" s="11"/>
      <c r="E28" s="9" t="s">
        <v>15</v>
      </c>
      <c r="F28" s="3">
        <f>IF(SUM(F11:F27)=0,"",SUM(F11:F27)/D27)</f>
        <v>6.7058823529411766</v>
      </c>
      <c r="G28" s="3">
        <f>IF(SUM(G11:G27)=0,"",SUM(G11:G27)/D27)</f>
        <v>7.6470588235294121</v>
      </c>
      <c r="H28" s="3">
        <f>IF(SUM(H11:H27)=0,"",SUM(H11:H27)/D27)</f>
        <v>7.9411764705882355</v>
      </c>
      <c r="I28" s="3">
        <f>IF(SUM(I11:I27)=0,"",SUM(I11:I27)/D27)</f>
        <v>8.117647058823529</v>
      </c>
      <c r="J28" s="3">
        <f>IF(SUM(J11:J27)=0,"",SUM(J11:J27)/D27)</f>
        <v>7.2941176470588234</v>
      </c>
      <c r="K28" s="3">
        <f>IF(SUM(K11:K27)=0,"",SUM(K11:K27)/D27)</f>
        <v>8.1764705882352935</v>
      </c>
      <c r="L28" s="3">
        <f>IF(SUM(L11:L27)=0,"",SUM(L11:L27)/D27)</f>
        <v>6.2352941176470589</v>
      </c>
      <c r="M28" s="3">
        <f>IF(SUM(M11:M27)=0,"",SUM(M11:M27)/D27)</f>
        <v>5.9411764705882355</v>
      </c>
      <c r="N28" s="3">
        <f>IF(SUM(N11:N27)=0,"",SUM(N11:N27)/D27)</f>
        <v>6.4117647058823533</v>
      </c>
      <c r="O28" s="3">
        <f>IF(SUM(O11:O27)=0,"",SUM(O11:O27)/D27)</f>
        <v>6.5294117647058822</v>
      </c>
      <c r="P28" s="3">
        <f>IF(SUM(P11:P27)=0,"",SUM(P11:P27)/D27)</f>
        <v>6.4117647058823533</v>
      </c>
      <c r="Q28" s="3">
        <f>IF(SUM(Q11:Q27)=0,"",SUM(Q11:Q27)/D27)</f>
        <v>5.1764705882352944</v>
      </c>
      <c r="R28" s="3">
        <f>IF(SUM(R11:R27)=0,"",SUM(R11:R27)/D27)</f>
        <v>7.7647058823529411</v>
      </c>
      <c r="S28" s="3">
        <f>IF(SUM(S11:S27)=0,"",SUM(S11:S27)/D27)</f>
        <v>6.1764705882352944</v>
      </c>
      <c r="T28" s="2">
        <f>IFERROR(AVERAGE(F28:S28),"")</f>
        <v>6.8949579831932768</v>
      </c>
      <c r="U28" s="33"/>
      <c r="V28" s="40"/>
    </row>
    <row r="29" spans="1:23" ht="15" customHeight="1" x14ac:dyDescent="0.25">
      <c r="A29" s="38"/>
      <c r="B29" s="33"/>
      <c r="C29" s="11"/>
      <c r="D29" s="11"/>
      <c r="E29" s="9" t="s">
        <v>16</v>
      </c>
      <c r="F29" s="12">
        <f>IF(SUM(F11:F27)=0,"",IF(COUNTIF(F11:F27,"&gt;=4")=0,0,COUNTIF(F11:F27,"&gt;=4")/D27*100))</f>
        <v>100</v>
      </c>
      <c r="G29" s="12">
        <f>IF(SUM(G11:G27)=0,"",IF(COUNTIF(G11:G27,"&gt;=4")=0,0,COUNTIF(G11:G27,"&gt;=4")/D27*100))</f>
        <v>100</v>
      </c>
      <c r="H29" s="12">
        <f>IF(SUM(H11:H27)=0,"",IF(COUNTIF(H11:H27,"&gt;=4")=0,0,COUNTIF(H11:H27,"&gt;=4")/D27*100))</f>
        <v>100</v>
      </c>
      <c r="I29" s="12">
        <f>IF(SUM(I11:I27)=0,"",IF(COUNTIF(I11:I27,"&gt;=4")=0,0,COUNTIF(I11:I27,"&gt;=4")/D27*100))</f>
        <v>100</v>
      </c>
      <c r="J29" s="12">
        <f>IF(SUM(J11:J27)=0,"",IF(COUNTIF(J11:J27,"&gt;=4")=0,0,COUNTIF(J11:J27,"&gt;=4")/D27*100))</f>
        <v>100</v>
      </c>
      <c r="K29" s="12">
        <f>IF(SUM(K11:K27)=0,"",IF(COUNTIF(K11:K27,"&gt;=4")=0,0,COUNTIF(K11:K27,"&gt;=4")/D27*100))</f>
        <v>100</v>
      </c>
      <c r="L29" s="12">
        <f>IF(SUM(L11:L27)=0,"",IF(COUNTIF(L11:L27,"&gt;=4")=0,0,COUNTIF(L11:L27,"&gt;=4")/D27*100))</f>
        <v>88.235294117647058</v>
      </c>
      <c r="M29" s="12">
        <f>IF(SUM(M11:M27)=0,"",IF(COUNTIF(M11:M27,"&gt;=4")=0,0,COUNTIF(M11:M27,"&gt;=4")/D27*100))</f>
        <v>94.117647058823522</v>
      </c>
      <c r="N29" s="12">
        <f>IF(SUM(N11:N27)=0,"",IF(COUNTIF(N11:N27,"&gt;=4")=0,0,COUNTIF(N11:N27,"&gt;=4")/D27*100))</f>
        <v>100</v>
      </c>
      <c r="O29" s="12">
        <f>IF(SUM(O11:O27)=0,"",IF(COUNTIF(O11:O27,"&gt;=4")=0,0,COUNTIF(O11:O27,"&gt;=4")/D27*100))</f>
        <v>100</v>
      </c>
      <c r="P29" s="12">
        <f>IF(SUM(P11:P27)=0,"",IF(COUNTIF(P11:P27,"&gt;=4")=0,0,COUNTIF(P11:P27,"&gt;=4")/D27*100))</f>
        <v>100</v>
      </c>
      <c r="Q29" s="12">
        <f>IF(SUM(Q11:Q27)=0,"",IF(COUNTIF(Q11:Q27,"&gt;=4")=0,0,COUNTIF(Q11:Q27,"&gt;=4")/D27*100))</f>
        <v>82.35294117647058</v>
      </c>
      <c r="R29" s="12">
        <f>IF(SUM(R11:R27)=0,"",IF(COUNTIF(R11:R27,"&gt;=4")=0,0,COUNTIF(R11:R27,"&gt;=4")/D27*100))</f>
        <v>88.235294117647058</v>
      </c>
      <c r="S29" s="12">
        <f>IF(SUM(S11:S27)=0,"",IF(COUNTIF(S11:S27,"&gt;=4")=0,0,COUNTIF(S11:S27,"&gt;=4")/D27*100))</f>
        <v>100</v>
      </c>
      <c r="T29" s="13"/>
      <c r="U29" s="33"/>
      <c r="V29" s="40"/>
      <c r="W29" s="14"/>
    </row>
    <row r="30" spans="1:23" ht="15" customHeight="1" x14ac:dyDescent="0.25">
      <c r="A30" s="38"/>
      <c r="B30" s="33"/>
      <c r="C30" s="11"/>
      <c r="D30" s="11"/>
      <c r="E30" s="9" t="s">
        <v>17</v>
      </c>
      <c r="F30" s="12">
        <f>IF(SUM(F11:F27)=0,"",IF(COUNTIF(F11:F27,"&gt;=7")=0,0,COUNTIF(F11:F27,"&gt;=7")/D27*100))</f>
        <v>47.058823529411761</v>
      </c>
      <c r="G30" s="12">
        <f>IF(SUM(G11:G27)=0,"",IF(COUNTIF(G11:G27,"&gt;=7")=0,0,COUNTIF(G11:G27,"&gt;=7")/D27*100))</f>
        <v>82.35294117647058</v>
      </c>
      <c r="H30" s="12">
        <f>IF(SUM(H11:H27)=0,"",IF(COUNTIF(H11:H27,"&gt;=7")=0,0,COUNTIF(H11:H27,"&gt;=7")/D27*100))</f>
        <v>82.35294117647058</v>
      </c>
      <c r="I30" s="12">
        <f>IF(SUM(I11:I27)=0,"",IF(COUNTIF(I11:I27,"&gt;=7")=0,0,COUNTIF(I11:I27,"&gt;=7")/D27*100))</f>
        <v>88.235294117647058</v>
      </c>
      <c r="J30" s="12">
        <f>IF(SUM(J11:J27)=0,"",IF(COUNTIF(J11:J27,"&gt;=7")=0,0,COUNTIF(J11:J27,"&gt;=7")/D27*100))</f>
        <v>76.470588235294116</v>
      </c>
      <c r="K30" s="12">
        <f>IF(SUM(K11:K27)=0,"",IF(COUNTIF(K11:K27,"&gt;=7")=0,0,COUNTIF(K11:K27,"&gt;=7")/D27*100))</f>
        <v>88.235294117647058</v>
      </c>
      <c r="L30" s="12">
        <f>IF(SUM(L11:L27)=0,"",IF(COUNTIF(L11:L27,"&gt;=7")=0,0,COUNTIF(L11:L27,"&gt;=7")/D27*100))</f>
        <v>47.058823529411761</v>
      </c>
      <c r="M30" s="12">
        <f>IF(SUM(M11:M27)=0,"",IF(COUNTIF(M11:M27,"&gt;=7")=0,0,COUNTIF(M11:M27,"&gt;=7")/D27*100))</f>
        <v>47.058823529411761</v>
      </c>
      <c r="N30" s="12">
        <f>IF(SUM(N11:N27)=0,"",IF(COUNTIF(N11:N27,"&gt;=7")=0,0,COUNTIF(N11:N27,"&gt;=7")/D27*100))</f>
        <v>29.411764705882355</v>
      </c>
      <c r="O30" s="12">
        <f>IF(SUM(O11:O27)=0,"",IF(COUNTIF(O11:O27,"&gt;=7")=0,0,COUNTIF(O11:O27,"&gt;=7")/D27*100))</f>
        <v>58.82352941176471</v>
      </c>
      <c r="P30" s="12">
        <f>IF(SUM(P11:P27)=0,"",IF(COUNTIF(P11:P27,"&gt;=7")=0,0,COUNTIF(P11:P27,"&gt;=7")/D27*100))</f>
        <v>47.058823529411761</v>
      </c>
      <c r="Q30" s="12">
        <f>IF(SUM(Q11:Q27)=0,"",IF(COUNTIF(Q11:Q27,"&gt;=7")=0,0,COUNTIF(Q11:Q27,"&gt;=7")/D27*100))</f>
        <v>23.52941176470588</v>
      </c>
      <c r="R30" s="12">
        <f>IF(SUM(R11:R27)=0,"",IF(COUNTIF(R11:R27,"&gt;=7")=0,0,COUNTIF(R11:R27,"&gt;=7")/D27*100))</f>
        <v>70.588235294117652</v>
      </c>
      <c r="S30" s="12">
        <f>IF(SUM(S11:S27)=0,"",IF(COUNTIF(S11:S27,"&gt;=7")=0,0,COUNTIF(S11:S27,"&gt;=7")/D27*100))</f>
        <v>17.647058823529413</v>
      </c>
      <c r="T30" s="15"/>
      <c r="U30" s="33"/>
      <c r="V30" s="40"/>
      <c r="W30" s="14"/>
    </row>
    <row r="31" spans="1:23" ht="15" customHeight="1" x14ac:dyDescent="0.25">
      <c r="A31" s="38"/>
      <c r="B31" s="33"/>
      <c r="C31" s="11"/>
      <c r="D31" s="11"/>
      <c r="E31" s="9" t="s">
        <v>18</v>
      </c>
      <c r="F31" s="3">
        <f>IFERROR(AVERAGE(F29:S29),"")</f>
        <v>96.638655462184872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5"/>
      <c r="U31" s="33"/>
      <c r="V31" s="40"/>
      <c r="W31" s="14"/>
    </row>
    <row r="32" spans="1:23" ht="15" customHeight="1" x14ac:dyDescent="0.25">
      <c r="A32" s="38"/>
      <c r="B32" s="33"/>
      <c r="C32" s="11"/>
      <c r="D32" s="11"/>
      <c r="E32" s="9" t="s">
        <v>19</v>
      </c>
      <c r="F32" s="3">
        <f>IFERROR(AVERAGE(F30:S30),"")</f>
        <v>57.563025210084035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5"/>
      <c r="U32" s="33"/>
      <c r="V32" s="40"/>
      <c r="W32" s="14"/>
    </row>
    <row r="33" spans="1:23" ht="15" customHeight="1" x14ac:dyDescent="0.25">
      <c r="A33" s="38"/>
      <c r="B33" s="33"/>
      <c r="C33" s="11"/>
      <c r="D33" s="11"/>
      <c r="E33" s="9" t="s">
        <v>20</v>
      </c>
      <c r="F33" s="16">
        <f>IF(COUNTIF(C11:C27,"=Б")=0,IF(COUNTIF(C11:C27,"=К")=0,"",0),COUNTIF(C11:C27,"=Б"))</f>
        <v>10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5"/>
      <c r="U33" s="33"/>
      <c r="V33" s="40"/>
      <c r="W33" s="14"/>
    </row>
    <row r="34" spans="1:23" ht="15" customHeight="1" x14ac:dyDescent="0.25">
      <c r="A34" s="38"/>
      <c r="B34" s="33"/>
      <c r="C34" s="11"/>
      <c r="D34" s="11"/>
      <c r="E34" s="9" t="s">
        <v>21</v>
      </c>
      <c r="F34" s="16">
        <f>IF(COUNTIF(C11:C27,"=К")=0,IF(COUNTIF(C11:C27,"=Б")=0,"",0),COUNTIF(C11:C27,"=К"))</f>
        <v>7</v>
      </c>
      <c r="G34" s="11"/>
      <c r="H34" s="17" t="s">
        <v>22</v>
      </c>
      <c r="I34" s="11"/>
      <c r="J34" s="11"/>
      <c r="K34" s="11"/>
      <c r="L34" s="11"/>
      <c r="M34" s="11"/>
      <c r="N34" s="11"/>
      <c r="O34" s="1" t="s">
        <v>67</v>
      </c>
      <c r="P34" s="11"/>
      <c r="Q34" s="11"/>
      <c r="R34" s="11"/>
      <c r="S34" s="11"/>
      <c r="T34" s="11"/>
      <c r="U34" s="33"/>
      <c r="V34" s="40"/>
    </row>
    <row r="35" spans="1:23" ht="15" customHeight="1" x14ac:dyDescent="0.25">
      <c r="A35" s="38"/>
      <c r="B35" s="33"/>
      <c r="C35" s="11"/>
      <c r="D35" s="11"/>
      <c r="E35" s="9" t="s">
        <v>23</v>
      </c>
      <c r="F35" s="16">
        <v>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33"/>
      <c r="V35" s="40"/>
    </row>
    <row r="36" spans="1:23" ht="15" customHeight="1" x14ac:dyDescent="0.25">
      <c r="A36" s="38"/>
      <c r="B36" s="33"/>
      <c r="C36" s="11"/>
      <c r="D36" s="11"/>
      <c r="E36" s="9" t="s">
        <v>24</v>
      </c>
      <c r="F36" s="16">
        <v>4</v>
      </c>
      <c r="G36" s="11"/>
      <c r="H36" s="17" t="s">
        <v>79</v>
      </c>
      <c r="I36" s="11"/>
      <c r="J36" s="11"/>
      <c r="K36" s="11"/>
      <c r="L36" s="11"/>
      <c r="M36" s="11"/>
      <c r="N36" s="11"/>
      <c r="O36" s="17" t="s">
        <v>25</v>
      </c>
      <c r="P36" s="11"/>
      <c r="Q36" s="11"/>
      <c r="R36" s="11"/>
      <c r="S36" s="11"/>
      <c r="T36" s="11"/>
      <c r="U36" s="33"/>
      <c r="V36" s="40"/>
    </row>
    <row r="37" spans="1:23" ht="12" customHeight="1" thickBot="1" x14ac:dyDescent="0.3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40"/>
    </row>
    <row r="38" spans="1:23" ht="12" customHeight="1" x14ac:dyDescent="0.25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</sheetData>
  <sheetProtection selectLockedCells="1"/>
  <sortState ref="E11:E27">
    <sortCondition ref="E11"/>
  </sortState>
  <mergeCells count="18">
    <mergeCell ref="B1:U1"/>
    <mergeCell ref="A2:A37"/>
    <mergeCell ref="B2:U2"/>
    <mergeCell ref="V2:V37"/>
    <mergeCell ref="B3:B36"/>
    <mergeCell ref="C3:T3"/>
    <mergeCell ref="U3:U36"/>
    <mergeCell ref="C4:T4"/>
    <mergeCell ref="C5:T5"/>
    <mergeCell ref="C6:T6"/>
    <mergeCell ref="B37:U37"/>
    <mergeCell ref="B38:U38"/>
    <mergeCell ref="C7:T7"/>
    <mergeCell ref="C8:T8"/>
    <mergeCell ref="C9:C10"/>
    <mergeCell ref="D9:D10"/>
    <mergeCell ref="E9:E10"/>
    <mergeCell ref="F9:T9"/>
  </mergeCells>
  <conditionalFormatting sqref="T11:T26">
    <cfRule type="expression" dxfId="33" priority="4">
      <formula>$U$27&lt;&gt;""</formula>
    </cfRule>
  </conditionalFormatting>
  <conditionalFormatting sqref="C11:S11 F12:S27">
    <cfRule type="expression" dxfId="32" priority="5">
      <formula>$U$11&lt;&gt;""</formula>
    </cfRule>
  </conditionalFormatting>
  <conditionalFormatting sqref="C12:E12">
    <cfRule type="expression" dxfId="31" priority="6">
      <formula>$U$12&lt;&gt;""</formula>
    </cfRule>
  </conditionalFormatting>
  <conditionalFormatting sqref="C13:E13">
    <cfRule type="expression" dxfId="30" priority="7">
      <formula>$U$13&lt;&gt;""</formula>
    </cfRule>
  </conditionalFormatting>
  <conditionalFormatting sqref="C14:E14">
    <cfRule type="expression" dxfId="29" priority="8">
      <formula>$U$14&lt;&gt;""</formula>
    </cfRule>
  </conditionalFormatting>
  <conditionalFormatting sqref="C15:E15">
    <cfRule type="expression" dxfId="28" priority="9">
      <formula>$U$15&lt;&gt;""</formula>
    </cfRule>
  </conditionalFormatting>
  <conditionalFormatting sqref="C16:E16">
    <cfRule type="expression" dxfId="27" priority="10">
      <formula>$U$16&lt;&gt;""</formula>
    </cfRule>
  </conditionalFormatting>
  <conditionalFormatting sqref="C17:E17">
    <cfRule type="expression" dxfId="26" priority="11">
      <formula>$U$17&lt;&gt;""</formula>
    </cfRule>
  </conditionalFormatting>
  <conditionalFormatting sqref="C18:E18">
    <cfRule type="expression" dxfId="25" priority="12">
      <formula>$U$18&lt;&gt;""</formula>
    </cfRule>
  </conditionalFormatting>
  <conditionalFormatting sqref="C19:E19">
    <cfRule type="expression" dxfId="24" priority="13">
      <formula>$U$19&lt;&gt;""</formula>
    </cfRule>
  </conditionalFormatting>
  <conditionalFormatting sqref="C20:E20">
    <cfRule type="expression" dxfId="23" priority="14">
      <formula>$U$20&lt;&gt;""</formula>
    </cfRule>
  </conditionalFormatting>
  <conditionalFormatting sqref="C21:E21">
    <cfRule type="expression" dxfId="22" priority="15">
      <formula>$U$21&lt;&gt;""</formula>
    </cfRule>
  </conditionalFormatting>
  <conditionalFormatting sqref="C22:E22">
    <cfRule type="expression" dxfId="21" priority="16">
      <formula>$U$22&lt;&gt;""</formula>
    </cfRule>
  </conditionalFormatting>
  <conditionalFormatting sqref="C23:E23">
    <cfRule type="expression" dxfId="20" priority="17">
      <formula>$U$23&lt;&gt;""</formula>
    </cfRule>
  </conditionalFormatting>
  <conditionalFormatting sqref="C24:E24">
    <cfRule type="expression" dxfId="19" priority="18">
      <formula>$U$24&lt;&gt;""</formula>
    </cfRule>
  </conditionalFormatting>
  <conditionalFormatting sqref="C25:E25">
    <cfRule type="expression" dxfId="18" priority="19">
      <formula>$U$25&lt;&gt;""</formula>
    </cfRule>
  </conditionalFormatting>
  <conditionalFormatting sqref="C26:E26">
    <cfRule type="expression" dxfId="17" priority="20">
      <formula>$U$26&lt;&gt;""</formula>
    </cfRule>
  </conditionalFormatting>
  <conditionalFormatting sqref="T27">
    <cfRule type="expression" dxfId="16" priority="2">
      <formula>$U$27&lt;&gt;""</formula>
    </cfRule>
  </conditionalFormatting>
  <conditionalFormatting sqref="C27:E27">
    <cfRule type="expression" dxfId="15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5"/>
  <sheetViews>
    <sheetView tabSelected="1" topLeftCell="A4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35.1" customHeight="1" x14ac:dyDescent="0.3">
      <c r="A3" s="38"/>
      <c r="B3" s="33"/>
      <c r="C3" s="41" t="s">
        <v>78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76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2" t="s">
        <v>68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0"/>
    </row>
    <row r="7" spans="1:23" s="5" customFormat="1" ht="15" customHeight="1" x14ac:dyDescent="0.25">
      <c r="A7" s="38"/>
      <c r="B7" s="33"/>
      <c r="C7" s="32" t="s">
        <v>27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0"/>
    </row>
    <row r="8" spans="1:23" s="5" customFormat="1" ht="15" customHeight="1" x14ac:dyDescent="0.25">
      <c r="A8" s="38"/>
      <c r="B8" s="33"/>
      <c r="C8" s="33" t="s">
        <v>69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30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8" t="s">
        <v>4</v>
      </c>
      <c r="G10" s="18" t="s">
        <v>5</v>
      </c>
      <c r="H10" s="18" t="s">
        <v>6</v>
      </c>
      <c r="I10" s="18" t="s">
        <v>28</v>
      </c>
      <c r="J10" s="18" t="s">
        <v>29</v>
      </c>
      <c r="K10" s="18" t="s">
        <v>71</v>
      </c>
      <c r="L10" s="18" t="s">
        <v>7</v>
      </c>
      <c r="M10" s="18" t="s">
        <v>8</v>
      </c>
      <c r="N10" s="18" t="s">
        <v>72</v>
      </c>
      <c r="O10" s="18" t="s">
        <v>73</v>
      </c>
      <c r="P10" s="18" t="s">
        <v>74</v>
      </c>
      <c r="Q10" s="18" t="s">
        <v>9</v>
      </c>
      <c r="R10" s="18" t="s">
        <v>10</v>
      </c>
      <c r="S10" s="18" t="s">
        <v>11</v>
      </c>
      <c r="T10" s="7" t="s">
        <v>12</v>
      </c>
      <c r="U10" s="7" t="s">
        <v>77</v>
      </c>
      <c r="V10" s="33"/>
      <c r="W10" s="40"/>
    </row>
    <row r="11" spans="1:23" ht="15" customHeight="1" x14ac:dyDescent="0.25">
      <c r="A11" s="38"/>
      <c r="B11" s="33"/>
      <c r="C11" s="26" t="s">
        <v>14</v>
      </c>
      <c r="D11" s="26">
        <v>1</v>
      </c>
      <c r="E11" s="27" t="s">
        <v>36</v>
      </c>
      <c r="F11" s="28">
        <v>9</v>
      </c>
      <c r="G11" s="28">
        <v>9</v>
      </c>
      <c r="H11" s="28">
        <v>10</v>
      </c>
      <c r="I11" s="28">
        <v>10</v>
      </c>
      <c r="J11" s="28">
        <v>10</v>
      </c>
      <c r="K11" s="28">
        <v>8</v>
      </c>
      <c r="L11" s="28">
        <v>9</v>
      </c>
      <c r="M11" s="28">
        <v>8</v>
      </c>
      <c r="N11" s="28">
        <v>10</v>
      </c>
      <c r="O11" s="28">
        <v>8</v>
      </c>
      <c r="P11" s="28">
        <v>8</v>
      </c>
      <c r="Q11" s="28">
        <v>9</v>
      </c>
      <c r="R11" s="28">
        <v>10</v>
      </c>
      <c r="S11" s="28">
        <v>8</v>
      </c>
      <c r="T11" s="29">
        <f t="shared" ref="T11:T19" si="0">IF(COUNTIF(F11:S11,"=*")&gt;0,"-",IF(COUNTIF(F11:S11,"&lt;4")&gt;0,"-",(IFERROR(AVERAGE(F11:S11),""))))</f>
        <v>9</v>
      </c>
      <c r="U11" s="29">
        <f t="shared" ref="U11:U19" si="1">T11/12*90</f>
        <v>67.5</v>
      </c>
      <c r="V11" s="33"/>
      <c r="W11" s="40"/>
    </row>
    <row r="12" spans="1:23" ht="15" customHeight="1" x14ac:dyDescent="0.25">
      <c r="A12" s="38"/>
      <c r="B12" s="33"/>
      <c r="C12" s="26" t="s">
        <v>14</v>
      </c>
      <c r="D12" s="26">
        <v>2</v>
      </c>
      <c r="E12" s="27" t="s">
        <v>38</v>
      </c>
      <c r="F12" s="28">
        <v>7</v>
      </c>
      <c r="G12" s="28">
        <v>8</v>
      </c>
      <c r="H12" s="28">
        <v>9</v>
      </c>
      <c r="I12" s="28">
        <v>10</v>
      </c>
      <c r="J12" s="28">
        <v>8</v>
      </c>
      <c r="K12" s="28">
        <v>10</v>
      </c>
      <c r="L12" s="28">
        <v>9</v>
      </c>
      <c r="M12" s="28">
        <v>9</v>
      </c>
      <c r="N12" s="28">
        <v>9</v>
      </c>
      <c r="O12" s="28">
        <v>9</v>
      </c>
      <c r="P12" s="28">
        <v>7</v>
      </c>
      <c r="Q12" s="28">
        <v>7</v>
      </c>
      <c r="R12" s="28">
        <v>10</v>
      </c>
      <c r="S12" s="28">
        <v>6</v>
      </c>
      <c r="T12" s="29">
        <f t="shared" si="0"/>
        <v>8.4285714285714288</v>
      </c>
      <c r="U12" s="29">
        <f t="shared" si="1"/>
        <v>63.214285714285722</v>
      </c>
      <c r="V12" s="33"/>
      <c r="W12" s="40"/>
    </row>
    <row r="13" spans="1:23" ht="15" customHeight="1" x14ac:dyDescent="0.25">
      <c r="A13" s="38"/>
      <c r="B13" s="33"/>
      <c r="C13" s="26" t="s">
        <v>14</v>
      </c>
      <c r="D13" s="26">
        <v>3</v>
      </c>
      <c r="E13" s="27" t="s">
        <v>40</v>
      </c>
      <c r="F13" s="28">
        <v>6</v>
      </c>
      <c r="G13" s="28">
        <v>10</v>
      </c>
      <c r="H13" s="28">
        <v>10</v>
      </c>
      <c r="I13" s="28">
        <v>7</v>
      </c>
      <c r="J13" s="28">
        <v>9</v>
      </c>
      <c r="K13" s="28">
        <v>10</v>
      </c>
      <c r="L13" s="28">
        <v>9</v>
      </c>
      <c r="M13" s="28">
        <v>7</v>
      </c>
      <c r="N13" s="28">
        <v>6</v>
      </c>
      <c r="O13" s="28">
        <v>7</v>
      </c>
      <c r="P13" s="28">
        <v>8</v>
      </c>
      <c r="Q13" s="28">
        <v>6</v>
      </c>
      <c r="R13" s="28">
        <v>8</v>
      </c>
      <c r="S13" s="28">
        <v>5</v>
      </c>
      <c r="T13" s="29">
        <f t="shared" si="0"/>
        <v>7.7142857142857144</v>
      </c>
      <c r="U13" s="29">
        <f t="shared" si="1"/>
        <v>57.857142857142861</v>
      </c>
      <c r="V13" s="33"/>
      <c r="W13" s="40"/>
    </row>
    <row r="14" spans="1:23" ht="15" customHeight="1" x14ac:dyDescent="0.25">
      <c r="A14" s="38"/>
      <c r="B14" s="33"/>
      <c r="C14" s="26" t="s">
        <v>14</v>
      </c>
      <c r="D14" s="26">
        <v>4</v>
      </c>
      <c r="E14" s="27" t="s">
        <v>34</v>
      </c>
      <c r="F14" s="28">
        <v>7</v>
      </c>
      <c r="G14" s="28">
        <v>8</v>
      </c>
      <c r="H14" s="28">
        <v>9</v>
      </c>
      <c r="I14" s="28">
        <v>9</v>
      </c>
      <c r="J14" s="28">
        <v>8</v>
      </c>
      <c r="K14" s="28">
        <v>9</v>
      </c>
      <c r="L14" s="28">
        <v>6</v>
      </c>
      <c r="M14" s="28">
        <v>6</v>
      </c>
      <c r="N14" s="28">
        <v>6</v>
      </c>
      <c r="O14" s="28">
        <v>8</v>
      </c>
      <c r="P14" s="28">
        <v>7</v>
      </c>
      <c r="Q14" s="28">
        <v>6</v>
      </c>
      <c r="R14" s="28">
        <v>9</v>
      </c>
      <c r="S14" s="28">
        <v>6</v>
      </c>
      <c r="T14" s="29">
        <f t="shared" si="0"/>
        <v>7.4285714285714288</v>
      </c>
      <c r="U14" s="29">
        <f t="shared" si="1"/>
        <v>55.714285714285715</v>
      </c>
      <c r="V14" s="33"/>
      <c r="W14" s="40"/>
    </row>
    <row r="15" spans="1:23" ht="15" customHeight="1" x14ac:dyDescent="0.25">
      <c r="A15" s="38"/>
      <c r="B15" s="33"/>
      <c r="C15" s="24" t="s">
        <v>14</v>
      </c>
      <c r="D15" s="24">
        <v>5</v>
      </c>
      <c r="E15" s="9" t="s">
        <v>46</v>
      </c>
      <c r="F15" s="10">
        <v>9</v>
      </c>
      <c r="G15" s="10">
        <v>5</v>
      </c>
      <c r="H15" s="10">
        <v>8</v>
      </c>
      <c r="I15" s="10">
        <v>9</v>
      </c>
      <c r="J15" s="10">
        <v>7</v>
      </c>
      <c r="K15" s="10">
        <v>8</v>
      </c>
      <c r="L15" s="10">
        <v>9</v>
      </c>
      <c r="M15" s="10">
        <v>5</v>
      </c>
      <c r="N15" s="10">
        <v>6</v>
      </c>
      <c r="O15" s="10">
        <v>9</v>
      </c>
      <c r="P15" s="10">
        <v>7</v>
      </c>
      <c r="Q15" s="10">
        <v>5</v>
      </c>
      <c r="R15" s="10">
        <v>10</v>
      </c>
      <c r="S15" s="10">
        <v>6</v>
      </c>
      <c r="T15" s="25">
        <f t="shared" si="0"/>
        <v>7.3571428571428568</v>
      </c>
      <c r="U15" s="25">
        <f t="shared" si="1"/>
        <v>55.178571428571423</v>
      </c>
      <c r="V15" s="33"/>
      <c r="W15" s="40"/>
    </row>
    <row r="16" spans="1:23" ht="15" customHeight="1" x14ac:dyDescent="0.25">
      <c r="A16" s="38"/>
      <c r="B16" s="33"/>
      <c r="C16" s="30" t="s">
        <v>14</v>
      </c>
      <c r="D16" s="30">
        <v>6</v>
      </c>
      <c r="E16" s="9" t="s">
        <v>31</v>
      </c>
      <c r="F16" s="10">
        <v>8</v>
      </c>
      <c r="G16" s="10">
        <v>8</v>
      </c>
      <c r="H16" s="10">
        <v>9</v>
      </c>
      <c r="I16" s="10">
        <v>8</v>
      </c>
      <c r="J16" s="10">
        <v>6</v>
      </c>
      <c r="K16" s="10">
        <v>8</v>
      </c>
      <c r="L16" s="10">
        <v>8</v>
      </c>
      <c r="M16" s="10">
        <v>7</v>
      </c>
      <c r="N16" s="10">
        <v>6</v>
      </c>
      <c r="O16" s="10">
        <v>6</v>
      </c>
      <c r="P16" s="10">
        <v>5</v>
      </c>
      <c r="Q16" s="10">
        <v>4</v>
      </c>
      <c r="R16" s="10">
        <v>10</v>
      </c>
      <c r="S16" s="10">
        <v>6</v>
      </c>
      <c r="T16" s="25">
        <f t="shared" ref="T16" si="2">IF(COUNTIF(F16:S16,"=*")&gt;0,"-",IF(COUNTIF(F16:S16,"&lt;4")&gt;0,"-",(IFERROR(AVERAGE(F16:S16),""))))</f>
        <v>7.0714285714285712</v>
      </c>
      <c r="U16" s="25">
        <f t="shared" ref="U16" si="3">T16/12*90</f>
        <v>53.035714285714285</v>
      </c>
      <c r="V16" s="33"/>
      <c r="W16" s="40"/>
    </row>
    <row r="17" spans="1:24" ht="15" customHeight="1" x14ac:dyDescent="0.25">
      <c r="A17" s="38"/>
      <c r="B17" s="33"/>
      <c r="C17" s="24" t="s">
        <v>14</v>
      </c>
      <c r="D17" s="24">
        <v>7</v>
      </c>
      <c r="E17" s="9" t="s">
        <v>39</v>
      </c>
      <c r="F17" s="10">
        <v>6</v>
      </c>
      <c r="G17" s="10">
        <v>8</v>
      </c>
      <c r="H17" s="10">
        <v>8</v>
      </c>
      <c r="I17" s="10">
        <v>7</v>
      </c>
      <c r="J17" s="10">
        <v>7</v>
      </c>
      <c r="K17" s="10">
        <v>9</v>
      </c>
      <c r="L17" s="10">
        <v>6</v>
      </c>
      <c r="M17" s="10">
        <v>4</v>
      </c>
      <c r="N17" s="10">
        <v>7</v>
      </c>
      <c r="O17" s="10">
        <v>6</v>
      </c>
      <c r="P17" s="10">
        <v>6</v>
      </c>
      <c r="Q17" s="10">
        <v>5</v>
      </c>
      <c r="R17" s="10">
        <v>10</v>
      </c>
      <c r="S17" s="10">
        <v>6</v>
      </c>
      <c r="T17" s="25">
        <f t="shared" si="0"/>
        <v>6.7857142857142856</v>
      </c>
      <c r="U17" s="25">
        <f t="shared" si="1"/>
        <v>50.892857142857139</v>
      </c>
      <c r="V17" s="33"/>
      <c r="W17" s="40"/>
    </row>
    <row r="18" spans="1:24" ht="15" customHeight="1" x14ac:dyDescent="0.25">
      <c r="A18" s="38"/>
      <c r="B18" s="33"/>
      <c r="C18" s="24" t="s">
        <v>14</v>
      </c>
      <c r="D18" s="24">
        <v>8</v>
      </c>
      <c r="E18" s="9" t="s">
        <v>47</v>
      </c>
      <c r="F18" s="10">
        <v>6</v>
      </c>
      <c r="G18" s="10">
        <v>6</v>
      </c>
      <c r="H18" s="10">
        <v>8</v>
      </c>
      <c r="I18" s="10">
        <v>6</v>
      </c>
      <c r="J18" s="10">
        <v>7</v>
      </c>
      <c r="K18" s="10">
        <v>7</v>
      </c>
      <c r="L18" s="10">
        <v>5</v>
      </c>
      <c r="M18" s="10">
        <v>5</v>
      </c>
      <c r="N18" s="10">
        <v>6</v>
      </c>
      <c r="O18" s="10">
        <v>8</v>
      </c>
      <c r="P18" s="10">
        <v>6</v>
      </c>
      <c r="Q18" s="10">
        <v>4</v>
      </c>
      <c r="R18" s="10">
        <v>6</v>
      </c>
      <c r="S18" s="10">
        <v>6</v>
      </c>
      <c r="T18" s="25">
        <f t="shared" si="0"/>
        <v>6.1428571428571432</v>
      </c>
      <c r="U18" s="25">
        <f t="shared" si="1"/>
        <v>46.071428571428577</v>
      </c>
      <c r="V18" s="33"/>
      <c r="W18" s="40"/>
    </row>
    <row r="19" spans="1:24" ht="15" customHeight="1" x14ac:dyDescent="0.25">
      <c r="A19" s="38"/>
      <c r="B19" s="33"/>
      <c r="C19" s="24" t="s">
        <v>14</v>
      </c>
      <c r="D19" s="24">
        <v>9</v>
      </c>
      <c r="E19" s="9" t="s">
        <v>44</v>
      </c>
      <c r="F19" s="10">
        <v>6</v>
      </c>
      <c r="G19" s="10">
        <v>8</v>
      </c>
      <c r="H19" s="10">
        <v>4</v>
      </c>
      <c r="I19" s="10">
        <v>7</v>
      </c>
      <c r="J19" s="10">
        <v>6</v>
      </c>
      <c r="K19" s="10">
        <v>6</v>
      </c>
      <c r="L19" s="10">
        <v>4</v>
      </c>
      <c r="M19" s="10">
        <v>7</v>
      </c>
      <c r="N19" s="10">
        <v>5</v>
      </c>
      <c r="O19" s="10">
        <v>4</v>
      </c>
      <c r="P19" s="10">
        <v>6</v>
      </c>
      <c r="Q19" s="10">
        <v>9</v>
      </c>
      <c r="R19" s="10">
        <v>6</v>
      </c>
      <c r="S19" s="10">
        <v>6</v>
      </c>
      <c r="T19" s="25">
        <f t="shared" si="0"/>
        <v>6</v>
      </c>
      <c r="U19" s="25">
        <f t="shared" si="1"/>
        <v>45</v>
      </c>
      <c r="V19" s="33"/>
      <c r="W19" s="40"/>
    </row>
    <row r="20" spans="1:24" ht="15" customHeight="1" x14ac:dyDescent="0.25">
      <c r="A20" s="38"/>
      <c r="B20" s="33"/>
      <c r="C20" s="11"/>
      <c r="D20" s="11"/>
      <c r="E20" s="9" t="s">
        <v>20</v>
      </c>
      <c r="F20" s="23">
        <f>'Зведена 172'!F33</f>
        <v>10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2"/>
      <c r="U20" s="22"/>
      <c r="V20" s="33"/>
      <c r="W20" s="40"/>
      <c r="X20" s="14"/>
    </row>
    <row r="21" spans="1:24" ht="15" customHeight="1" x14ac:dyDescent="0.25">
      <c r="A21" s="38"/>
      <c r="B21" s="33"/>
      <c r="C21" s="11"/>
      <c r="D21" s="11"/>
      <c r="E21" s="9" t="s">
        <v>21</v>
      </c>
      <c r="F21" s="23">
        <f>'Зведена 172'!F34</f>
        <v>7</v>
      </c>
      <c r="G21" s="11"/>
      <c r="H21" s="17" t="s">
        <v>22</v>
      </c>
      <c r="I21" s="11"/>
      <c r="J21" s="11"/>
      <c r="K21" s="11"/>
      <c r="L21" s="11"/>
      <c r="M21" s="11"/>
      <c r="N21" s="11"/>
      <c r="O21" s="1" t="s">
        <v>67</v>
      </c>
      <c r="P21" s="11"/>
      <c r="Q21" s="11"/>
      <c r="R21" s="11"/>
      <c r="S21" s="11"/>
      <c r="T21" s="11"/>
      <c r="U21" s="11"/>
      <c r="V21" s="33"/>
      <c r="W21" s="40"/>
    </row>
    <row r="22" spans="1:24" ht="15" customHeight="1" x14ac:dyDescent="0.25">
      <c r="A22" s="38"/>
      <c r="B22" s="33"/>
      <c r="C22" s="11"/>
      <c r="D22" s="11"/>
      <c r="E22" s="9" t="s">
        <v>23</v>
      </c>
      <c r="F22" s="23">
        <f>'Зведена 172'!F35</f>
        <v>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33"/>
      <c r="W22" s="40"/>
    </row>
    <row r="23" spans="1:24" ht="15" customHeight="1" x14ac:dyDescent="0.25">
      <c r="A23" s="38"/>
      <c r="B23" s="33"/>
      <c r="C23" s="11"/>
      <c r="D23" s="11"/>
      <c r="E23" s="9" t="s">
        <v>24</v>
      </c>
      <c r="F23" s="23">
        <f>'Зведена 172'!F36</f>
        <v>4</v>
      </c>
      <c r="G23" s="11"/>
      <c r="H23" s="17" t="s">
        <v>79</v>
      </c>
      <c r="I23" s="11"/>
      <c r="J23" s="11"/>
      <c r="K23" s="11"/>
      <c r="L23" s="11"/>
      <c r="M23" s="11"/>
      <c r="N23" s="11"/>
      <c r="O23" s="17" t="s">
        <v>25</v>
      </c>
      <c r="P23" s="11"/>
      <c r="Q23" s="11"/>
      <c r="R23" s="11"/>
      <c r="S23" s="11"/>
      <c r="T23" s="11"/>
      <c r="U23" s="11"/>
      <c r="V23" s="33"/>
      <c r="W23" s="40"/>
    </row>
    <row r="24" spans="1:24" ht="12" customHeight="1" thickBot="1" x14ac:dyDescent="0.3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40"/>
    </row>
    <row r="25" spans="1:24" ht="12" customHeight="1" x14ac:dyDescent="0.2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</sheetData>
  <sheetProtection selectLockedCells="1"/>
  <sortState ref="C11:U19">
    <sortCondition descending="1" ref="T11:T19"/>
  </sortState>
  <mergeCells count="18">
    <mergeCell ref="B25:V25"/>
    <mergeCell ref="C7:U7"/>
    <mergeCell ref="C8:U8"/>
    <mergeCell ref="C9:C10"/>
    <mergeCell ref="D9:D10"/>
    <mergeCell ref="E9:E10"/>
    <mergeCell ref="F9:U9"/>
    <mergeCell ref="B1:V1"/>
    <mergeCell ref="A2:A24"/>
    <mergeCell ref="B2:V2"/>
    <mergeCell ref="W2:W24"/>
    <mergeCell ref="B3:B23"/>
    <mergeCell ref="C3:U3"/>
    <mergeCell ref="V3:V23"/>
    <mergeCell ref="C4:U4"/>
    <mergeCell ref="C5:U5"/>
    <mergeCell ref="C6:U6"/>
    <mergeCell ref="B24:V24"/>
  </mergeCells>
  <conditionalFormatting sqref="C11:S11 F12:S15 D13 D15 D19 F17:S19">
    <cfRule type="expression" dxfId="14" priority="9">
      <formula>$V$11&lt;&gt;""</formula>
    </cfRule>
  </conditionalFormatting>
  <conditionalFormatting sqref="C12:E12 D14 D17:D18">
    <cfRule type="expression" dxfId="13" priority="12">
      <formula>$V$12&lt;&gt;""</formula>
    </cfRule>
  </conditionalFormatting>
  <conditionalFormatting sqref="C13 E13">
    <cfRule type="expression" dxfId="12" priority="14">
      <formula>$V$13&lt;&gt;""</formula>
    </cfRule>
  </conditionalFormatting>
  <conditionalFormatting sqref="C14 E14">
    <cfRule type="expression" dxfId="11" priority="16">
      <formula>$V$14&lt;&gt;""</formula>
    </cfRule>
  </conditionalFormatting>
  <conditionalFormatting sqref="C15 E15">
    <cfRule type="expression" dxfId="10" priority="17">
      <formula>$V$15&lt;&gt;""</formula>
    </cfRule>
  </conditionalFormatting>
  <conditionalFormatting sqref="C17 E17">
    <cfRule type="expression" dxfId="9" priority="18">
      <formula>$V$17&lt;&gt;""</formula>
    </cfRule>
  </conditionalFormatting>
  <conditionalFormatting sqref="E18">
    <cfRule type="expression" dxfId="8" priority="22">
      <formula>$V$18&lt;&gt;""</formula>
    </cfRule>
  </conditionalFormatting>
  <conditionalFormatting sqref="C18">
    <cfRule type="expression" dxfId="7" priority="24">
      <formula>$V$18&lt;&gt;""</formula>
    </cfRule>
  </conditionalFormatting>
  <conditionalFormatting sqref="C19 E19">
    <cfRule type="expression" dxfId="6" priority="6">
      <formula>#REF!&lt;&gt;""</formula>
    </cfRule>
  </conditionalFormatting>
  <conditionalFormatting sqref="U11:U15 T17:U19">
    <cfRule type="expression" dxfId="5" priority="47">
      <formula>$V$19&lt;&gt;""</formula>
    </cfRule>
  </conditionalFormatting>
  <conditionalFormatting sqref="T11:T15">
    <cfRule type="expression" dxfId="4" priority="5">
      <formula>$V$19&lt;&gt;""</formula>
    </cfRule>
  </conditionalFormatting>
  <conditionalFormatting sqref="D16 F16:S16">
    <cfRule type="expression" dxfId="3" priority="2">
      <formula>$V$11&lt;&gt;""</formula>
    </cfRule>
  </conditionalFormatting>
  <conditionalFormatting sqref="U16">
    <cfRule type="expression" dxfId="2" priority="4">
      <formula>$V$19&lt;&gt;""</formula>
    </cfRule>
  </conditionalFormatting>
  <conditionalFormatting sqref="T16">
    <cfRule type="expression" dxfId="1" priority="1">
      <formula>$V$19&lt;&gt;""</formula>
    </cfRule>
  </conditionalFormatting>
  <conditionalFormatting sqref="C16 E16">
    <cfRule type="expression" dxfId="0" priority="57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Зведена 174</vt:lpstr>
      <vt:lpstr>Лист1</vt:lpstr>
      <vt:lpstr>Рейтингова відомість 174</vt:lpstr>
      <vt:lpstr>Зведена 172</vt:lpstr>
      <vt:lpstr>Рейтингова відомість 172</vt:lpstr>
      <vt:lpstr>'Зведена 172'!Область_печати</vt:lpstr>
      <vt:lpstr>'Зведена 174'!Область_печати</vt:lpstr>
      <vt:lpstr>'Рейтингова відомість 172'!Область_печати</vt:lpstr>
      <vt:lpstr>'Рейтингова відомість 174'!Область_печати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RePack by Diakov</cp:lastModifiedBy>
  <cp:revision/>
  <cp:lastPrinted>2023-05-09T12:08:03Z</cp:lastPrinted>
  <dcterms:created xsi:type="dcterms:W3CDTF">2006-09-28T05:33:49Z</dcterms:created>
  <dcterms:modified xsi:type="dcterms:W3CDTF">2024-04-22T08:20:58Z</dcterms:modified>
  <cp:category/>
  <cp:contentStatus/>
</cp:coreProperties>
</file>