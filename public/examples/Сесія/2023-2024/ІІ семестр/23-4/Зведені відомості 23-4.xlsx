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ЭтаКнига"/>
  <bookViews>
    <workbookView xWindow="255" yWindow="0" windowWidth="19410" windowHeight="11760"/>
  </bookViews>
  <sheets>
    <sheet name="Зведена 141" sheetId="38" r:id="rId1"/>
    <sheet name="Рейтингова відомість 141" sheetId="40" r:id="rId2"/>
    <sheet name="Зведена 185" sheetId="39" r:id="rId3"/>
    <sheet name="Рейтингова відомість 185" sheetId="41" r:id="rId4"/>
  </sheets>
  <definedNames>
    <definedName name="A1048577" localSheetId="0">#REF!</definedName>
    <definedName name="A1048577" localSheetId="2">#REF!</definedName>
    <definedName name="A1048577" localSheetId="1">#REF!</definedName>
    <definedName name="A1048577" localSheetId="3">#REF!</definedName>
    <definedName name="A1048577">#REF!</definedName>
    <definedName name="_xlnm.Print_Area" localSheetId="0">'Зведена 141'!$B$2:$V$38</definedName>
    <definedName name="_xlnm.Print_Area" localSheetId="2">'Зведена 185'!$B$2:$V$30</definedName>
    <definedName name="_xlnm.Print_Area" localSheetId="1">'Рейтингова відомість 141'!$B$2:$W$29</definedName>
    <definedName name="_xlnm.Print_Area" localSheetId="3">'Рейтингова відомість 185'!$B$2:$W$25</definedName>
    <definedName name="Ф80" localSheetId="0">#REF!</definedName>
    <definedName name="Ф80" localSheetId="2">#REF!</definedName>
    <definedName name="Ф80" localSheetId="1">#REF!</definedName>
    <definedName name="Ф80" localSheetId="3">#REF!</definedName>
    <definedName name="Ф80">#REF!</definedName>
  </definedNames>
  <calcPr calcId="145621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" roundtripDataSignature="AMtx7mi/vqgVw2WeVD2CSZpRXBIyplAZAg=="/>
    </ext>
  </extLst>
</workbook>
</file>

<file path=xl/calcChain.xml><?xml version="1.0" encoding="utf-8"?>
<calcChain xmlns="http://schemas.openxmlformats.org/spreadsheetml/2006/main">
  <c r="U21" i="40" l="1"/>
  <c r="V21" i="40" s="1"/>
  <c r="U16" i="41"/>
  <c r="V16" i="41" s="1"/>
  <c r="U13" i="41"/>
  <c r="V13" i="41" s="1"/>
  <c r="U14" i="41"/>
  <c r="V14" i="41" s="1"/>
  <c r="U12" i="41"/>
  <c r="V12" i="41" s="1"/>
  <c r="U11" i="41"/>
  <c r="V11" i="41" s="1"/>
  <c r="U15" i="41"/>
  <c r="V15" i="41" s="1"/>
  <c r="U19" i="41"/>
  <c r="V19" i="41" s="1"/>
  <c r="U20" i="41"/>
  <c r="V20" i="41" s="1"/>
  <c r="U18" i="41"/>
  <c r="V18" i="41" s="1"/>
  <c r="U17" i="41"/>
  <c r="V17" i="41" s="1"/>
  <c r="F24" i="41"/>
  <c r="F23" i="41"/>
  <c r="F22" i="41"/>
  <c r="F21" i="41"/>
  <c r="U23" i="40"/>
  <c r="V23" i="40" s="1"/>
  <c r="U13" i="40"/>
  <c r="V13" i="40" s="1"/>
  <c r="U18" i="40"/>
  <c r="V18" i="40" s="1"/>
  <c r="U19" i="40"/>
  <c r="V19" i="40" s="1"/>
  <c r="U16" i="40"/>
  <c r="V16" i="40" s="1"/>
  <c r="U12" i="40"/>
  <c r="V12" i="40" s="1"/>
  <c r="U24" i="40"/>
  <c r="V24" i="40" s="1"/>
  <c r="U17" i="40"/>
  <c r="V17" i="40" s="1"/>
  <c r="U14" i="40"/>
  <c r="V14" i="40" s="1"/>
  <c r="U15" i="40"/>
  <c r="V15" i="40" s="1"/>
  <c r="U11" i="40"/>
  <c r="V11" i="40" s="1"/>
  <c r="U20" i="40"/>
  <c r="V20" i="40" s="1"/>
  <c r="U22" i="40"/>
  <c r="V22" i="40" s="1"/>
  <c r="F28" i="40"/>
  <c r="F27" i="40"/>
  <c r="F26" i="40"/>
  <c r="F25" i="40"/>
  <c r="J22" i="39" l="1"/>
  <c r="L21" i="39"/>
  <c r="N22" i="39"/>
  <c r="P23" i="39"/>
  <c r="R22" i="39"/>
  <c r="T21" i="39"/>
  <c r="H30" i="38"/>
  <c r="J30" i="38"/>
  <c r="L30" i="38"/>
  <c r="N30" i="38"/>
  <c r="P30" i="38"/>
  <c r="T30" i="38"/>
  <c r="H21" i="39"/>
  <c r="R30" i="38" l="1"/>
  <c r="H23" i="39"/>
  <c r="R29" i="38"/>
  <c r="G31" i="38"/>
  <c r="L23" i="39"/>
  <c r="O31" i="38"/>
  <c r="M30" i="38"/>
  <c r="K31" i="38"/>
  <c r="I30" i="38"/>
  <c r="J29" i="38"/>
  <c r="S31" i="38"/>
  <c r="Q30" i="38"/>
  <c r="N29" i="38"/>
  <c r="T29" i="38"/>
  <c r="S30" i="38"/>
  <c r="O30" i="38"/>
  <c r="K30" i="38"/>
  <c r="I31" i="38"/>
  <c r="F31" i="38"/>
  <c r="Q29" i="38"/>
  <c r="M29" i="38"/>
  <c r="G29" i="38"/>
  <c r="Q31" i="38"/>
  <c r="M31" i="38"/>
  <c r="G30" i="38"/>
  <c r="P29" i="38"/>
  <c r="L29" i="38"/>
  <c r="H29" i="38"/>
  <c r="T23" i="39"/>
  <c r="P21" i="39"/>
  <c r="S29" i="38"/>
  <c r="O29" i="38"/>
  <c r="K29" i="38"/>
  <c r="I29" i="38"/>
  <c r="F29" i="38"/>
  <c r="F22" i="39"/>
  <c r="T31" i="38"/>
  <c r="R31" i="38"/>
  <c r="P31" i="38"/>
  <c r="N31" i="38"/>
  <c r="L31" i="38"/>
  <c r="J31" i="38"/>
  <c r="H31" i="38"/>
  <c r="F30" i="38"/>
  <c r="T22" i="39"/>
  <c r="R21" i="39"/>
  <c r="P22" i="39"/>
  <c r="N21" i="39"/>
  <c r="L22" i="39"/>
  <c r="J21" i="39"/>
  <c r="H22" i="39"/>
  <c r="F23" i="39"/>
  <c r="F21" i="39"/>
  <c r="R23" i="39"/>
  <c r="N23" i="39"/>
  <c r="J23" i="39"/>
  <c r="S21" i="39"/>
  <c r="Q21" i="39"/>
  <c r="O21" i="39"/>
  <c r="M21" i="39"/>
  <c r="K21" i="39"/>
  <c r="I21" i="39"/>
  <c r="G21" i="39"/>
  <c r="S23" i="39"/>
  <c r="Q23" i="39"/>
  <c r="O23" i="39"/>
  <c r="M23" i="39"/>
  <c r="K23" i="39"/>
  <c r="I23" i="39"/>
  <c r="G23" i="39"/>
  <c r="S22" i="39"/>
  <c r="Q22" i="39"/>
  <c r="O22" i="39"/>
  <c r="M22" i="39"/>
  <c r="K22" i="39"/>
  <c r="I22" i="39"/>
  <c r="G22" i="39"/>
  <c r="U28" i="38"/>
  <c r="U16" i="38"/>
  <c r="U29" i="38" l="1"/>
  <c r="U20" i="39"/>
  <c r="F27" i="39" l="1"/>
  <c r="F26" i="39"/>
  <c r="U19" i="39"/>
  <c r="U18" i="39"/>
  <c r="U17" i="39"/>
  <c r="U16" i="39"/>
  <c r="U15" i="39"/>
  <c r="U14" i="39"/>
  <c r="U13" i="39"/>
  <c r="U12" i="39"/>
  <c r="U11" i="39"/>
  <c r="U21" i="39" l="1"/>
  <c r="F24" i="39"/>
  <c r="F25" i="39"/>
  <c r="F35" i="38" l="1"/>
  <c r="F34" i="38"/>
  <c r="U27" i="38"/>
  <c r="U26" i="38"/>
  <c r="U25" i="38"/>
  <c r="U24" i="38"/>
  <c r="U23" i="38"/>
  <c r="U22" i="38"/>
  <c r="U21" i="38"/>
  <c r="U20" i="38"/>
  <c r="U19" i="38"/>
  <c r="U18" i="38"/>
  <c r="U17" i="38"/>
  <c r="U15" i="38"/>
  <c r="U14" i="38"/>
  <c r="U13" i="38"/>
  <c r="U12" i="38"/>
  <c r="U11" i="38"/>
  <c r="F32" i="38" l="1"/>
  <c r="F33" i="38"/>
</calcChain>
</file>

<file path=xl/sharedStrings.xml><?xml version="1.0" encoding="utf-8"?>
<sst xmlns="http://schemas.openxmlformats.org/spreadsheetml/2006/main" count="257" uniqueCount="74">
  <si>
    <t>ОДЕСЬКОГО НАЦІОНАЛЬНОГО ТЕХНОЛОГІЧНОГО УНІВЕРСИТЕТУ»</t>
  </si>
  <si>
    <t>Б/К</t>
  </si>
  <si>
    <t>№
п/п</t>
  </si>
  <si>
    <t>Прізвище, ім’я, по батькові</t>
  </si>
  <si>
    <t>Біологія
Богданенко О.В.</t>
  </si>
  <si>
    <t>Всесвітня історія
Мельничук С.А.</t>
  </si>
  <si>
    <t>Географія
Наговська Т.С.</t>
  </si>
  <si>
    <t>Інформатика
Вівдіч М.І.</t>
  </si>
  <si>
    <t>Історія України
Левчук Т.Г.</t>
  </si>
  <si>
    <t>Фізика
Калюта Н.М.</t>
  </si>
  <si>
    <t>Фізична культура
Кулатов В.М.</t>
  </si>
  <si>
    <t>Хімія
Леонова Д.І.</t>
  </si>
  <si>
    <t>Середній бал</t>
  </si>
  <si>
    <t>К</t>
  </si>
  <si>
    <t>Б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</si>
  <si>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</si>
  <si>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</si>
  <si>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</si>
  <si>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</si>
  <si>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</si>
  <si>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Кількість бюджетників</t>
  </si>
  <si>
    <t>Кількість контрактників</t>
  </si>
  <si>
    <t>Класний керівник</t>
  </si>
  <si>
    <t>Кількість соціального контингенту</t>
  </si>
  <si>
    <t>Вийшли на стипендію</t>
  </si>
  <si>
    <t>Завідувач відділення ПЗСО</t>
  </si>
  <si>
    <t>Маргарита БРІТІКОВА</t>
  </si>
  <si>
    <t>ЗВЕДЕНА ВІДОМІСТЬ</t>
  </si>
  <si>
    <t>Зарубіжна література
Сербулова Ю.А.</t>
  </si>
  <si>
    <t>Підсумкові оцінки дисциплін</t>
  </si>
  <si>
    <t>Українська література
Юрченко О.Б.</t>
  </si>
  <si>
    <t>Українська мова
Юрченко О.Б.</t>
  </si>
  <si>
    <t>Волков Роман Сергійович</t>
  </si>
  <si>
    <t>Гільц Василь Олександрович</t>
  </si>
  <si>
    <t>Гранат Максим Степанович</t>
  </si>
  <si>
    <t>Дерменжи Дмитро Віталійович</t>
  </si>
  <si>
    <t>Дьомін Євгеній Олександрович</t>
  </si>
  <si>
    <t>Зернаєв Андрій Ростиславович</t>
  </si>
  <si>
    <t>Лисоконь Владислав Олександрович</t>
  </si>
  <si>
    <t>Никифоров Микола Анатолійович</t>
  </si>
  <si>
    <t>Пунтус Артем Євгенович</t>
  </si>
  <si>
    <t>Соловйов Сергій Леонідович</t>
  </si>
  <si>
    <t>Старощук Данііл Сергійович</t>
  </si>
  <si>
    <t>Сулейманов Леонід Олексійович</t>
  </si>
  <si>
    <t>Харісов Данило Іванович</t>
  </si>
  <si>
    <t>Цуркан Андрій Юрійович</t>
  </si>
  <si>
    <t>Чижовський Вадим Володимирович</t>
  </si>
  <si>
    <t>Шартавський Клим Олегович</t>
  </si>
  <si>
    <t>Юрченко Михайло Олександрович</t>
  </si>
  <si>
    <t>Успішності студентів спеціальності 141 «Електроенергетика, електротехніка та електромеханіка»</t>
  </si>
  <si>
    <t>Група 23-4 курс І</t>
  </si>
  <si>
    <t>Успішності студентів спеціальності 185 «Нафтогазова інженерія та технології»</t>
  </si>
  <si>
    <t>Наталія КАЛЮТА</t>
  </si>
  <si>
    <t>Боджаров Ігор Ігорович</t>
  </si>
  <si>
    <t>Влах Микита Дмитрович</t>
  </si>
  <si>
    <t>Возіков Олексій Віталійович</t>
  </si>
  <si>
    <t>Гнатюк Микита Петрович</t>
  </si>
  <si>
    <t>Дьячков Денис Васильович</t>
  </si>
  <si>
    <t>Кушнір Дмитро Романович</t>
  </si>
  <si>
    <t>Плотніченко Іван Андрійович</t>
  </si>
  <si>
    <t>Прокіпчук Станіслав Олександрович</t>
  </si>
  <si>
    <t>Трунін Михайло Юрійович</t>
  </si>
  <si>
    <t>Шмарко Юрій Вадимович</t>
  </si>
  <si>
    <t>Єрофеєв Тимур Миколайович</t>
  </si>
  <si>
    <t>Завідувачка відділення ПЗСО</t>
  </si>
  <si>
    <t>Астрономія
Наговська Т.С.</t>
  </si>
  <si>
    <t>За ІI семестр 2023-2024 н.р.</t>
  </si>
  <si>
    <t>ВІДОКРЕМЛЕНИЙ СТРУКТУРНИЙ ПІДРОЗДІЛ
«ФАХОВИЙ КОЛЕДЖ НАФТОГАЗОВИХ ТЕХНОЛОГІЙ,
ІНЖЕНЕРІЇ ТА ІНФРАСТРУКТУРИ СЕРВІСУ</t>
  </si>
  <si>
    <t>н/а</t>
  </si>
  <si>
    <t>Іноземна мова
Кубова Т.М.</t>
  </si>
  <si>
    <t>Захист України
Лазар В.І.</t>
  </si>
  <si>
    <t>Математика
Земляна Т.М.</t>
  </si>
  <si>
    <t>РЕЙТИНГОВА ВІДОМІСТЬ</t>
  </si>
  <si>
    <t>Рейтинговий бал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</si>
</sst>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EBEBE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Dashed">
        <color auto="1"/>
      </top>
      <bottom/>
      <diagonal/>
    </border>
  </borders>
  <cellStyleXfs count="28">
    <xf numFmtId="0" fontId="0" fillId="0" borderId="0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44">
    <xf numFmtId="0" fontId="0" fillId="0" borderId="0" xfId="0"/>
    <xf numFmtId="0" fontId="5" fillId="0" borderId="1" xfId="5" applyFont="1" applyAlignment="1">
      <alignment horizontal="left" vertical="center"/>
    </xf>
    <xf numFmtId="2" fontId="3" fillId="2" borderId="2" xfId="5" applyNumberFormat="1" applyFont="1" applyFill="1" applyBorder="1" applyAlignment="1">
      <alignment horizontal="center" vertical="center"/>
    </xf>
    <xf numFmtId="164" fontId="3" fillId="2" borderId="2" xfId="5" applyNumberFormat="1" applyFont="1" applyFill="1" applyBorder="1" applyAlignment="1">
      <alignment horizontal="center" vertical="center"/>
    </xf>
    <xf numFmtId="0" fontId="3" fillId="4" borderId="1" xfId="5" applyNumberFormat="1" applyFont="1" applyFill="1" applyAlignment="1">
      <alignment horizontal="center" vertical="center"/>
    </xf>
    <xf numFmtId="0" fontId="5" fillId="4" borderId="1" xfId="5" applyNumberFormat="1" applyFont="1" applyFill="1" applyAlignment="1">
      <alignment horizontal="center" vertical="center"/>
    </xf>
    <xf numFmtId="0" fontId="6" fillId="4" borderId="1" xfId="5" applyNumberFormat="1" applyFont="1" applyFill="1" applyAlignment="1">
      <alignment horizontal="center" vertical="center"/>
    </xf>
    <xf numFmtId="0" fontId="4" fillId="5" borderId="2" xfId="5" applyNumberFormat="1" applyFont="1" applyFill="1" applyBorder="1" applyAlignment="1">
      <alignment horizontal="center" vertical="center" textRotation="90" wrapText="1"/>
    </xf>
    <xf numFmtId="0" fontId="3" fillId="5" borderId="2" xfId="5" applyNumberFormat="1" applyFont="1" applyFill="1" applyBorder="1" applyAlignment="1">
      <alignment horizontal="center" vertical="center" wrapText="1"/>
    </xf>
    <xf numFmtId="0" fontId="3" fillId="5" borderId="2" xfId="5" applyNumberFormat="1" applyFont="1" applyFill="1" applyBorder="1" applyAlignment="1">
      <alignment horizontal="left" vertical="center" wrapText="1"/>
    </xf>
    <xf numFmtId="0" fontId="3" fillId="5" borderId="2" xfId="5" applyNumberFormat="1" applyFont="1" applyFill="1" applyBorder="1" applyAlignment="1" applyProtection="1">
      <alignment horizontal="center" vertical="center"/>
      <protection locked="0"/>
    </xf>
    <xf numFmtId="0" fontId="3" fillId="5" borderId="1" xfId="5" applyNumberFormat="1" applyFont="1" applyFill="1" applyAlignment="1">
      <alignment horizontal="center" vertical="center"/>
    </xf>
    <xf numFmtId="164" fontId="3" fillId="3" borderId="6" xfId="5" applyNumberFormat="1" applyFont="1" applyFill="1" applyBorder="1" applyAlignment="1">
      <alignment horizontal="center" vertical="center"/>
    </xf>
    <xf numFmtId="0" fontId="3" fillId="5" borderId="1" xfId="5" applyNumberFormat="1" applyFont="1" applyFill="1" applyBorder="1" applyAlignment="1" applyProtection="1">
      <alignment horizontal="center" vertical="center"/>
      <protection locked="0"/>
    </xf>
    <xf numFmtId="0" fontId="3" fillId="4" borderId="1" xfId="5" applyNumberFormat="1" applyFont="1" applyFill="1" applyBorder="1" applyAlignment="1">
      <alignment horizontal="center" vertical="center"/>
    </xf>
    <xf numFmtId="0" fontId="3" fillId="5" borderId="1" xfId="5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/>
    </xf>
    <xf numFmtId="0" fontId="5" fillId="5" borderId="1" xfId="5" applyNumberFormat="1" applyFont="1" applyFill="1" applyAlignment="1">
      <alignment horizontal="left" vertical="center"/>
    </xf>
    <xf numFmtId="0" fontId="3" fillId="0" borderId="2" xfId="5" applyFont="1" applyBorder="1" applyAlignment="1">
      <alignment horizontal="center" textRotation="90" wrapText="1"/>
    </xf>
    <xf numFmtId="0" fontId="3" fillId="5" borderId="2" xfId="5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 wrapText="1"/>
    </xf>
    <xf numFmtId="0" fontId="3" fillId="5" borderId="1" xfId="5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 wrapText="1"/>
    </xf>
    <xf numFmtId="0" fontId="3" fillId="5" borderId="1" xfId="5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 wrapText="1"/>
    </xf>
    <xf numFmtId="0" fontId="3" fillId="4" borderId="7" xfId="5" applyNumberFormat="1" applyFont="1" applyFill="1" applyBorder="1" applyAlignment="1">
      <alignment horizontal="center" vertical="center"/>
    </xf>
    <xf numFmtId="0" fontId="5" fillId="5" borderId="1" xfId="5" applyNumberFormat="1" applyFont="1" applyFill="1" applyAlignment="1">
      <alignment horizontal="center" vertical="center"/>
    </xf>
    <xf numFmtId="0" fontId="5" fillId="5" borderId="1" xfId="5" applyNumberFormat="1" applyFont="1" applyFill="1" applyBorder="1" applyAlignment="1">
      <alignment horizontal="center" vertical="center"/>
    </xf>
    <xf numFmtId="0" fontId="3" fillId="5" borderId="2" xfId="5" quotePrefix="1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 wrapText="1"/>
    </xf>
    <xf numFmtId="0" fontId="3" fillId="4" borderId="3" xfId="5" applyNumberFormat="1" applyFont="1" applyFill="1" applyBorder="1" applyAlignment="1">
      <alignment horizontal="center" vertical="center"/>
    </xf>
    <xf numFmtId="0" fontId="3" fillId="4" borderId="4" xfId="5" applyNumberFormat="1" applyFont="1" applyFill="1" applyBorder="1" applyAlignment="1">
      <alignment horizontal="center" vertical="center"/>
    </xf>
    <xf numFmtId="0" fontId="3" fillId="5" borderId="1" xfId="5" applyNumberFormat="1" applyFont="1" applyFill="1" applyBorder="1" applyAlignment="1">
      <alignment horizontal="center" vertical="center"/>
    </xf>
    <xf numFmtId="0" fontId="3" fillId="4" borderId="5" xfId="5" applyNumberFormat="1" applyFont="1" applyFill="1" applyBorder="1" applyAlignment="1">
      <alignment horizontal="center" vertical="center"/>
    </xf>
    <xf numFmtId="0" fontId="5" fillId="5" borderId="1" xfId="5" applyNumberFormat="1" applyFont="1" applyFill="1" applyBorder="1" applyAlignment="1">
      <alignment horizontal="center" wrapText="1"/>
    </xf>
    <xf numFmtId="0" fontId="5" fillId="5" borderId="1" xfId="5" applyNumberFormat="1" applyFont="1" applyFill="1" applyBorder="1" applyAlignment="1">
      <alignment horizontal="center"/>
    </xf>
    <xf numFmtId="0" fontId="6" fillId="5" borderId="1" xfId="5" applyNumberFormat="1" applyFont="1" applyFill="1" applyAlignment="1">
      <alignment horizontal="center" vertical="center"/>
    </xf>
    <xf numFmtId="2" fontId="3" fillId="6" borderId="2" xfId="5" applyNumberFormat="1" applyFont="1" applyFill="1" applyBorder="1" applyAlignment="1">
      <alignment horizontal="center" vertical="center"/>
    </xf>
    <xf numFmtId="0" fontId="3" fillId="7" borderId="2" xfId="5" applyNumberFormat="1" applyFont="1" applyFill="1" applyBorder="1" applyAlignment="1">
      <alignment horizontal="center" vertical="center" wrapText="1"/>
    </xf>
    <xf numFmtId="0" fontId="3" fillId="7" borderId="2" xfId="5" applyNumberFormat="1" applyFont="1" applyFill="1" applyBorder="1" applyAlignment="1">
      <alignment horizontal="left" vertical="center" wrapText="1"/>
    </xf>
    <xf numFmtId="0" fontId="3" fillId="7" borderId="2" xfId="5" applyNumberFormat="1" applyFont="1" applyFill="1" applyBorder="1" applyAlignment="1" applyProtection="1">
      <alignment horizontal="center" vertical="center"/>
      <protection locked="0"/>
    </xf>
    <xf numFmtId="2" fontId="3" fillId="7" borderId="2" xfId="5" applyNumberFormat="1" applyFont="1" applyFill="1" applyBorder="1" applyAlignment="1">
      <alignment horizontal="center" vertical="center"/>
    </xf>
  </cellXfs>
  <cellStyles count="28">
    <cellStyle name="Обычный" xfId="0" builtinId="0"/>
    <cellStyle name="Обычный 10" xfId="3"/>
    <cellStyle name="Обычный 10 2" xfId="4"/>
    <cellStyle name="Обычный 11" xfId="1"/>
    <cellStyle name="Обычный 11 2" xfId="5"/>
    <cellStyle name="Обычный 12" xfId="22"/>
    <cellStyle name="Обычный 13" xfId="23"/>
    <cellStyle name="Обычный 14" xfId="24"/>
    <cellStyle name="Обычный 15" xfId="25"/>
    <cellStyle name="Обычный 2" xfId="2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2 5" xfId="26"/>
    <cellStyle name="Обычный 2 6" xfId="27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</cellStyles>
  <dxfs count="67"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>
    <tabColor rgb="FF00E100"/>
    <pageSetUpPr fitToPage="1"/>
  </sheetPr>
  <dimension ref="A1:BG39"/>
  <sheetViews>
    <sheetView tabSelected="1" zoomScaleNormal="100" workbookViewId="0"/>
  </sheetViews>
  <sheetFormatPr defaultColWidth="0" defaultRowHeight="0" customHeight="1" zeroHeight="1" x14ac:dyDescent="0.25"/>
  <cols>
    <col min="1" max="2" width="2.7109375" style="4" customWidth="1"/>
    <col min="3" max="3" width="4.140625" style="4" customWidth="1"/>
    <col min="4" max="4" width="6.5703125" style="4" customWidth="1"/>
    <col min="5" max="5" width="40.42578125" style="4" customWidth="1"/>
    <col min="6" max="20" width="6.7109375" style="4" customWidth="1"/>
    <col min="21" max="21" width="11.28515625" style="4" customWidth="1"/>
    <col min="22" max="23" width="2.7109375" style="4" customWidth="1"/>
    <col min="24" max="29" width="14.42578125" style="4" hidden="1" customWidth="1"/>
    <col min="30" max="30" width="14.85546875" style="4" hidden="1" customWidth="1"/>
    <col min="31" max="44" width="3.7109375" style="4" hidden="1" customWidth="1"/>
    <col min="45" max="59" width="5.7109375" style="4" hidden="1" customWidth="1"/>
    <col min="60" max="16384" width="14.42578125" style="4" hidden="1"/>
  </cols>
  <sheetData>
    <row r="1" spans="1:23" ht="12" customHeight="1" thickBot="1" x14ac:dyDescent="0.3"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</row>
    <row r="2" spans="1:23" ht="12" customHeight="1" x14ac:dyDescent="0.25">
      <c r="A2" s="33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5" customFormat="1" ht="54.95" customHeight="1" x14ac:dyDescent="0.3">
      <c r="A3" s="33"/>
      <c r="B3" s="28"/>
      <c r="C3" s="36" t="s">
        <v>67</v>
      </c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28"/>
      <c r="W3" s="35"/>
    </row>
    <row r="4" spans="1:23" s="5" customFormat="1" ht="15" customHeight="1" x14ac:dyDescent="0.25">
      <c r="A4" s="33"/>
      <c r="B4" s="28"/>
      <c r="C4" s="28" t="s">
        <v>0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35"/>
    </row>
    <row r="5" spans="1:23" s="6" customFormat="1" ht="15" customHeight="1" x14ac:dyDescent="0.25">
      <c r="A5" s="33"/>
      <c r="B5" s="28"/>
      <c r="C5" s="38" t="s">
        <v>27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28"/>
      <c r="W5" s="35"/>
    </row>
    <row r="6" spans="1:23" s="5" customFormat="1" ht="15" customHeight="1" x14ac:dyDescent="0.25">
      <c r="A6" s="33"/>
      <c r="B6" s="28"/>
      <c r="C6" s="27" t="s">
        <v>49</v>
      </c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8"/>
      <c r="W6" s="35"/>
    </row>
    <row r="7" spans="1:23" s="5" customFormat="1" ht="15" customHeight="1" x14ac:dyDescent="0.25">
      <c r="A7" s="33"/>
      <c r="B7" s="28"/>
      <c r="C7" s="27" t="s">
        <v>66</v>
      </c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8"/>
      <c r="W7" s="35"/>
    </row>
    <row r="8" spans="1:23" s="5" customFormat="1" ht="15" customHeight="1" x14ac:dyDescent="0.25">
      <c r="A8" s="33"/>
      <c r="B8" s="28"/>
      <c r="C8" s="28" t="s">
        <v>50</v>
      </c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35"/>
    </row>
    <row r="9" spans="1:23" ht="15" customHeight="1" x14ac:dyDescent="0.25">
      <c r="A9" s="33"/>
      <c r="B9" s="28"/>
      <c r="C9" s="29" t="s">
        <v>1</v>
      </c>
      <c r="D9" s="31" t="s">
        <v>2</v>
      </c>
      <c r="E9" s="31" t="s">
        <v>3</v>
      </c>
      <c r="F9" s="30" t="s">
        <v>29</v>
      </c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28"/>
      <c r="W9" s="35"/>
    </row>
    <row r="10" spans="1:23" ht="125.1" customHeight="1" x14ac:dyDescent="0.25">
      <c r="A10" s="33"/>
      <c r="B10" s="28"/>
      <c r="C10" s="30"/>
      <c r="D10" s="30"/>
      <c r="E10" s="30"/>
      <c r="F10" s="18" t="s">
        <v>65</v>
      </c>
      <c r="G10" s="18" t="s">
        <v>4</v>
      </c>
      <c r="H10" s="18" t="s">
        <v>5</v>
      </c>
      <c r="I10" s="18" t="s">
        <v>6</v>
      </c>
      <c r="J10" s="18" t="s">
        <v>28</v>
      </c>
      <c r="K10" s="18" t="s">
        <v>70</v>
      </c>
      <c r="L10" s="18" t="s">
        <v>69</v>
      </c>
      <c r="M10" s="18" t="s">
        <v>7</v>
      </c>
      <c r="N10" s="18" t="s">
        <v>8</v>
      </c>
      <c r="O10" s="18" t="s">
        <v>71</v>
      </c>
      <c r="P10" s="18" t="s">
        <v>30</v>
      </c>
      <c r="Q10" s="18" t="s">
        <v>31</v>
      </c>
      <c r="R10" s="18" t="s">
        <v>9</v>
      </c>
      <c r="S10" s="18" t="s">
        <v>10</v>
      </c>
      <c r="T10" s="18" t="s">
        <v>11</v>
      </c>
      <c r="U10" s="7" t="s">
        <v>12</v>
      </c>
      <c r="V10" s="28"/>
      <c r="W10" s="35"/>
    </row>
    <row r="11" spans="1:23" ht="15" customHeight="1" x14ac:dyDescent="0.25">
      <c r="A11" s="33"/>
      <c r="B11" s="28"/>
      <c r="C11" s="8" t="s">
        <v>14</v>
      </c>
      <c r="D11" s="8">
        <v>1</v>
      </c>
      <c r="E11" s="9" t="s">
        <v>32</v>
      </c>
      <c r="F11" s="10">
        <v>7</v>
      </c>
      <c r="G11" s="10">
        <v>7</v>
      </c>
      <c r="H11" s="10">
        <v>6</v>
      </c>
      <c r="I11" s="10">
        <v>7</v>
      </c>
      <c r="J11" s="10">
        <v>6</v>
      </c>
      <c r="K11" s="10">
        <v>8</v>
      </c>
      <c r="L11" s="10">
        <v>4</v>
      </c>
      <c r="M11" s="10">
        <v>5</v>
      </c>
      <c r="N11" s="10">
        <v>4</v>
      </c>
      <c r="O11" s="10">
        <v>4</v>
      </c>
      <c r="P11" s="10">
        <v>4</v>
      </c>
      <c r="Q11" s="10">
        <v>4</v>
      </c>
      <c r="R11" s="10">
        <v>4</v>
      </c>
      <c r="S11" s="10">
        <v>10</v>
      </c>
      <c r="T11" s="10">
        <v>5</v>
      </c>
      <c r="U11" s="2">
        <f t="shared" ref="U11:U28" si="0">IF(COUNTIF(F11:T11,"=*")&gt;0,"-",IF(COUNTIF(F11:T11,"&lt;4")&gt;0,"-",(IFERROR(AVERAGE(F11:T11),""))))</f>
        <v>5.666666666666667</v>
      </c>
      <c r="V11" s="28"/>
      <c r="W11" s="35"/>
    </row>
    <row r="12" spans="1:23" ht="15" customHeight="1" x14ac:dyDescent="0.25">
      <c r="A12" s="33"/>
      <c r="B12" s="28"/>
      <c r="C12" s="8" t="s">
        <v>13</v>
      </c>
      <c r="D12" s="8">
        <v>2</v>
      </c>
      <c r="E12" s="9" t="s">
        <v>33</v>
      </c>
      <c r="F12" s="10">
        <v>8</v>
      </c>
      <c r="G12" s="10">
        <v>4</v>
      </c>
      <c r="H12" s="10">
        <v>6</v>
      </c>
      <c r="I12" s="10">
        <v>9</v>
      </c>
      <c r="J12" s="10">
        <v>5</v>
      </c>
      <c r="K12" s="10">
        <v>4</v>
      </c>
      <c r="L12" s="10">
        <v>4</v>
      </c>
      <c r="M12" s="10" t="s">
        <v>68</v>
      </c>
      <c r="N12" s="10">
        <v>6</v>
      </c>
      <c r="O12" s="10">
        <v>5</v>
      </c>
      <c r="P12" s="10">
        <v>4</v>
      </c>
      <c r="Q12" s="10">
        <v>4</v>
      </c>
      <c r="R12" s="10">
        <v>4</v>
      </c>
      <c r="S12" s="10">
        <v>5</v>
      </c>
      <c r="T12" s="10">
        <v>5</v>
      </c>
      <c r="U12" s="2" t="str">
        <f t="shared" si="0"/>
        <v>-</v>
      </c>
      <c r="V12" s="28"/>
      <c r="W12" s="35"/>
    </row>
    <row r="13" spans="1:23" ht="15" customHeight="1" x14ac:dyDescent="0.25">
      <c r="A13" s="33"/>
      <c r="B13" s="28"/>
      <c r="C13" s="8" t="s">
        <v>14</v>
      </c>
      <c r="D13" s="22">
        <v>3</v>
      </c>
      <c r="E13" s="9" t="s">
        <v>34</v>
      </c>
      <c r="F13" s="10">
        <v>8</v>
      </c>
      <c r="G13" s="10">
        <v>4</v>
      </c>
      <c r="H13" s="10">
        <v>6</v>
      </c>
      <c r="I13" s="10">
        <v>8</v>
      </c>
      <c r="J13" s="10">
        <v>5</v>
      </c>
      <c r="K13" s="10">
        <v>4</v>
      </c>
      <c r="L13" s="10">
        <v>4</v>
      </c>
      <c r="M13" s="10">
        <v>4</v>
      </c>
      <c r="N13" s="10">
        <v>4</v>
      </c>
      <c r="O13" s="10">
        <v>4</v>
      </c>
      <c r="P13" s="10">
        <v>4</v>
      </c>
      <c r="Q13" s="10">
        <v>4</v>
      </c>
      <c r="R13" s="10">
        <v>4</v>
      </c>
      <c r="S13" s="10">
        <v>9</v>
      </c>
      <c r="T13" s="10">
        <v>5</v>
      </c>
      <c r="U13" s="2">
        <f t="shared" si="0"/>
        <v>5.1333333333333337</v>
      </c>
      <c r="V13" s="28"/>
      <c r="W13" s="35"/>
    </row>
    <row r="14" spans="1:23" ht="15" customHeight="1" x14ac:dyDescent="0.25">
      <c r="A14" s="33"/>
      <c r="B14" s="28"/>
      <c r="C14" s="8" t="s">
        <v>14</v>
      </c>
      <c r="D14" s="22">
        <v>4</v>
      </c>
      <c r="E14" s="9" t="s">
        <v>35</v>
      </c>
      <c r="F14" s="10">
        <v>7</v>
      </c>
      <c r="G14" s="10">
        <v>7</v>
      </c>
      <c r="H14" s="10">
        <v>6</v>
      </c>
      <c r="I14" s="10">
        <v>7</v>
      </c>
      <c r="J14" s="10">
        <v>5</v>
      </c>
      <c r="K14" s="10">
        <v>9</v>
      </c>
      <c r="L14" s="10">
        <v>4</v>
      </c>
      <c r="M14" s="10">
        <v>4</v>
      </c>
      <c r="N14" s="10">
        <v>7</v>
      </c>
      <c r="O14" s="10">
        <v>4</v>
      </c>
      <c r="P14" s="10">
        <v>4</v>
      </c>
      <c r="Q14" s="10">
        <v>4</v>
      </c>
      <c r="R14" s="10">
        <v>6</v>
      </c>
      <c r="S14" s="10">
        <v>6</v>
      </c>
      <c r="T14" s="10">
        <v>6</v>
      </c>
      <c r="U14" s="2">
        <f t="shared" si="0"/>
        <v>5.7333333333333334</v>
      </c>
      <c r="V14" s="28"/>
      <c r="W14" s="35"/>
    </row>
    <row r="15" spans="1:23" ht="15" customHeight="1" x14ac:dyDescent="0.25">
      <c r="A15" s="33"/>
      <c r="B15" s="28"/>
      <c r="C15" s="8" t="s">
        <v>14</v>
      </c>
      <c r="D15" s="22">
        <v>5</v>
      </c>
      <c r="E15" s="9" t="s">
        <v>36</v>
      </c>
      <c r="F15" s="10">
        <v>9</v>
      </c>
      <c r="G15" s="10">
        <v>9</v>
      </c>
      <c r="H15" s="10">
        <v>9</v>
      </c>
      <c r="I15" s="10">
        <v>8</v>
      </c>
      <c r="J15" s="10">
        <v>9</v>
      </c>
      <c r="K15" s="10">
        <v>8</v>
      </c>
      <c r="L15" s="10">
        <v>8</v>
      </c>
      <c r="M15" s="10">
        <v>9</v>
      </c>
      <c r="N15" s="10">
        <v>8</v>
      </c>
      <c r="O15" s="10">
        <v>6</v>
      </c>
      <c r="P15" s="10">
        <v>8</v>
      </c>
      <c r="Q15" s="10">
        <v>6</v>
      </c>
      <c r="R15" s="10">
        <v>7</v>
      </c>
      <c r="S15" s="10">
        <v>11</v>
      </c>
      <c r="T15" s="10">
        <v>7</v>
      </c>
      <c r="U15" s="2">
        <f t="shared" si="0"/>
        <v>8.1333333333333329</v>
      </c>
      <c r="V15" s="28"/>
      <c r="W15" s="35"/>
    </row>
    <row r="16" spans="1:23" ht="15" customHeight="1" x14ac:dyDescent="0.25">
      <c r="A16" s="33"/>
      <c r="B16" s="28"/>
      <c r="C16" s="22" t="s">
        <v>13</v>
      </c>
      <c r="D16" s="22">
        <v>6</v>
      </c>
      <c r="E16" s="9" t="s">
        <v>63</v>
      </c>
      <c r="F16" s="10">
        <v>4</v>
      </c>
      <c r="G16" s="10">
        <v>4</v>
      </c>
      <c r="H16" s="10">
        <v>6</v>
      </c>
      <c r="I16" s="10">
        <v>4</v>
      </c>
      <c r="J16" s="10">
        <v>4</v>
      </c>
      <c r="K16" s="10">
        <v>4</v>
      </c>
      <c r="L16" s="10">
        <v>4</v>
      </c>
      <c r="M16" s="10" t="s">
        <v>68</v>
      </c>
      <c r="N16" s="10">
        <v>5</v>
      </c>
      <c r="O16" s="10" t="s">
        <v>68</v>
      </c>
      <c r="P16" s="10">
        <v>4</v>
      </c>
      <c r="Q16" s="10">
        <v>4</v>
      </c>
      <c r="R16" s="10">
        <v>4</v>
      </c>
      <c r="S16" s="10">
        <v>4</v>
      </c>
      <c r="T16" s="10">
        <v>4</v>
      </c>
      <c r="U16" s="2" t="str">
        <f t="shared" si="0"/>
        <v>-</v>
      </c>
      <c r="V16" s="28"/>
      <c r="W16" s="35"/>
    </row>
    <row r="17" spans="1:24" ht="15" customHeight="1" x14ac:dyDescent="0.25">
      <c r="A17" s="33"/>
      <c r="B17" s="28"/>
      <c r="C17" s="8" t="s">
        <v>14</v>
      </c>
      <c r="D17" s="22">
        <v>7</v>
      </c>
      <c r="E17" s="9" t="s">
        <v>37</v>
      </c>
      <c r="F17" s="10">
        <v>7</v>
      </c>
      <c r="G17" s="10">
        <v>8</v>
      </c>
      <c r="H17" s="10">
        <v>8</v>
      </c>
      <c r="I17" s="10">
        <v>8</v>
      </c>
      <c r="J17" s="10">
        <v>6</v>
      </c>
      <c r="K17" s="10">
        <v>8</v>
      </c>
      <c r="L17" s="10">
        <v>7</v>
      </c>
      <c r="M17" s="10">
        <v>5</v>
      </c>
      <c r="N17" s="10">
        <v>8</v>
      </c>
      <c r="O17" s="10">
        <v>6</v>
      </c>
      <c r="P17" s="10">
        <v>5</v>
      </c>
      <c r="Q17" s="10">
        <v>4</v>
      </c>
      <c r="R17" s="10">
        <v>5</v>
      </c>
      <c r="S17" s="10">
        <v>9</v>
      </c>
      <c r="T17" s="10">
        <v>6</v>
      </c>
      <c r="U17" s="2">
        <f t="shared" si="0"/>
        <v>6.666666666666667</v>
      </c>
      <c r="V17" s="28"/>
      <c r="W17" s="35"/>
    </row>
    <row r="18" spans="1:24" ht="15" customHeight="1" x14ac:dyDescent="0.25">
      <c r="A18" s="33"/>
      <c r="B18" s="28"/>
      <c r="C18" s="8" t="s">
        <v>14</v>
      </c>
      <c r="D18" s="22">
        <v>8</v>
      </c>
      <c r="E18" s="9" t="s">
        <v>38</v>
      </c>
      <c r="F18" s="10">
        <v>7</v>
      </c>
      <c r="G18" s="10">
        <v>7</v>
      </c>
      <c r="H18" s="10">
        <v>10</v>
      </c>
      <c r="I18" s="10">
        <v>7</v>
      </c>
      <c r="J18" s="10">
        <v>5</v>
      </c>
      <c r="K18" s="10">
        <v>9</v>
      </c>
      <c r="L18" s="10">
        <v>4</v>
      </c>
      <c r="M18" s="10">
        <v>5</v>
      </c>
      <c r="N18" s="10">
        <v>5</v>
      </c>
      <c r="O18" s="10">
        <v>4</v>
      </c>
      <c r="P18" s="10">
        <v>4</v>
      </c>
      <c r="Q18" s="10">
        <v>4</v>
      </c>
      <c r="R18" s="10">
        <v>4</v>
      </c>
      <c r="S18" s="10">
        <v>10</v>
      </c>
      <c r="T18" s="10">
        <v>5</v>
      </c>
      <c r="U18" s="2">
        <f t="shared" si="0"/>
        <v>6</v>
      </c>
      <c r="V18" s="28"/>
      <c r="W18" s="35"/>
    </row>
    <row r="19" spans="1:24" ht="15" customHeight="1" x14ac:dyDescent="0.25">
      <c r="A19" s="33"/>
      <c r="B19" s="28"/>
      <c r="C19" s="8" t="s">
        <v>14</v>
      </c>
      <c r="D19" s="22">
        <v>9</v>
      </c>
      <c r="E19" s="9" t="s">
        <v>39</v>
      </c>
      <c r="F19" s="10">
        <v>8</v>
      </c>
      <c r="G19" s="10">
        <v>8</v>
      </c>
      <c r="H19" s="10">
        <v>8</v>
      </c>
      <c r="I19" s="10">
        <v>9</v>
      </c>
      <c r="J19" s="10">
        <v>8</v>
      </c>
      <c r="K19" s="10">
        <v>4</v>
      </c>
      <c r="L19" s="10">
        <v>8</v>
      </c>
      <c r="M19" s="10">
        <v>8</v>
      </c>
      <c r="N19" s="10">
        <v>8</v>
      </c>
      <c r="O19" s="10">
        <v>9</v>
      </c>
      <c r="P19" s="10">
        <v>4</v>
      </c>
      <c r="Q19" s="10">
        <v>6</v>
      </c>
      <c r="R19" s="10">
        <v>9</v>
      </c>
      <c r="S19" s="10">
        <v>5</v>
      </c>
      <c r="T19" s="10">
        <v>8</v>
      </c>
      <c r="U19" s="2">
        <f t="shared" si="0"/>
        <v>7.333333333333333</v>
      </c>
      <c r="V19" s="28"/>
      <c r="W19" s="35"/>
    </row>
    <row r="20" spans="1:24" ht="15" customHeight="1" x14ac:dyDescent="0.25">
      <c r="A20" s="33"/>
      <c r="B20" s="28"/>
      <c r="C20" s="8" t="s">
        <v>14</v>
      </c>
      <c r="D20" s="22">
        <v>10</v>
      </c>
      <c r="E20" s="9" t="s">
        <v>40</v>
      </c>
      <c r="F20" s="10">
        <v>10</v>
      </c>
      <c r="G20" s="10">
        <v>9</v>
      </c>
      <c r="H20" s="10">
        <v>10</v>
      </c>
      <c r="I20" s="10">
        <v>10</v>
      </c>
      <c r="J20" s="10">
        <v>10</v>
      </c>
      <c r="K20" s="10">
        <v>8</v>
      </c>
      <c r="L20" s="10">
        <v>7</v>
      </c>
      <c r="M20" s="10">
        <v>8</v>
      </c>
      <c r="N20" s="10">
        <v>7</v>
      </c>
      <c r="O20" s="10">
        <v>5</v>
      </c>
      <c r="P20" s="10">
        <v>9</v>
      </c>
      <c r="Q20" s="10">
        <v>8</v>
      </c>
      <c r="R20" s="10">
        <v>7</v>
      </c>
      <c r="S20" s="10">
        <v>9</v>
      </c>
      <c r="T20" s="10">
        <v>7</v>
      </c>
      <c r="U20" s="2">
        <f t="shared" si="0"/>
        <v>8.2666666666666675</v>
      </c>
      <c r="V20" s="28"/>
      <c r="W20" s="35"/>
    </row>
    <row r="21" spans="1:24" ht="15" customHeight="1" x14ac:dyDescent="0.25">
      <c r="A21" s="33"/>
      <c r="B21" s="28"/>
      <c r="C21" s="8" t="s">
        <v>14</v>
      </c>
      <c r="D21" s="22">
        <v>11</v>
      </c>
      <c r="E21" s="9" t="s">
        <v>41</v>
      </c>
      <c r="F21" s="10">
        <v>4</v>
      </c>
      <c r="G21" s="10">
        <v>4</v>
      </c>
      <c r="H21" s="10">
        <v>5</v>
      </c>
      <c r="I21" s="10">
        <v>4</v>
      </c>
      <c r="J21" s="10">
        <v>4</v>
      </c>
      <c r="K21" s="10">
        <v>4</v>
      </c>
      <c r="L21" s="10">
        <v>4</v>
      </c>
      <c r="M21" s="10">
        <v>4</v>
      </c>
      <c r="N21" s="10">
        <v>4</v>
      </c>
      <c r="O21" s="10">
        <v>4</v>
      </c>
      <c r="P21" s="10">
        <v>4</v>
      </c>
      <c r="Q21" s="10">
        <v>4</v>
      </c>
      <c r="R21" s="10">
        <v>4</v>
      </c>
      <c r="S21" s="10">
        <v>5</v>
      </c>
      <c r="T21" s="10">
        <v>4</v>
      </c>
      <c r="U21" s="2">
        <f t="shared" si="0"/>
        <v>4.1333333333333337</v>
      </c>
      <c r="V21" s="28"/>
      <c r="W21" s="35"/>
    </row>
    <row r="22" spans="1:24" ht="15" customHeight="1" x14ac:dyDescent="0.25">
      <c r="A22" s="33"/>
      <c r="B22" s="28"/>
      <c r="C22" s="8" t="s">
        <v>14</v>
      </c>
      <c r="D22" s="22">
        <v>12</v>
      </c>
      <c r="E22" s="9" t="s">
        <v>42</v>
      </c>
      <c r="F22" s="10">
        <v>8</v>
      </c>
      <c r="G22" s="10">
        <v>8</v>
      </c>
      <c r="H22" s="10">
        <v>9</v>
      </c>
      <c r="I22" s="10">
        <v>8</v>
      </c>
      <c r="J22" s="10">
        <v>5</v>
      </c>
      <c r="K22" s="10">
        <v>8</v>
      </c>
      <c r="L22" s="10">
        <v>8</v>
      </c>
      <c r="M22" s="10">
        <v>6</v>
      </c>
      <c r="N22" s="10">
        <v>8</v>
      </c>
      <c r="O22" s="10">
        <v>5</v>
      </c>
      <c r="P22" s="10">
        <v>4</v>
      </c>
      <c r="Q22" s="10">
        <v>6</v>
      </c>
      <c r="R22" s="10">
        <v>5</v>
      </c>
      <c r="S22" s="10">
        <v>10</v>
      </c>
      <c r="T22" s="10">
        <v>5</v>
      </c>
      <c r="U22" s="2">
        <f t="shared" si="0"/>
        <v>6.8666666666666663</v>
      </c>
      <c r="V22" s="28"/>
      <c r="W22" s="35"/>
    </row>
    <row r="23" spans="1:24" ht="15" customHeight="1" x14ac:dyDescent="0.25">
      <c r="A23" s="33"/>
      <c r="B23" s="28"/>
      <c r="C23" s="8" t="s">
        <v>14</v>
      </c>
      <c r="D23" s="22">
        <v>13</v>
      </c>
      <c r="E23" s="9" t="s">
        <v>43</v>
      </c>
      <c r="F23" s="10">
        <v>9</v>
      </c>
      <c r="G23" s="10">
        <v>8</v>
      </c>
      <c r="H23" s="10">
        <v>10</v>
      </c>
      <c r="I23" s="10">
        <v>10</v>
      </c>
      <c r="J23" s="10">
        <v>10</v>
      </c>
      <c r="K23" s="10">
        <v>8</v>
      </c>
      <c r="L23" s="10">
        <v>7</v>
      </c>
      <c r="M23" s="10">
        <v>8</v>
      </c>
      <c r="N23" s="10">
        <v>7</v>
      </c>
      <c r="O23" s="10">
        <v>6</v>
      </c>
      <c r="P23" s="10">
        <v>8</v>
      </c>
      <c r="Q23" s="10">
        <v>4</v>
      </c>
      <c r="R23" s="10">
        <v>8</v>
      </c>
      <c r="S23" s="10">
        <v>10</v>
      </c>
      <c r="T23" s="10">
        <v>8</v>
      </c>
      <c r="U23" s="2">
        <f t="shared" si="0"/>
        <v>8.0666666666666664</v>
      </c>
      <c r="V23" s="28"/>
      <c r="W23" s="35"/>
    </row>
    <row r="24" spans="1:24" ht="15" customHeight="1" x14ac:dyDescent="0.25">
      <c r="A24" s="33"/>
      <c r="B24" s="28"/>
      <c r="C24" s="8" t="s">
        <v>14</v>
      </c>
      <c r="D24" s="22">
        <v>14</v>
      </c>
      <c r="E24" s="9" t="s">
        <v>44</v>
      </c>
      <c r="F24" s="10">
        <v>10</v>
      </c>
      <c r="G24" s="10">
        <v>6</v>
      </c>
      <c r="H24" s="10">
        <v>9</v>
      </c>
      <c r="I24" s="10">
        <v>9</v>
      </c>
      <c r="J24" s="10">
        <v>9</v>
      </c>
      <c r="K24" s="10">
        <v>9</v>
      </c>
      <c r="L24" s="10">
        <v>7</v>
      </c>
      <c r="M24" s="10">
        <v>7</v>
      </c>
      <c r="N24" s="10">
        <v>8</v>
      </c>
      <c r="O24" s="10">
        <v>4</v>
      </c>
      <c r="P24" s="10">
        <v>6</v>
      </c>
      <c r="Q24" s="10">
        <v>6</v>
      </c>
      <c r="R24" s="10">
        <v>5</v>
      </c>
      <c r="S24" s="10">
        <v>10</v>
      </c>
      <c r="T24" s="10">
        <v>7</v>
      </c>
      <c r="U24" s="2">
        <f t="shared" si="0"/>
        <v>7.4666666666666668</v>
      </c>
      <c r="V24" s="28"/>
      <c r="W24" s="35"/>
    </row>
    <row r="25" spans="1:24" ht="15" customHeight="1" x14ac:dyDescent="0.25">
      <c r="A25" s="33"/>
      <c r="B25" s="28"/>
      <c r="C25" s="8" t="s">
        <v>14</v>
      </c>
      <c r="D25" s="22">
        <v>15</v>
      </c>
      <c r="E25" s="9" t="s">
        <v>45</v>
      </c>
      <c r="F25" s="10">
        <v>10</v>
      </c>
      <c r="G25" s="10">
        <v>10</v>
      </c>
      <c r="H25" s="10">
        <v>8</v>
      </c>
      <c r="I25" s="10">
        <v>10</v>
      </c>
      <c r="J25" s="10">
        <v>9</v>
      </c>
      <c r="K25" s="10">
        <v>9</v>
      </c>
      <c r="L25" s="10">
        <v>8</v>
      </c>
      <c r="M25" s="10">
        <v>7</v>
      </c>
      <c r="N25" s="10">
        <v>8</v>
      </c>
      <c r="O25" s="10">
        <v>5</v>
      </c>
      <c r="P25" s="10">
        <v>9</v>
      </c>
      <c r="Q25" s="10">
        <v>7</v>
      </c>
      <c r="R25" s="10">
        <v>8</v>
      </c>
      <c r="S25" s="10">
        <v>9</v>
      </c>
      <c r="T25" s="10">
        <v>8</v>
      </c>
      <c r="U25" s="2">
        <f t="shared" si="0"/>
        <v>8.3333333333333339</v>
      </c>
      <c r="V25" s="28"/>
      <c r="W25" s="35"/>
    </row>
    <row r="26" spans="1:24" ht="15" customHeight="1" x14ac:dyDescent="0.25">
      <c r="A26" s="33"/>
      <c r="B26" s="28"/>
      <c r="C26" s="8" t="s">
        <v>14</v>
      </c>
      <c r="D26" s="22">
        <v>16</v>
      </c>
      <c r="E26" s="9" t="s">
        <v>46</v>
      </c>
      <c r="F26" s="10">
        <v>6</v>
      </c>
      <c r="G26" s="10">
        <v>6</v>
      </c>
      <c r="H26" s="10">
        <v>7</v>
      </c>
      <c r="I26" s="10">
        <v>7</v>
      </c>
      <c r="J26" s="10">
        <v>7</v>
      </c>
      <c r="K26" s="10">
        <v>4</v>
      </c>
      <c r="L26" s="10">
        <v>4</v>
      </c>
      <c r="M26" s="10" t="s">
        <v>68</v>
      </c>
      <c r="N26" s="10">
        <v>5</v>
      </c>
      <c r="O26" s="10" t="s">
        <v>68</v>
      </c>
      <c r="P26" s="10">
        <v>4</v>
      </c>
      <c r="Q26" s="10">
        <v>4</v>
      </c>
      <c r="R26" s="10">
        <v>4</v>
      </c>
      <c r="S26" s="10">
        <v>4</v>
      </c>
      <c r="T26" s="10">
        <v>5</v>
      </c>
      <c r="U26" s="2" t="str">
        <f t="shared" si="0"/>
        <v>-</v>
      </c>
      <c r="V26" s="28"/>
      <c r="W26" s="35"/>
    </row>
    <row r="27" spans="1:24" ht="15" customHeight="1" x14ac:dyDescent="0.25">
      <c r="A27" s="33"/>
      <c r="B27" s="28"/>
      <c r="C27" s="8" t="s">
        <v>14</v>
      </c>
      <c r="D27" s="22">
        <v>17</v>
      </c>
      <c r="E27" s="9" t="s">
        <v>47</v>
      </c>
      <c r="F27" s="10">
        <v>7</v>
      </c>
      <c r="G27" s="10">
        <v>6</v>
      </c>
      <c r="H27" s="10">
        <v>8</v>
      </c>
      <c r="I27" s="10">
        <v>8</v>
      </c>
      <c r="J27" s="10">
        <v>6</v>
      </c>
      <c r="K27" s="10">
        <v>4</v>
      </c>
      <c r="L27" s="10">
        <v>6</v>
      </c>
      <c r="M27" s="10">
        <v>4</v>
      </c>
      <c r="N27" s="10">
        <v>6</v>
      </c>
      <c r="O27" s="10">
        <v>4</v>
      </c>
      <c r="P27" s="10">
        <v>4</v>
      </c>
      <c r="Q27" s="10">
        <v>6</v>
      </c>
      <c r="R27" s="10">
        <v>4</v>
      </c>
      <c r="S27" s="10">
        <v>10</v>
      </c>
      <c r="T27" s="10">
        <v>5</v>
      </c>
      <c r="U27" s="2">
        <f t="shared" si="0"/>
        <v>5.8666666666666663</v>
      </c>
      <c r="V27" s="28"/>
      <c r="W27" s="35"/>
    </row>
    <row r="28" spans="1:24" ht="15" customHeight="1" x14ac:dyDescent="0.25">
      <c r="A28" s="33"/>
      <c r="B28" s="28"/>
      <c r="C28" s="20" t="s">
        <v>13</v>
      </c>
      <c r="D28" s="22">
        <v>18</v>
      </c>
      <c r="E28" s="9" t="s">
        <v>48</v>
      </c>
      <c r="F28" s="10">
        <v>9</v>
      </c>
      <c r="G28" s="10">
        <v>8</v>
      </c>
      <c r="H28" s="10">
        <v>8</v>
      </c>
      <c r="I28" s="10">
        <v>9</v>
      </c>
      <c r="J28" s="10">
        <v>10</v>
      </c>
      <c r="K28" s="10">
        <v>4</v>
      </c>
      <c r="L28" s="10">
        <v>6</v>
      </c>
      <c r="M28" s="10">
        <v>7</v>
      </c>
      <c r="N28" s="10">
        <v>8</v>
      </c>
      <c r="O28" s="10">
        <v>5</v>
      </c>
      <c r="P28" s="10">
        <v>7</v>
      </c>
      <c r="Q28" s="10">
        <v>6</v>
      </c>
      <c r="R28" s="10">
        <v>5</v>
      </c>
      <c r="S28" s="10">
        <v>8</v>
      </c>
      <c r="T28" s="10">
        <v>7</v>
      </c>
      <c r="U28" s="2">
        <f t="shared" si="0"/>
        <v>7.1333333333333337</v>
      </c>
      <c r="V28" s="28"/>
      <c r="W28" s="35"/>
    </row>
    <row r="29" spans="1:24" ht="15" customHeight="1" x14ac:dyDescent="0.25">
      <c r="A29" s="33"/>
      <c r="B29" s="28"/>
      <c r="C29" s="11"/>
      <c r="D29" s="11"/>
      <c r="E29" s="9" t="s">
        <v>15</v>
      </c>
      <c r="F29" s="3">
        <f>IF(SUM(F11:F28)=0,"",SUM(F11:F28)/$D28)</f>
        <v>7.666666666666667</v>
      </c>
      <c r="G29" s="3">
        <f t="shared" ref="G29:T29" si="1">IF(SUM(G11:G28)=0,"",SUM(G11:G28)/$D28)</f>
        <v>6.833333333333333</v>
      </c>
      <c r="H29" s="3">
        <f t="shared" si="1"/>
        <v>7.7222222222222223</v>
      </c>
      <c r="I29" s="3">
        <f t="shared" si="1"/>
        <v>7.8888888888888893</v>
      </c>
      <c r="J29" s="3">
        <f t="shared" si="1"/>
        <v>6.833333333333333</v>
      </c>
      <c r="K29" s="3">
        <f t="shared" si="1"/>
        <v>6.4444444444444446</v>
      </c>
      <c r="L29" s="3">
        <f t="shared" si="1"/>
        <v>5.7777777777777777</v>
      </c>
      <c r="M29" s="3">
        <f t="shared" si="1"/>
        <v>5.0555555555555554</v>
      </c>
      <c r="N29" s="3">
        <f t="shared" si="1"/>
        <v>6.4444444444444446</v>
      </c>
      <c r="O29" s="3">
        <f t="shared" si="1"/>
        <v>4.4444444444444446</v>
      </c>
      <c r="P29" s="3">
        <f t="shared" si="1"/>
        <v>5.333333333333333</v>
      </c>
      <c r="Q29" s="3">
        <f t="shared" si="1"/>
        <v>5.0555555555555554</v>
      </c>
      <c r="R29" s="3">
        <f t="shared" si="1"/>
        <v>5.3888888888888893</v>
      </c>
      <c r="S29" s="3">
        <f t="shared" si="1"/>
        <v>8</v>
      </c>
      <c r="T29" s="3">
        <f t="shared" si="1"/>
        <v>5.9444444444444446</v>
      </c>
      <c r="U29" s="2">
        <f>IF(COUNTIF(F29:T29,"=*")&gt;0,"-",IF(COUNTIF(F29:T29,"&lt;4")&gt;0,"-",(IFERROR(AVERAGE(F29:T29),""))))</f>
        <v>6.322222222222222</v>
      </c>
      <c r="V29" s="28"/>
      <c r="W29" s="35"/>
    </row>
    <row r="30" spans="1:24" ht="15" customHeight="1" x14ac:dyDescent="0.25">
      <c r="A30" s="33"/>
      <c r="B30" s="28"/>
      <c r="C30" s="11"/>
      <c r="D30" s="11"/>
      <c r="E30" s="9" t="s">
        <v>16</v>
      </c>
      <c r="F30" s="12">
        <f>IF(SUM(F11:F28)=0,"",IF(COUNTIF(F11:F28,"&gt;=4")=0,0,COUNTIF(F11:F28,"&gt;=4")/$D28*100))</f>
        <v>100</v>
      </c>
      <c r="G30" s="12">
        <f t="shared" ref="G30:T30" si="2">IF(SUM(G11:G28)=0,"",IF(COUNTIF(G11:G28,"&gt;=4")=0,0,COUNTIF(G11:G28,"&gt;=4")/$D28*100))</f>
        <v>100</v>
      </c>
      <c r="H30" s="12">
        <f t="shared" si="2"/>
        <v>100</v>
      </c>
      <c r="I30" s="12">
        <f t="shared" si="2"/>
        <v>100</v>
      </c>
      <c r="J30" s="12">
        <f t="shared" si="2"/>
        <v>100</v>
      </c>
      <c r="K30" s="12">
        <f t="shared" si="2"/>
        <v>100</v>
      </c>
      <c r="L30" s="12">
        <f t="shared" si="2"/>
        <v>100</v>
      </c>
      <c r="M30" s="12">
        <f t="shared" si="2"/>
        <v>83.333333333333343</v>
      </c>
      <c r="N30" s="12">
        <f t="shared" si="2"/>
        <v>100</v>
      </c>
      <c r="O30" s="12">
        <f t="shared" si="2"/>
        <v>88.888888888888886</v>
      </c>
      <c r="P30" s="12">
        <f t="shared" si="2"/>
        <v>100</v>
      </c>
      <c r="Q30" s="12">
        <f t="shared" si="2"/>
        <v>100</v>
      </c>
      <c r="R30" s="12">
        <f t="shared" si="2"/>
        <v>100</v>
      </c>
      <c r="S30" s="12">
        <f t="shared" si="2"/>
        <v>100</v>
      </c>
      <c r="T30" s="12">
        <f t="shared" si="2"/>
        <v>100</v>
      </c>
      <c r="U30" s="13"/>
      <c r="V30" s="28"/>
      <c r="W30" s="35"/>
      <c r="X30" s="14"/>
    </row>
    <row r="31" spans="1:24" ht="15" customHeight="1" x14ac:dyDescent="0.25">
      <c r="A31" s="33"/>
      <c r="B31" s="28"/>
      <c r="C31" s="11"/>
      <c r="D31" s="11"/>
      <c r="E31" s="9" t="s">
        <v>17</v>
      </c>
      <c r="F31" s="12">
        <f>IF(SUM(F11:F28)=0,"",IF(COUNTIF(F11:F28,"&gt;=7")=0,0,COUNTIF(F11:F28,"&gt;=7")/$D28*100))</f>
        <v>83.333333333333343</v>
      </c>
      <c r="G31" s="12">
        <f t="shared" ref="G31:T31" si="3">IF(SUM(G11:G28)=0,"",IF(COUNTIF(G11:G28,"&gt;=7")=0,0,COUNTIF(G11:G28,"&gt;=7")/$D28*100))</f>
        <v>61.111111111111114</v>
      </c>
      <c r="H31" s="12">
        <f t="shared" si="3"/>
        <v>66.666666666666657</v>
      </c>
      <c r="I31" s="12">
        <f t="shared" si="3"/>
        <v>88.888888888888886</v>
      </c>
      <c r="J31" s="12">
        <f t="shared" si="3"/>
        <v>44.444444444444443</v>
      </c>
      <c r="K31" s="12">
        <f t="shared" si="3"/>
        <v>55.555555555555557</v>
      </c>
      <c r="L31" s="12">
        <f t="shared" si="3"/>
        <v>44.444444444444443</v>
      </c>
      <c r="M31" s="12">
        <f t="shared" si="3"/>
        <v>38.888888888888893</v>
      </c>
      <c r="N31" s="12">
        <f t="shared" si="3"/>
        <v>55.555555555555557</v>
      </c>
      <c r="O31" s="12">
        <f t="shared" si="3"/>
        <v>5.5555555555555554</v>
      </c>
      <c r="P31" s="12">
        <f t="shared" si="3"/>
        <v>27.777777777777779</v>
      </c>
      <c r="Q31" s="12">
        <f t="shared" si="3"/>
        <v>11.111111111111111</v>
      </c>
      <c r="R31" s="12">
        <f t="shared" si="3"/>
        <v>27.777777777777779</v>
      </c>
      <c r="S31" s="12">
        <f t="shared" si="3"/>
        <v>66.666666666666657</v>
      </c>
      <c r="T31" s="12">
        <f t="shared" si="3"/>
        <v>38.888888888888893</v>
      </c>
      <c r="U31" s="15"/>
      <c r="V31" s="28"/>
      <c r="W31" s="35"/>
      <c r="X31" s="14"/>
    </row>
    <row r="32" spans="1:24" ht="15" customHeight="1" x14ac:dyDescent="0.25">
      <c r="A32" s="33"/>
      <c r="B32" s="28"/>
      <c r="C32" s="11"/>
      <c r="D32" s="11"/>
      <c r="E32" s="9" t="s">
        <v>18</v>
      </c>
      <c r="F32" s="3">
        <f>IFERROR(AVERAGE(F30:T30),"")</f>
        <v>98.148148148148138</v>
      </c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5"/>
      <c r="V32" s="28"/>
      <c r="W32" s="35"/>
      <c r="X32" s="14"/>
    </row>
    <row r="33" spans="1:24" ht="15" customHeight="1" x14ac:dyDescent="0.25">
      <c r="A33" s="33"/>
      <c r="B33" s="28"/>
      <c r="C33" s="11"/>
      <c r="D33" s="11"/>
      <c r="E33" s="9" t="s">
        <v>19</v>
      </c>
      <c r="F33" s="3">
        <f>IFERROR(AVERAGE(F31:T31),"")</f>
        <v>47.777777777777786</v>
      </c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5"/>
      <c r="V33" s="28"/>
      <c r="W33" s="35"/>
      <c r="X33" s="14"/>
    </row>
    <row r="34" spans="1:24" ht="15" customHeight="1" x14ac:dyDescent="0.25">
      <c r="A34" s="33"/>
      <c r="B34" s="28"/>
      <c r="C34" s="11"/>
      <c r="D34" s="11"/>
      <c r="E34" s="9" t="s">
        <v>20</v>
      </c>
      <c r="F34" s="16">
        <f>IF(COUNTIF(C11:C28,"=Б")=0,IF(COUNTIF(C11:C28,"=К")=0,"",0),COUNTIF(C11:C28,"=Б"))</f>
        <v>15</v>
      </c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5"/>
      <c r="V34" s="28"/>
      <c r="W34" s="35"/>
      <c r="X34" s="14"/>
    </row>
    <row r="35" spans="1:24" ht="15" customHeight="1" x14ac:dyDescent="0.25">
      <c r="A35" s="33"/>
      <c r="B35" s="28"/>
      <c r="C35" s="11"/>
      <c r="D35" s="11"/>
      <c r="E35" s="9" t="s">
        <v>21</v>
      </c>
      <c r="F35" s="16">
        <f>IF(COUNTIF(C11:C28,"=К")=0,IF(COUNTIF(C11:C28,"=Б")=0,"",0),COUNTIF(C11:C28,"=К"))</f>
        <v>3</v>
      </c>
      <c r="G35" s="11"/>
      <c r="H35" s="11"/>
      <c r="I35" s="17" t="s">
        <v>22</v>
      </c>
      <c r="J35" s="11"/>
      <c r="K35" s="11"/>
      <c r="L35" s="11"/>
      <c r="M35" s="11"/>
      <c r="N35" s="11"/>
      <c r="O35" s="11"/>
      <c r="P35" s="1" t="s">
        <v>52</v>
      </c>
      <c r="Q35" s="11"/>
      <c r="R35" s="11"/>
      <c r="S35" s="11"/>
      <c r="T35" s="11"/>
      <c r="U35" s="11"/>
      <c r="V35" s="28"/>
      <c r="W35" s="35"/>
    </row>
    <row r="36" spans="1:24" ht="15" customHeight="1" x14ac:dyDescent="0.25">
      <c r="A36" s="33"/>
      <c r="B36" s="28"/>
      <c r="C36" s="11"/>
      <c r="D36" s="11"/>
      <c r="E36" s="9" t="s">
        <v>23</v>
      </c>
      <c r="F36" s="16">
        <v>3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28"/>
      <c r="W36" s="35"/>
    </row>
    <row r="37" spans="1:24" ht="15" customHeight="1" x14ac:dyDescent="0.25">
      <c r="A37" s="33"/>
      <c r="B37" s="28"/>
      <c r="C37" s="11"/>
      <c r="D37" s="11"/>
      <c r="E37" s="9" t="s">
        <v>24</v>
      </c>
      <c r="F37" s="16">
        <v>6</v>
      </c>
      <c r="G37" s="11"/>
      <c r="H37" s="11"/>
      <c r="I37" s="17" t="s">
        <v>64</v>
      </c>
      <c r="J37" s="11"/>
      <c r="K37" s="11"/>
      <c r="L37" s="11"/>
      <c r="M37" s="11"/>
      <c r="N37" s="11"/>
      <c r="O37" s="11"/>
      <c r="P37" s="17" t="s">
        <v>26</v>
      </c>
      <c r="Q37" s="11"/>
      <c r="R37" s="11"/>
      <c r="S37" s="11"/>
      <c r="T37" s="11"/>
      <c r="U37" s="11"/>
      <c r="V37" s="28"/>
      <c r="W37" s="35"/>
    </row>
    <row r="38" spans="1:24" ht="12" customHeight="1" thickBot="1" x14ac:dyDescent="0.3">
      <c r="A38" s="33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</row>
    <row r="39" spans="1:24" ht="12" customHeight="1" x14ac:dyDescent="0.25"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</row>
  </sheetData>
  <sheetProtection selectLockedCells="1"/>
  <sortState ref="E11:E27">
    <sortCondition ref="E11"/>
  </sortState>
  <mergeCells count="18">
    <mergeCell ref="B1:V1"/>
    <mergeCell ref="A2:A38"/>
    <mergeCell ref="B2:V2"/>
    <mergeCell ref="W2:W38"/>
    <mergeCell ref="B3:B37"/>
    <mergeCell ref="C3:U3"/>
    <mergeCell ref="V3:V37"/>
    <mergeCell ref="C4:U4"/>
    <mergeCell ref="C5:U5"/>
    <mergeCell ref="C6:U6"/>
    <mergeCell ref="B38:V38"/>
    <mergeCell ref="B39:V39"/>
    <mergeCell ref="C7:U7"/>
    <mergeCell ref="C8:U8"/>
    <mergeCell ref="C9:C10"/>
    <mergeCell ref="D9:D10"/>
    <mergeCell ref="E9:E10"/>
    <mergeCell ref="F9:U9"/>
  </mergeCells>
  <conditionalFormatting sqref="U11:U29">
    <cfRule type="expression" dxfId="62" priority="5">
      <formula>$V$28&lt;&gt;""</formula>
    </cfRule>
  </conditionalFormatting>
  <conditionalFormatting sqref="D13 D15 D17 D19 D21 D23 D25 D27 C11:T11 F12:T28">
    <cfRule type="expression" dxfId="61" priority="6">
      <formula>$V$11&lt;&gt;""</formula>
    </cfRule>
  </conditionalFormatting>
  <conditionalFormatting sqref="C12:E12 D14 D16 D18 D20 D22 D24 D26 D28">
    <cfRule type="expression" dxfId="60" priority="7">
      <formula>$V$12&lt;&gt;""</formula>
    </cfRule>
  </conditionalFormatting>
  <conditionalFormatting sqref="C13 E13">
    <cfRule type="expression" dxfId="59" priority="8">
      <formula>$V$13&lt;&gt;""</formula>
    </cfRule>
  </conditionalFormatting>
  <conditionalFormatting sqref="C14 E14">
    <cfRule type="expression" dxfId="58" priority="9">
      <formula>$V$14&lt;&gt;""</formula>
    </cfRule>
  </conditionalFormatting>
  <conditionalFormatting sqref="E15:E16 C15:C16">
    <cfRule type="expression" dxfId="57" priority="10">
      <formula>$V$15&lt;&gt;""</formula>
    </cfRule>
  </conditionalFormatting>
  <conditionalFormatting sqref="C17 E17">
    <cfRule type="expression" dxfId="56" priority="11">
      <formula>$V$17&lt;&gt;""</formula>
    </cfRule>
  </conditionalFormatting>
  <conditionalFormatting sqref="C18 E18">
    <cfRule type="expression" dxfId="55" priority="12">
      <formula>$V$18&lt;&gt;""</formula>
    </cfRule>
  </conditionalFormatting>
  <conditionalFormatting sqref="C19 E19">
    <cfRule type="expression" dxfId="54" priority="13">
      <formula>$V$19&lt;&gt;""</formula>
    </cfRule>
  </conditionalFormatting>
  <conditionalFormatting sqref="C20 E20">
    <cfRule type="expression" dxfId="53" priority="14">
      <formula>$V$20&lt;&gt;""</formula>
    </cfRule>
  </conditionalFormatting>
  <conditionalFormatting sqref="C21 E21">
    <cfRule type="expression" dxfId="52" priority="15">
      <formula>$V$21&lt;&gt;""</formula>
    </cfRule>
  </conditionalFormatting>
  <conditionalFormatting sqref="C22 E22">
    <cfRule type="expression" dxfId="51" priority="16">
      <formula>$V$22&lt;&gt;""</formula>
    </cfRule>
  </conditionalFormatting>
  <conditionalFormatting sqref="C23 E23">
    <cfRule type="expression" dxfId="50" priority="17">
      <formula>$V$23&lt;&gt;""</formula>
    </cfRule>
  </conditionalFormatting>
  <conditionalFormatting sqref="C24 E24">
    <cfRule type="expression" dxfId="49" priority="18">
      <formula>$V$24&lt;&gt;""</formula>
    </cfRule>
  </conditionalFormatting>
  <conditionalFormatting sqref="C25 E25">
    <cfRule type="expression" dxfId="48" priority="19">
      <formula>$V$25&lt;&gt;""</formula>
    </cfRule>
  </conditionalFormatting>
  <conditionalFormatting sqref="C26 E26">
    <cfRule type="expression" dxfId="47" priority="20">
      <formula>$V$26&lt;&gt;""</formula>
    </cfRule>
  </conditionalFormatting>
  <conditionalFormatting sqref="C27 E27">
    <cfRule type="expression" dxfId="46" priority="21">
      <formula>$V$27&lt;&gt;""</formula>
    </cfRule>
  </conditionalFormatting>
  <conditionalFormatting sqref="C28 E28">
    <cfRule type="expression" dxfId="45" priority="2">
      <formula>#REF!&lt;&gt;""</formula>
    </cfRule>
  </conditionalFormatting>
  <printOptions horizontalCentered="1"/>
  <pageMargins left="0" right="0" top="0" bottom="0" header="0" footer="0"/>
  <pageSetup paperSize="9" scale="8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H30"/>
  <sheetViews>
    <sheetView topLeftCell="A10" zoomScaleNormal="100" workbookViewId="0">
      <selection activeCell="D21" sqref="D21"/>
    </sheetView>
  </sheetViews>
  <sheetFormatPr defaultColWidth="0" defaultRowHeight="0" customHeight="1" zeroHeight="1" x14ac:dyDescent="0.25"/>
  <cols>
    <col min="1" max="2" width="2.7109375" style="4" customWidth="1"/>
    <col min="3" max="3" width="4.140625" style="4" customWidth="1"/>
    <col min="4" max="4" width="6.5703125" style="4" customWidth="1"/>
    <col min="5" max="5" width="40.42578125" style="4" customWidth="1"/>
    <col min="6" max="20" width="6.7109375" style="4" customWidth="1"/>
    <col min="21" max="22" width="11.28515625" style="4" customWidth="1"/>
    <col min="23" max="24" width="2.7109375" style="4" customWidth="1"/>
    <col min="25" max="30" width="14.42578125" style="4" hidden="1" customWidth="1"/>
    <col min="31" max="31" width="14.85546875" style="4" hidden="1" customWidth="1"/>
    <col min="32" max="45" width="3.7109375" style="4" hidden="1" customWidth="1"/>
    <col min="46" max="60" width="5.7109375" style="4" hidden="1" customWidth="1"/>
    <col min="61" max="16384" width="14.42578125" style="4" hidden="1"/>
  </cols>
  <sheetData>
    <row r="1" spans="1:24" ht="12" customHeight="1" thickBot="1" x14ac:dyDescent="0.3"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</row>
    <row r="2" spans="1:24" ht="12" customHeight="1" x14ac:dyDescent="0.25">
      <c r="A2" s="33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5"/>
    </row>
    <row r="3" spans="1:24" s="5" customFormat="1" ht="54.95" customHeight="1" x14ac:dyDescent="0.3">
      <c r="A3" s="33"/>
      <c r="B3" s="28"/>
      <c r="C3" s="36" t="s">
        <v>67</v>
      </c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28"/>
      <c r="X3" s="35"/>
    </row>
    <row r="4" spans="1:24" s="5" customFormat="1" ht="15" customHeight="1" x14ac:dyDescent="0.25">
      <c r="A4" s="33"/>
      <c r="B4" s="28"/>
      <c r="C4" s="28" t="s">
        <v>0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35"/>
    </row>
    <row r="5" spans="1:24" s="6" customFormat="1" ht="15" customHeight="1" x14ac:dyDescent="0.25">
      <c r="A5" s="33"/>
      <c r="B5" s="28"/>
      <c r="C5" s="38" t="s">
        <v>72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28"/>
      <c r="X5" s="35"/>
    </row>
    <row r="6" spans="1:24" s="5" customFormat="1" ht="15" customHeight="1" x14ac:dyDescent="0.25">
      <c r="A6" s="33"/>
      <c r="B6" s="28"/>
      <c r="C6" s="27" t="s">
        <v>49</v>
      </c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8"/>
      <c r="X6" s="35"/>
    </row>
    <row r="7" spans="1:24" s="5" customFormat="1" ht="15" customHeight="1" x14ac:dyDescent="0.25">
      <c r="A7" s="33"/>
      <c r="B7" s="28"/>
      <c r="C7" s="27" t="s">
        <v>66</v>
      </c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8"/>
      <c r="X7" s="35"/>
    </row>
    <row r="8" spans="1:24" s="5" customFormat="1" ht="15" customHeight="1" x14ac:dyDescent="0.25">
      <c r="A8" s="33"/>
      <c r="B8" s="28"/>
      <c r="C8" s="28" t="s">
        <v>50</v>
      </c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35"/>
    </row>
    <row r="9" spans="1:24" ht="15" customHeight="1" x14ac:dyDescent="0.25">
      <c r="A9" s="33"/>
      <c r="B9" s="28"/>
      <c r="C9" s="29" t="s">
        <v>1</v>
      </c>
      <c r="D9" s="31" t="s">
        <v>2</v>
      </c>
      <c r="E9" s="31" t="s">
        <v>3</v>
      </c>
      <c r="F9" s="30" t="s">
        <v>29</v>
      </c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28"/>
      <c r="X9" s="35"/>
    </row>
    <row r="10" spans="1:24" ht="125.1" customHeight="1" x14ac:dyDescent="0.25">
      <c r="A10" s="33"/>
      <c r="B10" s="28"/>
      <c r="C10" s="30"/>
      <c r="D10" s="30"/>
      <c r="E10" s="30"/>
      <c r="F10" s="18" t="s">
        <v>65</v>
      </c>
      <c r="G10" s="18" t="s">
        <v>4</v>
      </c>
      <c r="H10" s="18" t="s">
        <v>5</v>
      </c>
      <c r="I10" s="18" t="s">
        <v>6</v>
      </c>
      <c r="J10" s="18" t="s">
        <v>28</v>
      </c>
      <c r="K10" s="18" t="s">
        <v>70</v>
      </c>
      <c r="L10" s="18" t="s">
        <v>69</v>
      </c>
      <c r="M10" s="18" t="s">
        <v>7</v>
      </c>
      <c r="N10" s="18" t="s">
        <v>8</v>
      </c>
      <c r="O10" s="18" t="s">
        <v>71</v>
      </c>
      <c r="P10" s="18" t="s">
        <v>30</v>
      </c>
      <c r="Q10" s="18" t="s">
        <v>31</v>
      </c>
      <c r="R10" s="18" t="s">
        <v>9</v>
      </c>
      <c r="S10" s="18" t="s">
        <v>10</v>
      </c>
      <c r="T10" s="18" t="s">
        <v>11</v>
      </c>
      <c r="U10" s="7" t="s">
        <v>12</v>
      </c>
      <c r="V10" s="7" t="s">
        <v>73</v>
      </c>
      <c r="W10" s="28"/>
      <c r="X10" s="35"/>
    </row>
    <row r="11" spans="1:24" ht="15" customHeight="1" x14ac:dyDescent="0.25">
      <c r="A11" s="33"/>
      <c r="B11" s="28"/>
      <c r="C11" s="40" t="s">
        <v>14</v>
      </c>
      <c r="D11" s="40">
        <v>1</v>
      </c>
      <c r="E11" s="41" t="s">
        <v>45</v>
      </c>
      <c r="F11" s="42">
        <v>10</v>
      </c>
      <c r="G11" s="42">
        <v>10</v>
      </c>
      <c r="H11" s="42">
        <v>8</v>
      </c>
      <c r="I11" s="42">
        <v>10</v>
      </c>
      <c r="J11" s="42">
        <v>9</v>
      </c>
      <c r="K11" s="42">
        <v>9</v>
      </c>
      <c r="L11" s="42">
        <v>8</v>
      </c>
      <c r="M11" s="42">
        <v>7</v>
      </c>
      <c r="N11" s="42">
        <v>8</v>
      </c>
      <c r="O11" s="42">
        <v>5</v>
      </c>
      <c r="P11" s="42">
        <v>9</v>
      </c>
      <c r="Q11" s="42">
        <v>7</v>
      </c>
      <c r="R11" s="42">
        <v>8</v>
      </c>
      <c r="S11" s="42">
        <v>9</v>
      </c>
      <c r="T11" s="42">
        <v>8</v>
      </c>
      <c r="U11" s="43">
        <f>IF(COUNTIF(F11:T11,"=*")&gt;0,"-",IF(COUNTIF(F11:T11,"&lt;4")&gt;0,"-",(IFERROR(AVERAGE(F11:T11),""))))</f>
        <v>8.3333333333333339</v>
      </c>
      <c r="V11" s="43">
        <f>U11/12*90</f>
        <v>62.500000000000007</v>
      </c>
      <c r="W11" s="28"/>
      <c r="X11" s="35"/>
    </row>
    <row r="12" spans="1:24" ht="15" customHeight="1" x14ac:dyDescent="0.25">
      <c r="A12" s="33"/>
      <c r="B12" s="28"/>
      <c r="C12" s="40" t="s">
        <v>14</v>
      </c>
      <c r="D12" s="40">
        <v>2</v>
      </c>
      <c r="E12" s="41" t="s">
        <v>40</v>
      </c>
      <c r="F12" s="42">
        <v>10</v>
      </c>
      <c r="G12" s="42">
        <v>9</v>
      </c>
      <c r="H12" s="42">
        <v>10</v>
      </c>
      <c r="I12" s="42">
        <v>10</v>
      </c>
      <c r="J12" s="42">
        <v>10</v>
      </c>
      <c r="K12" s="42">
        <v>8</v>
      </c>
      <c r="L12" s="42">
        <v>7</v>
      </c>
      <c r="M12" s="42">
        <v>8</v>
      </c>
      <c r="N12" s="42">
        <v>7</v>
      </c>
      <c r="O12" s="42">
        <v>5</v>
      </c>
      <c r="P12" s="42">
        <v>9</v>
      </c>
      <c r="Q12" s="42">
        <v>8</v>
      </c>
      <c r="R12" s="42">
        <v>7</v>
      </c>
      <c r="S12" s="42">
        <v>9</v>
      </c>
      <c r="T12" s="42">
        <v>7</v>
      </c>
      <c r="U12" s="43">
        <f>IF(COUNTIF(F12:T12,"=*")&gt;0,"-",IF(COUNTIF(F12:T12,"&lt;4")&gt;0,"-",(IFERROR(AVERAGE(F12:T12),""))))</f>
        <v>8.2666666666666675</v>
      </c>
      <c r="V12" s="43">
        <f>U12/12*90</f>
        <v>62.000000000000007</v>
      </c>
      <c r="W12" s="28"/>
      <c r="X12" s="35"/>
    </row>
    <row r="13" spans="1:24" ht="15" customHeight="1" x14ac:dyDescent="0.25">
      <c r="A13" s="33"/>
      <c r="B13" s="28"/>
      <c r="C13" s="40" t="s">
        <v>14</v>
      </c>
      <c r="D13" s="40">
        <v>3</v>
      </c>
      <c r="E13" s="41" t="s">
        <v>36</v>
      </c>
      <c r="F13" s="42">
        <v>9</v>
      </c>
      <c r="G13" s="42">
        <v>9</v>
      </c>
      <c r="H13" s="42">
        <v>9</v>
      </c>
      <c r="I13" s="42">
        <v>8</v>
      </c>
      <c r="J13" s="42">
        <v>9</v>
      </c>
      <c r="K13" s="42">
        <v>8</v>
      </c>
      <c r="L13" s="42">
        <v>8</v>
      </c>
      <c r="M13" s="42">
        <v>9</v>
      </c>
      <c r="N13" s="42">
        <v>8</v>
      </c>
      <c r="O13" s="42">
        <v>6</v>
      </c>
      <c r="P13" s="42">
        <v>8</v>
      </c>
      <c r="Q13" s="42">
        <v>6</v>
      </c>
      <c r="R13" s="42">
        <v>7</v>
      </c>
      <c r="S13" s="42">
        <v>11</v>
      </c>
      <c r="T13" s="42">
        <v>7</v>
      </c>
      <c r="U13" s="43">
        <f>IF(COUNTIF(F13:T13,"=*")&gt;0,"-",IF(COUNTIF(F13:T13,"&lt;4")&gt;0,"-",(IFERROR(AVERAGE(F13:T13),""))))</f>
        <v>8.1333333333333329</v>
      </c>
      <c r="V13" s="43">
        <f>U13/12*90</f>
        <v>60.999999999999993</v>
      </c>
      <c r="W13" s="28"/>
      <c r="X13" s="35"/>
    </row>
    <row r="14" spans="1:24" ht="15" customHeight="1" x14ac:dyDescent="0.25">
      <c r="A14" s="33"/>
      <c r="B14" s="28"/>
      <c r="C14" s="40" t="s">
        <v>14</v>
      </c>
      <c r="D14" s="40">
        <v>4</v>
      </c>
      <c r="E14" s="41" t="s">
        <v>43</v>
      </c>
      <c r="F14" s="42">
        <v>9</v>
      </c>
      <c r="G14" s="42">
        <v>8</v>
      </c>
      <c r="H14" s="42">
        <v>10</v>
      </c>
      <c r="I14" s="42">
        <v>10</v>
      </c>
      <c r="J14" s="42">
        <v>10</v>
      </c>
      <c r="K14" s="42">
        <v>8</v>
      </c>
      <c r="L14" s="42">
        <v>7</v>
      </c>
      <c r="M14" s="42">
        <v>8</v>
      </c>
      <c r="N14" s="42">
        <v>7</v>
      </c>
      <c r="O14" s="42">
        <v>6</v>
      </c>
      <c r="P14" s="42">
        <v>8</v>
      </c>
      <c r="Q14" s="42">
        <v>4</v>
      </c>
      <c r="R14" s="42">
        <v>8</v>
      </c>
      <c r="S14" s="42">
        <v>10</v>
      </c>
      <c r="T14" s="42">
        <v>8</v>
      </c>
      <c r="U14" s="43">
        <f>IF(COUNTIF(F14:T14,"=*")&gt;0,"-",IF(COUNTIF(F14:T14,"&lt;4")&gt;0,"-",(IFERROR(AVERAGE(F14:T14),""))))</f>
        <v>8.0666666666666664</v>
      </c>
      <c r="V14" s="43">
        <f>U14/12*90</f>
        <v>60.499999999999993</v>
      </c>
      <c r="W14" s="28"/>
      <c r="X14" s="35"/>
    </row>
    <row r="15" spans="1:24" ht="15" customHeight="1" x14ac:dyDescent="0.25">
      <c r="A15" s="33"/>
      <c r="B15" s="28"/>
      <c r="C15" s="40" t="s">
        <v>14</v>
      </c>
      <c r="D15" s="40">
        <v>5</v>
      </c>
      <c r="E15" s="41" t="s">
        <v>44</v>
      </c>
      <c r="F15" s="42">
        <v>10</v>
      </c>
      <c r="G15" s="42">
        <v>6</v>
      </c>
      <c r="H15" s="42">
        <v>9</v>
      </c>
      <c r="I15" s="42">
        <v>9</v>
      </c>
      <c r="J15" s="42">
        <v>9</v>
      </c>
      <c r="K15" s="42">
        <v>9</v>
      </c>
      <c r="L15" s="42">
        <v>7</v>
      </c>
      <c r="M15" s="42">
        <v>7</v>
      </c>
      <c r="N15" s="42">
        <v>8</v>
      </c>
      <c r="O15" s="42">
        <v>4</v>
      </c>
      <c r="P15" s="42">
        <v>6</v>
      </c>
      <c r="Q15" s="42">
        <v>6</v>
      </c>
      <c r="R15" s="42">
        <v>5</v>
      </c>
      <c r="S15" s="42">
        <v>10</v>
      </c>
      <c r="T15" s="42">
        <v>7</v>
      </c>
      <c r="U15" s="43">
        <f>IF(COUNTIF(F15:T15,"=*")&gt;0,"-",IF(COUNTIF(F15:T15,"&lt;4")&gt;0,"-",(IFERROR(AVERAGE(F15:T15),""))))</f>
        <v>7.4666666666666668</v>
      </c>
      <c r="V15" s="43">
        <f>U15/12*90</f>
        <v>56</v>
      </c>
      <c r="W15" s="28"/>
      <c r="X15" s="35"/>
    </row>
    <row r="16" spans="1:24" ht="15" customHeight="1" x14ac:dyDescent="0.25">
      <c r="A16" s="33"/>
      <c r="B16" s="28"/>
      <c r="C16" s="40" t="s">
        <v>14</v>
      </c>
      <c r="D16" s="40">
        <v>6</v>
      </c>
      <c r="E16" s="41" t="s">
        <v>39</v>
      </c>
      <c r="F16" s="42">
        <v>8</v>
      </c>
      <c r="G16" s="42">
        <v>8</v>
      </c>
      <c r="H16" s="42">
        <v>8</v>
      </c>
      <c r="I16" s="42">
        <v>9</v>
      </c>
      <c r="J16" s="42">
        <v>8</v>
      </c>
      <c r="K16" s="42">
        <v>4</v>
      </c>
      <c r="L16" s="42">
        <v>8</v>
      </c>
      <c r="M16" s="42">
        <v>8</v>
      </c>
      <c r="N16" s="42">
        <v>8</v>
      </c>
      <c r="O16" s="42">
        <v>9</v>
      </c>
      <c r="P16" s="42">
        <v>4</v>
      </c>
      <c r="Q16" s="42">
        <v>6</v>
      </c>
      <c r="R16" s="42">
        <v>9</v>
      </c>
      <c r="S16" s="42">
        <v>5</v>
      </c>
      <c r="T16" s="42">
        <v>8</v>
      </c>
      <c r="U16" s="43">
        <f>IF(COUNTIF(F16:T16,"=*")&gt;0,"-",IF(COUNTIF(F16:T16,"&lt;4")&gt;0,"-",(IFERROR(AVERAGE(F16:T16),""))))</f>
        <v>7.333333333333333</v>
      </c>
      <c r="V16" s="43">
        <f>U16/12*90</f>
        <v>54.999999999999993</v>
      </c>
      <c r="W16" s="28"/>
      <c r="X16" s="35"/>
    </row>
    <row r="17" spans="1:25" ht="15" customHeight="1" x14ac:dyDescent="0.25">
      <c r="A17" s="33"/>
      <c r="B17" s="28"/>
      <c r="C17" s="25" t="s">
        <v>14</v>
      </c>
      <c r="D17" s="25">
        <v>7</v>
      </c>
      <c r="E17" s="9" t="s">
        <v>42</v>
      </c>
      <c r="F17" s="10">
        <v>8</v>
      </c>
      <c r="G17" s="10">
        <v>8</v>
      </c>
      <c r="H17" s="10">
        <v>9</v>
      </c>
      <c r="I17" s="10">
        <v>8</v>
      </c>
      <c r="J17" s="10">
        <v>5</v>
      </c>
      <c r="K17" s="10">
        <v>8</v>
      </c>
      <c r="L17" s="10">
        <v>8</v>
      </c>
      <c r="M17" s="10">
        <v>6</v>
      </c>
      <c r="N17" s="10">
        <v>8</v>
      </c>
      <c r="O17" s="10">
        <v>5</v>
      </c>
      <c r="P17" s="10">
        <v>4</v>
      </c>
      <c r="Q17" s="10">
        <v>6</v>
      </c>
      <c r="R17" s="10">
        <v>5</v>
      </c>
      <c r="S17" s="10">
        <v>10</v>
      </c>
      <c r="T17" s="10">
        <v>5</v>
      </c>
      <c r="U17" s="39">
        <f>IF(COUNTIF(F17:T17,"=*")&gt;0,"-",IF(COUNTIF(F17:T17,"&lt;4")&gt;0,"-",(IFERROR(AVERAGE(F17:T17),""))))</f>
        <v>6.8666666666666663</v>
      </c>
      <c r="V17" s="39">
        <f>U17/12*90</f>
        <v>51.5</v>
      </c>
      <c r="W17" s="28"/>
      <c r="X17" s="35"/>
    </row>
    <row r="18" spans="1:25" ht="15" customHeight="1" x14ac:dyDescent="0.25">
      <c r="A18" s="33"/>
      <c r="B18" s="28"/>
      <c r="C18" s="25" t="s">
        <v>14</v>
      </c>
      <c r="D18" s="25">
        <v>8</v>
      </c>
      <c r="E18" s="9" t="s">
        <v>37</v>
      </c>
      <c r="F18" s="10">
        <v>7</v>
      </c>
      <c r="G18" s="10">
        <v>8</v>
      </c>
      <c r="H18" s="10">
        <v>8</v>
      </c>
      <c r="I18" s="10">
        <v>8</v>
      </c>
      <c r="J18" s="10">
        <v>6</v>
      </c>
      <c r="K18" s="10">
        <v>8</v>
      </c>
      <c r="L18" s="10">
        <v>7</v>
      </c>
      <c r="M18" s="10">
        <v>5</v>
      </c>
      <c r="N18" s="10">
        <v>8</v>
      </c>
      <c r="O18" s="10">
        <v>6</v>
      </c>
      <c r="P18" s="10">
        <v>5</v>
      </c>
      <c r="Q18" s="10">
        <v>4</v>
      </c>
      <c r="R18" s="10">
        <v>5</v>
      </c>
      <c r="S18" s="10">
        <v>9</v>
      </c>
      <c r="T18" s="10">
        <v>6</v>
      </c>
      <c r="U18" s="39">
        <f>IF(COUNTIF(F18:T18,"=*")&gt;0,"-",IF(COUNTIF(F18:T18,"&lt;4")&gt;0,"-",(IFERROR(AVERAGE(F18:T18),""))))</f>
        <v>6.666666666666667</v>
      </c>
      <c r="V18" s="39">
        <f>U18/12*90</f>
        <v>50</v>
      </c>
      <c r="W18" s="28"/>
      <c r="X18" s="35"/>
    </row>
    <row r="19" spans="1:25" ht="15" customHeight="1" x14ac:dyDescent="0.25">
      <c r="A19" s="33"/>
      <c r="B19" s="28"/>
      <c r="C19" s="25" t="s">
        <v>14</v>
      </c>
      <c r="D19" s="25">
        <v>9</v>
      </c>
      <c r="E19" s="9" t="s">
        <v>38</v>
      </c>
      <c r="F19" s="10">
        <v>7</v>
      </c>
      <c r="G19" s="10">
        <v>7</v>
      </c>
      <c r="H19" s="10">
        <v>10</v>
      </c>
      <c r="I19" s="10">
        <v>7</v>
      </c>
      <c r="J19" s="10">
        <v>5</v>
      </c>
      <c r="K19" s="10">
        <v>9</v>
      </c>
      <c r="L19" s="10">
        <v>4</v>
      </c>
      <c r="M19" s="10">
        <v>5</v>
      </c>
      <c r="N19" s="10">
        <v>5</v>
      </c>
      <c r="O19" s="10">
        <v>4</v>
      </c>
      <c r="P19" s="10">
        <v>4</v>
      </c>
      <c r="Q19" s="10">
        <v>4</v>
      </c>
      <c r="R19" s="10">
        <v>4</v>
      </c>
      <c r="S19" s="10">
        <v>10</v>
      </c>
      <c r="T19" s="10">
        <v>5</v>
      </c>
      <c r="U19" s="39">
        <f>IF(COUNTIF(F19:T19,"=*")&gt;0,"-",IF(COUNTIF(F19:T19,"&lt;4")&gt;0,"-",(IFERROR(AVERAGE(F19:T19),""))))</f>
        <v>6</v>
      </c>
      <c r="V19" s="39">
        <f>U19/12*90</f>
        <v>45</v>
      </c>
      <c r="W19" s="28"/>
      <c r="X19" s="35"/>
    </row>
    <row r="20" spans="1:25" ht="15" customHeight="1" x14ac:dyDescent="0.25">
      <c r="A20" s="33"/>
      <c r="B20" s="28"/>
      <c r="C20" s="25" t="s">
        <v>14</v>
      </c>
      <c r="D20" s="25">
        <v>10</v>
      </c>
      <c r="E20" s="9" t="s">
        <v>47</v>
      </c>
      <c r="F20" s="10">
        <v>7</v>
      </c>
      <c r="G20" s="10">
        <v>6</v>
      </c>
      <c r="H20" s="10">
        <v>8</v>
      </c>
      <c r="I20" s="10">
        <v>8</v>
      </c>
      <c r="J20" s="10">
        <v>6</v>
      </c>
      <c r="K20" s="10">
        <v>4</v>
      </c>
      <c r="L20" s="10">
        <v>6</v>
      </c>
      <c r="M20" s="10">
        <v>4</v>
      </c>
      <c r="N20" s="10">
        <v>6</v>
      </c>
      <c r="O20" s="10">
        <v>4</v>
      </c>
      <c r="P20" s="10">
        <v>4</v>
      </c>
      <c r="Q20" s="10">
        <v>6</v>
      </c>
      <c r="R20" s="10">
        <v>4</v>
      </c>
      <c r="S20" s="10">
        <v>10</v>
      </c>
      <c r="T20" s="10">
        <v>5</v>
      </c>
      <c r="U20" s="39">
        <f>IF(COUNTIF(F20:T20,"=*")&gt;0,"-",IF(COUNTIF(F20:T20,"&lt;4")&gt;0,"-",(IFERROR(AVERAGE(F20:T20),""))))</f>
        <v>5.8666666666666663</v>
      </c>
      <c r="V20" s="39">
        <f>U20/12*90</f>
        <v>44</v>
      </c>
      <c r="W20" s="28"/>
      <c r="X20" s="35"/>
    </row>
    <row r="21" spans="1:25" ht="15" customHeight="1" x14ac:dyDescent="0.25">
      <c r="A21" s="33"/>
      <c r="B21" s="28"/>
      <c r="C21" s="25" t="s">
        <v>14</v>
      </c>
      <c r="D21" s="25">
        <v>11</v>
      </c>
      <c r="E21" s="9" t="s">
        <v>35</v>
      </c>
      <c r="F21" s="10">
        <v>7</v>
      </c>
      <c r="G21" s="10">
        <v>7</v>
      </c>
      <c r="H21" s="10">
        <v>6</v>
      </c>
      <c r="I21" s="10">
        <v>7</v>
      </c>
      <c r="J21" s="10">
        <v>5</v>
      </c>
      <c r="K21" s="10">
        <v>9</v>
      </c>
      <c r="L21" s="10">
        <v>4</v>
      </c>
      <c r="M21" s="10">
        <v>4</v>
      </c>
      <c r="N21" s="10">
        <v>7</v>
      </c>
      <c r="O21" s="10">
        <v>4</v>
      </c>
      <c r="P21" s="10">
        <v>4</v>
      </c>
      <c r="Q21" s="10">
        <v>4</v>
      </c>
      <c r="R21" s="10">
        <v>6</v>
      </c>
      <c r="S21" s="10">
        <v>6</v>
      </c>
      <c r="T21" s="10">
        <v>6</v>
      </c>
      <c r="U21" s="39">
        <f>IF(COUNTIF(F21:T21,"=*")&gt;0,"-",IF(COUNTIF(F21:T21,"&lt;4")&gt;0,"-",(IFERROR(AVERAGE(F21:T21),""))))</f>
        <v>5.7333333333333334</v>
      </c>
      <c r="V21" s="39">
        <f>U21/12*90</f>
        <v>43</v>
      </c>
      <c r="W21" s="28"/>
      <c r="X21" s="35"/>
    </row>
    <row r="22" spans="1:25" ht="15" customHeight="1" x14ac:dyDescent="0.25">
      <c r="A22" s="33"/>
      <c r="B22" s="28"/>
      <c r="C22" s="25" t="s">
        <v>14</v>
      </c>
      <c r="D22" s="25">
        <v>12</v>
      </c>
      <c r="E22" s="9" t="s">
        <v>32</v>
      </c>
      <c r="F22" s="10">
        <v>7</v>
      </c>
      <c r="G22" s="10">
        <v>7</v>
      </c>
      <c r="H22" s="10">
        <v>6</v>
      </c>
      <c r="I22" s="10">
        <v>7</v>
      </c>
      <c r="J22" s="10">
        <v>6</v>
      </c>
      <c r="K22" s="10">
        <v>8</v>
      </c>
      <c r="L22" s="10">
        <v>4</v>
      </c>
      <c r="M22" s="10">
        <v>5</v>
      </c>
      <c r="N22" s="10">
        <v>4</v>
      </c>
      <c r="O22" s="10">
        <v>4</v>
      </c>
      <c r="P22" s="10">
        <v>4</v>
      </c>
      <c r="Q22" s="10">
        <v>4</v>
      </c>
      <c r="R22" s="10">
        <v>4</v>
      </c>
      <c r="S22" s="10">
        <v>10</v>
      </c>
      <c r="T22" s="10">
        <v>5</v>
      </c>
      <c r="U22" s="39">
        <f>IF(COUNTIF(F22:T22,"=*")&gt;0,"-",IF(COUNTIF(F22:T22,"&lt;4")&gt;0,"-",(IFERROR(AVERAGE(F22:T22),""))))</f>
        <v>5.666666666666667</v>
      </c>
      <c r="V22" s="39">
        <f>U22/12*90</f>
        <v>42.500000000000007</v>
      </c>
      <c r="W22" s="28"/>
      <c r="X22" s="35"/>
    </row>
    <row r="23" spans="1:25" ht="15" customHeight="1" x14ac:dyDescent="0.25">
      <c r="A23" s="33"/>
      <c r="B23" s="28"/>
      <c r="C23" s="25" t="s">
        <v>14</v>
      </c>
      <c r="D23" s="25">
        <v>13</v>
      </c>
      <c r="E23" s="9" t="s">
        <v>34</v>
      </c>
      <c r="F23" s="10">
        <v>8</v>
      </c>
      <c r="G23" s="10">
        <v>4</v>
      </c>
      <c r="H23" s="10">
        <v>6</v>
      </c>
      <c r="I23" s="10">
        <v>8</v>
      </c>
      <c r="J23" s="10">
        <v>5</v>
      </c>
      <c r="K23" s="10">
        <v>4</v>
      </c>
      <c r="L23" s="10">
        <v>4</v>
      </c>
      <c r="M23" s="10">
        <v>4</v>
      </c>
      <c r="N23" s="10">
        <v>4</v>
      </c>
      <c r="O23" s="10">
        <v>4</v>
      </c>
      <c r="P23" s="10">
        <v>4</v>
      </c>
      <c r="Q23" s="10">
        <v>4</v>
      </c>
      <c r="R23" s="10">
        <v>4</v>
      </c>
      <c r="S23" s="10">
        <v>9</v>
      </c>
      <c r="T23" s="10">
        <v>5</v>
      </c>
      <c r="U23" s="39">
        <f>IF(COUNTIF(F23:T23,"=*")&gt;0,"-",IF(COUNTIF(F23:T23,"&lt;4")&gt;0,"-",(IFERROR(AVERAGE(F23:T23),""))))</f>
        <v>5.1333333333333337</v>
      </c>
      <c r="V23" s="39">
        <f>U23/12*90</f>
        <v>38.5</v>
      </c>
      <c r="W23" s="28"/>
      <c r="X23" s="35"/>
    </row>
    <row r="24" spans="1:25" ht="15" customHeight="1" x14ac:dyDescent="0.25">
      <c r="A24" s="33"/>
      <c r="B24" s="28"/>
      <c r="C24" s="25" t="s">
        <v>14</v>
      </c>
      <c r="D24" s="25">
        <v>14</v>
      </c>
      <c r="E24" s="9" t="s">
        <v>41</v>
      </c>
      <c r="F24" s="10">
        <v>4</v>
      </c>
      <c r="G24" s="10">
        <v>4</v>
      </c>
      <c r="H24" s="10">
        <v>5</v>
      </c>
      <c r="I24" s="10">
        <v>4</v>
      </c>
      <c r="J24" s="10">
        <v>4</v>
      </c>
      <c r="K24" s="10">
        <v>4</v>
      </c>
      <c r="L24" s="10">
        <v>4</v>
      </c>
      <c r="M24" s="10">
        <v>4</v>
      </c>
      <c r="N24" s="10">
        <v>4</v>
      </c>
      <c r="O24" s="10">
        <v>4</v>
      </c>
      <c r="P24" s="10">
        <v>4</v>
      </c>
      <c r="Q24" s="10">
        <v>4</v>
      </c>
      <c r="R24" s="10">
        <v>4</v>
      </c>
      <c r="S24" s="10">
        <v>5</v>
      </c>
      <c r="T24" s="10">
        <v>4</v>
      </c>
      <c r="U24" s="39">
        <f>IF(COUNTIF(F24:T24,"=*")&gt;0,"-",IF(COUNTIF(F24:T24,"&lt;4")&gt;0,"-",(IFERROR(AVERAGE(F24:T24),""))))</f>
        <v>4.1333333333333337</v>
      </c>
      <c r="V24" s="39">
        <f>U24/12*90</f>
        <v>31.000000000000004</v>
      </c>
      <c r="W24" s="28"/>
      <c r="X24" s="35"/>
    </row>
    <row r="25" spans="1:25" ht="15" customHeight="1" x14ac:dyDescent="0.25">
      <c r="A25" s="33"/>
      <c r="B25" s="28"/>
      <c r="C25" s="11"/>
      <c r="D25" s="11"/>
      <c r="E25" s="9" t="s">
        <v>20</v>
      </c>
      <c r="F25" s="24">
        <f>'Зведена 141'!F34</f>
        <v>15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23"/>
      <c r="V25" s="23"/>
      <c r="W25" s="28"/>
      <c r="X25" s="35"/>
      <c r="Y25" s="14"/>
    </row>
    <row r="26" spans="1:25" ht="15" customHeight="1" x14ac:dyDescent="0.25">
      <c r="A26" s="33"/>
      <c r="B26" s="28"/>
      <c r="C26" s="11"/>
      <c r="D26" s="11"/>
      <c r="E26" s="9" t="s">
        <v>21</v>
      </c>
      <c r="F26" s="24">
        <f>'Зведена 141'!F35</f>
        <v>3</v>
      </c>
      <c r="G26" s="11"/>
      <c r="H26" s="11"/>
      <c r="I26" s="17" t="s">
        <v>22</v>
      </c>
      <c r="J26" s="11"/>
      <c r="K26" s="11"/>
      <c r="L26" s="11"/>
      <c r="M26" s="11"/>
      <c r="N26" s="11"/>
      <c r="O26" s="11"/>
      <c r="P26" s="1" t="s">
        <v>52</v>
      </c>
      <c r="Q26" s="11"/>
      <c r="R26" s="11"/>
      <c r="S26" s="11"/>
      <c r="T26" s="11"/>
      <c r="U26" s="11"/>
      <c r="V26" s="11"/>
      <c r="W26" s="28"/>
      <c r="X26" s="35"/>
    </row>
    <row r="27" spans="1:25" ht="15" customHeight="1" x14ac:dyDescent="0.25">
      <c r="A27" s="33"/>
      <c r="B27" s="28"/>
      <c r="C27" s="11"/>
      <c r="D27" s="11"/>
      <c r="E27" s="9" t="s">
        <v>23</v>
      </c>
      <c r="F27" s="24">
        <f>'Зведена 141'!F36</f>
        <v>3</v>
      </c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28"/>
      <c r="X27" s="35"/>
    </row>
    <row r="28" spans="1:25" ht="15" customHeight="1" x14ac:dyDescent="0.25">
      <c r="A28" s="33"/>
      <c r="B28" s="28"/>
      <c r="C28" s="11"/>
      <c r="D28" s="11"/>
      <c r="E28" s="9" t="s">
        <v>24</v>
      </c>
      <c r="F28" s="24">
        <f>'Зведена 141'!F37</f>
        <v>6</v>
      </c>
      <c r="G28" s="11"/>
      <c r="H28" s="11"/>
      <c r="I28" s="17" t="s">
        <v>64</v>
      </c>
      <c r="J28" s="11"/>
      <c r="K28" s="11"/>
      <c r="L28" s="11"/>
      <c r="M28" s="11"/>
      <c r="N28" s="11"/>
      <c r="O28" s="11"/>
      <c r="P28" s="17" t="s">
        <v>26</v>
      </c>
      <c r="Q28" s="11"/>
      <c r="R28" s="11"/>
      <c r="S28" s="11"/>
      <c r="T28" s="11"/>
      <c r="U28" s="11"/>
      <c r="V28" s="11"/>
      <c r="W28" s="28"/>
      <c r="X28" s="35"/>
    </row>
    <row r="29" spans="1:25" ht="12" customHeight="1" thickBot="1" x14ac:dyDescent="0.3">
      <c r="A29" s="33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5"/>
    </row>
    <row r="30" spans="1:25" ht="12" customHeight="1" x14ac:dyDescent="0.25"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</row>
  </sheetData>
  <sheetProtection selectLockedCells="1"/>
  <sortState ref="C11:V24">
    <sortCondition descending="1" ref="U11:U24"/>
  </sortState>
  <mergeCells count="18">
    <mergeCell ref="B29:W29"/>
    <mergeCell ref="B30:W30"/>
    <mergeCell ref="C7:V7"/>
    <mergeCell ref="C8:V8"/>
    <mergeCell ref="C9:C10"/>
    <mergeCell ref="D9:D10"/>
    <mergeCell ref="E9:E10"/>
    <mergeCell ref="F9:V9"/>
    <mergeCell ref="B1:W1"/>
    <mergeCell ref="A2:A29"/>
    <mergeCell ref="B2:W2"/>
    <mergeCell ref="X2:X29"/>
    <mergeCell ref="B3:B28"/>
    <mergeCell ref="C3:V3"/>
    <mergeCell ref="W3:W28"/>
    <mergeCell ref="C4:V4"/>
    <mergeCell ref="C5:V5"/>
    <mergeCell ref="C6:V6"/>
  </mergeCells>
  <conditionalFormatting sqref="C11:T11 F12:T20 D12:D20 D22:D24 F22:T24">
    <cfRule type="expression" dxfId="44" priority="8">
      <formula>$W$11&lt;&gt;""</formula>
    </cfRule>
  </conditionalFormatting>
  <conditionalFormatting sqref="C12 E12">
    <cfRule type="expression" dxfId="43" priority="10">
      <formula>$W$12&lt;&gt;""</formula>
    </cfRule>
  </conditionalFormatting>
  <conditionalFormatting sqref="C13 E13">
    <cfRule type="expression" dxfId="42" priority="11">
      <formula>$W$13&lt;&gt;""</formula>
    </cfRule>
  </conditionalFormatting>
  <conditionalFormatting sqref="E14 C14">
    <cfRule type="expression" dxfId="41" priority="12">
      <formula>$W$14&lt;&gt;""</formula>
    </cfRule>
  </conditionalFormatting>
  <conditionalFormatting sqref="C15 E15">
    <cfRule type="expression" dxfId="40" priority="13">
      <formula>$W$15&lt;&gt;""</formula>
    </cfRule>
  </conditionalFormatting>
  <conditionalFormatting sqref="C16 E16">
    <cfRule type="expression" dxfId="39" priority="14">
      <formula>$W$16&lt;&gt;""</formula>
    </cfRule>
  </conditionalFormatting>
  <conditionalFormatting sqref="C17 E17">
    <cfRule type="expression" dxfId="38" priority="15">
      <formula>$W$17&lt;&gt;""</formula>
    </cfRule>
  </conditionalFormatting>
  <conditionalFormatting sqref="C18 E18">
    <cfRule type="expression" dxfId="37" priority="16">
      <formula>$W$18&lt;&gt;""</formula>
    </cfRule>
  </conditionalFormatting>
  <conditionalFormatting sqref="C19 E19">
    <cfRule type="expression" dxfId="36" priority="17">
      <formula>$W$19&lt;&gt;""</formula>
    </cfRule>
  </conditionalFormatting>
  <conditionalFormatting sqref="C20 E20">
    <cfRule type="expression" dxfId="35" priority="18">
      <formula>$W$20&lt;&gt;""</formula>
    </cfRule>
  </conditionalFormatting>
  <conditionalFormatting sqref="C22 E22">
    <cfRule type="expression" dxfId="34" priority="19">
      <formula>$W$22&lt;&gt;""</formula>
    </cfRule>
  </conditionalFormatting>
  <conditionalFormatting sqref="E23">
    <cfRule type="expression" dxfId="33" priority="20">
      <formula>$W$23&lt;&gt;""</formula>
    </cfRule>
  </conditionalFormatting>
  <conditionalFormatting sqref="C23">
    <cfRule type="expression" dxfId="32" priority="21">
      <formula>$W$23&lt;&gt;""</formula>
    </cfRule>
  </conditionalFormatting>
  <conditionalFormatting sqref="E24">
    <cfRule type="expression" dxfId="31" priority="22">
      <formula>$W$24&lt;&gt;""</formula>
    </cfRule>
  </conditionalFormatting>
  <conditionalFormatting sqref="C24">
    <cfRule type="expression" dxfId="30" priority="23">
      <formula>$W$24&lt;&gt;""</formula>
    </cfRule>
  </conditionalFormatting>
  <conditionalFormatting sqref="V11:V20 U22:V24">
    <cfRule type="expression" dxfId="29" priority="27">
      <formula>#REF!&lt;&gt;""</formula>
    </cfRule>
  </conditionalFormatting>
  <conditionalFormatting sqref="U11:U20">
    <cfRule type="expression" dxfId="28" priority="5">
      <formula>#REF!&lt;&gt;""</formula>
    </cfRule>
  </conditionalFormatting>
  <conditionalFormatting sqref="D21 F21:T21">
    <cfRule type="expression" dxfId="27" priority="2">
      <formula>$W$11&lt;&gt;""</formula>
    </cfRule>
  </conditionalFormatting>
  <conditionalFormatting sqref="V21">
    <cfRule type="expression" dxfId="26" priority="4">
      <formula>#REF!&lt;&gt;""</formula>
    </cfRule>
  </conditionalFormatting>
  <conditionalFormatting sqref="U21">
    <cfRule type="expression" dxfId="25" priority="1">
      <formula>#REF!&lt;&gt;""</formula>
    </cfRule>
  </conditionalFormatting>
  <conditionalFormatting sqref="C21 E21">
    <cfRule type="expression" dxfId="0" priority="37">
      <formula>#REF!&lt;&gt;""</formula>
    </cfRule>
  </conditionalFormatting>
  <printOptions horizontalCentered="1"/>
  <pageMargins left="0" right="0" top="0" bottom="0" header="0" footer="0"/>
  <pageSetup paperSize="9" scale="8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G31"/>
  <sheetViews>
    <sheetView topLeftCell="A7" zoomScaleNormal="100" workbookViewId="0"/>
  </sheetViews>
  <sheetFormatPr defaultColWidth="0" defaultRowHeight="0" customHeight="1" zeroHeight="1" x14ac:dyDescent="0.25"/>
  <cols>
    <col min="1" max="2" width="2.7109375" style="4" customWidth="1"/>
    <col min="3" max="3" width="4.140625" style="4" customWidth="1"/>
    <col min="4" max="4" width="6.5703125" style="4" customWidth="1"/>
    <col min="5" max="5" width="40.42578125" style="4" customWidth="1"/>
    <col min="6" max="20" width="6.7109375" style="4" customWidth="1"/>
    <col min="21" max="21" width="11.28515625" style="4" customWidth="1"/>
    <col min="22" max="23" width="2.7109375" style="4" customWidth="1"/>
    <col min="24" max="29" width="14.42578125" style="4" hidden="1" customWidth="1"/>
    <col min="30" max="30" width="14.85546875" style="4" hidden="1" customWidth="1"/>
    <col min="31" max="44" width="3.7109375" style="4" hidden="1" customWidth="1"/>
    <col min="45" max="59" width="5.7109375" style="4" hidden="1" customWidth="1"/>
    <col min="60" max="16384" width="14.42578125" style="4" hidden="1"/>
  </cols>
  <sheetData>
    <row r="1" spans="1:23" ht="12" customHeight="1" thickBot="1" x14ac:dyDescent="0.3"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</row>
    <row r="2" spans="1:23" ht="12" customHeight="1" x14ac:dyDescent="0.25">
      <c r="A2" s="33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5" customFormat="1" ht="54.95" customHeight="1" x14ac:dyDescent="0.3">
      <c r="A3" s="33"/>
      <c r="B3" s="28"/>
      <c r="C3" s="36" t="s">
        <v>67</v>
      </c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28"/>
      <c r="W3" s="35"/>
    </row>
    <row r="4" spans="1:23" s="5" customFormat="1" ht="15" customHeight="1" x14ac:dyDescent="0.25">
      <c r="A4" s="33"/>
      <c r="B4" s="28"/>
      <c r="C4" s="28" t="s">
        <v>0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35"/>
    </row>
    <row r="5" spans="1:23" s="6" customFormat="1" ht="15" customHeight="1" x14ac:dyDescent="0.25">
      <c r="A5" s="33"/>
      <c r="B5" s="28"/>
      <c r="C5" s="38" t="s">
        <v>27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28"/>
      <c r="W5" s="35"/>
    </row>
    <row r="6" spans="1:23" s="5" customFormat="1" ht="15" customHeight="1" x14ac:dyDescent="0.25">
      <c r="A6" s="33"/>
      <c r="B6" s="28"/>
      <c r="C6" s="27" t="s">
        <v>51</v>
      </c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8"/>
      <c r="W6" s="35"/>
    </row>
    <row r="7" spans="1:23" s="5" customFormat="1" ht="15" customHeight="1" x14ac:dyDescent="0.25">
      <c r="A7" s="33"/>
      <c r="B7" s="28"/>
      <c r="C7" s="27" t="s">
        <v>66</v>
      </c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8"/>
      <c r="W7" s="35"/>
    </row>
    <row r="8" spans="1:23" s="5" customFormat="1" ht="15" customHeight="1" x14ac:dyDescent="0.25">
      <c r="A8" s="33"/>
      <c r="B8" s="28"/>
      <c r="C8" s="28" t="s">
        <v>50</v>
      </c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35"/>
    </row>
    <row r="9" spans="1:23" ht="15" customHeight="1" x14ac:dyDescent="0.25">
      <c r="A9" s="33"/>
      <c r="B9" s="28"/>
      <c r="C9" s="29" t="s">
        <v>1</v>
      </c>
      <c r="D9" s="31" t="s">
        <v>2</v>
      </c>
      <c r="E9" s="31" t="s">
        <v>3</v>
      </c>
      <c r="F9" s="30" t="s">
        <v>29</v>
      </c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28"/>
      <c r="W9" s="35"/>
    </row>
    <row r="10" spans="1:23" ht="125.1" customHeight="1" x14ac:dyDescent="0.25">
      <c r="A10" s="33"/>
      <c r="B10" s="28"/>
      <c r="C10" s="30"/>
      <c r="D10" s="30"/>
      <c r="E10" s="30"/>
      <c r="F10" s="18" t="s">
        <v>65</v>
      </c>
      <c r="G10" s="18" t="s">
        <v>4</v>
      </c>
      <c r="H10" s="18" t="s">
        <v>5</v>
      </c>
      <c r="I10" s="18" t="s">
        <v>6</v>
      </c>
      <c r="J10" s="18" t="s">
        <v>28</v>
      </c>
      <c r="K10" s="18" t="s">
        <v>70</v>
      </c>
      <c r="L10" s="18" t="s">
        <v>69</v>
      </c>
      <c r="M10" s="18" t="s">
        <v>7</v>
      </c>
      <c r="N10" s="18" t="s">
        <v>8</v>
      </c>
      <c r="O10" s="18" t="s">
        <v>71</v>
      </c>
      <c r="P10" s="18" t="s">
        <v>30</v>
      </c>
      <c r="Q10" s="18" t="s">
        <v>31</v>
      </c>
      <c r="R10" s="18" t="s">
        <v>9</v>
      </c>
      <c r="S10" s="18" t="s">
        <v>10</v>
      </c>
      <c r="T10" s="18" t="s">
        <v>11</v>
      </c>
      <c r="U10" s="7" t="s">
        <v>12</v>
      </c>
      <c r="V10" s="28"/>
      <c r="W10" s="35"/>
    </row>
    <row r="11" spans="1:23" ht="15" customHeight="1" x14ac:dyDescent="0.25">
      <c r="A11" s="33"/>
      <c r="B11" s="28"/>
      <c r="C11" s="20" t="s">
        <v>14</v>
      </c>
      <c r="D11" s="20">
        <v>1</v>
      </c>
      <c r="E11" s="9" t="s">
        <v>53</v>
      </c>
      <c r="F11" s="10">
        <v>9</v>
      </c>
      <c r="G11" s="10">
        <v>6</v>
      </c>
      <c r="H11" s="10">
        <v>8</v>
      </c>
      <c r="I11" s="10">
        <v>10</v>
      </c>
      <c r="J11" s="10">
        <v>10</v>
      </c>
      <c r="K11" s="10">
        <v>7</v>
      </c>
      <c r="L11" s="10">
        <v>8</v>
      </c>
      <c r="M11" s="10">
        <v>5</v>
      </c>
      <c r="N11" s="10">
        <v>7</v>
      </c>
      <c r="O11" s="10">
        <v>5</v>
      </c>
      <c r="P11" s="10">
        <v>4</v>
      </c>
      <c r="Q11" s="10">
        <v>6</v>
      </c>
      <c r="R11" s="10">
        <v>5</v>
      </c>
      <c r="S11" s="10">
        <v>5</v>
      </c>
      <c r="T11" s="10">
        <v>6</v>
      </c>
      <c r="U11" s="2">
        <f t="shared" ref="U11:U19" si="0">IF(COUNTIF(F11:T11,"=*")&gt;0,"-",IF(COUNTIF(F11:T11,"&lt;4")&gt;0,"-",(IFERROR(AVERAGE(F11:T11),""))))</f>
        <v>6.7333333333333334</v>
      </c>
      <c r="V11" s="28"/>
      <c r="W11" s="35"/>
    </row>
    <row r="12" spans="1:23" ht="15" customHeight="1" x14ac:dyDescent="0.25">
      <c r="A12" s="33"/>
      <c r="B12" s="28"/>
      <c r="C12" s="20" t="s">
        <v>14</v>
      </c>
      <c r="D12" s="20">
        <v>2</v>
      </c>
      <c r="E12" s="9" t="s">
        <v>54</v>
      </c>
      <c r="F12" s="10">
        <v>9</v>
      </c>
      <c r="G12" s="10">
        <v>10</v>
      </c>
      <c r="H12" s="10">
        <v>10</v>
      </c>
      <c r="I12" s="10">
        <v>9</v>
      </c>
      <c r="J12" s="10">
        <v>8</v>
      </c>
      <c r="K12" s="10">
        <v>8</v>
      </c>
      <c r="L12" s="10">
        <v>7</v>
      </c>
      <c r="M12" s="10">
        <v>7</v>
      </c>
      <c r="N12" s="10">
        <v>7</v>
      </c>
      <c r="O12" s="10">
        <v>5</v>
      </c>
      <c r="P12" s="10">
        <v>5</v>
      </c>
      <c r="Q12" s="10">
        <v>6</v>
      </c>
      <c r="R12" s="10">
        <v>6</v>
      </c>
      <c r="S12" s="10">
        <v>9</v>
      </c>
      <c r="T12" s="10">
        <v>7</v>
      </c>
      <c r="U12" s="2">
        <f t="shared" si="0"/>
        <v>7.5333333333333332</v>
      </c>
      <c r="V12" s="28"/>
      <c r="W12" s="35"/>
    </row>
    <row r="13" spans="1:23" ht="15" customHeight="1" x14ac:dyDescent="0.25">
      <c r="A13" s="33"/>
      <c r="B13" s="28"/>
      <c r="C13" s="20" t="s">
        <v>14</v>
      </c>
      <c r="D13" s="20">
        <v>3</v>
      </c>
      <c r="E13" s="9" t="s">
        <v>55</v>
      </c>
      <c r="F13" s="10">
        <v>10</v>
      </c>
      <c r="G13" s="10">
        <v>9</v>
      </c>
      <c r="H13" s="10">
        <v>10</v>
      </c>
      <c r="I13" s="10">
        <v>10</v>
      </c>
      <c r="J13" s="10">
        <v>7</v>
      </c>
      <c r="K13" s="10">
        <v>9</v>
      </c>
      <c r="L13" s="10">
        <v>7</v>
      </c>
      <c r="M13" s="10">
        <v>7</v>
      </c>
      <c r="N13" s="10">
        <v>9</v>
      </c>
      <c r="O13" s="10">
        <v>5</v>
      </c>
      <c r="P13" s="10">
        <v>8</v>
      </c>
      <c r="Q13" s="10">
        <v>6</v>
      </c>
      <c r="R13" s="10">
        <v>9</v>
      </c>
      <c r="S13" s="10">
        <v>11</v>
      </c>
      <c r="T13" s="10">
        <v>8</v>
      </c>
      <c r="U13" s="2">
        <f t="shared" si="0"/>
        <v>8.3333333333333339</v>
      </c>
      <c r="V13" s="28"/>
      <c r="W13" s="35"/>
    </row>
    <row r="14" spans="1:23" ht="15" customHeight="1" x14ac:dyDescent="0.25">
      <c r="A14" s="33"/>
      <c r="B14" s="28"/>
      <c r="C14" s="20" t="s">
        <v>14</v>
      </c>
      <c r="D14" s="20">
        <v>4</v>
      </c>
      <c r="E14" s="9" t="s">
        <v>56</v>
      </c>
      <c r="F14" s="10">
        <v>10</v>
      </c>
      <c r="G14" s="10">
        <v>10</v>
      </c>
      <c r="H14" s="10">
        <v>9</v>
      </c>
      <c r="I14" s="10">
        <v>9</v>
      </c>
      <c r="J14" s="10">
        <v>10</v>
      </c>
      <c r="K14" s="10">
        <v>4</v>
      </c>
      <c r="L14" s="10">
        <v>9</v>
      </c>
      <c r="M14" s="10">
        <v>8</v>
      </c>
      <c r="N14" s="10">
        <v>8</v>
      </c>
      <c r="O14" s="10">
        <v>4</v>
      </c>
      <c r="P14" s="10">
        <v>6</v>
      </c>
      <c r="Q14" s="10">
        <v>5</v>
      </c>
      <c r="R14" s="10">
        <v>9</v>
      </c>
      <c r="S14" s="10">
        <v>8</v>
      </c>
      <c r="T14" s="10">
        <v>7</v>
      </c>
      <c r="U14" s="2">
        <f t="shared" si="0"/>
        <v>7.7333333333333334</v>
      </c>
      <c r="V14" s="28"/>
      <c r="W14" s="35"/>
    </row>
    <row r="15" spans="1:23" ht="15" customHeight="1" x14ac:dyDescent="0.25">
      <c r="A15" s="33"/>
      <c r="B15" s="28"/>
      <c r="C15" s="20" t="s">
        <v>14</v>
      </c>
      <c r="D15" s="20">
        <v>5</v>
      </c>
      <c r="E15" s="9" t="s">
        <v>57</v>
      </c>
      <c r="F15" s="10">
        <v>10</v>
      </c>
      <c r="G15" s="10">
        <v>11</v>
      </c>
      <c r="H15" s="10">
        <v>10</v>
      </c>
      <c r="I15" s="10">
        <v>10</v>
      </c>
      <c r="J15" s="10">
        <v>10</v>
      </c>
      <c r="K15" s="10">
        <v>9</v>
      </c>
      <c r="L15" s="10">
        <v>8</v>
      </c>
      <c r="M15" s="10">
        <v>10</v>
      </c>
      <c r="N15" s="10">
        <v>9</v>
      </c>
      <c r="O15" s="10">
        <v>6</v>
      </c>
      <c r="P15" s="10">
        <v>11</v>
      </c>
      <c r="Q15" s="10">
        <v>10</v>
      </c>
      <c r="R15" s="10">
        <v>7</v>
      </c>
      <c r="S15" s="10">
        <v>10</v>
      </c>
      <c r="T15" s="10">
        <v>8</v>
      </c>
      <c r="U15" s="2">
        <f t="shared" si="0"/>
        <v>9.2666666666666675</v>
      </c>
      <c r="V15" s="28"/>
      <c r="W15" s="35"/>
    </row>
    <row r="16" spans="1:23" ht="15" customHeight="1" x14ac:dyDescent="0.25">
      <c r="A16" s="33"/>
      <c r="B16" s="28"/>
      <c r="C16" s="20" t="s">
        <v>14</v>
      </c>
      <c r="D16" s="20">
        <v>6</v>
      </c>
      <c r="E16" s="9" t="s">
        <v>58</v>
      </c>
      <c r="F16" s="10">
        <v>10</v>
      </c>
      <c r="G16" s="10">
        <v>10</v>
      </c>
      <c r="H16" s="10">
        <v>10</v>
      </c>
      <c r="I16" s="10">
        <v>10</v>
      </c>
      <c r="J16" s="10">
        <v>10</v>
      </c>
      <c r="K16" s="10">
        <v>8</v>
      </c>
      <c r="L16" s="10">
        <v>11</v>
      </c>
      <c r="M16" s="10">
        <v>9</v>
      </c>
      <c r="N16" s="10">
        <v>8</v>
      </c>
      <c r="O16" s="10">
        <v>8</v>
      </c>
      <c r="P16" s="10">
        <v>10</v>
      </c>
      <c r="Q16" s="10">
        <v>10</v>
      </c>
      <c r="R16" s="10">
        <v>9</v>
      </c>
      <c r="S16" s="10">
        <v>8</v>
      </c>
      <c r="T16" s="10">
        <v>9</v>
      </c>
      <c r="U16" s="2">
        <f t="shared" si="0"/>
        <v>9.3333333333333339</v>
      </c>
      <c r="V16" s="28"/>
      <c r="W16" s="35"/>
    </row>
    <row r="17" spans="1:24" ht="15" customHeight="1" x14ac:dyDescent="0.25">
      <c r="A17" s="33"/>
      <c r="B17" s="28"/>
      <c r="C17" s="20" t="s">
        <v>14</v>
      </c>
      <c r="D17" s="20">
        <v>7</v>
      </c>
      <c r="E17" s="9" t="s">
        <v>59</v>
      </c>
      <c r="F17" s="10">
        <v>10</v>
      </c>
      <c r="G17" s="10">
        <v>11</v>
      </c>
      <c r="H17" s="10">
        <v>8</v>
      </c>
      <c r="I17" s="10">
        <v>9</v>
      </c>
      <c r="J17" s="10">
        <v>8</v>
      </c>
      <c r="K17" s="10">
        <v>6</v>
      </c>
      <c r="L17" s="10">
        <v>6</v>
      </c>
      <c r="M17" s="10">
        <v>7</v>
      </c>
      <c r="N17" s="10">
        <v>7</v>
      </c>
      <c r="O17" s="10">
        <v>5</v>
      </c>
      <c r="P17" s="10">
        <v>7</v>
      </c>
      <c r="Q17" s="10">
        <v>7</v>
      </c>
      <c r="R17" s="10">
        <v>8</v>
      </c>
      <c r="S17" s="10">
        <v>8</v>
      </c>
      <c r="T17" s="10">
        <v>7</v>
      </c>
      <c r="U17" s="2">
        <f t="shared" si="0"/>
        <v>7.6</v>
      </c>
      <c r="V17" s="28"/>
      <c r="W17" s="35"/>
    </row>
    <row r="18" spans="1:24" ht="15" customHeight="1" x14ac:dyDescent="0.25">
      <c r="A18" s="33"/>
      <c r="B18" s="28"/>
      <c r="C18" s="20" t="s">
        <v>14</v>
      </c>
      <c r="D18" s="20">
        <v>8</v>
      </c>
      <c r="E18" s="9" t="s">
        <v>60</v>
      </c>
      <c r="F18" s="10">
        <v>8</v>
      </c>
      <c r="G18" s="10">
        <v>9</v>
      </c>
      <c r="H18" s="10">
        <v>8</v>
      </c>
      <c r="I18" s="10">
        <v>9</v>
      </c>
      <c r="J18" s="10">
        <v>8</v>
      </c>
      <c r="K18" s="10">
        <v>8</v>
      </c>
      <c r="L18" s="10">
        <v>6</v>
      </c>
      <c r="M18" s="10">
        <v>5</v>
      </c>
      <c r="N18" s="10">
        <v>4</v>
      </c>
      <c r="O18" s="10">
        <v>4</v>
      </c>
      <c r="P18" s="10">
        <v>4</v>
      </c>
      <c r="Q18" s="10">
        <v>6</v>
      </c>
      <c r="R18" s="10">
        <v>4</v>
      </c>
      <c r="S18" s="10">
        <v>4</v>
      </c>
      <c r="T18" s="10">
        <v>6</v>
      </c>
      <c r="U18" s="2">
        <f t="shared" si="0"/>
        <v>6.2</v>
      </c>
      <c r="V18" s="28"/>
      <c r="W18" s="35"/>
    </row>
    <row r="19" spans="1:24" ht="15" customHeight="1" x14ac:dyDescent="0.25">
      <c r="A19" s="33"/>
      <c r="B19" s="28"/>
      <c r="C19" s="20" t="s">
        <v>14</v>
      </c>
      <c r="D19" s="20">
        <v>9</v>
      </c>
      <c r="E19" s="9" t="s">
        <v>61</v>
      </c>
      <c r="F19" s="10">
        <v>9</v>
      </c>
      <c r="G19" s="10">
        <v>4</v>
      </c>
      <c r="H19" s="10">
        <v>8</v>
      </c>
      <c r="I19" s="10">
        <v>8</v>
      </c>
      <c r="J19" s="10">
        <v>8</v>
      </c>
      <c r="K19" s="10">
        <v>4</v>
      </c>
      <c r="L19" s="10">
        <v>7</v>
      </c>
      <c r="M19" s="10">
        <v>5</v>
      </c>
      <c r="N19" s="10">
        <v>6</v>
      </c>
      <c r="O19" s="10">
        <v>4</v>
      </c>
      <c r="P19" s="10">
        <v>4</v>
      </c>
      <c r="Q19" s="10">
        <v>4</v>
      </c>
      <c r="R19" s="10">
        <v>5</v>
      </c>
      <c r="S19" s="10">
        <v>5</v>
      </c>
      <c r="T19" s="10">
        <v>6</v>
      </c>
      <c r="U19" s="2">
        <f t="shared" si="0"/>
        <v>5.8</v>
      </c>
      <c r="V19" s="28"/>
      <c r="W19" s="35"/>
    </row>
    <row r="20" spans="1:24" ht="15" customHeight="1" x14ac:dyDescent="0.25">
      <c r="A20" s="33"/>
      <c r="B20" s="28"/>
      <c r="C20" s="22" t="s">
        <v>14</v>
      </c>
      <c r="D20" s="22">
        <v>10</v>
      </c>
      <c r="E20" s="9" t="s">
        <v>62</v>
      </c>
      <c r="F20" s="10">
        <v>8</v>
      </c>
      <c r="G20" s="10">
        <v>7</v>
      </c>
      <c r="H20" s="10">
        <v>9</v>
      </c>
      <c r="I20" s="10">
        <v>8</v>
      </c>
      <c r="J20" s="10">
        <v>5</v>
      </c>
      <c r="K20" s="10">
        <v>6</v>
      </c>
      <c r="L20" s="10">
        <v>6</v>
      </c>
      <c r="M20" s="10">
        <v>4</v>
      </c>
      <c r="N20" s="10">
        <v>6</v>
      </c>
      <c r="O20" s="10">
        <v>4</v>
      </c>
      <c r="P20" s="10">
        <v>6</v>
      </c>
      <c r="Q20" s="10">
        <v>5</v>
      </c>
      <c r="R20" s="10">
        <v>6</v>
      </c>
      <c r="S20" s="10">
        <v>8</v>
      </c>
      <c r="T20" s="10">
        <v>6</v>
      </c>
      <c r="U20" s="2">
        <f t="shared" ref="U20" si="1">IF(COUNTIF(F20:T20,"=*")&gt;0,"-",IF(COUNTIF(F20:T20,"&lt;4")&gt;0,"-",(IFERROR(AVERAGE(F20:T20),""))))</f>
        <v>6.2666666666666666</v>
      </c>
      <c r="V20" s="28"/>
      <c r="W20" s="35"/>
    </row>
    <row r="21" spans="1:24" ht="15" customHeight="1" x14ac:dyDescent="0.25">
      <c r="A21" s="33"/>
      <c r="B21" s="28"/>
      <c r="C21" s="11"/>
      <c r="D21" s="11"/>
      <c r="E21" s="9" t="s">
        <v>15</v>
      </c>
      <c r="F21" s="3">
        <f>IF(SUM(F11:F20)=0,"",SUM(F11:F20)/$D20)</f>
        <v>9.3000000000000007</v>
      </c>
      <c r="G21" s="3">
        <f t="shared" ref="G21:T21" si="2">IF(SUM(G11:G20)=0,"",SUM(G11:G20)/$D20)</f>
        <v>8.6999999999999993</v>
      </c>
      <c r="H21" s="3">
        <f t="shared" si="2"/>
        <v>9</v>
      </c>
      <c r="I21" s="3">
        <f t="shared" si="2"/>
        <v>9.1999999999999993</v>
      </c>
      <c r="J21" s="3">
        <f t="shared" si="2"/>
        <v>8.4</v>
      </c>
      <c r="K21" s="3">
        <f t="shared" si="2"/>
        <v>6.9</v>
      </c>
      <c r="L21" s="3">
        <f t="shared" si="2"/>
        <v>7.5</v>
      </c>
      <c r="M21" s="3">
        <f t="shared" si="2"/>
        <v>6.7</v>
      </c>
      <c r="N21" s="3">
        <f t="shared" si="2"/>
        <v>7.1</v>
      </c>
      <c r="O21" s="3">
        <f t="shared" si="2"/>
        <v>5</v>
      </c>
      <c r="P21" s="3">
        <f t="shared" si="2"/>
        <v>6.5</v>
      </c>
      <c r="Q21" s="3">
        <f t="shared" si="2"/>
        <v>6.5</v>
      </c>
      <c r="R21" s="3">
        <f t="shared" si="2"/>
        <v>6.8</v>
      </c>
      <c r="S21" s="3">
        <f t="shared" si="2"/>
        <v>7.6</v>
      </c>
      <c r="T21" s="3">
        <f t="shared" si="2"/>
        <v>7</v>
      </c>
      <c r="U21" s="2">
        <f>IFERROR(AVERAGE(F21:T21),"")</f>
        <v>7.4799999999999995</v>
      </c>
      <c r="V21" s="28"/>
      <c r="W21" s="35"/>
    </row>
    <row r="22" spans="1:24" ht="15" customHeight="1" x14ac:dyDescent="0.25">
      <c r="A22" s="33"/>
      <c r="B22" s="28"/>
      <c r="C22" s="11"/>
      <c r="D22" s="11"/>
      <c r="E22" s="9" t="s">
        <v>16</v>
      </c>
      <c r="F22" s="12">
        <f>IF(SUM(F11:F20)=0,"",IF(COUNTIF(F11:F20,"&gt;=4")=0,0,COUNTIF(F11:F20,"&gt;=4")/$D20*100))</f>
        <v>100</v>
      </c>
      <c r="G22" s="12">
        <f t="shared" ref="G22:T22" si="3">IF(SUM(G11:G20)=0,"",IF(COUNTIF(G11:G20,"&gt;=4")=0,0,COUNTIF(G11:G20,"&gt;=4")/$D20*100))</f>
        <v>100</v>
      </c>
      <c r="H22" s="12">
        <f t="shared" si="3"/>
        <v>100</v>
      </c>
      <c r="I22" s="12">
        <f t="shared" si="3"/>
        <v>100</v>
      </c>
      <c r="J22" s="12">
        <f t="shared" si="3"/>
        <v>100</v>
      </c>
      <c r="K22" s="12">
        <f t="shared" si="3"/>
        <v>100</v>
      </c>
      <c r="L22" s="12">
        <f t="shared" si="3"/>
        <v>100</v>
      </c>
      <c r="M22" s="12">
        <f t="shared" si="3"/>
        <v>100</v>
      </c>
      <c r="N22" s="12">
        <f t="shared" si="3"/>
        <v>100</v>
      </c>
      <c r="O22" s="12">
        <f t="shared" si="3"/>
        <v>100</v>
      </c>
      <c r="P22" s="12">
        <f t="shared" si="3"/>
        <v>100</v>
      </c>
      <c r="Q22" s="12">
        <f t="shared" si="3"/>
        <v>100</v>
      </c>
      <c r="R22" s="12">
        <f t="shared" si="3"/>
        <v>100</v>
      </c>
      <c r="S22" s="12">
        <f t="shared" si="3"/>
        <v>100</v>
      </c>
      <c r="T22" s="12">
        <f t="shared" si="3"/>
        <v>100</v>
      </c>
      <c r="U22" s="13"/>
      <c r="V22" s="28"/>
      <c r="W22" s="35"/>
      <c r="X22" s="14"/>
    </row>
    <row r="23" spans="1:24" ht="15" customHeight="1" x14ac:dyDescent="0.25">
      <c r="A23" s="33"/>
      <c r="B23" s="28"/>
      <c r="C23" s="11"/>
      <c r="D23" s="11"/>
      <c r="E23" s="9" t="s">
        <v>17</v>
      </c>
      <c r="F23" s="12">
        <f>IF(SUM(F11:F20)=0,"",IF(COUNTIF(F11:F20,"&gt;=7")=0,0,COUNTIF(F11:F20,"&gt;=7")/$D20*100))</f>
        <v>100</v>
      </c>
      <c r="G23" s="12">
        <f t="shared" ref="G23:T23" si="4">IF(SUM(G11:G20)=0,"",IF(COUNTIF(G11:G20,"&gt;=7")=0,0,COUNTIF(G11:G20,"&gt;=7")/$D20*100))</f>
        <v>80</v>
      </c>
      <c r="H23" s="12">
        <f t="shared" si="4"/>
        <v>100</v>
      </c>
      <c r="I23" s="12">
        <f t="shared" si="4"/>
        <v>100</v>
      </c>
      <c r="J23" s="12">
        <f t="shared" si="4"/>
        <v>90</v>
      </c>
      <c r="K23" s="12">
        <f t="shared" si="4"/>
        <v>60</v>
      </c>
      <c r="L23" s="12">
        <f t="shared" si="4"/>
        <v>70</v>
      </c>
      <c r="M23" s="12">
        <f t="shared" si="4"/>
        <v>60</v>
      </c>
      <c r="N23" s="12">
        <f t="shared" si="4"/>
        <v>70</v>
      </c>
      <c r="O23" s="12">
        <f t="shared" si="4"/>
        <v>10</v>
      </c>
      <c r="P23" s="12">
        <f t="shared" si="4"/>
        <v>40</v>
      </c>
      <c r="Q23" s="12">
        <f t="shared" si="4"/>
        <v>30</v>
      </c>
      <c r="R23" s="12">
        <f t="shared" si="4"/>
        <v>50</v>
      </c>
      <c r="S23" s="12">
        <f t="shared" si="4"/>
        <v>70</v>
      </c>
      <c r="T23" s="12">
        <f t="shared" si="4"/>
        <v>60</v>
      </c>
      <c r="U23" s="21"/>
      <c r="V23" s="28"/>
      <c r="W23" s="35"/>
      <c r="X23" s="14"/>
    </row>
    <row r="24" spans="1:24" ht="15" customHeight="1" x14ac:dyDescent="0.25">
      <c r="A24" s="33"/>
      <c r="B24" s="28"/>
      <c r="C24" s="11"/>
      <c r="D24" s="11"/>
      <c r="E24" s="9" t="s">
        <v>18</v>
      </c>
      <c r="F24" s="3">
        <f>IFERROR(AVERAGE(F22:T22),"")</f>
        <v>100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21"/>
      <c r="V24" s="28"/>
      <c r="W24" s="35"/>
      <c r="X24" s="14"/>
    </row>
    <row r="25" spans="1:24" ht="15" customHeight="1" x14ac:dyDescent="0.25">
      <c r="A25" s="33"/>
      <c r="B25" s="28"/>
      <c r="C25" s="11"/>
      <c r="D25" s="11"/>
      <c r="E25" s="9" t="s">
        <v>19</v>
      </c>
      <c r="F25" s="3">
        <f>IFERROR(AVERAGE(F23:T23),"")</f>
        <v>66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21"/>
      <c r="V25" s="28"/>
      <c r="W25" s="35"/>
      <c r="X25" s="14"/>
    </row>
    <row r="26" spans="1:24" ht="15" customHeight="1" x14ac:dyDescent="0.25">
      <c r="A26" s="33"/>
      <c r="B26" s="28"/>
      <c r="C26" s="11"/>
      <c r="D26" s="11"/>
      <c r="E26" s="9" t="s">
        <v>20</v>
      </c>
      <c r="F26" s="19">
        <f>IF(COUNTIF(C11:C20,"=Б")=0,IF(COUNTIF(C11:C20,"=К")=0,"",0),COUNTIF(C11:C20,"=Б"))</f>
        <v>10</v>
      </c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21"/>
      <c r="V26" s="28"/>
      <c r="W26" s="35"/>
      <c r="X26" s="14"/>
    </row>
    <row r="27" spans="1:24" ht="15" customHeight="1" x14ac:dyDescent="0.25">
      <c r="A27" s="33"/>
      <c r="B27" s="28"/>
      <c r="C27" s="11"/>
      <c r="D27" s="11"/>
      <c r="E27" s="9" t="s">
        <v>21</v>
      </c>
      <c r="F27" s="19">
        <f>IF(COUNTIF(C11:C20,"=К")=0,IF(COUNTIF(C11:C20,"=Б")=0,"",0),COUNTIF(C11:C20,"=К"))</f>
        <v>0</v>
      </c>
      <c r="G27" s="11"/>
      <c r="H27" s="11"/>
      <c r="I27" s="17" t="s">
        <v>22</v>
      </c>
      <c r="J27" s="11"/>
      <c r="K27" s="11"/>
      <c r="L27" s="11"/>
      <c r="M27" s="11"/>
      <c r="N27" s="11"/>
      <c r="O27" s="11"/>
      <c r="P27" s="1" t="s">
        <v>52</v>
      </c>
      <c r="Q27" s="11"/>
      <c r="R27" s="11"/>
      <c r="S27" s="11"/>
      <c r="T27" s="11"/>
      <c r="U27" s="11"/>
      <c r="V27" s="28"/>
      <c r="W27" s="35"/>
    </row>
    <row r="28" spans="1:24" ht="15" customHeight="1" x14ac:dyDescent="0.25">
      <c r="A28" s="33"/>
      <c r="B28" s="28"/>
      <c r="C28" s="11"/>
      <c r="D28" s="11"/>
      <c r="E28" s="9" t="s">
        <v>23</v>
      </c>
      <c r="F28" s="19">
        <v>2</v>
      </c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28"/>
      <c r="W28" s="35"/>
    </row>
    <row r="29" spans="1:24" ht="15" customHeight="1" x14ac:dyDescent="0.25">
      <c r="A29" s="33"/>
      <c r="B29" s="28"/>
      <c r="C29" s="11"/>
      <c r="D29" s="11"/>
      <c r="E29" s="9" t="s">
        <v>24</v>
      </c>
      <c r="F29" s="19">
        <v>4</v>
      </c>
      <c r="G29" s="11"/>
      <c r="H29" s="11"/>
      <c r="I29" s="17" t="s">
        <v>25</v>
      </c>
      <c r="J29" s="11"/>
      <c r="K29" s="11"/>
      <c r="L29" s="11"/>
      <c r="M29" s="11"/>
      <c r="N29" s="11"/>
      <c r="O29" s="11"/>
      <c r="P29" s="17" t="s">
        <v>26</v>
      </c>
      <c r="Q29" s="11"/>
      <c r="R29" s="11"/>
      <c r="S29" s="11"/>
      <c r="T29" s="11"/>
      <c r="U29" s="11"/>
      <c r="V29" s="28"/>
      <c r="W29" s="35"/>
    </row>
    <row r="30" spans="1:24" ht="12" customHeight="1" thickBot="1" x14ac:dyDescent="0.3">
      <c r="A30" s="33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</row>
    <row r="31" spans="1:24" ht="12" customHeight="1" x14ac:dyDescent="0.25"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</row>
  </sheetData>
  <sheetProtection selectLockedCells="1"/>
  <sortState ref="E11:E29">
    <sortCondition ref="E11"/>
  </sortState>
  <mergeCells count="18">
    <mergeCell ref="B1:V1"/>
    <mergeCell ref="A2:A30"/>
    <mergeCell ref="B2:V2"/>
    <mergeCell ref="W2:W30"/>
    <mergeCell ref="B3:B29"/>
    <mergeCell ref="C3:U3"/>
    <mergeCell ref="V3:V29"/>
    <mergeCell ref="C4:U4"/>
    <mergeCell ref="C5:U5"/>
    <mergeCell ref="C6:U6"/>
    <mergeCell ref="B30:V30"/>
    <mergeCell ref="B31:V31"/>
    <mergeCell ref="C7:U7"/>
    <mergeCell ref="C8:U8"/>
    <mergeCell ref="C9:C10"/>
    <mergeCell ref="D9:D10"/>
    <mergeCell ref="E9:E10"/>
    <mergeCell ref="F9:U9"/>
  </mergeCells>
  <conditionalFormatting sqref="U11:U19">
    <cfRule type="expression" dxfId="24" priority="7">
      <formula>$V$20&lt;&gt;""</formula>
    </cfRule>
  </conditionalFormatting>
  <conditionalFormatting sqref="C11:T11 F12:T20">
    <cfRule type="expression" dxfId="23" priority="8">
      <formula>$V$11&lt;&gt;""</formula>
    </cfRule>
  </conditionalFormatting>
  <conditionalFormatting sqref="C12:E12">
    <cfRule type="expression" dxfId="22" priority="9">
      <formula>$V$12&lt;&gt;""</formula>
    </cfRule>
  </conditionalFormatting>
  <conditionalFormatting sqref="C13:E13">
    <cfRule type="expression" dxfId="21" priority="10">
      <formula>$V$13&lt;&gt;""</formula>
    </cfRule>
  </conditionalFormatting>
  <conditionalFormatting sqref="C14:E14">
    <cfRule type="expression" dxfId="20" priority="11">
      <formula>$V$14&lt;&gt;""</formula>
    </cfRule>
  </conditionalFormatting>
  <conditionalFormatting sqref="C15:E15">
    <cfRule type="expression" dxfId="19" priority="12">
      <formula>$V$15&lt;&gt;""</formula>
    </cfRule>
  </conditionalFormatting>
  <conditionalFormatting sqref="C16:E16">
    <cfRule type="expression" dxfId="18" priority="13">
      <formula>$V$16&lt;&gt;""</formula>
    </cfRule>
  </conditionalFormatting>
  <conditionalFormatting sqref="C17:E17">
    <cfRule type="expression" dxfId="17" priority="14">
      <formula>$V$17&lt;&gt;""</formula>
    </cfRule>
  </conditionalFormatting>
  <conditionalFormatting sqref="C18:E18">
    <cfRule type="expression" dxfId="16" priority="15">
      <formula>$V$18&lt;&gt;""</formula>
    </cfRule>
  </conditionalFormatting>
  <conditionalFormatting sqref="C19:E19">
    <cfRule type="expression" dxfId="15" priority="16">
      <formula>$V$19&lt;&gt;""</formula>
    </cfRule>
  </conditionalFormatting>
  <conditionalFormatting sqref="U20">
    <cfRule type="expression" dxfId="14" priority="2">
      <formula>$V$20&lt;&gt;""</formula>
    </cfRule>
  </conditionalFormatting>
  <conditionalFormatting sqref="C20:E20">
    <cfRule type="expression" dxfId="13" priority="3">
      <formula>#REF!&lt;&gt;""</formula>
    </cfRule>
  </conditionalFormatting>
  <printOptions horizontalCentered="1"/>
  <pageMargins left="0" right="0" top="0" bottom="0" header="0" footer="0"/>
  <pageSetup paperSize="9" scale="8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H26"/>
  <sheetViews>
    <sheetView topLeftCell="A7" zoomScaleNormal="100" workbookViewId="0"/>
  </sheetViews>
  <sheetFormatPr defaultColWidth="0" defaultRowHeight="0" customHeight="1" zeroHeight="1" x14ac:dyDescent="0.25"/>
  <cols>
    <col min="1" max="2" width="2.7109375" style="4" customWidth="1"/>
    <col min="3" max="3" width="4.140625" style="4" customWidth="1"/>
    <col min="4" max="4" width="6.5703125" style="4" customWidth="1"/>
    <col min="5" max="5" width="40.42578125" style="4" customWidth="1"/>
    <col min="6" max="20" width="6.7109375" style="4" customWidth="1"/>
    <col min="21" max="22" width="11.28515625" style="4" customWidth="1"/>
    <col min="23" max="24" width="2.7109375" style="4" customWidth="1"/>
    <col min="25" max="30" width="14.42578125" style="4" hidden="1" customWidth="1"/>
    <col min="31" max="31" width="14.85546875" style="4" hidden="1" customWidth="1"/>
    <col min="32" max="45" width="3.7109375" style="4" hidden="1" customWidth="1"/>
    <col min="46" max="60" width="5.7109375" style="4" hidden="1" customWidth="1"/>
    <col min="61" max="16384" width="14.42578125" style="4" hidden="1"/>
  </cols>
  <sheetData>
    <row r="1" spans="1:24" ht="12" customHeight="1" thickBot="1" x14ac:dyDescent="0.3"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</row>
    <row r="2" spans="1:24" ht="12" customHeight="1" x14ac:dyDescent="0.25">
      <c r="A2" s="33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5"/>
    </row>
    <row r="3" spans="1:24" s="5" customFormat="1" ht="54.95" customHeight="1" x14ac:dyDescent="0.3">
      <c r="A3" s="33"/>
      <c r="B3" s="28"/>
      <c r="C3" s="36" t="s">
        <v>67</v>
      </c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28"/>
      <c r="X3" s="35"/>
    </row>
    <row r="4" spans="1:24" s="5" customFormat="1" ht="15" customHeight="1" x14ac:dyDescent="0.25">
      <c r="A4" s="33"/>
      <c r="B4" s="28"/>
      <c r="C4" s="28" t="s">
        <v>0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35"/>
    </row>
    <row r="5" spans="1:24" s="6" customFormat="1" ht="15" customHeight="1" x14ac:dyDescent="0.25">
      <c r="A5" s="33"/>
      <c r="B5" s="28"/>
      <c r="C5" s="38" t="s">
        <v>72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28"/>
      <c r="X5" s="35"/>
    </row>
    <row r="6" spans="1:24" s="5" customFormat="1" ht="15" customHeight="1" x14ac:dyDescent="0.25">
      <c r="A6" s="33"/>
      <c r="B6" s="28"/>
      <c r="C6" s="27" t="s">
        <v>51</v>
      </c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8"/>
      <c r="X6" s="35"/>
    </row>
    <row r="7" spans="1:24" s="5" customFormat="1" ht="15" customHeight="1" x14ac:dyDescent="0.25">
      <c r="A7" s="33"/>
      <c r="B7" s="28"/>
      <c r="C7" s="27" t="s">
        <v>66</v>
      </c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8"/>
      <c r="X7" s="35"/>
    </row>
    <row r="8" spans="1:24" s="5" customFormat="1" ht="15" customHeight="1" x14ac:dyDescent="0.25">
      <c r="A8" s="33"/>
      <c r="B8" s="28"/>
      <c r="C8" s="28" t="s">
        <v>50</v>
      </c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35"/>
    </row>
    <row r="9" spans="1:24" ht="15" customHeight="1" x14ac:dyDescent="0.25">
      <c r="A9" s="33"/>
      <c r="B9" s="28"/>
      <c r="C9" s="29" t="s">
        <v>1</v>
      </c>
      <c r="D9" s="31" t="s">
        <v>2</v>
      </c>
      <c r="E9" s="31" t="s">
        <v>3</v>
      </c>
      <c r="F9" s="30" t="s">
        <v>29</v>
      </c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28"/>
      <c r="X9" s="35"/>
    </row>
    <row r="10" spans="1:24" ht="125.1" customHeight="1" x14ac:dyDescent="0.25">
      <c r="A10" s="33"/>
      <c r="B10" s="28"/>
      <c r="C10" s="30"/>
      <c r="D10" s="30"/>
      <c r="E10" s="30"/>
      <c r="F10" s="18" t="s">
        <v>65</v>
      </c>
      <c r="G10" s="18" t="s">
        <v>4</v>
      </c>
      <c r="H10" s="18" t="s">
        <v>5</v>
      </c>
      <c r="I10" s="18" t="s">
        <v>6</v>
      </c>
      <c r="J10" s="18" t="s">
        <v>28</v>
      </c>
      <c r="K10" s="18" t="s">
        <v>70</v>
      </c>
      <c r="L10" s="18" t="s">
        <v>69</v>
      </c>
      <c r="M10" s="18" t="s">
        <v>7</v>
      </c>
      <c r="N10" s="18" t="s">
        <v>8</v>
      </c>
      <c r="O10" s="18" t="s">
        <v>71</v>
      </c>
      <c r="P10" s="18" t="s">
        <v>30</v>
      </c>
      <c r="Q10" s="18" t="s">
        <v>31</v>
      </c>
      <c r="R10" s="18" t="s">
        <v>9</v>
      </c>
      <c r="S10" s="18" t="s">
        <v>10</v>
      </c>
      <c r="T10" s="18" t="s">
        <v>11</v>
      </c>
      <c r="U10" s="7" t="s">
        <v>12</v>
      </c>
      <c r="V10" s="7" t="s">
        <v>73</v>
      </c>
      <c r="W10" s="28"/>
      <c r="X10" s="35"/>
    </row>
    <row r="11" spans="1:24" ht="15" customHeight="1" x14ac:dyDescent="0.25">
      <c r="A11" s="33"/>
      <c r="B11" s="28"/>
      <c r="C11" s="40" t="s">
        <v>14</v>
      </c>
      <c r="D11" s="40">
        <v>1</v>
      </c>
      <c r="E11" s="41" t="s">
        <v>58</v>
      </c>
      <c r="F11" s="42">
        <v>10</v>
      </c>
      <c r="G11" s="42">
        <v>10</v>
      </c>
      <c r="H11" s="42">
        <v>10</v>
      </c>
      <c r="I11" s="42">
        <v>10</v>
      </c>
      <c r="J11" s="42">
        <v>10</v>
      </c>
      <c r="K11" s="42">
        <v>8</v>
      </c>
      <c r="L11" s="42">
        <v>11</v>
      </c>
      <c r="M11" s="42">
        <v>9</v>
      </c>
      <c r="N11" s="42">
        <v>8</v>
      </c>
      <c r="O11" s="42">
        <v>8</v>
      </c>
      <c r="P11" s="42">
        <v>10</v>
      </c>
      <c r="Q11" s="42">
        <v>10</v>
      </c>
      <c r="R11" s="42">
        <v>9</v>
      </c>
      <c r="S11" s="42">
        <v>8</v>
      </c>
      <c r="T11" s="42">
        <v>9</v>
      </c>
      <c r="U11" s="43">
        <f>IF(COUNTIF(F11:T11,"=*")&gt;0,"-",IF(COUNTIF(F11:T11,"&lt;4")&gt;0,"-",(IFERROR(AVERAGE(F11:T11),""))))</f>
        <v>9.3333333333333339</v>
      </c>
      <c r="V11" s="43">
        <f>U11/12*90</f>
        <v>70</v>
      </c>
      <c r="W11" s="28"/>
      <c r="X11" s="35"/>
    </row>
    <row r="12" spans="1:24" ht="15" customHeight="1" x14ac:dyDescent="0.25">
      <c r="A12" s="33"/>
      <c r="B12" s="28"/>
      <c r="C12" s="40" t="s">
        <v>14</v>
      </c>
      <c r="D12" s="40">
        <v>2</v>
      </c>
      <c r="E12" s="41" t="s">
        <v>57</v>
      </c>
      <c r="F12" s="42">
        <v>10</v>
      </c>
      <c r="G12" s="42">
        <v>11</v>
      </c>
      <c r="H12" s="42">
        <v>10</v>
      </c>
      <c r="I12" s="42">
        <v>10</v>
      </c>
      <c r="J12" s="42">
        <v>10</v>
      </c>
      <c r="K12" s="42">
        <v>9</v>
      </c>
      <c r="L12" s="42">
        <v>8</v>
      </c>
      <c r="M12" s="42">
        <v>10</v>
      </c>
      <c r="N12" s="42">
        <v>9</v>
      </c>
      <c r="O12" s="42">
        <v>6</v>
      </c>
      <c r="P12" s="42">
        <v>11</v>
      </c>
      <c r="Q12" s="42">
        <v>10</v>
      </c>
      <c r="R12" s="42">
        <v>7</v>
      </c>
      <c r="S12" s="42">
        <v>10</v>
      </c>
      <c r="T12" s="42">
        <v>8</v>
      </c>
      <c r="U12" s="43">
        <f>IF(COUNTIF(F12:T12,"=*")&gt;0,"-",IF(COUNTIF(F12:T12,"&lt;4")&gt;0,"-",(IFERROR(AVERAGE(F12:T12),""))))</f>
        <v>9.2666666666666675</v>
      </c>
      <c r="V12" s="43">
        <f>U12/12*90</f>
        <v>69.5</v>
      </c>
      <c r="W12" s="28"/>
      <c r="X12" s="35"/>
    </row>
    <row r="13" spans="1:24" ht="15" customHeight="1" x14ac:dyDescent="0.25">
      <c r="A13" s="33"/>
      <c r="B13" s="28"/>
      <c r="C13" s="40" t="s">
        <v>14</v>
      </c>
      <c r="D13" s="40">
        <v>3</v>
      </c>
      <c r="E13" s="41" t="s">
        <v>55</v>
      </c>
      <c r="F13" s="42">
        <v>10</v>
      </c>
      <c r="G13" s="42">
        <v>9</v>
      </c>
      <c r="H13" s="42">
        <v>10</v>
      </c>
      <c r="I13" s="42">
        <v>10</v>
      </c>
      <c r="J13" s="42">
        <v>7</v>
      </c>
      <c r="K13" s="42">
        <v>9</v>
      </c>
      <c r="L13" s="42">
        <v>7</v>
      </c>
      <c r="M13" s="42">
        <v>7</v>
      </c>
      <c r="N13" s="42">
        <v>9</v>
      </c>
      <c r="O13" s="42">
        <v>5</v>
      </c>
      <c r="P13" s="42">
        <v>8</v>
      </c>
      <c r="Q13" s="42">
        <v>6</v>
      </c>
      <c r="R13" s="42">
        <v>9</v>
      </c>
      <c r="S13" s="42">
        <v>11</v>
      </c>
      <c r="T13" s="42">
        <v>8</v>
      </c>
      <c r="U13" s="43">
        <f>IF(COUNTIF(F13:T13,"=*")&gt;0,"-",IF(COUNTIF(F13:T13,"&lt;4")&gt;0,"-",(IFERROR(AVERAGE(F13:T13),""))))</f>
        <v>8.3333333333333339</v>
      </c>
      <c r="V13" s="43">
        <f>U13/12*90</f>
        <v>62.500000000000007</v>
      </c>
      <c r="W13" s="28"/>
      <c r="X13" s="35"/>
    </row>
    <row r="14" spans="1:24" ht="15" customHeight="1" x14ac:dyDescent="0.25">
      <c r="A14" s="33"/>
      <c r="B14" s="28"/>
      <c r="C14" s="40" t="s">
        <v>14</v>
      </c>
      <c r="D14" s="40">
        <v>4</v>
      </c>
      <c r="E14" s="41" t="s">
        <v>56</v>
      </c>
      <c r="F14" s="42">
        <v>10</v>
      </c>
      <c r="G14" s="42">
        <v>10</v>
      </c>
      <c r="H14" s="42">
        <v>9</v>
      </c>
      <c r="I14" s="42">
        <v>9</v>
      </c>
      <c r="J14" s="42">
        <v>10</v>
      </c>
      <c r="K14" s="42">
        <v>4</v>
      </c>
      <c r="L14" s="42">
        <v>9</v>
      </c>
      <c r="M14" s="42">
        <v>8</v>
      </c>
      <c r="N14" s="42">
        <v>8</v>
      </c>
      <c r="O14" s="42">
        <v>4</v>
      </c>
      <c r="P14" s="42">
        <v>6</v>
      </c>
      <c r="Q14" s="42">
        <v>5</v>
      </c>
      <c r="R14" s="42">
        <v>9</v>
      </c>
      <c r="S14" s="42">
        <v>8</v>
      </c>
      <c r="T14" s="42">
        <v>7</v>
      </c>
      <c r="U14" s="43">
        <f>IF(COUNTIF(F14:T14,"=*")&gt;0,"-",IF(COUNTIF(F14:T14,"&lt;4")&gt;0,"-",(IFERROR(AVERAGE(F14:T14),""))))</f>
        <v>7.7333333333333334</v>
      </c>
      <c r="V14" s="43">
        <f>U14/12*90</f>
        <v>58.000000000000007</v>
      </c>
      <c r="W14" s="28"/>
      <c r="X14" s="35"/>
    </row>
    <row r="15" spans="1:24" ht="15" customHeight="1" x14ac:dyDescent="0.25">
      <c r="A15" s="33"/>
      <c r="B15" s="28"/>
      <c r="C15" s="25" t="s">
        <v>14</v>
      </c>
      <c r="D15" s="25">
        <v>5</v>
      </c>
      <c r="E15" s="9" t="s">
        <v>59</v>
      </c>
      <c r="F15" s="10">
        <v>10</v>
      </c>
      <c r="G15" s="10">
        <v>11</v>
      </c>
      <c r="H15" s="10">
        <v>8</v>
      </c>
      <c r="I15" s="10">
        <v>9</v>
      </c>
      <c r="J15" s="10">
        <v>8</v>
      </c>
      <c r="K15" s="10">
        <v>6</v>
      </c>
      <c r="L15" s="10">
        <v>6</v>
      </c>
      <c r="M15" s="10">
        <v>7</v>
      </c>
      <c r="N15" s="10">
        <v>7</v>
      </c>
      <c r="O15" s="10">
        <v>5</v>
      </c>
      <c r="P15" s="10">
        <v>7</v>
      </c>
      <c r="Q15" s="10">
        <v>7</v>
      </c>
      <c r="R15" s="10">
        <v>8</v>
      </c>
      <c r="S15" s="10">
        <v>8</v>
      </c>
      <c r="T15" s="10">
        <v>7</v>
      </c>
      <c r="U15" s="39">
        <f>IF(COUNTIF(F15:T15,"=*")&gt;0,"-",IF(COUNTIF(F15:T15,"&lt;4")&gt;0,"-",(IFERROR(AVERAGE(F15:T15),""))))</f>
        <v>7.6</v>
      </c>
      <c r="V15" s="39">
        <f>U15/12*90</f>
        <v>57</v>
      </c>
      <c r="W15" s="28"/>
      <c r="X15" s="35"/>
    </row>
    <row r="16" spans="1:24" ht="15" customHeight="1" x14ac:dyDescent="0.25">
      <c r="A16" s="33"/>
      <c r="B16" s="28"/>
      <c r="C16" s="25" t="s">
        <v>14</v>
      </c>
      <c r="D16" s="25">
        <v>6</v>
      </c>
      <c r="E16" s="9" t="s">
        <v>54</v>
      </c>
      <c r="F16" s="10">
        <v>9</v>
      </c>
      <c r="G16" s="10">
        <v>10</v>
      </c>
      <c r="H16" s="10">
        <v>10</v>
      </c>
      <c r="I16" s="10">
        <v>9</v>
      </c>
      <c r="J16" s="10">
        <v>8</v>
      </c>
      <c r="K16" s="10">
        <v>8</v>
      </c>
      <c r="L16" s="10">
        <v>7</v>
      </c>
      <c r="M16" s="10">
        <v>7</v>
      </c>
      <c r="N16" s="10">
        <v>7</v>
      </c>
      <c r="O16" s="10">
        <v>5</v>
      </c>
      <c r="P16" s="10">
        <v>5</v>
      </c>
      <c r="Q16" s="10">
        <v>6</v>
      </c>
      <c r="R16" s="10">
        <v>6</v>
      </c>
      <c r="S16" s="10">
        <v>9</v>
      </c>
      <c r="T16" s="10">
        <v>7</v>
      </c>
      <c r="U16" s="39">
        <f>IF(COUNTIF(F16:T16,"=*")&gt;0,"-",IF(COUNTIF(F16:T16,"&lt;4")&gt;0,"-",(IFERROR(AVERAGE(F16:T16),""))))</f>
        <v>7.5333333333333332</v>
      </c>
      <c r="V16" s="39">
        <f>U16/12*90</f>
        <v>56.5</v>
      </c>
      <c r="W16" s="28"/>
      <c r="X16" s="35"/>
    </row>
    <row r="17" spans="1:25" ht="15" customHeight="1" x14ac:dyDescent="0.25">
      <c r="A17" s="33"/>
      <c r="B17" s="28"/>
      <c r="C17" s="25" t="s">
        <v>14</v>
      </c>
      <c r="D17" s="25">
        <v>7</v>
      </c>
      <c r="E17" s="9" t="s">
        <v>53</v>
      </c>
      <c r="F17" s="10">
        <v>9</v>
      </c>
      <c r="G17" s="10">
        <v>6</v>
      </c>
      <c r="H17" s="10">
        <v>8</v>
      </c>
      <c r="I17" s="10">
        <v>10</v>
      </c>
      <c r="J17" s="10">
        <v>10</v>
      </c>
      <c r="K17" s="10">
        <v>7</v>
      </c>
      <c r="L17" s="10">
        <v>8</v>
      </c>
      <c r="M17" s="10">
        <v>5</v>
      </c>
      <c r="N17" s="10">
        <v>7</v>
      </c>
      <c r="O17" s="10">
        <v>5</v>
      </c>
      <c r="P17" s="10">
        <v>4</v>
      </c>
      <c r="Q17" s="10">
        <v>6</v>
      </c>
      <c r="R17" s="10">
        <v>5</v>
      </c>
      <c r="S17" s="10">
        <v>5</v>
      </c>
      <c r="T17" s="10">
        <v>6</v>
      </c>
      <c r="U17" s="39">
        <f>IF(COUNTIF(F17:T17,"=*")&gt;0,"-",IF(COUNTIF(F17:T17,"&lt;4")&gt;0,"-",(IFERROR(AVERAGE(F17:T17),""))))</f>
        <v>6.7333333333333334</v>
      </c>
      <c r="V17" s="39">
        <f>U17/12*90</f>
        <v>50.5</v>
      </c>
      <c r="W17" s="28"/>
      <c r="X17" s="35"/>
    </row>
    <row r="18" spans="1:25" ht="15" customHeight="1" x14ac:dyDescent="0.25">
      <c r="A18" s="33"/>
      <c r="B18" s="28"/>
      <c r="C18" s="25" t="s">
        <v>14</v>
      </c>
      <c r="D18" s="25">
        <v>8</v>
      </c>
      <c r="E18" s="9" t="s">
        <v>62</v>
      </c>
      <c r="F18" s="10">
        <v>8</v>
      </c>
      <c r="G18" s="10">
        <v>7</v>
      </c>
      <c r="H18" s="10">
        <v>9</v>
      </c>
      <c r="I18" s="10">
        <v>8</v>
      </c>
      <c r="J18" s="10">
        <v>5</v>
      </c>
      <c r="K18" s="10">
        <v>6</v>
      </c>
      <c r="L18" s="10">
        <v>6</v>
      </c>
      <c r="M18" s="10">
        <v>4</v>
      </c>
      <c r="N18" s="10">
        <v>6</v>
      </c>
      <c r="O18" s="10">
        <v>4</v>
      </c>
      <c r="P18" s="10">
        <v>6</v>
      </c>
      <c r="Q18" s="10">
        <v>5</v>
      </c>
      <c r="R18" s="10">
        <v>6</v>
      </c>
      <c r="S18" s="10">
        <v>8</v>
      </c>
      <c r="T18" s="10">
        <v>6</v>
      </c>
      <c r="U18" s="39">
        <f>IF(COUNTIF(F18:T18,"=*")&gt;0,"-",IF(COUNTIF(F18:T18,"&lt;4")&gt;0,"-",(IFERROR(AVERAGE(F18:T18),""))))</f>
        <v>6.2666666666666666</v>
      </c>
      <c r="V18" s="39">
        <f>U18/12*90</f>
        <v>47</v>
      </c>
      <c r="W18" s="28"/>
      <c r="X18" s="35"/>
    </row>
    <row r="19" spans="1:25" ht="15" customHeight="1" x14ac:dyDescent="0.25">
      <c r="A19" s="33"/>
      <c r="B19" s="28"/>
      <c r="C19" s="25" t="s">
        <v>14</v>
      </c>
      <c r="D19" s="25">
        <v>9</v>
      </c>
      <c r="E19" s="9" t="s">
        <v>60</v>
      </c>
      <c r="F19" s="10">
        <v>8</v>
      </c>
      <c r="G19" s="10">
        <v>9</v>
      </c>
      <c r="H19" s="10">
        <v>8</v>
      </c>
      <c r="I19" s="10">
        <v>9</v>
      </c>
      <c r="J19" s="10">
        <v>8</v>
      </c>
      <c r="K19" s="10">
        <v>8</v>
      </c>
      <c r="L19" s="10">
        <v>6</v>
      </c>
      <c r="M19" s="10">
        <v>5</v>
      </c>
      <c r="N19" s="10">
        <v>4</v>
      </c>
      <c r="O19" s="10">
        <v>4</v>
      </c>
      <c r="P19" s="10">
        <v>4</v>
      </c>
      <c r="Q19" s="10">
        <v>6</v>
      </c>
      <c r="R19" s="10">
        <v>4</v>
      </c>
      <c r="S19" s="10">
        <v>4</v>
      </c>
      <c r="T19" s="10">
        <v>6</v>
      </c>
      <c r="U19" s="39">
        <f>IF(COUNTIF(F19:T19,"=*")&gt;0,"-",IF(COUNTIF(F19:T19,"&lt;4")&gt;0,"-",(IFERROR(AVERAGE(F19:T19),""))))</f>
        <v>6.2</v>
      </c>
      <c r="V19" s="39">
        <f>U19/12*90</f>
        <v>46.500000000000007</v>
      </c>
      <c r="W19" s="28"/>
      <c r="X19" s="35"/>
    </row>
    <row r="20" spans="1:25" ht="15" customHeight="1" x14ac:dyDescent="0.25">
      <c r="A20" s="33"/>
      <c r="B20" s="28"/>
      <c r="C20" s="25" t="s">
        <v>14</v>
      </c>
      <c r="D20" s="25">
        <v>10</v>
      </c>
      <c r="E20" s="9" t="s">
        <v>61</v>
      </c>
      <c r="F20" s="10">
        <v>9</v>
      </c>
      <c r="G20" s="10">
        <v>4</v>
      </c>
      <c r="H20" s="10">
        <v>8</v>
      </c>
      <c r="I20" s="10">
        <v>8</v>
      </c>
      <c r="J20" s="10">
        <v>8</v>
      </c>
      <c r="K20" s="10">
        <v>4</v>
      </c>
      <c r="L20" s="10">
        <v>7</v>
      </c>
      <c r="M20" s="10">
        <v>5</v>
      </c>
      <c r="N20" s="10">
        <v>6</v>
      </c>
      <c r="O20" s="10">
        <v>4</v>
      </c>
      <c r="P20" s="10">
        <v>4</v>
      </c>
      <c r="Q20" s="10">
        <v>4</v>
      </c>
      <c r="R20" s="10">
        <v>5</v>
      </c>
      <c r="S20" s="10">
        <v>5</v>
      </c>
      <c r="T20" s="10">
        <v>6</v>
      </c>
      <c r="U20" s="39">
        <f>IF(COUNTIF(F20:T20,"=*")&gt;0,"-",IF(COUNTIF(F20:T20,"&lt;4")&gt;0,"-",(IFERROR(AVERAGE(F20:T20),""))))</f>
        <v>5.8</v>
      </c>
      <c r="V20" s="39">
        <f>U20/12*90</f>
        <v>43.5</v>
      </c>
      <c r="W20" s="28"/>
      <c r="X20" s="35"/>
    </row>
    <row r="21" spans="1:25" ht="15" customHeight="1" x14ac:dyDescent="0.25">
      <c r="A21" s="33"/>
      <c r="B21" s="28"/>
      <c r="C21" s="11"/>
      <c r="D21" s="11"/>
      <c r="E21" s="9" t="s">
        <v>20</v>
      </c>
      <c r="F21" s="24">
        <f>'Зведена 185'!F26</f>
        <v>10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23"/>
      <c r="V21" s="23"/>
      <c r="W21" s="28"/>
      <c r="X21" s="35"/>
      <c r="Y21" s="14"/>
    </row>
    <row r="22" spans="1:25" ht="15" customHeight="1" x14ac:dyDescent="0.25">
      <c r="A22" s="33"/>
      <c r="B22" s="28"/>
      <c r="C22" s="11"/>
      <c r="D22" s="11"/>
      <c r="E22" s="9" t="s">
        <v>21</v>
      </c>
      <c r="F22" s="24">
        <f>'Зведена 185'!F27</f>
        <v>0</v>
      </c>
      <c r="G22" s="11"/>
      <c r="H22" s="11"/>
      <c r="I22" s="17" t="s">
        <v>22</v>
      </c>
      <c r="J22" s="11"/>
      <c r="K22" s="11"/>
      <c r="L22" s="11"/>
      <c r="M22" s="11"/>
      <c r="N22" s="11"/>
      <c r="O22" s="11"/>
      <c r="P22" s="1" t="s">
        <v>52</v>
      </c>
      <c r="Q22" s="11"/>
      <c r="R22" s="11"/>
      <c r="S22" s="11"/>
      <c r="T22" s="11"/>
      <c r="U22" s="11"/>
      <c r="V22" s="11"/>
      <c r="W22" s="28"/>
      <c r="X22" s="35"/>
    </row>
    <row r="23" spans="1:25" ht="15" customHeight="1" x14ac:dyDescent="0.25">
      <c r="A23" s="33"/>
      <c r="B23" s="28"/>
      <c r="C23" s="11"/>
      <c r="D23" s="11"/>
      <c r="E23" s="9" t="s">
        <v>23</v>
      </c>
      <c r="F23" s="24">
        <f>'Зведена 185'!F28</f>
        <v>2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28"/>
      <c r="X23" s="35"/>
    </row>
    <row r="24" spans="1:25" ht="15" customHeight="1" x14ac:dyDescent="0.25">
      <c r="A24" s="33"/>
      <c r="B24" s="28"/>
      <c r="C24" s="11"/>
      <c r="D24" s="11"/>
      <c r="E24" s="9" t="s">
        <v>24</v>
      </c>
      <c r="F24" s="24">
        <f>'Зведена 185'!F29</f>
        <v>4</v>
      </c>
      <c r="G24" s="11"/>
      <c r="H24" s="11"/>
      <c r="I24" s="17" t="s">
        <v>25</v>
      </c>
      <c r="J24" s="11"/>
      <c r="K24" s="11"/>
      <c r="L24" s="11"/>
      <c r="M24" s="11"/>
      <c r="N24" s="11"/>
      <c r="O24" s="11"/>
      <c r="P24" s="17" t="s">
        <v>26</v>
      </c>
      <c r="Q24" s="11"/>
      <c r="R24" s="11"/>
      <c r="S24" s="11"/>
      <c r="T24" s="11"/>
      <c r="U24" s="11"/>
      <c r="V24" s="11"/>
      <c r="W24" s="28"/>
      <c r="X24" s="35"/>
    </row>
    <row r="25" spans="1:25" ht="12" customHeight="1" thickBot="1" x14ac:dyDescent="0.3">
      <c r="A25" s="33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5"/>
    </row>
    <row r="26" spans="1:25" ht="12" customHeight="1" x14ac:dyDescent="0.25"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</row>
  </sheetData>
  <sheetProtection selectLockedCells="1"/>
  <sortState ref="C11:V20">
    <sortCondition descending="1" ref="U11:U20"/>
  </sortState>
  <mergeCells count="18">
    <mergeCell ref="B25:W25"/>
    <mergeCell ref="B26:W26"/>
    <mergeCell ref="C7:V7"/>
    <mergeCell ref="C8:V8"/>
    <mergeCell ref="C9:C10"/>
    <mergeCell ref="D9:D10"/>
    <mergeCell ref="E9:E10"/>
    <mergeCell ref="F9:V9"/>
    <mergeCell ref="B1:W1"/>
    <mergeCell ref="A2:A25"/>
    <mergeCell ref="B2:W2"/>
    <mergeCell ref="X2:X25"/>
    <mergeCell ref="B3:B24"/>
    <mergeCell ref="C3:V3"/>
    <mergeCell ref="W3:W24"/>
    <mergeCell ref="C4:V4"/>
    <mergeCell ref="C5:V5"/>
    <mergeCell ref="C6:V6"/>
  </mergeCells>
  <conditionalFormatting sqref="V11:V20">
    <cfRule type="expression" dxfId="12" priority="5">
      <formula>$W$20&lt;&gt;""</formula>
    </cfRule>
  </conditionalFormatting>
  <conditionalFormatting sqref="C11:T11 F12:T20 D13 D15 D17 D19">
    <cfRule type="expression" dxfId="11" priority="6">
      <formula>$W$11&lt;&gt;""</formula>
    </cfRule>
  </conditionalFormatting>
  <conditionalFormatting sqref="C12:E12 D14 D16 D18 D20">
    <cfRule type="expression" dxfId="10" priority="7">
      <formula>$W$12&lt;&gt;""</formula>
    </cfRule>
  </conditionalFormatting>
  <conditionalFormatting sqref="C13 E13">
    <cfRule type="expression" dxfId="9" priority="8">
      <formula>$W$13&lt;&gt;""</formula>
    </cfRule>
  </conditionalFormatting>
  <conditionalFormatting sqref="C14 E14">
    <cfRule type="expression" dxfId="8" priority="9">
      <formula>$W$14&lt;&gt;""</formula>
    </cfRule>
  </conditionalFormatting>
  <conditionalFormatting sqref="C15 E15">
    <cfRule type="expression" dxfId="7" priority="10">
      <formula>$W$15&lt;&gt;""</formula>
    </cfRule>
  </conditionalFormatting>
  <conditionalFormatting sqref="C16 E16">
    <cfRule type="expression" dxfId="6" priority="11">
      <formula>$W$16&lt;&gt;""</formula>
    </cfRule>
  </conditionalFormatting>
  <conditionalFormatting sqref="C17 E17">
    <cfRule type="expression" dxfId="5" priority="12">
      <formula>$W$17&lt;&gt;""</formula>
    </cfRule>
  </conditionalFormatting>
  <conditionalFormatting sqref="C18 E18">
    <cfRule type="expression" dxfId="4" priority="13">
      <formula>$W$18&lt;&gt;""</formula>
    </cfRule>
  </conditionalFormatting>
  <conditionalFormatting sqref="C19 E19">
    <cfRule type="expression" dxfId="3" priority="14">
      <formula>$W$19&lt;&gt;""</formula>
    </cfRule>
  </conditionalFormatting>
  <conditionalFormatting sqref="C20 E20">
    <cfRule type="expression" dxfId="2" priority="4">
      <formula>#REF!&lt;&gt;""</formula>
    </cfRule>
  </conditionalFormatting>
  <conditionalFormatting sqref="U11:U20">
    <cfRule type="expression" dxfId="1" priority="2">
      <formula>$W$20&lt;&gt;""</formula>
    </cfRule>
  </conditionalFormatting>
  <printOptions horizontalCentered="1"/>
  <pageMargins left="0" right="0" top="0" bottom="0" header="0" footer="0"/>
  <pageSetup paperSize="9" scale="8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4</vt:i4>
      </vt:variant>
    </vt:vector>
  </HeadingPairs>
  <TitlesOfParts>
    <vt:vector size="8" baseType="lpstr">
      <vt:lpstr>Зведена 141</vt:lpstr>
      <vt:lpstr>Рейтингова відомість 141</vt:lpstr>
      <vt:lpstr>Зведена 185</vt:lpstr>
      <vt:lpstr>Рейтингова відомість 185</vt:lpstr>
      <vt:lpstr>'Зведена 141'!Область_печати</vt:lpstr>
      <vt:lpstr>'Зведена 185'!Область_печати</vt:lpstr>
      <vt:lpstr>'Рейтингова відомість 141'!Область_печати</vt:lpstr>
      <vt:lpstr>'Рейтингова відомість 185'!Область_печати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37063</dc:creator>
  <cp:lastModifiedBy>SURKOV</cp:lastModifiedBy>
  <cp:revision/>
  <cp:lastPrinted>2024-06-20T12:19:52Z</cp:lastPrinted>
  <dcterms:created xsi:type="dcterms:W3CDTF">2006-09-28T05:33:49Z</dcterms:created>
  <dcterms:modified xsi:type="dcterms:W3CDTF">2024-06-20T12:19:53Z</dcterms:modified>
</cp:coreProperties>
</file>