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255" yWindow="0" windowWidth="18765" windowHeight="11640" tabRatio="865" activeTab="1"/>
  </bookViews>
  <sheets>
    <sheet name="Зведена 241" sheetId="38" r:id="rId1"/>
    <sheet name="Зведена 242" sheetId="40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241'!$B$2:$V$47</definedName>
    <definedName name="_xlnm.Print_Area" localSheetId="1">'Зведена 242'!$B$2:$V$29</definedName>
    <definedName name="Ф80" localSheetId="0">#REF!</definedName>
    <definedName name="Ф80" localSheetId="1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H38" i="38" l="1"/>
  <c r="H39" i="38"/>
  <c r="H40" i="38"/>
  <c r="H20" i="40"/>
  <c r="H21" i="40"/>
  <c r="H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G22" i="40"/>
  <c r="F22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G21" i="40"/>
  <c r="F21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G20" i="40"/>
  <c r="F20" i="40"/>
  <c r="T40" i="38"/>
  <c r="S40" i="38"/>
  <c r="R40" i="38"/>
  <c r="Q40" i="38"/>
  <c r="P40" i="38"/>
  <c r="O40" i="38"/>
  <c r="N40" i="38"/>
  <c r="M40" i="38"/>
  <c r="L40" i="38"/>
  <c r="K40" i="38"/>
  <c r="J40" i="38"/>
  <c r="I40" i="38"/>
  <c r="G40" i="38"/>
  <c r="F40" i="38"/>
  <c r="T39" i="38"/>
  <c r="S39" i="38"/>
  <c r="R39" i="38"/>
  <c r="Q39" i="38"/>
  <c r="P39" i="38"/>
  <c r="O39" i="38"/>
  <c r="N39" i="38"/>
  <c r="M39" i="38"/>
  <c r="L39" i="38"/>
  <c r="K39" i="38"/>
  <c r="J39" i="38"/>
  <c r="I39" i="38"/>
  <c r="G39" i="38"/>
  <c r="F39" i="38"/>
  <c r="T38" i="38"/>
  <c r="S38" i="38"/>
  <c r="R38" i="38"/>
  <c r="Q38" i="38"/>
  <c r="P38" i="38"/>
  <c r="O38" i="38"/>
  <c r="N38" i="38"/>
  <c r="M38" i="38"/>
  <c r="L38" i="38"/>
  <c r="K38" i="38"/>
  <c r="J38" i="38"/>
  <c r="I38" i="38"/>
  <c r="G38" i="38"/>
  <c r="F38" i="38"/>
  <c r="U12" i="38" l="1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U19" i="40"/>
  <c r="F26" i="40" l="1"/>
  <c r="F25" i="40"/>
  <c r="U18" i="40"/>
  <c r="U17" i="40"/>
  <c r="U16" i="40"/>
  <c r="U15" i="40"/>
  <c r="U14" i="40"/>
  <c r="U13" i="40"/>
  <c r="U12" i="40"/>
  <c r="U11" i="40"/>
  <c r="U20" i="40" l="1"/>
  <c r="F24" i="40"/>
  <c r="F23" i="40"/>
  <c r="F44" i="38" l="1"/>
  <c r="F43" i="38"/>
  <c r="U11" i="38"/>
  <c r="U38" i="38" l="1"/>
  <c r="F41" i="38"/>
  <c r="F42" i="38"/>
</calcChain>
</file>

<file path=xl/sharedStrings.xml><?xml version="1.0" encoding="utf-8"?>
<sst xmlns="http://schemas.openxmlformats.org/spreadsheetml/2006/main" count="184" uniqueCount="78">
  <si>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</si>
  <si>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</si>
  <si>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</si>
  <si>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</si>
  <si>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</si>
  <si>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</si>
  <si>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</si>
  <si>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</si>
  <si>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</si>
  <si>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</si>
  <si>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Хімія
Леонова Д.І.</t>
  </si>
  <si>
    <t>Середній бал</t>
  </si>
  <si>
    <t>К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</si>
  <si>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</si>
  <si>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</si>
  <si>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</si>
  <si>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</si>
  <si>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</si>
  <si>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</si>
  <si>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</si>
  <si>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</si>
  <si>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</si>
  <si>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</si>
  <si>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</si>
  <si>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</si>
  <si>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</si>
  <si>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</si>
  <si>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</si>
  <si>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Іноземна мова
Сербулова Ю.А.</t>
  </si>
  <si>
    <t>Фізична культура
Галеніна І.С.</t>
  </si>
  <si>
    <t>Успішності студентів спеціальності 241 «Готельно-ресторанна справа»</t>
  </si>
  <si>
    <t>Бакрив Олександра Сергіївна</t>
  </si>
  <si>
    <t>Башли Владлена Анатоліївна</t>
  </si>
  <si>
    <t>Бубнова Ірина Олегівна</t>
  </si>
  <si>
    <t>Вдов Евеліна Віталіївна</t>
  </si>
  <si>
    <t>Войт Кіра Максимівна</t>
  </si>
  <si>
    <t>Іванова Анастасія Анатоліївна</t>
  </si>
  <si>
    <t>Івненко Аліна Володимирівна</t>
  </si>
  <si>
    <t>Карнаушенко Софія Романівна</t>
  </si>
  <si>
    <t>Коновальчук Назар Сергійович</t>
  </si>
  <si>
    <t>Костюченко Вікторія Костянтинівна</t>
  </si>
  <si>
    <t>Крешун Ірина Сергіївна</t>
  </si>
  <si>
    <t>Майорова Анна Романівна</t>
  </si>
  <si>
    <t>Мартишев Давид Денисович</t>
  </si>
  <si>
    <t>Мирненко Анна Олександрівна</t>
  </si>
  <si>
    <t>Мозгова Тетяна Віталіївна</t>
  </si>
  <si>
    <t>Моісеєнко Анатолій Вікторович</t>
  </si>
  <si>
    <t>Молдованенко Ангеліна Олександрівна</t>
  </si>
  <si>
    <t>Нальотова Олександра Миколаївна</t>
  </si>
  <si>
    <t>Непом`яща Єлизавета Олександрівна</t>
  </si>
  <si>
    <t>Олійник Олександра Сергіївна</t>
  </si>
  <si>
    <t>Павлов Юрій Сергійович</t>
  </si>
  <si>
    <t>Пащенко Ілля Володимирович</t>
  </si>
  <si>
    <t>Підмогильна Валерія Вадимівна</t>
  </si>
  <si>
    <t>Ракітіна Маргарита Романівна</t>
  </si>
  <si>
    <t>Рибальченко Софія Олександрівна</t>
  </si>
  <si>
    <t>Сінькова Владлена Олександрівна</t>
  </si>
  <si>
    <t>Шестопалова Олександра Віталіївна</t>
  </si>
  <si>
    <t>Група 23-6 курс І</t>
  </si>
  <si>
    <t>Бочкур Олександра Василівна</t>
  </si>
  <si>
    <t>Віннічук Анастасія Миколаївна</t>
  </si>
  <si>
    <t>Грабчак Катерина Сергіївна</t>
  </si>
  <si>
    <t>Гусак Дар`я Вячеславівна</t>
  </si>
  <si>
    <t>Найден Марина Юріївна</t>
  </si>
  <si>
    <t>Рувінська Олександра Ігорівна</t>
  </si>
  <si>
    <t>Синчук Владислава Олександрівна</t>
  </si>
  <si>
    <t>Шаульська Каріна Сергіївна</t>
  </si>
  <si>
    <t>Ябурова Аделіна Олексіївна</t>
  </si>
  <si>
    <t>Успішності студентів спеціальності 242 «Туризм»</t>
  </si>
  <si>
    <t>Математика
Нужна Н.В.</t>
  </si>
  <si>
    <t>Українська література
Антропова Л.І.</t>
  </si>
  <si>
    <t>Українська мова
Антропова Л.І.</t>
  </si>
  <si>
    <t>Астрономія
Наговська Т.С.</t>
  </si>
  <si>
    <t>За ІI семестр 2023-2024 н.р.</t>
  </si>
  <si>
    <t>ВІДОКРЕМЛЕНИЙ СТРУКТУРНИЙ ПІДРОЗДІЛ
«ФАХОВИЙ КОЛЕДЖ НАФТОГАЗОВИХ ТЕХНОЛОГІЙ,
 ІНЖЕНЕРІЇ ТА ІНФРАСТРУКТУРИ СЕРВІСУ</t>
  </si>
  <si>
    <t>н/а</t>
  </si>
  <si>
    <t>Захист України
Лазар В.І.</t>
  </si>
  <si>
    <t>Вікторія ВАЛУЙСЬКА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</si>
</sst>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6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 wrapText="1"/>
    </xf>
    <xf numFmtId="0" fontId="6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22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3" ht="12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5" customFormat="1" ht="54.95" customHeight="1" x14ac:dyDescent="0.25">
      <c r="A3" s="25"/>
      <c r="B3" s="28"/>
      <c r="C3" s="29" t="s">
        <v>74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7"/>
    </row>
    <row r="4" spans="1:23" s="5" customFormat="1" ht="15" customHeight="1" x14ac:dyDescent="0.25">
      <c r="A4" s="25"/>
      <c r="B4" s="28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</row>
    <row r="5" spans="1:23" s="6" customFormat="1" ht="15" customHeight="1" x14ac:dyDescent="0.25">
      <c r="A5" s="25"/>
      <c r="B5" s="28"/>
      <c r="C5" s="30" t="s">
        <v>25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28"/>
      <c r="W5" s="27"/>
    </row>
    <row r="6" spans="1:23" s="5" customFormat="1" ht="15" customHeight="1" x14ac:dyDescent="0.25">
      <c r="A6" s="25"/>
      <c r="B6" s="28"/>
      <c r="C6" s="31" t="s">
        <v>30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28"/>
      <c r="W6" s="27"/>
    </row>
    <row r="7" spans="1:23" s="5" customFormat="1" ht="15" customHeight="1" x14ac:dyDescent="0.25">
      <c r="A7" s="25"/>
      <c r="B7" s="28"/>
      <c r="C7" s="31" t="s">
        <v>73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28"/>
      <c r="W7" s="27"/>
    </row>
    <row r="8" spans="1:23" s="5" customFormat="1" ht="15" customHeight="1" x14ac:dyDescent="0.25">
      <c r="A8" s="25"/>
      <c r="B8" s="28"/>
      <c r="C8" s="28" t="s">
        <v>58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7"/>
    </row>
    <row r="9" spans="1:23" ht="15" customHeight="1" x14ac:dyDescent="0.25">
      <c r="A9" s="25"/>
      <c r="B9" s="28"/>
      <c r="C9" s="33" t="s">
        <v>1</v>
      </c>
      <c r="D9" s="35" t="s">
        <v>2</v>
      </c>
      <c r="E9" s="35" t="s">
        <v>3</v>
      </c>
      <c r="F9" s="34" t="s">
        <v>27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28"/>
      <c r="W9" s="27"/>
    </row>
    <row r="10" spans="1:23" ht="125.1" customHeight="1" x14ac:dyDescent="0.25">
      <c r="A10" s="25"/>
      <c r="B10" s="28"/>
      <c r="C10" s="34"/>
      <c r="D10" s="34"/>
      <c r="E10" s="34"/>
      <c r="F10" s="18" t="s">
        <v>72</v>
      </c>
      <c r="G10" s="18" t="s">
        <v>4</v>
      </c>
      <c r="H10" s="18" t="s">
        <v>5</v>
      </c>
      <c r="I10" s="18" t="s">
        <v>6</v>
      </c>
      <c r="J10" s="18" t="s">
        <v>26</v>
      </c>
      <c r="K10" s="18" t="s">
        <v>76</v>
      </c>
      <c r="L10" s="18" t="s">
        <v>28</v>
      </c>
      <c r="M10" s="18" t="s">
        <v>7</v>
      </c>
      <c r="N10" s="18" t="s">
        <v>8</v>
      </c>
      <c r="O10" s="18" t="s">
        <v>69</v>
      </c>
      <c r="P10" s="18" t="s">
        <v>70</v>
      </c>
      <c r="Q10" s="18" t="s">
        <v>71</v>
      </c>
      <c r="R10" s="18" t="s">
        <v>9</v>
      </c>
      <c r="S10" s="18" t="s">
        <v>29</v>
      </c>
      <c r="T10" s="18" t="s">
        <v>10</v>
      </c>
      <c r="U10" s="7" t="s">
        <v>11</v>
      </c>
      <c r="V10" s="28"/>
      <c r="W10" s="27"/>
    </row>
    <row r="11" spans="1:23" ht="15" customHeight="1" x14ac:dyDescent="0.25">
      <c r="A11" s="25"/>
      <c r="B11" s="28"/>
      <c r="C11" s="8" t="s">
        <v>12</v>
      </c>
      <c r="D11" s="8">
        <v>1</v>
      </c>
      <c r="E11" s="9" t="s">
        <v>31</v>
      </c>
      <c r="F11" s="10">
        <v>9</v>
      </c>
      <c r="G11" s="10">
        <v>9</v>
      </c>
      <c r="H11" s="10">
        <v>8</v>
      </c>
      <c r="I11" s="10">
        <v>10</v>
      </c>
      <c r="J11" s="10">
        <v>10</v>
      </c>
      <c r="K11" s="10">
        <v>9</v>
      </c>
      <c r="L11" s="10">
        <v>9</v>
      </c>
      <c r="M11" s="10">
        <v>9</v>
      </c>
      <c r="N11" s="10">
        <v>8</v>
      </c>
      <c r="O11" s="10">
        <v>8</v>
      </c>
      <c r="P11" s="10">
        <v>7</v>
      </c>
      <c r="Q11" s="10">
        <v>7</v>
      </c>
      <c r="R11" s="10">
        <v>7</v>
      </c>
      <c r="S11" s="10">
        <v>8</v>
      </c>
      <c r="T11" s="10">
        <v>7</v>
      </c>
      <c r="U11" s="2">
        <f t="shared" ref="U11:U37" si="0">IF(COUNTIF(F11:T11,"=*")&gt;0,"-",IF(COUNTIF(F11:T11,"&lt;4")&gt;0,"-",(IFERROR(AVERAGE(F11:T11),""))))</f>
        <v>8.3333333333333339</v>
      </c>
      <c r="V11" s="28"/>
      <c r="W11" s="27"/>
    </row>
    <row r="12" spans="1:23" ht="15" customHeight="1" x14ac:dyDescent="0.25">
      <c r="A12" s="25"/>
      <c r="B12" s="28"/>
      <c r="C12" s="23" t="s">
        <v>12</v>
      </c>
      <c r="D12" s="23">
        <v>2</v>
      </c>
      <c r="E12" s="9" t="s">
        <v>32</v>
      </c>
      <c r="F12" s="10">
        <v>10</v>
      </c>
      <c r="G12" s="10">
        <v>8</v>
      </c>
      <c r="H12" s="10">
        <v>10</v>
      </c>
      <c r="I12" s="10">
        <v>9</v>
      </c>
      <c r="J12" s="10">
        <v>10</v>
      </c>
      <c r="K12" s="10">
        <v>9</v>
      </c>
      <c r="L12" s="10">
        <v>9</v>
      </c>
      <c r="M12" s="10">
        <v>6</v>
      </c>
      <c r="N12" s="10">
        <v>8</v>
      </c>
      <c r="O12" s="10">
        <v>9</v>
      </c>
      <c r="P12" s="10">
        <v>8</v>
      </c>
      <c r="Q12" s="10">
        <v>8</v>
      </c>
      <c r="R12" s="10">
        <v>6</v>
      </c>
      <c r="S12" s="10">
        <v>10</v>
      </c>
      <c r="T12" s="10">
        <v>7</v>
      </c>
      <c r="U12" s="2">
        <f t="shared" si="0"/>
        <v>8.4666666666666668</v>
      </c>
      <c r="V12" s="28"/>
      <c r="W12" s="27"/>
    </row>
    <row r="13" spans="1:23" ht="15" customHeight="1" x14ac:dyDescent="0.25">
      <c r="A13" s="25"/>
      <c r="B13" s="28"/>
      <c r="C13" s="23" t="s">
        <v>12</v>
      </c>
      <c r="D13" s="23">
        <v>3</v>
      </c>
      <c r="E13" s="9" t="s">
        <v>33</v>
      </c>
      <c r="F13" s="10">
        <v>7</v>
      </c>
      <c r="G13" s="10">
        <v>6</v>
      </c>
      <c r="H13" s="10">
        <v>9</v>
      </c>
      <c r="I13" s="10">
        <v>8</v>
      </c>
      <c r="J13" s="10">
        <v>10</v>
      </c>
      <c r="K13" s="10" t="s">
        <v>75</v>
      </c>
      <c r="L13" s="10">
        <v>9</v>
      </c>
      <c r="M13" s="10">
        <v>4</v>
      </c>
      <c r="N13" s="10">
        <v>8</v>
      </c>
      <c r="O13" s="10">
        <v>5</v>
      </c>
      <c r="P13" s="10">
        <v>8</v>
      </c>
      <c r="Q13" s="10">
        <v>9</v>
      </c>
      <c r="R13" s="10">
        <v>4</v>
      </c>
      <c r="S13" s="10">
        <v>4</v>
      </c>
      <c r="T13" s="10">
        <v>9</v>
      </c>
      <c r="U13" s="2" t="str">
        <f t="shared" si="0"/>
        <v>-</v>
      </c>
      <c r="V13" s="28"/>
      <c r="W13" s="27"/>
    </row>
    <row r="14" spans="1:23" ht="15" customHeight="1" x14ac:dyDescent="0.25">
      <c r="A14" s="25"/>
      <c r="B14" s="28"/>
      <c r="C14" s="23" t="s">
        <v>12</v>
      </c>
      <c r="D14" s="23">
        <v>4</v>
      </c>
      <c r="E14" s="9" t="s">
        <v>34</v>
      </c>
      <c r="F14" s="10">
        <v>8</v>
      </c>
      <c r="G14" s="10">
        <v>5</v>
      </c>
      <c r="H14" s="10">
        <v>9</v>
      </c>
      <c r="I14" s="10">
        <v>9</v>
      </c>
      <c r="J14" s="10">
        <v>8</v>
      </c>
      <c r="K14" s="10" t="s">
        <v>75</v>
      </c>
      <c r="L14" s="10">
        <v>5</v>
      </c>
      <c r="M14" s="10">
        <v>4</v>
      </c>
      <c r="N14" s="10">
        <v>5</v>
      </c>
      <c r="O14" s="10">
        <v>4</v>
      </c>
      <c r="P14" s="10">
        <v>5</v>
      </c>
      <c r="Q14" s="10">
        <v>4</v>
      </c>
      <c r="R14" s="10" t="s">
        <v>75</v>
      </c>
      <c r="S14" s="10" t="s">
        <v>75</v>
      </c>
      <c r="T14" s="10">
        <v>6</v>
      </c>
      <c r="U14" s="2" t="str">
        <f t="shared" si="0"/>
        <v>-</v>
      </c>
      <c r="V14" s="28"/>
      <c r="W14" s="27"/>
    </row>
    <row r="15" spans="1:23" ht="15" customHeight="1" x14ac:dyDescent="0.25">
      <c r="A15" s="25"/>
      <c r="B15" s="28"/>
      <c r="C15" s="23" t="s">
        <v>12</v>
      </c>
      <c r="D15" s="23">
        <v>5</v>
      </c>
      <c r="E15" s="9" t="s">
        <v>35</v>
      </c>
      <c r="F15" s="10">
        <v>10</v>
      </c>
      <c r="G15" s="10">
        <v>10</v>
      </c>
      <c r="H15" s="10">
        <v>10</v>
      </c>
      <c r="I15" s="10">
        <v>10</v>
      </c>
      <c r="J15" s="10">
        <v>10</v>
      </c>
      <c r="K15" s="10">
        <v>11</v>
      </c>
      <c r="L15" s="10">
        <v>11</v>
      </c>
      <c r="M15" s="10">
        <v>9</v>
      </c>
      <c r="N15" s="10">
        <v>10</v>
      </c>
      <c r="O15" s="10">
        <v>10</v>
      </c>
      <c r="P15" s="10">
        <v>10</v>
      </c>
      <c r="Q15" s="10">
        <v>10</v>
      </c>
      <c r="R15" s="10">
        <v>10</v>
      </c>
      <c r="S15" s="10">
        <v>11</v>
      </c>
      <c r="T15" s="10">
        <v>6</v>
      </c>
      <c r="U15" s="2">
        <f t="shared" si="0"/>
        <v>9.8666666666666671</v>
      </c>
      <c r="V15" s="28"/>
      <c r="W15" s="27"/>
    </row>
    <row r="16" spans="1:23" ht="15" customHeight="1" x14ac:dyDescent="0.25">
      <c r="A16" s="25"/>
      <c r="B16" s="28"/>
      <c r="C16" s="23" t="s">
        <v>12</v>
      </c>
      <c r="D16" s="23">
        <v>6</v>
      </c>
      <c r="E16" s="9" t="s">
        <v>36</v>
      </c>
      <c r="F16" s="10">
        <v>9</v>
      </c>
      <c r="G16" s="10">
        <v>9</v>
      </c>
      <c r="H16" s="10">
        <v>10</v>
      </c>
      <c r="I16" s="10">
        <v>9</v>
      </c>
      <c r="J16" s="10">
        <v>10</v>
      </c>
      <c r="K16" s="10" t="s">
        <v>75</v>
      </c>
      <c r="L16" s="10">
        <v>10</v>
      </c>
      <c r="M16" s="10">
        <v>7</v>
      </c>
      <c r="N16" s="10">
        <v>8</v>
      </c>
      <c r="O16" s="10">
        <v>5</v>
      </c>
      <c r="P16" s="10">
        <v>6</v>
      </c>
      <c r="Q16" s="10">
        <v>6</v>
      </c>
      <c r="R16" s="10">
        <v>5</v>
      </c>
      <c r="S16" s="10" t="s">
        <v>75</v>
      </c>
      <c r="T16" s="10">
        <v>5</v>
      </c>
      <c r="U16" s="2" t="str">
        <f t="shared" si="0"/>
        <v>-</v>
      </c>
      <c r="V16" s="28"/>
      <c r="W16" s="27"/>
    </row>
    <row r="17" spans="1:23" ht="15" customHeight="1" x14ac:dyDescent="0.25">
      <c r="A17" s="25"/>
      <c r="B17" s="28"/>
      <c r="C17" s="23" t="s">
        <v>12</v>
      </c>
      <c r="D17" s="23">
        <v>7</v>
      </c>
      <c r="E17" s="22" t="s">
        <v>37</v>
      </c>
      <c r="F17" s="10">
        <v>7</v>
      </c>
      <c r="G17" s="10">
        <v>8</v>
      </c>
      <c r="H17" s="10">
        <v>6</v>
      </c>
      <c r="I17" s="10">
        <v>7</v>
      </c>
      <c r="J17" s="10">
        <v>4</v>
      </c>
      <c r="K17" s="10">
        <v>4</v>
      </c>
      <c r="L17" s="10">
        <v>4</v>
      </c>
      <c r="M17" s="10" t="s">
        <v>75</v>
      </c>
      <c r="N17" s="10">
        <v>5</v>
      </c>
      <c r="O17" s="10" t="s">
        <v>75</v>
      </c>
      <c r="P17" s="10">
        <v>4</v>
      </c>
      <c r="Q17" s="10">
        <v>5</v>
      </c>
      <c r="R17" s="10">
        <v>4</v>
      </c>
      <c r="S17" s="10" t="s">
        <v>75</v>
      </c>
      <c r="T17" s="10">
        <v>9</v>
      </c>
      <c r="U17" s="2" t="str">
        <f t="shared" si="0"/>
        <v>-</v>
      </c>
      <c r="V17" s="28"/>
      <c r="W17" s="27"/>
    </row>
    <row r="18" spans="1:23" ht="15" customHeight="1" x14ac:dyDescent="0.25">
      <c r="A18" s="25"/>
      <c r="B18" s="28"/>
      <c r="C18" s="23" t="s">
        <v>12</v>
      </c>
      <c r="D18" s="23">
        <v>8</v>
      </c>
      <c r="E18" s="9" t="s">
        <v>38</v>
      </c>
      <c r="F18" s="10">
        <v>9</v>
      </c>
      <c r="G18" s="10">
        <v>7</v>
      </c>
      <c r="H18" s="10">
        <v>8</v>
      </c>
      <c r="I18" s="10">
        <v>10</v>
      </c>
      <c r="J18" s="10">
        <v>10</v>
      </c>
      <c r="K18" s="10">
        <v>9</v>
      </c>
      <c r="L18" s="10">
        <v>10</v>
      </c>
      <c r="M18" s="10">
        <v>5</v>
      </c>
      <c r="N18" s="10">
        <v>5</v>
      </c>
      <c r="O18" s="10">
        <v>4</v>
      </c>
      <c r="P18" s="10">
        <v>5</v>
      </c>
      <c r="Q18" s="10">
        <v>6</v>
      </c>
      <c r="R18" s="10">
        <v>5</v>
      </c>
      <c r="S18" s="10">
        <v>10</v>
      </c>
      <c r="T18" s="10">
        <v>5</v>
      </c>
      <c r="U18" s="2">
        <f t="shared" si="0"/>
        <v>7.2</v>
      </c>
      <c r="V18" s="28"/>
      <c r="W18" s="27"/>
    </row>
    <row r="19" spans="1:23" ht="15" customHeight="1" x14ac:dyDescent="0.25">
      <c r="A19" s="25"/>
      <c r="B19" s="28"/>
      <c r="C19" s="23" t="s">
        <v>12</v>
      </c>
      <c r="D19" s="23">
        <v>9</v>
      </c>
      <c r="E19" s="9" t="s">
        <v>39</v>
      </c>
      <c r="F19" s="10">
        <v>7</v>
      </c>
      <c r="G19" s="10">
        <v>7</v>
      </c>
      <c r="H19" s="10">
        <v>8</v>
      </c>
      <c r="I19" s="10">
        <v>8</v>
      </c>
      <c r="J19" s="10">
        <v>5</v>
      </c>
      <c r="K19" s="10" t="s">
        <v>75</v>
      </c>
      <c r="L19" s="10">
        <v>5</v>
      </c>
      <c r="M19" s="10">
        <v>7</v>
      </c>
      <c r="N19" s="10">
        <v>8</v>
      </c>
      <c r="O19" s="10">
        <v>4</v>
      </c>
      <c r="P19" s="10">
        <v>8</v>
      </c>
      <c r="Q19" s="10">
        <v>7</v>
      </c>
      <c r="R19" s="10">
        <v>4</v>
      </c>
      <c r="S19" s="10">
        <v>5</v>
      </c>
      <c r="T19" s="10">
        <v>9</v>
      </c>
      <c r="U19" s="2" t="str">
        <f t="shared" si="0"/>
        <v>-</v>
      </c>
      <c r="V19" s="28"/>
      <c r="W19" s="27"/>
    </row>
    <row r="20" spans="1:23" ht="15" customHeight="1" x14ac:dyDescent="0.25">
      <c r="A20" s="25"/>
      <c r="B20" s="28"/>
      <c r="C20" s="23" t="s">
        <v>12</v>
      </c>
      <c r="D20" s="23">
        <v>10</v>
      </c>
      <c r="E20" s="9" t="s">
        <v>40</v>
      </c>
      <c r="F20" s="10">
        <v>8</v>
      </c>
      <c r="G20" s="10">
        <v>9</v>
      </c>
      <c r="H20" s="10">
        <v>8</v>
      </c>
      <c r="I20" s="10">
        <v>8</v>
      </c>
      <c r="J20" s="10">
        <v>10</v>
      </c>
      <c r="K20" s="10" t="s">
        <v>75</v>
      </c>
      <c r="L20" s="10">
        <v>8</v>
      </c>
      <c r="M20" s="10">
        <v>8</v>
      </c>
      <c r="N20" s="10">
        <v>5</v>
      </c>
      <c r="O20" s="10">
        <v>4</v>
      </c>
      <c r="P20" s="10">
        <v>8</v>
      </c>
      <c r="Q20" s="10">
        <v>8</v>
      </c>
      <c r="R20" s="10">
        <v>6</v>
      </c>
      <c r="S20" s="10" t="s">
        <v>75</v>
      </c>
      <c r="T20" s="10">
        <v>6</v>
      </c>
      <c r="U20" s="2" t="str">
        <f t="shared" si="0"/>
        <v>-</v>
      </c>
      <c r="V20" s="28"/>
      <c r="W20" s="27"/>
    </row>
    <row r="21" spans="1:23" ht="15" customHeight="1" x14ac:dyDescent="0.25">
      <c r="A21" s="25"/>
      <c r="B21" s="28"/>
      <c r="C21" s="23" t="s">
        <v>12</v>
      </c>
      <c r="D21" s="23">
        <v>11</v>
      </c>
      <c r="E21" s="9" t="s">
        <v>41</v>
      </c>
      <c r="F21" s="10">
        <v>10</v>
      </c>
      <c r="G21" s="10">
        <v>10</v>
      </c>
      <c r="H21" s="10">
        <v>10</v>
      </c>
      <c r="I21" s="10">
        <v>10</v>
      </c>
      <c r="J21" s="10">
        <v>10</v>
      </c>
      <c r="K21" s="10">
        <v>10</v>
      </c>
      <c r="L21" s="10">
        <v>10</v>
      </c>
      <c r="M21" s="10">
        <v>6</v>
      </c>
      <c r="N21" s="10">
        <v>4</v>
      </c>
      <c r="O21" s="10">
        <v>9</v>
      </c>
      <c r="P21" s="10">
        <v>8</v>
      </c>
      <c r="Q21" s="10">
        <v>8</v>
      </c>
      <c r="R21" s="10">
        <v>9</v>
      </c>
      <c r="S21" s="10">
        <v>10</v>
      </c>
      <c r="T21" s="10">
        <v>5</v>
      </c>
      <c r="U21" s="2">
        <f t="shared" si="0"/>
        <v>8.6</v>
      </c>
      <c r="V21" s="28"/>
      <c r="W21" s="27"/>
    </row>
    <row r="22" spans="1:23" ht="15" customHeight="1" x14ac:dyDescent="0.25">
      <c r="A22" s="25"/>
      <c r="B22" s="28"/>
      <c r="C22" s="23" t="s">
        <v>12</v>
      </c>
      <c r="D22" s="23">
        <v>12</v>
      </c>
      <c r="E22" s="9" t="s">
        <v>42</v>
      </c>
      <c r="F22" s="10">
        <v>10</v>
      </c>
      <c r="G22" s="10">
        <v>9</v>
      </c>
      <c r="H22" s="10">
        <v>9</v>
      </c>
      <c r="I22" s="10">
        <v>9</v>
      </c>
      <c r="J22" s="10">
        <v>10</v>
      </c>
      <c r="K22" s="10">
        <v>9</v>
      </c>
      <c r="L22" s="10">
        <v>6</v>
      </c>
      <c r="M22" s="10">
        <v>6</v>
      </c>
      <c r="N22" s="10">
        <v>8</v>
      </c>
      <c r="O22" s="10">
        <v>5</v>
      </c>
      <c r="P22" s="10">
        <v>4</v>
      </c>
      <c r="Q22" s="10">
        <v>7</v>
      </c>
      <c r="R22" s="10">
        <v>6</v>
      </c>
      <c r="S22" s="10">
        <v>8</v>
      </c>
      <c r="T22" s="10">
        <v>5</v>
      </c>
      <c r="U22" s="2">
        <f t="shared" si="0"/>
        <v>7.4</v>
      </c>
      <c r="V22" s="28"/>
      <c r="W22" s="27"/>
    </row>
    <row r="23" spans="1:23" ht="15" customHeight="1" x14ac:dyDescent="0.25">
      <c r="A23" s="25"/>
      <c r="B23" s="28"/>
      <c r="C23" s="23" t="s">
        <v>12</v>
      </c>
      <c r="D23" s="23">
        <v>13</v>
      </c>
      <c r="E23" s="9" t="s">
        <v>43</v>
      </c>
      <c r="F23" s="10">
        <v>9</v>
      </c>
      <c r="G23" s="10">
        <v>9</v>
      </c>
      <c r="H23" s="10">
        <v>7</v>
      </c>
      <c r="I23" s="10">
        <v>9</v>
      </c>
      <c r="J23" s="10">
        <v>9</v>
      </c>
      <c r="K23" s="10">
        <v>8</v>
      </c>
      <c r="L23" s="10">
        <v>9</v>
      </c>
      <c r="M23" s="10">
        <v>6</v>
      </c>
      <c r="N23" s="10">
        <v>7</v>
      </c>
      <c r="O23" s="10">
        <v>6</v>
      </c>
      <c r="P23" s="10">
        <v>8</v>
      </c>
      <c r="Q23" s="10">
        <v>8</v>
      </c>
      <c r="R23" s="10">
        <v>6</v>
      </c>
      <c r="S23" s="10">
        <v>9</v>
      </c>
      <c r="T23" s="10">
        <v>6</v>
      </c>
      <c r="U23" s="2">
        <f t="shared" si="0"/>
        <v>7.7333333333333334</v>
      </c>
      <c r="V23" s="28"/>
      <c r="W23" s="27"/>
    </row>
    <row r="24" spans="1:23" ht="15" customHeight="1" x14ac:dyDescent="0.25">
      <c r="A24" s="25"/>
      <c r="B24" s="28"/>
      <c r="C24" s="23" t="s">
        <v>12</v>
      </c>
      <c r="D24" s="23">
        <v>14</v>
      </c>
      <c r="E24" s="9" t="s">
        <v>44</v>
      </c>
      <c r="F24" s="10">
        <v>9</v>
      </c>
      <c r="G24" s="10">
        <v>7</v>
      </c>
      <c r="H24" s="10">
        <v>8</v>
      </c>
      <c r="I24" s="10">
        <v>9</v>
      </c>
      <c r="J24" s="10">
        <v>10</v>
      </c>
      <c r="K24" s="10">
        <v>6</v>
      </c>
      <c r="L24" s="10">
        <v>9</v>
      </c>
      <c r="M24" s="10">
        <v>9</v>
      </c>
      <c r="N24" s="10">
        <v>7</v>
      </c>
      <c r="O24" s="10">
        <v>7</v>
      </c>
      <c r="P24" s="10">
        <v>8</v>
      </c>
      <c r="Q24" s="10">
        <v>9</v>
      </c>
      <c r="R24" s="10">
        <v>6</v>
      </c>
      <c r="S24" s="10">
        <v>7</v>
      </c>
      <c r="T24" s="10">
        <v>5</v>
      </c>
      <c r="U24" s="2">
        <f t="shared" si="0"/>
        <v>7.7333333333333334</v>
      </c>
      <c r="V24" s="28"/>
      <c r="W24" s="27"/>
    </row>
    <row r="25" spans="1:23" ht="15" customHeight="1" x14ac:dyDescent="0.25">
      <c r="A25" s="25"/>
      <c r="B25" s="28"/>
      <c r="C25" s="23" t="s">
        <v>12</v>
      </c>
      <c r="D25" s="23">
        <v>15</v>
      </c>
      <c r="E25" s="9" t="s">
        <v>45</v>
      </c>
      <c r="F25" s="10">
        <v>7</v>
      </c>
      <c r="G25" s="10">
        <v>7</v>
      </c>
      <c r="H25" s="10">
        <v>6</v>
      </c>
      <c r="I25" s="10">
        <v>7</v>
      </c>
      <c r="J25" s="10">
        <v>8</v>
      </c>
      <c r="K25" s="10" t="s">
        <v>75</v>
      </c>
      <c r="L25" s="10">
        <v>5</v>
      </c>
      <c r="M25" s="10" t="s">
        <v>75</v>
      </c>
      <c r="N25" s="10" t="s">
        <v>75</v>
      </c>
      <c r="O25" s="10">
        <v>4</v>
      </c>
      <c r="P25" s="10">
        <v>4</v>
      </c>
      <c r="Q25" s="10">
        <v>6</v>
      </c>
      <c r="R25" s="10" t="s">
        <v>75</v>
      </c>
      <c r="S25" s="10">
        <v>5</v>
      </c>
      <c r="T25" s="10">
        <v>9</v>
      </c>
      <c r="U25" s="2" t="str">
        <f t="shared" si="0"/>
        <v>-</v>
      </c>
      <c r="V25" s="28"/>
      <c r="W25" s="27"/>
    </row>
    <row r="26" spans="1:23" ht="15" customHeight="1" x14ac:dyDescent="0.25">
      <c r="A26" s="25"/>
      <c r="B26" s="28"/>
      <c r="C26" s="23" t="s">
        <v>12</v>
      </c>
      <c r="D26" s="23">
        <v>16</v>
      </c>
      <c r="E26" s="9" t="s">
        <v>46</v>
      </c>
      <c r="F26" s="10">
        <v>9</v>
      </c>
      <c r="G26" s="10">
        <v>8</v>
      </c>
      <c r="H26" s="10">
        <v>10</v>
      </c>
      <c r="I26" s="10">
        <v>8</v>
      </c>
      <c r="J26" s="10">
        <v>9</v>
      </c>
      <c r="K26" s="10">
        <v>11</v>
      </c>
      <c r="L26" s="10">
        <v>8</v>
      </c>
      <c r="M26" s="10">
        <v>5</v>
      </c>
      <c r="N26" s="10">
        <v>8</v>
      </c>
      <c r="O26" s="10">
        <v>4</v>
      </c>
      <c r="P26" s="10">
        <v>7</v>
      </c>
      <c r="Q26" s="10">
        <v>8</v>
      </c>
      <c r="R26" s="10">
        <v>6</v>
      </c>
      <c r="S26" s="10">
        <v>10</v>
      </c>
      <c r="T26" s="10">
        <v>7</v>
      </c>
      <c r="U26" s="2">
        <f t="shared" si="0"/>
        <v>7.8666666666666663</v>
      </c>
      <c r="V26" s="28"/>
      <c r="W26" s="27"/>
    </row>
    <row r="27" spans="1:23" ht="15" customHeight="1" x14ac:dyDescent="0.25">
      <c r="A27" s="25"/>
      <c r="B27" s="28"/>
      <c r="C27" s="23" t="s">
        <v>12</v>
      </c>
      <c r="D27" s="23">
        <v>17</v>
      </c>
      <c r="E27" s="22" t="s">
        <v>47</v>
      </c>
      <c r="F27" s="10">
        <v>10</v>
      </c>
      <c r="G27" s="10">
        <v>10</v>
      </c>
      <c r="H27" s="10">
        <v>9</v>
      </c>
      <c r="I27" s="10">
        <v>9</v>
      </c>
      <c r="J27" s="10">
        <v>10</v>
      </c>
      <c r="K27" s="10">
        <v>9</v>
      </c>
      <c r="L27" s="10">
        <v>10</v>
      </c>
      <c r="M27" s="10">
        <v>10</v>
      </c>
      <c r="N27" s="10">
        <v>10</v>
      </c>
      <c r="O27" s="10">
        <v>6</v>
      </c>
      <c r="P27" s="10">
        <v>9</v>
      </c>
      <c r="Q27" s="10">
        <v>9</v>
      </c>
      <c r="R27" s="10">
        <v>9</v>
      </c>
      <c r="S27" s="10">
        <v>9</v>
      </c>
      <c r="T27" s="10">
        <v>7</v>
      </c>
      <c r="U27" s="2">
        <f t="shared" si="0"/>
        <v>9.0666666666666664</v>
      </c>
      <c r="V27" s="28"/>
      <c r="W27" s="27"/>
    </row>
    <row r="28" spans="1:23" ht="15" customHeight="1" x14ac:dyDescent="0.25">
      <c r="A28" s="25"/>
      <c r="B28" s="28"/>
      <c r="C28" s="23" t="s">
        <v>12</v>
      </c>
      <c r="D28" s="23">
        <v>18</v>
      </c>
      <c r="E28" s="9" t="s">
        <v>48</v>
      </c>
      <c r="F28" s="10">
        <v>9</v>
      </c>
      <c r="G28" s="10">
        <v>8</v>
      </c>
      <c r="H28" s="10">
        <v>8</v>
      </c>
      <c r="I28" s="10">
        <v>8</v>
      </c>
      <c r="J28" s="10">
        <v>9</v>
      </c>
      <c r="K28" s="10">
        <v>4</v>
      </c>
      <c r="L28" s="10">
        <v>9</v>
      </c>
      <c r="M28" s="10">
        <v>7</v>
      </c>
      <c r="N28" s="10">
        <v>8</v>
      </c>
      <c r="O28" s="10">
        <v>4</v>
      </c>
      <c r="P28" s="10">
        <v>9</v>
      </c>
      <c r="Q28" s="10">
        <v>9</v>
      </c>
      <c r="R28" s="10">
        <v>8</v>
      </c>
      <c r="S28" s="10">
        <v>8</v>
      </c>
      <c r="T28" s="10">
        <v>6</v>
      </c>
      <c r="U28" s="2">
        <f t="shared" si="0"/>
        <v>7.6</v>
      </c>
      <c r="V28" s="28"/>
      <c r="W28" s="27"/>
    </row>
    <row r="29" spans="1:23" ht="15" customHeight="1" x14ac:dyDescent="0.25">
      <c r="A29" s="25"/>
      <c r="B29" s="28"/>
      <c r="C29" s="23" t="s">
        <v>12</v>
      </c>
      <c r="D29" s="23">
        <v>19</v>
      </c>
      <c r="E29" s="9" t="s">
        <v>49</v>
      </c>
      <c r="F29" s="10">
        <v>9</v>
      </c>
      <c r="G29" s="10">
        <v>6</v>
      </c>
      <c r="H29" s="10">
        <v>8</v>
      </c>
      <c r="I29" s="10">
        <v>9</v>
      </c>
      <c r="J29" s="10">
        <v>9</v>
      </c>
      <c r="K29" s="10">
        <v>8</v>
      </c>
      <c r="L29" s="10">
        <v>6</v>
      </c>
      <c r="M29" s="10" t="s">
        <v>75</v>
      </c>
      <c r="N29" s="10">
        <v>9</v>
      </c>
      <c r="O29" s="10">
        <v>6</v>
      </c>
      <c r="P29" s="10">
        <v>7</v>
      </c>
      <c r="Q29" s="10">
        <v>7</v>
      </c>
      <c r="R29" s="10">
        <v>6</v>
      </c>
      <c r="S29" s="10">
        <v>9</v>
      </c>
      <c r="T29" s="10">
        <v>5</v>
      </c>
      <c r="U29" s="2" t="str">
        <f t="shared" si="0"/>
        <v>-</v>
      </c>
      <c r="V29" s="28"/>
      <c r="W29" s="27"/>
    </row>
    <row r="30" spans="1:23" ht="15" customHeight="1" x14ac:dyDescent="0.25">
      <c r="A30" s="25"/>
      <c r="B30" s="28"/>
      <c r="C30" s="23" t="s">
        <v>12</v>
      </c>
      <c r="D30" s="23">
        <v>20</v>
      </c>
      <c r="E30" s="9" t="s">
        <v>50</v>
      </c>
      <c r="F30" s="10">
        <v>8</v>
      </c>
      <c r="G30" s="10">
        <v>6</v>
      </c>
      <c r="H30" s="10">
        <v>9</v>
      </c>
      <c r="I30" s="10">
        <v>8</v>
      </c>
      <c r="J30" s="10">
        <v>5</v>
      </c>
      <c r="K30" s="10" t="s">
        <v>75</v>
      </c>
      <c r="L30" s="10">
        <v>6</v>
      </c>
      <c r="M30" s="10">
        <v>5</v>
      </c>
      <c r="N30" s="10">
        <v>5</v>
      </c>
      <c r="O30" s="10">
        <v>4</v>
      </c>
      <c r="P30" s="10">
        <v>5</v>
      </c>
      <c r="Q30" s="10">
        <v>5</v>
      </c>
      <c r="R30" s="10">
        <v>4</v>
      </c>
      <c r="S30" s="10" t="s">
        <v>75</v>
      </c>
      <c r="T30" s="10">
        <v>7</v>
      </c>
      <c r="U30" s="2" t="str">
        <f t="shared" si="0"/>
        <v>-</v>
      </c>
      <c r="V30" s="28"/>
      <c r="W30" s="27"/>
    </row>
    <row r="31" spans="1:23" ht="15" customHeight="1" x14ac:dyDescent="0.25">
      <c r="A31" s="25"/>
      <c r="B31" s="28"/>
      <c r="C31" s="23" t="s">
        <v>12</v>
      </c>
      <c r="D31" s="23">
        <v>21</v>
      </c>
      <c r="E31" s="9" t="s">
        <v>51</v>
      </c>
      <c r="F31" s="10">
        <v>8</v>
      </c>
      <c r="G31" s="10">
        <v>6</v>
      </c>
      <c r="H31" s="10">
        <v>6</v>
      </c>
      <c r="I31" s="10">
        <v>8</v>
      </c>
      <c r="J31" s="10">
        <v>5</v>
      </c>
      <c r="K31" s="10" t="s">
        <v>75</v>
      </c>
      <c r="L31" s="10">
        <v>4</v>
      </c>
      <c r="M31" s="10">
        <v>5</v>
      </c>
      <c r="N31" s="10" t="s">
        <v>75</v>
      </c>
      <c r="O31" s="10">
        <v>4</v>
      </c>
      <c r="P31" s="10">
        <v>5</v>
      </c>
      <c r="Q31" s="10">
        <v>5</v>
      </c>
      <c r="R31" s="10" t="s">
        <v>75</v>
      </c>
      <c r="S31" s="10">
        <v>9</v>
      </c>
      <c r="T31" s="10">
        <v>8</v>
      </c>
      <c r="U31" s="2" t="str">
        <f t="shared" si="0"/>
        <v>-</v>
      </c>
      <c r="V31" s="28"/>
      <c r="W31" s="27"/>
    </row>
    <row r="32" spans="1:23" ht="15" customHeight="1" x14ac:dyDescent="0.25">
      <c r="A32" s="25"/>
      <c r="B32" s="28"/>
      <c r="C32" s="23" t="s">
        <v>12</v>
      </c>
      <c r="D32" s="23">
        <v>22</v>
      </c>
      <c r="E32" s="9" t="s">
        <v>52</v>
      </c>
      <c r="F32" s="10">
        <v>6</v>
      </c>
      <c r="G32" s="10">
        <v>6</v>
      </c>
      <c r="H32" s="10">
        <v>6</v>
      </c>
      <c r="I32" s="10">
        <v>6</v>
      </c>
      <c r="J32" s="10">
        <v>4</v>
      </c>
      <c r="K32" s="10">
        <v>4</v>
      </c>
      <c r="L32" s="10">
        <v>4</v>
      </c>
      <c r="M32" s="10" t="s">
        <v>75</v>
      </c>
      <c r="N32" s="10">
        <v>5</v>
      </c>
      <c r="O32" s="10" t="s">
        <v>75</v>
      </c>
      <c r="P32" s="10">
        <v>4</v>
      </c>
      <c r="Q32" s="10">
        <v>5</v>
      </c>
      <c r="R32" s="10">
        <v>4</v>
      </c>
      <c r="S32" s="10">
        <v>5</v>
      </c>
      <c r="T32" s="10">
        <v>8</v>
      </c>
      <c r="U32" s="2" t="str">
        <f t="shared" si="0"/>
        <v>-</v>
      </c>
      <c r="V32" s="28"/>
      <c r="W32" s="27"/>
    </row>
    <row r="33" spans="1:24" ht="15" customHeight="1" x14ac:dyDescent="0.25">
      <c r="A33" s="25"/>
      <c r="B33" s="28"/>
      <c r="C33" s="23" t="s">
        <v>12</v>
      </c>
      <c r="D33" s="23">
        <v>23</v>
      </c>
      <c r="E33" s="9" t="s">
        <v>53</v>
      </c>
      <c r="F33" s="10">
        <v>10</v>
      </c>
      <c r="G33" s="10">
        <v>8</v>
      </c>
      <c r="H33" s="10">
        <v>9</v>
      </c>
      <c r="I33" s="10">
        <v>9</v>
      </c>
      <c r="J33" s="10">
        <v>5</v>
      </c>
      <c r="K33" s="10">
        <v>6</v>
      </c>
      <c r="L33" s="10">
        <v>7</v>
      </c>
      <c r="M33" s="10">
        <v>6</v>
      </c>
      <c r="N33" s="10">
        <v>8</v>
      </c>
      <c r="O33" s="10">
        <v>7</v>
      </c>
      <c r="P33" s="10">
        <v>5</v>
      </c>
      <c r="Q33" s="10">
        <v>5</v>
      </c>
      <c r="R33" s="10">
        <v>4</v>
      </c>
      <c r="S33" s="10">
        <v>9</v>
      </c>
      <c r="T33" s="10">
        <v>7</v>
      </c>
      <c r="U33" s="2">
        <f t="shared" si="0"/>
        <v>7</v>
      </c>
      <c r="V33" s="28"/>
      <c r="W33" s="27"/>
    </row>
    <row r="34" spans="1:24" ht="15" customHeight="1" x14ac:dyDescent="0.25">
      <c r="A34" s="25"/>
      <c r="B34" s="28"/>
      <c r="C34" s="23" t="s">
        <v>12</v>
      </c>
      <c r="D34" s="23">
        <v>24</v>
      </c>
      <c r="E34" s="9" t="s">
        <v>54</v>
      </c>
      <c r="F34" s="10">
        <v>10</v>
      </c>
      <c r="G34" s="10">
        <v>9</v>
      </c>
      <c r="H34" s="10">
        <v>10</v>
      </c>
      <c r="I34" s="10">
        <v>10</v>
      </c>
      <c r="J34" s="10">
        <v>9</v>
      </c>
      <c r="K34" s="10">
        <v>6</v>
      </c>
      <c r="L34" s="10">
        <v>5</v>
      </c>
      <c r="M34" s="10">
        <v>8</v>
      </c>
      <c r="N34" s="10">
        <v>9</v>
      </c>
      <c r="O34" s="10">
        <v>4</v>
      </c>
      <c r="P34" s="10">
        <v>8</v>
      </c>
      <c r="Q34" s="10">
        <v>8</v>
      </c>
      <c r="R34" s="10">
        <v>4</v>
      </c>
      <c r="S34" s="10">
        <v>7</v>
      </c>
      <c r="T34" s="10">
        <v>6</v>
      </c>
      <c r="U34" s="2">
        <f t="shared" si="0"/>
        <v>7.5333333333333332</v>
      </c>
      <c r="V34" s="28"/>
      <c r="W34" s="27"/>
    </row>
    <row r="35" spans="1:24" ht="15" customHeight="1" x14ac:dyDescent="0.25">
      <c r="A35" s="25"/>
      <c r="B35" s="28"/>
      <c r="C35" s="23" t="s">
        <v>12</v>
      </c>
      <c r="D35" s="23">
        <v>25</v>
      </c>
      <c r="E35" s="9" t="s">
        <v>55</v>
      </c>
      <c r="F35" s="10">
        <v>9</v>
      </c>
      <c r="G35" s="10">
        <v>7</v>
      </c>
      <c r="H35" s="10">
        <v>9</v>
      </c>
      <c r="I35" s="10">
        <v>10</v>
      </c>
      <c r="J35" s="10">
        <v>7</v>
      </c>
      <c r="K35" s="10">
        <v>8</v>
      </c>
      <c r="L35" s="10">
        <v>9</v>
      </c>
      <c r="M35" s="10">
        <v>6</v>
      </c>
      <c r="N35" s="10">
        <v>5</v>
      </c>
      <c r="O35" s="10">
        <v>5</v>
      </c>
      <c r="P35" s="10">
        <v>6</v>
      </c>
      <c r="Q35" s="10">
        <v>6</v>
      </c>
      <c r="R35" s="10">
        <v>4</v>
      </c>
      <c r="S35" s="10">
        <v>7</v>
      </c>
      <c r="T35" s="10">
        <v>5</v>
      </c>
      <c r="U35" s="2">
        <f t="shared" si="0"/>
        <v>6.8666666666666663</v>
      </c>
      <c r="V35" s="28"/>
      <c r="W35" s="27"/>
    </row>
    <row r="36" spans="1:24" ht="15" customHeight="1" x14ac:dyDescent="0.25">
      <c r="A36" s="25"/>
      <c r="B36" s="28"/>
      <c r="C36" s="23" t="s">
        <v>12</v>
      </c>
      <c r="D36" s="23">
        <v>26</v>
      </c>
      <c r="E36" s="9" t="s">
        <v>56</v>
      </c>
      <c r="F36" s="10">
        <v>10</v>
      </c>
      <c r="G36" s="10">
        <v>10</v>
      </c>
      <c r="H36" s="10">
        <v>10</v>
      </c>
      <c r="I36" s="10">
        <v>9</v>
      </c>
      <c r="J36" s="10">
        <v>10</v>
      </c>
      <c r="K36" s="10">
        <v>8</v>
      </c>
      <c r="L36" s="10">
        <v>8</v>
      </c>
      <c r="M36" s="10">
        <v>10</v>
      </c>
      <c r="N36" s="10">
        <v>8</v>
      </c>
      <c r="O36" s="10">
        <v>5</v>
      </c>
      <c r="P36" s="10">
        <v>8</v>
      </c>
      <c r="Q36" s="10">
        <v>9</v>
      </c>
      <c r="R36" s="10">
        <v>9</v>
      </c>
      <c r="S36" s="10">
        <v>8</v>
      </c>
      <c r="T36" s="10">
        <v>6</v>
      </c>
      <c r="U36" s="2">
        <f t="shared" si="0"/>
        <v>8.5333333333333332</v>
      </c>
      <c r="V36" s="28"/>
      <c r="W36" s="27"/>
    </row>
    <row r="37" spans="1:24" ht="15" customHeight="1" x14ac:dyDescent="0.25">
      <c r="A37" s="25"/>
      <c r="B37" s="28"/>
      <c r="C37" s="23" t="s">
        <v>12</v>
      </c>
      <c r="D37" s="23">
        <v>27</v>
      </c>
      <c r="E37" s="22" t="s">
        <v>57</v>
      </c>
      <c r="F37" s="10">
        <v>10</v>
      </c>
      <c r="G37" s="10">
        <v>10</v>
      </c>
      <c r="H37" s="10">
        <v>9</v>
      </c>
      <c r="I37" s="10">
        <v>9</v>
      </c>
      <c r="J37" s="10">
        <v>11</v>
      </c>
      <c r="K37" s="10">
        <v>9</v>
      </c>
      <c r="L37" s="10">
        <v>11</v>
      </c>
      <c r="M37" s="10">
        <v>10</v>
      </c>
      <c r="N37" s="10">
        <v>10</v>
      </c>
      <c r="O37" s="10">
        <v>10</v>
      </c>
      <c r="P37" s="10">
        <v>10</v>
      </c>
      <c r="Q37" s="10">
        <v>10</v>
      </c>
      <c r="R37" s="10">
        <v>8</v>
      </c>
      <c r="S37" s="10">
        <v>9</v>
      </c>
      <c r="T37" s="10">
        <v>5</v>
      </c>
      <c r="U37" s="2">
        <f t="shared" si="0"/>
        <v>9.4</v>
      </c>
      <c r="V37" s="28"/>
      <c r="W37" s="27"/>
    </row>
    <row r="38" spans="1:24" ht="15" customHeight="1" x14ac:dyDescent="0.25">
      <c r="A38" s="25"/>
      <c r="B38" s="28"/>
      <c r="C38" s="11"/>
      <c r="D38" s="11"/>
      <c r="E38" s="9" t="s">
        <v>13</v>
      </c>
      <c r="F38" s="3">
        <f t="shared" ref="F38:T38" si="1">IF(SUM(F11:F37)=0,"",SUM(F11:F37)/$D37)</f>
        <v>8.7777777777777786</v>
      </c>
      <c r="G38" s="3">
        <f t="shared" si="1"/>
        <v>7.9259259259259256</v>
      </c>
      <c r="H38" s="3">
        <f t="shared" si="1"/>
        <v>8.481481481481481</v>
      </c>
      <c r="I38" s="3">
        <f t="shared" si="1"/>
        <v>8.7037037037037042</v>
      </c>
      <c r="J38" s="3">
        <f t="shared" si="1"/>
        <v>8.4074074074074066</v>
      </c>
      <c r="K38" s="3">
        <f t="shared" si="1"/>
        <v>5.4814814814814818</v>
      </c>
      <c r="L38" s="3">
        <f t="shared" si="1"/>
        <v>7.6296296296296298</v>
      </c>
      <c r="M38" s="3">
        <f t="shared" si="1"/>
        <v>5.8518518518518521</v>
      </c>
      <c r="N38" s="3">
        <f t="shared" si="1"/>
        <v>6.7037037037037033</v>
      </c>
      <c r="O38" s="3">
        <f t="shared" si="1"/>
        <v>5.2962962962962967</v>
      </c>
      <c r="P38" s="3">
        <f t="shared" si="1"/>
        <v>6.8148148148148149</v>
      </c>
      <c r="Q38" s="3">
        <f t="shared" si="1"/>
        <v>7.1851851851851851</v>
      </c>
      <c r="R38" s="3">
        <f t="shared" si="1"/>
        <v>5.333333333333333</v>
      </c>
      <c r="S38" s="3">
        <f t="shared" si="1"/>
        <v>6.5555555555555554</v>
      </c>
      <c r="T38" s="3">
        <f t="shared" si="1"/>
        <v>6.5185185185185182</v>
      </c>
      <c r="U38" s="2">
        <f>IFERROR(AVERAGE(F38:T38),"")</f>
        <v>7.0444444444444434</v>
      </c>
      <c r="V38" s="28"/>
      <c r="W38" s="27"/>
    </row>
    <row r="39" spans="1:24" ht="15" customHeight="1" x14ac:dyDescent="0.25">
      <c r="A39" s="25"/>
      <c r="B39" s="28"/>
      <c r="C39" s="11"/>
      <c r="D39" s="11"/>
      <c r="E39" s="9" t="s">
        <v>14</v>
      </c>
      <c r="F39" s="12">
        <f t="shared" ref="F39:T39" si="2">IF(SUM(F11:F37)=0,"",IF(COUNTIF(F11:F37,"&gt;=4")=0,0,COUNTIF(F11:F37,"&gt;=4")/$D37*100))</f>
        <v>100</v>
      </c>
      <c r="G39" s="12">
        <f t="shared" si="2"/>
        <v>100</v>
      </c>
      <c r="H39" s="12">
        <f t="shared" si="2"/>
        <v>100</v>
      </c>
      <c r="I39" s="12">
        <f t="shared" si="2"/>
        <v>100</v>
      </c>
      <c r="J39" s="12">
        <f t="shared" si="2"/>
        <v>100</v>
      </c>
      <c r="K39" s="12">
        <f t="shared" si="2"/>
        <v>70.370370370370367</v>
      </c>
      <c r="L39" s="12">
        <f t="shared" si="2"/>
        <v>100</v>
      </c>
      <c r="M39" s="12">
        <f t="shared" si="2"/>
        <v>85.18518518518519</v>
      </c>
      <c r="N39" s="12">
        <f t="shared" si="2"/>
        <v>92.592592592592595</v>
      </c>
      <c r="O39" s="12">
        <f t="shared" si="2"/>
        <v>92.592592592592595</v>
      </c>
      <c r="P39" s="12">
        <f t="shared" si="2"/>
        <v>100</v>
      </c>
      <c r="Q39" s="12">
        <f t="shared" si="2"/>
        <v>100</v>
      </c>
      <c r="R39" s="12">
        <f t="shared" si="2"/>
        <v>88.888888888888886</v>
      </c>
      <c r="S39" s="12">
        <f t="shared" si="2"/>
        <v>81.481481481481481</v>
      </c>
      <c r="T39" s="12">
        <f t="shared" si="2"/>
        <v>100</v>
      </c>
      <c r="U39" s="13"/>
      <c r="V39" s="28"/>
      <c r="W39" s="27"/>
      <c r="X39" s="14"/>
    </row>
    <row r="40" spans="1:24" ht="15" customHeight="1" x14ac:dyDescent="0.25">
      <c r="A40" s="25"/>
      <c r="B40" s="28"/>
      <c r="C40" s="11"/>
      <c r="D40" s="11"/>
      <c r="E40" s="9" t="s">
        <v>15</v>
      </c>
      <c r="F40" s="12">
        <f t="shared" ref="F40:T40" si="3">IF(SUM(F11:F37)=0,"",IF(COUNTIF(F11:F37,"&gt;=7")=0,0,COUNTIF(F11:F37,"&gt;=7")/$D37*100))</f>
        <v>96.296296296296291</v>
      </c>
      <c r="G40" s="12">
        <f t="shared" si="3"/>
        <v>77.777777777777786</v>
      </c>
      <c r="H40" s="12">
        <f t="shared" si="3"/>
        <v>85.18518518518519</v>
      </c>
      <c r="I40" s="12">
        <f t="shared" si="3"/>
        <v>96.296296296296291</v>
      </c>
      <c r="J40" s="12">
        <f t="shared" si="3"/>
        <v>77.777777777777786</v>
      </c>
      <c r="K40" s="12">
        <f t="shared" si="3"/>
        <v>48.148148148148145</v>
      </c>
      <c r="L40" s="12">
        <f t="shared" si="3"/>
        <v>62.962962962962962</v>
      </c>
      <c r="M40" s="12">
        <f t="shared" si="3"/>
        <v>40.74074074074074</v>
      </c>
      <c r="N40" s="12">
        <f t="shared" si="3"/>
        <v>62.962962962962962</v>
      </c>
      <c r="O40" s="12">
        <f t="shared" si="3"/>
        <v>25.925925925925924</v>
      </c>
      <c r="P40" s="12">
        <f t="shared" si="3"/>
        <v>59.259259259259252</v>
      </c>
      <c r="Q40" s="12">
        <f t="shared" si="3"/>
        <v>62.962962962962962</v>
      </c>
      <c r="R40" s="12">
        <f t="shared" si="3"/>
        <v>25.925925925925924</v>
      </c>
      <c r="S40" s="12">
        <f t="shared" si="3"/>
        <v>66.666666666666657</v>
      </c>
      <c r="T40" s="12">
        <f t="shared" si="3"/>
        <v>44.444444444444443</v>
      </c>
      <c r="U40" s="15"/>
      <c r="V40" s="28"/>
      <c r="W40" s="27"/>
      <c r="X40" s="14"/>
    </row>
    <row r="41" spans="1:24" ht="15" customHeight="1" x14ac:dyDescent="0.25">
      <c r="A41" s="25"/>
      <c r="B41" s="28"/>
      <c r="C41" s="11"/>
      <c r="D41" s="11"/>
      <c r="E41" s="9" t="s">
        <v>16</v>
      </c>
      <c r="F41" s="3">
        <f>IFERROR(AVERAGE(F39:T39),"")</f>
        <v>94.07407407407409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28"/>
      <c r="W41" s="27"/>
      <c r="X41" s="14"/>
    </row>
    <row r="42" spans="1:24" ht="15" customHeight="1" x14ac:dyDescent="0.25">
      <c r="A42" s="25"/>
      <c r="B42" s="28"/>
      <c r="C42" s="11"/>
      <c r="D42" s="11"/>
      <c r="E42" s="9" t="s">
        <v>17</v>
      </c>
      <c r="F42" s="3">
        <f>IFERROR(AVERAGE(F40:T40),"")</f>
        <v>62.222222222222214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28"/>
      <c r="W42" s="27"/>
      <c r="X42" s="14"/>
    </row>
    <row r="43" spans="1:24" ht="15" customHeight="1" x14ac:dyDescent="0.25">
      <c r="A43" s="25"/>
      <c r="B43" s="28"/>
      <c r="C43" s="11"/>
      <c r="D43" s="11"/>
      <c r="E43" s="9" t="s">
        <v>18</v>
      </c>
      <c r="F43" s="16">
        <f>IF(COUNTIF(C11:C37,"=Б")=0,IF(COUNTIF(C11:C37,"=К")=0,"",0),COUNTIF(C11:C37,"=Б"))</f>
        <v>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28"/>
      <c r="W43" s="27"/>
      <c r="X43" s="14"/>
    </row>
    <row r="44" spans="1:24" ht="15" customHeight="1" x14ac:dyDescent="0.25">
      <c r="A44" s="25"/>
      <c r="B44" s="28"/>
      <c r="C44" s="11"/>
      <c r="D44" s="11"/>
      <c r="E44" s="9" t="s">
        <v>19</v>
      </c>
      <c r="F44" s="16">
        <f>IF(COUNTIF(C11:C37,"=К")=0,IF(COUNTIF(C11:C37,"=Б")=0,"",0),COUNTIF(C11:C37,"=К"))</f>
        <v>27</v>
      </c>
      <c r="G44" s="11"/>
      <c r="H44" s="11"/>
      <c r="I44" s="17" t="s">
        <v>20</v>
      </c>
      <c r="J44" s="11"/>
      <c r="K44" s="11"/>
      <c r="L44" s="11"/>
      <c r="M44" s="11"/>
      <c r="N44" s="11"/>
      <c r="O44" s="11"/>
      <c r="P44" s="1" t="s">
        <v>77</v>
      </c>
      <c r="Q44" s="11"/>
      <c r="R44" s="11"/>
      <c r="S44" s="11"/>
      <c r="T44" s="11"/>
      <c r="U44" s="11"/>
      <c r="V44" s="28"/>
      <c r="W44" s="27"/>
    </row>
    <row r="45" spans="1:24" ht="15" customHeight="1" x14ac:dyDescent="0.25">
      <c r="A45" s="25"/>
      <c r="B45" s="28"/>
      <c r="C45" s="11"/>
      <c r="D45" s="11"/>
      <c r="E45" s="9" t="s">
        <v>21</v>
      </c>
      <c r="F45" s="16">
        <v>0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28"/>
      <c r="W45" s="27"/>
    </row>
    <row r="46" spans="1:24" ht="15" customHeight="1" x14ac:dyDescent="0.25">
      <c r="A46" s="25"/>
      <c r="B46" s="28"/>
      <c r="C46" s="11"/>
      <c r="D46" s="11"/>
      <c r="E46" s="9" t="s">
        <v>22</v>
      </c>
      <c r="F46" s="16">
        <v>0</v>
      </c>
      <c r="G46" s="11"/>
      <c r="H46" s="11"/>
      <c r="I46" s="17" t="s">
        <v>23</v>
      </c>
      <c r="J46" s="11"/>
      <c r="K46" s="11"/>
      <c r="L46" s="11"/>
      <c r="M46" s="11"/>
      <c r="N46" s="11"/>
      <c r="O46" s="11"/>
      <c r="P46" s="17" t="s">
        <v>24</v>
      </c>
      <c r="Q46" s="11"/>
      <c r="R46" s="11"/>
      <c r="S46" s="11"/>
      <c r="T46" s="11"/>
      <c r="U46" s="11"/>
      <c r="V46" s="28"/>
      <c r="W46" s="27"/>
    </row>
    <row r="47" spans="1:24" ht="12" customHeight="1" thickBot="1" x14ac:dyDescent="0.3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7"/>
    </row>
    <row r="48" spans="1:24" ht="12" customHeight="1" x14ac:dyDescent="0.25"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</row>
  </sheetData>
  <sheetProtection selectLockedCells="1"/>
  <sortState ref="E11:E20">
    <sortCondition ref="E11"/>
  </sortState>
  <mergeCells count="18">
    <mergeCell ref="B48:V48"/>
    <mergeCell ref="C7:U7"/>
    <mergeCell ref="C8:U8"/>
    <mergeCell ref="C9:C10"/>
    <mergeCell ref="D9:D10"/>
    <mergeCell ref="E9:E10"/>
    <mergeCell ref="F9:U9"/>
    <mergeCell ref="B1:V1"/>
    <mergeCell ref="A2:A47"/>
    <mergeCell ref="B2:V2"/>
    <mergeCell ref="W2:W47"/>
    <mergeCell ref="B3:B46"/>
    <mergeCell ref="C3:U3"/>
    <mergeCell ref="V3:V46"/>
    <mergeCell ref="C4:U4"/>
    <mergeCell ref="C5:U5"/>
    <mergeCell ref="C6:U6"/>
    <mergeCell ref="B47:V47"/>
  </mergeCells>
  <conditionalFormatting sqref="U11:U37">
    <cfRule type="expression" dxfId="21" priority="56">
      <formula>$V$37&lt;&gt;""</formula>
    </cfRule>
  </conditionalFormatting>
  <conditionalFormatting sqref="D13 D15 D17 D19 D21 D23 D25 D27 D29 D31 D33 D35 D37 C11:T11 F12:T37">
    <cfRule type="expression" dxfId="20" priority="57">
      <formula>$V$11&lt;&gt;""</formula>
    </cfRule>
  </conditionalFormatting>
  <conditionalFormatting sqref="C12:E12 D14 D16 D18 D20 C22:E22 D24 D26 D28 D30 C32:E32 D34 D36">
    <cfRule type="expression" dxfId="19" priority="58">
      <formula>#REF!&lt;&gt;""</formula>
    </cfRule>
  </conditionalFormatting>
  <conditionalFormatting sqref="E33 C33 E23 C23 E13 C13">
    <cfRule type="expression" dxfId="18" priority="72">
      <formula>#REF!&lt;&gt;""</formula>
    </cfRule>
  </conditionalFormatting>
  <conditionalFormatting sqref="E34 C34 E24 C24 E14 C14">
    <cfRule type="expression" dxfId="17" priority="73">
      <formula>#REF!&lt;&gt;""</formula>
    </cfRule>
  </conditionalFormatting>
  <conditionalFormatting sqref="E35 C35 E25 C25 E15 C15">
    <cfRule type="expression" dxfId="16" priority="74">
      <formula>#REF!&lt;&gt;""</formula>
    </cfRule>
  </conditionalFormatting>
  <conditionalFormatting sqref="C36 E36 C26:C27 E26:E27 C16:C17 E16:E17">
    <cfRule type="expression" dxfId="15" priority="75">
      <formula>#REF!&lt;&gt;""</formula>
    </cfRule>
  </conditionalFormatting>
  <conditionalFormatting sqref="E28 C28 E18 C18">
    <cfRule type="expression" dxfId="14" priority="86">
      <formula>#REF!&lt;&gt;""</formula>
    </cfRule>
  </conditionalFormatting>
  <conditionalFormatting sqref="E29:E30 C29:C30 E19:E20 C19:C20">
    <cfRule type="expression" dxfId="13" priority="87">
      <formula>#REF!&lt;&gt;""</formula>
    </cfRule>
  </conditionalFormatting>
  <conditionalFormatting sqref="E31 C31 E21 C21">
    <cfRule type="expression" dxfId="12" priority="88">
      <formula>#REF!&lt;&gt;""</formula>
    </cfRule>
  </conditionalFormatting>
  <conditionalFormatting sqref="C37 E37">
    <cfRule type="expression" dxfId="11" priority="4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0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3" ht="12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5" customFormat="1" ht="54.95" customHeight="1" x14ac:dyDescent="0.25">
      <c r="A3" s="25"/>
      <c r="B3" s="28"/>
      <c r="C3" s="29" t="s">
        <v>74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7"/>
    </row>
    <row r="4" spans="1:23" s="5" customFormat="1" ht="15" customHeight="1" x14ac:dyDescent="0.25">
      <c r="A4" s="25"/>
      <c r="B4" s="28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</row>
    <row r="5" spans="1:23" s="6" customFormat="1" ht="15" customHeight="1" x14ac:dyDescent="0.25">
      <c r="A5" s="25"/>
      <c r="B5" s="28"/>
      <c r="C5" s="30" t="s">
        <v>25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28"/>
      <c r="W5" s="27"/>
    </row>
    <row r="6" spans="1:23" s="5" customFormat="1" ht="15" customHeight="1" x14ac:dyDescent="0.25">
      <c r="A6" s="25"/>
      <c r="B6" s="28"/>
      <c r="C6" s="31" t="s">
        <v>68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28"/>
      <c r="W6" s="27"/>
    </row>
    <row r="7" spans="1:23" s="5" customFormat="1" ht="15" customHeight="1" x14ac:dyDescent="0.25">
      <c r="A7" s="25"/>
      <c r="B7" s="28"/>
      <c r="C7" s="31" t="s">
        <v>73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28"/>
      <c r="W7" s="27"/>
    </row>
    <row r="8" spans="1:23" s="5" customFormat="1" ht="15" customHeight="1" x14ac:dyDescent="0.25">
      <c r="A8" s="25"/>
      <c r="B8" s="28"/>
      <c r="C8" s="28" t="s">
        <v>58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7"/>
    </row>
    <row r="9" spans="1:23" ht="15" customHeight="1" x14ac:dyDescent="0.25">
      <c r="A9" s="25"/>
      <c r="B9" s="28"/>
      <c r="C9" s="33" t="s">
        <v>1</v>
      </c>
      <c r="D9" s="35" t="s">
        <v>2</v>
      </c>
      <c r="E9" s="35" t="s">
        <v>3</v>
      </c>
      <c r="F9" s="34" t="s">
        <v>27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28"/>
      <c r="W9" s="27"/>
    </row>
    <row r="10" spans="1:23" ht="125.1" customHeight="1" x14ac:dyDescent="0.25">
      <c r="A10" s="25"/>
      <c r="B10" s="28"/>
      <c r="C10" s="34"/>
      <c r="D10" s="34"/>
      <c r="E10" s="34"/>
      <c r="F10" s="18" t="s">
        <v>72</v>
      </c>
      <c r="G10" s="18" t="s">
        <v>4</v>
      </c>
      <c r="H10" s="18" t="s">
        <v>5</v>
      </c>
      <c r="I10" s="18" t="s">
        <v>6</v>
      </c>
      <c r="J10" s="18" t="s">
        <v>26</v>
      </c>
      <c r="K10" s="18" t="s">
        <v>76</v>
      </c>
      <c r="L10" s="18" t="s">
        <v>28</v>
      </c>
      <c r="M10" s="18" t="s">
        <v>7</v>
      </c>
      <c r="N10" s="18" t="s">
        <v>8</v>
      </c>
      <c r="O10" s="18" t="s">
        <v>69</v>
      </c>
      <c r="P10" s="18" t="s">
        <v>70</v>
      </c>
      <c r="Q10" s="18" t="s">
        <v>71</v>
      </c>
      <c r="R10" s="18" t="s">
        <v>9</v>
      </c>
      <c r="S10" s="18" t="s">
        <v>29</v>
      </c>
      <c r="T10" s="18" t="s">
        <v>10</v>
      </c>
      <c r="U10" s="7" t="s">
        <v>11</v>
      </c>
      <c r="V10" s="28"/>
      <c r="W10" s="27"/>
    </row>
    <row r="11" spans="1:23" ht="15" customHeight="1" x14ac:dyDescent="0.25">
      <c r="A11" s="25"/>
      <c r="B11" s="28"/>
      <c r="C11" s="20" t="s">
        <v>12</v>
      </c>
      <c r="D11" s="20">
        <v>1</v>
      </c>
      <c r="E11" s="9" t="s">
        <v>59</v>
      </c>
      <c r="F11" s="10">
        <v>10</v>
      </c>
      <c r="G11" s="10">
        <v>10</v>
      </c>
      <c r="H11" s="10">
        <v>10</v>
      </c>
      <c r="I11" s="10">
        <v>9</v>
      </c>
      <c r="J11" s="10">
        <v>10</v>
      </c>
      <c r="K11" s="10">
        <v>8</v>
      </c>
      <c r="L11" s="10">
        <v>10</v>
      </c>
      <c r="M11" s="10">
        <v>10</v>
      </c>
      <c r="N11" s="10">
        <v>9</v>
      </c>
      <c r="O11" s="10">
        <v>8</v>
      </c>
      <c r="P11" s="10">
        <v>8</v>
      </c>
      <c r="Q11" s="10">
        <v>10</v>
      </c>
      <c r="R11" s="10">
        <v>7</v>
      </c>
      <c r="S11" s="10">
        <v>7</v>
      </c>
      <c r="T11" s="10">
        <v>6</v>
      </c>
      <c r="U11" s="2">
        <f t="shared" ref="U11:U18" si="0">IF(COUNTIF(F11:T11,"=*")&gt;0,"-",IF(COUNTIF(F11:T11,"&lt;4")&gt;0,"-",(IFERROR(AVERAGE(F11:T11),""))))</f>
        <v>8.8000000000000007</v>
      </c>
      <c r="V11" s="28"/>
      <c r="W11" s="27"/>
    </row>
    <row r="12" spans="1:23" ht="15" customHeight="1" x14ac:dyDescent="0.25">
      <c r="A12" s="25"/>
      <c r="B12" s="28"/>
      <c r="C12" s="20" t="s">
        <v>12</v>
      </c>
      <c r="D12" s="20">
        <v>2</v>
      </c>
      <c r="E12" s="9" t="s">
        <v>60</v>
      </c>
      <c r="F12" s="10">
        <v>7</v>
      </c>
      <c r="G12" s="10">
        <v>7</v>
      </c>
      <c r="H12" s="10">
        <v>9</v>
      </c>
      <c r="I12" s="10">
        <v>7</v>
      </c>
      <c r="J12" s="10">
        <v>7</v>
      </c>
      <c r="K12" s="10" t="s">
        <v>75</v>
      </c>
      <c r="L12" s="10">
        <v>7</v>
      </c>
      <c r="M12" s="10">
        <v>4</v>
      </c>
      <c r="N12" s="10">
        <v>6</v>
      </c>
      <c r="O12" s="10">
        <v>4</v>
      </c>
      <c r="P12" s="10">
        <v>5</v>
      </c>
      <c r="Q12" s="10">
        <v>5</v>
      </c>
      <c r="R12" s="10">
        <v>4</v>
      </c>
      <c r="S12" s="10">
        <v>4</v>
      </c>
      <c r="T12" s="10">
        <v>5</v>
      </c>
      <c r="U12" s="2" t="str">
        <f t="shared" si="0"/>
        <v>-</v>
      </c>
      <c r="V12" s="28"/>
      <c r="W12" s="27"/>
    </row>
    <row r="13" spans="1:23" ht="15" customHeight="1" x14ac:dyDescent="0.25">
      <c r="A13" s="25"/>
      <c r="B13" s="28"/>
      <c r="C13" s="20" t="s">
        <v>12</v>
      </c>
      <c r="D13" s="20">
        <v>3</v>
      </c>
      <c r="E13" s="9" t="s">
        <v>61</v>
      </c>
      <c r="F13" s="10">
        <v>7</v>
      </c>
      <c r="G13" s="10">
        <v>7</v>
      </c>
      <c r="H13" s="10">
        <v>6</v>
      </c>
      <c r="I13" s="10">
        <v>7</v>
      </c>
      <c r="J13" s="10">
        <v>5</v>
      </c>
      <c r="K13" s="10" t="s">
        <v>75</v>
      </c>
      <c r="L13" s="10">
        <v>6</v>
      </c>
      <c r="M13" s="10" t="s">
        <v>75</v>
      </c>
      <c r="N13" s="10" t="s">
        <v>75</v>
      </c>
      <c r="O13" s="10" t="s">
        <v>75</v>
      </c>
      <c r="P13" s="10">
        <v>7</v>
      </c>
      <c r="Q13" s="10">
        <v>4</v>
      </c>
      <c r="R13" s="10" t="s">
        <v>75</v>
      </c>
      <c r="S13" s="10" t="s">
        <v>75</v>
      </c>
      <c r="T13" s="10">
        <v>6</v>
      </c>
      <c r="U13" s="2" t="str">
        <f t="shared" si="0"/>
        <v>-</v>
      </c>
      <c r="V13" s="28"/>
      <c r="W13" s="27"/>
    </row>
    <row r="14" spans="1:23" ht="15" customHeight="1" x14ac:dyDescent="0.25">
      <c r="A14" s="25"/>
      <c r="B14" s="28"/>
      <c r="C14" s="20" t="s">
        <v>12</v>
      </c>
      <c r="D14" s="20">
        <v>4</v>
      </c>
      <c r="E14" s="9" t="s">
        <v>62</v>
      </c>
      <c r="F14" s="10">
        <v>9</v>
      </c>
      <c r="G14" s="10">
        <v>10</v>
      </c>
      <c r="H14" s="10">
        <v>10</v>
      </c>
      <c r="I14" s="10">
        <v>10</v>
      </c>
      <c r="J14" s="10">
        <v>11</v>
      </c>
      <c r="K14" s="10">
        <v>11</v>
      </c>
      <c r="L14" s="10">
        <v>11</v>
      </c>
      <c r="M14" s="10">
        <v>9</v>
      </c>
      <c r="N14" s="10">
        <v>9</v>
      </c>
      <c r="O14" s="10">
        <v>10</v>
      </c>
      <c r="P14" s="10">
        <v>10</v>
      </c>
      <c r="Q14" s="10">
        <v>9</v>
      </c>
      <c r="R14" s="10">
        <v>9</v>
      </c>
      <c r="S14" s="10">
        <v>10</v>
      </c>
      <c r="T14" s="10">
        <v>7</v>
      </c>
      <c r="U14" s="2">
        <f t="shared" si="0"/>
        <v>9.6666666666666661</v>
      </c>
      <c r="V14" s="28"/>
      <c r="W14" s="27"/>
    </row>
    <row r="15" spans="1:23" ht="15" customHeight="1" x14ac:dyDescent="0.25">
      <c r="A15" s="25"/>
      <c r="B15" s="28"/>
      <c r="C15" s="20" t="s">
        <v>12</v>
      </c>
      <c r="D15" s="20">
        <v>5</v>
      </c>
      <c r="E15" s="9" t="s">
        <v>63</v>
      </c>
      <c r="F15" s="10">
        <v>9</v>
      </c>
      <c r="G15" s="10">
        <v>10</v>
      </c>
      <c r="H15" s="10">
        <v>9</v>
      </c>
      <c r="I15" s="10">
        <v>9</v>
      </c>
      <c r="J15" s="10">
        <v>10</v>
      </c>
      <c r="K15" s="10">
        <v>4</v>
      </c>
      <c r="L15" s="10">
        <v>10</v>
      </c>
      <c r="M15" s="10">
        <v>10</v>
      </c>
      <c r="N15" s="10">
        <v>9</v>
      </c>
      <c r="O15" s="10">
        <v>10</v>
      </c>
      <c r="P15" s="10">
        <v>10</v>
      </c>
      <c r="Q15" s="10">
        <v>10</v>
      </c>
      <c r="R15" s="10">
        <v>9</v>
      </c>
      <c r="S15" s="10">
        <v>5</v>
      </c>
      <c r="T15" s="10">
        <v>9</v>
      </c>
      <c r="U15" s="2">
        <f t="shared" si="0"/>
        <v>8.8666666666666671</v>
      </c>
      <c r="V15" s="28"/>
      <c r="W15" s="27"/>
    </row>
    <row r="16" spans="1:23" ht="15" customHeight="1" x14ac:dyDescent="0.25">
      <c r="A16" s="25"/>
      <c r="B16" s="28"/>
      <c r="C16" s="20" t="s">
        <v>12</v>
      </c>
      <c r="D16" s="20">
        <v>6</v>
      </c>
      <c r="E16" s="9" t="s">
        <v>64</v>
      </c>
      <c r="F16" s="10">
        <v>7</v>
      </c>
      <c r="G16" s="10">
        <v>7</v>
      </c>
      <c r="H16" s="10">
        <v>6</v>
      </c>
      <c r="I16" s="10">
        <v>7</v>
      </c>
      <c r="J16" s="10">
        <v>8</v>
      </c>
      <c r="K16" s="10">
        <v>4</v>
      </c>
      <c r="L16" s="10">
        <v>5</v>
      </c>
      <c r="M16" s="10" t="s">
        <v>75</v>
      </c>
      <c r="N16" s="10">
        <v>4</v>
      </c>
      <c r="O16" s="10" t="s">
        <v>75</v>
      </c>
      <c r="P16" s="10">
        <v>4</v>
      </c>
      <c r="Q16" s="10">
        <v>4</v>
      </c>
      <c r="R16" s="10">
        <v>4</v>
      </c>
      <c r="S16" s="10" t="s">
        <v>75</v>
      </c>
      <c r="T16" s="10">
        <v>9</v>
      </c>
      <c r="U16" s="2" t="str">
        <f t="shared" si="0"/>
        <v>-</v>
      </c>
      <c r="V16" s="28"/>
      <c r="W16" s="27"/>
    </row>
    <row r="17" spans="1:24" ht="15" customHeight="1" x14ac:dyDescent="0.25">
      <c r="A17" s="25"/>
      <c r="B17" s="28"/>
      <c r="C17" s="20" t="s">
        <v>12</v>
      </c>
      <c r="D17" s="20">
        <v>7</v>
      </c>
      <c r="E17" s="9" t="s">
        <v>65</v>
      </c>
      <c r="F17" s="10">
        <v>10</v>
      </c>
      <c r="G17" s="10">
        <v>10</v>
      </c>
      <c r="H17" s="10">
        <v>8</v>
      </c>
      <c r="I17" s="10">
        <v>9</v>
      </c>
      <c r="J17" s="10">
        <v>11</v>
      </c>
      <c r="K17" s="10">
        <v>6</v>
      </c>
      <c r="L17" s="10">
        <v>9</v>
      </c>
      <c r="M17" s="10">
        <v>10</v>
      </c>
      <c r="N17" s="10">
        <v>7</v>
      </c>
      <c r="O17" s="10">
        <v>7</v>
      </c>
      <c r="P17" s="10">
        <v>9</v>
      </c>
      <c r="Q17" s="10">
        <v>8</v>
      </c>
      <c r="R17" s="10">
        <v>5</v>
      </c>
      <c r="S17" s="10">
        <v>4</v>
      </c>
      <c r="T17" s="10">
        <v>9</v>
      </c>
      <c r="U17" s="2">
        <f t="shared" si="0"/>
        <v>8.1333333333333329</v>
      </c>
      <c r="V17" s="28"/>
      <c r="W17" s="27"/>
    </row>
    <row r="18" spans="1:24" ht="15" customHeight="1" x14ac:dyDescent="0.25">
      <c r="A18" s="25"/>
      <c r="B18" s="28"/>
      <c r="C18" s="20" t="s">
        <v>12</v>
      </c>
      <c r="D18" s="20">
        <v>8</v>
      </c>
      <c r="E18" s="9" t="s">
        <v>66</v>
      </c>
      <c r="F18" s="10">
        <v>10</v>
      </c>
      <c r="G18" s="10">
        <v>10</v>
      </c>
      <c r="H18" s="10">
        <v>10</v>
      </c>
      <c r="I18" s="10">
        <v>10</v>
      </c>
      <c r="J18" s="10">
        <v>11</v>
      </c>
      <c r="K18" s="10">
        <v>10</v>
      </c>
      <c r="L18" s="10">
        <v>10</v>
      </c>
      <c r="M18" s="10">
        <v>9</v>
      </c>
      <c r="N18" s="10">
        <v>10</v>
      </c>
      <c r="O18" s="10">
        <v>10</v>
      </c>
      <c r="P18" s="10">
        <v>8</v>
      </c>
      <c r="Q18" s="10">
        <v>9</v>
      </c>
      <c r="R18" s="10">
        <v>10</v>
      </c>
      <c r="S18" s="10">
        <v>11</v>
      </c>
      <c r="T18" s="10">
        <v>9</v>
      </c>
      <c r="U18" s="2">
        <f t="shared" si="0"/>
        <v>9.8000000000000007</v>
      </c>
      <c r="V18" s="28"/>
      <c r="W18" s="27"/>
    </row>
    <row r="19" spans="1:24" ht="15" customHeight="1" x14ac:dyDescent="0.25">
      <c r="A19" s="25"/>
      <c r="B19" s="28"/>
      <c r="C19" s="23" t="s">
        <v>12</v>
      </c>
      <c r="D19" s="23">
        <v>9</v>
      </c>
      <c r="E19" s="9" t="s">
        <v>67</v>
      </c>
      <c r="F19" s="10">
        <v>10</v>
      </c>
      <c r="G19" s="10">
        <v>10</v>
      </c>
      <c r="H19" s="10">
        <v>10</v>
      </c>
      <c r="I19" s="10">
        <v>9</v>
      </c>
      <c r="J19" s="10">
        <v>10</v>
      </c>
      <c r="K19" s="10">
        <v>10</v>
      </c>
      <c r="L19" s="10">
        <v>9</v>
      </c>
      <c r="M19" s="10">
        <v>10</v>
      </c>
      <c r="N19" s="10">
        <v>7</v>
      </c>
      <c r="O19" s="10">
        <v>10</v>
      </c>
      <c r="P19" s="10">
        <v>9</v>
      </c>
      <c r="Q19" s="10">
        <v>9</v>
      </c>
      <c r="R19" s="10">
        <v>9</v>
      </c>
      <c r="S19" s="10">
        <v>10</v>
      </c>
      <c r="T19" s="10">
        <v>9</v>
      </c>
      <c r="U19" s="2">
        <f t="shared" ref="U19" si="1">IF(COUNTIF(F19:T19,"=*")&gt;0,"-",IF(COUNTIF(F19:T19,"&lt;4")&gt;0,"-",(IFERROR(AVERAGE(F19:T19),""))))</f>
        <v>9.4</v>
      </c>
      <c r="V19" s="28"/>
      <c r="W19" s="27"/>
    </row>
    <row r="20" spans="1:24" ht="15" customHeight="1" x14ac:dyDescent="0.25">
      <c r="A20" s="25"/>
      <c r="B20" s="28"/>
      <c r="C20" s="11"/>
      <c r="D20" s="11"/>
      <c r="E20" s="9" t="s">
        <v>13</v>
      </c>
      <c r="F20" s="3">
        <f t="shared" ref="F20:T20" si="2">IF(SUM(F11:F19)=0,"",SUM(F11:F19)/$D19)</f>
        <v>8.7777777777777786</v>
      </c>
      <c r="G20" s="3">
        <f t="shared" si="2"/>
        <v>9</v>
      </c>
      <c r="H20" s="3">
        <f t="shared" si="2"/>
        <v>8.6666666666666661</v>
      </c>
      <c r="I20" s="3">
        <f t="shared" si="2"/>
        <v>8.5555555555555554</v>
      </c>
      <c r="J20" s="3">
        <f t="shared" si="2"/>
        <v>9.2222222222222214</v>
      </c>
      <c r="K20" s="3">
        <f t="shared" si="2"/>
        <v>5.8888888888888893</v>
      </c>
      <c r="L20" s="3">
        <f t="shared" si="2"/>
        <v>8.5555555555555554</v>
      </c>
      <c r="M20" s="3">
        <f t="shared" si="2"/>
        <v>6.8888888888888893</v>
      </c>
      <c r="N20" s="3">
        <f t="shared" si="2"/>
        <v>6.7777777777777777</v>
      </c>
      <c r="O20" s="3">
        <f t="shared" si="2"/>
        <v>6.5555555555555554</v>
      </c>
      <c r="P20" s="3">
        <f t="shared" si="2"/>
        <v>7.7777777777777777</v>
      </c>
      <c r="Q20" s="3">
        <f t="shared" si="2"/>
        <v>7.5555555555555554</v>
      </c>
      <c r="R20" s="3">
        <f t="shared" si="2"/>
        <v>6.333333333333333</v>
      </c>
      <c r="S20" s="3">
        <f t="shared" si="2"/>
        <v>5.666666666666667</v>
      </c>
      <c r="T20" s="3">
        <f t="shared" si="2"/>
        <v>7.666666666666667</v>
      </c>
      <c r="U20" s="2">
        <f>IFERROR(AVERAGE(F20:T20),"")</f>
        <v>7.5925925925925926</v>
      </c>
      <c r="V20" s="28"/>
      <c r="W20" s="27"/>
    </row>
    <row r="21" spans="1:24" ht="15" customHeight="1" x14ac:dyDescent="0.25">
      <c r="A21" s="25"/>
      <c r="B21" s="28"/>
      <c r="C21" s="11"/>
      <c r="D21" s="11"/>
      <c r="E21" s="9" t="s">
        <v>14</v>
      </c>
      <c r="F21" s="12">
        <f t="shared" ref="F21:T21" si="3">IF(SUM(F11:F19)=0,"",IF(COUNTIF(F11:F19,"&gt;=4")=0,0,COUNTIF(F11:F19,"&gt;=4")/$D19*100))</f>
        <v>100</v>
      </c>
      <c r="G21" s="12">
        <f t="shared" si="3"/>
        <v>100</v>
      </c>
      <c r="H21" s="12">
        <f t="shared" si="3"/>
        <v>100</v>
      </c>
      <c r="I21" s="12">
        <f t="shared" si="3"/>
        <v>100</v>
      </c>
      <c r="J21" s="12">
        <f t="shared" si="3"/>
        <v>100</v>
      </c>
      <c r="K21" s="12">
        <f t="shared" si="3"/>
        <v>77.777777777777786</v>
      </c>
      <c r="L21" s="12">
        <f t="shared" si="3"/>
        <v>100</v>
      </c>
      <c r="M21" s="12">
        <f t="shared" si="3"/>
        <v>77.777777777777786</v>
      </c>
      <c r="N21" s="12">
        <f t="shared" si="3"/>
        <v>88.888888888888886</v>
      </c>
      <c r="O21" s="12">
        <f t="shared" si="3"/>
        <v>77.777777777777786</v>
      </c>
      <c r="P21" s="12">
        <f t="shared" si="3"/>
        <v>100</v>
      </c>
      <c r="Q21" s="12">
        <f t="shared" si="3"/>
        <v>100</v>
      </c>
      <c r="R21" s="12">
        <f t="shared" si="3"/>
        <v>88.888888888888886</v>
      </c>
      <c r="S21" s="12">
        <f t="shared" si="3"/>
        <v>77.777777777777786</v>
      </c>
      <c r="T21" s="12">
        <f t="shared" si="3"/>
        <v>100</v>
      </c>
      <c r="U21" s="13"/>
      <c r="V21" s="28"/>
      <c r="W21" s="27"/>
      <c r="X21" s="14"/>
    </row>
    <row r="22" spans="1:24" ht="15" customHeight="1" x14ac:dyDescent="0.25">
      <c r="A22" s="25"/>
      <c r="B22" s="28"/>
      <c r="C22" s="11"/>
      <c r="D22" s="11"/>
      <c r="E22" s="9" t="s">
        <v>15</v>
      </c>
      <c r="F22" s="12">
        <f t="shared" ref="F22:T22" si="4">IF(SUM(F11:F19)=0,"",IF(COUNTIF(F11:F19,"&gt;=7")=0,0,COUNTIF(F11:F19,"&gt;=7")/$D19*100))</f>
        <v>100</v>
      </c>
      <c r="G22" s="12">
        <f t="shared" si="4"/>
        <v>100</v>
      </c>
      <c r="H22" s="12">
        <f t="shared" si="4"/>
        <v>77.777777777777786</v>
      </c>
      <c r="I22" s="12">
        <f t="shared" si="4"/>
        <v>100</v>
      </c>
      <c r="J22" s="12">
        <f t="shared" si="4"/>
        <v>88.888888888888886</v>
      </c>
      <c r="K22" s="12">
        <f t="shared" si="4"/>
        <v>44.444444444444443</v>
      </c>
      <c r="L22" s="12">
        <f t="shared" si="4"/>
        <v>77.777777777777786</v>
      </c>
      <c r="M22" s="12">
        <f t="shared" si="4"/>
        <v>66.666666666666657</v>
      </c>
      <c r="N22" s="12">
        <f t="shared" si="4"/>
        <v>66.666666666666657</v>
      </c>
      <c r="O22" s="12">
        <f t="shared" si="4"/>
        <v>66.666666666666657</v>
      </c>
      <c r="P22" s="12">
        <f t="shared" si="4"/>
        <v>77.777777777777786</v>
      </c>
      <c r="Q22" s="12">
        <f t="shared" si="4"/>
        <v>66.666666666666657</v>
      </c>
      <c r="R22" s="12">
        <f t="shared" si="4"/>
        <v>55.555555555555557</v>
      </c>
      <c r="S22" s="12">
        <f t="shared" si="4"/>
        <v>44.444444444444443</v>
      </c>
      <c r="T22" s="12">
        <f t="shared" si="4"/>
        <v>66.666666666666657</v>
      </c>
      <c r="U22" s="21"/>
      <c r="V22" s="28"/>
      <c r="W22" s="27"/>
      <c r="X22" s="14"/>
    </row>
    <row r="23" spans="1:24" ht="15" customHeight="1" x14ac:dyDescent="0.25">
      <c r="A23" s="25"/>
      <c r="B23" s="28"/>
      <c r="C23" s="11"/>
      <c r="D23" s="11"/>
      <c r="E23" s="9" t="s">
        <v>16</v>
      </c>
      <c r="F23" s="3">
        <f>IFERROR(AVERAGE(F21:T21),"")</f>
        <v>92.592592592592609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21"/>
      <c r="V23" s="28"/>
      <c r="W23" s="27"/>
      <c r="X23" s="14"/>
    </row>
    <row r="24" spans="1:24" ht="15" customHeight="1" x14ac:dyDescent="0.25">
      <c r="A24" s="25"/>
      <c r="B24" s="28"/>
      <c r="C24" s="11"/>
      <c r="D24" s="11"/>
      <c r="E24" s="9" t="s">
        <v>17</v>
      </c>
      <c r="F24" s="3">
        <f>IFERROR(AVERAGE(F22:T22),"")</f>
        <v>73.333333333333329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21"/>
      <c r="V24" s="28"/>
      <c r="W24" s="27"/>
      <c r="X24" s="14"/>
    </row>
    <row r="25" spans="1:24" ht="15" customHeight="1" x14ac:dyDescent="0.25">
      <c r="A25" s="25"/>
      <c r="B25" s="28"/>
      <c r="C25" s="11"/>
      <c r="D25" s="11"/>
      <c r="E25" s="9" t="s">
        <v>18</v>
      </c>
      <c r="F25" s="19">
        <f>IF(COUNTIF(C11:C19,"=Б")=0,IF(COUNTIF(C11:C19,"=К")=0,"",0),COUNTIF(C11:C19,"=Б"))</f>
        <v>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21"/>
      <c r="V25" s="28"/>
      <c r="W25" s="27"/>
      <c r="X25" s="14"/>
    </row>
    <row r="26" spans="1:24" ht="15" customHeight="1" x14ac:dyDescent="0.25">
      <c r="A26" s="25"/>
      <c r="B26" s="28"/>
      <c r="C26" s="11"/>
      <c r="D26" s="11"/>
      <c r="E26" s="9" t="s">
        <v>19</v>
      </c>
      <c r="F26" s="19">
        <f>IF(COUNTIF(C11:C19,"=К")=0,IF(COUNTIF(C11:C19,"=Б")=0,"",0),COUNTIF(C11:C19,"=К"))</f>
        <v>9</v>
      </c>
      <c r="G26" s="11"/>
      <c r="H26" s="11"/>
      <c r="I26" s="17" t="s">
        <v>20</v>
      </c>
      <c r="J26" s="11"/>
      <c r="K26" s="11"/>
      <c r="L26" s="11"/>
      <c r="M26" s="11"/>
      <c r="N26" s="11"/>
      <c r="O26" s="11"/>
      <c r="P26" s="1" t="s">
        <v>77</v>
      </c>
      <c r="Q26" s="11"/>
      <c r="R26" s="11"/>
      <c r="S26" s="11"/>
      <c r="T26" s="11"/>
      <c r="U26" s="11"/>
      <c r="V26" s="28"/>
      <c r="W26" s="27"/>
    </row>
    <row r="27" spans="1:24" ht="15" customHeight="1" x14ac:dyDescent="0.25">
      <c r="A27" s="25"/>
      <c r="B27" s="28"/>
      <c r="C27" s="11"/>
      <c r="D27" s="11"/>
      <c r="E27" s="9" t="s">
        <v>21</v>
      </c>
      <c r="F27" s="19">
        <v>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28"/>
      <c r="W27" s="27"/>
    </row>
    <row r="28" spans="1:24" ht="15" customHeight="1" x14ac:dyDescent="0.25">
      <c r="A28" s="25"/>
      <c r="B28" s="28"/>
      <c r="C28" s="11"/>
      <c r="D28" s="11"/>
      <c r="E28" s="9" t="s">
        <v>22</v>
      </c>
      <c r="F28" s="19">
        <v>0</v>
      </c>
      <c r="G28" s="11"/>
      <c r="H28" s="11"/>
      <c r="I28" s="17" t="s">
        <v>23</v>
      </c>
      <c r="J28" s="11"/>
      <c r="K28" s="11"/>
      <c r="L28" s="11"/>
      <c r="M28" s="11"/>
      <c r="N28" s="11"/>
      <c r="O28" s="11"/>
      <c r="P28" s="17" t="s">
        <v>24</v>
      </c>
      <c r="Q28" s="11"/>
      <c r="R28" s="11"/>
      <c r="S28" s="11"/>
      <c r="T28" s="11"/>
      <c r="U28" s="11"/>
      <c r="V28" s="28"/>
      <c r="W28" s="27"/>
    </row>
    <row r="29" spans="1:24" ht="12" customHeight="1" thickBot="1" x14ac:dyDescent="0.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7"/>
    </row>
    <row r="30" spans="1:24" ht="12" customHeight="1" x14ac:dyDescent="0.25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</row>
  </sheetData>
  <sheetProtection selectLockedCells="1"/>
  <sortState ref="E11:E20">
    <sortCondition ref="E11"/>
  </sortState>
  <mergeCells count="18">
    <mergeCell ref="B30:V30"/>
    <mergeCell ref="C7:U7"/>
    <mergeCell ref="C8:U8"/>
    <mergeCell ref="C9:C10"/>
    <mergeCell ref="D9:D10"/>
    <mergeCell ref="E9:E10"/>
    <mergeCell ref="F9:U9"/>
    <mergeCell ref="B1:V1"/>
    <mergeCell ref="A2:A29"/>
    <mergeCell ref="B2:V2"/>
    <mergeCell ref="W2:W29"/>
    <mergeCell ref="B3:B28"/>
    <mergeCell ref="C3:U3"/>
    <mergeCell ref="V3:V28"/>
    <mergeCell ref="C4:U4"/>
    <mergeCell ref="C5:U5"/>
    <mergeCell ref="C6:U6"/>
    <mergeCell ref="B29:V29"/>
  </mergeCells>
  <conditionalFormatting sqref="U11:U18">
    <cfRule type="expression" dxfId="10" priority="9">
      <formula>$V$19&lt;&gt;""</formula>
    </cfRule>
  </conditionalFormatting>
  <conditionalFormatting sqref="C11:T11 F12:T19">
    <cfRule type="expression" dxfId="9" priority="10">
      <formula>$V$11&lt;&gt;""</formula>
    </cfRule>
  </conditionalFormatting>
  <conditionalFormatting sqref="C12:E12">
    <cfRule type="expression" dxfId="8" priority="11">
      <formula>$V$12&lt;&gt;""</formula>
    </cfRule>
  </conditionalFormatting>
  <conditionalFormatting sqref="C13:E13">
    <cfRule type="expression" dxfId="7" priority="12">
      <formula>$V$13&lt;&gt;""</formula>
    </cfRule>
  </conditionalFormatting>
  <conditionalFormatting sqref="C14:E14">
    <cfRule type="expression" dxfId="6" priority="13">
      <formula>$V$14&lt;&gt;""</formula>
    </cfRule>
  </conditionalFormatting>
  <conditionalFormatting sqref="C15:E15">
    <cfRule type="expression" dxfId="5" priority="14">
      <formula>$V$15&lt;&gt;""</formula>
    </cfRule>
  </conditionalFormatting>
  <conditionalFormatting sqref="C16:E16">
    <cfRule type="expression" dxfId="4" priority="15">
      <formula>$V$16&lt;&gt;""</formula>
    </cfRule>
  </conditionalFormatting>
  <conditionalFormatting sqref="C17:E17">
    <cfRule type="expression" dxfId="3" priority="16">
      <formula>$V$17&lt;&gt;""</formula>
    </cfRule>
  </conditionalFormatting>
  <conditionalFormatting sqref="C18:E18">
    <cfRule type="expression" dxfId="2" priority="17">
      <formula>$V$18&lt;&gt;""</formula>
    </cfRule>
  </conditionalFormatting>
  <conditionalFormatting sqref="U19">
    <cfRule type="expression" dxfId="1" priority="2">
      <formula>$V$19&lt;&gt;""</formula>
    </cfRule>
  </conditionalFormatting>
  <conditionalFormatting sqref="C19:E19">
    <cfRule type="expression" dxfId="0" priority="4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241</vt:lpstr>
      <vt:lpstr>Зведена 242</vt:lpstr>
      <vt:lpstr>'Зведена 241'!Область_печати</vt:lpstr>
      <vt:lpstr>'Зведена 242'!Область_печати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2025-06-30T06:44:02Z</dcterms:modified>
  <cp:category/>
  <cp:contentStatus/>
</cp:coreProperties>
</file>