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0" windowWidth="18765" windowHeight="11640" tabRatio="865"/>
  </bookViews>
  <sheets>
    <sheet name="Зведена 101" sheetId="38" r:id="rId1"/>
    <sheet name="Рейтингова відомість 101" sheetId="46" r:id="rId2"/>
    <sheet name="Зведена 161" sheetId="40" r:id="rId3"/>
    <sheet name="Рейтингова відомість 161" sheetId="47" r:id="rId4"/>
    <sheet name="Зведена 172" sheetId="43" r:id="rId5"/>
    <sheet name="Зведена 241" sheetId="45" r:id="rId6"/>
    <sheet name="Зведена 181" sheetId="44" r:id="rId7"/>
  </sheets>
  <definedNames>
    <definedName name="A1048577" localSheetId="0">#REF!</definedName>
    <definedName name="A1048577" localSheetId="2">#REF!</definedName>
    <definedName name="A1048577" localSheetId="4">#REF!</definedName>
    <definedName name="A1048577" localSheetId="6">#REF!</definedName>
    <definedName name="A1048577" localSheetId="5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101'!$B$2:$V$32</definedName>
    <definedName name="_xlnm.Print_Area" localSheetId="2">'Зведена 161'!$B$2:$V$30</definedName>
    <definedName name="_xlnm.Print_Area" localSheetId="4">'Зведена 172'!$B$2:$V$22</definedName>
    <definedName name="_xlnm.Print_Area" localSheetId="6">'Зведена 181'!$B$2:$V$23</definedName>
    <definedName name="_xlnm.Print_Area" localSheetId="5">'Зведена 241'!$B$2:$V$22</definedName>
    <definedName name="_xlnm.Print_Area" localSheetId="1">'Рейтингова відомість 101'!$B$2:$W$22</definedName>
    <definedName name="_xlnm.Print_Area" localSheetId="3">'Рейтингова відомість 161'!$B$2:$W$22</definedName>
    <definedName name="Ф80" localSheetId="0">#REF!</definedName>
    <definedName name="Ф80" localSheetId="2">#REF!</definedName>
    <definedName name="Ф80" localSheetId="4">#REF!</definedName>
    <definedName name="Ф80" localSheetId="6">#REF!</definedName>
    <definedName name="Ф80" localSheetId="5">#REF!</definedName>
    <definedName name="Ф80" localSheetId="1">#REF!</definedName>
    <definedName name="Ф80" localSheetId="3">#REF!</definedName>
    <definedName name="Ф80">#REF!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1" i="47" l="1"/>
  <c r="V11" i="47" s="1"/>
  <c r="U17" i="47"/>
  <c r="V17" i="47" s="1"/>
  <c r="U13" i="47"/>
  <c r="V13" i="47" s="1"/>
  <c r="U12" i="47"/>
  <c r="V12" i="47" s="1"/>
  <c r="U14" i="47"/>
  <c r="V14" i="47" s="1"/>
  <c r="U16" i="47"/>
  <c r="V16" i="47" s="1"/>
  <c r="U15" i="47"/>
  <c r="V15" i="47" s="1"/>
  <c r="F21" i="47"/>
  <c r="F20" i="47"/>
  <c r="F19" i="47"/>
  <c r="F18" i="47"/>
  <c r="U11" i="46"/>
  <c r="V11" i="46" s="1"/>
  <c r="U14" i="46"/>
  <c r="V14" i="46" s="1"/>
  <c r="U12" i="46"/>
  <c r="V12" i="46" s="1"/>
  <c r="U16" i="46"/>
  <c r="V16" i="46" s="1"/>
  <c r="U17" i="46"/>
  <c r="V17" i="46" s="1"/>
  <c r="U13" i="46"/>
  <c r="V13" i="46" s="1"/>
  <c r="U15" i="46"/>
  <c r="V15" i="46" s="1"/>
  <c r="F21" i="46"/>
  <c r="F20" i="46"/>
  <c r="F19" i="46"/>
  <c r="F18" i="46"/>
  <c r="U11" i="45" l="1"/>
  <c r="H13" i="45" l="1"/>
  <c r="H14" i="45"/>
  <c r="H15" i="45"/>
  <c r="H14" i="44"/>
  <c r="H15" i="44"/>
  <c r="H16" i="44"/>
  <c r="H21" i="40"/>
  <c r="H22" i="40"/>
  <c r="H23" i="40"/>
  <c r="G23" i="38"/>
  <c r="H23" i="38"/>
  <c r="G24" i="38"/>
  <c r="H24" i="38"/>
  <c r="G25" i="38"/>
  <c r="H25" i="38"/>
  <c r="T15" i="45"/>
  <c r="S15" i="45"/>
  <c r="R15" i="45"/>
  <c r="Q15" i="45"/>
  <c r="P15" i="45"/>
  <c r="N15" i="45"/>
  <c r="M15" i="45"/>
  <c r="L15" i="45"/>
  <c r="K15" i="45"/>
  <c r="J15" i="45"/>
  <c r="I15" i="45"/>
  <c r="G15" i="45"/>
  <c r="F15" i="45"/>
  <c r="T14" i="45"/>
  <c r="S14" i="45"/>
  <c r="R14" i="45"/>
  <c r="Q14" i="45"/>
  <c r="P14" i="45"/>
  <c r="N14" i="45"/>
  <c r="M14" i="45"/>
  <c r="L14" i="45"/>
  <c r="K14" i="45"/>
  <c r="J14" i="45"/>
  <c r="I14" i="45"/>
  <c r="G14" i="45"/>
  <c r="F14" i="45"/>
  <c r="T13" i="45"/>
  <c r="S13" i="45"/>
  <c r="R13" i="45"/>
  <c r="Q13" i="45"/>
  <c r="P13" i="45"/>
  <c r="N13" i="45"/>
  <c r="M13" i="45"/>
  <c r="L13" i="45"/>
  <c r="K13" i="45"/>
  <c r="J13" i="45"/>
  <c r="I13" i="45"/>
  <c r="G13" i="45"/>
  <c r="F13" i="45"/>
  <c r="T16" i="44"/>
  <c r="S16" i="44"/>
  <c r="R16" i="44"/>
  <c r="Q16" i="44"/>
  <c r="P16" i="44"/>
  <c r="O16" i="44"/>
  <c r="N16" i="44"/>
  <c r="M16" i="44"/>
  <c r="L16" i="44"/>
  <c r="K16" i="44"/>
  <c r="J16" i="44"/>
  <c r="I16" i="44"/>
  <c r="G16" i="44"/>
  <c r="F16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G15" i="44"/>
  <c r="F15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G14" i="44"/>
  <c r="F14" i="44"/>
  <c r="T23" i="40"/>
  <c r="S23" i="40"/>
  <c r="R23" i="40"/>
  <c r="Q23" i="40"/>
  <c r="P23" i="40"/>
  <c r="O23" i="40"/>
  <c r="N23" i="40"/>
  <c r="M23" i="40"/>
  <c r="L23" i="40"/>
  <c r="K23" i="40"/>
  <c r="J23" i="40"/>
  <c r="I23" i="40"/>
  <c r="G23" i="40"/>
  <c r="F23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G22" i="40"/>
  <c r="F22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G21" i="40"/>
  <c r="F21" i="40"/>
  <c r="T25" i="38"/>
  <c r="S25" i="38"/>
  <c r="R25" i="38"/>
  <c r="Q25" i="38"/>
  <c r="P25" i="38"/>
  <c r="O25" i="38"/>
  <c r="N25" i="38"/>
  <c r="M25" i="38"/>
  <c r="L25" i="38"/>
  <c r="K25" i="38"/>
  <c r="J25" i="38"/>
  <c r="I25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F25" i="38"/>
  <c r="F24" i="38"/>
  <c r="F23" i="38"/>
  <c r="H15" i="43"/>
  <c r="H14" i="43"/>
  <c r="H13" i="43"/>
  <c r="F19" i="45" l="1"/>
  <c r="F18" i="45"/>
  <c r="F17" i="45"/>
  <c r="F16" i="45"/>
  <c r="U13" i="45"/>
  <c r="U12" i="45"/>
  <c r="F20" i="44"/>
  <c r="F19" i="44"/>
  <c r="F17" i="44"/>
  <c r="U14" i="44"/>
  <c r="U13" i="44"/>
  <c r="U12" i="44"/>
  <c r="U11" i="44"/>
  <c r="F19" i="43"/>
  <c r="F18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G15" i="43"/>
  <c r="F15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G14" i="43"/>
  <c r="F14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G13" i="43"/>
  <c r="F13" i="43"/>
  <c r="U12" i="43"/>
  <c r="U11" i="43"/>
  <c r="U13" i="43" l="1"/>
  <c r="F16" i="43"/>
  <c r="F17" i="43"/>
  <c r="F18" i="44"/>
  <c r="U20" i="38" l="1"/>
  <c r="U18" i="38"/>
  <c r="U17" i="38"/>
  <c r="U16" i="38"/>
  <c r="F27" i="40" l="1"/>
  <c r="F26" i="40"/>
  <c r="U20" i="40"/>
  <c r="U19" i="40"/>
  <c r="U18" i="40"/>
  <c r="U17" i="40"/>
  <c r="U16" i="40"/>
  <c r="U15" i="40"/>
  <c r="U14" i="40"/>
  <c r="U13" i="40"/>
  <c r="U12" i="40"/>
  <c r="U11" i="40"/>
  <c r="U21" i="40" l="1"/>
  <c r="F25" i="40"/>
  <c r="F24" i="40"/>
  <c r="U22" i="38"/>
  <c r="F29" i="38" l="1"/>
  <c r="F28" i="38"/>
  <c r="U21" i="38"/>
  <c r="U19" i="38"/>
  <c r="U15" i="38"/>
  <c r="U14" i="38"/>
  <c r="U13" i="38"/>
  <c r="U12" i="38"/>
  <c r="U11" i="38"/>
  <c r="U23" i="38" l="1"/>
  <c r="F26" i="38"/>
  <c r="F27" i="38"/>
</calcChain>
</file>

<file path=xl/sharedStrings.xml><?xml version="1.0" encoding="utf-8"?>
<sst xmlns="http://schemas.openxmlformats.org/spreadsheetml/2006/main" count="369" uniqueCount="77">
  <si>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</si>
  <si>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</si>
  <si>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</si>
  <si>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</si>
  <si>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</si>
  <si>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</si>
  <si>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</si>
  <si>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</si>
  <si>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</si>
  <si>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</si>
  <si>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</si>
  <si>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</si>
  <si>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</si>
  <si>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</si>
  <si>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</si>
  <si>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</si>
  <si>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</si>
  <si>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</si>
  <si>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</si>
  <si>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</si>
  <si>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</si>
  <si>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</si>
  <si>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</si>
  <si>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</si>
  <si>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</si>
  <si>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</si>
  <si>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</si>
  <si>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</si>
  <si>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</si>
  <si>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Іноземна мова
Сербулова Ю.А.</t>
  </si>
  <si>
    <t>Українська література
Юрченко О.Б.</t>
  </si>
  <si>
    <t>Українська мова
Юрченко О.Б.</t>
  </si>
  <si>
    <t>Математика
Земляна Т.М.</t>
  </si>
  <si>
    <t>Фізична культура
Галеніна І.С.</t>
  </si>
  <si>
    <t>Бакшлян Віолетта Вячеславівна</t>
  </si>
  <si>
    <t>Бевз Денис Валерійович</t>
  </si>
  <si>
    <t>Білецька Анна Євгенівна</t>
  </si>
  <si>
    <t>Валєнієкс Анна Ріхардівна</t>
  </si>
  <si>
    <t>Жикол Дар`я Сергіївна</t>
  </si>
  <si>
    <t>Кірчева Вікторія Олександрівна</t>
  </si>
  <si>
    <t>Огороднік Маргарита Ігорівна</t>
  </si>
  <si>
    <t>Сізова Катерина Віталіївна</t>
  </si>
  <si>
    <t>Щетина Діана Станіславівна</t>
  </si>
  <si>
    <t>Яковенко Артем Сергійович</t>
  </si>
  <si>
    <t>Успішності студентів спеціальності 101 «Екологія»</t>
  </si>
  <si>
    <t>Група 23-5 курс І</t>
  </si>
  <si>
    <t>Юлія СЕРБУЛОВА</t>
  </si>
  <si>
    <t>Васильченко Анастасія Олександрівна</t>
  </si>
  <si>
    <t>Заслоцька Анна Василівна</t>
  </si>
  <si>
    <t>Крамаренко Єлизавета Юріївна</t>
  </si>
  <si>
    <t>М`ясковська Ярослава Сергіївна</t>
  </si>
  <si>
    <t>Мельникова Катерина Михайлівна</t>
  </si>
  <si>
    <t>Мирненко Станіслав Вадимович</t>
  </si>
  <si>
    <t>Огієнко Владислав Вікторович</t>
  </si>
  <si>
    <t>Прошіна Єлизавета Костянтинівна</t>
  </si>
  <si>
    <t>Сараїн Владислав Вячеславович</t>
  </si>
  <si>
    <t>Скибицька Вікторія Русланівна</t>
  </si>
  <si>
    <t>Успішності студентів спеціальності 161 «Хімічні технології та інженерія»</t>
  </si>
  <si>
    <t>Мельникова Ірина Юріївна</t>
  </si>
  <si>
    <t>Стефанович Андрій Олександрович</t>
  </si>
  <si>
    <t>Успішності студентів спеціальності 172 «Телекомунікації та радіотехніка»</t>
  </si>
  <si>
    <t>Горбачов Павло Вікторович</t>
  </si>
  <si>
    <t>Стрибков Олександр Іванович</t>
  </si>
  <si>
    <t>Успішності студентів спеціальності 181 «Харчові технології»</t>
  </si>
  <si>
    <t>Полєєв Олексій Юрійович</t>
  </si>
  <si>
    <t>Рибалко Максим Сергійович</t>
  </si>
  <si>
    <t>Токарчук Денис Олександрович</t>
  </si>
  <si>
    <t>Успішності студентів спеціальності 241 «Готельно-ресторанна справа»</t>
  </si>
  <si>
    <t>Некрасова Анна Володимирівна</t>
  </si>
  <si>
    <t>Чернушенко Поліна Дмитрівна</t>
  </si>
  <si>
    <t>Астрономія
Наговська Т.С.</t>
  </si>
  <si>
    <t>За ІI семестр 2023-2024 н.р.</t>
  </si>
  <si>
    <t>ВІДОКРЕМЛЕНИЙ СТРУКТУРНИЙ ПІДРОЗДІЛ
«ФАХОВИЙ КОЛЕДЖ НАФТОГАЗОВИХ ТЕХНОЛОГІЙ,
 ІНЖЕНЕРІЇ ТА ІНФРАСТРУКТУРИ СЕРВІСУ</t>
  </si>
  <si>
    <t>н/а</t>
  </si>
  <si>
    <t>Захист України
Лазар В.І.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</si>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</sst>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8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 wrapText="1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3" borderId="2" xfId="5" applyNumberFormat="1" applyFont="1" applyFill="1" applyBorder="1" applyAlignment="1" applyProtection="1">
      <alignment horizontal="center" vertical="center"/>
      <protection locked="0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59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33"/>
  <sheetViews>
    <sheetView tabSelected="1" topLeftCell="A10" zoomScaleNormal="100" workbookViewId="0">
      <selection activeCell="R16" sqref="R16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3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8"/>
    </row>
    <row r="4" spans="1:23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8"/>
    </row>
    <row r="5" spans="1:23" s="6" customFormat="1" ht="15" customHeight="1" x14ac:dyDescent="0.25">
      <c r="A5" s="36"/>
      <c r="B5" s="39"/>
      <c r="C5" s="41" t="s">
        <v>26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9"/>
      <c r="W5" s="38"/>
    </row>
    <row r="6" spans="1:23" s="5" customFormat="1" ht="15" customHeight="1" x14ac:dyDescent="0.25">
      <c r="A6" s="36"/>
      <c r="B6" s="39"/>
      <c r="C6" s="42" t="s">
        <v>44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39"/>
      <c r="W6" s="38"/>
    </row>
    <row r="7" spans="1:23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9"/>
      <c r="W7" s="38"/>
    </row>
    <row r="8" spans="1:23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8"/>
    </row>
    <row r="9" spans="1:23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39"/>
      <c r="W9" s="38"/>
    </row>
    <row r="10" spans="1:23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39"/>
      <c r="W10" s="38"/>
    </row>
    <row r="11" spans="1:23" ht="15" customHeight="1" x14ac:dyDescent="0.25">
      <c r="A11" s="36"/>
      <c r="B11" s="39"/>
      <c r="C11" s="8" t="s">
        <v>13</v>
      </c>
      <c r="D11" s="8">
        <v>1</v>
      </c>
      <c r="E11" s="9" t="s">
        <v>34</v>
      </c>
      <c r="F11" s="10">
        <v>9</v>
      </c>
      <c r="G11" s="10">
        <v>6</v>
      </c>
      <c r="H11" s="10">
        <v>8</v>
      </c>
      <c r="I11" s="10">
        <v>8</v>
      </c>
      <c r="J11" s="10">
        <v>10</v>
      </c>
      <c r="K11" s="10">
        <v>8</v>
      </c>
      <c r="L11" s="10">
        <v>9</v>
      </c>
      <c r="M11" s="10">
        <v>10</v>
      </c>
      <c r="N11" s="10">
        <v>8</v>
      </c>
      <c r="O11" s="10">
        <v>8</v>
      </c>
      <c r="P11" s="10">
        <v>5</v>
      </c>
      <c r="Q11" s="10">
        <v>5</v>
      </c>
      <c r="R11" s="10">
        <v>4</v>
      </c>
      <c r="S11" s="10">
        <v>6</v>
      </c>
      <c r="T11" s="10">
        <v>5</v>
      </c>
      <c r="U11" s="2">
        <f t="shared" ref="U11:U21" si="0">IF(COUNTIF(F11:T11,"=*")&gt;0,"-",IF(COUNTIF(F11:T11,"&lt;4")&gt;0,"-",(IFERROR(AVERAGE(F11:T11),""))))</f>
        <v>7.2666666666666666</v>
      </c>
      <c r="V11" s="39"/>
      <c r="W11" s="38"/>
    </row>
    <row r="12" spans="1:23" ht="15" customHeight="1" x14ac:dyDescent="0.25">
      <c r="A12" s="36"/>
      <c r="B12" s="39"/>
      <c r="C12" s="8" t="s">
        <v>13</v>
      </c>
      <c r="D12" s="8">
        <v>2</v>
      </c>
      <c r="E12" s="9" t="s">
        <v>35</v>
      </c>
      <c r="F12" s="10">
        <v>7</v>
      </c>
      <c r="G12" s="10">
        <v>5</v>
      </c>
      <c r="H12" s="10">
        <v>6</v>
      </c>
      <c r="I12" s="10">
        <v>8</v>
      </c>
      <c r="J12" s="10">
        <v>9</v>
      </c>
      <c r="K12" s="10">
        <v>4</v>
      </c>
      <c r="L12" s="10">
        <v>8</v>
      </c>
      <c r="M12" s="10">
        <v>4</v>
      </c>
      <c r="N12" s="10" t="s">
        <v>73</v>
      </c>
      <c r="O12" s="10">
        <v>4</v>
      </c>
      <c r="P12" s="10">
        <v>4</v>
      </c>
      <c r="Q12" s="10">
        <v>4</v>
      </c>
      <c r="R12" s="10">
        <v>4</v>
      </c>
      <c r="S12" s="10">
        <v>7</v>
      </c>
      <c r="T12" s="10">
        <v>4</v>
      </c>
      <c r="U12" s="2" t="str">
        <f t="shared" si="0"/>
        <v>-</v>
      </c>
      <c r="V12" s="39"/>
      <c r="W12" s="38"/>
    </row>
    <row r="13" spans="1:23" ht="15" customHeight="1" x14ac:dyDescent="0.25">
      <c r="A13" s="36"/>
      <c r="B13" s="39"/>
      <c r="C13" s="8" t="s">
        <v>13</v>
      </c>
      <c r="D13" s="22">
        <v>3</v>
      </c>
      <c r="E13" s="9" t="s">
        <v>36</v>
      </c>
      <c r="F13" s="10">
        <v>10</v>
      </c>
      <c r="G13" s="10">
        <v>9</v>
      </c>
      <c r="H13" s="10">
        <v>9</v>
      </c>
      <c r="I13" s="10">
        <v>10</v>
      </c>
      <c r="J13" s="10">
        <v>10</v>
      </c>
      <c r="K13" s="10">
        <v>8</v>
      </c>
      <c r="L13" s="10">
        <v>10</v>
      </c>
      <c r="M13" s="10">
        <v>10</v>
      </c>
      <c r="N13" s="10">
        <v>7</v>
      </c>
      <c r="O13" s="10">
        <v>9</v>
      </c>
      <c r="P13" s="10">
        <v>8</v>
      </c>
      <c r="Q13" s="10">
        <v>8</v>
      </c>
      <c r="R13" s="10">
        <v>7</v>
      </c>
      <c r="S13" s="10">
        <v>9</v>
      </c>
      <c r="T13" s="10">
        <v>8</v>
      </c>
      <c r="U13" s="2">
        <f t="shared" si="0"/>
        <v>8.8000000000000007</v>
      </c>
      <c r="V13" s="39"/>
      <c r="W13" s="38"/>
    </row>
    <row r="14" spans="1:23" ht="15" customHeight="1" x14ac:dyDescent="0.25">
      <c r="A14" s="36"/>
      <c r="B14" s="39"/>
      <c r="C14" s="8" t="s">
        <v>13</v>
      </c>
      <c r="D14" s="22">
        <v>4</v>
      </c>
      <c r="E14" s="9" t="s">
        <v>37</v>
      </c>
      <c r="F14" s="10">
        <v>8</v>
      </c>
      <c r="G14" s="10">
        <v>9</v>
      </c>
      <c r="H14" s="10">
        <v>8</v>
      </c>
      <c r="I14" s="10">
        <v>8</v>
      </c>
      <c r="J14" s="10">
        <v>8</v>
      </c>
      <c r="K14" s="10">
        <v>5</v>
      </c>
      <c r="L14" s="10">
        <v>7</v>
      </c>
      <c r="M14" s="10">
        <v>5</v>
      </c>
      <c r="N14" s="10" t="s">
        <v>73</v>
      </c>
      <c r="O14" s="10" t="s">
        <v>73</v>
      </c>
      <c r="P14" s="10">
        <v>4</v>
      </c>
      <c r="Q14" s="10">
        <v>4</v>
      </c>
      <c r="R14" s="10">
        <v>2</v>
      </c>
      <c r="S14" s="10">
        <v>6</v>
      </c>
      <c r="T14" s="10">
        <v>4</v>
      </c>
      <c r="U14" s="2" t="str">
        <f t="shared" si="0"/>
        <v>-</v>
      </c>
      <c r="V14" s="39"/>
      <c r="W14" s="38"/>
    </row>
    <row r="15" spans="1:23" ht="15" customHeight="1" x14ac:dyDescent="0.25">
      <c r="A15" s="36"/>
      <c r="B15" s="39"/>
      <c r="C15" s="8" t="s">
        <v>13</v>
      </c>
      <c r="D15" s="22">
        <v>5</v>
      </c>
      <c r="E15" s="9" t="s">
        <v>38</v>
      </c>
      <c r="F15" s="10">
        <v>9</v>
      </c>
      <c r="G15" s="10">
        <v>8</v>
      </c>
      <c r="H15" s="10">
        <v>8</v>
      </c>
      <c r="I15" s="10">
        <v>9</v>
      </c>
      <c r="J15" s="10">
        <v>10</v>
      </c>
      <c r="K15" s="10">
        <v>7</v>
      </c>
      <c r="L15" s="10">
        <v>9</v>
      </c>
      <c r="M15" s="10">
        <v>9</v>
      </c>
      <c r="N15" s="10">
        <v>7</v>
      </c>
      <c r="O15" s="10">
        <v>5</v>
      </c>
      <c r="P15" s="10">
        <v>9</v>
      </c>
      <c r="Q15" s="10">
        <v>8</v>
      </c>
      <c r="R15" s="10">
        <v>6</v>
      </c>
      <c r="S15" s="10">
        <v>8</v>
      </c>
      <c r="T15" s="10">
        <v>4</v>
      </c>
      <c r="U15" s="2">
        <f t="shared" si="0"/>
        <v>7.7333333333333334</v>
      </c>
      <c r="V15" s="39"/>
      <c r="W15" s="38"/>
    </row>
    <row r="16" spans="1:23" ht="15" customHeight="1" x14ac:dyDescent="0.25">
      <c r="A16" s="36"/>
      <c r="B16" s="39"/>
      <c r="C16" s="8" t="s">
        <v>13</v>
      </c>
      <c r="D16" s="22">
        <v>6</v>
      </c>
      <c r="E16" s="9" t="s">
        <v>39</v>
      </c>
      <c r="F16" s="10">
        <v>9</v>
      </c>
      <c r="G16" s="10">
        <v>7</v>
      </c>
      <c r="H16" s="10">
        <v>8</v>
      </c>
      <c r="I16" s="10">
        <v>8</v>
      </c>
      <c r="J16" s="10">
        <v>9</v>
      </c>
      <c r="K16" s="47" t="s">
        <v>73</v>
      </c>
      <c r="L16" s="10">
        <v>9</v>
      </c>
      <c r="M16" s="10">
        <v>4</v>
      </c>
      <c r="N16" s="10">
        <v>5</v>
      </c>
      <c r="O16" s="10">
        <v>4</v>
      </c>
      <c r="P16" s="10">
        <v>4</v>
      </c>
      <c r="Q16" s="10">
        <v>6</v>
      </c>
      <c r="R16" s="47" t="s">
        <v>73</v>
      </c>
      <c r="S16" s="10">
        <v>9</v>
      </c>
      <c r="T16" s="10">
        <v>4</v>
      </c>
      <c r="U16" s="2" t="str">
        <f>IF(COUNTIF(F16:T16,"=*")&gt;0,"-",IF(COUNTIF(F16:T16,"&lt;4")&gt;0,"-",(IFERROR(AVERAGE(F16:T16),""))))</f>
        <v>-</v>
      </c>
      <c r="V16" s="39"/>
      <c r="W16" s="38"/>
    </row>
    <row r="17" spans="1:24" ht="15" customHeight="1" x14ac:dyDescent="0.25">
      <c r="A17" s="36"/>
      <c r="B17" s="39"/>
      <c r="C17" s="22" t="s">
        <v>12</v>
      </c>
      <c r="D17" s="22">
        <v>7</v>
      </c>
      <c r="E17" s="23" t="s">
        <v>58</v>
      </c>
      <c r="F17" s="10">
        <v>8</v>
      </c>
      <c r="G17" s="10">
        <v>8</v>
      </c>
      <c r="H17" s="10">
        <v>8</v>
      </c>
      <c r="I17" s="10">
        <v>8</v>
      </c>
      <c r="J17" s="10">
        <v>6</v>
      </c>
      <c r="K17" s="10">
        <v>4</v>
      </c>
      <c r="L17" s="10">
        <v>7</v>
      </c>
      <c r="M17" s="10">
        <v>4</v>
      </c>
      <c r="N17" s="10">
        <v>7</v>
      </c>
      <c r="O17" s="10">
        <v>4</v>
      </c>
      <c r="P17" s="10">
        <v>6</v>
      </c>
      <c r="Q17" s="10">
        <v>6</v>
      </c>
      <c r="R17" s="10">
        <v>4</v>
      </c>
      <c r="S17" s="10">
        <v>10</v>
      </c>
      <c r="T17" s="10">
        <v>5</v>
      </c>
      <c r="U17" s="2">
        <f>AVERAGE(F17:T17)</f>
        <v>6.333333333333333</v>
      </c>
      <c r="V17" s="39"/>
      <c r="W17" s="38"/>
    </row>
    <row r="18" spans="1:24" ht="15" customHeight="1" x14ac:dyDescent="0.25">
      <c r="A18" s="36"/>
      <c r="B18" s="39"/>
      <c r="C18" s="8" t="s">
        <v>13</v>
      </c>
      <c r="D18" s="22">
        <v>8</v>
      </c>
      <c r="E18" s="9" t="s">
        <v>40</v>
      </c>
      <c r="F18" s="10">
        <v>10</v>
      </c>
      <c r="G18" s="10">
        <v>10</v>
      </c>
      <c r="H18" s="10">
        <v>8</v>
      </c>
      <c r="I18" s="10">
        <v>10</v>
      </c>
      <c r="J18" s="10">
        <v>10</v>
      </c>
      <c r="K18" s="10">
        <v>9</v>
      </c>
      <c r="L18" s="10">
        <v>10</v>
      </c>
      <c r="M18" s="10">
        <v>9</v>
      </c>
      <c r="N18" s="10">
        <v>8</v>
      </c>
      <c r="O18" s="10">
        <v>5</v>
      </c>
      <c r="P18" s="10">
        <v>10</v>
      </c>
      <c r="Q18" s="10">
        <v>9</v>
      </c>
      <c r="R18" s="10">
        <v>6</v>
      </c>
      <c r="S18" s="10">
        <v>9</v>
      </c>
      <c r="T18" s="10">
        <v>8</v>
      </c>
      <c r="U18" s="2">
        <f>AVERAGE(F18:T18)</f>
        <v>8.7333333333333325</v>
      </c>
      <c r="V18" s="39"/>
      <c r="W18" s="38"/>
    </row>
    <row r="19" spans="1:24" ht="15" customHeight="1" x14ac:dyDescent="0.25">
      <c r="A19" s="36"/>
      <c r="B19" s="39"/>
      <c r="C19" s="8" t="s">
        <v>13</v>
      </c>
      <c r="D19" s="22">
        <v>9</v>
      </c>
      <c r="E19" s="9" t="s">
        <v>41</v>
      </c>
      <c r="F19" s="10">
        <v>8</v>
      </c>
      <c r="G19" s="10">
        <v>7</v>
      </c>
      <c r="H19" s="10">
        <v>9</v>
      </c>
      <c r="I19" s="10">
        <v>9</v>
      </c>
      <c r="J19" s="10">
        <v>10</v>
      </c>
      <c r="K19" s="10">
        <v>4</v>
      </c>
      <c r="L19" s="10">
        <v>10</v>
      </c>
      <c r="M19" s="10">
        <v>9</v>
      </c>
      <c r="N19" s="10">
        <v>7</v>
      </c>
      <c r="O19" s="10">
        <v>6</v>
      </c>
      <c r="P19" s="10">
        <v>6</v>
      </c>
      <c r="Q19" s="10">
        <v>5</v>
      </c>
      <c r="R19" s="10">
        <v>6</v>
      </c>
      <c r="S19" s="10">
        <v>7</v>
      </c>
      <c r="T19" s="10">
        <v>4</v>
      </c>
      <c r="U19" s="2">
        <f t="shared" si="0"/>
        <v>7.1333333333333337</v>
      </c>
      <c r="V19" s="39"/>
      <c r="W19" s="38"/>
    </row>
    <row r="20" spans="1:24" ht="15" customHeight="1" x14ac:dyDescent="0.25">
      <c r="A20" s="36"/>
      <c r="B20" s="39"/>
      <c r="C20" s="22" t="s">
        <v>12</v>
      </c>
      <c r="D20" s="22">
        <v>10</v>
      </c>
      <c r="E20" s="9" t="s">
        <v>59</v>
      </c>
      <c r="F20" s="10">
        <v>9</v>
      </c>
      <c r="G20" s="10">
        <v>10</v>
      </c>
      <c r="H20" s="10">
        <v>9</v>
      </c>
      <c r="I20" s="10">
        <v>10</v>
      </c>
      <c r="J20" s="10">
        <v>10</v>
      </c>
      <c r="K20" s="10">
        <v>9</v>
      </c>
      <c r="L20" s="10">
        <v>10</v>
      </c>
      <c r="M20" s="10">
        <v>10</v>
      </c>
      <c r="N20" s="10">
        <v>8</v>
      </c>
      <c r="O20" s="10">
        <v>9</v>
      </c>
      <c r="P20" s="10">
        <v>9</v>
      </c>
      <c r="Q20" s="10">
        <v>9</v>
      </c>
      <c r="R20" s="10">
        <v>9</v>
      </c>
      <c r="S20" s="10">
        <v>10</v>
      </c>
      <c r="T20" s="10">
        <v>7</v>
      </c>
      <c r="U20" s="2">
        <f t="shared" si="0"/>
        <v>9.1999999999999993</v>
      </c>
      <c r="V20" s="39"/>
      <c r="W20" s="38"/>
    </row>
    <row r="21" spans="1:24" ht="15" customHeight="1" x14ac:dyDescent="0.25">
      <c r="A21" s="36"/>
      <c r="B21" s="39"/>
      <c r="C21" s="8" t="s">
        <v>13</v>
      </c>
      <c r="D21" s="22">
        <v>11</v>
      </c>
      <c r="E21" s="9" t="s">
        <v>42</v>
      </c>
      <c r="F21" s="10">
        <v>8</v>
      </c>
      <c r="G21" s="10">
        <v>8</v>
      </c>
      <c r="H21" s="10">
        <v>8</v>
      </c>
      <c r="I21" s="10">
        <v>8</v>
      </c>
      <c r="J21" s="10">
        <v>10</v>
      </c>
      <c r="K21" s="10">
        <v>8</v>
      </c>
      <c r="L21" s="10">
        <v>10</v>
      </c>
      <c r="M21" s="10">
        <v>5</v>
      </c>
      <c r="N21" s="10">
        <v>6</v>
      </c>
      <c r="O21" s="10">
        <v>4</v>
      </c>
      <c r="P21" s="10">
        <v>4</v>
      </c>
      <c r="Q21" s="10">
        <v>4</v>
      </c>
      <c r="R21" s="10">
        <v>4</v>
      </c>
      <c r="S21" s="10">
        <v>9</v>
      </c>
      <c r="T21" s="10">
        <v>10</v>
      </c>
      <c r="U21" s="2">
        <f t="shared" si="0"/>
        <v>7.0666666666666664</v>
      </c>
      <c r="V21" s="39"/>
      <c r="W21" s="38"/>
    </row>
    <row r="22" spans="1:24" ht="15" customHeight="1" x14ac:dyDescent="0.25">
      <c r="A22" s="36"/>
      <c r="B22" s="39"/>
      <c r="C22" s="20" t="s">
        <v>13</v>
      </c>
      <c r="D22" s="22">
        <v>12</v>
      </c>
      <c r="E22" s="9" t="s">
        <v>43</v>
      </c>
      <c r="F22" s="10">
        <v>9</v>
      </c>
      <c r="G22" s="10">
        <v>9</v>
      </c>
      <c r="H22" s="10">
        <v>10</v>
      </c>
      <c r="I22" s="10">
        <v>11</v>
      </c>
      <c r="J22" s="10">
        <v>10</v>
      </c>
      <c r="K22" s="10">
        <v>9</v>
      </c>
      <c r="L22" s="10">
        <v>10</v>
      </c>
      <c r="M22" s="10">
        <v>7</v>
      </c>
      <c r="N22" s="10">
        <v>7</v>
      </c>
      <c r="O22" s="10">
        <v>4</v>
      </c>
      <c r="P22" s="10">
        <v>8</v>
      </c>
      <c r="Q22" s="10">
        <v>7</v>
      </c>
      <c r="R22" s="10">
        <v>7</v>
      </c>
      <c r="S22" s="10">
        <v>10</v>
      </c>
      <c r="T22" s="10">
        <v>8</v>
      </c>
      <c r="U22" s="2">
        <f t="shared" ref="U22" si="1">IF(COUNTIF(F22:T22,"=*")&gt;0,"-",IF(COUNTIF(F22:T22,"&lt;4")&gt;0,"-",(IFERROR(AVERAGE(F22:T22),""))))</f>
        <v>8.4</v>
      </c>
      <c r="V22" s="39"/>
      <c r="W22" s="38"/>
    </row>
    <row r="23" spans="1:24" ht="15" customHeight="1" x14ac:dyDescent="0.25">
      <c r="A23" s="36"/>
      <c r="B23" s="39"/>
      <c r="C23" s="11"/>
      <c r="D23" s="11"/>
      <c r="E23" s="9" t="s">
        <v>14</v>
      </c>
      <c r="F23" s="3">
        <f>IF(SUM(F11:F22)=0,"",SUM(F11:F22)/$D22)</f>
        <v>8.6666666666666661</v>
      </c>
      <c r="G23" s="3">
        <f t="shared" ref="G23:H23" si="2">IF(SUM(G11:G22)=0,"",SUM(G11:G22)/$D22)</f>
        <v>8</v>
      </c>
      <c r="H23" s="3">
        <f t="shared" si="2"/>
        <v>8.25</v>
      </c>
      <c r="I23" s="3">
        <f t="shared" ref="I23:T23" si="3">IF(SUM(I11:I22)=0,"",SUM(I11:I22)/$D22)</f>
        <v>8.9166666666666661</v>
      </c>
      <c r="J23" s="3">
        <f t="shared" si="3"/>
        <v>9.3333333333333339</v>
      </c>
      <c r="K23" s="3">
        <f t="shared" si="3"/>
        <v>6.25</v>
      </c>
      <c r="L23" s="3">
        <f t="shared" si="3"/>
        <v>9.0833333333333339</v>
      </c>
      <c r="M23" s="3">
        <f t="shared" si="3"/>
        <v>7.166666666666667</v>
      </c>
      <c r="N23" s="3">
        <f t="shared" si="3"/>
        <v>5.833333333333333</v>
      </c>
      <c r="O23" s="3">
        <f t="shared" si="3"/>
        <v>5.166666666666667</v>
      </c>
      <c r="P23" s="3">
        <f t="shared" si="3"/>
        <v>6.416666666666667</v>
      </c>
      <c r="Q23" s="3">
        <f t="shared" si="3"/>
        <v>6.25</v>
      </c>
      <c r="R23" s="3">
        <f t="shared" si="3"/>
        <v>4.916666666666667</v>
      </c>
      <c r="S23" s="3">
        <f t="shared" si="3"/>
        <v>8.3333333333333339</v>
      </c>
      <c r="T23" s="3">
        <f t="shared" si="3"/>
        <v>5.916666666666667</v>
      </c>
      <c r="U23" s="2">
        <f>IFERROR(AVERAGE(F23:T23),"")</f>
        <v>7.2333333333333343</v>
      </c>
      <c r="V23" s="39"/>
      <c r="W23" s="38"/>
    </row>
    <row r="24" spans="1:24" ht="15" customHeight="1" x14ac:dyDescent="0.25">
      <c r="A24" s="36"/>
      <c r="B24" s="39"/>
      <c r="C24" s="11"/>
      <c r="D24" s="11"/>
      <c r="E24" s="9" t="s">
        <v>15</v>
      </c>
      <c r="F24" s="12">
        <f>IF(SUM(F11:F22)=0,"",IF(COUNTIF(F11:F22,"&gt;=4")=0,0,COUNTIF(F11:F22,"&gt;=4")/$D22*100))</f>
        <v>100</v>
      </c>
      <c r="G24" s="12">
        <f t="shared" ref="G24:H24" si="4">IF(SUM(G11:G22)=0,"",IF(COUNTIF(G11:G22,"&gt;=4")=0,0,COUNTIF(G11:G22,"&gt;=4")/$D22*100))</f>
        <v>100</v>
      </c>
      <c r="H24" s="12">
        <f t="shared" si="4"/>
        <v>100</v>
      </c>
      <c r="I24" s="12">
        <f t="shared" ref="I24:T24" si="5">IF(SUM(I11:I22)=0,"",IF(COUNTIF(I11:I22,"&gt;=4")=0,0,COUNTIF(I11:I22,"&gt;=4")/$D22*100))</f>
        <v>100</v>
      </c>
      <c r="J24" s="12">
        <f t="shared" si="5"/>
        <v>100</v>
      </c>
      <c r="K24" s="12">
        <f t="shared" si="5"/>
        <v>91.666666666666657</v>
      </c>
      <c r="L24" s="12">
        <f t="shared" si="5"/>
        <v>100</v>
      </c>
      <c r="M24" s="12">
        <f t="shared" si="5"/>
        <v>100</v>
      </c>
      <c r="N24" s="12">
        <f t="shared" si="5"/>
        <v>83.333333333333343</v>
      </c>
      <c r="O24" s="12">
        <f t="shared" si="5"/>
        <v>91.666666666666657</v>
      </c>
      <c r="P24" s="12">
        <f t="shared" si="5"/>
        <v>100</v>
      </c>
      <c r="Q24" s="12">
        <f t="shared" si="5"/>
        <v>100</v>
      </c>
      <c r="R24" s="12">
        <f t="shared" si="5"/>
        <v>83.333333333333343</v>
      </c>
      <c r="S24" s="12">
        <f t="shared" si="5"/>
        <v>100</v>
      </c>
      <c r="T24" s="12">
        <f t="shared" si="5"/>
        <v>100</v>
      </c>
      <c r="U24" s="13"/>
      <c r="V24" s="39"/>
      <c r="W24" s="38"/>
      <c r="X24" s="14"/>
    </row>
    <row r="25" spans="1:24" ht="15" customHeight="1" x14ac:dyDescent="0.25">
      <c r="A25" s="36"/>
      <c r="B25" s="39"/>
      <c r="C25" s="11"/>
      <c r="D25" s="11"/>
      <c r="E25" s="9" t="s">
        <v>16</v>
      </c>
      <c r="F25" s="12">
        <f>IF(SUM(F11:F22)=0,"",IF(COUNTIF(F11:F22,"&gt;=7")=0,0,COUNTIF(F11:F22,"&gt;=7")/$D22*100))</f>
        <v>100</v>
      </c>
      <c r="G25" s="12">
        <f t="shared" ref="G25:H25" si="6">IF(SUM(G11:G22)=0,"",IF(COUNTIF(G11:G22,"&gt;=7")=0,0,COUNTIF(G11:G22,"&gt;=7")/$D22*100))</f>
        <v>83.333333333333343</v>
      </c>
      <c r="H25" s="12">
        <f t="shared" si="6"/>
        <v>91.666666666666657</v>
      </c>
      <c r="I25" s="12">
        <f t="shared" ref="I25:T25" si="7">IF(SUM(I11:I22)=0,"",IF(COUNTIF(I11:I22,"&gt;=7")=0,0,COUNTIF(I11:I22,"&gt;=7")/$D22*100))</f>
        <v>100</v>
      </c>
      <c r="J25" s="12">
        <f t="shared" si="7"/>
        <v>91.666666666666657</v>
      </c>
      <c r="K25" s="12">
        <f t="shared" si="7"/>
        <v>58.333333333333336</v>
      </c>
      <c r="L25" s="12">
        <f t="shared" si="7"/>
        <v>100</v>
      </c>
      <c r="M25" s="12">
        <f t="shared" si="7"/>
        <v>58.333333333333336</v>
      </c>
      <c r="N25" s="12">
        <f t="shared" si="7"/>
        <v>66.666666666666657</v>
      </c>
      <c r="O25" s="12">
        <f t="shared" si="7"/>
        <v>25</v>
      </c>
      <c r="P25" s="12">
        <f t="shared" si="7"/>
        <v>41.666666666666671</v>
      </c>
      <c r="Q25" s="12">
        <f t="shared" si="7"/>
        <v>41.666666666666671</v>
      </c>
      <c r="R25" s="12">
        <f t="shared" si="7"/>
        <v>25</v>
      </c>
      <c r="S25" s="12">
        <f t="shared" si="7"/>
        <v>83.333333333333343</v>
      </c>
      <c r="T25" s="12">
        <f t="shared" si="7"/>
        <v>41.666666666666671</v>
      </c>
      <c r="U25" s="15"/>
      <c r="V25" s="39"/>
      <c r="W25" s="38"/>
      <c r="X25" s="14"/>
    </row>
    <row r="26" spans="1:24" ht="15" customHeight="1" x14ac:dyDescent="0.25">
      <c r="A26" s="36"/>
      <c r="B26" s="39"/>
      <c r="C26" s="11"/>
      <c r="D26" s="11"/>
      <c r="E26" s="9" t="s">
        <v>17</v>
      </c>
      <c r="F26" s="3">
        <f>IFERROR(AVERAGE(F24:T24),"")</f>
        <v>96.666666666666657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39"/>
      <c r="W26" s="38"/>
      <c r="X26" s="14"/>
    </row>
    <row r="27" spans="1:24" ht="15" customHeight="1" x14ac:dyDescent="0.25">
      <c r="A27" s="36"/>
      <c r="B27" s="39"/>
      <c r="C27" s="11"/>
      <c r="D27" s="11"/>
      <c r="E27" s="9" t="s">
        <v>18</v>
      </c>
      <c r="F27" s="3">
        <f>IFERROR(AVERAGE(F25:T25),"")</f>
        <v>67.222222222222214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39"/>
      <c r="W27" s="38"/>
      <c r="X27" s="14"/>
    </row>
    <row r="28" spans="1:24" ht="15" customHeight="1" x14ac:dyDescent="0.25">
      <c r="A28" s="36"/>
      <c r="B28" s="39"/>
      <c r="C28" s="11"/>
      <c r="D28" s="11"/>
      <c r="E28" s="9" t="s">
        <v>19</v>
      </c>
      <c r="F28" s="16">
        <f>IF(COUNTIF(C11:C22,"=Б")=0,IF(COUNTIF(C11:C22,"=К")=0,"",0),COUNTIF(C11:C22,"=Б"))</f>
        <v>10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39"/>
      <c r="W28" s="38"/>
      <c r="X28" s="14"/>
    </row>
    <row r="29" spans="1:24" ht="15" customHeight="1" x14ac:dyDescent="0.25">
      <c r="A29" s="36"/>
      <c r="B29" s="39"/>
      <c r="C29" s="11"/>
      <c r="D29" s="11"/>
      <c r="E29" s="9" t="s">
        <v>20</v>
      </c>
      <c r="F29" s="16">
        <f>IF(COUNTIF(C11:C22,"=К")=0,IF(COUNTIF(C11:C22,"=Б")=0,"",0),COUNTIF(C11:C22,"=К"))</f>
        <v>2</v>
      </c>
      <c r="G29" s="11"/>
      <c r="H29" s="11"/>
      <c r="I29" s="17" t="s">
        <v>21</v>
      </c>
      <c r="J29" s="11"/>
      <c r="K29" s="11"/>
      <c r="L29" s="11"/>
      <c r="M29" s="11"/>
      <c r="N29" s="11"/>
      <c r="O29" s="11"/>
      <c r="P29" s="1" t="s">
        <v>46</v>
      </c>
      <c r="Q29" s="11"/>
      <c r="R29" s="11"/>
      <c r="S29" s="11"/>
      <c r="T29" s="11"/>
      <c r="U29" s="11"/>
      <c r="V29" s="39"/>
      <c r="W29" s="38"/>
    </row>
    <row r="30" spans="1:24" ht="15" customHeight="1" x14ac:dyDescent="0.25">
      <c r="A30" s="36"/>
      <c r="B30" s="39"/>
      <c r="C30" s="11"/>
      <c r="D30" s="11"/>
      <c r="E30" s="9" t="s">
        <v>22</v>
      </c>
      <c r="F30" s="16">
        <v>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39"/>
      <c r="W30" s="38"/>
    </row>
    <row r="31" spans="1:24" ht="15" customHeight="1" x14ac:dyDescent="0.25">
      <c r="A31" s="36"/>
      <c r="B31" s="39"/>
      <c r="C31" s="11"/>
      <c r="D31" s="11"/>
      <c r="E31" s="9" t="s">
        <v>23</v>
      </c>
      <c r="F31" s="16">
        <v>4</v>
      </c>
      <c r="G31" s="11"/>
      <c r="H31" s="11"/>
      <c r="I31" s="17" t="s">
        <v>24</v>
      </c>
      <c r="J31" s="11"/>
      <c r="K31" s="11"/>
      <c r="L31" s="11"/>
      <c r="M31" s="11"/>
      <c r="N31" s="11"/>
      <c r="O31" s="11"/>
      <c r="P31" s="17" t="s">
        <v>25</v>
      </c>
      <c r="Q31" s="11"/>
      <c r="R31" s="11"/>
      <c r="S31" s="11"/>
      <c r="T31" s="11"/>
      <c r="U31" s="11"/>
      <c r="V31" s="39"/>
      <c r="W31" s="38"/>
    </row>
    <row r="32" spans="1:24" ht="12" customHeight="1" thickBot="1" x14ac:dyDescent="0.3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8"/>
    </row>
    <row r="33" spans="2:22" ht="12" customHeight="1" x14ac:dyDescent="0.25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</sheetData>
  <sheetProtection selectLockedCells="1"/>
  <sortState ref="E11:E20">
    <sortCondition ref="E11"/>
  </sortState>
  <mergeCells count="18">
    <mergeCell ref="B33:V33"/>
    <mergeCell ref="C7:U7"/>
    <mergeCell ref="C8:U8"/>
    <mergeCell ref="C9:C10"/>
    <mergeCell ref="D9:D10"/>
    <mergeCell ref="E9:E10"/>
    <mergeCell ref="F9:U9"/>
    <mergeCell ref="B1:V1"/>
    <mergeCell ref="A2:A32"/>
    <mergeCell ref="B2:V2"/>
    <mergeCell ref="W2:W32"/>
    <mergeCell ref="B3:B31"/>
    <mergeCell ref="C3:U3"/>
    <mergeCell ref="V3:V31"/>
    <mergeCell ref="C4:U4"/>
    <mergeCell ref="C5:U5"/>
    <mergeCell ref="C6:U6"/>
    <mergeCell ref="B32:V32"/>
  </mergeCells>
  <conditionalFormatting sqref="U11:U21">
    <cfRule type="expression" dxfId="58" priority="6">
      <formula>$V$22&lt;&gt;""</formula>
    </cfRule>
  </conditionalFormatting>
  <conditionalFormatting sqref="D13 D15 D17 D19 D21 C11:T11 F12:T22">
    <cfRule type="expression" dxfId="57" priority="7">
      <formula>$V$11&lt;&gt;""</formula>
    </cfRule>
  </conditionalFormatting>
  <conditionalFormatting sqref="C12:E12 D14 D16 D18 D20 D22">
    <cfRule type="expression" dxfId="56" priority="8">
      <formula>$V$12&lt;&gt;""</formula>
    </cfRule>
  </conditionalFormatting>
  <conditionalFormatting sqref="C13 E13">
    <cfRule type="expression" dxfId="55" priority="9">
      <formula>$V$13&lt;&gt;""</formula>
    </cfRule>
  </conditionalFormatting>
  <conditionalFormatting sqref="C14 E14">
    <cfRule type="expression" dxfId="54" priority="10">
      <formula>$V$14&lt;&gt;""</formula>
    </cfRule>
  </conditionalFormatting>
  <conditionalFormatting sqref="C15 E15">
    <cfRule type="expression" dxfId="53" priority="11">
      <formula>$V$15&lt;&gt;""</formula>
    </cfRule>
  </conditionalFormatting>
  <conditionalFormatting sqref="E16:E17 C16:C17">
    <cfRule type="expression" dxfId="52" priority="12">
      <formula>$V$16&lt;&gt;""</formula>
    </cfRule>
  </conditionalFormatting>
  <conditionalFormatting sqref="C18 E18">
    <cfRule type="expression" dxfId="51" priority="13">
      <formula>$V$18&lt;&gt;""</formula>
    </cfRule>
  </conditionalFormatting>
  <conditionalFormatting sqref="C19:C20 E19:E20">
    <cfRule type="expression" dxfId="50" priority="14">
      <formula>$V$19&lt;&gt;""</formula>
    </cfRule>
  </conditionalFormatting>
  <conditionalFormatting sqref="C21 E21">
    <cfRule type="expression" dxfId="49" priority="15">
      <formula>$V$21&lt;&gt;""</formula>
    </cfRule>
  </conditionalFormatting>
  <conditionalFormatting sqref="U22">
    <cfRule type="expression" dxfId="48" priority="4">
      <formula>$V$22&lt;&gt;""</formula>
    </cfRule>
  </conditionalFormatting>
  <conditionalFormatting sqref="C22 E22">
    <cfRule type="expression" dxfId="47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3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4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8"/>
    </row>
    <row r="4" spans="1:24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8"/>
    </row>
    <row r="5" spans="1:24" s="6" customFormat="1" ht="15" customHeight="1" x14ac:dyDescent="0.25">
      <c r="A5" s="36"/>
      <c r="B5" s="39"/>
      <c r="C5" s="41" t="s">
        <v>75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39"/>
      <c r="X5" s="38"/>
    </row>
    <row r="6" spans="1:24" s="5" customFormat="1" ht="15" customHeight="1" x14ac:dyDescent="0.25">
      <c r="A6" s="36"/>
      <c r="B6" s="39"/>
      <c r="C6" s="42" t="s">
        <v>44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39"/>
      <c r="X6" s="38"/>
    </row>
    <row r="7" spans="1:24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39"/>
      <c r="X7" s="38"/>
    </row>
    <row r="8" spans="1:24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8"/>
    </row>
    <row r="9" spans="1:24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39"/>
      <c r="X9" s="38"/>
    </row>
    <row r="10" spans="1:24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7" t="s">
        <v>76</v>
      </c>
      <c r="W10" s="39"/>
      <c r="X10" s="38"/>
    </row>
    <row r="11" spans="1:24" ht="15" customHeight="1" x14ac:dyDescent="0.25">
      <c r="A11" s="36"/>
      <c r="B11" s="39"/>
      <c r="C11" s="31" t="s">
        <v>13</v>
      </c>
      <c r="D11" s="31">
        <v>1</v>
      </c>
      <c r="E11" s="32" t="s">
        <v>36</v>
      </c>
      <c r="F11" s="33">
        <v>10</v>
      </c>
      <c r="G11" s="33">
        <v>9</v>
      </c>
      <c r="H11" s="33">
        <v>9</v>
      </c>
      <c r="I11" s="33">
        <v>10</v>
      </c>
      <c r="J11" s="33">
        <v>10</v>
      </c>
      <c r="K11" s="33">
        <v>8</v>
      </c>
      <c r="L11" s="33">
        <v>10</v>
      </c>
      <c r="M11" s="33">
        <v>10</v>
      </c>
      <c r="N11" s="33">
        <v>7</v>
      </c>
      <c r="O11" s="33">
        <v>9</v>
      </c>
      <c r="P11" s="33">
        <v>8</v>
      </c>
      <c r="Q11" s="33">
        <v>8</v>
      </c>
      <c r="R11" s="33">
        <v>7</v>
      </c>
      <c r="S11" s="33">
        <v>9</v>
      </c>
      <c r="T11" s="33">
        <v>8</v>
      </c>
      <c r="U11" s="34">
        <f t="shared" ref="U11:U17" si="0">IF(COUNTIF(F11:T11,"=*")&gt;0,"-",IF(COUNTIF(F11:T11,"&lt;4")&gt;0,"-",(IFERROR(AVERAGE(F11:T11),""))))</f>
        <v>8.8000000000000007</v>
      </c>
      <c r="V11" s="34">
        <f t="shared" ref="V11:V17" si="1">U11/12*90</f>
        <v>66</v>
      </c>
      <c r="W11" s="39"/>
      <c r="X11" s="38"/>
    </row>
    <row r="12" spans="1:24" ht="15" customHeight="1" x14ac:dyDescent="0.25">
      <c r="A12" s="36"/>
      <c r="B12" s="39"/>
      <c r="C12" s="31" t="s">
        <v>13</v>
      </c>
      <c r="D12" s="31">
        <v>2</v>
      </c>
      <c r="E12" s="32" t="s">
        <v>40</v>
      </c>
      <c r="F12" s="33">
        <v>10</v>
      </c>
      <c r="G12" s="33">
        <v>10</v>
      </c>
      <c r="H12" s="33">
        <v>8</v>
      </c>
      <c r="I12" s="33">
        <v>10</v>
      </c>
      <c r="J12" s="33">
        <v>10</v>
      </c>
      <c r="K12" s="33">
        <v>9</v>
      </c>
      <c r="L12" s="33">
        <v>10</v>
      </c>
      <c r="M12" s="33">
        <v>9</v>
      </c>
      <c r="N12" s="33">
        <v>8</v>
      </c>
      <c r="O12" s="33">
        <v>5</v>
      </c>
      <c r="P12" s="33">
        <v>10</v>
      </c>
      <c r="Q12" s="33">
        <v>9</v>
      </c>
      <c r="R12" s="33">
        <v>6</v>
      </c>
      <c r="S12" s="33">
        <v>9</v>
      </c>
      <c r="T12" s="33">
        <v>8</v>
      </c>
      <c r="U12" s="34">
        <f t="shared" si="0"/>
        <v>8.7333333333333325</v>
      </c>
      <c r="V12" s="34">
        <f t="shared" si="1"/>
        <v>65.5</v>
      </c>
      <c r="W12" s="39"/>
      <c r="X12" s="38"/>
    </row>
    <row r="13" spans="1:24" ht="15" customHeight="1" x14ac:dyDescent="0.25">
      <c r="A13" s="36"/>
      <c r="B13" s="39"/>
      <c r="C13" s="31" t="s">
        <v>13</v>
      </c>
      <c r="D13" s="31">
        <v>3</v>
      </c>
      <c r="E13" s="32" t="s">
        <v>43</v>
      </c>
      <c r="F13" s="33">
        <v>9</v>
      </c>
      <c r="G13" s="33">
        <v>9</v>
      </c>
      <c r="H13" s="33">
        <v>10</v>
      </c>
      <c r="I13" s="33">
        <v>11</v>
      </c>
      <c r="J13" s="33">
        <v>10</v>
      </c>
      <c r="K13" s="33">
        <v>9</v>
      </c>
      <c r="L13" s="33">
        <v>10</v>
      </c>
      <c r="M13" s="33">
        <v>7</v>
      </c>
      <c r="N13" s="33">
        <v>7</v>
      </c>
      <c r="O13" s="33">
        <v>4</v>
      </c>
      <c r="P13" s="33">
        <v>8</v>
      </c>
      <c r="Q13" s="33">
        <v>7</v>
      </c>
      <c r="R13" s="33">
        <v>7</v>
      </c>
      <c r="S13" s="33">
        <v>10</v>
      </c>
      <c r="T13" s="33">
        <v>8</v>
      </c>
      <c r="U13" s="34">
        <f t="shared" si="0"/>
        <v>8.4</v>
      </c>
      <c r="V13" s="34">
        <f t="shared" si="1"/>
        <v>63.000000000000007</v>
      </c>
      <c r="W13" s="39"/>
      <c r="X13" s="38"/>
    </row>
    <row r="14" spans="1:24" ht="15" customHeight="1" x14ac:dyDescent="0.25">
      <c r="A14" s="36"/>
      <c r="B14" s="39"/>
      <c r="C14" s="31" t="s">
        <v>13</v>
      </c>
      <c r="D14" s="31">
        <v>4</v>
      </c>
      <c r="E14" s="32" t="s">
        <v>38</v>
      </c>
      <c r="F14" s="33">
        <v>9</v>
      </c>
      <c r="G14" s="33">
        <v>8</v>
      </c>
      <c r="H14" s="33">
        <v>8</v>
      </c>
      <c r="I14" s="33">
        <v>9</v>
      </c>
      <c r="J14" s="33">
        <v>10</v>
      </c>
      <c r="K14" s="33">
        <v>7</v>
      </c>
      <c r="L14" s="33">
        <v>9</v>
      </c>
      <c r="M14" s="33">
        <v>9</v>
      </c>
      <c r="N14" s="33">
        <v>7</v>
      </c>
      <c r="O14" s="33">
        <v>5</v>
      </c>
      <c r="P14" s="33">
        <v>9</v>
      </c>
      <c r="Q14" s="33">
        <v>8</v>
      </c>
      <c r="R14" s="33">
        <v>6</v>
      </c>
      <c r="S14" s="33">
        <v>8</v>
      </c>
      <c r="T14" s="33">
        <v>4</v>
      </c>
      <c r="U14" s="34">
        <f t="shared" si="0"/>
        <v>7.7333333333333334</v>
      </c>
      <c r="V14" s="34">
        <f t="shared" si="1"/>
        <v>58.000000000000007</v>
      </c>
      <c r="W14" s="39"/>
      <c r="X14" s="38"/>
    </row>
    <row r="15" spans="1:24" ht="15" customHeight="1" x14ac:dyDescent="0.25">
      <c r="A15" s="36"/>
      <c r="B15" s="39"/>
      <c r="C15" s="29" t="s">
        <v>13</v>
      </c>
      <c r="D15" s="29">
        <v>5</v>
      </c>
      <c r="E15" s="9" t="s">
        <v>34</v>
      </c>
      <c r="F15" s="10">
        <v>9</v>
      </c>
      <c r="G15" s="10">
        <v>6</v>
      </c>
      <c r="H15" s="10">
        <v>8</v>
      </c>
      <c r="I15" s="10">
        <v>8</v>
      </c>
      <c r="J15" s="10">
        <v>10</v>
      </c>
      <c r="K15" s="10">
        <v>8</v>
      </c>
      <c r="L15" s="10">
        <v>9</v>
      </c>
      <c r="M15" s="10">
        <v>10</v>
      </c>
      <c r="N15" s="10">
        <v>8</v>
      </c>
      <c r="O15" s="10">
        <v>8</v>
      </c>
      <c r="P15" s="10">
        <v>5</v>
      </c>
      <c r="Q15" s="10">
        <v>5</v>
      </c>
      <c r="R15" s="10">
        <v>4</v>
      </c>
      <c r="S15" s="10">
        <v>6</v>
      </c>
      <c r="T15" s="10">
        <v>5</v>
      </c>
      <c r="U15" s="30">
        <f t="shared" si="0"/>
        <v>7.2666666666666666</v>
      </c>
      <c r="V15" s="30">
        <f t="shared" si="1"/>
        <v>54.499999999999993</v>
      </c>
      <c r="W15" s="39"/>
      <c r="X15" s="38"/>
    </row>
    <row r="16" spans="1:24" ht="15" customHeight="1" x14ac:dyDescent="0.25">
      <c r="A16" s="36"/>
      <c r="B16" s="39"/>
      <c r="C16" s="29" t="s">
        <v>13</v>
      </c>
      <c r="D16" s="29">
        <v>6</v>
      </c>
      <c r="E16" s="9" t="s">
        <v>41</v>
      </c>
      <c r="F16" s="10">
        <v>8</v>
      </c>
      <c r="G16" s="10">
        <v>7</v>
      </c>
      <c r="H16" s="10">
        <v>9</v>
      </c>
      <c r="I16" s="10">
        <v>9</v>
      </c>
      <c r="J16" s="10">
        <v>10</v>
      </c>
      <c r="K16" s="10">
        <v>4</v>
      </c>
      <c r="L16" s="10">
        <v>10</v>
      </c>
      <c r="M16" s="10">
        <v>9</v>
      </c>
      <c r="N16" s="10">
        <v>7</v>
      </c>
      <c r="O16" s="10">
        <v>6</v>
      </c>
      <c r="P16" s="10">
        <v>6</v>
      </c>
      <c r="Q16" s="10">
        <v>5</v>
      </c>
      <c r="R16" s="10">
        <v>6</v>
      </c>
      <c r="S16" s="10">
        <v>7</v>
      </c>
      <c r="T16" s="10">
        <v>4</v>
      </c>
      <c r="U16" s="30">
        <f t="shared" si="0"/>
        <v>7.1333333333333337</v>
      </c>
      <c r="V16" s="30">
        <f t="shared" si="1"/>
        <v>53.5</v>
      </c>
      <c r="W16" s="39"/>
      <c r="X16" s="38"/>
    </row>
    <row r="17" spans="1:25" ht="15" customHeight="1" x14ac:dyDescent="0.25">
      <c r="A17" s="36"/>
      <c r="B17" s="39"/>
      <c r="C17" s="29" t="s">
        <v>13</v>
      </c>
      <c r="D17" s="29">
        <v>7</v>
      </c>
      <c r="E17" s="9" t="s">
        <v>42</v>
      </c>
      <c r="F17" s="10">
        <v>8</v>
      </c>
      <c r="G17" s="10">
        <v>8</v>
      </c>
      <c r="H17" s="10">
        <v>8</v>
      </c>
      <c r="I17" s="10">
        <v>8</v>
      </c>
      <c r="J17" s="10">
        <v>10</v>
      </c>
      <c r="K17" s="10">
        <v>8</v>
      </c>
      <c r="L17" s="10">
        <v>10</v>
      </c>
      <c r="M17" s="10">
        <v>5</v>
      </c>
      <c r="N17" s="10">
        <v>6</v>
      </c>
      <c r="O17" s="10">
        <v>4</v>
      </c>
      <c r="P17" s="10">
        <v>4</v>
      </c>
      <c r="Q17" s="10">
        <v>4</v>
      </c>
      <c r="R17" s="10">
        <v>4</v>
      </c>
      <c r="S17" s="10">
        <v>9</v>
      </c>
      <c r="T17" s="10">
        <v>10</v>
      </c>
      <c r="U17" s="30">
        <f t="shared" si="0"/>
        <v>7.0666666666666664</v>
      </c>
      <c r="V17" s="30">
        <f t="shared" si="1"/>
        <v>53</v>
      </c>
      <c r="W17" s="39"/>
      <c r="X17" s="38"/>
    </row>
    <row r="18" spans="1:25" ht="15" customHeight="1" x14ac:dyDescent="0.25">
      <c r="A18" s="36"/>
      <c r="B18" s="39"/>
      <c r="C18" s="11"/>
      <c r="D18" s="11"/>
      <c r="E18" s="9" t="s">
        <v>19</v>
      </c>
      <c r="F18" s="28">
        <f>'Зведена 101'!F28</f>
        <v>10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7"/>
      <c r="V18" s="27"/>
      <c r="W18" s="39"/>
      <c r="X18" s="38"/>
      <c r="Y18" s="14"/>
    </row>
    <row r="19" spans="1:25" ht="15" customHeight="1" x14ac:dyDescent="0.25">
      <c r="A19" s="36"/>
      <c r="B19" s="39"/>
      <c r="C19" s="11"/>
      <c r="D19" s="11"/>
      <c r="E19" s="9" t="s">
        <v>20</v>
      </c>
      <c r="F19" s="28">
        <f>'Зведена 101'!F29</f>
        <v>2</v>
      </c>
      <c r="G19" s="11"/>
      <c r="H19" s="11"/>
      <c r="I19" s="17" t="s">
        <v>21</v>
      </c>
      <c r="J19" s="11"/>
      <c r="K19" s="11"/>
      <c r="L19" s="11"/>
      <c r="M19" s="11"/>
      <c r="N19" s="11"/>
      <c r="O19" s="11"/>
      <c r="P19" s="1" t="s">
        <v>46</v>
      </c>
      <c r="Q19" s="11"/>
      <c r="R19" s="11"/>
      <c r="S19" s="11"/>
      <c r="T19" s="11"/>
      <c r="U19" s="11"/>
      <c r="V19" s="11"/>
      <c r="W19" s="39"/>
      <c r="X19" s="38"/>
    </row>
    <row r="20" spans="1:25" ht="15" customHeight="1" x14ac:dyDescent="0.25">
      <c r="A20" s="36"/>
      <c r="B20" s="39"/>
      <c r="C20" s="11"/>
      <c r="D20" s="11"/>
      <c r="E20" s="9" t="s">
        <v>22</v>
      </c>
      <c r="F20" s="28">
        <f>'Зведена 101'!F30</f>
        <v>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39"/>
      <c r="X20" s="38"/>
    </row>
    <row r="21" spans="1:25" ht="15" customHeight="1" x14ac:dyDescent="0.25">
      <c r="A21" s="36"/>
      <c r="B21" s="39"/>
      <c r="C21" s="11"/>
      <c r="D21" s="11"/>
      <c r="E21" s="9" t="s">
        <v>23</v>
      </c>
      <c r="F21" s="28">
        <f>'Зведена 101'!F31</f>
        <v>4</v>
      </c>
      <c r="G21" s="11"/>
      <c r="H21" s="11"/>
      <c r="I21" s="17" t="s">
        <v>24</v>
      </c>
      <c r="J21" s="11"/>
      <c r="K21" s="11"/>
      <c r="L21" s="11"/>
      <c r="M21" s="11"/>
      <c r="N21" s="11"/>
      <c r="O21" s="11"/>
      <c r="P21" s="17" t="s">
        <v>25</v>
      </c>
      <c r="Q21" s="11"/>
      <c r="R21" s="11"/>
      <c r="S21" s="11"/>
      <c r="T21" s="11"/>
      <c r="U21" s="11"/>
      <c r="V21" s="11"/>
      <c r="W21" s="39"/>
      <c r="X21" s="38"/>
    </row>
    <row r="22" spans="1:25" ht="12" customHeight="1" thickBo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25" ht="12" customHeight="1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</sheetData>
  <sheetProtection selectLockedCells="1"/>
  <sortState ref="C11:V17">
    <sortCondition descending="1" ref="U11:U17"/>
  </sortState>
  <mergeCells count="18">
    <mergeCell ref="B1:W1"/>
    <mergeCell ref="A2:A22"/>
    <mergeCell ref="B2:W2"/>
    <mergeCell ref="X2:X22"/>
    <mergeCell ref="B3:B21"/>
    <mergeCell ref="C3:V3"/>
    <mergeCell ref="W3:W21"/>
    <mergeCell ref="C4:V4"/>
    <mergeCell ref="C5:V5"/>
    <mergeCell ref="C6:V6"/>
    <mergeCell ref="B22:W22"/>
    <mergeCell ref="B23:W23"/>
    <mergeCell ref="C7:V7"/>
    <mergeCell ref="C8:V8"/>
    <mergeCell ref="C9:C10"/>
    <mergeCell ref="D9:D10"/>
    <mergeCell ref="E9:E10"/>
    <mergeCell ref="F9:V9"/>
  </mergeCells>
  <conditionalFormatting sqref="C11:T11 F12:T17 D12:D17">
    <cfRule type="expression" dxfId="46" priority="5">
      <formula>$W$11&lt;&gt;""</formula>
    </cfRule>
  </conditionalFormatting>
  <conditionalFormatting sqref="C12 E12">
    <cfRule type="expression" dxfId="45" priority="7">
      <formula>$W$12&lt;&gt;""</formula>
    </cfRule>
  </conditionalFormatting>
  <conditionalFormatting sqref="E13">
    <cfRule type="expression" dxfId="44" priority="8">
      <formula>$W$13&lt;&gt;""</formula>
    </cfRule>
  </conditionalFormatting>
  <conditionalFormatting sqref="C13">
    <cfRule type="expression" dxfId="43" priority="9">
      <formula>$W$13&lt;&gt;""</formula>
    </cfRule>
  </conditionalFormatting>
  <conditionalFormatting sqref="E14">
    <cfRule type="expression" dxfId="42" priority="10">
      <formula>$W$14&lt;&gt;""</formula>
    </cfRule>
  </conditionalFormatting>
  <conditionalFormatting sqref="C14">
    <cfRule type="expression" dxfId="41" priority="11">
      <formula>$W$14&lt;&gt;""</formula>
    </cfRule>
  </conditionalFormatting>
  <conditionalFormatting sqref="C15 E15">
    <cfRule type="expression" dxfId="40" priority="12">
      <formula>$W$15&lt;&gt;""</formula>
    </cfRule>
  </conditionalFormatting>
  <conditionalFormatting sqref="C16 E16">
    <cfRule type="expression" dxfId="39" priority="13">
      <formula>$W$16&lt;&gt;""</formula>
    </cfRule>
  </conditionalFormatting>
  <conditionalFormatting sqref="C17 E17">
    <cfRule type="expression" dxfId="38" priority="2">
      <formula>#REF!&lt;&gt;""</formula>
    </cfRule>
  </conditionalFormatting>
  <conditionalFormatting sqref="V11:V17">
    <cfRule type="expression" dxfId="37" priority="41">
      <formula>$W$17&lt;&gt;""</formula>
    </cfRule>
  </conditionalFormatting>
  <conditionalFormatting sqref="U11:U17">
    <cfRule type="expression" dxfId="36" priority="1">
      <formula>$W$17&lt;&gt;""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1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3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8"/>
    </row>
    <row r="4" spans="1:23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8"/>
    </row>
    <row r="5" spans="1:23" s="6" customFormat="1" ht="15" customHeight="1" x14ac:dyDescent="0.25">
      <c r="A5" s="36"/>
      <c r="B5" s="39"/>
      <c r="C5" s="41" t="s">
        <v>26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9"/>
      <c r="W5" s="38"/>
    </row>
    <row r="6" spans="1:23" s="5" customFormat="1" ht="15" customHeight="1" x14ac:dyDescent="0.25">
      <c r="A6" s="36"/>
      <c r="B6" s="39"/>
      <c r="C6" s="42" t="s">
        <v>57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39"/>
      <c r="W6" s="38"/>
    </row>
    <row r="7" spans="1:23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9"/>
      <c r="W7" s="38"/>
    </row>
    <row r="8" spans="1:23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8"/>
    </row>
    <row r="9" spans="1:23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39"/>
      <c r="W9" s="38"/>
    </row>
    <row r="10" spans="1:23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39"/>
      <c r="W10" s="38"/>
    </row>
    <row r="11" spans="1:23" ht="15" customHeight="1" x14ac:dyDescent="0.25">
      <c r="A11" s="36"/>
      <c r="B11" s="39"/>
      <c r="C11" s="20" t="s">
        <v>13</v>
      </c>
      <c r="D11" s="20">
        <v>1</v>
      </c>
      <c r="E11" s="9" t="s">
        <v>47</v>
      </c>
      <c r="F11" s="10">
        <v>9</v>
      </c>
      <c r="G11" s="10">
        <v>10</v>
      </c>
      <c r="H11" s="10">
        <v>10</v>
      </c>
      <c r="I11" s="10">
        <v>9</v>
      </c>
      <c r="J11" s="10">
        <v>9</v>
      </c>
      <c r="K11" s="10" t="s">
        <v>73</v>
      </c>
      <c r="L11" s="10">
        <v>10</v>
      </c>
      <c r="M11" s="10">
        <v>7</v>
      </c>
      <c r="N11" s="10">
        <v>7</v>
      </c>
      <c r="O11" s="10">
        <v>4</v>
      </c>
      <c r="P11" s="10">
        <v>6</v>
      </c>
      <c r="Q11" s="10">
        <v>7</v>
      </c>
      <c r="R11" s="10" t="s">
        <v>73</v>
      </c>
      <c r="S11" s="10">
        <v>5</v>
      </c>
      <c r="T11" s="10">
        <v>8</v>
      </c>
      <c r="U11" s="2" t="str">
        <f t="shared" ref="U11:U20" si="0">IF(COUNTIF(F11:T11,"=*")&gt;0,"-",IF(COUNTIF(F11:T11,"&lt;4")&gt;0,"-",(IFERROR(AVERAGE(F11:T11),""))))</f>
        <v>-</v>
      </c>
      <c r="V11" s="39"/>
      <c r="W11" s="38"/>
    </row>
    <row r="12" spans="1:23" ht="15" customHeight="1" x14ac:dyDescent="0.25">
      <c r="A12" s="36"/>
      <c r="B12" s="39"/>
      <c r="C12" s="20" t="s">
        <v>13</v>
      </c>
      <c r="D12" s="20">
        <v>2</v>
      </c>
      <c r="E12" s="9" t="s">
        <v>48</v>
      </c>
      <c r="F12" s="10">
        <v>8</v>
      </c>
      <c r="G12" s="10">
        <v>10</v>
      </c>
      <c r="H12" s="10">
        <v>10</v>
      </c>
      <c r="I12" s="10">
        <v>10</v>
      </c>
      <c r="J12" s="10">
        <v>10</v>
      </c>
      <c r="K12" s="10">
        <v>8</v>
      </c>
      <c r="L12" s="10">
        <v>10</v>
      </c>
      <c r="M12" s="10">
        <v>10</v>
      </c>
      <c r="N12" s="10">
        <v>9</v>
      </c>
      <c r="O12" s="10">
        <v>6</v>
      </c>
      <c r="P12" s="10">
        <v>9</v>
      </c>
      <c r="Q12" s="10">
        <v>8</v>
      </c>
      <c r="R12" s="10">
        <v>7</v>
      </c>
      <c r="S12" s="10">
        <v>5</v>
      </c>
      <c r="T12" s="10">
        <v>4</v>
      </c>
      <c r="U12" s="2">
        <f t="shared" si="0"/>
        <v>8.2666666666666675</v>
      </c>
      <c r="V12" s="39"/>
      <c r="W12" s="38"/>
    </row>
    <row r="13" spans="1:23" ht="15" customHeight="1" x14ac:dyDescent="0.25">
      <c r="A13" s="36"/>
      <c r="B13" s="39"/>
      <c r="C13" s="20" t="s">
        <v>13</v>
      </c>
      <c r="D13" s="20">
        <v>3</v>
      </c>
      <c r="E13" s="9" t="s">
        <v>49</v>
      </c>
      <c r="F13" s="10">
        <v>9</v>
      </c>
      <c r="G13" s="10">
        <v>10</v>
      </c>
      <c r="H13" s="10">
        <v>10</v>
      </c>
      <c r="I13" s="10">
        <v>9</v>
      </c>
      <c r="J13" s="10">
        <v>10</v>
      </c>
      <c r="K13" s="10">
        <v>10</v>
      </c>
      <c r="L13" s="10">
        <v>10</v>
      </c>
      <c r="M13" s="10">
        <v>10</v>
      </c>
      <c r="N13" s="10">
        <v>8</v>
      </c>
      <c r="O13" s="10">
        <v>7</v>
      </c>
      <c r="P13" s="10">
        <v>11</v>
      </c>
      <c r="Q13" s="10">
        <v>10</v>
      </c>
      <c r="R13" s="10">
        <v>8</v>
      </c>
      <c r="S13" s="10">
        <v>8</v>
      </c>
      <c r="T13" s="10">
        <v>10</v>
      </c>
      <c r="U13" s="2">
        <f t="shared" si="0"/>
        <v>9.3333333333333339</v>
      </c>
      <c r="V13" s="39"/>
      <c r="W13" s="38"/>
    </row>
    <row r="14" spans="1:23" ht="15" customHeight="1" x14ac:dyDescent="0.25">
      <c r="A14" s="36"/>
      <c r="B14" s="39"/>
      <c r="C14" s="20" t="s">
        <v>13</v>
      </c>
      <c r="D14" s="20">
        <v>4</v>
      </c>
      <c r="E14" s="9" t="s">
        <v>50</v>
      </c>
      <c r="F14" s="10">
        <v>8</v>
      </c>
      <c r="G14" s="10">
        <v>6</v>
      </c>
      <c r="H14" s="10">
        <v>6</v>
      </c>
      <c r="I14" s="10">
        <v>8</v>
      </c>
      <c r="J14" s="10">
        <v>7</v>
      </c>
      <c r="K14" s="10" t="s">
        <v>73</v>
      </c>
      <c r="L14" s="10">
        <v>6</v>
      </c>
      <c r="M14" s="10">
        <v>4</v>
      </c>
      <c r="N14" s="10" t="s">
        <v>73</v>
      </c>
      <c r="O14" s="10">
        <v>4</v>
      </c>
      <c r="P14" s="10">
        <v>4</v>
      </c>
      <c r="Q14" s="10">
        <v>4</v>
      </c>
      <c r="R14" s="10">
        <v>4</v>
      </c>
      <c r="S14" s="10">
        <v>5</v>
      </c>
      <c r="T14" s="10">
        <v>8</v>
      </c>
      <c r="U14" s="2" t="str">
        <f t="shared" si="0"/>
        <v>-</v>
      </c>
      <c r="V14" s="39"/>
      <c r="W14" s="38"/>
    </row>
    <row r="15" spans="1:23" ht="15" customHeight="1" x14ac:dyDescent="0.25">
      <c r="A15" s="36"/>
      <c r="B15" s="39"/>
      <c r="C15" s="20" t="s">
        <v>13</v>
      </c>
      <c r="D15" s="20">
        <v>5</v>
      </c>
      <c r="E15" s="9" t="s">
        <v>51</v>
      </c>
      <c r="F15" s="10">
        <v>9</v>
      </c>
      <c r="G15" s="10">
        <v>6</v>
      </c>
      <c r="H15" s="10">
        <v>7</v>
      </c>
      <c r="I15" s="10">
        <v>8</v>
      </c>
      <c r="J15" s="10">
        <v>9</v>
      </c>
      <c r="K15" s="10">
        <v>6</v>
      </c>
      <c r="L15" s="10">
        <v>9</v>
      </c>
      <c r="M15" s="10">
        <v>7</v>
      </c>
      <c r="N15" s="10">
        <v>6</v>
      </c>
      <c r="O15" s="10">
        <v>6</v>
      </c>
      <c r="P15" s="10">
        <v>8</v>
      </c>
      <c r="Q15" s="10">
        <v>6</v>
      </c>
      <c r="R15" s="10">
        <v>5</v>
      </c>
      <c r="S15" s="10">
        <v>9</v>
      </c>
      <c r="T15" s="10">
        <v>5</v>
      </c>
      <c r="U15" s="2">
        <f t="shared" si="0"/>
        <v>7.0666666666666664</v>
      </c>
      <c r="V15" s="39"/>
      <c r="W15" s="38"/>
    </row>
    <row r="16" spans="1:23" ht="15" customHeight="1" x14ac:dyDescent="0.25">
      <c r="A16" s="36"/>
      <c r="B16" s="39"/>
      <c r="C16" s="20" t="s">
        <v>13</v>
      </c>
      <c r="D16" s="20">
        <v>6</v>
      </c>
      <c r="E16" s="9" t="s">
        <v>52</v>
      </c>
      <c r="F16" s="10">
        <v>10</v>
      </c>
      <c r="G16" s="10">
        <v>10</v>
      </c>
      <c r="H16" s="10">
        <v>8</v>
      </c>
      <c r="I16" s="10">
        <v>10</v>
      </c>
      <c r="J16" s="10">
        <v>10</v>
      </c>
      <c r="K16" s="10">
        <v>8</v>
      </c>
      <c r="L16" s="10">
        <v>10</v>
      </c>
      <c r="M16" s="10">
        <v>11</v>
      </c>
      <c r="N16" s="10">
        <v>8</v>
      </c>
      <c r="O16" s="10">
        <v>8</v>
      </c>
      <c r="P16" s="10">
        <v>7</v>
      </c>
      <c r="Q16" s="10">
        <v>8</v>
      </c>
      <c r="R16" s="10">
        <v>8</v>
      </c>
      <c r="S16" s="10">
        <v>11</v>
      </c>
      <c r="T16" s="10">
        <v>8</v>
      </c>
      <c r="U16" s="2">
        <f t="shared" si="0"/>
        <v>9</v>
      </c>
      <c r="V16" s="39"/>
      <c r="W16" s="38"/>
    </row>
    <row r="17" spans="1:24" ht="15" customHeight="1" x14ac:dyDescent="0.25">
      <c r="A17" s="36"/>
      <c r="B17" s="39"/>
      <c r="C17" s="20" t="s">
        <v>13</v>
      </c>
      <c r="D17" s="20">
        <v>7</v>
      </c>
      <c r="E17" s="9" t="s">
        <v>53</v>
      </c>
      <c r="F17" s="10">
        <v>8</v>
      </c>
      <c r="G17" s="10">
        <v>7</v>
      </c>
      <c r="H17" s="10">
        <v>6</v>
      </c>
      <c r="I17" s="10">
        <v>8</v>
      </c>
      <c r="J17" s="10">
        <v>9</v>
      </c>
      <c r="K17" s="10" t="s">
        <v>73</v>
      </c>
      <c r="L17" s="10">
        <v>8</v>
      </c>
      <c r="M17" s="10">
        <v>4</v>
      </c>
      <c r="N17" s="10">
        <v>7</v>
      </c>
      <c r="O17" s="10">
        <v>4</v>
      </c>
      <c r="P17" s="10">
        <v>8</v>
      </c>
      <c r="Q17" s="10">
        <v>6</v>
      </c>
      <c r="R17" s="10">
        <v>4</v>
      </c>
      <c r="S17" s="10">
        <v>9</v>
      </c>
      <c r="T17" s="10">
        <v>7</v>
      </c>
      <c r="U17" s="2" t="str">
        <f t="shared" si="0"/>
        <v>-</v>
      </c>
      <c r="V17" s="39"/>
      <c r="W17" s="38"/>
    </row>
    <row r="18" spans="1:24" ht="15" customHeight="1" x14ac:dyDescent="0.25">
      <c r="A18" s="36"/>
      <c r="B18" s="39"/>
      <c r="C18" s="20" t="s">
        <v>13</v>
      </c>
      <c r="D18" s="20">
        <v>8</v>
      </c>
      <c r="E18" s="9" t="s">
        <v>54</v>
      </c>
      <c r="F18" s="10">
        <v>10</v>
      </c>
      <c r="G18" s="10">
        <v>10</v>
      </c>
      <c r="H18" s="10">
        <v>8</v>
      </c>
      <c r="I18" s="10">
        <v>10</v>
      </c>
      <c r="J18" s="10">
        <v>10</v>
      </c>
      <c r="K18" s="10">
        <v>8</v>
      </c>
      <c r="L18" s="10">
        <v>10</v>
      </c>
      <c r="M18" s="10">
        <v>11</v>
      </c>
      <c r="N18" s="10">
        <v>9</v>
      </c>
      <c r="O18" s="10">
        <v>8</v>
      </c>
      <c r="P18" s="10">
        <v>9</v>
      </c>
      <c r="Q18" s="10">
        <v>9</v>
      </c>
      <c r="R18" s="10">
        <v>8</v>
      </c>
      <c r="S18" s="10">
        <v>9</v>
      </c>
      <c r="T18" s="10">
        <v>8</v>
      </c>
      <c r="U18" s="2">
        <f t="shared" si="0"/>
        <v>9.1333333333333329</v>
      </c>
      <c r="V18" s="39"/>
      <c r="W18" s="38"/>
    </row>
    <row r="19" spans="1:24" ht="15" customHeight="1" x14ac:dyDescent="0.25">
      <c r="A19" s="36"/>
      <c r="B19" s="39"/>
      <c r="C19" s="20" t="s">
        <v>13</v>
      </c>
      <c r="D19" s="20">
        <v>9</v>
      </c>
      <c r="E19" s="9" t="s">
        <v>55</v>
      </c>
      <c r="F19" s="10">
        <v>9</v>
      </c>
      <c r="G19" s="10">
        <v>10</v>
      </c>
      <c r="H19" s="10">
        <v>8</v>
      </c>
      <c r="I19" s="10">
        <v>10</v>
      </c>
      <c r="J19" s="10">
        <v>10</v>
      </c>
      <c r="K19" s="10">
        <v>8</v>
      </c>
      <c r="L19" s="10">
        <v>10</v>
      </c>
      <c r="M19" s="10">
        <v>10</v>
      </c>
      <c r="N19" s="10">
        <v>6</v>
      </c>
      <c r="O19" s="10">
        <v>8</v>
      </c>
      <c r="P19" s="10">
        <v>7</v>
      </c>
      <c r="Q19" s="10">
        <v>7</v>
      </c>
      <c r="R19" s="10">
        <v>7</v>
      </c>
      <c r="S19" s="10">
        <v>11</v>
      </c>
      <c r="T19" s="10">
        <v>9</v>
      </c>
      <c r="U19" s="2">
        <f t="shared" si="0"/>
        <v>8.6666666666666661</v>
      </c>
      <c r="V19" s="39"/>
      <c r="W19" s="38"/>
    </row>
    <row r="20" spans="1:24" ht="15" customHeight="1" x14ac:dyDescent="0.25">
      <c r="A20" s="36"/>
      <c r="B20" s="39"/>
      <c r="C20" s="20" t="s">
        <v>13</v>
      </c>
      <c r="D20" s="20">
        <v>10</v>
      </c>
      <c r="E20" s="9" t="s">
        <v>56</v>
      </c>
      <c r="F20" s="10">
        <v>9</v>
      </c>
      <c r="G20" s="10">
        <v>10</v>
      </c>
      <c r="H20" s="10">
        <v>9</v>
      </c>
      <c r="I20" s="10">
        <v>10</v>
      </c>
      <c r="J20" s="10">
        <v>10</v>
      </c>
      <c r="K20" s="10">
        <v>8</v>
      </c>
      <c r="L20" s="10">
        <v>10</v>
      </c>
      <c r="M20" s="10">
        <v>6</v>
      </c>
      <c r="N20" s="10">
        <v>8</v>
      </c>
      <c r="O20" s="10">
        <v>4</v>
      </c>
      <c r="P20" s="10">
        <v>8</v>
      </c>
      <c r="Q20" s="10">
        <v>7</v>
      </c>
      <c r="R20" s="10">
        <v>5</v>
      </c>
      <c r="S20" s="10">
        <v>9</v>
      </c>
      <c r="T20" s="10">
        <v>6</v>
      </c>
      <c r="U20" s="2">
        <f t="shared" si="0"/>
        <v>7.9333333333333336</v>
      </c>
      <c r="V20" s="39"/>
      <c r="W20" s="38"/>
    </row>
    <row r="21" spans="1:24" ht="15" customHeight="1" x14ac:dyDescent="0.25">
      <c r="A21" s="36"/>
      <c r="B21" s="39"/>
      <c r="C21" s="11"/>
      <c r="D21" s="11"/>
      <c r="E21" s="9" t="s">
        <v>14</v>
      </c>
      <c r="F21" s="3">
        <f t="shared" ref="F21:T21" si="1">IF(SUM(F11:F20)=0,"",SUM(F11:F20)/$D20)</f>
        <v>8.9</v>
      </c>
      <c r="G21" s="3">
        <f t="shared" si="1"/>
        <v>8.9</v>
      </c>
      <c r="H21" s="3">
        <f t="shared" si="1"/>
        <v>8.1999999999999993</v>
      </c>
      <c r="I21" s="3">
        <f t="shared" si="1"/>
        <v>9.1999999999999993</v>
      </c>
      <c r="J21" s="3">
        <f t="shared" si="1"/>
        <v>9.4</v>
      </c>
      <c r="K21" s="3">
        <f t="shared" si="1"/>
        <v>5.6</v>
      </c>
      <c r="L21" s="3">
        <f t="shared" si="1"/>
        <v>9.3000000000000007</v>
      </c>
      <c r="M21" s="3">
        <f t="shared" si="1"/>
        <v>8</v>
      </c>
      <c r="N21" s="3">
        <f t="shared" si="1"/>
        <v>6.8</v>
      </c>
      <c r="O21" s="3">
        <f t="shared" si="1"/>
        <v>5.9</v>
      </c>
      <c r="P21" s="3">
        <f t="shared" si="1"/>
        <v>7.7</v>
      </c>
      <c r="Q21" s="3">
        <f t="shared" si="1"/>
        <v>7.2</v>
      </c>
      <c r="R21" s="3">
        <f t="shared" si="1"/>
        <v>5.6</v>
      </c>
      <c r="S21" s="3">
        <f t="shared" si="1"/>
        <v>8.1</v>
      </c>
      <c r="T21" s="3">
        <f t="shared" si="1"/>
        <v>7.3</v>
      </c>
      <c r="U21" s="2">
        <f>IFERROR(AVERAGE(F21:T21),"")</f>
        <v>7.7399999999999993</v>
      </c>
      <c r="V21" s="39"/>
      <c r="W21" s="38"/>
    </row>
    <row r="22" spans="1:24" ht="15" customHeight="1" x14ac:dyDescent="0.25">
      <c r="A22" s="36"/>
      <c r="B22" s="39"/>
      <c r="C22" s="11"/>
      <c r="D22" s="11"/>
      <c r="E22" s="9" t="s">
        <v>15</v>
      </c>
      <c r="F22" s="12">
        <f t="shared" ref="F22:T22" si="2">IF(SUM(F11:F20)=0,"",IF(COUNTIF(F11:F20,"&gt;=4")=0,0,COUNTIF(F11:F20,"&gt;=4")/$D20*100))</f>
        <v>100</v>
      </c>
      <c r="G22" s="12">
        <f t="shared" si="2"/>
        <v>100</v>
      </c>
      <c r="H22" s="12">
        <f t="shared" si="2"/>
        <v>100</v>
      </c>
      <c r="I22" s="12">
        <f t="shared" si="2"/>
        <v>100</v>
      </c>
      <c r="J22" s="12">
        <f t="shared" si="2"/>
        <v>100</v>
      </c>
      <c r="K22" s="12">
        <f t="shared" si="2"/>
        <v>70</v>
      </c>
      <c r="L22" s="12">
        <f t="shared" si="2"/>
        <v>100</v>
      </c>
      <c r="M22" s="12">
        <f t="shared" si="2"/>
        <v>100</v>
      </c>
      <c r="N22" s="12">
        <f t="shared" si="2"/>
        <v>90</v>
      </c>
      <c r="O22" s="12">
        <f t="shared" si="2"/>
        <v>100</v>
      </c>
      <c r="P22" s="12">
        <f t="shared" si="2"/>
        <v>100</v>
      </c>
      <c r="Q22" s="12">
        <f t="shared" si="2"/>
        <v>100</v>
      </c>
      <c r="R22" s="12">
        <f t="shared" si="2"/>
        <v>90</v>
      </c>
      <c r="S22" s="12">
        <f t="shared" si="2"/>
        <v>100</v>
      </c>
      <c r="T22" s="12">
        <f t="shared" si="2"/>
        <v>100</v>
      </c>
      <c r="U22" s="13"/>
      <c r="V22" s="39"/>
      <c r="W22" s="38"/>
      <c r="X22" s="14"/>
    </row>
    <row r="23" spans="1:24" ht="15" customHeight="1" x14ac:dyDescent="0.25">
      <c r="A23" s="36"/>
      <c r="B23" s="39"/>
      <c r="C23" s="11"/>
      <c r="D23" s="11"/>
      <c r="E23" s="9" t="s">
        <v>16</v>
      </c>
      <c r="F23" s="12">
        <f t="shared" ref="F23:T23" si="3">IF(SUM(F11:F20)=0,"",IF(COUNTIF(F11:F20,"&gt;=7")=0,0,COUNTIF(F11:F20,"&gt;=7")/$D20*100))</f>
        <v>100</v>
      </c>
      <c r="G23" s="12">
        <f t="shared" si="3"/>
        <v>80</v>
      </c>
      <c r="H23" s="12">
        <f t="shared" si="3"/>
        <v>80</v>
      </c>
      <c r="I23" s="12">
        <f t="shared" si="3"/>
        <v>100</v>
      </c>
      <c r="J23" s="12">
        <f t="shared" si="3"/>
        <v>100</v>
      </c>
      <c r="K23" s="12">
        <f t="shared" si="3"/>
        <v>60</v>
      </c>
      <c r="L23" s="12">
        <f t="shared" si="3"/>
        <v>90</v>
      </c>
      <c r="M23" s="12">
        <f t="shared" si="3"/>
        <v>70</v>
      </c>
      <c r="N23" s="12">
        <f t="shared" si="3"/>
        <v>70</v>
      </c>
      <c r="O23" s="12">
        <f t="shared" si="3"/>
        <v>40</v>
      </c>
      <c r="P23" s="12">
        <f t="shared" si="3"/>
        <v>80</v>
      </c>
      <c r="Q23" s="12">
        <f t="shared" si="3"/>
        <v>70</v>
      </c>
      <c r="R23" s="12">
        <f t="shared" si="3"/>
        <v>50</v>
      </c>
      <c r="S23" s="12">
        <f t="shared" si="3"/>
        <v>70</v>
      </c>
      <c r="T23" s="12">
        <f t="shared" si="3"/>
        <v>70</v>
      </c>
      <c r="U23" s="21"/>
      <c r="V23" s="39"/>
      <c r="W23" s="38"/>
      <c r="X23" s="14"/>
    </row>
    <row r="24" spans="1:24" ht="15" customHeight="1" x14ac:dyDescent="0.25">
      <c r="A24" s="36"/>
      <c r="B24" s="39"/>
      <c r="C24" s="11"/>
      <c r="D24" s="11"/>
      <c r="E24" s="9" t="s">
        <v>17</v>
      </c>
      <c r="F24" s="3">
        <f>IFERROR(AVERAGE(F22:T22),"")</f>
        <v>96.666666666666671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21"/>
      <c r="V24" s="39"/>
      <c r="W24" s="38"/>
      <c r="X24" s="14"/>
    </row>
    <row r="25" spans="1:24" ht="15" customHeight="1" x14ac:dyDescent="0.25">
      <c r="A25" s="36"/>
      <c r="B25" s="39"/>
      <c r="C25" s="11"/>
      <c r="D25" s="11"/>
      <c r="E25" s="9" t="s">
        <v>18</v>
      </c>
      <c r="F25" s="3">
        <f>IFERROR(AVERAGE(F23:T23),"")</f>
        <v>75.333333333333329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21"/>
      <c r="V25" s="39"/>
      <c r="W25" s="38"/>
      <c r="X25" s="14"/>
    </row>
    <row r="26" spans="1:24" ht="15" customHeight="1" x14ac:dyDescent="0.25">
      <c r="A26" s="36"/>
      <c r="B26" s="39"/>
      <c r="C26" s="11"/>
      <c r="D26" s="11"/>
      <c r="E26" s="9" t="s">
        <v>19</v>
      </c>
      <c r="F26" s="19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1"/>
      <c r="V26" s="39"/>
      <c r="W26" s="38"/>
      <c r="X26" s="14"/>
    </row>
    <row r="27" spans="1:24" ht="15" customHeight="1" x14ac:dyDescent="0.25">
      <c r="A27" s="36"/>
      <c r="B27" s="39"/>
      <c r="C27" s="11"/>
      <c r="D27" s="11"/>
      <c r="E27" s="9" t="s">
        <v>20</v>
      </c>
      <c r="F27" s="19">
        <f>IF(COUNTIF(C11:C20,"=К")=0,IF(COUNTIF(C11:C20,"=Б")=0,"",0),COUNTIF(C11:C20,"=К"))</f>
        <v>0</v>
      </c>
      <c r="G27" s="11"/>
      <c r="H27" s="11"/>
      <c r="I27" s="17" t="s">
        <v>21</v>
      </c>
      <c r="J27" s="11"/>
      <c r="K27" s="11"/>
      <c r="L27" s="11"/>
      <c r="M27" s="11"/>
      <c r="N27" s="11"/>
      <c r="O27" s="11"/>
      <c r="P27" s="1" t="s">
        <v>46</v>
      </c>
      <c r="Q27" s="11"/>
      <c r="R27" s="11"/>
      <c r="S27" s="11"/>
      <c r="T27" s="11"/>
      <c r="U27" s="11"/>
      <c r="V27" s="39"/>
      <c r="W27" s="38"/>
    </row>
    <row r="28" spans="1:24" ht="15" customHeight="1" x14ac:dyDescent="0.25">
      <c r="A28" s="36"/>
      <c r="B28" s="39"/>
      <c r="C28" s="11"/>
      <c r="D28" s="11"/>
      <c r="E28" s="9" t="s">
        <v>22</v>
      </c>
      <c r="F28" s="19">
        <v>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39"/>
      <c r="W28" s="38"/>
    </row>
    <row r="29" spans="1:24" ht="15" customHeight="1" x14ac:dyDescent="0.25">
      <c r="A29" s="36"/>
      <c r="B29" s="39"/>
      <c r="C29" s="11"/>
      <c r="D29" s="11"/>
      <c r="E29" s="9" t="s">
        <v>23</v>
      </c>
      <c r="F29" s="19">
        <v>4</v>
      </c>
      <c r="G29" s="11"/>
      <c r="H29" s="11"/>
      <c r="I29" s="17" t="s">
        <v>24</v>
      </c>
      <c r="J29" s="11"/>
      <c r="K29" s="11"/>
      <c r="L29" s="11"/>
      <c r="M29" s="11"/>
      <c r="N29" s="11"/>
      <c r="O29" s="11"/>
      <c r="P29" s="17" t="s">
        <v>25</v>
      </c>
      <c r="Q29" s="11"/>
      <c r="R29" s="11"/>
      <c r="S29" s="11"/>
      <c r="T29" s="11"/>
      <c r="U29" s="11"/>
      <c r="V29" s="39"/>
      <c r="W29" s="38"/>
    </row>
    <row r="30" spans="1:24" ht="12" customHeight="1" thickBot="1" x14ac:dyDescent="0.3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/>
    </row>
    <row r="31" spans="1:24" ht="12" customHeight="1" x14ac:dyDescent="0.25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</sheetData>
  <sheetProtection selectLockedCells="1"/>
  <sortState ref="E11:E20">
    <sortCondition ref="E11"/>
  </sortState>
  <mergeCells count="18">
    <mergeCell ref="B31:V31"/>
    <mergeCell ref="C7:U7"/>
    <mergeCell ref="C8:U8"/>
    <mergeCell ref="C9:C10"/>
    <mergeCell ref="D9:D10"/>
    <mergeCell ref="E9:E10"/>
    <mergeCell ref="F9:U9"/>
    <mergeCell ref="B1:V1"/>
    <mergeCell ref="A2:A30"/>
    <mergeCell ref="B2:V2"/>
    <mergeCell ref="W2:W30"/>
    <mergeCell ref="B3:B29"/>
    <mergeCell ref="C3:U3"/>
    <mergeCell ref="V3:V29"/>
    <mergeCell ref="C4:U4"/>
    <mergeCell ref="C5:U5"/>
    <mergeCell ref="C6:U6"/>
    <mergeCell ref="B30:V30"/>
  </mergeCells>
  <conditionalFormatting sqref="U11:U19">
    <cfRule type="expression" dxfId="35" priority="6">
      <formula>$V$20&lt;&gt;""</formula>
    </cfRule>
  </conditionalFormatting>
  <conditionalFormatting sqref="C11:T11 F12:T20">
    <cfRule type="expression" dxfId="34" priority="7">
      <formula>$V$11&lt;&gt;""</formula>
    </cfRule>
  </conditionalFormatting>
  <conditionalFormatting sqref="C12:E12">
    <cfRule type="expression" dxfId="33" priority="8">
      <formula>$V$12&lt;&gt;""</formula>
    </cfRule>
  </conditionalFormatting>
  <conditionalFormatting sqref="C13:E13">
    <cfRule type="expression" dxfId="32" priority="9">
      <formula>$V$13&lt;&gt;""</formula>
    </cfRule>
  </conditionalFormatting>
  <conditionalFormatting sqref="C14:E14">
    <cfRule type="expression" dxfId="31" priority="10">
      <formula>$V$14&lt;&gt;""</formula>
    </cfRule>
  </conditionalFormatting>
  <conditionalFormatting sqref="C15:E15">
    <cfRule type="expression" dxfId="30" priority="11">
      <formula>$V$15&lt;&gt;""</formula>
    </cfRule>
  </conditionalFormatting>
  <conditionalFormatting sqref="C16:E16">
    <cfRule type="expression" dxfId="29" priority="12">
      <formula>$V$16&lt;&gt;""</formula>
    </cfRule>
  </conditionalFormatting>
  <conditionalFormatting sqref="C17:E17">
    <cfRule type="expression" dxfId="28" priority="13">
      <formula>$V$17&lt;&gt;""</formula>
    </cfRule>
  </conditionalFormatting>
  <conditionalFormatting sqref="C18:E18">
    <cfRule type="expression" dxfId="27" priority="14">
      <formula>$V$18&lt;&gt;""</formula>
    </cfRule>
  </conditionalFormatting>
  <conditionalFormatting sqref="C19:E19">
    <cfRule type="expression" dxfId="26" priority="15">
      <formula>$V$19&lt;&gt;""</formula>
    </cfRule>
  </conditionalFormatting>
  <conditionalFormatting sqref="U20">
    <cfRule type="expression" dxfId="25" priority="4">
      <formula>$V$20&lt;&gt;""</formula>
    </cfRule>
  </conditionalFormatting>
  <conditionalFormatting sqref="C20:E20">
    <cfRule type="expression" dxfId="24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3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4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8"/>
    </row>
    <row r="4" spans="1:24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8"/>
    </row>
    <row r="5" spans="1:24" s="6" customFormat="1" ht="15" customHeight="1" x14ac:dyDescent="0.25">
      <c r="A5" s="36"/>
      <c r="B5" s="39"/>
      <c r="C5" s="41" t="s">
        <v>75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39"/>
      <c r="X5" s="38"/>
    </row>
    <row r="6" spans="1:24" s="5" customFormat="1" ht="15" customHeight="1" x14ac:dyDescent="0.25">
      <c r="A6" s="36"/>
      <c r="B6" s="39"/>
      <c r="C6" s="42" t="s">
        <v>57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39"/>
      <c r="X6" s="38"/>
    </row>
    <row r="7" spans="1:24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39"/>
      <c r="X7" s="38"/>
    </row>
    <row r="8" spans="1:24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8"/>
    </row>
    <row r="9" spans="1:24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39"/>
      <c r="X9" s="38"/>
    </row>
    <row r="10" spans="1:24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7" t="s">
        <v>76</v>
      </c>
      <c r="W10" s="39"/>
      <c r="X10" s="38"/>
    </row>
    <row r="11" spans="1:24" ht="15" customHeight="1" x14ac:dyDescent="0.25">
      <c r="A11" s="36"/>
      <c r="B11" s="39"/>
      <c r="C11" s="31" t="s">
        <v>13</v>
      </c>
      <c r="D11" s="31">
        <v>1</v>
      </c>
      <c r="E11" s="32" t="s">
        <v>49</v>
      </c>
      <c r="F11" s="33">
        <v>9</v>
      </c>
      <c r="G11" s="33">
        <v>10</v>
      </c>
      <c r="H11" s="33">
        <v>10</v>
      </c>
      <c r="I11" s="33">
        <v>9</v>
      </c>
      <c r="J11" s="33">
        <v>10</v>
      </c>
      <c r="K11" s="33">
        <v>10</v>
      </c>
      <c r="L11" s="33">
        <v>10</v>
      </c>
      <c r="M11" s="33">
        <v>10</v>
      </c>
      <c r="N11" s="33">
        <v>8</v>
      </c>
      <c r="O11" s="33">
        <v>7</v>
      </c>
      <c r="P11" s="33">
        <v>11</v>
      </c>
      <c r="Q11" s="33">
        <v>10</v>
      </c>
      <c r="R11" s="33">
        <v>8</v>
      </c>
      <c r="S11" s="33">
        <v>8</v>
      </c>
      <c r="T11" s="33">
        <v>10</v>
      </c>
      <c r="U11" s="34">
        <f t="shared" ref="U11:U17" si="0">IF(COUNTIF(F11:T11,"=*")&gt;0,"-",IF(COUNTIF(F11:T11,"&lt;4")&gt;0,"-",(IFERROR(AVERAGE(F11:T11),""))))</f>
        <v>9.3333333333333339</v>
      </c>
      <c r="V11" s="34">
        <f t="shared" ref="V11:V17" si="1">U11/12*90</f>
        <v>70</v>
      </c>
      <c r="W11" s="39"/>
      <c r="X11" s="38"/>
    </row>
    <row r="12" spans="1:24" ht="15" customHeight="1" x14ac:dyDescent="0.25">
      <c r="A12" s="36"/>
      <c r="B12" s="39"/>
      <c r="C12" s="31" t="s">
        <v>13</v>
      </c>
      <c r="D12" s="31">
        <v>2</v>
      </c>
      <c r="E12" s="32" t="s">
        <v>54</v>
      </c>
      <c r="F12" s="33">
        <v>10</v>
      </c>
      <c r="G12" s="33">
        <v>10</v>
      </c>
      <c r="H12" s="33">
        <v>8</v>
      </c>
      <c r="I12" s="33">
        <v>10</v>
      </c>
      <c r="J12" s="33">
        <v>10</v>
      </c>
      <c r="K12" s="33">
        <v>8</v>
      </c>
      <c r="L12" s="33">
        <v>10</v>
      </c>
      <c r="M12" s="33">
        <v>11</v>
      </c>
      <c r="N12" s="33">
        <v>9</v>
      </c>
      <c r="O12" s="33">
        <v>8</v>
      </c>
      <c r="P12" s="33">
        <v>9</v>
      </c>
      <c r="Q12" s="33">
        <v>9</v>
      </c>
      <c r="R12" s="33">
        <v>8</v>
      </c>
      <c r="S12" s="33">
        <v>9</v>
      </c>
      <c r="T12" s="33">
        <v>8</v>
      </c>
      <c r="U12" s="34">
        <f t="shared" si="0"/>
        <v>9.1333333333333329</v>
      </c>
      <c r="V12" s="34">
        <f t="shared" si="1"/>
        <v>68.5</v>
      </c>
      <c r="W12" s="39"/>
      <c r="X12" s="38"/>
    </row>
    <row r="13" spans="1:24" ht="15" customHeight="1" x14ac:dyDescent="0.25">
      <c r="A13" s="36"/>
      <c r="B13" s="39"/>
      <c r="C13" s="31" t="s">
        <v>13</v>
      </c>
      <c r="D13" s="31">
        <v>3</v>
      </c>
      <c r="E13" s="32" t="s">
        <v>52</v>
      </c>
      <c r="F13" s="33">
        <v>10</v>
      </c>
      <c r="G13" s="33">
        <v>10</v>
      </c>
      <c r="H13" s="33">
        <v>8</v>
      </c>
      <c r="I13" s="33">
        <v>10</v>
      </c>
      <c r="J13" s="33">
        <v>10</v>
      </c>
      <c r="K13" s="33">
        <v>8</v>
      </c>
      <c r="L13" s="33">
        <v>10</v>
      </c>
      <c r="M13" s="33">
        <v>11</v>
      </c>
      <c r="N13" s="33">
        <v>8</v>
      </c>
      <c r="O13" s="33">
        <v>8</v>
      </c>
      <c r="P13" s="33">
        <v>7</v>
      </c>
      <c r="Q13" s="33">
        <v>8</v>
      </c>
      <c r="R13" s="33">
        <v>8</v>
      </c>
      <c r="S13" s="33">
        <v>11</v>
      </c>
      <c r="T13" s="33">
        <v>8</v>
      </c>
      <c r="U13" s="34">
        <f t="shared" si="0"/>
        <v>9</v>
      </c>
      <c r="V13" s="34">
        <f t="shared" si="1"/>
        <v>67.5</v>
      </c>
      <c r="W13" s="39"/>
      <c r="X13" s="38"/>
    </row>
    <row r="14" spans="1:24" ht="15" customHeight="1" x14ac:dyDescent="0.25">
      <c r="A14" s="36"/>
      <c r="B14" s="39"/>
      <c r="C14" s="31" t="s">
        <v>13</v>
      </c>
      <c r="D14" s="31">
        <v>4</v>
      </c>
      <c r="E14" s="32" t="s">
        <v>55</v>
      </c>
      <c r="F14" s="33">
        <v>9</v>
      </c>
      <c r="G14" s="33">
        <v>10</v>
      </c>
      <c r="H14" s="33">
        <v>8</v>
      </c>
      <c r="I14" s="33">
        <v>10</v>
      </c>
      <c r="J14" s="33">
        <v>10</v>
      </c>
      <c r="K14" s="33">
        <v>8</v>
      </c>
      <c r="L14" s="33">
        <v>10</v>
      </c>
      <c r="M14" s="33">
        <v>10</v>
      </c>
      <c r="N14" s="33">
        <v>6</v>
      </c>
      <c r="O14" s="33">
        <v>8</v>
      </c>
      <c r="P14" s="33">
        <v>7</v>
      </c>
      <c r="Q14" s="33">
        <v>7</v>
      </c>
      <c r="R14" s="33">
        <v>7</v>
      </c>
      <c r="S14" s="33">
        <v>11</v>
      </c>
      <c r="T14" s="33">
        <v>9</v>
      </c>
      <c r="U14" s="34">
        <f t="shared" si="0"/>
        <v>8.6666666666666661</v>
      </c>
      <c r="V14" s="34">
        <f t="shared" si="1"/>
        <v>65</v>
      </c>
      <c r="W14" s="39"/>
      <c r="X14" s="38"/>
    </row>
    <row r="15" spans="1:24" ht="15" customHeight="1" x14ac:dyDescent="0.25">
      <c r="A15" s="36"/>
      <c r="B15" s="39"/>
      <c r="C15" s="29" t="s">
        <v>13</v>
      </c>
      <c r="D15" s="29">
        <v>5</v>
      </c>
      <c r="E15" s="9" t="s">
        <v>48</v>
      </c>
      <c r="F15" s="10">
        <v>8</v>
      </c>
      <c r="G15" s="10">
        <v>10</v>
      </c>
      <c r="H15" s="10">
        <v>10</v>
      </c>
      <c r="I15" s="10">
        <v>10</v>
      </c>
      <c r="J15" s="10">
        <v>10</v>
      </c>
      <c r="K15" s="10">
        <v>8</v>
      </c>
      <c r="L15" s="10">
        <v>10</v>
      </c>
      <c r="M15" s="10">
        <v>10</v>
      </c>
      <c r="N15" s="10">
        <v>9</v>
      </c>
      <c r="O15" s="10">
        <v>6</v>
      </c>
      <c r="P15" s="10">
        <v>9</v>
      </c>
      <c r="Q15" s="10">
        <v>8</v>
      </c>
      <c r="R15" s="10">
        <v>7</v>
      </c>
      <c r="S15" s="10">
        <v>5</v>
      </c>
      <c r="T15" s="10">
        <v>4</v>
      </c>
      <c r="U15" s="30">
        <f t="shared" si="0"/>
        <v>8.2666666666666675</v>
      </c>
      <c r="V15" s="30">
        <f t="shared" si="1"/>
        <v>62.000000000000007</v>
      </c>
      <c r="W15" s="39"/>
      <c r="X15" s="38"/>
    </row>
    <row r="16" spans="1:24" ht="15" customHeight="1" x14ac:dyDescent="0.25">
      <c r="A16" s="36"/>
      <c r="B16" s="39"/>
      <c r="C16" s="29" t="s">
        <v>13</v>
      </c>
      <c r="D16" s="29">
        <v>6</v>
      </c>
      <c r="E16" s="9" t="s">
        <v>56</v>
      </c>
      <c r="F16" s="10">
        <v>9</v>
      </c>
      <c r="G16" s="10">
        <v>10</v>
      </c>
      <c r="H16" s="10">
        <v>9</v>
      </c>
      <c r="I16" s="10">
        <v>10</v>
      </c>
      <c r="J16" s="10">
        <v>10</v>
      </c>
      <c r="K16" s="10">
        <v>8</v>
      </c>
      <c r="L16" s="10">
        <v>10</v>
      </c>
      <c r="M16" s="10">
        <v>6</v>
      </c>
      <c r="N16" s="10">
        <v>8</v>
      </c>
      <c r="O16" s="10">
        <v>4</v>
      </c>
      <c r="P16" s="10">
        <v>8</v>
      </c>
      <c r="Q16" s="10">
        <v>7</v>
      </c>
      <c r="R16" s="10">
        <v>5</v>
      </c>
      <c r="S16" s="10">
        <v>9</v>
      </c>
      <c r="T16" s="10">
        <v>6</v>
      </c>
      <c r="U16" s="30">
        <f t="shared" si="0"/>
        <v>7.9333333333333336</v>
      </c>
      <c r="V16" s="30">
        <f t="shared" si="1"/>
        <v>59.5</v>
      </c>
      <c r="W16" s="39"/>
      <c r="X16" s="38"/>
    </row>
    <row r="17" spans="1:25" ht="15" customHeight="1" x14ac:dyDescent="0.25">
      <c r="A17" s="36"/>
      <c r="B17" s="39"/>
      <c r="C17" s="29" t="s">
        <v>13</v>
      </c>
      <c r="D17" s="29">
        <v>7</v>
      </c>
      <c r="E17" s="9" t="s">
        <v>51</v>
      </c>
      <c r="F17" s="10">
        <v>9</v>
      </c>
      <c r="G17" s="10">
        <v>6</v>
      </c>
      <c r="H17" s="10">
        <v>7</v>
      </c>
      <c r="I17" s="10">
        <v>8</v>
      </c>
      <c r="J17" s="10">
        <v>9</v>
      </c>
      <c r="K17" s="10">
        <v>6</v>
      </c>
      <c r="L17" s="10">
        <v>9</v>
      </c>
      <c r="M17" s="10">
        <v>7</v>
      </c>
      <c r="N17" s="10">
        <v>6</v>
      </c>
      <c r="O17" s="10">
        <v>6</v>
      </c>
      <c r="P17" s="10">
        <v>8</v>
      </c>
      <c r="Q17" s="10">
        <v>6</v>
      </c>
      <c r="R17" s="10">
        <v>5</v>
      </c>
      <c r="S17" s="10">
        <v>9</v>
      </c>
      <c r="T17" s="10">
        <v>5</v>
      </c>
      <c r="U17" s="30">
        <f t="shared" si="0"/>
        <v>7.0666666666666664</v>
      </c>
      <c r="V17" s="30">
        <f t="shared" si="1"/>
        <v>53</v>
      </c>
      <c r="W17" s="39"/>
      <c r="X17" s="38"/>
    </row>
    <row r="18" spans="1:25" ht="15" customHeight="1" x14ac:dyDescent="0.25">
      <c r="A18" s="36"/>
      <c r="B18" s="39"/>
      <c r="C18" s="11"/>
      <c r="D18" s="11"/>
      <c r="E18" s="9" t="s">
        <v>19</v>
      </c>
      <c r="F18" s="28">
        <f>'Зведена 161'!F26</f>
        <v>10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7"/>
      <c r="V18" s="27"/>
      <c r="W18" s="39"/>
      <c r="X18" s="38"/>
      <c r="Y18" s="14"/>
    </row>
    <row r="19" spans="1:25" ht="15" customHeight="1" x14ac:dyDescent="0.25">
      <c r="A19" s="36"/>
      <c r="B19" s="39"/>
      <c r="C19" s="11"/>
      <c r="D19" s="11"/>
      <c r="E19" s="9" t="s">
        <v>20</v>
      </c>
      <c r="F19" s="28">
        <f>'Зведена 161'!F27</f>
        <v>0</v>
      </c>
      <c r="G19" s="11"/>
      <c r="H19" s="11"/>
      <c r="I19" s="17" t="s">
        <v>21</v>
      </c>
      <c r="J19" s="11"/>
      <c r="K19" s="11"/>
      <c r="L19" s="11"/>
      <c r="M19" s="11"/>
      <c r="N19" s="11"/>
      <c r="O19" s="11"/>
      <c r="P19" s="1" t="s">
        <v>46</v>
      </c>
      <c r="Q19" s="11"/>
      <c r="R19" s="11"/>
      <c r="S19" s="11"/>
      <c r="T19" s="11"/>
      <c r="U19" s="11"/>
      <c r="V19" s="11"/>
      <c r="W19" s="39"/>
      <c r="X19" s="38"/>
    </row>
    <row r="20" spans="1:25" ht="15" customHeight="1" x14ac:dyDescent="0.25">
      <c r="A20" s="36"/>
      <c r="B20" s="39"/>
      <c r="C20" s="11"/>
      <c r="D20" s="11"/>
      <c r="E20" s="9" t="s">
        <v>22</v>
      </c>
      <c r="F20" s="28">
        <f>'Зведена 161'!F28</f>
        <v>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39"/>
      <c r="X20" s="38"/>
    </row>
    <row r="21" spans="1:25" ht="15" customHeight="1" x14ac:dyDescent="0.25">
      <c r="A21" s="36"/>
      <c r="B21" s="39"/>
      <c r="C21" s="11"/>
      <c r="D21" s="11"/>
      <c r="E21" s="9" t="s">
        <v>23</v>
      </c>
      <c r="F21" s="28">
        <f>'Зведена 161'!F29</f>
        <v>4</v>
      </c>
      <c r="G21" s="11"/>
      <c r="H21" s="11"/>
      <c r="I21" s="17" t="s">
        <v>24</v>
      </c>
      <c r="J21" s="11"/>
      <c r="K21" s="11"/>
      <c r="L21" s="11"/>
      <c r="M21" s="11"/>
      <c r="N21" s="11"/>
      <c r="O21" s="11"/>
      <c r="P21" s="17" t="s">
        <v>25</v>
      </c>
      <c r="Q21" s="11"/>
      <c r="R21" s="11"/>
      <c r="S21" s="11"/>
      <c r="T21" s="11"/>
      <c r="U21" s="11"/>
      <c r="V21" s="11"/>
      <c r="W21" s="39"/>
      <c r="X21" s="38"/>
    </row>
    <row r="22" spans="1:25" ht="12" customHeight="1" thickBo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8"/>
    </row>
    <row r="23" spans="1:25" ht="12" customHeight="1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</sheetData>
  <sheetProtection selectLockedCells="1"/>
  <sortState ref="C11:V17">
    <sortCondition descending="1" ref="U11:U17"/>
  </sortState>
  <mergeCells count="18">
    <mergeCell ref="B1:W1"/>
    <mergeCell ref="A2:A22"/>
    <mergeCell ref="B2:W2"/>
    <mergeCell ref="X2:X22"/>
    <mergeCell ref="B3:B21"/>
    <mergeCell ref="C3:V3"/>
    <mergeCell ref="W3:W21"/>
    <mergeCell ref="C4:V4"/>
    <mergeCell ref="C5:V5"/>
    <mergeCell ref="C6:V6"/>
    <mergeCell ref="B22:W22"/>
    <mergeCell ref="B23:W23"/>
    <mergeCell ref="C7:V7"/>
    <mergeCell ref="C8:V8"/>
    <mergeCell ref="C9:C10"/>
    <mergeCell ref="D9:D10"/>
    <mergeCell ref="E9:E10"/>
    <mergeCell ref="F9:V9"/>
  </mergeCells>
  <conditionalFormatting sqref="F11:T17">
    <cfRule type="expression" dxfId="23" priority="5">
      <formula>#REF!&lt;&gt;""</formula>
    </cfRule>
  </conditionalFormatting>
  <conditionalFormatting sqref="C11:E11 D13 D15 D17">
    <cfRule type="expression" dxfId="22" priority="6">
      <formula>$W$11&lt;&gt;""</formula>
    </cfRule>
  </conditionalFormatting>
  <conditionalFormatting sqref="C12:E12 D14 D16">
    <cfRule type="expression" dxfId="21" priority="7">
      <formula>$W$12&lt;&gt;""</formula>
    </cfRule>
  </conditionalFormatting>
  <conditionalFormatting sqref="C13 E13">
    <cfRule type="expression" dxfId="20" priority="9">
      <formula>$W$13&lt;&gt;""</formula>
    </cfRule>
  </conditionalFormatting>
  <conditionalFormatting sqref="C14 E14">
    <cfRule type="expression" dxfId="19" priority="10">
      <formula>$W$14&lt;&gt;""</formula>
    </cfRule>
  </conditionalFormatting>
  <conditionalFormatting sqref="C15 E15">
    <cfRule type="expression" dxfId="18" priority="12">
      <formula>$W$15&lt;&gt;""</formula>
    </cfRule>
  </conditionalFormatting>
  <conditionalFormatting sqref="C16 E16">
    <cfRule type="expression" dxfId="17" priority="13">
      <formula>$W$16&lt;&gt;""</formula>
    </cfRule>
  </conditionalFormatting>
  <conditionalFormatting sqref="C17 E17">
    <cfRule type="expression" dxfId="16" priority="2">
      <formula>#REF!&lt;&gt;""</formula>
    </cfRule>
  </conditionalFormatting>
  <conditionalFormatting sqref="V11:V17">
    <cfRule type="expression" dxfId="15" priority="46">
      <formula>$W$17&lt;&gt;""</formula>
    </cfRule>
  </conditionalFormatting>
  <conditionalFormatting sqref="U11:U17">
    <cfRule type="expression" dxfId="14" priority="1">
      <formula>$W$17&lt;&gt;""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3"/>
  <sheetViews>
    <sheetView zoomScaleNormal="100" workbookViewId="0">
      <selection activeCell="C13" sqref="C13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4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4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4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8"/>
    </row>
    <row r="4" spans="1:24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8"/>
    </row>
    <row r="5" spans="1:24" s="6" customFormat="1" ht="15" customHeight="1" x14ac:dyDescent="0.25">
      <c r="A5" s="36"/>
      <c r="B5" s="39"/>
      <c r="C5" s="41" t="s">
        <v>26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9"/>
      <c r="W5" s="38"/>
    </row>
    <row r="6" spans="1:24" s="5" customFormat="1" ht="15" customHeight="1" x14ac:dyDescent="0.25">
      <c r="A6" s="36"/>
      <c r="B6" s="39"/>
      <c r="C6" s="42" t="s">
        <v>60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39"/>
      <c r="W6" s="38"/>
    </row>
    <row r="7" spans="1:24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9"/>
      <c r="W7" s="38"/>
    </row>
    <row r="8" spans="1:24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8"/>
    </row>
    <row r="9" spans="1:24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39"/>
      <c r="W9" s="38"/>
    </row>
    <row r="10" spans="1:24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39"/>
      <c r="W10" s="38"/>
    </row>
    <row r="11" spans="1:24" ht="15" customHeight="1" x14ac:dyDescent="0.25">
      <c r="A11" s="36"/>
      <c r="B11" s="39"/>
      <c r="C11" s="25" t="s">
        <v>12</v>
      </c>
      <c r="D11" s="25">
        <v>1</v>
      </c>
      <c r="E11" s="9" t="s">
        <v>61</v>
      </c>
      <c r="F11" s="10">
        <v>8</v>
      </c>
      <c r="G11" s="10">
        <v>10</v>
      </c>
      <c r="H11" s="10">
        <v>8</v>
      </c>
      <c r="I11" s="10">
        <v>8</v>
      </c>
      <c r="J11" s="10">
        <v>10</v>
      </c>
      <c r="K11" s="10">
        <v>10</v>
      </c>
      <c r="L11" s="10">
        <v>10</v>
      </c>
      <c r="M11" s="10">
        <v>9</v>
      </c>
      <c r="N11" s="10">
        <v>7</v>
      </c>
      <c r="O11" s="10">
        <v>6</v>
      </c>
      <c r="P11" s="10">
        <v>7</v>
      </c>
      <c r="Q11" s="10">
        <v>9</v>
      </c>
      <c r="R11" s="10">
        <v>8</v>
      </c>
      <c r="S11" s="10">
        <v>10</v>
      </c>
      <c r="T11" s="10">
        <v>8</v>
      </c>
      <c r="U11" s="2">
        <f t="shared" ref="U11:U12" si="0">IF(COUNTIF(F11:T11,"=*")&gt;0,"-",IF(COUNTIF(F11:T11,"&lt;4")&gt;0,"-",(IFERROR(AVERAGE(F11:T11),""))))</f>
        <v>8.5333333333333332</v>
      </c>
      <c r="V11" s="39"/>
      <c r="W11" s="38"/>
    </row>
    <row r="12" spans="1:24" ht="15" customHeight="1" x14ac:dyDescent="0.25">
      <c r="A12" s="36"/>
      <c r="B12" s="39"/>
      <c r="C12" s="25" t="s">
        <v>12</v>
      </c>
      <c r="D12" s="25">
        <v>2</v>
      </c>
      <c r="E12" s="9" t="s">
        <v>62</v>
      </c>
      <c r="F12" s="10">
        <v>6</v>
      </c>
      <c r="G12" s="10">
        <v>7</v>
      </c>
      <c r="H12" s="10">
        <v>8</v>
      </c>
      <c r="I12" s="10">
        <v>6</v>
      </c>
      <c r="J12" s="10">
        <v>9</v>
      </c>
      <c r="K12" s="10">
        <v>4</v>
      </c>
      <c r="L12" s="10">
        <v>8</v>
      </c>
      <c r="M12" s="10">
        <v>4</v>
      </c>
      <c r="N12" s="10">
        <v>5</v>
      </c>
      <c r="O12" s="10" t="s">
        <v>73</v>
      </c>
      <c r="P12" s="10">
        <v>4</v>
      </c>
      <c r="Q12" s="10">
        <v>4</v>
      </c>
      <c r="R12" s="10">
        <v>4</v>
      </c>
      <c r="S12" s="10">
        <v>4</v>
      </c>
      <c r="T12" s="10">
        <v>4</v>
      </c>
      <c r="U12" s="2" t="str">
        <f t="shared" si="0"/>
        <v>-</v>
      </c>
      <c r="V12" s="39"/>
      <c r="W12" s="38"/>
    </row>
    <row r="13" spans="1:24" ht="15" customHeight="1" x14ac:dyDescent="0.25">
      <c r="A13" s="36"/>
      <c r="B13" s="39"/>
      <c r="C13" s="11"/>
      <c r="D13" s="11"/>
      <c r="E13" s="9" t="s">
        <v>14</v>
      </c>
      <c r="F13" s="3">
        <f>IF(SUM(F11:F12)=0,"",SUM(F11:F12)/$D12)</f>
        <v>7</v>
      </c>
      <c r="G13" s="3">
        <f t="shared" ref="G13:T13" si="1">IF(SUM(G11:G12)=0,"",SUM(G11:G12)/$D12)</f>
        <v>8.5</v>
      </c>
      <c r="H13" s="3">
        <f t="shared" ref="H13" si="2">IF(SUM(H11:H12)=0,"",SUM(H11:H12)/$D12)</f>
        <v>8</v>
      </c>
      <c r="I13" s="3">
        <f t="shared" si="1"/>
        <v>7</v>
      </c>
      <c r="J13" s="3">
        <f t="shared" si="1"/>
        <v>9.5</v>
      </c>
      <c r="K13" s="3">
        <f t="shared" si="1"/>
        <v>7</v>
      </c>
      <c r="L13" s="3">
        <f t="shared" si="1"/>
        <v>9</v>
      </c>
      <c r="M13" s="3">
        <f t="shared" si="1"/>
        <v>6.5</v>
      </c>
      <c r="N13" s="3">
        <f t="shared" si="1"/>
        <v>6</v>
      </c>
      <c r="O13" s="3">
        <f t="shared" si="1"/>
        <v>3</v>
      </c>
      <c r="P13" s="3">
        <f t="shared" si="1"/>
        <v>5.5</v>
      </c>
      <c r="Q13" s="3">
        <f t="shared" si="1"/>
        <v>6.5</v>
      </c>
      <c r="R13" s="3">
        <f t="shared" si="1"/>
        <v>6</v>
      </c>
      <c r="S13" s="3">
        <f t="shared" si="1"/>
        <v>7</v>
      </c>
      <c r="T13" s="3">
        <f t="shared" si="1"/>
        <v>6</v>
      </c>
      <c r="U13" s="2">
        <f>IFERROR(AVERAGE(F13:T13),"")</f>
        <v>6.833333333333333</v>
      </c>
      <c r="V13" s="39"/>
      <c r="W13" s="38"/>
    </row>
    <row r="14" spans="1:24" ht="15" customHeight="1" x14ac:dyDescent="0.25">
      <c r="A14" s="36"/>
      <c r="B14" s="39"/>
      <c r="C14" s="11"/>
      <c r="D14" s="11"/>
      <c r="E14" s="9" t="s">
        <v>15</v>
      </c>
      <c r="F14" s="12">
        <f>IF(SUM(F11:F12)=0,"",IF(COUNTIF(F11:F12,"&gt;=4")=0,0,COUNTIF(F11:F12,"&gt;=4")/$D12*100))</f>
        <v>100</v>
      </c>
      <c r="G14" s="12">
        <f t="shared" ref="G14:T14" si="3">IF(SUM(G11:G12)=0,"",IF(COUNTIF(G11:G12,"&gt;=4")=0,0,COUNTIF(G11:G12,"&gt;=4")/$D12*100))</f>
        <v>100</v>
      </c>
      <c r="H14" s="12">
        <f t="shared" ref="H14" si="4">IF(SUM(H11:H12)=0,"",IF(COUNTIF(H11:H12,"&gt;=4")=0,0,COUNTIF(H11:H12,"&gt;=4")/$D12*100))</f>
        <v>100</v>
      </c>
      <c r="I14" s="12">
        <f t="shared" si="3"/>
        <v>100</v>
      </c>
      <c r="J14" s="12">
        <f t="shared" si="3"/>
        <v>100</v>
      </c>
      <c r="K14" s="12">
        <f t="shared" si="3"/>
        <v>100</v>
      </c>
      <c r="L14" s="12">
        <f t="shared" si="3"/>
        <v>100</v>
      </c>
      <c r="M14" s="12">
        <f t="shared" si="3"/>
        <v>100</v>
      </c>
      <c r="N14" s="12">
        <f t="shared" si="3"/>
        <v>100</v>
      </c>
      <c r="O14" s="12">
        <f t="shared" si="3"/>
        <v>50</v>
      </c>
      <c r="P14" s="12">
        <f t="shared" si="3"/>
        <v>100</v>
      </c>
      <c r="Q14" s="12">
        <f t="shared" si="3"/>
        <v>100</v>
      </c>
      <c r="R14" s="12">
        <f t="shared" si="3"/>
        <v>100</v>
      </c>
      <c r="S14" s="12">
        <f t="shared" si="3"/>
        <v>100</v>
      </c>
      <c r="T14" s="12">
        <f t="shared" si="3"/>
        <v>100</v>
      </c>
      <c r="U14" s="13"/>
      <c r="V14" s="39"/>
      <c r="W14" s="38"/>
      <c r="X14" s="14"/>
    </row>
    <row r="15" spans="1:24" ht="15" customHeight="1" x14ac:dyDescent="0.25">
      <c r="A15" s="36"/>
      <c r="B15" s="39"/>
      <c r="C15" s="11"/>
      <c r="D15" s="11"/>
      <c r="E15" s="9" t="s">
        <v>16</v>
      </c>
      <c r="F15" s="12">
        <f>IF(SUM(F11:F12)=0,"",IF(COUNTIF(F11:F12,"&gt;=7")=0,0,COUNTIF(F11:F12,"&gt;=7")/$D12*100))</f>
        <v>50</v>
      </c>
      <c r="G15" s="12">
        <f t="shared" ref="G15:T15" si="5">IF(SUM(G11:G12)=0,"",IF(COUNTIF(G11:G12,"&gt;=7")=0,0,COUNTIF(G11:G12,"&gt;=7")/$D12*100))</f>
        <v>100</v>
      </c>
      <c r="H15" s="12">
        <f t="shared" ref="H15" si="6">IF(SUM(H11:H12)=0,"",IF(COUNTIF(H11:H12,"&gt;=7")=0,0,COUNTIF(H11:H12,"&gt;=7")/$D12*100))</f>
        <v>100</v>
      </c>
      <c r="I15" s="12">
        <f t="shared" si="5"/>
        <v>50</v>
      </c>
      <c r="J15" s="12">
        <f t="shared" si="5"/>
        <v>100</v>
      </c>
      <c r="K15" s="12">
        <f t="shared" si="5"/>
        <v>50</v>
      </c>
      <c r="L15" s="12">
        <f t="shared" si="5"/>
        <v>100</v>
      </c>
      <c r="M15" s="12">
        <f t="shared" si="5"/>
        <v>50</v>
      </c>
      <c r="N15" s="12">
        <f t="shared" si="5"/>
        <v>50</v>
      </c>
      <c r="O15" s="12">
        <f t="shared" si="5"/>
        <v>0</v>
      </c>
      <c r="P15" s="12">
        <f t="shared" si="5"/>
        <v>50</v>
      </c>
      <c r="Q15" s="12">
        <f t="shared" si="5"/>
        <v>50</v>
      </c>
      <c r="R15" s="12">
        <f t="shared" si="5"/>
        <v>50</v>
      </c>
      <c r="S15" s="12">
        <f t="shared" si="5"/>
        <v>50</v>
      </c>
      <c r="T15" s="12">
        <f t="shared" si="5"/>
        <v>50</v>
      </c>
      <c r="U15" s="26"/>
      <c r="V15" s="39"/>
      <c r="W15" s="38"/>
      <c r="X15" s="14"/>
    </row>
    <row r="16" spans="1:24" ht="15" customHeight="1" x14ac:dyDescent="0.25">
      <c r="A16" s="36"/>
      <c r="B16" s="39"/>
      <c r="C16" s="11"/>
      <c r="D16" s="11"/>
      <c r="E16" s="9" t="s">
        <v>17</v>
      </c>
      <c r="F16" s="3">
        <f>IFERROR(AVERAGE(F14:T14),"")</f>
        <v>96.666666666666671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26"/>
      <c r="V16" s="39"/>
      <c r="W16" s="38"/>
      <c r="X16" s="14"/>
    </row>
    <row r="17" spans="1:24" ht="15" customHeight="1" x14ac:dyDescent="0.25">
      <c r="A17" s="36"/>
      <c r="B17" s="39"/>
      <c r="C17" s="11"/>
      <c r="D17" s="11"/>
      <c r="E17" s="9" t="s">
        <v>18</v>
      </c>
      <c r="F17" s="3">
        <f>IFERROR(AVERAGE(F15:T15),"")</f>
        <v>60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26"/>
      <c r="V17" s="39"/>
      <c r="W17" s="38"/>
      <c r="X17" s="14"/>
    </row>
    <row r="18" spans="1:24" ht="15" customHeight="1" x14ac:dyDescent="0.25">
      <c r="A18" s="36"/>
      <c r="B18" s="39"/>
      <c r="C18" s="11"/>
      <c r="D18" s="11"/>
      <c r="E18" s="9" t="s">
        <v>19</v>
      </c>
      <c r="F18" s="2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6"/>
      <c r="V18" s="39"/>
      <c r="W18" s="38"/>
      <c r="X18" s="14"/>
    </row>
    <row r="19" spans="1:24" ht="15" customHeight="1" x14ac:dyDescent="0.25">
      <c r="A19" s="36"/>
      <c r="B19" s="39"/>
      <c r="C19" s="11"/>
      <c r="D19" s="11"/>
      <c r="E19" s="9" t="s">
        <v>20</v>
      </c>
      <c r="F19" s="24">
        <f>IF(COUNTIF(C11:C12,"=К")=0,IF(COUNTIF(C11:C12,"=Б")=0,"",0),COUNTIF(C11:C12,"=К"))</f>
        <v>2</v>
      </c>
      <c r="G19" s="11"/>
      <c r="H19" s="11"/>
      <c r="I19" s="17" t="s">
        <v>21</v>
      </c>
      <c r="J19" s="11"/>
      <c r="K19" s="11"/>
      <c r="L19" s="11"/>
      <c r="M19" s="11"/>
      <c r="N19" s="11"/>
      <c r="O19" s="11"/>
      <c r="P19" s="1" t="s">
        <v>46</v>
      </c>
      <c r="Q19" s="11"/>
      <c r="R19" s="11"/>
      <c r="S19" s="11"/>
      <c r="T19" s="11"/>
      <c r="U19" s="11"/>
      <c r="V19" s="39"/>
      <c r="W19" s="38"/>
    </row>
    <row r="20" spans="1:24" ht="15" customHeight="1" x14ac:dyDescent="0.25">
      <c r="A20" s="36"/>
      <c r="B20" s="39"/>
      <c r="C20" s="11"/>
      <c r="D20" s="11"/>
      <c r="E20" s="9" t="s">
        <v>22</v>
      </c>
      <c r="F20" s="2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39"/>
      <c r="W20" s="38"/>
    </row>
    <row r="21" spans="1:24" ht="15" customHeight="1" x14ac:dyDescent="0.25">
      <c r="A21" s="36"/>
      <c r="B21" s="39"/>
      <c r="C21" s="11"/>
      <c r="D21" s="11"/>
      <c r="E21" s="9" t="s">
        <v>23</v>
      </c>
      <c r="F21" s="24"/>
      <c r="G21" s="11"/>
      <c r="H21" s="11"/>
      <c r="I21" s="17" t="s">
        <v>24</v>
      </c>
      <c r="J21" s="11"/>
      <c r="K21" s="11"/>
      <c r="L21" s="11"/>
      <c r="M21" s="11"/>
      <c r="N21" s="11"/>
      <c r="O21" s="11"/>
      <c r="P21" s="17" t="s">
        <v>25</v>
      </c>
      <c r="Q21" s="11"/>
      <c r="R21" s="11"/>
      <c r="S21" s="11"/>
      <c r="T21" s="11"/>
      <c r="U21" s="11"/>
      <c r="V21" s="39"/>
      <c r="W21" s="38"/>
    </row>
    <row r="22" spans="1:24" ht="12" customHeight="1" thickBo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</row>
    <row r="23" spans="1:24" ht="12" customHeight="1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</sheetData>
  <sheetProtection selectLockedCells="1"/>
  <mergeCells count="18">
    <mergeCell ref="B23:V23"/>
    <mergeCell ref="C7:U7"/>
    <mergeCell ref="C8:U8"/>
    <mergeCell ref="C9:C10"/>
    <mergeCell ref="D9:D10"/>
    <mergeCell ref="E9:E10"/>
    <mergeCell ref="F9:U9"/>
    <mergeCell ref="B1:V1"/>
    <mergeCell ref="A2:A22"/>
    <mergeCell ref="B2:V2"/>
    <mergeCell ref="W2:W22"/>
    <mergeCell ref="B3:B21"/>
    <mergeCell ref="C3:U3"/>
    <mergeCell ref="V3:V21"/>
    <mergeCell ref="C4:U4"/>
    <mergeCell ref="C5:U5"/>
    <mergeCell ref="C6:U6"/>
    <mergeCell ref="B22:V22"/>
  </mergeCells>
  <conditionalFormatting sqref="U12">
    <cfRule type="expression" dxfId="13" priority="7">
      <formula>$V$12&lt;&gt;""</formula>
    </cfRule>
  </conditionalFormatting>
  <conditionalFormatting sqref="C12:E12">
    <cfRule type="expression" dxfId="12" priority="6">
      <formula>#REF!&lt;&gt;""</formula>
    </cfRule>
  </conditionalFormatting>
  <conditionalFormatting sqref="U11">
    <cfRule type="expression" dxfId="11" priority="4">
      <formula>$V$12&lt;&gt;""</formula>
    </cfRule>
  </conditionalFormatting>
  <conditionalFormatting sqref="F11:T12">
    <cfRule type="expression" dxfId="10" priority="5">
      <formula>#REF!&lt;&gt;""</formula>
    </cfRule>
  </conditionalFormatting>
  <conditionalFormatting sqref="C11:E11">
    <cfRule type="expression" dxfId="9" priority="3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3"/>
  <sheetViews>
    <sheetView zoomScaleNormal="100" workbookViewId="0">
      <selection activeCell="C13" sqref="C13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4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4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4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8"/>
    </row>
    <row r="4" spans="1:24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8"/>
    </row>
    <row r="5" spans="1:24" s="6" customFormat="1" ht="15" customHeight="1" x14ac:dyDescent="0.25">
      <c r="A5" s="36"/>
      <c r="B5" s="39"/>
      <c r="C5" s="41" t="s">
        <v>26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9"/>
      <c r="W5" s="38"/>
    </row>
    <row r="6" spans="1:24" s="5" customFormat="1" ht="15" customHeight="1" x14ac:dyDescent="0.25">
      <c r="A6" s="36"/>
      <c r="B6" s="39"/>
      <c r="C6" s="42" t="s">
        <v>67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39"/>
      <c r="W6" s="38"/>
    </row>
    <row r="7" spans="1:24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9"/>
      <c r="W7" s="38"/>
    </row>
    <row r="8" spans="1:24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8"/>
    </row>
    <row r="9" spans="1:24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39"/>
      <c r="W9" s="38"/>
    </row>
    <row r="10" spans="1:24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39"/>
      <c r="W10" s="38"/>
    </row>
    <row r="11" spans="1:24" ht="15" customHeight="1" x14ac:dyDescent="0.25">
      <c r="A11" s="36"/>
      <c r="B11" s="39"/>
      <c r="C11" s="25" t="s">
        <v>12</v>
      </c>
      <c r="D11" s="25">
        <v>1</v>
      </c>
      <c r="E11" s="9" t="s">
        <v>68</v>
      </c>
      <c r="F11" s="10">
        <v>8</v>
      </c>
      <c r="G11" s="10">
        <v>8</v>
      </c>
      <c r="H11" s="10">
        <v>8</v>
      </c>
      <c r="I11" s="10">
        <v>8</v>
      </c>
      <c r="J11" s="10">
        <v>8</v>
      </c>
      <c r="K11" s="10" t="s">
        <v>73</v>
      </c>
      <c r="L11" s="10">
        <v>8</v>
      </c>
      <c r="M11" s="10">
        <v>4</v>
      </c>
      <c r="N11" s="10">
        <v>5</v>
      </c>
      <c r="O11" s="10" t="s">
        <v>73</v>
      </c>
      <c r="P11" s="10">
        <v>4</v>
      </c>
      <c r="Q11" s="10">
        <v>4</v>
      </c>
      <c r="R11" s="10">
        <v>4</v>
      </c>
      <c r="S11" s="10">
        <v>4</v>
      </c>
      <c r="T11" s="10">
        <v>5</v>
      </c>
      <c r="U11" s="2" t="str">
        <f t="shared" ref="U11:U12" si="0">IF(COUNTIF(F11:T11,"=*")&gt;0,"-",IF(COUNTIF(F11:T11,"&lt;4")&gt;0,"-",(IFERROR(AVERAGE(F11:T11),""))))</f>
        <v>-</v>
      </c>
      <c r="V11" s="39"/>
      <c r="W11" s="38"/>
    </row>
    <row r="12" spans="1:24" ht="15" customHeight="1" x14ac:dyDescent="0.25">
      <c r="A12" s="36"/>
      <c r="B12" s="39"/>
      <c r="C12" s="25" t="s">
        <v>12</v>
      </c>
      <c r="D12" s="25">
        <v>2</v>
      </c>
      <c r="E12" s="9" t="s">
        <v>69</v>
      </c>
      <c r="F12" s="10">
        <v>7</v>
      </c>
      <c r="G12" s="10">
        <v>5</v>
      </c>
      <c r="H12" s="10">
        <v>7</v>
      </c>
      <c r="I12" s="10">
        <v>7</v>
      </c>
      <c r="J12" s="10">
        <v>9</v>
      </c>
      <c r="K12" s="10">
        <v>4</v>
      </c>
      <c r="L12" s="10">
        <v>9</v>
      </c>
      <c r="M12" s="10">
        <v>4</v>
      </c>
      <c r="N12" s="10">
        <v>5</v>
      </c>
      <c r="O12" s="10" t="s">
        <v>73</v>
      </c>
      <c r="P12" s="10">
        <v>4</v>
      </c>
      <c r="Q12" s="10">
        <v>4</v>
      </c>
      <c r="R12" s="10" t="s">
        <v>73</v>
      </c>
      <c r="S12" s="10">
        <v>4</v>
      </c>
      <c r="T12" s="10">
        <v>4</v>
      </c>
      <c r="U12" s="2" t="str">
        <f t="shared" si="0"/>
        <v>-</v>
      </c>
      <c r="V12" s="39"/>
      <c r="W12" s="38"/>
    </row>
    <row r="13" spans="1:24" ht="15" customHeight="1" x14ac:dyDescent="0.25">
      <c r="A13" s="36"/>
      <c r="B13" s="39"/>
      <c r="C13" s="11"/>
      <c r="D13" s="11"/>
      <c r="E13" s="9" t="s">
        <v>14</v>
      </c>
      <c r="F13" s="3">
        <f t="shared" ref="F13:T13" si="1">IF(SUM(F11:F12)=0,"",SUM(F11:F12)/$D12)</f>
        <v>7.5</v>
      </c>
      <c r="G13" s="3">
        <f t="shared" si="1"/>
        <v>6.5</v>
      </c>
      <c r="H13" s="3">
        <f t="shared" si="1"/>
        <v>7.5</v>
      </c>
      <c r="I13" s="3">
        <f t="shared" si="1"/>
        <v>7.5</v>
      </c>
      <c r="J13" s="3">
        <f t="shared" si="1"/>
        <v>8.5</v>
      </c>
      <c r="K13" s="3">
        <f t="shared" si="1"/>
        <v>2</v>
      </c>
      <c r="L13" s="3">
        <f t="shared" si="1"/>
        <v>8.5</v>
      </c>
      <c r="M13" s="3">
        <f t="shared" si="1"/>
        <v>4</v>
      </c>
      <c r="N13" s="3">
        <f t="shared" si="1"/>
        <v>5</v>
      </c>
      <c r="O13" s="3">
        <v>0</v>
      </c>
      <c r="P13" s="3">
        <f t="shared" si="1"/>
        <v>4</v>
      </c>
      <c r="Q13" s="3">
        <f t="shared" si="1"/>
        <v>4</v>
      </c>
      <c r="R13" s="3">
        <f t="shared" si="1"/>
        <v>2</v>
      </c>
      <c r="S13" s="3">
        <f t="shared" si="1"/>
        <v>4</v>
      </c>
      <c r="T13" s="3">
        <f t="shared" si="1"/>
        <v>4.5</v>
      </c>
      <c r="U13" s="2">
        <f>IFERROR(AVERAGE(F13:T13),"")</f>
        <v>5.0333333333333332</v>
      </c>
      <c r="V13" s="39"/>
      <c r="W13" s="38"/>
    </row>
    <row r="14" spans="1:24" ht="15" customHeight="1" x14ac:dyDescent="0.25">
      <c r="A14" s="36"/>
      <c r="B14" s="39"/>
      <c r="C14" s="11"/>
      <c r="D14" s="11"/>
      <c r="E14" s="9" t="s">
        <v>15</v>
      </c>
      <c r="F14" s="12">
        <f t="shared" ref="F14:T14" si="2">IF(SUM(F11:F12)=0,"",IF(COUNTIF(F11:F12,"&gt;=4")=0,0,COUNTIF(F11:F12,"&gt;=4")/$D12*100))</f>
        <v>100</v>
      </c>
      <c r="G14" s="12">
        <f t="shared" si="2"/>
        <v>100</v>
      </c>
      <c r="H14" s="12">
        <f t="shared" si="2"/>
        <v>100</v>
      </c>
      <c r="I14" s="12">
        <f t="shared" si="2"/>
        <v>100</v>
      </c>
      <c r="J14" s="12">
        <f t="shared" si="2"/>
        <v>100</v>
      </c>
      <c r="K14" s="12">
        <f t="shared" si="2"/>
        <v>50</v>
      </c>
      <c r="L14" s="12">
        <f t="shared" si="2"/>
        <v>100</v>
      </c>
      <c r="M14" s="12">
        <f t="shared" si="2"/>
        <v>100</v>
      </c>
      <c r="N14" s="12">
        <f t="shared" si="2"/>
        <v>100</v>
      </c>
      <c r="O14" s="12">
        <v>0</v>
      </c>
      <c r="P14" s="12">
        <f t="shared" si="2"/>
        <v>100</v>
      </c>
      <c r="Q14" s="12">
        <f t="shared" si="2"/>
        <v>100</v>
      </c>
      <c r="R14" s="12">
        <f t="shared" si="2"/>
        <v>50</v>
      </c>
      <c r="S14" s="12">
        <f t="shared" si="2"/>
        <v>100</v>
      </c>
      <c r="T14" s="12">
        <f t="shared" si="2"/>
        <v>100</v>
      </c>
      <c r="U14" s="13"/>
      <c r="V14" s="39"/>
      <c r="W14" s="38"/>
      <c r="X14" s="14"/>
    </row>
    <row r="15" spans="1:24" ht="15" customHeight="1" x14ac:dyDescent="0.25">
      <c r="A15" s="36"/>
      <c r="B15" s="39"/>
      <c r="C15" s="11"/>
      <c r="D15" s="11"/>
      <c r="E15" s="9" t="s">
        <v>16</v>
      </c>
      <c r="F15" s="12">
        <f t="shared" ref="F15:T15" si="3">IF(SUM(F11:F12)=0,"",IF(COUNTIF(F11:F12,"&gt;=7")=0,0,COUNTIF(F11:F12,"&gt;=7")/$D12*100))</f>
        <v>100</v>
      </c>
      <c r="G15" s="12">
        <f t="shared" si="3"/>
        <v>50</v>
      </c>
      <c r="H15" s="12">
        <f t="shared" si="3"/>
        <v>100</v>
      </c>
      <c r="I15" s="12">
        <f t="shared" si="3"/>
        <v>100</v>
      </c>
      <c r="J15" s="12">
        <f t="shared" si="3"/>
        <v>100</v>
      </c>
      <c r="K15" s="12">
        <f t="shared" si="3"/>
        <v>0</v>
      </c>
      <c r="L15" s="12">
        <f t="shared" si="3"/>
        <v>100</v>
      </c>
      <c r="M15" s="12">
        <f t="shared" si="3"/>
        <v>0</v>
      </c>
      <c r="N15" s="12">
        <f t="shared" si="3"/>
        <v>0</v>
      </c>
      <c r="O15" s="12">
        <v>0</v>
      </c>
      <c r="P15" s="12">
        <f t="shared" si="3"/>
        <v>0</v>
      </c>
      <c r="Q15" s="12">
        <f t="shared" si="3"/>
        <v>0</v>
      </c>
      <c r="R15" s="12">
        <f t="shared" si="3"/>
        <v>0</v>
      </c>
      <c r="S15" s="12">
        <f t="shared" si="3"/>
        <v>0</v>
      </c>
      <c r="T15" s="12">
        <f t="shared" si="3"/>
        <v>0</v>
      </c>
      <c r="U15" s="26"/>
      <c r="V15" s="39"/>
      <c r="W15" s="38"/>
      <c r="X15" s="14"/>
    </row>
    <row r="16" spans="1:24" ht="15" customHeight="1" x14ac:dyDescent="0.25">
      <c r="A16" s="36"/>
      <c r="B16" s="39"/>
      <c r="C16" s="11"/>
      <c r="D16" s="11"/>
      <c r="E16" s="9" t="s">
        <v>17</v>
      </c>
      <c r="F16" s="3">
        <f>IFERROR(AVERAGE(F14:T14),"")</f>
        <v>86.666666666666671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26"/>
      <c r="V16" s="39"/>
      <c r="W16" s="38"/>
      <c r="X16" s="14"/>
    </row>
    <row r="17" spans="1:24" ht="15" customHeight="1" x14ac:dyDescent="0.25">
      <c r="A17" s="36"/>
      <c r="B17" s="39"/>
      <c r="C17" s="11"/>
      <c r="D17" s="11"/>
      <c r="E17" s="9" t="s">
        <v>18</v>
      </c>
      <c r="F17" s="3">
        <f>IFERROR(AVERAGE(F15:T15),"")</f>
        <v>36.666666666666664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26"/>
      <c r="V17" s="39"/>
      <c r="W17" s="38"/>
      <c r="X17" s="14"/>
    </row>
    <row r="18" spans="1:24" ht="15" customHeight="1" x14ac:dyDescent="0.25">
      <c r="A18" s="36"/>
      <c r="B18" s="39"/>
      <c r="C18" s="11"/>
      <c r="D18" s="11"/>
      <c r="E18" s="9" t="s">
        <v>19</v>
      </c>
      <c r="F18" s="2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6"/>
      <c r="V18" s="39"/>
      <c r="W18" s="38"/>
      <c r="X18" s="14"/>
    </row>
    <row r="19" spans="1:24" ht="15" customHeight="1" x14ac:dyDescent="0.25">
      <c r="A19" s="36"/>
      <c r="B19" s="39"/>
      <c r="C19" s="11"/>
      <c r="D19" s="11"/>
      <c r="E19" s="9" t="s">
        <v>20</v>
      </c>
      <c r="F19" s="24">
        <f>IF(COUNTIF(C11:C12,"=К")=0,IF(COUNTIF(C11:C12,"=Б")=0,"",0),COUNTIF(C11:C12,"=К"))</f>
        <v>2</v>
      </c>
      <c r="G19" s="11"/>
      <c r="H19" s="11"/>
      <c r="I19" s="17" t="s">
        <v>21</v>
      </c>
      <c r="J19" s="11"/>
      <c r="K19" s="11"/>
      <c r="L19" s="11"/>
      <c r="M19" s="11"/>
      <c r="N19" s="11"/>
      <c r="O19" s="11"/>
      <c r="P19" s="1" t="s">
        <v>46</v>
      </c>
      <c r="Q19" s="11"/>
      <c r="R19" s="11"/>
      <c r="S19" s="11"/>
      <c r="T19" s="11"/>
      <c r="U19" s="11"/>
      <c r="V19" s="39"/>
      <c r="W19" s="38"/>
    </row>
    <row r="20" spans="1:24" ht="15" customHeight="1" x14ac:dyDescent="0.25">
      <c r="A20" s="36"/>
      <c r="B20" s="39"/>
      <c r="C20" s="11"/>
      <c r="D20" s="11"/>
      <c r="E20" s="9" t="s">
        <v>22</v>
      </c>
      <c r="F20" s="2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39"/>
      <c r="W20" s="38"/>
    </row>
    <row r="21" spans="1:24" ht="15" customHeight="1" x14ac:dyDescent="0.25">
      <c r="A21" s="36"/>
      <c r="B21" s="39"/>
      <c r="C21" s="11"/>
      <c r="D21" s="11"/>
      <c r="E21" s="9" t="s">
        <v>23</v>
      </c>
      <c r="F21" s="24"/>
      <c r="G21" s="11"/>
      <c r="H21" s="11"/>
      <c r="I21" s="17" t="s">
        <v>24</v>
      </c>
      <c r="J21" s="11"/>
      <c r="K21" s="11"/>
      <c r="L21" s="11"/>
      <c r="M21" s="11"/>
      <c r="N21" s="11"/>
      <c r="O21" s="11"/>
      <c r="P21" s="17" t="s">
        <v>25</v>
      </c>
      <c r="Q21" s="11"/>
      <c r="R21" s="11"/>
      <c r="S21" s="11"/>
      <c r="T21" s="11"/>
      <c r="U21" s="11"/>
      <c r="V21" s="39"/>
      <c r="W21" s="38"/>
    </row>
    <row r="22" spans="1:24" ht="12" customHeight="1" thickBo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</row>
    <row r="23" spans="1:24" ht="12" customHeight="1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</sheetData>
  <sheetProtection selectLockedCells="1"/>
  <mergeCells count="18">
    <mergeCell ref="B23:V23"/>
    <mergeCell ref="C7:U7"/>
    <mergeCell ref="C8:U8"/>
    <mergeCell ref="C9:C10"/>
    <mergeCell ref="D9:D10"/>
    <mergeCell ref="E9:E10"/>
    <mergeCell ref="F9:U9"/>
    <mergeCell ref="B1:V1"/>
    <mergeCell ref="A2:A22"/>
    <mergeCell ref="B2:V2"/>
    <mergeCell ref="W2:W22"/>
    <mergeCell ref="B3:B21"/>
    <mergeCell ref="C3:U3"/>
    <mergeCell ref="V3:V21"/>
    <mergeCell ref="C4:U4"/>
    <mergeCell ref="C5:U5"/>
    <mergeCell ref="C6:U6"/>
    <mergeCell ref="B22:V22"/>
  </mergeCells>
  <conditionalFormatting sqref="C11:S11 F12:S12 T11:T12">
    <cfRule type="expression" dxfId="8" priority="5">
      <formula>$V$11&lt;&gt;""</formula>
    </cfRule>
  </conditionalFormatting>
  <conditionalFormatting sqref="U11:U12">
    <cfRule type="expression" dxfId="7" priority="3">
      <formula>$V$12&lt;&gt;""</formula>
    </cfRule>
  </conditionalFormatting>
  <conditionalFormatting sqref="C12:E12">
    <cfRule type="expression" dxfId="6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4"/>
  <sheetViews>
    <sheetView zoomScaleNormal="100" workbookViewId="0">
      <selection activeCell="C14" sqref="C14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4" ht="12" customHeight="1" thickBot="1" x14ac:dyDescent="0.3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4" ht="12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4" s="5" customFormat="1" ht="54.95" customHeight="1" x14ac:dyDescent="0.25">
      <c r="A3" s="36"/>
      <c r="B3" s="39"/>
      <c r="C3" s="40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8"/>
    </row>
    <row r="4" spans="1:24" s="5" customFormat="1" ht="15" customHeight="1" x14ac:dyDescent="0.25">
      <c r="A4" s="36"/>
      <c r="B4" s="39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8"/>
    </row>
    <row r="5" spans="1:24" s="6" customFormat="1" ht="15" customHeight="1" x14ac:dyDescent="0.25">
      <c r="A5" s="36"/>
      <c r="B5" s="39"/>
      <c r="C5" s="41" t="s">
        <v>26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9"/>
      <c r="W5" s="38"/>
    </row>
    <row r="6" spans="1:24" s="5" customFormat="1" ht="15" customHeight="1" x14ac:dyDescent="0.25">
      <c r="A6" s="36"/>
      <c r="B6" s="39"/>
      <c r="C6" s="42" t="s">
        <v>63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39"/>
      <c r="W6" s="38"/>
    </row>
    <row r="7" spans="1:24" s="5" customFormat="1" ht="15" customHeight="1" x14ac:dyDescent="0.25">
      <c r="A7" s="36"/>
      <c r="B7" s="39"/>
      <c r="C7" s="42" t="s">
        <v>71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9"/>
      <c r="W7" s="38"/>
    </row>
    <row r="8" spans="1:24" s="5" customFormat="1" ht="15" customHeight="1" x14ac:dyDescent="0.25">
      <c r="A8" s="36"/>
      <c r="B8" s="39"/>
      <c r="C8" s="39" t="s">
        <v>45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8"/>
    </row>
    <row r="9" spans="1:24" ht="15" customHeight="1" x14ac:dyDescent="0.25">
      <c r="A9" s="36"/>
      <c r="B9" s="39"/>
      <c r="C9" s="44" t="s">
        <v>1</v>
      </c>
      <c r="D9" s="46" t="s">
        <v>2</v>
      </c>
      <c r="E9" s="46" t="s">
        <v>3</v>
      </c>
      <c r="F9" s="45" t="s">
        <v>28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39"/>
      <c r="W9" s="38"/>
    </row>
    <row r="10" spans="1:24" ht="125.1" customHeight="1" x14ac:dyDescent="0.25">
      <c r="A10" s="36"/>
      <c r="B10" s="39"/>
      <c r="C10" s="45"/>
      <c r="D10" s="45"/>
      <c r="E10" s="45"/>
      <c r="F10" s="18" t="s">
        <v>70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74</v>
      </c>
      <c r="L10" s="18" t="s">
        <v>29</v>
      </c>
      <c r="M10" s="18" t="s">
        <v>7</v>
      </c>
      <c r="N10" s="18" t="s">
        <v>8</v>
      </c>
      <c r="O10" s="18" t="s">
        <v>32</v>
      </c>
      <c r="P10" s="18" t="s">
        <v>30</v>
      </c>
      <c r="Q10" s="18" t="s">
        <v>31</v>
      </c>
      <c r="R10" s="18" t="s">
        <v>9</v>
      </c>
      <c r="S10" s="18" t="s">
        <v>33</v>
      </c>
      <c r="T10" s="18" t="s">
        <v>10</v>
      </c>
      <c r="U10" s="7" t="s">
        <v>11</v>
      </c>
      <c r="V10" s="39"/>
      <c r="W10" s="38"/>
    </row>
    <row r="11" spans="1:24" ht="15" customHeight="1" x14ac:dyDescent="0.25">
      <c r="A11" s="36"/>
      <c r="B11" s="39"/>
      <c r="C11" s="25" t="s">
        <v>12</v>
      </c>
      <c r="D11" s="25">
        <v>1</v>
      </c>
      <c r="E11" s="9" t="s">
        <v>64</v>
      </c>
      <c r="F11" s="10">
        <v>6</v>
      </c>
      <c r="G11" s="10">
        <v>6</v>
      </c>
      <c r="H11" s="10">
        <v>6</v>
      </c>
      <c r="I11" s="10">
        <v>6</v>
      </c>
      <c r="J11" s="10">
        <v>5</v>
      </c>
      <c r="K11" s="10" t="s">
        <v>73</v>
      </c>
      <c r="L11" s="10">
        <v>5</v>
      </c>
      <c r="M11" s="10">
        <v>4</v>
      </c>
      <c r="N11" s="10" t="s">
        <v>73</v>
      </c>
      <c r="O11" s="10" t="s">
        <v>73</v>
      </c>
      <c r="P11" s="10">
        <v>4</v>
      </c>
      <c r="Q11" s="10">
        <v>4</v>
      </c>
      <c r="R11" s="10">
        <v>4</v>
      </c>
      <c r="S11" s="10">
        <v>4</v>
      </c>
      <c r="T11" s="10">
        <v>4</v>
      </c>
      <c r="U11" s="2" t="str">
        <f t="shared" ref="U11:U13" si="0">IF(COUNTIF(F11:T11,"=*")&gt;0,"-",IF(COUNTIF(F11:T11,"&lt;4")&gt;0,"-",(IFERROR(AVERAGE(F11:T11),""))))</f>
        <v>-</v>
      </c>
      <c r="V11" s="39"/>
      <c r="W11" s="38"/>
    </row>
    <row r="12" spans="1:24" ht="15" customHeight="1" x14ac:dyDescent="0.25">
      <c r="A12" s="36"/>
      <c r="B12" s="39"/>
      <c r="C12" s="25" t="s">
        <v>12</v>
      </c>
      <c r="D12" s="25">
        <v>2</v>
      </c>
      <c r="E12" s="9" t="s">
        <v>65</v>
      </c>
      <c r="F12" s="10">
        <v>8</v>
      </c>
      <c r="G12" s="10">
        <v>10</v>
      </c>
      <c r="H12" s="10">
        <v>9</v>
      </c>
      <c r="I12" s="10">
        <v>8</v>
      </c>
      <c r="J12" s="10">
        <v>8</v>
      </c>
      <c r="K12" s="10">
        <v>9</v>
      </c>
      <c r="L12" s="10">
        <v>8</v>
      </c>
      <c r="M12" s="10">
        <v>9</v>
      </c>
      <c r="N12" s="10">
        <v>9</v>
      </c>
      <c r="O12" s="10">
        <v>6</v>
      </c>
      <c r="P12" s="10">
        <v>10</v>
      </c>
      <c r="Q12" s="10">
        <v>10</v>
      </c>
      <c r="R12" s="10">
        <v>7</v>
      </c>
      <c r="S12" s="10">
        <v>10</v>
      </c>
      <c r="T12" s="10">
        <v>7</v>
      </c>
      <c r="U12" s="2">
        <f t="shared" si="0"/>
        <v>8.5333333333333332</v>
      </c>
      <c r="V12" s="39"/>
      <c r="W12" s="38"/>
    </row>
    <row r="13" spans="1:24" ht="15" customHeight="1" x14ac:dyDescent="0.25">
      <c r="A13" s="36"/>
      <c r="B13" s="39"/>
      <c r="C13" s="25" t="s">
        <v>12</v>
      </c>
      <c r="D13" s="25">
        <v>3</v>
      </c>
      <c r="E13" s="9" t="s">
        <v>66</v>
      </c>
      <c r="F13" s="10">
        <v>10</v>
      </c>
      <c r="G13" s="10">
        <v>10</v>
      </c>
      <c r="H13" s="10">
        <v>9</v>
      </c>
      <c r="I13" s="10">
        <v>11</v>
      </c>
      <c r="J13" s="10">
        <v>10</v>
      </c>
      <c r="K13" s="10">
        <v>9</v>
      </c>
      <c r="L13" s="10">
        <v>10</v>
      </c>
      <c r="M13" s="10">
        <v>10</v>
      </c>
      <c r="N13" s="10">
        <v>9</v>
      </c>
      <c r="O13" s="10">
        <v>8</v>
      </c>
      <c r="P13" s="10">
        <v>11</v>
      </c>
      <c r="Q13" s="10">
        <v>10</v>
      </c>
      <c r="R13" s="10">
        <v>9</v>
      </c>
      <c r="S13" s="10">
        <v>10</v>
      </c>
      <c r="T13" s="10">
        <v>7</v>
      </c>
      <c r="U13" s="2">
        <f t="shared" si="0"/>
        <v>9.5333333333333332</v>
      </c>
      <c r="V13" s="39"/>
      <c r="W13" s="38"/>
    </row>
    <row r="14" spans="1:24" ht="15" customHeight="1" x14ac:dyDescent="0.25">
      <c r="A14" s="36"/>
      <c r="B14" s="39"/>
      <c r="C14" s="11"/>
      <c r="D14" s="11"/>
      <c r="E14" s="9" t="s">
        <v>14</v>
      </c>
      <c r="F14" s="3">
        <f t="shared" ref="F14:T14" si="1">IF(SUM(F11:F13)=0,"",SUM(F11:F13)/$D13)</f>
        <v>8</v>
      </c>
      <c r="G14" s="3">
        <f t="shared" si="1"/>
        <v>8.6666666666666661</v>
      </c>
      <c r="H14" s="3">
        <f t="shared" si="1"/>
        <v>8</v>
      </c>
      <c r="I14" s="3">
        <f t="shared" si="1"/>
        <v>8.3333333333333339</v>
      </c>
      <c r="J14" s="3">
        <f t="shared" si="1"/>
        <v>7.666666666666667</v>
      </c>
      <c r="K14" s="3">
        <f t="shared" si="1"/>
        <v>6</v>
      </c>
      <c r="L14" s="3">
        <f t="shared" si="1"/>
        <v>7.666666666666667</v>
      </c>
      <c r="M14" s="3">
        <f t="shared" si="1"/>
        <v>7.666666666666667</v>
      </c>
      <c r="N14" s="3">
        <f t="shared" si="1"/>
        <v>6</v>
      </c>
      <c r="O14" s="3">
        <f t="shared" si="1"/>
        <v>4.666666666666667</v>
      </c>
      <c r="P14" s="3">
        <f t="shared" si="1"/>
        <v>8.3333333333333339</v>
      </c>
      <c r="Q14" s="3">
        <f t="shared" si="1"/>
        <v>8</v>
      </c>
      <c r="R14" s="3">
        <f t="shared" si="1"/>
        <v>6.666666666666667</v>
      </c>
      <c r="S14" s="3">
        <f t="shared" si="1"/>
        <v>8</v>
      </c>
      <c r="T14" s="3">
        <f t="shared" si="1"/>
        <v>6</v>
      </c>
      <c r="U14" s="2">
        <f>IFERROR(AVERAGE(F14:T14),"")</f>
        <v>7.3111111111111118</v>
      </c>
      <c r="V14" s="39"/>
      <c r="W14" s="38"/>
    </row>
    <row r="15" spans="1:24" ht="15" customHeight="1" x14ac:dyDescent="0.25">
      <c r="A15" s="36"/>
      <c r="B15" s="39"/>
      <c r="C15" s="11"/>
      <c r="D15" s="11"/>
      <c r="E15" s="9" t="s">
        <v>15</v>
      </c>
      <c r="F15" s="12">
        <f t="shared" ref="F15:T15" si="2">IF(SUM(F11:F13)=0,"",IF(COUNTIF(F11:F13,"&gt;=4")=0,0,COUNTIF(F11:F13,"&gt;=4")/$D13*100))</f>
        <v>100</v>
      </c>
      <c r="G15" s="12">
        <f t="shared" si="2"/>
        <v>100</v>
      </c>
      <c r="H15" s="12">
        <f t="shared" si="2"/>
        <v>100</v>
      </c>
      <c r="I15" s="12">
        <f t="shared" si="2"/>
        <v>100</v>
      </c>
      <c r="J15" s="12">
        <f t="shared" si="2"/>
        <v>100</v>
      </c>
      <c r="K15" s="12">
        <f t="shared" si="2"/>
        <v>66.666666666666657</v>
      </c>
      <c r="L15" s="12">
        <f t="shared" si="2"/>
        <v>100</v>
      </c>
      <c r="M15" s="12">
        <f t="shared" si="2"/>
        <v>100</v>
      </c>
      <c r="N15" s="12">
        <f t="shared" si="2"/>
        <v>66.666666666666657</v>
      </c>
      <c r="O15" s="12">
        <f t="shared" si="2"/>
        <v>66.666666666666657</v>
      </c>
      <c r="P15" s="12">
        <f t="shared" si="2"/>
        <v>100</v>
      </c>
      <c r="Q15" s="12">
        <f t="shared" si="2"/>
        <v>100</v>
      </c>
      <c r="R15" s="12">
        <f t="shared" si="2"/>
        <v>100</v>
      </c>
      <c r="S15" s="12">
        <f t="shared" si="2"/>
        <v>100</v>
      </c>
      <c r="T15" s="12">
        <f t="shared" si="2"/>
        <v>100</v>
      </c>
      <c r="U15" s="13"/>
      <c r="V15" s="39"/>
      <c r="W15" s="38"/>
      <c r="X15" s="14"/>
    </row>
    <row r="16" spans="1:24" ht="15" customHeight="1" x14ac:dyDescent="0.25">
      <c r="A16" s="36"/>
      <c r="B16" s="39"/>
      <c r="C16" s="11"/>
      <c r="D16" s="11"/>
      <c r="E16" s="9" t="s">
        <v>16</v>
      </c>
      <c r="F16" s="12">
        <f t="shared" ref="F16:T16" si="3">IF(SUM(F11:F13)=0,"",IF(COUNTIF(F11:F13,"&gt;=7")=0,0,COUNTIF(F11:F13,"&gt;=7")/$D13*100))</f>
        <v>66.666666666666657</v>
      </c>
      <c r="G16" s="12">
        <f t="shared" si="3"/>
        <v>66.666666666666657</v>
      </c>
      <c r="H16" s="12">
        <f t="shared" si="3"/>
        <v>66.666666666666657</v>
      </c>
      <c r="I16" s="12">
        <f t="shared" si="3"/>
        <v>66.666666666666657</v>
      </c>
      <c r="J16" s="12">
        <f t="shared" si="3"/>
        <v>66.666666666666657</v>
      </c>
      <c r="K16" s="12">
        <f t="shared" si="3"/>
        <v>66.666666666666657</v>
      </c>
      <c r="L16" s="12">
        <f t="shared" si="3"/>
        <v>66.666666666666657</v>
      </c>
      <c r="M16" s="12">
        <f t="shared" si="3"/>
        <v>66.666666666666657</v>
      </c>
      <c r="N16" s="12">
        <f t="shared" si="3"/>
        <v>66.666666666666657</v>
      </c>
      <c r="O16" s="12">
        <f t="shared" si="3"/>
        <v>33.333333333333329</v>
      </c>
      <c r="P16" s="12">
        <f t="shared" si="3"/>
        <v>66.666666666666657</v>
      </c>
      <c r="Q16" s="12">
        <f t="shared" si="3"/>
        <v>66.666666666666657</v>
      </c>
      <c r="R16" s="12">
        <f t="shared" si="3"/>
        <v>66.666666666666657</v>
      </c>
      <c r="S16" s="12">
        <f t="shared" si="3"/>
        <v>66.666666666666657</v>
      </c>
      <c r="T16" s="12">
        <f t="shared" si="3"/>
        <v>66.666666666666657</v>
      </c>
      <c r="U16" s="26"/>
      <c r="V16" s="39"/>
      <c r="W16" s="38"/>
      <c r="X16" s="14"/>
    </row>
    <row r="17" spans="1:24" ht="15" customHeight="1" x14ac:dyDescent="0.25">
      <c r="A17" s="36"/>
      <c r="B17" s="39"/>
      <c r="C17" s="11"/>
      <c r="D17" s="11"/>
      <c r="E17" s="9" t="s">
        <v>17</v>
      </c>
      <c r="F17" s="3">
        <f>IFERROR(AVERAGE(F15:T15),"")</f>
        <v>93.333333333333329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26"/>
      <c r="V17" s="39"/>
      <c r="W17" s="38"/>
      <c r="X17" s="14"/>
    </row>
    <row r="18" spans="1:24" ht="15" customHeight="1" x14ac:dyDescent="0.25">
      <c r="A18" s="36"/>
      <c r="B18" s="39"/>
      <c r="C18" s="11"/>
      <c r="D18" s="11"/>
      <c r="E18" s="9" t="s">
        <v>18</v>
      </c>
      <c r="F18" s="3">
        <f>IFERROR(AVERAGE(F16:T16),"")</f>
        <v>64.444444444444414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6"/>
      <c r="V18" s="39"/>
      <c r="W18" s="38"/>
      <c r="X18" s="14"/>
    </row>
    <row r="19" spans="1:24" ht="15" customHeight="1" x14ac:dyDescent="0.25">
      <c r="A19" s="36"/>
      <c r="B19" s="39"/>
      <c r="C19" s="11"/>
      <c r="D19" s="11"/>
      <c r="E19" s="9" t="s">
        <v>19</v>
      </c>
      <c r="F19" s="24">
        <f>IF(COUNTIF(C11:C13,"=Б")=0,IF(COUNTIF(C11:C13,"=К")=0,"",0),COUNTIF(C11:C13,"=Б"))</f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26"/>
      <c r="V19" s="39"/>
      <c r="W19" s="38"/>
      <c r="X19" s="14"/>
    </row>
    <row r="20" spans="1:24" ht="15" customHeight="1" x14ac:dyDescent="0.25">
      <c r="A20" s="36"/>
      <c r="B20" s="39"/>
      <c r="C20" s="11"/>
      <c r="D20" s="11"/>
      <c r="E20" s="9" t="s">
        <v>20</v>
      </c>
      <c r="F20" s="24">
        <f>IF(COUNTIF(C11:C13,"=К")=0,IF(COUNTIF(C11:C13,"=Б")=0,"",0),COUNTIF(C11:C13,"=К"))</f>
        <v>3</v>
      </c>
      <c r="G20" s="11"/>
      <c r="H20" s="11"/>
      <c r="I20" s="17" t="s">
        <v>21</v>
      </c>
      <c r="J20" s="11"/>
      <c r="K20" s="11"/>
      <c r="L20" s="11"/>
      <c r="M20" s="11"/>
      <c r="N20" s="11"/>
      <c r="O20" s="11"/>
      <c r="P20" s="1" t="s">
        <v>46</v>
      </c>
      <c r="Q20" s="11"/>
      <c r="R20" s="11"/>
      <c r="S20" s="11"/>
      <c r="T20" s="11"/>
      <c r="U20" s="11"/>
      <c r="V20" s="39"/>
      <c r="W20" s="38"/>
    </row>
    <row r="21" spans="1:24" ht="15" customHeight="1" x14ac:dyDescent="0.25">
      <c r="A21" s="36"/>
      <c r="B21" s="39"/>
      <c r="C21" s="11"/>
      <c r="D21" s="11"/>
      <c r="E21" s="9" t="s">
        <v>22</v>
      </c>
      <c r="F21" s="2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39"/>
      <c r="W21" s="38"/>
    </row>
    <row r="22" spans="1:24" ht="15" customHeight="1" x14ac:dyDescent="0.25">
      <c r="A22" s="36"/>
      <c r="B22" s="39"/>
      <c r="C22" s="11"/>
      <c r="D22" s="11"/>
      <c r="E22" s="9" t="s">
        <v>23</v>
      </c>
      <c r="F22" s="24"/>
      <c r="G22" s="11"/>
      <c r="H22" s="11"/>
      <c r="I22" s="17" t="s">
        <v>24</v>
      </c>
      <c r="J22" s="11"/>
      <c r="K22" s="11"/>
      <c r="L22" s="11"/>
      <c r="M22" s="11"/>
      <c r="N22" s="11"/>
      <c r="O22" s="11"/>
      <c r="P22" s="17" t="s">
        <v>25</v>
      </c>
      <c r="Q22" s="11"/>
      <c r="R22" s="11"/>
      <c r="S22" s="11"/>
      <c r="T22" s="11"/>
      <c r="U22" s="11"/>
      <c r="V22" s="39"/>
      <c r="W22" s="38"/>
    </row>
    <row r="23" spans="1:24" ht="12" customHeight="1" thickBot="1" x14ac:dyDescent="0.3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8"/>
    </row>
    <row r="24" spans="1:24" ht="12" customHeight="1" x14ac:dyDescent="0.25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</sheetData>
  <sheetProtection selectLockedCells="1"/>
  <mergeCells count="18">
    <mergeCell ref="B24:V24"/>
    <mergeCell ref="C7:U7"/>
    <mergeCell ref="C8:U8"/>
    <mergeCell ref="C9:C10"/>
    <mergeCell ref="D9:D10"/>
    <mergeCell ref="E9:E10"/>
    <mergeCell ref="F9:U9"/>
    <mergeCell ref="B1:V1"/>
    <mergeCell ref="A2:A23"/>
    <mergeCell ref="B2:V2"/>
    <mergeCell ref="W2:W23"/>
    <mergeCell ref="B3:B22"/>
    <mergeCell ref="C3:U3"/>
    <mergeCell ref="V3:V22"/>
    <mergeCell ref="C4:U4"/>
    <mergeCell ref="C5:U5"/>
    <mergeCell ref="C6:U6"/>
    <mergeCell ref="B23:V23"/>
  </mergeCells>
  <conditionalFormatting sqref="U11:U12">
    <cfRule type="expression" dxfId="5" priority="7">
      <formula>$V$13&lt;&gt;""</formula>
    </cfRule>
  </conditionalFormatting>
  <conditionalFormatting sqref="F11:T13">
    <cfRule type="expression" dxfId="4" priority="8">
      <formula>#REF!&lt;&gt;""</formula>
    </cfRule>
  </conditionalFormatting>
  <conditionalFormatting sqref="C11:E11">
    <cfRule type="expression" dxfId="3" priority="9">
      <formula>$V$11&lt;&gt;""</formula>
    </cfRule>
  </conditionalFormatting>
  <conditionalFormatting sqref="C12:E12">
    <cfRule type="expression" dxfId="2" priority="10">
      <formula>$V$12&lt;&gt;""</formula>
    </cfRule>
  </conditionalFormatting>
  <conditionalFormatting sqref="U13">
    <cfRule type="expression" dxfId="1" priority="6">
      <formula>$V$13&lt;&gt;""</formula>
    </cfRule>
  </conditionalFormatting>
  <conditionalFormatting sqref="C13:E13">
    <cfRule type="expression" dxfId="0" priority="5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Зведена 101</vt:lpstr>
      <vt:lpstr>Рейтингова відомість 101</vt:lpstr>
      <vt:lpstr>Зведена 161</vt:lpstr>
      <vt:lpstr>Рейтингова відомість 161</vt:lpstr>
      <vt:lpstr>Зведена 172</vt:lpstr>
      <vt:lpstr>Зведена 241</vt:lpstr>
      <vt:lpstr>Зведена 181</vt:lpstr>
      <vt:lpstr>'Зведена 101'!Область_печати</vt:lpstr>
      <vt:lpstr>'Зведена 161'!Область_печати</vt:lpstr>
      <vt:lpstr>'Зведена 172'!Область_печати</vt:lpstr>
      <vt:lpstr>'Зведена 181'!Область_печати</vt:lpstr>
      <vt:lpstr>'Зведена 241'!Область_печати</vt:lpstr>
      <vt:lpstr>'Рейтингова відомість 101'!Область_печати</vt:lpstr>
      <vt:lpstr>'Рейтингова відомість 161'!Область_печати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RePack by Diakov</cp:lastModifiedBy>
  <cp:revision/>
  <cp:lastPrinted>2023-05-09T12:08:03Z</cp:lastPrinted>
  <dcterms:created xsi:type="dcterms:W3CDTF">2006-09-28T05:33:49Z</dcterms:created>
  <dcterms:modified xsi:type="dcterms:W3CDTF">2024-07-05T10:03:38Z</dcterms:modified>
  <cp:category/>
  <cp:contentStatus/>
</cp:coreProperties>
</file>