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0" windowWidth="19410" windowHeight="11640"/>
  </bookViews>
  <sheets>
    <sheet name="Зведена 076" sheetId="38" r:id="rId1"/>
    <sheet name="Рейтингова відомість 076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076'!$B$2:$V$49</definedName>
    <definedName name="_xlnm.Print_Area" localSheetId="1">'Рейтингова відомість 076'!$B$2:$W$35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14" i="39" l="1"/>
  <c r="V14" i="39" s="1"/>
  <c r="U23" i="39"/>
  <c r="V23" i="39" s="1"/>
  <c r="U30" i="39" l="1"/>
  <c r="V30" i="39" s="1"/>
  <c r="U18" i="39"/>
  <c r="V18" i="39" s="1"/>
  <c r="U13" i="39"/>
  <c r="V13" i="39" s="1"/>
  <c r="U12" i="39"/>
  <c r="V12" i="39" s="1"/>
  <c r="U21" i="39"/>
  <c r="V21" i="39" s="1"/>
  <c r="U11" i="39"/>
  <c r="V11" i="39" s="1"/>
  <c r="U26" i="39"/>
  <c r="V26" i="39" s="1"/>
  <c r="U25" i="39"/>
  <c r="V25" i="39" s="1"/>
  <c r="U24" i="39"/>
  <c r="V24" i="39" s="1"/>
  <c r="U20" i="39"/>
  <c r="V20" i="39" s="1"/>
  <c r="U15" i="39"/>
  <c r="V15" i="39" s="1"/>
  <c r="U28" i="39"/>
  <c r="V28" i="39" s="1"/>
  <c r="U17" i="39"/>
  <c r="V17" i="39" s="1"/>
  <c r="U27" i="39"/>
  <c r="V27" i="39" s="1"/>
  <c r="U19" i="39"/>
  <c r="V19" i="39" s="1"/>
  <c r="U16" i="39"/>
  <c r="V16" i="39" s="1"/>
  <c r="U29" i="39"/>
  <c r="V29" i="39" s="1"/>
  <c r="U22" i="39"/>
  <c r="V22" i="39" s="1"/>
  <c r="F34" i="39"/>
  <c r="F33" i="39"/>
  <c r="F32" i="39"/>
  <c r="F31" i="39"/>
  <c r="U11" i="38" l="1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G42" i="38"/>
  <c r="H42" i="38"/>
  <c r="I42" i="38"/>
  <c r="J42" i="38"/>
  <c r="K42" i="38"/>
  <c r="L42" i="38"/>
  <c r="M42" i="38"/>
  <c r="N42" i="38"/>
  <c r="O42" i="38"/>
  <c r="P42" i="38"/>
  <c r="Q42" i="38"/>
  <c r="R42" i="38"/>
  <c r="S42" i="38"/>
  <c r="T42" i="38"/>
  <c r="F42" i="38"/>
  <c r="F41" i="38"/>
  <c r="F40" i="38"/>
  <c r="U39" i="38" l="1"/>
  <c r="F46" i="38" l="1"/>
  <c r="F45" i="38"/>
  <c r="U40" i="38" l="1"/>
  <c r="F43" i="38"/>
  <c r="F44" i="38"/>
</calcChain>
</file>

<file path=xl/sharedStrings.xml><?xml version="1.0" encoding="utf-8"?>
<sst xmlns="http://schemas.openxmlformats.org/spreadsheetml/2006/main" count="180" uniqueCount="73">
  <si>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</si>
  <si>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</si>
  <si>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</si>
  <si>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</si>
  <si>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</si>
  <si>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</si>
  <si>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</si>
  <si>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</si>
  <si>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</si>
  <si>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</si>
  <si>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</si>
  <si>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</si>
  <si>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</si>
  <si>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</si>
  <si>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</si>
  <si>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</si>
  <si>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</si>
  <si>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</si>
  <si>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</si>
  <si>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</si>
  <si>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</si>
  <si>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</si>
  <si>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</si>
  <si>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</si>
  <si>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</si>
  <si>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</si>
  <si>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</si>
  <si>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</si>
  <si>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Математика
Бондаренко О.С.</t>
  </si>
  <si>
    <t>Бенга Роман Анатолійович</t>
  </si>
  <si>
    <t>Бордусь Юлія Денисівна</t>
  </si>
  <si>
    <t>Буцин Дмитро Віталійович</t>
  </si>
  <si>
    <t>Грінівецький Богдан Олегович</t>
  </si>
  <si>
    <t>Давиденко Мар`яна Ігорівна</t>
  </si>
  <si>
    <t>Данько Денис Віталійович</t>
  </si>
  <si>
    <t>Деренько Богдан Володимирович</t>
  </si>
  <si>
    <t>Козир Ілля Олегович</t>
  </si>
  <si>
    <t>Колесник Аріна Сергіївна</t>
  </si>
  <si>
    <t>Котельніков Максим Владиславович</t>
  </si>
  <si>
    <t>Крупін Вадим Вячеславович</t>
  </si>
  <si>
    <t>Любицька Марія Владиславівна</t>
  </si>
  <si>
    <t>Лях Вікторія Василівна</t>
  </si>
  <si>
    <t>Малахов-Саркісян Артур Денисович</t>
  </si>
  <si>
    <t>Мальчев Давид Дмитрович</t>
  </si>
  <si>
    <t>Матвієнко Олександр Олексійович</t>
  </si>
  <si>
    <t>Міхов Денис Юрійович</t>
  </si>
  <si>
    <t>Осадченко Владислава Дем`янівна</t>
  </si>
  <si>
    <t>Попко Олег Cтефанович</t>
  </si>
  <si>
    <t>Семенова Ксенія Іванівна</t>
  </si>
  <si>
    <t>Сіренко Карина Максимівна</t>
  </si>
  <si>
    <t>Стрелецький Олексій Анатолійович</t>
  </si>
  <si>
    <t>Урманов Леонід Олегович</t>
  </si>
  <si>
    <t>Чайковська Олександра Віталіївна</t>
  </si>
  <si>
    <t>Чепурна Аліна Євгенівна</t>
  </si>
  <si>
    <t>Чернов Андрій Андрійович</t>
  </si>
  <si>
    <t>Чумаченко Данило Олександрович</t>
  </si>
  <si>
    <t>Шевченко Дарія Володимирівна</t>
  </si>
  <si>
    <t>Яновські Ксенія Мартинівна</t>
  </si>
  <si>
    <t>Іноземна мова
Нічик Н.О.</t>
  </si>
  <si>
    <t>Українська література
Антропова Л.І.</t>
  </si>
  <si>
    <t>Українська мова
Антропова Л.І.</t>
  </si>
  <si>
    <t>Наталія КРУПІНА</t>
  </si>
  <si>
    <t>Успішності студентів спеціальності 076 «Підприємництво, торгівля та біржова діяльність»</t>
  </si>
  <si>
    <t>Група 23-2 курс І</t>
  </si>
  <si>
    <t>Підсумкові оцінки дисциплін</t>
  </si>
  <si>
    <t>Завідувачка відділення ПЗСО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</si>
  <si>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</si>
  <si>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</si>
  <si>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</si>
  <si>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н/а</t>
  </si>
  <si>
    <t>Захист України
Лазар В.І.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</si>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</sst>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3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1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50"/>
  <sheetViews>
    <sheetView tabSelected="1" zoomScale="85" zoomScaleNormal="8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3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5" customFormat="1" ht="54.95" customHeight="1" x14ac:dyDescent="0.3">
      <c r="A3" s="31"/>
      <c r="B3" s="34"/>
      <c r="C3" s="35" t="s">
        <v>68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4"/>
      <c r="W3" s="33"/>
    </row>
    <row r="4" spans="1:23" s="5" customFormat="1" ht="15" customHeight="1" x14ac:dyDescent="0.25">
      <c r="A4" s="31"/>
      <c r="B4" s="34"/>
      <c r="C4" s="34" t="s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3"/>
    </row>
    <row r="5" spans="1:23" s="6" customFormat="1" ht="15" customHeight="1" x14ac:dyDescent="0.25">
      <c r="A5" s="31"/>
      <c r="B5" s="34"/>
      <c r="C5" s="37" t="s">
        <v>26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4"/>
      <c r="W5" s="33"/>
    </row>
    <row r="6" spans="1:23" s="5" customFormat="1" ht="15" customHeight="1" x14ac:dyDescent="0.25">
      <c r="A6" s="31"/>
      <c r="B6" s="34"/>
      <c r="C6" s="38" t="s">
        <v>62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4"/>
      <c r="W6" s="33"/>
    </row>
    <row r="7" spans="1:23" s="5" customFormat="1" ht="15" customHeight="1" x14ac:dyDescent="0.25">
      <c r="A7" s="31"/>
      <c r="B7" s="34"/>
      <c r="C7" s="38" t="s">
        <v>67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4"/>
      <c r="W7" s="33"/>
    </row>
    <row r="8" spans="1:23" s="5" customFormat="1" ht="15" customHeight="1" x14ac:dyDescent="0.25">
      <c r="A8" s="31"/>
      <c r="B8" s="34"/>
      <c r="C8" s="34" t="s">
        <v>63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3"/>
    </row>
    <row r="9" spans="1:23" ht="15" customHeight="1" x14ac:dyDescent="0.25">
      <c r="A9" s="31"/>
      <c r="B9" s="34"/>
      <c r="C9" s="40" t="s">
        <v>1</v>
      </c>
      <c r="D9" s="42" t="s">
        <v>2</v>
      </c>
      <c r="E9" s="42" t="s">
        <v>3</v>
      </c>
      <c r="F9" s="41" t="s">
        <v>64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34"/>
      <c r="W9" s="33"/>
    </row>
    <row r="10" spans="1:23" ht="125.1" customHeight="1" x14ac:dyDescent="0.25">
      <c r="A10" s="31"/>
      <c r="B10" s="34"/>
      <c r="C10" s="41"/>
      <c r="D10" s="41"/>
      <c r="E10" s="41"/>
      <c r="F10" s="18" t="s">
        <v>66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70</v>
      </c>
      <c r="L10" s="18" t="s">
        <v>58</v>
      </c>
      <c r="M10" s="18" t="s">
        <v>7</v>
      </c>
      <c r="N10" s="18" t="s">
        <v>8</v>
      </c>
      <c r="O10" s="18" t="s">
        <v>28</v>
      </c>
      <c r="P10" s="18" t="s">
        <v>59</v>
      </c>
      <c r="Q10" s="18" t="s">
        <v>60</v>
      </c>
      <c r="R10" s="18" t="s">
        <v>9</v>
      </c>
      <c r="S10" s="18" t="s">
        <v>10</v>
      </c>
      <c r="T10" s="18" t="s">
        <v>11</v>
      </c>
      <c r="U10" s="7" t="s">
        <v>12</v>
      </c>
      <c r="V10" s="34"/>
      <c r="W10" s="33"/>
    </row>
    <row r="11" spans="1:23" ht="15" customHeight="1" x14ac:dyDescent="0.25">
      <c r="A11" s="31"/>
      <c r="B11" s="34"/>
      <c r="C11" s="8" t="s">
        <v>14</v>
      </c>
      <c r="D11" s="8">
        <v>1</v>
      </c>
      <c r="E11" s="9" t="s">
        <v>29</v>
      </c>
      <c r="F11" s="10">
        <v>6</v>
      </c>
      <c r="G11" s="10">
        <v>7</v>
      </c>
      <c r="H11" s="10">
        <v>9</v>
      </c>
      <c r="I11" s="10">
        <v>6</v>
      </c>
      <c r="J11" s="10">
        <v>5</v>
      </c>
      <c r="K11" s="10">
        <v>5</v>
      </c>
      <c r="L11" s="10">
        <v>4</v>
      </c>
      <c r="M11" s="10">
        <v>4</v>
      </c>
      <c r="N11" s="10" t="s">
        <v>69</v>
      </c>
      <c r="O11" s="10">
        <v>5</v>
      </c>
      <c r="P11" s="10">
        <v>4</v>
      </c>
      <c r="Q11" s="10">
        <v>5</v>
      </c>
      <c r="R11" s="10">
        <v>4</v>
      </c>
      <c r="S11" s="10">
        <v>10</v>
      </c>
      <c r="T11" s="10">
        <v>5</v>
      </c>
      <c r="U11" s="2" t="str">
        <f t="shared" ref="U11:U38" si="0">IF(COUNTIF(F11:T11,"=*")&gt;0,"-",IF(COUNTIF(F11:T11,"&lt;4")&gt;0,"-",(IFERROR(AVERAGE(F11:T11),""))))</f>
        <v>-</v>
      </c>
      <c r="V11" s="34"/>
      <c r="W11" s="33"/>
    </row>
    <row r="12" spans="1:23" ht="15" customHeight="1" x14ac:dyDescent="0.25">
      <c r="A12" s="31"/>
      <c r="B12" s="34"/>
      <c r="C12" s="8" t="s">
        <v>14</v>
      </c>
      <c r="D12" s="8">
        <v>2</v>
      </c>
      <c r="E12" s="9" t="s">
        <v>30</v>
      </c>
      <c r="F12" s="10">
        <v>10</v>
      </c>
      <c r="G12" s="10">
        <v>8</v>
      </c>
      <c r="H12" s="10">
        <v>9</v>
      </c>
      <c r="I12" s="10">
        <v>9</v>
      </c>
      <c r="J12" s="10">
        <v>10</v>
      </c>
      <c r="K12" s="10">
        <v>7</v>
      </c>
      <c r="L12" s="10">
        <v>6</v>
      </c>
      <c r="M12" s="10">
        <v>7</v>
      </c>
      <c r="N12" s="10">
        <v>7</v>
      </c>
      <c r="O12" s="10">
        <v>5</v>
      </c>
      <c r="P12" s="10">
        <v>6</v>
      </c>
      <c r="Q12" s="10">
        <v>6</v>
      </c>
      <c r="R12" s="10">
        <v>5</v>
      </c>
      <c r="S12" s="10">
        <v>8</v>
      </c>
      <c r="T12" s="10">
        <v>6</v>
      </c>
      <c r="U12" s="2">
        <f t="shared" si="0"/>
        <v>7.2666666666666666</v>
      </c>
      <c r="V12" s="34"/>
      <c r="W12" s="33"/>
    </row>
    <row r="13" spans="1:23" ht="15" customHeight="1" x14ac:dyDescent="0.25">
      <c r="A13" s="31"/>
      <c r="B13" s="34"/>
      <c r="C13" s="8" t="s">
        <v>13</v>
      </c>
      <c r="D13" s="8">
        <v>3</v>
      </c>
      <c r="E13" s="9" t="s">
        <v>31</v>
      </c>
      <c r="F13" s="10">
        <v>6</v>
      </c>
      <c r="G13" s="10">
        <v>6</v>
      </c>
      <c r="H13" s="10">
        <v>10</v>
      </c>
      <c r="I13" s="10">
        <v>6</v>
      </c>
      <c r="J13" s="10">
        <v>6</v>
      </c>
      <c r="K13" s="10">
        <v>7</v>
      </c>
      <c r="L13" s="10">
        <v>6</v>
      </c>
      <c r="M13" s="10">
        <v>4</v>
      </c>
      <c r="N13" s="10">
        <v>6</v>
      </c>
      <c r="O13" s="10">
        <v>4</v>
      </c>
      <c r="P13" s="10">
        <v>5</v>
      </c>
      <c r="Q13" s="10">
        <v>5</v>
      </c>
      <c r="R13" s="10">
        <v>4</v>
      </c>
      <c r="S13" s="10">
        <v>6</v>
      </c>
      <c r="T13" s="10">
        <v>5</v>
      </c>
      <c r="U13" s="2">
        <f t="shared" si="0"/>
        <v>5.7333333333333334</v>
      </c>
      <c r="V13" s="34"/>
      <c r="W13" s="33"/>
    </row>
    <row r="14" spans="1:23" ht="15" customHeight="1" x14ac:dyDescent="0.25">
      <c r="A14" s="31"/>
      <c r="B14" s="34"/>
      <c r="C14" s="8" t="s">
        <v>14</v>
      </c>
      <c r="D14" s="8">
        <v>4</v>
      </c>
      <c r="E14" s="9" t="s">
        <v>32</v>
      </c>
      <c r="F14" s="10">
        <v>6</v>
      </c>
      <c r="G14" s="10">
        <v>4</v>
      </c>
      <c r="H14" s="10">
        <v>6</v>
      </c>
      <c r="I14" s="10">
        <v>6</v>
      </c>
      <c r="J14" s="10">
        <v>6</v>
      </c>
      <c r="K14" s="10">
        <v>4</v>
      </c>
      <c r="L14" s="10">
        <v>4</v>
      </c>
      <c r="M14" s="10">
        <v>5</v>
      </c>
      <c r="N14" s="10">
        <v>5</v>
      </c>
      <c r="O14" s="10">
        <v>4</v>
      </c>
      <c r="P14" s="10">
        <v>5</v>
      </c>
      <c r="Q14" s="10">
        <v>6</v>
      </c>
      <c r="R14" s="10">
        <v>4</v>
      </c>
      <c r="S14" s="10">
        <v>6</v>
      </c>
      <c r="T14" s="10">
        <v>5</v>
      </c>
      <c r="U14" s="2">
        <f t="shared" si="0"/>
        <v>5.0666666666666664</v>
      </c>
      <c r="V14" s="34"/>
      <c r="W14" s="33"/>
    </row>
    <row r="15" spans="1:23" ht="15" customHeight="1" x14ac:dyDescent="0.25">
      <c r="A15" s="31"/>
      <c r="B15" s="34"/>
      <c r="C15" s="8" t="s">
        <v>14</v>
      </c>
      <c r="D15" s="8">
        <v>5</v>
      </c>
      <c r="E15" s="9" t="s">
        <v>33</v>
      </c>
      <c r="F15" s="10">
        <v>10</v>
      </c>
      <c r="G15" s="10">
        <v>9</v>
      </c>
      <c r="H15" s="10">
        <v>8</v>
      </c>
      <c r="I15" s="10">
        <v>10</v>
      </c>
      <c r="J15" s="10">
        <v>11</v>
      </c>
      <c r="K15" s="10">
        <v>9</v>
      </c>
      <c r="L15" s="10">
        <v>8</v>
      </c>
      <c r="M15" s="10">
        <v>7</v>
      </c>
      <c r="N15" s="10">
        <v>8</v>
      </c>
      <c r="O15" s="10">
        <v>6</v>
      </c>
      <c r="P15" s="10">
        <v>8</v>
      </c>
      <c r="Q15" s="10">
        <v>8</v>
      </c>
      <c r="R15" s="10">
        <v>8</v>
      </c>
      <c r="S15" s="10">
        <v>10</v>
      </c>
      <c r="T15" s="10">
        <v>8</v>
      </c>
      <c r="U15" s="2">
        <f t="shared" si="0"/>
        <v>8.5333333333333332</v>
      </c>
      <c r="V15" s="34"/>
      <c r="W15" s="33"/>
    </row>
    <row r="16" spans="1:23" ht="15" customHeight="1" x14ac:dyDescent="0.25">
      <c r="A16" s="31"/>
      <c r="B16" s="34"/>
      <c r="C16" s="8" t="s">
        <v>13</v>
      </c>
      <c r="D16" s="8">
        <v>6</v>
      </c>
      <c r="E16" s="9" t="s">
        <v>34</v>
      </c>
      <c r="F16" s="10">
        <v>10</v>
      </c>
      <c r="G16" s="10">
        <v>10</v>
      </c>
      <c r="H16" s="10">
        <v>8</v>
      </c>
      <c r="I16" s="10">
        <v>9</v>
      </c>
      <c r="J16" s="10">
        <v>9</v>
      </c>
      <c r="K16" s="10">
        <v>9</v>
      </c>
      <c r="L16" s="10">
        <v>7</v>
      </c>
      <c r="M16" s="10">
        <v>7</v>
      </c>
      <c r="N16" s="10">
        <v>7</v>
      </c>
      <c r="O16" s="10">
        <v>5</v>
      </c>
      <c r="P16" s="10">
        <v>9</v>
      </c>
      <c r="Q16" s="10">
        <v>9</v>
      </c>
      <c r="R16" s="10">
        <v>9</v>
      </c>
      <c r="S16" s="10">
        <v>11</v>
      </c>
      <c r="T16" s="10">
        <v>7</v>
      </c>
      <c r="U16" s="2">
        <f t="shared" si="0"/>
        <v>8.4</v>
      </c>
      <c r="V16" s="34"/>
      <c r="W16" s="33"/>
    </row>
    <row r="17" spans="1:23" ht="15" customHeight="1" x14ac:dyDescent="0.25">
      <c r="A17" s="31"/>
      <c r="B17" s="34"/>
      <c r="C17" s="8" t="s">
        <v>13</v>
      </c>
      <c r="D17" s="8">
        <v>7</v>
      </c>
      <c r="E17" s="9" t="s">
        <v>35</v>
      </c>
      <c r="F17" s="10">
        <v>6</v>
      </c>
      <c r="G17" s="10">
        <v>4</v>
      </c>
      <c r="H17" s="10">
        <v>6</v>
      </c>
      <c r="I17" s="10">
        <v>6</v>
      </c>
      <c r="J17" s="10">
        <v>6</v>
      </c>
      <c r="K17" s="10">
        <v>4</v>
      </c>
      <c r="L17" s="10" t="s">
        <v>69</v>
      </c>
      <c r="M17" s="10">
        <v>4</v>
      </c>
      <c r="N17" s="10">
        <v>4</v>
      </c>
      <c r="O17" s="10" t="s">
        <v>69</v>
      </c>
      <c r="P17" s="10">
        <v>4</v>
      </c>
      <c r="Q17" s="10">
        <v>4</v>
      </c>
      <c r="R17" s="10" t="s">
        <v>69</v>
      </c>
      <c r="S17" s="10" t="s">
        <v>69</v>
      </c>
      <c r="T17" s="10">
        <v>5</v>
      </c>
      <c r="U17" s="2" t="str">
        <f t="shared" si="0"/>
        <v>-</v>
      </c>
      <c r="V17" s="34"/>
      <c r="W17" s="33"/>
    </row>
    <row r="18" spans="1:23" ht="15" customHeight="1" x14ac:dyDescent="0.25">
      <c r="A18" s="31"/>
      <c r="B18" s="34"/>
      <c r="C18" s="8" t="s">
        <v>14</v>
      </c>
      <c r="D18" s="8">
        <v>8</v>
      </c>
      <c r="E18" s="9" t="s">
        <v>36</v>
      </c>
      <c r="F18" s="10">
        <v>9</v>
      </c>
      <c r="G18" s="10">
        <v>10</v>
      </c>
      <c r="H18" s="10">
        <v>10</v>
      </c>
      <c r="I18" s="10">
        <v>9</v>
      </c>
      <c r="J18" s="10">
        <v>10</v>
      </c>
      <c r="K18" s="10">
        <v>9</v>
      </c>
      <c r="L18" s="10">
        <v>10</v>
      </c>
      <c r="M18" s="10">
        <v>9</v>
      </c>
      <c r="N18" s="10">
        <v>8</v>
      </c>
      <c r="O18" s="10">
        <v>10</v>
      </c>
      <c r="P18" s="10">
        <v>9</v>
      </c>
      <c r="Q18" s="10">
        <v>8</v>
      </c>
      <c r="R18" s="10">
        <v>9</v>
      </c>
      <c r="S18" s="10">
        <v>10</v>
      </c>
      <c r="T18" s="10">
        <v>10</v>
      </c>
      <c r="U18" s="2">
        <f t="shared" si="0"/>
        <v>9.3333333333333339</v>
      </c>
      <c r="V18" s="34"/>
      <c r="W18" s="33"/>
    </row>
    <row r="19" spans="1:23" ht="15" customHeight="1" x14ac:dyDescent="0.25">
      <c r="A19" s="31"/>
      <c r="B19" s="34"/>
      <c r="C19" s="8" t="s">
        <v>14</v>
      </c>
      <c r="D19" s="8">
        <v>9</v>
      </c>
      <c r="E19" s="9" t="s">
        <v>37</v>
      </c>
      <c r="F19" s="10">
        <v>10</v>
      </c>
      <c r="G19" s="10">
        <v>10</v>
      </c>
      <c r="H19" s="10">
        <v>10</v>
      </c>
      <c r="I19" s="10">
        <v>10</v>
      </c>
      <c r="J19" s="10">
        <v>11</v>
      </c>
      <c r="K19" s="10">
        <v>10</v>
      </c>
      <c r="L19" s="10">
        <v>11</v>
      </c>
      <c r="M19" s="10">
        <v>11</v>
      </c>
      <c r="N19" s="10">
        <v>10</v>
      </c>
      <c r="O19" s="10">
        <v>9</v>
      </c>
      <c r="P19" s="10">
        <v>10</v>
      </c>
      <c r="Q19" s="10">
        <v>10</v>
      </c>
      <c r="R19" s="10">
        <v>8</v>
      </c>
      <c r="S19" s="10">
        <v>10</v>
      </c>
      <c r="T19" s="10">
        <v>10</v>
      </c>
      <c r="U19" s="2">
        <f t="shared" si="0"/>
        <v>10</v>
      </c>
      <c r="V19" s="34"/>
      <c r="W19" s="33"/>
    </row>
    <row r="20" spans="1:23" ht="15" customHeight="1" x14ac:dyDescent="0.25">
      <c r="A20" s="31"/>
      <c r="B20" s="34"/>
      <c r="C20" s="8" t="s">
        <v>14</v>
      </c>
      <c r="D20" s="8">
        <v>10</v>
      </c>
      <c r="E20" s="9" t="s">
        <v>38</v>
      </c>
      <c r="F20" s="10">
        <v>8</v>
      </c>
      <c r="G20" s="10">
        <v>9</v>
      </c>
      <c r="H20" s="10">
        <v>10</v>
      </c>
      <c r="I20" s="10">
        <v>9</v>
      </c>
      <c r="J20" s="10">
        <v>9</v>
      </c>
      <c r="K20" s="10">
        <v>6</v>
      </c>
      <c r="L20" s="10">
        <v>6</v>
      </c>
      <c r="M20" s="10">
        <v>8</v>
      </c>
      <c r="N20" s="10">
        <v>7</v>
      </c>
      <c r="O20" s="10">
        <v>5</v>
      </c>
      <c r="P20" s="10">
        <v>8</v>
      </c>
      <c r="Q20" s="10">
        <v>8</v>
      </c>
      <c r="R20" s="10">
        <v>6</v>
      </c>
      <c r="S20" s="10">
        <v>8</v>
      </c>
      <c r="T20" s="10">
        <v>5</v>
      </c>
      <c r="U20" s="2">
        <f t="shared" si="0"/>
        <v>7.4666666666666668</v>
      </c>
      <c r="V20" s="34"/>
      <c r="W20" s="33"/>
    </row>
    <row r="21" spans="1:23" ht="15" customHeight="1" x14ac:dyDescent="0.25">
      <c r="A21" s="31"/>
      <c r="B21" s="34"/>
      <c r="C21" s="8" t="s">
        <v>14</v>
      </c>
      <c r="D21" s="8">
        <v>11</v>
      </c>
      <c r="E21" s="9" t="s">
        <v>39</v>
      </c>
      <c r="F21" s="10">
        <v>11</v>
      </c>
      <c r="G21" s="10">
        <v>11</v>
      </c>
      <c r="H21" s="10">
        <v>10</v>
      </c>
      <c r="I21" s="10">
        <v>11</v>
      </c>
      <c r="J21" s="10">
        <v>10</v>
      </c>
      <c r="K21" s="10">
        <v>10</v>
      </c>
      <c r="L21" s="10">
        <v>10</v>
      </c>
      <c r="M21" s="10">
        <v>11</v>
      </c>
      <c r="N21" s="10">
        <v>9</v>
      </c>
      <c r="O21" s="10">
        <v>9</v>
      </c>
      <c r="P21" s="10">
        <v>10</v>
      </c>
      <c r="Q21" s="10">
        <v>10</v>
      </c>
      <c r="R21" s="10">
        <v>10</v>
      </c>
      <c r="S21" s="10">
        <v>10</v>
      </c>
      <c r="T21" s="10">
        <v>10</v>
      </c>
      <c r="U21" s="2">
        <f t="shared" si="0"/>
        <v>10.133333333333333</v>
      </c>
      <c r="V21" s="34"/>
      <c r="W21" s="33"/>
    </row>
    <row r="22" spans="1:23" ht="15" customHeight="1" x14ac:dyDescent="0.25">
      <c r="A22" s="31"/>
      <c r="B22" s="34"/>
      <c r="C22" s="8" t="s">
        <v>14</v>
      </c>
      <c r="D22" s="8">
        <v>12</v>
      </c>
      <c r="E22" s="9" t="s">
        <v>40</v>
      </c>
      <c r="F22" s="10">
        <v>8</v>
      </c>
      <c r="G22" s="10">
        <v>8</v>
      </c>
      <c r="H22" s="10">
        <v>4</v>
      </c>
      <c r="I22" s="10">
        <v>7</v>
      </c>
      <c r="J22" s="10">
        <v>7</v>
      </c>
      <c r="K22" s="10">
        <v>4</v>
      </c>
      <c r="L22" s="10">
        <v>10</v>
      </c>
      <c r="M22" s="10">
        <v>4</v>
      </c>
      <c r="N22" s="10">
        <v>5</v>
      </c>
      <c r="O22" s="10">
        <v>5</v>
      </c>
      <c r="P22" s="10">
        <v>6</v>
      </c>
      <c r="Q22" s="10">
        <v>6</v>
      </c>
      <c r="R22" s="10">
        <v>4</v>
      </c>
      <c r="S22" s="10">
        <v>6</v>
      </c>
      <c r="T22" s="10">
        <v>6</v>
      </c>
      <c r="U22" s="2">
        <f t="shared" si="0"/>
        <v>6</v>
      </c>
      <c r="V22" s="34"/>
      <c r="W22" s="33"/>
    </row>
    <row r="23" spans="1:23" ht="15" customHeight="1" x14ac:dyDescent="0.25">
      <c r="A23" s="31"/>
      <c r="B23" s="34"/>
      <c r="C23" s="8" t="s">
        <v>13</v>
      </c>
      <c r="D23" s="8">
        <v>13</v>
      </c>
      <c r="E23" s="9" t="s">
        <v>41</v>
      </c>
      <c r="F23" s="10">
        <v>8</v>
      </c>
      <c r="G23" s="10">
        <v>6</v>
      </c>
      <c r="H23" s="10">
        <v>6</v>
      </c>
      <c r="I23" s="10">
        <v>9</v>
      </c>
      <c r="J23" s="10">
        <v>8</v>
      </c>
      <c r="K23" s="10">
        <v>7</v>
      </c>
      <c r="L23" s="10">
        <v>4</v>
      </c>
      <c r="M23" s="10">
        <v>5</v>
      </c>
      <c r="N23" s="10">
        <v>7</v>
      </c>
      <c r="O23" s="10">
        <v>5</v>
      </c>
      <c r="P23" s="10">
        <v>6</v>
      </c>
      <c r="Q23" s="10">
        <v>6</v>
      </c>
      <c r="R23" s="10">
        <v>5</v>
      </c>
      <c r="S23" s="10">
        <v>6</v>
      </c>
      <c r="T23" s="10">
        <v>6</v>
      </c>
      <c r="U23" s="2">
        <f t="shared" si="0"/>
        <v>6.2666666666666666</v>
      </c>
      <c r="V23" s="34"/>
      <c r="W23" s="33"/>
    </row>
    <row r="24" spans="1:23" ht="15" customHeight="1" x14ac:dyDescent="0.25">
      <c r="A24" s="31"/>
      <c r="B24" s="34"/>
      <c r="C24" s="8" t="s">
        <v>14</v>
      </c>
      <c r="D24" s="8">
        <v>14</v>
      </c>
      <c r="E24" s="9" t="s">
        <v>42</v>
      </c>
      <c r="F24" s="10">
        <v>8</v>
      </c>
      <c r="G24" s="10">
        <v>7</v>
      </c>
      <c r="H24" s="10">
        <v>6</v>
      </c>
      <c r="I24" s="10">
        <v>8</v>
      </c>
      <c r="J24" s="10">
        <v>5</v>
      </c>
      <c r="K24" s="10">
        <v>4</v>
      </c>
      <c r="L24" s="10">
        <v>7</v>
      </c>
      <c r="M24" s="10">
        <v>7</v>
      </c>
      <c r="N24" s="10">
        <v>7</v>
      </c>
      <c r="O24" s="10">
        <v>7</v>
      </c>
      <c r="P24" s="10">
        <v>6</v>
      </c>
      <c r="Q24" s="10">
        <v>6</v>
      </c>
      <c r="R24" s="10">
        <v>6</v>
      </c>
      <c r="S24" s="10">
        <v>7</v>
      </c>
      <c r="T24" s="10">
        <v>5</v>
      </c>
      <c r="U24" s="2">
        <f t="shared" si="0"/>
        <v>6.4</v>
      </c>
      <c r="V24" s="34"/>
      <c r="W24" s="33"/>
    </row>
    <row r="25" spans="1:23" ht="15" customHeight="1" x14ac:dyDescent="0.25">
      <c r="A25" s="31"/>
      <c r="B25" s="34"/>
      <c r="C25" s="8" t="s">
        <v>14</v>
      </c>
      <c r="D25" s="8">
        <v>15</v>
      </c>
      <c r="E25" s="9" t="s">
        <v>43</v>
      </c>
      <c r="F25" s="10">
        <v>7</v>
      </c>
      <c r="G25" s="10">
        <v>8</v>
      </c>
      <c r="H25" s="10">
        <v>8</v>
      </c>
      <c r="I25" s="10">
        <v>7</v>
      </c>
      <c r="J25" s="10">
        <v>7</v>
      </c>
      <c r="K25" s="10">
        <v>6</v>
      </c>
      <c r="L25" s="10">
        <v>8</v>
      </c>
      <c r="M25" s="10">
        <v>4</v>
      </c>
      <c r="N25" s="10">
        <v>5</v>
      </c>
      <c r="O25" s="10">
        <v>6</v>
      </c>
      <c r="P25" s="10">
        <v>4</v>
      </c>
      <c r="Q25" s="10">
        <v>7</v>
      </c>
      <c r="R25" s="10">
        <v>6</v>
      </c>
      <c r="S25" s="10">
        <v>10</v>
      </c>
      <c r="T25" s="10">
        <v>5</v>
      </c>
      <c r="U25" s="2">
        <f t="shared" si="0"/>
        <v>6.5333333333333332</v>
      </c>
      <c r="V25" s="34"/>
      <c r="W25" s="33"/>
    </row>
    <row r="26" spans="1:23" ht="15" customHeight="1" x14ac:dyDescent="0.25">
      <c r="A26" s="31"/>
      <c r="B26" s="34"/>
      <c r="C26" s="8" t="s">
        <v>13</v>
      </c>
      <c r="D26" s="8">
        <v>16</v>
      </c>
      <c r="E26" s="9" t="s">
        <v>44</v>
      </c>
      <c r="F26" s="10">
        <v>9</v>
      </c>
      <c r="G26" s="10">
        <v>8</v>
      </c>
      <c r="H26" s="10">
        <v>7</v>
      </c>
      <c r="I26" s="10">
        <v>9</v>
      </c>
      <c r="J26" s="10">
        <v>8</v>
      </c>
      <c r="K26" s="10">
        <v>7</v>
      </c>
      <c r="L26" s="10">
        <v>4</v>
      </c>
      <c r="M26" s="10">
        <v>4</v>
      </c>
      <c r="N26" s="10">
        <v>5</v>
      </c>
      <c r="O26" s="10">
        <v>6</v>
      </c>
      <c r="P26" s="10">
        <v>5</v>
      </c>
      <c r="Q26" s="10">
        <v>6</v>
      </c>
      <c r="R26" s="10">
        <v>6</v>
      </c>
      <c r="S26" s="10">
        <v>10</v>
      </c>
      <c r="T26" s="10">
        <v>6</v>
      </c>
      <c r="U26" s="2">
        <f t="shared" si="0"/>
        <v>6.666666666666667</v>
      </c>
      <c r="V26" s="34"/>
      <c r="W26" s="33"/>
    </row>
    <row r="27" spans="1:23" ht="15" customHeight="1" x14ac:dyDescent="0.25">
      <c r="A27" s="31"/>
      <c r="B27" s="34"/>
      <c r="C27" s="8" t="s">
        <v>14</v>
      </c>
      <c r="D27" s="8">
        <v>17</v>
      </c>
      <c r="E27" s="9" t="s">
        <v>45</v>
      </c>
      <c r="F27" s="10">
        <v>9</v>
      </c>
      <c r="G27" s="10">
        <v>8</v>
      </c>
      <c r="H27" s="10">
        <v>10</v>
      </c>
      <c r="I27" s="10">
        <v>10</v>
      </c>
      <c r="J27" s="10">
        <v>10</v>
      </c>
      <c r="K27" s="10">
        <v>7</v>
      </c>
      <c r="L27" s="10">
        <v>5</v>
      </c>
      <c r="M27" s="10">
        <v>8</v>
      </c>
      <c r="N27" s="10">
        <v>7</v>
      </c>
      <c r="O27" s="10">
        <v>5</v>
      </c>
      <c r="P27" s="10">
        <v>8</v>
      </c>
      <c r="Q27" s="10">
        <v>8</v>
      </c>
      <c r="R27" s="10">
        <v>6</v>
      </c>
      <c r="S27" s="10">
        <v>8</v>
      </c>
      <c r="T27" s="10">
        <v>6</v>
      </c>
      <c r="U27" s="2">
        <f t="shared" si="0"/>
        <v>7.666666666666667</v>
      </c>
      <c r="V27" s="34"/>
      <c r="W27" s="33"/>
    </row>
    <row r="28" spans="1:23" ht="15" customHeight="1" x14ac:dyDescent="0.25">
      <c r="A28" s="31"/>
      <c r="B28" s="34"/>
      <c r="C28" s="8" t="s">
        <v>14</v>
      </c>
      <c r="D28" s="8">
        <v>18</v>
      </c>
      <c r="E28" s="9" t="s">
        <v>46</v>
      </c>
      <c r="F28" s="10">
        <v>10</v>
      </c>
      <c r="G28" s="10">
        <v>8</v>
      </c>
      <c r="H28" s="10">
        <v>10</v>
      </c>
      <c r="I28" s="10">
        <v>10</v>
      </c>
      <c r="J28" s="10">
        <v>10</v>
      </c>
      <c r="K28" s="10">
        <v>8</v>
      </c>
      <c r="L28" s="10">
        <v>7</v>
      </c>
      <c r="M28" s="10">
        <v>9</v>
      </c>
      <c r="N28" s="10">
        <v>9</v>
      </c>
      <c r="O28" s="10">
        <v>7</v>
      </c>
      <c r="P28" s="10">
        <v>10</v>
      </c>
      <c r="Q28" s="10">
        <v>9</v>
      </c>
      <c r="R28" s="10">
        <v>8</v>
      </c>
      <c r="S28" s="10">
        <v>10</v>
      </c>
      <c r="T28" s="10">
        <v>11</v>
      </c>
      <c r="U28" s="2">
        <f t="shared" si="0"/>
        <v>9.0666666666666664</v>
      </c>
      <c r="V28" s="34"/>
      <c r="W28" s="33"/>
    </row>
    <row r="29" spans="1:23" ht="15" customHeight="1" x14ac:dyDescent="0.25">
      <c r="A29" s="31"/>
      <c r="B29" s="34"/>
      <c r="C29" s="8" t="s">
        <v>13</v>
      </c>
      <c r="D29" s="8">
        <v>19</v>
      </c>
      <c r="E29" s="9" t="s">
        <v>47</v>
      </c>
      <c r="F29" s="10">
        <v>6</v>
      </c>
      <c r="G29" s="10">
        <v>4</v>
      </c>
      <c r="H29" s="10">
        <v>5</v>
      </c>
      <c r="I29" s="10">
        <v>6</v>
      </c>
      <c r="J29" s="10">
        <v>5</v>
      </c>
      <c r="K29" s="10">
        <v>4</v>
      </c>
      <c r="L29" s="10">
        <v>4</v>
      </c>
      <c r="M29" s="10">
        <v>5</v>
      </c>
      <c r="N29" s="10">
        <v>4</v>
      </c>
      <c r="O29" s="10">
        <v>4</v>
      </c>
      <c r="P29" s="10">
        <v>4</v>
      </c>
      <c r="Q29" s="10">
        <v>4</v>
      </c>
      <c r="R29" s="10">
        <v>4</v>
      </c>
      <c r="S29" s="10">
        <v>4</v>
      </c>
      <c r="T29" s="10">
        <v>5</v>
      </c>
      <c r="U29" s="2">
        <f t="shared" si="0"/>
        <v>4.5333333333333332</v>
      </c>
      <c r="V29" s="34"/>
      <c r="W29" s="33"/>
    </row>
    <row r="30" spans="1:23" ht="15" customHeight="1" x14ac:dyDescent="0.25">
      <c r="A30" s="31"/>
      <c r="B30" s="34"/>
      <c r="C30" s="8" t="s">
        <v>14</v>
      </c>
      <c r="D30" s="8">
        <v>20</v>
      </c>
      <c r="E30" s="9" t="s">
        <v>48</v>
      </c>
      <c r="F30" s="10">
        <v>4</v>
      </c>
      <c r="G30" s="10">
        <v>4</v>
      </c>
      <c r="H30" s="10">
        <v>5</v>
      </c>
      <c r="I30" s="10">
        <v>4</v>
      </c>
      <c r="J30" s="10">
        <v>6</v>
      </c>
      <c r="K30" s="10">
        <v>4</v>
      </c>
      <c r="L30" s="10">
        <v>8</v>
      </c>
      <c r="M30" s="10">
        <v>7</v>
      </c>
      <c r="N30" s="10">
        <v>6</v>
      </c>
      <c r="O30" s="10">
        <v>5</v>
      </c>
      <c r="P30" s="10">
        <v>5</v>
      </c>
      <c r="Q30" s="10">
        <v>6</v>
      </c>
      <c r="R30" s="10">
        <v>5</v>
      </c>
      <c r="S30" s="10">
        <v>6</v>
      </c>
      <c r="T30" s="10">
        <v>5</v>
      </c>
      <c r="U30" s="2">
        <f t="shared" si="0"/>
        <v>5.333333333333333</v>
      </c>
      <c r="V30" s="34"/>
      <c r="W30" s="33"/>
    </row>
    <row r="31" spans="1:23" ht="15" customHeight="1" x14ac:dyDescent="0.25">
      <c r="A31" s="31"/>
      <c r="B31" s="34"/>
      <c r="C31" s="8" t="s">
        <v>14</v>
      </c>
      <c r="D31" s="8">
        <v>21</v>
      </c>
      <c r="E31" s="9" t="s">
        <v>49</v>
      </c>
      <c r="F31" s="10">
        <v>9</v>
      </c>
      <c r="G31" s="10">
        <v>9</v>
      </c>
      <c r="H31" s="10">
        <v>10</v>
      </c>
      <c r="I31" s="10">
        <v>9</v>
      </c>
      <c r="J31" s="10">
        <v>9</v>
      </c>
      <c r="K31" s="10">
        <v>8</v>
      </c>
      <c r="L31" s="10">
        <v>8</v>
      </c>
      <c r="M31" s="10">
        <v>9</v>
      </c>
      <c r="N31" s="10">
        <v>7</v>
      </c>
      <c r="O31" s="10">
        <v>7</v>
      </c>
      <c r="P31" s="10">
        <v>9</v>
      </c>
      <c r="Q31" s="10">
        <v>9</v>
      </c>
      <c r="R31" s="10">
        <v>9</v>
      </c>
      <c r="S31" s="10">
        <v>10</v>
      </c>
      <c r="T31" s="10">
        <v>8</v>
      </c>
      <c r="U31" s="2">
        <f t="shared" si="0"/>
        <v>8.6666666666666661</v>
      </c>
      <c r="V31" s="34"/>
      <c r="W31" s="33"/>
    </row>
    <row r="32" spans="1:23" ht="15" customHeight="1" x14ac:dyDescent="0.25">
      <c r="A32" s="31"/>
      <c r="B32" s="34"/>
      <c r="C32" s="8" t="s">
        <v>14</v>
      </c>
      <c r="D32" s="8">
        <v>22</v>
      </c>
      <c r="E32" s="9" t="s">
        <v>50</v>
      </c>
      <c r="F32" s="10">
        <v>6</v>
      </c>
      <c r="G32" s="10">
        <v>5</v>
      </c>
      <c r="H32" s="10">
        <v>9</v>
      </c>
      <c r="I32" s="10">
        <v>6</v>
      </c>
      <c r="J32" s="10">
        <v>7</v>
      </c>
      <c r="K32" s="10">
        <v>4</v>
      </c>
      <c r="L32" s="10">
        <v>4</v>
      </c>
      <c r="M32" s="10">
        <v>5</v>
      </c>
      <c r="N32" s="10">
        <v>6</v>
      </c>
      <c r="O32" s="10">
        <v>5</v>
      </c>
      <c r="P32" s="10">
        <v>7</v>
      </c>
      <c r="Q32" s="10">
        <v>6</v>
      </c>
      <c r="R32" s="10">
        <v>5</v>
      </c>
      <c r="S32" s="10">
        <v>4</v>
      </c>
      <c r="T32" s="10">
        <v>6</v>
      </c>
      <c r="U32" s="2">
        <f t="shared" si="0"/>
        <v>5.666666666666667</v>
      </c>
      <c r="V32" s="34"/>
      <c r="W32" s="33"/>
    </row>
    <row r="33" spans="1:24" ht="15" customHeight="1" x14ac:dyDescent="0.25">
      <c r="A33" s="31"/>
      <c r="B33" s="34"/>
      <c r="C33" s="8" t="s">
        <v>14</v>
      </c>
      <c r="D33" s="8">
        <v>23</v>
      </c>
      <c r="E33" s="9" t="s">
        <v>51</v>
      </c>
      <c r="F33" s="10">
        <v>4</v>
      </c>
      <c r="G33" s="10">
        <v>6</v>
      </c>
      <c r="H33" s="10">
        <v>4</v>
      </c>
      <c r="I33" s="10">
        <v>4</v>
      </c>
      <c r="J33" s="10">
        <v>5</v>
      </c>
      <c r="K33" s="10">
        <v>4</v>
      </c>
      <c r="L33" s="10">
        <v>4</v>
      </c>
      <c r="M33" s="10">
        <v>4</v>
      </c>
      <c r="N33" s="10">
        <v>6</v>
      </c>
      <c r="O33" s="10">
        <v>4</v>
      </c>
      <c r="P33" s="10">
        <v>5</v>
      </c>
      <c r="Q33" s="10">
        <v>4</v>
      </c>
      <c r="R33" s="10" t="s">
        <v>69</v>
      </c>
      <c r="S33" s="10">
        <v>11</v>
      </c>
      <c r="T33" s="10">
        <v>5</v>
      </c>
      <c r="U33" s="2" t="str">
        <f t="shared" si="0"/>
        <v>-</v>
      </c>
      <c r="V33" s="34"/>
      <c r="W33" s="33"/>
    </row>
    <row r="34" spans="1:24" ht="15" customHeight="1" x14ac:dyDescent="0.25">
      <c r="A34" s="31"/>
      <c r="B34" s="34"/>
      <c r="C34" s="8" t="s">
        <v>14</v>
      </c>
      <c r="D34" s="8">
        <v>24</v>
      </c>
      <c r="E34" s="9" t="s">
        <v>52</v>
      </c>
      <c r="F34" s="10">
        <v>9</v>
      </c>
      <c r="G34" s="10">
        <v>9</v>
      </c>
      <c r="H34" s="10">
        <v>10</v>
      </c>
      <c r="I34" s="10">
        <v>9</v>
      </c>
      <c r="J34" s="10">
        <v>10</v>
      </c>
      <c r="K34" s="10">
        <v>10</v>
      </c>
      <c r="L34" s="10">
        <v>7</v>
      </c>
      <c r="M34" s="10">
        <v>7</v>
      </c>
      <c r="N34" s="10">
        <v>9</v>
      </c>
      <c r="O34" s="10">
        <v>4</v>
      </c>
      <c r="P34" s="10">
        <v>9</v>
      </c>
      <c r="Q34" s="10">
        <v>8</v>
      </c>
      <c r="R34" s="10">
        <v>7</v>
      </c>
      <c r="S34" s="10">
        <v>10</v>
      </c>
      <c r="T34" s="10">
        <v>8</v>
      </c>
      <c r="U34" s="2">
        <f t="shared" si="0"/>
        <v>8.4</v>
      </c>
      <c r="V34" s="34"/>
      <c r="W34" s="33"/>
    </row>
    <row r="35" spans="1:24" ht="15" customHeight="1" x14ac:dyDescent="0.25">
      <c r="A35" s="31"/>
      <c r="B35" s="34"/>
      <c r="C35" s="8" t="s">
        <v>14</v>
      </c>
      <c r="D35" s="8">
        <v>25</v>
      </c>
      <c r="E35" s="9" t="s">
        <v>53</v>
      </c>
      <c r="F35" s="10">
        <v>9</v>
      </c>
      <c r="G35" s="10">
        <v>9</v>
      </c>
      <c r="H35" s="10">
        <v>10</v>
      </c>
      <c r="I35" s="10">
        <v>9</v>
      </c>
      <c r="J35" s="10">
        <v>10</v>
      </c>
      <c r="K35" s="10">
        <v>10</v>
      </c>
      <c r="L35" s="10">
        <v>7</v>
      </c>
      <c r="M35" s="10">
        <v>8</v>
      </c>
      <c r="N35" s="10">
        <v>9</v>
      </c>
      <c r="O35" s="10">
        <v>7</v>
      </c>
      <c r="P35" s="10">
        <v>9</v>
      </c>
      <c r="Q35" s="10">
        <v>9</v>
      </c>
      <c r="R35" s="10">
        <v>8</v>
      </c>
      <c r="S35" s="10">
        <v>10</v>
      </c>
      <c r="T35" s="10">
        <v>9</v>
      </c>
      <c r="U35" s="2">
        <f t="shared" si="0"/>
        <v>8.8666666666666671</v>
      </c>
      <c r="V35" s="34"/>
      <c r="W35" s="33"/>
    </row>
    <row r="36" spans="1:24" ht="15" customHeight="1" x14ac:dyDescent="0.25">
      <c r="A36" s="31"/>
      <c r="B36" s="34"/>
      <c r="C36" s="19" t="s">
        <v>14</v>
      </c>
      <c r="D36" s="19">
        <v>26</v>
      </c>
      <c r="E36" s="9" t="s">
        <v>54</v>
      </c>
      <c r="F36" s="10">
        <v>6</v>
      </c>
      <c r="G36" s="10">
        <v>5</v>
      </c>
      <c r="H36" s="10">
        <v>6</v>
      </c>
      <c r="I36" s="10">
        <v>6</v>
      </c>
      <c r="J36" s="10">
        <v>6</v>
      </c>
      <c r="K36" s="10">
        <v>5</v>
      </c>
      <c r="L36" s="10">
        <v>4</v>
      </c>
      <c r="M36" s="10">
        <v>5</v>
      </c>
      <c r="N36" s="10">
        <v>5</v>
      </c>
      <c r="O36" s="10">
        <v>4</v>
      </c>
      <c r="P36" s="10">
        <v>5</v>
      </c>
      <c r="Q36" s="10">
        <v>6</v>
      </c>
      <c r="R36" s="10">
        <v>4</v>
      </c>
      <c r="S36" s="10">
        <v>6</v>
      </c>
      <c r="T36" s="10">
        <v>5</v>
      </c>
      <c r="U36" s="2">
        <f t="shared" si="0"/>
        <v>5.2</v>
      </c>
      <c r="V36" s="34"/>
      <c r="W36" s="33"/>
    </row>
    <row r="37" spans="1:24" ht="15" customHeight="1" x14ac:dyDescent="0.25">
      <c r="A37" s="31"/>
      <c r="B37" s="34"/>
      <c r="C37" s="20" t="s">
        <v>14</v>
      </c>
      <c r="D37" s="20">
        <v>27</v>
      </c>
      <c r="E37" s="9" t="s">
        <v>55</v>
      </c>
      <c r="F37" s="10">
        <v>9</v>
      </c>
      <c r="G37" s="10">
        <v>7</v>
      </c>
      <c r="H37" s="10">
        <v>8</v>
      </c>
      <c r="I37" s="10">
        <v>9</v>
      </c>
      <c r="J37" s="10">
        <v>9</v>
      </c>
      <c r="K37" s="10">
        <v>6</v>
      </c>
      <c r="L37" s="10">
        <v>6</v>
      </c>
      <c r="M37" s="10">
        <v>7</v>
      </c>
      <c r="N37" s="10">
        <v>5</v>
      </c>
      <c r="O37" s="10">
        <v>6</v>
      </c>
      <c r="P37" s="10">
        <v>7</v>
      </c>
      <c r="Q37" s="10">
        <v>7</v>
      </c>
      <c r="R37" s="10">
        <v>7</v>
      </c>
      <c r="S37" s="10">
        <v>10</v>
      </c>
      <c r="T37" s="10">
        <v>7</v>
      </c>
      <c r="U37" s="2">
        <f t="shared" si="0"/>
        <v>7.333333333333333</v>
      </c>
      <c r="V37" s="34"/>
      <c r="W37" s="33"/>
    </row>
    <row r="38" spans="1:24" ht="15" customHeight="1" x14ac:dyDescent="0.25">
      <c r="A38" s="31"/>
      <c r="B38" s="34"/>
      <c r="C38" s="19" t="s">
        <v>14</v>
      </c>
      <c r="D38" s="20">
        <v>28</v>
      </c>
      <c r="E38" s="9" t="s">
        <v>56</v>
      </c>
      <c r="F38" s="10">
        <v>10</v>
      </c>
      <c r="G38" s="10">
        <v>9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0">
        <v>8</v>
      </c>
      <c r="N38" s="10">
        <v>7</v>
      </c>
      <c r="O38" s="10">
        <v>9</v>
      </c>
      <c r="P38" s="10">
        <v>9</v>
      </c>
      <c r="Q38" s="10">
        <v>8</v>
      </c>
      <c r="R38" s="10">
        <v>8</v>
      </c>
      <c r="S38" s="10">
        <v>10</v>
      </c>
      <c r="T38" s="10">
        <v>9</v>
      </c>
      <c r="U38" s="2">
        <f t="shared" si="0"/>
        <v>9.1333333333333329</v>
      </c>
      <c r="V38" s="34"/>
      <c r="W38" s="33"/>
    </row>
    <row r="39" spans="1:24" ht="15" customHeight="1" x14ac:dyDescent="0.25">
      <c r="A39" s="31"/>
      <c r="B39" s="34"/>
      <c r="C39" s="8" t="s">
        <v>13</v>
      </c>
      <c r="D39" s="20">
        <v>29</v>
      </c>
      <c r="E39" s="9" t="s">
        <v>57</v>
      </c>
      <c r="F39" s="10">
        <v>7</v>
      </c>
      <c r="G39" s="10">
        <v>7</v>
      </c>
      <c r="H39" s="10">
        <v>5</v>
      </c>
      <c r="I39" s="10">
        <v>7</v>
      </c>
      <c r="J39" s="10">
        <v>9</v>
      </c>
      <c r="K39" s="10">
        <v>5</v>
      </c>
      <c r="L39" s="10">
        <v>4</v>
      </c>
      <c r="M39" s="10">
        <v>4</v>
      </c>
      <c r="N39" s="10">
        <v>5</v>
      </c>
      <c r="O39" s="10" t="s">
        <v>69</v>
      </c>
      <c r="P39" s="10">
        <v>5</v>
      </c>
      <c r="Q39" s="10">
        <v>5</v>
      </c>
      <c r="R39" s="10" t="s">
        <v>69</v>
      </c>
      <c r="S39" s="10">
        <v>6</v>
      </c>
      <c r="T39" s="10">
        <v>5</v>
      </c>
      <c r="U39" s="2" t="str">
        <f t="shared" ref="U39" si="1">IF(COUNTIF(F39:T39,"=*")&gt;0,"-",IF(COUNTIF(F39:T39,"&lt;4")&gt;0,"-",(IFERROR(AVERAGE(F39:T39),""))))</f>
        <v>-</v>
      </c>
      <c r="V39" s="34"/>
      <c r="W39" s="33"/>
    </row>
    <row r="40" spans="1:24" ht="15" customHeight="1" x14ac:dyDescent="0.25">
      <c r="A40" s="31"/>
      <c r="B40" s="34"/>
      <c r="C40" s="11"/>
      <c r="D40" s="11"/>
      <c r="E40" s="9" t="s">
        <v>15</v>
      </c>
      <c r="F40" s="3">
        <f>IF(SUM(F11:F39)=0,"",SUM(F11:F39)/$D39)</f>
        <v>7.931034482758621</v>
      </c>
      <c r="G40" s="3">
        <f t="shared" ref="G40:T40" si="2">IF(SUM(G11:G39)=0,"",SUM(G11:G39)/$D39)</f>
        <v>7.4137931034482758</v>
      </c>
      <c r="H40" s="3">
        <f t="shared" si="2"/>
        <v>7.8965517241379306</v>
      </c>
      <c r="I40" s="3">
        <f t="shared" si="2"/>
        <v>7.931034482758621</v>
      </c>
      <c r="J40" s="3">
        <f t="shared" si="2"/>
        <v>8.068965517241379</v>
      </c>
      <c r="K40" s="3">
        <f t="shared" si="2"/>
        <v>6.6551724137931032</v>
      </c>
      <c r="L40" s="3">
        <f t="shared" si="2"/>
        <v>6.3103448275862073</v>
      </c>
      <c r="M40" s="3">
        <f t="shared" si="2"/>
        <v>6.4482758620689653</v>
      </c>
      <c r="N40" s="3">
        <f t="shared" si="2"/>
        <v>6.3793103448275863</v>
      </c>
      <c r="O40" s="3">
        <f t="shared" si="2"/>
        <v>5.4482758620689653</v>
      </c>
      <c r="P40" s="3">
        <f t="shared" si="2"/>
        <v>6.7931034482758621</v>
      </c>
      <c r="Q40" s="3">
        <f t="shared" si="2"/>
        <v>6.8620689655172411</v>
      </c>
      <c r="R40" s="3">
        <f t="shared" si="2"/>
        <v>5.6896551724137927</v>
      </c>
      <c r="S40" s="3">
        <f t="shared" si="2"/>
        <v>8.0344827586206904</v>
      </c>
      <c r="T40" s="3">
        <f t="shared" si="2"/>
        <v>6.6551724137931032</v>
      </c>
      <c r="U40" s="2">
        <f>IFERROR(AVERAGE(F40:T40),"")</f>
        <v>6.9678160919540231</v>
      </c>
      <c r="V40" s="34"/>
      <c r="W40" s="33"/>
    </row>
    <row r="41" spans="1:24" ht="15" customHeight="1" x14ac:dyDescent="0.25">
      <c r="A41" s="31"/>
      <c r="B41" s="34"/>
      <c r="C41" s="11"/>
      <c r="D41" s="11"/>
      <c r="E41" s="9" t="s">
        <v>16</v>
      </c>
      <c r="F41" s="12">
        <f>IF(SUM(F11:F39)=0,"",IF(COUNTIF(F11:F39,"&gt;=4")=0,0,COUNTIF(F11:F39,"&gt;=4")/$D39*100))</f>
        <v>100</v>
      </c>
      <c r="G41" s="12">
        <f t="shared" ref="G41:T41" si="3">IF(SUM(G11:G39)=0,"",IF(COUNTIF(G11:G39,"&gt;=4")=0,0,COUNTIF(G11:G39,"&gt;=4")/$D39*100))</f>
        <v>100</v>
      </c>
      <c r="H41" s="12">
        <f t="shared" si="3"/>
        <v>100</v>
      </c>
      <c r="I41" s="12">
        <f t="shared" si="3"/>
        <v>100</v>
      </c>
      <c r="J41" s="12">
        <f t="shared" si="3"/>
        <v>100</v>
      </c>
      <c r="K41" s="12">
        <f t="shared" si="3"/>
        <v>100</v>
      </c>
      <c r="L41" s="12">
        <f t="shared" si="3"/>
        <v>96.551724137931032</v>
      </c>
      <c r="M41" s="12">
        <f t="shared" si="3"/>
        <v>100</v>
      </c>
      <c r="N41" s="12">
        <f t="shared" si="3"/>
        <v>96.551724137931032</v>
      </c>
      <c r="O41" s="12">
        <f t="shared" si="3"/>
        <v>93.103448275862064</v>
      </c>
      <c r="P41" s="12">
        <f t="shared" si="3"/>
        <v>100</v>
      </c>
      <c r="Q41" s="12">
        <f t="shared" si="3"/>
        <v>100</v>
      </c>
      <c r="R41" s="12">
        <f t="shared" si="3"/>
        <v>89.65517241379311</v>
      </c>
      <c r="S41" s="12">
        <f t="shared" si="3"/>
        <v>96.551724137931032</v>
      </c>
      <c r="T41" s="12">
        <f t="shared" si="3"/>
        <v>100</v>
      </c>
      <c r="U41" s="13"/>
      <c r="V41" s="34"/>
      <c r="W41" s="33"/>
      <c r="X41" s="14"/>
    </row>
    <row r="42" spans="1:24" ht="15" customHeight="1" x14ac:dyDescent="0.25">
      <c r="A42" s="31"/>
      <c r="B42" s="34"/>
      <c r="C42" s="11"/>
      <c r="D42" s="11"/>
      <c r="E42" s="9" t="s">
        <v>17</v>
      </c>
      <c r="F42" s="12">
        <f>IF(SUM(F11:F39)=0,"",IF(COUNTIF(F11:F39,"&gt;=7")=0,0,COUNTIF(F11:F39,"&gt;=7")/$D39*100))</f>
        <v>68.965517241379317</v>
      </c>
      <c r="G42" s="12">
        <f t="shared" ref="G42:T42" si="4">IF(SUM(G11:G39)=0,"",IF(COUNTIF(G11:G39,"&gt;=7")=0,0,COUNTIF(G11:G39,"&gt;=7")/$D39*100))</f>
        <v>68.965517241379317</v>
      </c>
      <c r="H42" s="12">
        <f t="shared" si="4"/>
        <v>65.517241379310349</v>
      </c>
      <c r="I42" s="12">
        <f t="shared" si="4"/>
        <v>68.965517241379317</v>
      </c>
      <c r="J42" s="12">
        <f t="shared" si="4"/>
        <v>68.965517241379317</v>
      </c>
      <c r="K42" s="12">
        <f t="shared" si="4"/>
        <v>51.724137931034484</v>
      </c>
      <c r="L42" s="12">
        <f t="shared" si="4"/>
        <v>48.275862068965516</v>
      </c>
      <c r="M42" s="12">
        <f t="shared" si="4"/>
        <v>55.172413793103445</v>
      </c>
      <c r="N42" s="12">
        <f t="shared" si="4"/>
        <v>51.724137931034484</v>
      </c>
      <c r="O42" s="12">
        <f t="shared" si="4"/>
        <v>27.586206896551722</v>
      </c>
      <c r="P42" s="12">
        <f t="shared" si="4"/>
        <v>48.275862068965516</v>
      </c>
      <c r="Q42" s="12">
        <f t="shared" si="4"/>
        <v>48.275862068965516</v>
      </c>
      <c r="R42" s="12">
        <f t="shared" si="4"/>
        <v>37.931034482758619</v>
      </c>
      <c r="S42" s="12">
        <f t="shared" si="4"/>
        <v>65.517241379310349</v>
      </c>
      <c r="T42" s="12">
        <f t="shared" si="4"/>
        <v>37.931034482758619</v>
      </c>
      <c r="U42" s="15"/>
      <c r="V42" s="34"/>
      <c r="W42" s="33"/>
      <c r="X42" s="14"/>
    </row>
    <row r="43" spans="1:24" ht="15" customHeight="1" x14ac:dyDescent="0.25">
      <c r="A43" s="31"/>
      <c r="B43" s="34"/>
      <c r="C43" s="11"/>
      <c r="D43" s="11"/>
      <c r="E43" s="9" t="s">
        <v>18</v>
      </c>
      <c r="F43" s="3">
        <f>IFERROR(AVERAGE(F41:T41),"")</f>
        <v>98.16091954022987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34"/>
      <c r="W43" s="33"/>
      <c r="X43" s="14"/>
    </row>
    <row r="44" spans="1:24" ht="15" customHeight="1" x14ac:dyDescent="0.25">
      <c r="A44" s="31"/>
      <c r="B44" s="34"/>
      <c r="C44" s="11"/>
      <c r="D44" s="11"/>
      <c r="E44" s="9" t="s">
        <v>19</v>
      </c>
      <c r="F44" s="3">
        <f>IFERROR(AVERAGE(F42:T42),"")</f>
        <v>54.252873563218387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34"/>
      <c r="W44" s="33"/>
      <c r="X44" s="14"/>
    </row>
    <row r="45" spans="1:24" ht="15" customHeight="1" x14ac:dyDescent="0.25">
      <c r="A45" s="31"/>
      <c r="B45" s="34"/>
      <c r="C45" s="11"/>
      <c r="D45" s="11"/>
      <c r="E45" s="9" t="s">
        <v>20</v>
      </c>
      <c r="F45" s="16">
        <f>IF(COUNTIF(C11:C39,"=Б")=0,IF(COUNTIF(C11:C39,"=К")=0,"",0),COUNTIF(C11:C39,"=Б"))</f>
        <v>22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34"/>
      <c r="W45" s="33"/>
      <c r="X45" s="14"/>
    </row>
    <row r="46" spans="1:24" ht="15" customHeight="1" x14ac:dyDescent="0.25">
      <c r="A46" s="31"/>
      <c r="B46" s="34"/>
      <c r="C46" s="11"/>
      <c r="D46" s="11"/>
      <c r="E46" s="9" t="s">
        <v>21</v>
      </c>
      <c r="F46" s="16">
        <f>IF(COUNTIF(C11:C39,"=К")=0,IF(COUNTIF(C11:C39,"=Б")=0,"",0),COUNTIF(C11:C39,"=К"))</f>
        <v>7</v>
      </c>
      <c r="G46" s="11"/>
      <c r="H46" s="11"/>
      <c r="I46" s="17" t="s">
        <v>22</v>
      </c>
      <c r="J46" s="11"/>
      <c r="K46" s="11"/>
      <c r="L46" s="11"/>
      <c r="M46" s="11"/>
      <c r="N46" s="11"/>
      <c r="O46" s="11"/>
      <c r="P46" s="1" t="s">
        <v>61</v>
      </c>
      <c r="Q46" s="11"/>
      <c r="R46" s="11"/>
      <c r="S46" s="11"/>
      <c r="T46" s="11"/>
      <c r="U46" s="11"/>
      <c r="V46" s="34"/>
      <c r="W46" s="33"/>
    </row>
    <row r="47" spans="1:24" ht="15" customHeight="1" x14ac:dyDescent="0.25">
      <c r="A47" s="31"/>
      <c r="B47" s="34"/>
      <c r="C47" s="11"/>
      <c r="D47" s="11"/>
      <c r="E47" s="9" t="s">
        <v>23</v>
      </c>
      <c r="F47" s="16">
        <v>3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34"/>
      <c r="W47" s="33"/>
    </row>
    <row r="48" spans="1:24" ht="15" customHeight="1" x14ac:dyDescent="0.25">
      <c r="A48" s="31"/>
      <c r="B48" s="34"/>
      <c r="C48" s="11"/>
      <c r="D48" s="11"/>
      <c r="E48" s="9" t="s">
        <v>24</v>
      </c>
      <c r="F48" s="16">
        <v>8</v>
      </c>
      <c r="G48" s="11"/>
      <c r="H48" s="11"/>
      <c r="I48" s="17" t="s">
        <v>65</v>
      </c>
      <c r="J48" s="11"/>
      <c r="K48" s="11"/>
      <c r="L48" s="11"/>
      <c r="M48" s="11"/>
      <c r="N48" s="11"/>
      <c r="O48" s="11"/>
      <c r="P48" s="17" t="s">
        <v>25</v>
      </c>
      <c r="Q48" s="11"/>
      <c r="R48" s="11"/>
      <c r="S48" s="11"/>
      <c r="T48" s="11"/>
      <c r="U48" s="11"/>
      <c r="V48" s="34"/>
      <c r="W48" s="33"/>
    </row>
    <row r="49" spans="1:23" ht="12" customHeight="1" thickBot="1" x14ac:dyDescent="0.3">
      <c r="A49" s="31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3"/>
    </row>
    <row r="50" spans="1:23" ht="12" customHeight="1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</sheetData>
  <sheetProtection selectLockedCells="1"/>
  <sortState ref="E11:E39">
    <sortCondition ref="E11"/>
  </sortState>
  <mergeCells count="18">
    <mergeCell ref="B50:V50"/>
    <mergeCell ref="C7:U7"/>
    <mergeCell ref="C8:U8"/>
    <mergeCell ref="C9:C10"/>
    <mergeCell ref="D9:D10"/>
    <mergeCell ref="E9:E10"/>
    <mergeCell ref="F9:U9"/>
    <mergeCell ref="B1:V1"/>
    <mergeCell ref="A2:A49"/>
    <mergeCell ref="B2:V2"/>
    <mergeCell ref="W2:W49"/>
    <mergeCell ref="B3:B48"/>
    <mergeCell ref="C3:U3"/>
    <mergeCell ref="V3:V48"/>
    <mergeCell ref="C4:U4"/>
    <mergeCell ref="C5:U5"/>
    <mergeCell ref="C6:U6"/>
    <mergeCell ref="B49:V49"/>
  </mergeCells>
  <conditionalFormatting sqref="C11:G11 I11:T11">
    <cfRule type="expression" dxfId="101" priority="30">
      <formula>$V$11&lt;&gt;""</formula>
    </cfRule>
  </conditionalFormatting>
  <conditionalFormatting sqref="C12:G12 I12:T12">
    <cfRule type="expression" dxfId="100" priority="31">
      <formula>$V$12&lt;&gt;""</formula>
    </cfRule>
  </conditionalFormatting>
  <conditionalFormatting sqref="C13:G13 I13:T13">
    <cfRule type="expression" dxfId="99" priority="32">
      <formula>$V$13&lt;&gt;""</formula>
    </cfRule>
  </conditionalFormatting>
  <conditionalFormatting sqref="C14:G14 I14:T14">
    <cfRule type="expression" dxfId="98" priority="33">
      <formula>$V$14&lt;&gt;""</formula>
    </cfRule>
  </conditionalFormatting>
  <conditionalFormatting sqref="C15:G15 I15:T15">
    <cfRule type="expression" dxfId="97" priority="34">
      <formula>$V$15&lt;&gt;""</formula>
    </cfRule>
  </conditionalFormatting>
  <conditionalFormatting sqref="C16:G16 I16:T16">
    <cfRule type="expression" dxfId="96" priority="35">
      <formula>$V$16&lt;&gt;""</formula>
    </cfRule>
  </conditionalFormatting>
  <conditionalFormatting sqref="C17:G17 I17:T17">
    <cfRule type="expression" dxfId="95" priority="36">
      <formula>$V$17&lt;&gt;""</formula>
    </cfRule>
  </conditionalFormatting>
  <conditionalFormatting sqref="C18:G18 I18:T18">
    <cfRule type="expression" dxfId="94" priority="37">
      <formula>$V$18&lt;&gt;""</formula>
    </cfRule>
  </conditionalFormatting>
  <conditionalFormatting sqref="C19:G19 I19:T19">
    <cfRule type="expression" dxfId="93" priority="38">
      <formula>$V$19&lt;&gt;""</formula>
    </cfRule>
  </conditionalFormatting>
  <conditionalFormatting sqref="C20:G20 I20:T20">
    <cfRule type="expression" dxfId="92" priority="39">
      <formula>$V$20&lt;&gt;""</formula>
    </cfRule>
  </conditionalFormatting>
  <conditionalFormatting sqref="C21:G21 I21:T21">
    <cfRule type="expression" dxfId="91" priority="40">
      <formula>$V$21&lt;&gt;""</formula>
    </cfRule>
  </conditionalFormatting>
  <conditionalFormatting sqref="C22:G22 I22:T22">
    <cfRule type="expression" dxfId="90" priority="41">
      <formula>$V$22&lt;&gt;""</formula>
    </cfRule>
  </conditionalFormatting>
  <conditionalFormatting sqref="C23:G23 I23:T23">
    <cfRule type="expression" dxfId="89" priority="42">
      <formula>$V$23&lt;&gt;""</formula>
    </cfRule>
  </conditionalFormatting>
  <conditionalFormatting sqref="C24:G24 I24:T24">
    <cfRule type="expression" dxfId="88" priority="43">
      <formula>$V$24&lt;&gt;""</formula>
    </cfRule>
  </conditionalFormatting>
  <conditionalFormatting sqref="C25:G25 I25:T25">
    <cfRule type="expression" dxfId="87" priority="44">
      <formula>$V$25&lt;&gt;""</formula>
    </cfRule>
  </conditionalFormatting>
  <conditionalFormatting sqref="C26:G26 I26:T26">
    <cfRule type="expression" dxfId="86" priority="45">
      <formula>$V$26&lt;&gt;""</formula>
    </cfRule>
  </conditionalFormatting>
  <conditionalFormatting sqref="C27:G27 I27:T27">
    <cfRule type="expression" dxfId="85" priority="46">
      <formula>$V$27&lt;&gt;""</formula>
    </cfRule>
  </conditionalFormatting>
  <conditionalFormatting sqref="C28:G28 I28:T28">
    <cfRule type="expression" dxfId="84" priority="47">
      <formula>$V$28&lt;&gt;""</formula>
    </cfRule>
  </conditionalFormatting>
  <conditionalFormatting sqref="C29:G29 I29:T29">
    <cfRule type="expression" dxfId="83" priority="48">
      <formula>$V$29&lt;&gt;""</formula>
    </cfRule>
  </conditionalFormatting>
  <conditionalFormatting sqref="C30:G30 I30:T30">
    <cfRule type="expression" dxfId="82" priority="49">
      <formula>$V$30&lt;&gt;""</formula>
    </cfRule>
  </conditionalFormatting>
  <conditionalFormatting sqref="C31:G31 I31:T31">
    <cfRule type="expression" dxfId="81" priority="50">
      <formula>$V$31&lt;&gt;""</formula>
    </cfRule>
  </conditionalFormatting>
  <conditionalFormatting sqref="C32:G32 I32:T32">
    <cfRule type="expression" dxfId="80" priority="51">
      <formula>$V$32&lt;&gt;""</formula>
    </cfRule>
  </conditionalFormatting>
  <conditionalFormatting sqref="C33:G33 I33:T33">
    <cfRule type="expression" dxfId="79" priority="52">
      <formula>$V$33&lt;&gt;""</formula>
    </cfRule>
  </conditionalFormatting>
  <conditionalFormatting sqref="C34:G34 D36 D38 I34:T34">
    <cfRule type="expression" dxfId="78" priority="53">
      <formula>$V$34&lt;&gt;""</formula>
    </cfRule>
  </conditionalFormatting>
  <conditionalFormatting sqref="C35:G35 C36:C38 E36:G38 D37 D39 I35:T38">
    <cfRule type="expression" dxfId="77" priority="54">
      <formula>$V$35&lt;&gt;""</formula>
    </cfRule>
  </conditionalFormatting>
  <conditionalFormatting sqref="U11:U39">
    <cfRule type="expression" dxfId="76" priority="27">
      <formula>$V$39&lt;&gt;""</formula>
    </cfRule>
  </conditionalFormatting>
  <conditionalFormatting sqref="C39 E39:G39 I39:T39">
    <cfRule type="expression" dxfId="75" priority="28">
      <formula>#REF!&lt;&gt;""</formula>
    </cfRule>
  </conditionalFormatting>
  <conditionalFormatting sqref="H11">
    <cfRule type="expression" dxfId="74" priority="2">
      <formula>$V$11&lt;&gt;""</formula>
    </cfRule>
  </conditionalFormatting>
  <conditionalFormatting sqref="H12">
    <cfRule type="expression" dxfId="73" priority="3">
      <formula>$V$12&lt;&gt;""</formula>
    </cfRule>
  </conditionalFormatting>
  <conditionalFormatting sqref="H13">
    <cfRule type="expression" dxfId="72" priority="4">
      <formula>$V$13&lt;&gt;""</formula>
    </cfRule>
  </conditionalFormatting>
  <conditionalFormatting sqref="H14">
    <cfRule type="expression" dxfId="71" priority="5">
      <formula>$V$14&lt;&gt;""</formula>
    </cfRule>
  </conditionalFormatting>
  <conditionalFormatting sqref="H15">
    <cfRule type="expression" dxfId="70" priority="6">
      <formula>$V$15&lt;&gt;""</formula>
    </cfRule>
  </conditionalFormatting>
  <conditionalFormatting sqref="H16">
    <cfRule type="expression" dxfId="69" priority="7">
      <formula>$V$16&lt;&gt;""</formula>
    </cfRule>
  </conditionalFormatting>
  <conditionalFormatting sqref="H17">
    <cfRule type="expression" dxfId="68" priority="8">
      <formula>$V$17&lt;&gt;""</formula>
    </cfRule>
  </conditionalFormatting>
  <conditionalFormatting sqref="H18">
    <cfRule type="expression" dxfId="67" priority="9">
      <formula>$V$18&lt;&gt;""</formula>
    </cfRule>
  </conditionalFormatting>
  <conditionalFormatting sqref="H19">
    <cfRule type="expression" dxfId="66" priority="10">
      <formula>$V$19&lt;&gt;""</formula>
    </cfRule>
  </conditionalFormatting>
  <conditionalFormatting sqref="H20">
    <cfRule type="expression" dxfId="65" priority="11">
      <formula>$V$20&lt;&gt;""</formula>
    </cfRule>
  </conditionalFormatting>
  <conditionalFormatting sqref="H21">
    <cfRule type="expression" dxfId="64" priority="12">
      <formula>$V$21&lt;&gt;""</formula>
    </cfRule>
  </conditionalFormatting>
  <conditionalFormatting sqref="H22">
    <cfRule type="expression" dxfId="63" priority="13">
      <formula>$V$22&lt;&gt;""</formula>
    </cfRule>
  </conditionalFormatting>
  <conditionalFormatting sqref="H23">
    <cfRule type="expression" dxfId="62" priority="14">
      <formula>$V$23&lt;&gt;""</formula>
    </cfRule>
  </conditionalFormatting>
  <conditionalFormatting sqref="H24">
    <cfRule type="expression" dxfId="61" priority="15">
      <formula>$V$24&lt;&gt;""</formula>
    </cfRule>
  </conditionalFormatting>
  <conditionalFormatting sqref="H25">
    <cfRule type="expression" dxfId="60" priority="16">
      <formula>$V$25&lt;&gt;""</formula>
    </cfRule>
  </conditionalFormatting>
  <conditionalFormatting sqref="H26">
    <cfRule type="expression" dxfId="59" priority="17">
      <formula>$V$26&lt;&gt;""</formula>
    </cfRule>
  </conditionalFormatting>
  <conditionalFormatting sqref="H27">
    <cfRule type="expression" dxfId="58" priority="18">
      <formula>$V$27&lt;&gt;""</formula>
    </cfRule>
  </conditionalFormatting>
  <conditionalFormatting sqref="H28">
    <cfRule type="expression" dxfId="57" priority="19">
      <formula>$V$28&lt;&gt;""</formula>
    </cfRule>
  </conditionalFormatting>
  <conditionalFormatting sqref="H29">
    <cfRule type="expression" dxfId="56" priority="20">
      <formula>$V$29&lt;&gt;""</formula>
    </cfRule>
  </conditionalFormatting>
  <conditionalFormatting sqref="H30">
    <cfRule type="expression" dxfId="55" priority="21">
      <formula>$V$30&lt;&gt;""</formula>
    </cfRule>
  </conditionalFormatting>
  <conditionalFormatting sqref="H31">
    <cfRule type="expression" dxfId="54" priority="22">
      <formula>$V$31&lt;&gt;""</formula>
    </cfRule>
  </conditionalFormatting>
  <conditionalFormatting sqref="H32">
    <cfRule type="expression" dxfId="53" priority="23">
      <formula>$V$32&lt;&gt;""</formula>
    </cfRule>
  </conditionalFormatting>
  <conditionalFormatting sqref="H33">
    <cfRule type="expression" dxfId="52" priority="24">
      <formula>$V$33&lt;&gt;""</formula>
    </cfRule>
  </conditionalFormatting>
  <conditionalFormatting sqref="H34">
    <cfRule type="expression" dxfId="51" priority="25">
      <formula>$V$34&lt;&gt;""</formula>
    </cfRule>
  </conditionalFormatting>
  <conditionalFormatting sqref="H35:H38">
    <cfRule type="expression" dxfId="50" priority="26">
      <formula>$V$35&lt;&gt;""</formula>
    </cfRule>
  </conditionalFormatting>
  <conditionalFormatting sqref="H39">
    <cfRule type="expression" dxfId="49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6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4" ht="12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5" customFormat="1" ht="54.95" customHeight="1" x14ac:dyDescent="0.3">
      <c r="A3" s="31"/>
      <c r="B3" s="34"/>
      <c r="C3" s="35" t="s">
        <v>68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4"/>
      <c r="X3" s="33"/>
    </row>
    <row r="4" spans="1:24" s="5" customFormat="1" ht="15" customHeight="1" x14ac:dyDescent="0.25">
      <c r="A4" s="31"/>
      <c r="B4" s="34"/>
      <c r="C4" s="34" t="s">
        <v>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3"/>
    </row>
    <row r="5" spans="1:24" s="6" customFormat="1" ht="15" customHeight="1" x14ac:dyDescent="0.25">
      <c r="A5" s="31"/>
      <c r="B5" s="34"/>
      <c r="C5" s="37" t="s">
        <v>71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4"/>
      <c r="X5" s="33"/>
    </row>
    <row r="6" spans="1:24" s="5" customFormat="1" ht="15" customHeight="1" x14ac:dyDescent="0.25">
      <c r="A6" s="31"/>
      <c r="B6" s="34"/>
      <c r="C6" s="38" t="s">
        <v>62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4"/>
      <c r="X6" s="33"/>
    </row>
    <row r="7" spans="1:24" s="5" customFormat="1" ht="15" customHeight="1" x14ac:dyDescent="0.25">
      <c r="A7" s="31"/>
      <c r="B7" s="34"/>
      <c r="C7" s="38" t="s">
        <v>67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4"/>
      <c r="X7" s="33"/>
    </row>
    <row r="8" spans="1:24" s="5" customFormat="1" ht="15" customHeight="1" x14ac:dyDescent="0.25">
      <c r="A8" s="31"/>
      <c r="B8" s="34"/>
      <c r="C8" s="34" t="s">
        <v>63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3"/>
    </row>
    <row r="9" spans="1:24" ht="15" customHeight="1" x14ac:dyDescent="0.25">
      <c r="A9" s="31"/>
      <c r="B9" s="34"/>
      <c r="C9" s="40" t="s">
        <v>1</v>
      </c>
      <c r="D9" s="42" t="s">
        <v>2</v>
      </c>
      <c r="E9" s="42" t="s">
        <v>3</v>
      </c>
      <c r="F9" s="41" t="s">
        <v>64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34"/>
      <c r="X9" s="33"/>
    </row>
    <row r="10" spans="1:24" ht="125.1" customHeight="1" x14ac:dyDescent="0.25">
      <c r="A10" s="31"/>
      <c r="B10" s="34"/>
      <c r="C10" s="41"/>
      <c r="D10" s="41"/>
      <c r="E10" s="41"/>
      <c r="F10" s="18" t="s">
        <v>66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70</v>
      </c>
      <c r="L10" s="18" t="s">
        <v>58</v>
      </c>
      <c r="M10" s="18" t="s">
        <v>7</v>
      </c>
      <c r="N10" s="18" t="s">
        <v>8</v>
      </c>
      <c r="O10" s="18" t="s">
        <v>28</v>
      </c>
      <c r="P10" s="18" t="s">
        <v>59</v>
      </c>
      <c r="Q10" s="18" t="s">
        <v>60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72</v>
      </c>
      <c r="W10" s="34"/>
      <c r="X10" s="33"/>
    </row>
    <row r="11" spans="1:24" ht="15" customHeight="1" x14ac:dyDescent="0.25">
      <c r="A11" s="31"/>
      <c r="B11" s="34"/>
      <c r="C11" s="26" t="s">
        <v>14</v>
      </c>
      <c r="D11" s="26">
        <v>1</v>
      </c>
      <c r="E11" s="27" t="s">
        <v>39</v>
      </c>
      <c r="F11" s="28">
        <v>11</v>
      </c>
      <c r="G11" s="28">
        <v>11</v>
      </c>
      <c r="H11" s="28">
        <v>10</v>
      </c>
      <c r="I11" s="28">
        <v>11</v>
      </c>
      <c r="J11" s="28">
        <v>10</v>
      </c>
      <c r="K11" s="28">
        <v>10</v>
      </c>
      <c r="L11" s="28">
        <v>10</v>
      </c>
      <c r="M11" s="28">
        <v>11</v>
      </c>
      <c r="N11" s="28">
        <v>9</v>
      </c>
      <c r="O11" s="28">
        <v>9</v>
      </c>
      <c r="P11" s="28">
        <v>10</v>
      </c>
      <c r="Q11" s="28">
        <v>10</v>
      </c>
      <c r="R11" s="28">
        <v>10</v>
      </c>
      <c r="S11" s="28">
        <v>10</v>
      </c>
      <c r="T11" s="28">
        <v>10</v>
      </c>
      <c r="U11" s="29">
        <f t="shared" ref="U11:U30" si="0">IF(COUNTIF(F11:T11,"=*")&gt;0,"-",IF(COUNTIF(F11:T11,"&lt;4")&gt;0,"-",(IFERROR(AVERAGE(F11:T11),""))))</f>
        <v>10.133333333333333</v>
      </c>
      <c r="V11" s="29">
        <f t="shared" ref="V11:V30" si="1">U11/12*90</f>
        <v>76</v>
      </c>
      <c r="W11" s="34"/>
      <c r="X11" s="33"/>
    </row>
    <row r="12" spans="1:24" ht="15" customHeight="1" x14ac:dyDescent="0.25">
      <c r="A12" s="31"/>
      <c r="B12" s="34"/>
      <c r="C12" s="26" t="s">
        <v>14</v>
      </c>
      <c r="D12" s="26">
        <v>2</v>
      </c>
      <c r="E12" s="27" t="s">
        <v>37</v>
      </c>
      <c r="F12" s="28">
        <v>10</v>
      </c>
      <c r="G12" s="28">
        <v>10</v>
      </c>
      <c r="H12" s="28">
        <v>10</v>
      </c>
      <c r="I12" s="28">
        <v>10</v>
      </c>
      <c r="J12" s="28">
        <v>11</v>
      </c>
      <c r="K12" s="28">
        <v>10</v>
      </c>
      <c r="L12" s="28">
        <v>11</v>
      </c>
      <c r="M12" s="28">
        <v>11</v>
      </c>
      <c r="N12" s="28">
        <v>10</v>
      </c>
      <c r="O12" s="28">
        <v>9</v>
      </c>
      <c r="P12" s="28">
        <v>10</v>
      </c>
      <c r="Q12" s="28">
        <v>10</v>
      </c>
      <c r="R12" s="28">
        <v>8</v>
      </c>
      <c r="S12" s="28">
        <v>10</v>
      </c>
      <c r="T12" s="28">
        <v>10</v>
      </c>
      <c r="U12" s="29">
        <f t="shared" si="0"/>
        <v>10</v>
      </c>
      <c r="V12" s="29">
        <f t="shared" si="1"/>
        <v>75</v>
      </c>
      <c r="W12" s="34"/>
      <c r="X12" s="33"/>
    </row>
    <row r="13" spans="1:24" ht="15" customHeight="1" x14ac:dyDescent="0.25">
      <c r="A13" s="31"/>
      <c r="B13" s="34"/>
      <c r="C13" s="26" t="s">
        <v>14</v>
      </c>
      <c r="D13" s="26">
        <v>3</v>
      </c>
      <c r="E13" s="27" t="s">
        <v>36</v>
      </c>
      <c r="F13" s="28">
        <v>9</v>
      </c>
      <c r="G13" s="28">
        <v>10</v>
      </c>
      <c r="H13" s="28">
        <v>10</v>
      </c>
      <c r="I13" s="28">
        <v>9</v>
      </c>
      <c r="J13" s="28">
        <v>10</v>
      </c>
      <c r="K13" s="28">
        <v>9</v>
      </c>
      <c r="L13" s="28">
        <v>10</v>
      </c>
      <c r="M13" s="28">
        <v>9</v>
      </c>
      <c r="N13" s="28">
        <v>8</v>
      </c>
      <c r="O13" s="28">
        <v>10</v>
      </c>
      <c r="P13" s="28">
        <v>9</v>
      </c>
      <c r="Q13" s="28">
        <v>8</v>
      </c>
      <c r="R13" s="28">
        <v>9</v>
      </c>
      <c r="S13" s="28">
        <v>10</v>
      </c>
      <c r="T13" s="28">
        <v>10</v>
      </c>
      <c r="U13" s="29">
        <f t="shared" si="0"/>
        <v>9.3333333333333339</v>
      </c>
      <c r="V13" s="29">
        <f t="shared" si="1"/>
        <v>70</v>
      </c>
      <c r="W13" s="34"/>
      <c r="X13" s="33"/>
    </row>
    <row r="14" spans="1:24" ht="15" customHeight="1" x14ac:dyDescent="0.25">
      <c r="A14" s="31"/>
      <c r="B14" s="34"/>
      <c r="C14" s="26" t="s">
        <v>14</v>
      </c>
      <c r="D14" s="26">
        <v>4</v>
      </c>
      <c r="E14" s="27" t="s">
        <v>56</v>
      </c>
      <c r="F14" s="28">
        <v>10</v>
      </c>
      <c r="G14" s="28">
        <v>9</v>
      </c>
      <c r="H14" s="28">
        <v>10</v>
      </c>
      <c r="I14" s="28">
        <v>10</v>
      </c>
      <c r="J14" s="28">
        <v>10</v>
      </c>
      <c r="K14" s="28">
        <v>10</v>
      </c>
      <c r="L14" s="28">
        <v>10</v>
      </c>
      <c r="M14" s="28">
        <v>8</v>
      </c>
      <c r="N14" s="28">
        <v>7</v>
      </c>
      <c r="O14" s="28">
        <v>9</v>
      </c>
      <c r="P14" s="28">
        <v>9</v>
      </c>
      <c r="Q14" s="28">
        <v>8</v>
      </c>
      <c r="R14" s="28">
        <v>8</v>
      </c>
      <c r="S14" s="28">
        <v>10</v>
      </c>
      <c r="T14" s="28">
        <v>9</v>
      </c>
      <c r="U14" s="29">
        <f t="shared" ref="U14" si="2">IF(COUNTIF(F14:T14,"=*")&gt;0,"-",IF(COUNTIF(F14:T14,"&lt;4")&gt;0,"-",(IFERROR(AVERAGE(F14:T14),""))))</f>
        <v>9.1333333333333329</v>
      </c>
      <c r="V14" s="29">
        <f t="shared" si="1"/>
        <v>68.5</v>
      </c>
      <c r="W14" s="34"/>
      <c r="X14" s="33"/>
    </row>
    <row r="15" spans="1:24" ht="15" customHeight="1" x14ac:dyDescent="0.25">
      <c r="A15" s="31"/>
      <c r="B15" s="34"/>
      <c r="C15" s="26" t="s">
        <v>14</v>
      </c>
      <c r="D15" s="26">
        <v>5</v>
      </c>
      <c r="E15" s="27" t="s">
        <v>46</v>
      </c>
      <c r="F15" s="28">
        <v>10</v>
      </c>
      <c r="G15" s="28">
        <v>8</v>
      </c>
      <c r="H15" s="28">
        <v>10</v>
      </c>
      <c r="I15" s="28">
        <v>10</v>
      </c>
      <c r="J15" s="28">
        <v>10</v>
      </c>
      <c r="K15" s="28">
        <v>8</v>
      </c>
      <c r="L15" s="28">
        <v>7</v>
      </c>
      <c r="M15" s="28">
        <v>9</v>
      </c>
      <c r="N15" s="28">
        <v>9</v>
      </c>
      <c r="O15" s="28">
        <v>7</v>
      </c>
      <c r="P15" s="28">
        <v>10</v>
      </c>
      <c r="Q15" s="28">
        <v>9</v>
      </c>
      <c r="R15" s="28">
        <v>8</v>
      </c>
      <c r="S15" s="28">
        <v>10</v>
      </c>
      <c r="T15" s="28">
        <v>11</v>
      </c>
      <c r="U15" s="29">
        <f t="shared" si="0"/>
        <v>9.0666666666666664</v>
      </c>
      <c r="V15" s="29">
        <f t="shared" si="1"/>
        <v>68</v>
      </c>
      <c r="W15" s="34"/>
      <c r="X15" s="33"/>
    </row>
    <row r="16" spans="1:24" ht="15" customHeight="1" x14ac:dyDescent="0.25">
      <c r="A16" s="31"/>
      <c r="B16" s="34"/>
      <c r="C16" s="26" t="s">
        <v>14</v>
      </c>
      <c r="D16" s="26">
        <v>6</v>
      </c>
      <c r="E16" s="27" t="s">
        <v>53</v>
      </c>
      <c r="F16" s="28">
        <v>9</v>
      </c>
      <c r="G16" s="28">
        <v>9</v>
      </c>
      <c r="H16" s="28">
        <v>10</v>
      </c>
      <c r="I16" s="28">
        <v>9</v>
      </c>
      <c r="J16" s="28">
        <v>10</v>
      </c>
      <c r="K16" s="28">
        <v>10</v>
      </c>
      <c r="L16" s="28">
        <v>7</v>
      </c>
      <c r="M16" s="28">
        <v>8</v>
      </c>
      <c r="N16" s="28">
        <v>9</v>
      </c>
      <c r="O16" s="28">
        <v>7</v>
      </c>
      <c r="P16" s="28">
        <v>9</v>
      </c>
      <c r="Q16" s="28">
        <v>9</v>
      </c>
      <c r="R16" s="28">
        <v>8</v>
      </c>
      <c r="S16" s="28">
        <v>10</v>
      </c>
      <c r="T16" s="28">
        <v>9</v>
      </c>
      <c r="U16" s="29">
        <f t="shared" si="0"/>
        <v>8.8666666666666671</v>
      </c>
      <c r="V16" s="29">
        <f t="shared" si="1"/>
        <v>66.5</v>
      </c>
      <c r="W16" s="34"/>
      <c r="X16" s="33"/>
    </row>
    <row r="17" spans="1:25" ht="15" customHeight="1" x14ac:dyDescent="0.25">
      <c r="A17" s="31"/>
      <c r="B17" s="34"/>
      <c r="C17" s="26" t="s">
        <v>14</v>
      </c>
      <c r="D17" s="26">
        <v>7</v>
      </c>
      <c r="E17" s="27" t="s">
        <v>49</v>
      </c>
      <c r="F17" s="28">
        <v>9</v>
      </c>
      <c r="G17" s="28">
        <v>9</v>
      </c>
      <c r="H17" s="28">
        <v>10</v>
      </c>
      <c r="I17" s="28">
        <v>9</v>
      </c>
      <c r="J17" s="28">
        <v>9</v>
      </c>
      <c r="K17" s="28">
        <v>8</v>
      </c>
      <c r="L17" s="28">
        <v>8</v>
      </c>
      <c r="M17" s="28">
        <v>9</v>
      </c>
      <c r="N17" s="28">
        <v>7</v>
      </c>
      <c r="O17" s="28">
        <v>7</v>
      </c>
      <c r="P17" s="28">
        <v>9</v>
      </c>
      <c r="Q17" s="28">
        <v>9</v>
      </c>
      <c r="R17" s="28">
        <v>9</v>
      </c>
      <c r="S17" s="28">
        <v>10</v>
      </c>
      <c r="T17" s="28">
        <v>8</v>
      </c>
      <c r="U17" s="29">
        <f t="shared" si="0"/>
        <v>8.6666666666666661</v>
      </c>
      <c r="V17" s="29">
        <f t="shared" si="1"/>
        <v>65</v>
      </c>
      <c r="W17" s="34"/>
      <c r="X17" s="33"/>
    </row>
    <row r="18" spans="1:25" ht="15" customHeight="1" x14ac:dyDescent="0.25">
      <c r="A18" s="31"/>
      <c r="B18" s="34"/>
      <c r="C18" s="26" t="s">
        <v>14</v>
      </c>
      <c r="D18" s="26">
        <v>8</v>
      </c>
      <c r="E18" s="27" t="s">
        <v>33</v>
      </c>
      <c r="F18" s="28">
        <v>10</v>
      </c>
      <c r="G18" s="28">
        <v>9</v>
      </c>
      <c r="H18" s="28">
        <v>8</v>
      </c>
      <c r="I18" s="28">
        <v>10</v>
      </c>
      <c r="J18" s="28">
        <v>11</v>
      </c>
      <c r="K18" s="28">
        <v>9</v>
      </c>
      <c r="L18" s="28">
        <v>8</v>
      </c>
      <c r="M18" s="28">
        <v>7</v>
      </c>
      <c r="N18" s="28">
        <v>8</v>
      </c>
      <c r="O18" s="28">
        <v>6</v>
      </c>
      <c r="P18" s="28">
        <v>8</v>
      </c>
      <c r="Q18" s="28">
        <v>8</v>
      </c>
      <c r="R18" s="28">
        <v>8</v>
      </c>
      <c r="S18" s="28">
        <v>10</v>
      </c>
      <c r="T18" s="28">
        <v>8</v>
      </c>
      <c r="U18" s="29">
        <f t="shared" si="0"/>
        <v>8.5333333333333332</v>
      </c>
      <c r="V18" s="29">
        <f t="shared" si="1"/>
        <v>64</v>
      </c>
      <c r="W18" s="34"/>
      <c r="X18" s="33"/>
    </row>
    <row r="19" spans="1:25" ht="15" customHeight="1" x14ac:dyDescent="0.25">
      <c r="A19" s="31"/>
      <c r="B19" s="34"/>
      <c r="C19" s="23" t="s">
        <v>14</v>
      </c>
      <c r="D19" s="23">
        <v>9</v>
      </c>
      <c r="E19" s="9" t="s">
        <v>52</v>
      </c>
      <c r="F19" s="10">
        <v>9</v>
      </c>
      <c r="G19" s="10">
        <v>9</v>
      </c>
      <c r="H19" s="10">
        <v>10</v>
      </c>
      <c r="I19" s="10">
        <v>9</v>
      </c>
      <c r="J19" s="10">
        <v>10</v>
      </c>
      <c r="K19" s="10">
        <v>10</v>
      </c>
      <c r="L19" s="10">
        <v>7</v>
      </c>
      <c r="M19" s="10">
        <v>7</v>
      </c>
      <c r="N19" s="10">
        <v>9</v>
      </c>
      <c r="O19" s="10">
        <v>4</v>
      </c>
      <c r="P19" s="10">
        <v>9</v>
      </c>
      <c r="Q19" s="10">
        <v>8</v>
      </c>
      <c r="R19" s="10">
        <v>7</v>
      </c>
      <c r="S19" s="10">
        <v>10</v>
      </c>
      <c r="T19" s="10">
        <v>8</v>
      </c>
      <c r="U19" s="25">
        <f t="shared" si="0"/>
        <v>8.4</v>
      </c>
      <c r="V19" s="25">
        <f t="shared" si="1"/>
        <v>63.000000000000007</v>
      </c>
      <c r="W19" s="34"/>
      <c r="X19" s="33"/>
    </row>
    <row r="20" spans="1:25" ht="15" customHeight="1" x14ac:dyDescent="0.25">
      <c r="A20" s="31"/>
      <c r="B20" s="34"/>
      <c r="C20" s="23" t="s">
        <v>14</v>
      </c>
      <c r="D20" s="23">
        <v>10</v>
      </c>
      <c r="E20" s="9" t="s">
        <v>45</v>
      </c>
      <c r="F20" s="10">
        <v>9</v>
      </c>
      <c r="G20" s="10">
        <v>8</v>
      </c>
      <c r="H20" s="10">
        <v>10</v>
      </c>
      <c r="I20" s="10">
        <v>10</v>
      </c>
      <c r="J20" s="10">
        <v>10</v>
      </c>
      <c r="K20" s="10">
        <v>7</v>
      </c>
      <c r="L20" s="10">
        <v>5</v>
      </c>
      <c r="M20" s="10">
        <v>8</v>
      </c>
      <c r="N20" s="10">
        <v>7</v>
      </c>
      <c r="O20" s="10">
        <v>5</v>
      </c>
      <c r="P20" s="10">
        <v>8</v>
      </c>
      <c r="Q20" s="10">
        <v>8</v>
      </c>
      <c r="R20" s="10">
        <v>6</v>
      </c>
      <c r="S20" s="10">
        <v>8</v>
      </c>
      <c r="T20" s="10">
        <v>6</v>
      </c>
      <c r="U20" s="25">
        <f t="shared" si="0"/>
        <v>7.666666666666667</v>
      </c>
      <c r="V20" s="25">
        <f t="shared" si="1"/>
        <v>57.500000000000007</v>
      </c>
      <c r="W20" s="34"/>
      <c r="X20" s="33"/>
    </row>
    <row r="21" spans="1:25" ht="15" customHeight="1" x14ac:dyDescent="0.25">
      <c r="A21" s="31"/>
      <c r="B21" s="34"/>
      <c r="C21" s="23" t="s">
        <v>14</v>
      </c>
      <c r="D21" s="23">
        <v>11</v>
      </c>
      <c r="E21" s="9" t="s">
        <v>38</v>
      </c>
      <c r="F21" s="10">
        <v>8</v>
      </c>
      <c r="G21" s="10">
        <v>9</v>
      </c>
      <c r="H21" s="10">
        <v>10</v>
      </c>
      <c r="I21" s="10">
        <v>9</v>
      </c>
      <c r="J21" s="10">
        <v>9</v>
      </c>
      <c r="K21" s="10">
        <v>6</v>
      </c>
      <c r="L21" s="10">
        <v>6</v>
      </c>
      <c r="M21" s="10">
        <v>8</v>
      </c>
      <c r="N21" s="10">
        <v>7</v>
      </c>
      <c r="O21" s="10">
        <v>5</v>
      </c>
      <c r="P21" s="10">
        <v>8</v>
      </c>
      <c r="Q21" s="10">
        <v>8</v>
      </c>
      <c r="R21" s="10">
        <v>6</v>
      </c>
      <c r="S21" s="10">
        <v>8</v>
      </c>
      <c r="T21" s="10">
        <v>5</v>
      </c>
      <c r="U21" s="25">
        <f t="shared" si="0"/>
        <v>7.4666666666666668</v>
      </c>
      <c r="V21" s="25">
        <f t="shared" si="1"/>
        <v>56</v>
      </c>
      <c r="W21" s="34"/>
      <c r="X21" s="33"/>
    </row>
    <row r="22" spans="1:25" ht="15" customHeight="1" x14ac:dyDescent="0.25">
      <c r="A22" s="31"/>
      <c r="B22" s="34"/>
      <c r="C22" s="23" t="s">
        <v>14</v>
      </c>
      <c r="D22" s="23">
        <v>12</v>
      </c>
      <c r="E22" s="9" t="s">
        <v>55</v>
      </c>
      <c r="F22" s="10">
        <v>9</v>
      </c>
      <c r="G22" s="10">
        <v>7</v>
      </c>
      <c r="H22" s="10">
        <v>8</v>
      </c>
      <c r="I22" s="10">
        <v>9</v>
      </c>
      <c r="J22" s="10">
        <v>9</v>
      </c>
      <c r="K22" s="10">
        <v>6</v>
      </c>
      <c r="L22" s="10">
        <v>6</v>
      </c>
      <c r="M22" s="10">
        <v>7</v>
      </c>
      <c r="N22" s="10">
        <v>5</v>
      </c>
      <c r="O22" s="10">
        <v>6</v>
      </c>
      <c r="P22" s="10">
        <v>7</v>
      </c>
      <c r="Q22" s="10">
        <v>7</v>
      </c>
      <c r="R22" s="10">
        <v>7</v>
      </c>
      <c r="S22" s="10">
        <v>10</v>
      </c>
      <c r="T22" s="10">
        <v>7</v>
      </c>
      <c r="U22" s="25">
        <f t="shared" si="0"/>
        <v>7.333333333333333</v>
      </c>
      <c r="V22" s="25">
        <f t="shared" si="1"/>
        <v>54.999999999999993</v>
      </c>
      <c r="W22" s="34"/>
      <c r="X22" s="33"/>
    </row>
    <row r="23" spans="1:25" ht="15" customHeight="1" x14ac:dyDescent="0.25">
      <c r="A23" s="31"/>
      <c r="B23" s="34"/>
      <c r="C23" s="24" t="s">
        <v>14</v>
      </c>
      <c r="D23" s="24">
        <v>13</v>
      </c>
      <c r="E23" s="9" t="s">
        <v>30</v>
      </c>
      <c r="F23" s="10">
        <v>10</v>
      </c>
      <c r="G23" s="10">
        <v>8</v>
      </c>
      <c r="H23" s="10">
        <v>9</v>
      </c>
      <c r="I23" s="10">
        <v>9</v>
      </c>
      <c r="J23" s="10">
        <v>10</v>
      </c>
      <c r="K23" s="10">
        <v>7</v>
      </c>
      <c r="L23" s="10">
        <v>6</v>
      </c>
      <c r="M23" s="10">
        <v>7</v>
      </c>
      <c r="N23" s="10">
        <v>7</v>
      </c>
      <c r="O23" s="10">
        <v>5</v>
      </c>
      <c r="P23" s="10">
        <v>6</v>
      </c>
      <c r="Q23" s="10">
        <v>6</v>
      </c>
      <c r="R23" s="10">
        <v>5</v>
      </c>
      <c r="S23" s="10">
        <v>8</v>
      </c>
      <c r="T23" s="10">
        <v>6</v>
      </c>
      <c r="U23" s="25">
        <f t="shared" ref="U23" si="3">IF(COUNTIF(F23:T23,"=*")&gt;0,"-",IF(COUNTIF(F23:T23,"&lt;4")&gt;0,"-",(IFERROR(AVERAGE(F23:T23),""))))</f>
        <v>7.2666666666666666</v>
      </c>
      <c r="V23" s="25">
        <f t="shared" si="1"/>
        <v>54.499999999999993</v>
      </c>
      <c r="W23" s="34"/>
      <c r="X23" s="33"/>
    </row>
    <row r="24" spans="1:25" ht="15" customHeight="1" x14ac:dyDescent="0.25">
      <c r="A24" s="31"/>
      <c r="B24" s="34"/>
      <c r="C24" s="23" t="s">
        <v>14</v>
      </c>
      <c r="D24" s="23">
        <v>14</v>
      </c>
      <c r="E24" s="9" t="s">
        <v>43</v>
      </c>
      <c r="F24" s="10">
        <v>7</v>
      </c>
      <c r="G24" s="10">
        <v>8</v>
      </c>
      <c r="H24" s="10">
        <v>8</v>
      </c>
      <c r="I24" s="10">
        <v>7</v>
      </c>
      <c r="J24" s="10">
        <v>7</v>
      </c>
      <c r="K24" s="10">
        <v>6</v>
      </c>
      <c r="L24" s="10">
        <v>8</v>
      </c>
      <c r="M24" s="10">
        <v>4</v>
      </c>
      <c r="N24" s="10">
        <v>5</v>
      </c>
      <c r="O24" s="10">
        <v>6</v>
      </c>
      <c r="P24" s="10">
        <v>4</v>
      </c>
      <c r="Q24" s="10">
        <v>7</v>
      </c>
      <c r="R24" s="10">
        <v>6</v>
      </c>
      <c r="S24" s="10">
        <v>10</v>
      </c>
      <c r="T24" s="10">
        <v>5</v>
      </c>
      <c r="U24" s="25">
        <f t="shared" si="0"/>
        <v>6.5333333333333332</v>
      </c>
      <c r="V24" s="25">
        <f t="shared" si="1"/>
        <v>48.999999999999993</v>
      </c>
      <c r="W24" s="34"/>
      <c r="X24" s="33"/>
    </row>
    <row r="25" spans="1:25" ht="15" customHeight="1" x14ac:dyDescent="0.25">
      <c r="A25" s="31"/>
      <c r="B25" s="34"/>
      <c r="C25" s="23" t="s">
        <v>14</v>
      </c>
      <c r="D25" s="23">
        <v>15</v>
      </c>
      <c r="E25" s="9" t="s">
        <v>42</v>
      </c>
      <c r="F25" s="10">
        <v>8</v>
      </c>
      <c r="G25" s="10">
        <v>7</v>
      </c>
      <c r="H25" s="10">
        <v>6</v>
      </c>
      <c r="I25" s="10">
        <v>8</v>
      </c>
      <c r="J25" s="10">
        <v>5</v>
      </c>
      <c r="K25" s="10">
        <v>4</v>
      </c>
      <c r="L25" s="10">
        <v>7</v>
      </c>
      <c r="M25" s="10">
        <v>7</v>
      </c>
      <c r="N25" s="10">
        <v>7</v>
      </c>
      <c r="O25" s="10">
        <v>7</v>
      </c>
      <c r="P25" s="10">
        <v>6</v>
      </c>
      <c r="Q25" s="10">
        <v>6</v>
      </c>
      <c r="R25" s="10">
        <v>6</v>
      </c>
      <c r="S25" s="10">
        <v>7</v>
      </c>
      <c r="T25" s="10">
        <v>5</v>
      </c>
      <c r="U25" s="25">
        <f t="shared" si="0"/>
        <v>6.4</v>
      </c>
      <c r="V25" s="25">
        <f t="shared" si="1"/>
        <v>48</v>
      </c>
      <c r="W25" s="34"/>
      <c r="X25" s="33"/>
    </row>
    <row r="26" spans="1:25" ht="15" customHeight="1" x14ac:dyDescent="0.25">
      <c r="A26" s="31"/>
      <c r="B26" s="34"/>
      <c r="C26" s="23" t="s">
        <v>14</v>
      </c>
      <c r="D26" s="23">
        <v>16</v>
      </c>
      <c r="E26" s="9" t="s">
        <v>40</v>
      </c>
      <c r="F26" s="10">
        <v>8</v>
      </c>
      <c r="G26" s="10">
        <v>8</v>
      </c>
      <c r="H26" s="10">
        <v>4</v>
      </c>
      <c r="I26" s="10">
        <v>7</v>
      </c>
      <c r="J26" s="10">
        <v>7</v>
      </c>
      <c r="K26" s="10">
        <v>4</v>
      </c>
      <c r="L26" s="10">
        <v>10</v>
      </c>
      <c r="M26" s="10">
        <v>4</v>
      </c>
      <c r="N26" s="10">
        <v>5</v>
      </c>
      <c r="O26" s="10">
        <v>5</v>
      </c>
      <c r="P26" s="10">
        <v>6</v>
      </c>
      <c r="Q26" s="10">
        <v>6</v>
      </c>
      <c r="R26" s="10">
        <v>4</v>
      </c>
      <c r="S26" s="10">
        <v>6</v>
      </c>
      <c r="T26" s="10">
        <v>6</v>
      </c>
      <c r="U26" s="25">
        <f t="shared" si="0"/>
        <v>6</v>
      </c>
      <c r="V26" s="25">
        <f t="shared" si="1"/>
        <v>45</v>
      </c>
      <c r="W26" s="34"/>
      <c r="X26" s="33"/>
    </row>
    <row r="27" spans="1:25" ht="15" customHeight="1" x14ac:dyDescent="0.25">
      <c r="A27" s="31"/>
      <c r="B27" s="34"/>
      <c r="C27" s="23" t="s">
        <v>14</v>
      </c>
      <c r="D27" s="23">
        <v>17</v>
      </c>
      <c r="E27" s="9" t="s">
        <v>50</v>
      </c>
      <c r="F27" s="10">
        <v>6</v>
      </c>
      <c r="G27" s="10">
        <v>5</v>
      </c>
      <c r="H27" s="10">
        <v>9</v>
      </c>
      <c r="I27" s="10">
        <v>6</v>
      </c>
      <c r="J27" s="10">
        <v>7</v>
      </c>
      <c r="K27" s="10">
        <v>4</v>
      </c>
      <c r="L27" s="10">
        <v>4</v>
      </c>
      <c r="M27" s="10">
        <v>5</v>
      </c>
      <c r="N27" s="10">
        <v>6</v>
      </c>
      <c r="O27" s="10">
        <v>5</v>
      </c>
      <c r="P27" s="10">
        <v>7</v>
      </c>
      <c r="Q27" s="10">
        <v>6</v>
      </c>
      <c r="R27" s="10">
        <v>5</v>
      </c>
      <c r="S27" s="10">
        <v>4</v>
      </c>
      <c r="T27" s="10">
        <v>6</v>
      </c>
      <c r="U27" s="25">
        <f t="shared" si="0"/>
        <v>5.666666666666667</v>
      </c>
      <c r="V27" s="25">
        <f t="shared" si="1"/>
        <v>42.500000000000007</v>
      </c>
      <c r="W27" s="34"/>
      <c r="X27" s="33"/>
    </row>
    <row r="28" spans="1:25" ht="15" customHeight="1" x14ac:dyDescent="0.25">
      <c r="A28" s="31"/>
      <c r="B28" s="34"/>
      <c r="C28" s="23" t="s">
        <v>14</v>
      </c>
      <c r="D28" s="23">
        <v>18</v>
      </c>
      <c r="E28" s="9" t="s">
        <v>48</v>
      </c>
      <c r="F28" s="10">
        <v>4</v>
      </c>
      <c r="G28" s="10">
        <v>4</v>
      </c>
      <c r="H28" s="10">
        <v>5</v>
      </c>
      <c r="I28" s="10">
        <v>4</v>
      </c>
      <c r="J28" s="10">
        <v>6</v>
      </c>
      <c r="K28" s="10">
        <v>4</v>
      </c>
      <c r="L28" s="10">
        <v>8</v>
      </c>
      <c r="M28" s="10">
        <v>7</v>
      </c>
      <c r="N28" s="10">
        <v>6</v>
      </c>
      <c r="O28" s="10">
        <v>5</v>
      </c>
      <c r="P28" s="10">
        <v>5</v>
      </c>
      <c r="Q28" s="10">
        <v>6</v>
      </c>
      <c r="R28" s="10">
        <v>5</v>
      </c>
      <c r="S28" s="10">
        <v>6</v>
      </c>
      <c r="T28" s="10">
        <v>5</v>
      </c>
      <c r="U28" s="25">
        <f t="shared" si="0"/>
        <v>5.333333333333333</v>
      </c>
      <c r="V28" s="25">
        <f t="shared" si="1"/>
        <v>40</v>
      </c>
      <c r="W28" s="34"/>
      <c r="X28" s="33"/>
    </row>
    <row r="29" spans="1:25" ht="15" customHeight="1" x14ac:dyDescent="0.25">
      <c r="A29" s="31"/>
      <c r="B29" s="34"/>
      <c r="C29" s="23" t="s">
        <v>14</v>
      </c>
      <c r="D29" s="23">
        <v>19</v>
      </c>
      <c r="E29" s="9" t="s">
        <v>54</v>
      </c>
      <c r="F29" s="10">
        <v>6</v>
      </c>
      <c r="G29" s="10">
        <v>5</v>
      </c>
      <c r="H29" s="10">
        <v>6</v>
      </c>
      <c r="I29" s="10">
        <v>6</v>
      </c>
      <c r="J29" s="10">
        <v>6</v>
      </c>
      <c r="K29" s="10">
        <v>5</v>
      </c>
      <c r="L29" s="10">
        <v>4</v>
      </c>
      <c r="M29" s="10">
        <v>5</v>
      </c>
      <c r="N29" s="10">
        <v>5</v>
      </c>
      <c r="O29" s="10">
        <v>4</v>
      </c>
      <c r="P29" s="10">
        <v>5</v>
      </c>
      <c r="Q29" s="10">
        <v>6</v>
      </c>
      <c r="R29" s="10">
        <v>4</v>
      </c>
      <c r="S29" s="10">
        <v>6</v>
      </c>
      <c r="T29" s="10">
        <v>5</v>
      </c>
      <c r="U29" s="25">
        <f t="shared" si="0"/>
        <v>5.2</v>
      </c>
      <c r="V29" s="25">
        <f t="shared" si="1"/>
        <v>39</v>
      </c>
      <c r="W29" s="34"/>
      <c r="X29" s="33"/>
    </row>
    <row r="30" spans="1:25" ht="15" customHeight="1" x14ac:dyDescent="0.25">
      <c r="A30" s="31"/>
      <c r="B30" s="34"/>
      <c r="C30" s="23" t="s">
        <v>14</v>
      </c>
      <c r="D30" s="23">
        <v>20</v>
      </c>
      <c r="E30" s="9" t="s">
        <v>32</v>
      </c>
      <c r="F30" s="10">
        <v>6</v>
      </c>
      <c r="G30" s="10">
        <v>4</v>
      </c>
      <c r="H30" s="10">
        <v>6</v>
      </c>
      <c r="I30" s="10">
        <v>6</v>
      </c>
      <c r="J30" s="10">
        <v>6</v>
      </c>
      <c r="K30" s="10">
        <v>4</v>
      </c>
      <c r="L30" s="10">
        <v>4</v>
      </c>
      <c r="M30" s="10">
        <v>5</v>
      </c>
      <c r="N30" s="10">
        <v>5</v>
      </c>
      <c r="O30" s="10">
        <v>4</v>
      </c>
      <c r="P30" s="10">
        <v>5</v>
      </c>
      <c r="Q30" s="10">
        <v>6</v>
      </c>
      <c r="R30" s="10">
        <v>4</v>
      </c>
      <c r="S30" s="10">
        <v>6</v>
      </c>
      <c r="T30" s="10">
        <v>5</v>
      </c>
      <c r="U30" s="25">
        <f t="shared" si="0"/>
        <v>5.0666666666666664</v>
      </c>
      <c r="V30" s="25">
        <f t="shared" si="1"/>
        <v>38</v>
      </c>
      <c r="W30" s="34"/>
      <c r="X30" s="33"/>
    </row>
    <row r="31" spans="1:25" ht="15" customHeight="1" x14ac:dyDescent="0.25">
      <c r="A31" s="31"/>
      <c r="B31" s="34"/>
      <c r="C31" s="11"/>
      <c r="D31" s="11"/>
      <c r="E31" s="9" t="s">
        <v>20</v>
      </c>
      <c r="F31" s="22">
        <f>'Зведена 076'!F45</f>
        <v>22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1"/>
      <c r="V31" s="21"/>
      <c r="W31" s="34"/>
      <c r="X31" s="33"/>
      <c r="Y31" s="14"/>
    </row>
    <row r="32" spans="1:25" ht="15" customHeight="1" x14ac:dyDescent="0.25">
      <c r="A32" s="31"/>
      <c r="B32" s="34"/>
      <c r="C32" s="11"/>
      <c r="D32" s="11"/>
      <c r="E32" s="9" t="s">
        <v>21</v>
      </c>
      <c r="F32" s="22">
        <f>'Зведена 076'!F46</f>
        <v>7</v>
      </c>
      <c r="G32" s="11"/>
      <c r="H32" s="11"/>
      <c r="I32" s="17" t="s">
        <v>22</v>
      </c>
      <c r="J32" s="11"/>
      <c r="K32" s="11"/>
      <c r="L32" s="11"/>
      <c r="M32" s="11"/>
      <c r="N32" s="11"/>
      <c r="O32" s="11"/>
      <c r="P32" s="1" t="s">
        <v>61</v>
      </c>
      <c r="Q32" s="11"/>
      <c r="R32" s="11"/>
      <c r="S32" s="11"/>
      <c r="T32" s="11"/>
      <c r="U32" s="11"/>
      <c r="V32" s="11"/>
      <c r="W32" s="34"/>
      <c r="X32" s="33"/>
    </row>
    <row r="33" spans="1:24" ht="15" customHeight="1" x14ac:dyDescent="0.25">
      <c r="A33" s="31"/>
      <c r="B33" s="34"/>
      <c r="C33" s="11"/>
      <c r="D33" s="11"/>
      <c r="E33" s="9" t="s">
        <v>23</v>
      </c>
      <c r="F33" s="22">
        <f>'Зведена 076'!F47</f>
        <v>3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34"/>
      <c r="X33" s="33"/>
    </row>
    <row r="34" spans="1:24" ht="15" customHeight="1" x14ac:dyDescent="0.25">
      <c r="A34" s="31"/>
      <c r="B34" s="34"/>
      <c r="C34" s="11"/>
      <c r="D34" s="11"/>
      <c r="E34" s="9" t="s">
        <v>24</v>
      </c>
      <c r="F34" s="22">
        <f>'Зведена 076'!F48</f>
        <v>8</v>
      </c>
      <c r="G34" s="11"/>
      <c r="H34" s="11"/>
      <c r="I34" s="17" t="s">
        <v>65</v>
      </c>
      <c r="J34" s="11"/>
      <c r="K34" s="11"/>
      <c r="L34" s="11"/>
      <c r="M34" s="11"/>
      <c r="N34" s="11"/>
      <c r="O34" s="11"/>
      <c r="P34" s="17" t="s">
        <v>25</v>
      </c>
      <c r="Q34" s="11"/>
      <c r="R34" s="11"/>
      <c r="S34" s="11"/>
      <c r="T34" s="11"/>
      <c r="U34" s="11"/>
      <c r="V34" s="11"/>
      <c r="W34" s="34"/>
      <c r="X34" s="33"/>
    </row>
    <row r="35" spans="1:24" ht="12" customHeight="1" thickBot="1" x14ac:dyDescent="0.3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3"/>
    </row>
    <row r="36" spans="1:24" ht="12" customHeight="1" x14ac:dyDescent="0.2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sheetProtection selectLockedCells="1"/>
  <sortState ref="C11:V30">
    <sortCondition descending="1" ref="U11:U30"/>
  </sortState>
  <mergeCells count="18">
    <mergeCell ref="B1:W1"/>
    <mergeCell ref="A2:A35"/>
    <mergeCell ref="B2:W2"/>
    <mergeCell ref="X2:X35"/>
    <mergeCell ref="B3:B34"/>
    <mergeCell ref="C3:V3"/>
    <mergeCell ref="W3:W34"/>
    <mergeCell ref="C4:V4"/>
    <mergeCell ref="C5:V5"/>
    <mergeCell ref="C6:V6"/>
    <mergeCell ref="B35:W35"/>
    <mergeCell ref="B36:W36"/>
    <mergeCell ref="C7:V7"/>
    <mergeCell ref="C8:V8"/>
    <mergeCell ref="C9:C10"/>
    <mergeCell ref="D9:D10"/>
    <mergeCell ref="E9:E10"/>
    <mergeCell ref="F9:V9"/>
  </mergeCells>
  <conditionalFormatting sqref="I11:T11">
    <cfRule type="expression" dxfId="48" priority="39">
      <formula>$W$11&lt;&gt;""</formula>
    </cfRule>
  </conditionalFormatting>
  <conditionalFormatting sqref="C11:G11 D13 D17 D19 D21:D22 D25 D27 D29">
    <cfRule type="expression" dxfId="47" priority="40">
      <formula>$W$11&lt;&gt;""</formula>
    </cfRule>
  </conditionalFormatting>
  <conditionalFormatting sqref="I12:T12">
    <cfRule type="expression" dxfId="46" priority="41">
      <formula>$W$12&lt;&gt;""</formula>
    </cfRule>
  </conditionalFormatting>
  <conditionalFormatting sqref="C12:G12 D15:D16 D18 D20 D24 D26 D28 D30">
    <cfRule type="expression" dxfId="45" priority="42">
      <formula>$W$12&lt;&gt;""</formula>
    </cfRule>
  </conditionalFormatting>
  <conditionalFormatting sqref="C13 I13:T13 E13:G13">
    <cfRule type="expression" dxfId="44" priority="43">
      <formula>$W$13&lt;&gt;""</formula>
    </cfRule>
  </conditionalFormatting>
  <conditionalFormatting sqref="I15:T15 E15:G15">
    <cfRule type="expression" dxfId="43" priority="45">
      <formula>$W$15&lt;&gt;""</formula>
    </cfRule>
  </conditionalFormatting>
  <conditionalFormatting sqref="C15">
    <cfRule type="expression" dxfId="42" priority="46">
      <formula>$W$15&lt;&gt;""</formula>
    </cfRule>
  </conditionalFormatting>
  <conditionalFormatting sqref="I16:T16 E16:G16">
    <cfRule type="expression" dxfId="41" priority="47">
      <formula>$W$16&lt;&gt;""</formula>
    </cfRule>
  </conditionalFormatting>
  <conditionalFormatting sqref="C16">
    <cfRule type="expression" dxfId="40" priority="48">
      <formula>$W$16&lt;&gt;""</formula>
    </cfRule>
  </conditionalFormatting>
  <conditionalFormatting sqref="C17 I17:T17 E17:G17">
    <cfRule type="expression" dxfId="39" priority="49">
      <formula>$W$17&lt;&gt;""</formula>
    </cfRule>
  </conditionalFormatting>
  <conditionalFormatting sqref="C18 I18:T18 E18:G18">
    <cfRule type="expression" dxfId="38" priority="50">
      <formula>$W$18&lt;&gt;""</formula>
    </cfRule>
  </conditionalFormatting>
  <conditionalFormatting sqref="I19:T19 E19:G19">
    <cfRule type="expression" dxfId="37" priority="51">
      <formula>$W$19&lt;&gt;""</formula>
    </cfRule>
  </conditionalFormatting>
  <conditionalFormatting sqref="C19">
    <cfRule type="expression" dxfId="36" priority="52">
      <formula>$W$19&lt;&gt;""</formula>
    </cfRule>
  </conditionalFormatting>
  <conditionalFormatting sqref="C20 I20:T20 E20:G20">
    <cfRule type="expression" dxfId="35" priority="53">
      <formula>$W$20&lt;&gt;""</formula>
    </cfRule>
  </conditionalFormatting>
  <conditionalFormatting sqref="I21:T21 E21:G21">
    <cfRule type="expression" dxfId="34" priority="54">
      <formula>$W$21&lt;&gt;""</formula>
    </cfRule>
  </conditionalFormatting>
  <conditionalFormatting sqref="C21">
    <cfRule type="expression" dxfId="33" priority="55">
      <formula>$W$21&lt;&gt;""</formula>
    </cfRule>
  </conditionalFormatting>
  <conditionalFormatting sqref="E22:G22">
    <cfRule type="expression" dxfId="32" priority="56">
      <formula>$W$22&lt;&gt;""</formula>
    </cfRule>
  </conditionalFormatting>
  <conditionalFormatting sqref="I22:T22">
    <cfRule type="expression" dxfId="31" priority="57">
      <formula>$W$22&lt;&gt;""</formula>
    </cfRule>
  </conditionalFormatting>
  <conditionalFormatting sqref="C22">
    <cfRule type="expression" dxfId="30" priority="58">
      <formula>$W$22&lt;&gt;""</formula>
    </cfRule>
  </conditionalFormatting>
  <conditionalFormatting sqref="C24 I24:T24 E24:G24">
    <cfRule type="expression" dxfId="29" priority="59">
      <formula>$W$24&lt;&gt;""</formula>
    </cfRule>
  </conditionalFormatting>
  <conditionalFormatting sqref="C25 I25:T25 E25:G25">
    <cfRule type="expression" dxfId="28" priority="60">
      <formula>$W$25&lt;&gt;""</formula>
    </cfRule>
  </conditionalFormatting>
  <conditionalFormatting sqref="I26:T26 E26:G26">
    <cfRule type="expression" dxfId="27" priority="61">
      <formula>$W$26&lt;&gt;""</formula>
    </cfRule>
  </conditionalFormatting>
  <conditionalFormatting sqref="C26">
    <cfRule type="expression" dxfId="26" priority="62">
      <formula>$W$26&lt;&gt;""</formula>
    </cfRule>
  </conditionalFormatting>
  <conditionalFormatting sqref="C27:C30 I27:T30 E27:G30">
    <cfRule type="expression" dxfId="25" priority="63">
      <formula>$W$27&lt;&gt;""</formula>
    </cfRule>
  </conditionalFormatting>
  <conditionalFormatting sqref="H11">
    <cfRule type="expression" dxfId="24" priority="13">
      <formula>$W$11&lt;&gt;""</formula>
    </cfRule>
  </conditionalFormatting>
  <conditionalFormatting sqref="H12">
    <cfRule type="expression" dxfId="23" priority="15">
      <formula>$W$12&lt;&gt;""</formula>
    </cfRule>
  </conditionalFormatting>
  <conditionalFormatting sqref="H13">
    <cfRule type="expression" dxfId="22" priority="16">
      <formula>$W$13&lt;&gt;""</formula>
    </cfRule>
  </conditionalFormatting>
  <conditionalFormatting sqref="H15">
    <cfRule type="expression" dxfId="21" priority="19">
      <formula>$W$15&lt;&gt;""</formula>
    </cfRule>
  </conditionalFormatting>
  <conditionalFormatting sqref="H16">
    <cfRule type="expression" dxfId="20" priority="21">
      <formula>$W$16&lt;&gt;""</formula>
    </cfRule>
  </conditionalFormatting>
  <conditionalFormatting sqref="H17">
    <cfRule type="expression" dxfId="19" priority="22">
      <formula>$W$17&lt;&gt;""</formula>
    </cfRule>
  </conditionalFormatting>
  <conditionalFormatting sqref="H18">
    <cfRule type="expression" dxfId="18" priority="23">
      <formula>$W$18&lt;&gt;""</formula>
    </cfRule>
  </conditionalFormatting>
  <conditionalFormatting sqref="H19">
    <cfRule type="expression" dxfId="17" priority="25">
      <formula>$W$19&lt;&gt;""</formula>
    </cfRule>
  </conditionalFormatting>
  <conditionalFormatting sqref="H20">
    <cfRule type="expression" dxfId="16" priority="26">
      <formula>$W$20&lt;&gt;""</formula>
    </cfRule>
  </conditionalFormatting>
  <conditionalFormatting sqref="H21">
    <cfRule type="expression" dxfId="15" priority="28">
      <formula>$W$21&lt;&gt;""</formula>
    </cfRule>
  </conditionalFormatting>
  <conditionalFormatting sqref="H22">
    <cfRule type="expression" dxfId="14" priority="31">
      <formula>$W$22&lt;&gt;""</formula>
    </cfRule>
  </conditionalFormatting>
  <conditionalFormatting sqref="H24">
    <cfRule type="expression" dxfId="13" priority="32">
      <formula>$W$24&lt;&gt;""</formula>
    </cfRule>
  </conditionalFormatting>
  <conditionalFormatting sqref="H25">
    <cfRule type="expression" dxfId="12" priority="33">
      <formula>$W$25&lt;&gt;""</formula>
    </cfRule>
  </conditionalFormatting>
  <conditionalFormatting sqref="H26">
    <cfRule type="expression" dxfId="11" priority="35">
      <formula>$W$26&lt;&gt;""</formula>
    </cfRule>
  </conditionalFormatting>
  <conditionalFormatting sqref="H27:H30">
    <cfRule type="expression" dxfId="10" priority="36">
      <formula>$W$27&lt;&gt;""</formula>
    </cfRule>
  </conditionalFormatting>
  <conditionalFormatting sqref="V24:V30 U11:V13 U15:V22">
    <cfRule type="expression" dxfId="9" priority="65">
      <formula>#REF!&lt;&gt;""</formula>
    </cfRule>
  </conditionalFormatting>
  <conditionalFormatting sqref="U24:U30">
    <cfRule type="expression" dxfId="8" priority="10">
      <formula>#REF!&lt;&gt;""</formula>
    </cfRule>
  </conditionalFormatting>
  <conditionalFormatting sqref="D23">
    <cfRule type="expression" dxfId="7" priority="7">
      <formula>$W$12&lt;&gt;""</formula>
    </cfRule>
  </conditionalFormatting>
  <conditionalFormatting sqref="C23 I23:T23 E23:G23">
    <cfRule type="expression" dxfId="6" priority="8">
      <formula>#REF!&lt;&gt;""</formula>
    </cfRule>
  </conditionalFormatting>
  <conditionalFormatting sqref="H23">
    <cfRule type="expression" dxfId="5" priority="6">
      <formula>#REF!&lt;&gt;""</formula>
    </cfRule>
  </conditionalFormatting>
  <conditionalFormatting sqref="V23">
    <cfRule type="expression" dxfId="4" priority="9">
      <formula>#REF!&lt;&gt;""</formula>
    </cfRule>
  </conditionalFormatting>
  <conditionalFormatting sqref="U23">
    <cfRule type="expression" dxfId="3" priority="5">
      <formula>#REF!&lt;&gt;""</formula>
    </cfRule>
  </conditionalFormatting>
  <conditionalFormatting sqref="D14">
    <cfRule type="expression" dxfId="2" priority="2">
      <formula>$W$11&lt;&gt;""</formula>
    </cfRule>
  </conditionalFormatting>
  <conditionalFormatting sqref="U14:V14">
    <cfRule type="expression" dxfId="1" priority="4">
      <formula>#REF!&lt;&gt;""</formula>
    </cfRule>
  </conditionalFormatting>
  <conditionalFormatting sqref="C14 E14:T14">
    <cfRule type="expression" dxfId="0" priority="85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076</vt:lpstr>
      <vt:lpstr>Рейтингова відомість 076</vt:lpstr>
      <vt:lpstr>'Зведена 076'!Область_печати</vt:lpstr>
      <vt:lpstr>'Рейтингова відомість 076'!Область_печати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2024-06-20T12:58:58Z</dcterms:modified>
  <cp:category/>
  <cp:contentStatus/>
</cp:coreProperties>
</file>