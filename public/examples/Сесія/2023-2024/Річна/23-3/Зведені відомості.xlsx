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165" windowWidth="19410" windowHeight="11640"/>
  </bookViews>
  <sheets>
    <sheet name="Зведена 174" sheetId="39" r:id="rId1"/>
    <sheet name="Зведена 172" sheetId="38" r:id="rId2"/>
  </sheets>
  <definedNames>
    <definedName name="A1048577" localSheetId="1">#REF!</definedName>
    <definedName name="A1048577" localSheetId="0">#REF!</definedName>
    <definedName name="A1048577">#REF!</definedName>
    <definedName name="_xlnm.Print_Area" localSheetId="1">'Зведена 172'!$B$2:$V$37</definedName>
    <definedName name="_xlnm.Print_Area" localSheetId="0">'Зведена 174'!$B$2:$V$39</definedName>
    <definedName name="Ф80" localSheetId="1">#REF!</definedName>
    <definedName name="Ф80" localSheetId="0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F29" i="38" l="1"/>
  <c r="U15" i="38"/>
  <c r="U22" i="39" l="1"/>
  <c r="L29" i="38"/>
  <c r="N30" i="38"/>
  <c r="J28" i="38"/>
  <c r="I31" i="39"/>
  <c r="U27" i="38"/>
  <c r="U23" i="38"/>
  <c r="T29" i="38"/>
  <c r="R28" i="38"/>
  <c r="U14" i="39"/>
  <c r="K32" i="39"/>
  <c r="G30" i="39"/>
  <c r="U19" i="38"/>
  <c r="R30" i="38"/>
  <c r="P29" i="38"/>
  <c r="N28" i="38"/>
  <c r="J30" i="38"/>
  <c r="H29" i="38"/>
  <c r="F31" i="39"/>
  <c r="S31" i="39"/>
  <c r="Q30" i="39"/>
  <c r="O31" i="39"/>
  <c r="M30" i="39"/>
  <c r="K31" i="39"/>
  <c r="I30" i="39"/>
  <c r="G31" i="39"/>
  <c r="T28" i="38"/>
  <c r="R29" i="38"/>
  <c r="P28" i="38"/>
  <c r="N29" i="38"/>
  <c r="L28" i="38"/>
  <c r="J29" i="38"/>
  <c r="H28" i="38"/>
  <c r="U27" i="39"/>
  <c r="U26" i="39"/>
  <c r="U23" i="39"/>
  <c r="U19" i="39"/>
  <c r="U18" i="39"/>
  <c r="S32" i="39"/>
  <c r="Q31" i="39"/>
  <c r="O30" i="39"/>
  <c r="U24" i="39"/>
  <c r="U16" i="39"/>
  <c r="U15" i="39"/>
  <c r="U12" i="39"/>
  <c r="U26" i="38"/>
  <c r="U25" i="38"/>
  <c r="U21" i="38"/>
  <c r="U17" i="38"/>
  <c r="U28" i="39"/>
  <c r="U20" i="39"/>
  <c r="O32" i="39"/>
  <c r="G32" i="39"/>
  <c r="M31" i="39"/>
  <c r="S30" i="39"/>
  <c r="K30" i="39"/>
  <c r="U25" i="39"/>
  <c r="U17" i="39"/>
  <c r="U24" i="38"/>
  <c r="U22" i="38"/>
  <c r="U20" i="38"/>
  <c r="U18" i="38"/>
  <c r="U16" i="38"/>
  <c r="U14" i="38"/>
  <c r="F30" i="38"/>
  <c r="S28" i="38"/>
  <c r="Q28" i="38"/>
  <c r="O28" i="38"/>
  <c r="M28" i="38"/>
  <c r="K28" i="38"/>
  <c r="I28" i="38"/>
  <c r="U12" i="38"/>
  <c r="U29" i="39"/>
  <c r="U21" i="39"/>
  <c r="U13" i="39"/>
  <c r="T30" i="39"/>
  <c r="R30" i="39"/>
  <c r="P30" i="39"/>
  <c r="N30" i="39"/>
  <c r="L30" i="39"/>
  <c r="J30" i="39"/>
  <c r="H30" i="39"/>
  <c r="F32" i="39"/>
  <c r="Q32" i="39"/>
  <c r="M32" i="39"/>
  <c r="I32" i="39"/>
  <c r="T30" i="38"/>
  <c r="P30" i="38"/>
  <c r="L30" i="38"/>
  <c r="H30" i="38"/>
  <c r="U13" i="38"/>
  <c r="F30" i="39"/>
  <c r="T32" i="39"/>
  <c r="R32" i="39"/>
  <c r="P32" i="39"/>
  <c r="N32" i="39"/>
  <c r="L32" i="39"/>
  <c r="J32" i="39"/>
  <c r="H32" i="39"/>
  <c r="T31" i="39"/>
  <c r="R31" i="39"/>
  <c r="P31" i="39"/>
  <c r="N31" i="39"/>
  <c r="L31" i="39"/>
  <c r="J31" i="39"/>
  <c r="H31" i="39"/>
  <c r="F28" i="38"/>
  <c r="S30" i="38"/>
  <c r="Q30" i="38"/>
  <c r="O30" i="38"/>
  <c r="M30" i="38"/>
  <c r="K30" i="38"/>
  <c r="I30" i="38"/>
  <c r="G30" i="38"/>
  <c r="S29" i="38"/>
  <c r="Q29" i="38"/>
  <c r="O29" i="38"/>
  <c r="M29" i="38"/>
  <c r="K29" i="38"/>
  <c r="I29" i="38"/>
  <c r="G29" i="38"/>
  <c r="G28" i="38"/>
  <c r="F36" i="39"/>
  <c r="F35" i="39"/>
  <c r="U11" i="39"/>
  <c r="U30" i="39" l="1"/>
  <c r="F33" i="39"/>
  <c r="F34" i="39"/>
  <c r="F34" i="38" l="1"/>
  <c r="F33" i="38"/>
  <c r="F31" i="38" l="1"/>
  <c r="U11" i="38"/>
  <c r="U28" i="38"/>
  <c r="F32" i="38"/>
</calcChain>
</file>

<file path=xl/sharedStrings.xml><?xml version="1.0" encoding="utf-8"?>
<sst xmlns="http://schemas.openxmlformats.org/spreadsheetml/2006/main" count="159" uniqueCount="79">
  <si>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</si>
  <si>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</si>
  <si>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</si>
  <si>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</si>
  <si>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</si>
  <si>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</si>
  <si>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</si>
  <si>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</si>
  <si>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</si>
  <si>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</si>
  <si>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Фізична культура
Кулатов В.М.</t>
  </si>
  <si>
    <t>Хімія
Леонова Д.І.</t>
  </si>
  <si>
    <t>Середній бал</t>
  </si>
  <si>
    <t>К</t>
  </si>
  <si>
    <t>Б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</si>
  <si>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</si>
  <si>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</si>
  <si>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</si>
  <si>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</si>
  <si>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</si>
  <si>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</si>
  <si>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</si>
  <si>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</si>
  <si>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</si>
  <si>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</si>
  <si>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Маргарита БРІТІКОВА</t>
  </si>
  <si>
    <t>ЗВЕДЕНА ВІДОМІСТЬ</t>
  </si>
  <si>
    <t>Зарубіжна література
Сербулова Ю.А.</t>
  </si>
  <si>
    <t>Підсумкові оцінки дисциплін</t>
  </si>
  <si>
    <t>Алачев Денис Васильович</t>
  </si>
  <si>
    <t>Бакуменко Максим Миколайович</t>
  </si>
  <si>
    <t>Булат Володимир Віталійович</t>
  </si>
  <si>
    <t>Водяний Артем Андрійович</t>
  </si>
  <si>
    <t>Воротнік Маргарита Денисівна</t>
  </si>
  <si>
    <t>Голубєв Данило Васильович</t>
  </si>
  <si>
    <t>Горова Діана Максимівна</t>
  </si>
  <si>
    <t>Горяінов Микита Володимирович</t>
  </si>
  <si>
    <t>Катречко Олексій Костянтинович</t>
  </si>
  <si>
    <t>Кирилюк Даніїл Васильович</t>
  </si>
  <si>
    <t>Макарський Артем Олексійович</t>
  </si>
  <si>
    <t>Мельник Кирило Олександрович</t>
  </si>
  <si>
    <t>Подойніцин Даніїл Романович</t>
  </si>
  <si>
    <t>Рубан Володимир Олегович</t>
  </si>
  <si>
    <t>Самуйлик Ярослав Олександрович</t>
  </si>
  <si>
    <t>Шевчук Ілья Сергійович</t>
  </si>
  <si>
    <t>Ястремський Дамір Володимирович</t>
  </si>
  <si>
    <t>Богач Володимир Миколайович</t>
  </si>
  <si>
    <t>Борис Максим Миколайович</t>
  </si>
  <si>
    <t>Бородін Максим Сергійович</t>
  </si>
  <si>
    <t>Галган Сергій Сергійович</t>
  </si>
  <si>
    <t>Івчук Надія Вікторівна</t>
  </si>
  <si>
    <t>Калинюк Артур Ігорович</t>
  </si>
  <si>
    <t>Калниболончук Марина Олегівна</t>
  </si>
  <si>
    <t>Лисичкін Єгор Андрійович</t>
  </si>
  <si>
    <t>Лобзов Микола Олексійович</t>
  </si>
  <si>
    <t>Логвиненко Максим Костянтинович</t>
  </si>
  <si>
    <t>Поляков Анатолій Олексійович</t>
  </si>
  <si>
    <t>Пуленко Владислав Олегович</t>
  </si>
  <si>
    <t>Савченко Сергій Ігорович</t>
  </si>
  <si>
    <t>Семенов Володимир Ігорович</t>
  </si>
  <si>
    <t>Серий Євгеній Костянтинович</t>
  </si>
  <si>
    <t>Смізюк Павло Ігоревич</t>
  </si>
  <si>
    <t>Тараненко Ярослав Романович</t>
  </si>
  <si>
    <t>Улецький Іван Сергійович</t>
  </si>
  <si>
    <t>Філюк Степан Олегович</t>
  </si>
  <si>
    <t>Надія ПЕНЬКОВСЬКА</t>
  </si>
  <si>
    <t>Успішності студентів спеціальності 172 «Телекомунікації та радіотехніка»</t>
  </si>
  <si>
    <t>Група 23-3 курс І</t>
  </si>
  <si>
    <t>Успішності студентів спеціальності 174 «Автоматизація, комп'ютерно-інтегровані технології та робототехніка»</t>
  </si>
  <si>
    <t>Іноземна мова
Сербулова Ю.А.</t>
  </si>
  <si>
    <t>Математика
Ромчук В.В.</t>
  </si>
  <si>
    <t>Українська література
Юрченко О.Б.</t>
  </si>
  <si>
    <t>Українська мова
Юрченко О.Б.</t>
  </si>
  <si>
    <t>Завідувачка відділення ПЗСО</t>
  </si>
  <si>
    <t>Астрономія
Наговська Т.С.</t>
  </si>
  <si>
    <t>За рік 2023-2024 н.р.</t>
  </si>
  <si>
    <t>ВІДОКРЕМЛЕНИЙ СТРУКТУРНИЙ ПІДРОЗДІЛ
«ФАХОВИЙ КОЛЕДЖ НАФТОГАЗОВИХ ТЕХНОЛОГІЙ,
ІНЖЕНЕРІЇ ТА ІНФРАСТРУКТУРИ СЕРВІСУ</t>
  </si>
  <si>
    <t>н/а</t>
  </si>
  <si>
    <t>Захист України
Лазар В.І.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</si>
</sst>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5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wrapText="1"/>
    </xf>
    <xf numFmtId="0" fontId="5" fillId="5" borderId="1" xfId="5" applyNumberFormat="1" applyFont="1" applyFill="1" applyBorder="1" applyAlignment="1">
      <alignment horizontal="center"/>
    </xf>
    <xf numFmtId="0" fontId="6" fillId="5" borderId="1" xfId="5" applyNumberFormat="1" applyFont="1" applyFill="1" applyAlignment="1">
      <alignment horizontal="center" vertical="center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38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G40"/>
  <sheetViews>
    <sheetView tabSelected="1" zoomScale="85" zoomScaleNormal="85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3" ht="12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5" customFormat="1" ht="54.95" customHeight="1" x14ac:dyDescent="0.3">
      <c r="A3" s="29"/>
      <c r="B3" s="24"/>
      <c r="C3" s="32" t="s">
        <v>76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4"/>
      <c r="W3" s="31"/>
    </row>
    <row r="4" spans="1:23" s="5" customFormat="1" ht="15" customHeight="1" x14ac:dyDescent="0.25">
      <c r="A4" s="29"/>
      <c r="B4" s="24"/>
      <c r="C4" s="24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31"/>
    </row>
    <row r="5" spans="1:23" s="6" customFormat="1" ht="15" customHeight="1" x14ac:dyDescent="0.25">
      <c r="A5" s="29"/>
      <c r="B5" s="24"/>
      <c r="C5" s="34" t="s">
        <v>26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24"/>
      <c r="W5" s="31"/>
    </row>
    <row r="6" spans="1:23" s="5" customFormat="1" ht="15" customHeight="1" x14ac:dyDescent="0.25">
      <c r="A6" s="29"/>
      <c r="B6" s="24"/>
      <c r="C6" s="23" t="s">
        <v>68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  <c r="W6" s="31"/>
    </row>
    <row r="7" spans="1:23" s="5" customFormat="1" ht="15" customHeight="1" x14ac:dyDescent="0.25">
      <c r="A7" s="29"/>
      <c r="B7" s="24"/>
      <c r="C7" s="23" t="s">
        <v>75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  <c r="W7" s="31"/>
    </row>
    <row r="8" spans="1:23" s="5" customFormat="1" ht="15" customHeight="1" x14ac:dyDescent="0.25">
      <c r="A8" s="29"/>
      <c r="B8" s="24"/>
      <c r="C8" s="24" t="s">
        <v>67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1"/>
    </row>
    <row r="9" spans="1:23" ht="15" customHeight="1" x14ac:dyDescent="0.25">
      <c r="A9" s="29"/>
      <c r="B9" s="24"/>
      <c r="C9" s="25" t="s">
        <v>1</v>
      </c>
      <c r="D9" s="27" t="s">
        <v>2</v>
      </c>
      <c r="E9" s="27" t="s">
        <v>3</v>
      </c>
      <c r="F9" s="26" t="s">
        <v>28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4"/>
      <c r="W9" s="31"/>
    </row>
    <row r="10" spans="1:23" ht="125.1" customHeight="1" x14ac:dyDescent="0.25">
      <c r="A10" s="29"/>
      <c r="B10" s="24"/>
      <c r="C10" s="26"/>
      <c r="D10" s="26"/>
      <c r="E10" s="26"/>
      <c r="F10" s="18" t="s">
        <v>74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78</v>
      </c>
      <c r="L10" s="18" t="s">
        <v>69</v>
      </c>
      <c r="M10" s="18" t="s">
        <v>7</v>
      </c>
      <c r="N10" s="18" t="s">
        <v>8</v>
      </c>
      <c r="O10" s="18" t="s">
        <v>70</v>
      </c>
      <c r="P10" s="18" t="s">
        <v>71</v>
      </c>
      <c r="Q10" s="18" t="s">
        <v>72</v>
      </c>
      <c r="R10" s="18" t="s">
        <v>9</v>
      </c>
      <c r="S10" s="18" t="s">
        <v>10</v>
      </c>
      <c r="T10" s="18" t="s">
        <v>11</v>
      </c>
      <c r="U10" s="7" t="s">
        <v>12</v>
      </c>
      <c r="V10" s="24"/>
      <c r="W10" s="31"/>
    </row>
    <row r="11" spans="1:23" ht="15" customHeight="1" x14ac:dyDescent="0.25">
      <c r="A11" s="29"/>
      <c r="B11" s="24"/>
      <c r="C11" s="20" t="s">
        <v>14</v>
      </c>
      <c r="D11" s="20">
        <v>1</v>
      </c>
      <c r="E11" s="9" t="s">
        <v>46</v>
      </c>
      <c r="F11" s="10">
        <v>8</v>
      </c>
      <c r="G11" s="10">
        <v>8</v>
      </c>
      <c r="H11" s="10">
        <v>9</v>
      </c>
      <c r="I11" s="10">
        <v>8</v>
      </c>
      <c r="J11" s="10">
        <v>9</v>
      </c>
      <c r="K11" s="10">
        <v>8</v>
      </c>
      <c r="L11" s="10">
        <v>9</v>
      </c>
      <c r="M11" s="10">
        <v>7</v>
      </c>
      <c r="N11" s="10">
        <v>7</v>
      </c>
      <c r="O11" s="10">
        <v>5</v>
      </c>
      <c r="P11" s="10">
        <v>6</v>
      </c>
      <c r="Q11" s="10">
        <v>5</v>
      </c>
      <c r="R11" s="10">
        <v>5</v>
      </c>
      <c r="S11" s="10">
        <v>8</v>
      </c>
      <c r="T11" s="10">
        <v>7</v>
      </c>
      <c r="U11" s="2">
        <f t="shared" ref="U11:U29" si="0">IF(COUNTIF(F11:T11,"=*")&gt;0,"-",IF(COUNTIF(F11:T11,"&lt;4")&gt;0,"-",(IFERROR(AVERAGE(F11:T11),""))))</f>
        <v>7.2666666666666666</v>
      </c>
      <c r="V11" s="24"/>
      <c r="W11" s="31"/>
    </row>
    <row r="12" spans="1:23" ht="15" customHeight="1" x14ac:dyDescent="0.25">
      <c r="A12" s="29"/>
      <c r="B12" s="24"/>
      <c r="C12" s="20" t="s">
        <v>13</v>
      </c>
      <c r="D12" s="20">
        <v>2</v>
      </c>
      <c r="E12" s="9" t="s">
        <v>47</v>
      </c>
      <c r="F12" s="10">
        <v>10</v>
      </c>
      <c r="G12" s="10">
        <v>5</v>
      </c>
      <c r="H12" s="10">
        <v>7</v>
      </c>
      <c r="I12" s="10">
        <v>8</v>
      </c>
      <c r="J12" s="10">
        <v>7</v>
      </c>
      <c r="K12" s="10" t="s">
        <v>77</v>
      </c>
      <c r="L12" s="10">
        <v>6</v>
      </c>
      <c r="M12" s="10">
        <v>7</v>
      </c>
      <c r="N12" s="10">
        <v>6</v>
      </c>
      <c r="O12" s="10">
        <v>4</v>
      </c>
      <c r="P12" s="10">
        <v>4</v>
      </c>
      <c r="Q12" s="10">
        <v>5</v>
      </c>
      <c r="R12" s="10">
        <v>5</v>
      </c>
      <c r="S12" s="10">
        <v>7</v>
      </c>
      <c r="T12" s="10">
        <v>6</v>
      </c>
      <c r="U12" s="2" t="str">
        <f t="shared" si="0"/>
        <v>-</v>
      </c>
      <c r="V12" s="24"/>
      <c r="W12" s="31"/>
    </row>
    <row r="13" spans="1:23" ht="15" customHeight="1" x14ac:dyDescent="0.25">
      <c r="A13" s="29"/>
      <c r="B13" s="24"/>
      <c r="C13" s="20" t="s">
        <v>14</v>
      </c>
      <c r="D13" s="20">
        <v>3</v>
      </c>
      <c r="E13" s="9" t="s">
        <v>48</v>
      </c>
      <c r="F13" s="10">
        <v>8</v>
      </c>
      <c r="G13" s="10">
        <v>7</v>
      </c>
      <c r="H13" s="10">
        <v>9</v>
      </c>
      <c r="I13" s="10">
        <v>9</v>
      </c>
      <c r="J13" s="10">
        <v>8</v>
      </c>
      <c r="K13" s="10">
        <v>5</v>
      </c>
      <c r="L13" s="10">
        <v>9</v>
      </c>
      <c r="M13" s="10">
        <v>7</v>
      </c>
      <c r="N13" s="10">
        <v>8</v>
      </c>
      <c r="O13" s="10">
        <v>6</v>
      </c>
      <c r="P13" s="10">
        <v>4</v>
      </c>
      <c r="Q13" s="10">
        <v>5</v>
      </c>
      <c r="R13" s="10">
        <v>6</v>
      </c>
      <c r="S13" s="10">
        <v>6</v>
      </c>
      <c r="T13" s="10">
        <v>7</v>
      </c>
      <c r="U13" s="2">
        <f t="shared" si="0"/>
        <v>6.9333333333333336</v>
      </c>
      <c r="V13" s="24"/>
      <c r="W13" s="31"/>
    </row>
    <row r="14" spans="1:23" ht="15" customHeight="1" x14ac:dyDescent="0.25">
      <c r="A14" s="29"/>
      <c r="B14" s="24"/>
      <c r="C14" s="20" t="s">
        <v>14</v>
      </c>
      <c r="D14" s="20">
        <v>4</v>
      </c>
      <c r="E14" s="9" t="s">
        <v>49</v>
      </c>
      <c r="F14" s="10">
        <v>8</v>
      </c>
      <c r="G14" s="10">
        <v>7</v>
      </c>
      <c r="H14" s="10">
        <v>8</v>
      </c>
      <c r="I14" s="10">
        <v>8</v>
      </c>
      <c r="J14" s="10">
        <v>8</v>
      </c>
      <c r="K14" s="10">
        <v>6</v>
      </c>
      <c r="L14" s="10">
        <v>9</v>
      </c>
      <c r="M14" s="10">
        <v>7</v>
      </c>
      <c r="N14" s="10">
        <v>6</v>
      </c>
      <c r="O14" s="10">
        <v>5</v>
      </c>
      <c r="P14" s="10">
        <v>5</v>
      </c>
      <c r="Q14" s="10">
        <v>6</v>
      </c>
      <c r="R14" s="10">
        <v>5</v>
      </c>
      <c r="S14" s="10">
        <v>8</v>
      </c>
      <c r="T14" s="10">
        <v>6</v>
      </c>
      <c r="U14" s="2">
        <f t="shared" si="0"/>
        <v>6.8</v>
      </c>
      <c r="V14" s="24"/>
      <c r="W14" s="31"/>
    </row>
    <row r="15" spans="1:23" ht="15" customHeight="1" x14ac:dyDescent="0.25">
      <c r="A15" s="29"/>
      <c r="B15" s="24"/>
      <c r="C15" s="20" t="s">
        <v>14</v>
      </c>
      <c r="D15" s="20">
        <v>5</v>
      </c>
      <c r="E15" s="9" t="s">
        <v>50</v>
      </c>
      <c r="F15" s="10">
        <v>10</v>
      </c>
      <c r="G15" s="10">
        <v>9</v>
      </c>
      <c r="H15" s="10">
        <v>10</v>
      </c>
      <c r="I15" s="10">
        <v>10</v>
      </c>
      <c r="J15" s="10">
        <v>11</v>
      </c>
      <c r="K15" s="10">
        <v>8</v>
      </c>
      <c r="L15" s="10">
        <v>11</v>
      </c>
      <c r="M15" s="10">
        <v>10</v>
      </c>
      <c r="N15" s="10">
        <v>8</v>
      </c>
      <c r="O15" s="10">
        <v>8</v>
      </c>
      <c r="P15" s="10">
        <v>9</v>
      </c>
      <c r="Q15" s="10">
        <v>9</v>
      </c>
      <c r="R15" s="10">
        <v>8</v>
      </c>
      <c r="S15" s="10">
        <v>8</v>
      </c>
      <c r="T15" s="10">
        <v>10</v>
      </c>
      <c r="U15" s="2">
        <f t="shared" si="0"/>
        <v>9.2666666666666675</v>
      </c>
      <c r="V15" s="24"/>
      <c r="W15" s="31"/>
    </row>
    <row r="16" spans="1:23" ht="15" customHeight="1" x14ac:dyDescent="0.25">
      <c r="A16" s="29"/>
      <c r="B16" s="24"/>
      <c r="C16" s="20" t="s">
        <v>14</v>
      </c>
      <c r="D16" s="20">
        <v>6</v>
      </c>
      <c r="E16" s="9" t="s">
        <v>51</v>
      </c>
      <c r="F16" s="10">
        <v>8</v>
      </c>
      <c r="G16" s="10">
        <v>8</v>
      </c>
      <c r="H16" s="10">
        <v>9</v>
      </c>
      <c r="I16" s="10">
        <v>10</v>
      </c>
      <c r="J16" s="10">
        <v>9</v>
      </c>
      <c r="K16" s="10">
        <v>7</v>
      </c>
      <c r="L16" s="10">
        <v>9</v>
      </c>
      <c r="M16" s="10">
        <v>6</v>
      </c>
      <c r="N16" s="10">
        <v>7</v>
      </c>
      <c r="O16" s="10">
        <v>6</v>
      </c>
      <c r="P16" s="10">
        <v>8</v>
      </c>
      <c r="Q16" s="10">
        <v>6</v>
      </c>
      <c r="R16" s="10">
        <v>7</v>
      </c>
      <c r="S16" s="10">
        <v>10</v>
      </c>
      <c r="T16" s="10">
        <v>6</v>
      </c>
      <c r="U16" s="2">
        <f t="shared" si="0"/>
        <v>7.7333333333333334</v>
      </c>
      <c r="V16" s="24"/>
      <c r="W16" s="31"/>
    </row>
    <row r="17" spans="1:24" ht="15" customHeight="1" x14ac:dyDescent="0.25">
      <c r="A17" s="29"/>
      <c r="B17" s="24"/>
      <c r="C17" s="20" t="s">
        <v>13</v>
      </c>
      <c r="D17" s="20">
        <v>7</v>
      </c>
      <c r="E17" s="9" t="s">
        <v>52</v>
      </c>
      <c r="F17" s="10">
        <v>10</v>
      </c>
      <c r="G17" s="10">
        <v>8</v>
      </c>
      <c r="H17" s="10">
        <v>10</v>
      </c>
      <c r="I17" s="10">
        <v>10</v>
      </c>
      <c r="J17" s="10">
        <v>9</v>
      </c>
      <c r="K17" s="10">
        <v>9</v>
      </c>
      <c r="L17" s="10">
        <v>10</v>
      </c>
      <c r="M17" s="10">
        <v>8</v>
      </c>
      <c r="N17" s="10">
        <v>7</v>
      </c>
      <c r="O17" s="10">
        <v>8</v>
      </c>
      <c r="P17" s="10">
        <v>8</v>
      </c>
      <c r="Q17" s="10">
        <v>8</v>
      </c>
      <c r="R17" s="10">
        <v>7</v>
      </c>
      <c r="S17" s="10">
        <v>8</v>
      </c>
      <c r="T17" s="10">
        <v>7</v>
      </c>
      <c r="U17" s="2">
        <f t="shared" si="0"/>
        <v>8.4666666666666668</v>
      </c>
      <c r="V17" s="24"/>
      <c r="W17" s="31"/>
    </row>
    <row r="18" spans="1:24" ht="15" customHeight="1" x14ac:dyDescent="0.25">
      <c r="A18" s="29"/>
      <c r="B18" s="24"/>
      <c r="C18" s="20" t="s">
        <v>13</v>
      </c>
      <c r="D18" s="20">
        <v>8</v>
      </c>
      <c r="E18" s="9" t="s">
        <v>53</v>
      </c>
      <c r="F18" s="10">
        <v>9</v>
      </c>
      <c r="G18" s="10">
        <v>9</v>
      </c>
      <c r="H18" s="10">
        <v>9</v>
      </c>
      <c r="I18" s="10">
        <v>9</v>
      </c>
      <c r="J18" s="10">
        <v>9</v>
      </c>
      <c r="K18" s="10">
        <v>7</v>
      </c>
      <c r="L18" s="10">
        <v>10</v>
      </c>
      <c r="M18" s="10">
        <v>8</v>
      </c>
      <c r="N18" s="10">
        <v>7</v>
      </c>
      <c r="O18" s="10">
        <v>6</v>
      </c>
      <c r="P18" s="10">
        <v>8</v>
      </c>
      <c r="Q18" s="10">
        <v>7</v>
      </c>
      <c r="R18" s="10">
        <v>7</v>
      </c>
      <c r="S18" s="10">
        <v>7</v>
      </c>
      <c r="T18" s="10">
        <v>7</v>
      </c>
      <c r="U18" s="2">
        <f t="shared" si="0"/>
        <v>7.9333333333333336</v>
      </c>
      <c r="V18" s="24"/>
      <c r="W18" s="31"/>
    </row>
    <row r="19" spans="1:24" ht="15" customHeight="1" x14ac:dyDescent="0.25">
      <c r="A19" s="29"/>
      <c r="B19" s="24"/>
      <c r="C19" s="20" t="s">
        <v>14</v>
      </c>
      <c r="D19" s="20">
        <v>9</v>
      </c>
      <c r="E19" s="9" t="s">
        <v>54</v>
      </c>
      <c r="F19" s="10">
        <v>10</v>
      </c>
      <c r="G19" s="10">
        <v>10</v>
      </c>
      <c r="H19" s="10">
        <v>10</v>
      </c>
      <c r="I19" s="10">
        <v>10</v>
      </c>
      <c r="J19" s="10">
        <v>10</v>
      </c>
      <c r="K19" s="10">
        <v>10</v>
      </c>
      <c r="L19" s="10">
        <v>10</v>
      </c>
      <c r="M19" s="10">
        <v>10</v>
      </c>
      <c r="N19" s="10">
        <v>8</v>
      </c>
      <c r="O19" s="10">
        <v>9</v>
      </c>
      <c r="P19" s="10">
        <v>9</v>
      </c>
      <c r="Q19" s="10">
        <v>9</v>
      </c>
      <c r="R19" s="10">
        <v>8</v>
      </c>
      <c r="S19" s="10">
        <v>10</v>
      </c>
      <c r="T19" s="10">
        <v>9</v>
      </c>
      <c r="U19" s="2">
        <f t="shared" si="0"/>
        <v>9.4666666666666668</v>
      </c>
      <c r="V19" s="24"/>
      <c r="W19" s="31"/>
    </row>
    <row r="20" spans="1:24" ht="15" customHeight="1" x14ac:dyDescent="0.25">
      <c r="A20" s="29"/>
      <c r="B20" s="24"/>
      <c r="C20" s="20" t="s">
        <v>14</v>
      </c>
      <c r="D20" s="20">
        <v>10</v>
      </c>
      <c r="E20" s="9" t="s">
        <v>55</v>
      </c>
      <c r="F20" s="10">
        <v>10</v>
      </c>
      <c r="G20" s="10">
        <v>9</v>
      </c>
      <c r="H20" s="10">
        <v>10</v>
      </c>
      <c r="I20" s="10">
        <v>9</v>
      </c>
      <c r="J20" s="10">
        <v>10</v>
      </c>
      <c r="K20" s="10">
        <v>9</v>
      </c>
      <c r="L20" s="10">
        <v>10</v>
      </c>
      <c r="M20" s="10">
        <v>10</v>
      </c>
      <c r="N20" s="10">
        <v>8</v>
      </c>
      <c r="O20" s="10">
        <v>8</v>
      </c>
      <c r="P20" s="10">
        <v>10</v>
      </c>
      <c r="Q20" s="10">
        <v>9</v>
      </c>
      <c r="R20" s="10">
        <v>8</v>
      </c>
      <c r="S20" s="10">
        <v>10</v>
      </c>
      <c r="T20" s="10">
        <v>7</v>
      </c>
      <c r="U20" s="2">
        <f t="shared" si="0"/>
        <v>9.1333333333333329</v>
      </c>
      <c r="V20" s="24"/>
      <c r="W20" s="31"/>
    </row>
    <row r="21" spans="1:24" ht="15" customHeight="1" x14ac:dyDescent="0.25">
      <c r="A21" s="29"/>
      <c r="B21" s="24"/>
      <c r="C21" s="20" t="s">
        <v>14</v>
      </c>
      <c r="D21" s="20">
        <v>11</v>
      </c>
      <c r="E21" s="9" t="s">
        <v>56</v>
      </c>
      <c r="F21" s="10">
        <v>10</v>
      </c>
      <c r="G21" s="10">
        <v>11</v>
      </c>
      <c r="H21" s="10">
        <v>10</v>
      </c>
      <c r="I21" s="10">
        <v>11</v>
      </c>
      <c r="J21" s="10">
        <v>10</v>
      </c>
      <c r="K21" s="10">
        <v>10</v>
      </c>
      <c r="L21" s="10">
        <v>10</v>
      </c>
      <c r="M21" s="10">
        <v>9</v>
      </c>
      <c r="N21" s="10">
        <v>8</v>
      </c>
      <c r="O21" s="10">
        <v>7</v>
      </c>
      <c r="P21" s="10">
        <v>10</v>
      </c>
      <c r="Q21" s="10">
        <v>10</v>
      </c>
      <c r="R21" s="10">
        <v>9</v>
      </c>
      <c r="S21" s="10">
        <v>10</v>
      </c>
      <c r="T21" s="10">
        <v>8</v>
      </c>
      <c r="U21" s="2">
        <f t="shared" si="0"/>
        <v>9.5333333333333332</v>
      </c>
      <c r="V21" s="24"/>
      <c r="W21" s="31"/>
    </row>
    <row r="22" spans="1:24" ht="15" customHeight="1" x14ac:dyDescent="0.25">
      <c r="A22" s="29"/>
      <c r="B22" s="24"/>
      <c r="C22" s="20" t="s">
        <v>14</v>
      </c>
      <c r="D22" s="20">
        <v>12</v>
      </c>
      <c r="E22" s="9" t="s">
        <v>57</v>
      </c>
      <c r="F22" s="10">
        <v>8</v>
      </c>
      <c r="G22" s="10">
        <v>6</v>
      </c>
      <c r="H22" s="10">
        <v>7</v>
      </c>
      <c r="I22" s="10">
        <v>9</v>
      </c>
      <c r="J22" s="10">
        <v>7</v>
      </c>
      <c r="K22" s="10">
        <v>8</v>
      </c>
      <c r="L22" s="10">
        <v>9</v>
      </c>
      <c r="M22" s="10">
        <v>7</v>
      </c>
      <c r="N22" s="10">
        <v>6</v>
      </c>
      <c r="O22" s="10">
        <v>5</v>
      </c>
      <c r="P22" s="10">
        <v>7</v>
      </c>
      <c r="Q22" s="10">
        <v>7</v>
      </c>
      <c r="R22" s="10">
        <v>5</v>
      </c>
      <c r="S22" s="10">
        <v>6</v>
      </c>
      <c r="T22" s="10">
        <v>7</v>
      </c>
      <c r="U22" s="2">
        <f t="shared" si="0"/>
        <v>6.9333333333333336</v>
      </c>
      <c r="V22" s="24"/>
      <c r="W22" s="31"/>
    </row>
    <row r="23" spans="1:24" ht="15" customHeight="1" x14ac:dyDescent="0.25">
      <c r="A23" s="29"/>
      <c r="B23" s="24"/>
      <c r="C23" s="20" t="s">
        <v>14</v>
      </c>
      <c r="D23" s="20">
        <v>13</v>
      </c>
      <c r="E23" s="9" t="s">
        <v>58</v>
      </c>
      <c r="F23" s="10">
        <v>10</v>
      </c>
      <c r="G23" s="10">
        <v>11</v>
      </c>
      <c r="H23" s="10">
        <v>10</v>
      </c>
      <c r="I23" s="10">
        <v>10</v>
      </c>
      <c r="J23" s="10">
        <v>11</v>
      </c>
      <c r="K23" s="10">
        <v>11</v>
      </c>
      <c r="L23" s="10">
        <v>11</v>
      </c>
      <c r="M23" s="10">
        <v>10</v>
      </c>
      <c r="N23" s="10">
        <v>10</v>
      </c>
      <c r="O23" s="10">
        <v>10</v>
      </c>
      <c r="P23" s="10">
        <v>11</v>
      </c>
      <c r="Q23" s="10">
        <v>8</v>
      </c>
      <c r="R23" s="10">
        <v>11</v>
      </c>
      <c r="S23" s="10">
        <v>10</v>
      </c>
      <c r="T23" s="10">
        <v>10</v>
      </c>
      <c r="U23" s="2">
        <f t="shared" si="0"/>
        <v>10.266666666666667</v>
      </c>
      <c r="V23" s="24"/>
      <c r="W23" s="31"/>
    </row>
    <row r="24" spans="1:24" ht="15" customHeight="1" x14ac:dyDescent="0.25">
      <c r="A24" s="29"/>
      <c r="B24" s="24"/>
      <c r="C24" s="20" t="s">
        <v>14</v>
      </c>
      <c r="D24" s="20">
        <v>14</v>
      </c>
      <c r="E24" s="9" t="s">
        <v>59</v>
      </c>
      <c r="F24" s="10">
        <v>10</v>
      </c>
      <c r="G24" s="10">
        <v>8</v>
      </c>
      <c r="H24" s="10">
        <v>8</v>
      </c>
      <c r="I24" s="10">
        <v>11</v>
      </c>
      <c r="J24" s="10">
        <v>9</v>
      </c>
      <c r="K24" s="10">
        <v>8</v>
      </c>
      <c r="L24" s="10">
        <v>8</v>
      </c>
      <c r="M24" s="10">
        <v>6</v>
      </c>
      <c r="N24" s="10">
        <v>9</v>
      </c>
      <c r="O24" s="10">
        <v>6</v>
      </c>
      <c r="P24" s="10">
        <v>8</v>
      </c>
      <c r="Q24" s="10">
        <v>5</v>
      </c>
      <c r="R24" s="10">
        <v>7</v>
      </c>
      <c r="S24" s="10">
        <v>10</v>
      </c>
      <c r="T24" s="10">
        <v>7</v>
      </c>
      <c r="U24" s="2">
        <f t="shared" si="0"/>
        <v>8</v>
      </c>
      <c r="V24" s="24"/>
      <c r="W24" s="31"/>
    </row>
    <row r="25" spans="1:24" ht="15" customHeight="1" x14ac:dyDescent="0.25">
      <c r="A25" s="29"/>
      <c r="B25" s="24"/>
      <c r="C25" s="20" t="s">
        <v>14</v>
      </c>
      <c r="D25" s="20">
        <v>15</v>
      </c>
      <c r="E25" s="9" t="s">
        <v>60</v>
      </c>
      <c r="F25" s="10">
        <v>9</v>
      </c>
      <c r="G25" s="10">
        <v>9</v>
      </c>
      <c r="H25" s="10">
        <v>9</v>
      </c>
      <c r="I25" s="10">
        <v>9</v>
      </c>
      <c r="J25" s="10">
        <v>10</v>
      </c>
      <c r="K25" s="10">
        <v>8</v>
      </c>
      <c r="L25" s="10">
        <v>11</v>
      </c>
      <c r="M25" s="10">
        <v>7</v>
      </c>
      <c r="N25" s="10">
        <v>7</v>
      </c>
      <c r="O25" s="10">
        <v>8</v>
      </c>
      <c r="P25" s="10">
        <v>8</v>
      </c>
      <c r="Q25" s="10">
        <v>7</v>
      </c>
      <c r="R25" s="10">
        <v>7</v>
      </c>
      <c r="S25" s="10">
        <v>8</v>
      </c>
      <c r="T25" s="10">
        <v>7</v>
      </c>
      <c r="U25" s="2">
        <f t="shared" si="0"/>
        <v>8.2666666666666675</v>
      </c>
      <c r="V25" s="24"/>
      <c r="W25" s="31"/>
    </row>
    <row r="26" spans="1:24" ht="15" customHeight="1" x14ac:dyDescent="0.25">
      <c r="A26" s="29"/>
      <c r="B26" s="24"/>
      <c r="C26" s="20" t="s">
        <v>14</v>
      </c>
      <c r="D26" s="20">
        <v>16</v>
      </c>
      <c r="E26" s="9" t="s">
        <v>61</v>
      </c>
      <c r="F26" s="10">
        <v>10</v>
      </c>
      <c r="G26" s="10">
        <v>10</v>
      </c>
      <c r="H26" s="10">
        <v>10</v>
      </c>
      <c r="I26" s="10">
        <v>10</v>
      </c>
      <c r="J26" s="10">
        <v>10</v>
      </c>
      <c r="K26" s="10">
        <v>9</v>
      </c>
      <c r="L26" s="10">
        <v>10</v>
      </c>
      <c r="M26" s="10">
        <v>10</v>
      </c>
      <c r="N26" s="10">
        <v>8</v>
      </c>
      <c r="O26" s="10">
        <v>10</v>
      </c>
      <c r="P26" s="10">
        <v>8</v>
      </c>
      <c r="Q26" s="10">
        <v>8</v>
      </c>
      <c r="R26" s="10">
        <v>9</v>
      </c>
      <c r="S26" s="10">
        <v>10</v>
      </c>
      <c r="T26" s="10">
        <v>9</v>
      </c>
      <c r="U26" s="2">
        <f t="shared" si="0"/>
        <v>9.4</v>
      </c>
      <c r="V26" s="24"/>
      <c r="W26" s="31"/>
    </row>
    <row r="27" spans="1:24" ht="15" customHeight="1" x14ac:dyDescent="0.25">
      <c r="A27" s="29"/>
      <c r="B27" s="24"/>
      <c r="C27" s="20" t="s">
        <v>14</v>
      </c>
      <c r="D27" s="20">
        <v>17</v>
      </c>
      <c r="E27" s="9" t="s">
        <v>62</v>
      </c>
      <c r="F27" s="10">
        <v>8</v>
      </c>
      <c r="G27" s="10">
        <v>6</v>
      </c>
      <c r="H27" s="10">
        <v>10</v>
      </c>
      <c r="I27" s="10">
        <v>8</v>
      </c>
      <c r="J27" s="10">
        <v>6</v>
      </c>
      <c r="K27" s="10">
        <v>6</v>
      </c>
      <c r="L27" s="10">
        <v>6</v>
      </c>
      <c r="M27" s="10">
        <v>4</v>
      </c>
      <c r="N27" s="10" t="s">
        <v>77</v>
      </c>
      <c r="O27" s="10">
        <v>4</v>
      </c>
      <c r="P27" s="10">
        <v>4</v>
      </c>
      <c r="Q27" s="10">
        <v>5</v>
      </c>
      <c r="R27" s="10">
        <v>4</v>
      </c>
      <c r="S27" s="10">
        <v>10</v>
      </c>
      <c r="T27" s="10">
        <v>6</v>
      </c>
      <c r="U27" s="2" t="str">
        <f t="shared" si="0"/>
        <v>-</v>
      </c>
      <c r="V27" s="24"/>
      <c r="W27" s="31"/>
    </row>
    <row r="28" spans="1:24" ht="15" customHeight="1" x14ac:dyDescent="0.25">
      <c r="A28" s="29"/>
      <c r="B28" s="24"/>
      <c r="C28" s="20" t="s">
        <v>13</v>
      </c>
      <c r="D28" s="20">
        <v>18</v>
      </c>
      <c r="E28" s="9" t="s">
        <v>63</v>
      </c>
      <c r="F28" s="10">
        <v>8</v>
      </c>
      <c r="G28" s="10">
        <v>7</v>
      </c>
      <c r="H28" s="10">
        <v>7</v>
      </c>
      <c r="I28" s="10">
        <v>8</v>
      </c>
      <c r="J28" s="10">
        <v>9</v>
      </c>
      <c r="K28" s="10">
        <v>7</v>
      </c>
      <c r="L28" s="10">
        <v>9</v>
      </c>
      <c r="M28" s="10">
        <v>6</v>
      </c>
      <c r="N28" s="10">
        <v>6</v>
      </c>
      <c r="O28" s="10">
        <v>4</v>
      </c>
      <c r="P28" s="10">
        <v>5</v>
      </c>
      <c r="Q28" s="10">
        <v>7</v>
      </c>
      <c r="R28" s="10">
        <v>4</v>
      </c>
      <c r="S28" s="10">
        <v>7</v>
      </c>
      <c r="T28" s="10">
        <v>6</v>
      </c>
      <c r="U28" s="2">
        <f t="shared" si="0"/>
        <v>6.666666666666667</v>
      </c>
      <c r="V28" s="24"/>
      <c r="W28" s="31"/>
    </row>
    <row r="29" spans="1:24" ht="15" customHeight="1" x14ac:dyDescent="0.25">
      <c r="A29" s="29"/>
      <c r="B29" s="24"/>
      <c r="C29" s="20" t="s">
        <v>14</v>
      </c>
      <c r="D29" s="20">
        <v>19</v>
      </c>
      <c r="E29" s="9" t="s">
        <v>64</v>
      </c>
      <c r="F29" s="10">
        <v>8</v>
      </c>
      <c r="G29" s="10">
        <v>6</v>
      </c>
      <c r="H29" s="10">
        <v>9</v>
      </c>
      <c r="I29" s="10">
        <v>7</v>
      </c>
      <c r="J29" s="10">
        <v>7</v>
      </c>
      <c r="K29" s="10">
        <v>4</v>
      </c>
      <c r="L29" s="10">
        <v>10</v>
      </c>
      <c r="M29" s="10">
        <v>6</v>
      </c>
      <c r="N29" s="10">
        <v>7</v>
      </c>
      <c r="O29" s="10">
        <v>5</v>
      </c>
      <c r="P29" s="10">
        <v>4</v>
      </c>
      <c r="Q29" s="10">
        <v>4</v>
      </c>
      <c r="R29" s="10">
        <v>4</v>
      </c>
      <c r="S29" s="10">
        <v>7</v>
      </c>
      <c r="T29" s="10">
        <v>6</v>
      </c>
      <c r="U29" s="2">
        <f t="shared" si="0"/>
        <v>6.2666666666666666</v>
      </c>
      <c r="V29" s="24"/>
      <c r="W29" s="31"/>
    </row>
    <row r="30" spans="1:24" ht="15" customHeight="1" x14ac:dyDescent="0.25">
      <c r="A30" s="29"/>
      <c r="B30" s="24"/>
      <c r="C30" s="11"/>
      <c r="D30" s="11"/>
      <c r="E30" s="9" t="s">
        <v>15</v>
      </c>
      <c r="F30" s="3">
        <f>IF(SUM(F11:F29)=0,"",SUM(F11:F29)/$D29)</f>
        <v>9.0526315789473681</v>
      </c>
      <c r="G30" s="3">
        <f t="shared" ref="G30:T30" si="1">IF(SUM(G11:G29)=0,"",SUM(G11:G29)/$D29)</f>
        <v>8.1052631578947363</v>
      </c>
      <c r="H30" s="3">
        <f t="shared" si="1"/>
        <v>9</v>
      </c>
      <c r="I30" s="3">
        <f t="shared" si="1"/>
        <v>9.1578947368421044</v>
      </c>
      <c r="J30" s="3">
        <f t="shared" si="1"/>
        <v>8.8947368421052637</v>
      </c>
      <c r="K30" s="3">
        <f t="shared" si="1"/>
        <v>7.3684210526315788</v>
      </c>
      <c r="L30" s="3">
        <f t="shared" si="1"/>
        <v>9.3157894736842106</v>
      </c>
      <c r="M30" s="3">
        <f t="shared" si="1"/>
        <v>7.6315789473684212</v>
      </c>
      <c r="N30" s="3">
        <f t="shared" si="1"/>
        <v>7</v>
      </c>
      <c r="O30" s="3">
        <f t="shared" si="1"/>
        <v>6.5263157894736841</v>
      </c>
      <c r="P30" s="3">
        <f t="shared" si="1"/>
        <v>7.1578947368421053</v>
      </c>
      <c r="Q30" s="3">
        <f t="shared" si="1"/>
        <v>6.8421052631578947</v>
      </c>
      <c r="R30" s="3">
        <f t="shared" si="1"/>
        <v>6.6315789473684212</v>
      </c>
      <c r="S30" s="3">
        <f t="shared" si="1"/>
        <v>8.4210526315789469</v>
      </c>
      <c r="T30" s="3">
        <f t="shared" si="1"/>
        <v>7.2631578947368425</v>
      </c>
      <c r="U30" s="2">
        <f>IFERROR(AVERAGE(F30:T30),"")</f>
        <v>7.8912280701754378</v>
      </c>
      <c r="V30" s="24"/>
      <c r="W30" s="31"/>
    </row>
    <row r="31" spans="1:24" ht="15" customHeight="1" x14ac:dyDescent="0.25">
      <c r="A31" s="29"/>
      <c r="B31" s="24"/>
      <c r="C31" s="11"/>
      <c r="D31" s="11"/>
      <c r="E31" s="9" t="s">
        <v>16</v>
      </c>
      <c r="F31" s="12">
        <f>IF(SUM(F11:F29)=0,"",IF(COUNTIF(F11:F29,"&gt;=4")=0,0,COUNTIF(F11:F29,"&gt;=4")/$D29*100))</f>
        <v>100</v>
      </c>
      <c r="G31" s="12">
        <f t="shared" ref="G31:T31" si="2">IF(SUM(G11:G29)=0,"",IF(COUNTIF(G11:G29,"&gt;=4")=0,0,COUNTIF(G11:G29,"&gt;=4")/$D29*100))</f>
        <v>100</v>
      </c>
      <c r="H31" s="12">
        <f t="shared" si="2"/>
        <v>100</v>
      </c>
      <c r="I31" s="12">
        <f t="shared" si="2"/>
        <v>100</v>
      </c>
      <c r="J31" s="12">
        <f t="shared" si="2"/>
        <v>100</v>
      </c>
      <c r="K31" s="12">
        <f t="shared" si="2"/>
        <v>94.73684210526315</v>
      </c>
      <c r="L31" s="12">
        <f t="shared" si="2"/>
        <v>100</v>
      </c>
      <c r="M31" s="12">
        <f t="shared" si="2"/>
        <v>100</v>
      </c>
      <c r="N31" s="12">
        <f t="shared" si="2"/>
        <v>94.73684210526315</v>
      </c>
      <c r="O31" s="12">
        <f t="shared" si="2"/>
        <v>100</v>
      </c>
      <c r="P31" s="12">
        <f t="shared" si="2"/>
        <v>100</v>
      </c>
      <c r="Q31" s="12">
        <f t="shared" si="2"/>
        <v>100</v>
      </c>
      <c r="R31" s="12">
        <f t="shared" si="2"/>
        <v>100</v>
      </c>
      <c r="S31" s="12">
        <f t="shared" si="2"/>
        <v>100</v>
      </c>
      <c r="T31" s="12">
        <f t="shared" si="2"/>
        <v>100</v>
      </c>
      <c r="U31" s="13"/>
      <c r="V31" s="24"/>
      <c r="W31" s="31"/>
      <c r="X31" s="14"/>
    </row>
    <row r="32" spans="1:24" ht="15" customHeight="1" x14ac:dyDescent="0.25">
      <c r="A32" s="29"/>
      <c r="B32" s="24"/>
      <c r="C32" s="11"/>
      <c r="D32" s="11"/>
      <c r="E32" s="9" t="s">
        <v>17</v>
      </c>
      <c r="F32" s="12">
        <f>IF(SUM(F11:F29)=0,"",IF(COUNTIF(F11:F29,"&gt;=7")=0,0,COUNTIF(F11:F29,"&gt;=7")/$D29*100))</f>
        <v>100</v>
      </c>
      <c r="G32" s="12">
        <f t="shared" ref="G32:T32" si="3">IF(SUM(G11:G29)=0,"",IF(COUNTIF(G11:G29,"&gt;=7")=0,0,COUNTIF(G11:G29,"&gt;=7")/$D29*100))</f>
        <v>78.94736842105263</v>
      </c>
      <c r="H32" s="12">
        <f t="shared" si="3"/>
        <v>100</v>
      </c>
      <c r="I32" s="12">
        <f t="shared" si="3"/>
        <v>100</v>
      </c>
      <c r="J32" s="12">
        <f t="shared" si="3"/>
        <v>94.73684210526315</v>
      </c>
      <c r="K32" s="12">
        <f t="shared" si="3"/>
        <v>73.68421052631578</v>
      </c>
      <c r="L32" s="12">
        <f t="shared" si="3"/>
        <v>89.473684210526315</v>
      </c>
      <c r="M32" s="12">
        <f t="shared" si="3"/>
        <v>73.68421052631578</v>
      </c>
      <c r="N32" s="12">
        <f t="shared" si="3"/>
        <v>73.68421052631578</v>
      </c>
      <c r="O32" s="12">
        <f t="shared" si="3"/>
        <v>42.105263157894733</v>
      </c>
      <c r="P32" s="12">
        <f t="shared" si="3"/>
        <v>63.157894736842103</v>
      </c>
      <c r="Q32" s="12">
        <f t="shared" si="3"/>
        <v>57.894736842105267</v>
      </c>
      <c r="R32" s="12">
        <f t="shared" si="3"/>
        <v>57.894736842105267</v>
      </c>
      <c r="S32" s="12">
        <f t="shared" si="3"/>
        <v>89.473684210526315</v>
      </c>
      <c r="T32" s="12">
        <f t="shared" si="3"/>
        <v>68.421052631578945</v>
      </c>
      <c r="U32" s="21"/>
      <c r="V32" s="24"/>
      <c r="W32" s="31"/>
      <c r="X32" s="14"/>
    </row>
    <row r="33" spans="1:24" ht="15" customHeight="1" x14ac:dyDescent="0.25">
      <c r="A33" s="29"/>
      <c r="B33" s="24"/>
      <c r="C33" s="11"/>
      <c r="D33" s="11"/>
      <c r="E33" s="9" t="s">
        <v>18</v>
      </c>
      <c r="F33" s="3">
        <f>IFERROR(AVERAGE(F31:T31),"")</f>
        <v>99.298245614035082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21"/>
      <c r="V33" s="24"/>
      <c r="W33" s="31"/>
      <c r="X33" s="14"/>
    </row>
    <row r="34" spans="1:24" ht="15" customHeight="1" x14ac:dyDescent="0.25">
      <c r="A34" s="29"/>
      <c r="B34" s="24"/>
      <c r="C34" s="11"/>
      <c r="D34" s="11"/>
      <c r="E34" s="9" t="s">
        <v>19</v>
      </c>
      <c r="F34" s="3">
        <f>IFERROR(AVERAGE(F32:T32),"")</f>
        <v>77.543859649122808</v>
      </c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21"/>
      <c r="V34" s="24"/>
      <c r="W34" s="31"/>
      <c r="X34" s="14"/>
    </row>
    <row r="35" spans="1:24" ht="15" customHeight="1" x14ac:dyDescent="0.25">
      <c r="A35" s="29"/>
      <c r="B35" s="24"/>
      <c r="C35" s="11"/>
      <c r="D35" s="11"/>
      <c r="E35" s="9" t="s">
        <v>20</v>
      </c>
      <c r="F35" s="19">
        <f>IF(COUNTIF(C11:C29,"=Б")=0,IF(COUNTIF(C11:C29,"=К")=0,"",0),COUNTIF(C11:C29,"=Б"))</f>
        <v>15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21"/>
      <c r="V35" s="24"/>
      <c r="W35" s="31"/>
      <c r="X35" s="14"/>
    </row>
    <row r="36" spans="1:24" ht="15" customHeight="1" x14ac:dyDescent="0.25">
      <c r="A36" s="29"/>
      <c r="B36" s="24"/>
      <c r="C36" s="11"/>
      <c r="D36" s="11"/>
      <c r="E36" s="9" t="s">
        <v>21</v>
      </c>
      <c r="F36" s="19">
        <f>IF(COUNTIF(C11:C29,"=К")=0,IF(COUNTIF(C11:C29,"=Б")=0,"",0),COUNTIF(C11:C29,"=К"))</f>
        <v>4</v>
      </c>
      <c r="G36" s="11"/>
      <c r="H36" s="11"/>
      <c r="I36" s="17" t="s">
        <v>22</v>
      </c>
      <c r="J36" s="11"/>
      <c r="K36" s="11"/>
      <c r="L36" s="11"/>
      <c r="M36" s="11"/>
      <c r="N36" s="11"/>
      <c r="O36" s="11"/>
      <c r="P36" s="1" t="s">
        <v>65</v>
      </c>
      <c r="Q36" s="11"/>
      <c r="R36" s="11"/>
      <c r="S36" s="11"/>
      <c r="T36" s="11"/>
      <c r="U36" s="11"/>
      <c r="V36" s="24"/>
      <c r="W36" s="31"/>
    </row>
    <row r="37" spans="1:24" ht="15" customHeight="1" x14ac:dyDescent="0.25">
      <c r="A37" s="29"/>
      <c r="B37" s="24"/>
      <c r="C37" s="11"/>
      <c r="D37" s="11"/>
      <c r="E37" s="9" t="s">
        <v>23</v>
      </c>
      <c r="F37" s="19">
        <v>2</v>
      </c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24"/>
      <c r="W37" s="31"/>
    </row>
    <row r="38" spans="1:24" ht="15" customHeight="1" x14ac:dyDescent="0.25">
      <c r="A38" s="29"/>
      <c r="B38" s="24"/>
      <c r="C38" s="11"/>
      <c r="D38" s="11"/>
      <c r="E38" s="9" t="s">
        <v>24</v>
      </c>
      <c r="F38" s="19">
        <v>6</v>
      </c>
      <c r="G38" s="11"/>
      <c r="H38" s="11"/>
      <c r="I38" s="17" t="s">
        <v>73</v>
      </c>
      <c r="J38" s="11"/>
      <c r="K38" s="11"/>
      <c r="L38" s="11"/>
      <c r="M38" s="11"/>
      <c r="N38" s="11"/>
      <c r="O38" s="11"/>
      <c r="P38" s="17" t="s">
        <v>25</v>
      </c>
      <c r="Q38" s="11"/>
      <c r="R38" s="11"/>
      <c r="S38" s="11"/>
      <c r="T38" s="11"/>
      <c r="U38" s="11"/>
      <c r="V38" s="24"/>
      <c r="W38" s="31"/>
    </row>
    <row r="39" spans="1:24" ht="12" customHeight="1" thickBot="1" x14ac:dyDescent="0.3">
      <c r="A39" s="29"/>
      <c r="B39" s="30"/>
      <c r="C39" s="30"/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1"/>
    </row>
    <row r="40" spans="1:24" ht="12" customHeight="1" x14ac:dyDescent="0.2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</row>
  </sheetData>
  <sheetProtection selectLockedCells="1"/>
  <sortState ref="E11:E29">
    <sortCondition ref="E11"/>
  </sortState>
  <mergeCells count="18">
    <mergeCell ref="B1:V1"/>
    <mergeCell ref="A2:A39"/>
    <mergeCell ref="B2:V2"/>
    <mergeCell ref="W2:W39"/>
    <mergeCell ref="B3:B38"/>
    <mergeCell ref="C3:U3"/>
    <mergeCell ref="V3:V38"/>
    <mergeCell ref="C4:U4"/>
    <mergeCell ref="C5:U5"/>
    <mergeCell ref="C6:U6"/>
    <mergeCell ref="B39:V39"/>
    <mergeCell ref="B40:V40"/>
    <mergeCell ref="C7:U7"/>
    <mergeCell ref="C8:U8"/>
    <mergeCell ref="C9:C10"/>
    <mergeCell ref="D9:D10"/>
    <mergeCell ref="E9:E10"/>
    <mergeCell ref="F9:U9"/>
  </mergeCells>
  <conditionalFormatting sqref="U11:U29">
    <cfRule type="expression" dxfId="37" priority="5">
      <formula>$V$29&lt;&gt;""</formula>
    </cfRule>
  </conditionalFormatting>
  <conditionalFormatting sqref="C11:T11 F12:T29">
    <cfRule type="expression" dxfId="36" priority="6">
      <formula>$V$11&lt;&gt;""</formula>
    </cfRule>
  </conditionalFormatting>
  <conditionalFormatting sqref="C12:E12">
    <cfRule type="expression" dxfId="35" priority="7">
      <formula>$V$12&lt;&gt;""</formula>
    </cfRule>
  </conditionalFormatting>
  <conditionalFormatting sqref="C13:E13">
    <cfRule type="expression" dxfId="34" priority="8">
      <formula>$V$13&lt;&gt;""</formula>
    </cfRule>
  </conditionalFormatting>
  <conditionalFormatting sqref="C14:E14">
    <cfRule type="expression" dxfId="33" priority="9">
      <formula>$V$14&lt;&gt;""</formula>
    </cfRule>
  </conditionalFormatting>
  <conditionalFormatting sqref="C15:E15">
    <cfRule type="expression" dxfId="32" priority="10">
      <formula>$V$15&lt;&gt;""</formula>
    </cfRule>
  </conditionalFormatting>
  <conditionalFormatting sqref="C16:E16">
    <cfRule type="expression" dxfId="31" priority="11">
      <formula>$V$16&lt;&gt;""</formula>
    </cfRule>
  </conditionalFormatting>
  <conditionalFormatting sqref="C17:E17">
    <cfRule type="expression" dxfId="30" priority="12">
      <formula>$V$17&lt;&gt;""</formula>
    </cfRule>
  </conditionalFormatting>
  <conditionalFormatting sqref="C18:E18">
    <cfRule type="expression" dxfId="29" priority="13">
      <formula>$V$18&lt;&gt;""</formula>
    </cfRule>
  </conditionalFormatting>
  <conditionalFormatting sqref="C19:E19">
    <cfRule type="expression" dxfId="28" priority="14">
      <formula>$V$19&lt;&gt;""</formula>
    </cfRule>
  </conditionalFormatting>
  <conditionalFormatting sqref="C20:E20">
    <cfRule type="expression" dxfId="27" priority="15">
      <formula>$V$20&lt;&gt;""</formula>
    </cfRule>
  </conditionalFormatting>
  <conditionalFormatting sqref="C21:E21">
    <cfRule type="expression" dxfId="26" priority="16">
      <formula>$V$21&lt;&gt;""</formula>
    </cfRule>
  </conditionalFormatting>
  <conditionalFormatting sqref="C22:E22">
    <cfRule type="expression" dxfId="25" priority="17">
      <formula>$V$22&lt;&gt;""</formula>
    </cfRule>
  </conditionalFormatting>
  <conditionalFormatting sqref="C23:E23">
    <cfRule type="expression" dxfId="24" priority="18">
      <formula>$V$23&lt;&gt;""</formula>
    </cfRule>
  </conditionalFormatting>
  <conditionalFormatting sqref="C24:E24">
    <cfRule type="expression" dxfId="23" priority="19">
      <formula>$V$24&lt;&gt;""</formula>
    </cfRule>
  </conditionalFormatting>
  <conditionalFormatting sqref="C25:E25">
    <cfRule type="expression" dxfId="22" priority="20">
      <formula>$V$25&lt;&gt;""</formula>
    </cfRule>
  </conditionalFormatting>
  <conditionalFormatting sqref="C26:E26">
    <cfRule type="expression" dxfId="21" priority="21">
      <formula>$V$26&lt;&gt;""</formula>
    </cfRule>
  </conditionalFormatting>
  <conditionalFormatting sqref="C27:E27">
    <cfRule type="expression" dxfId="20" priority="22">
      <formula>$V$27&lt;&gt;""</formula>
    </cfRule>
  </conditionalFormatting>
  <conditionalFormatting sqref="C28:E28">
    <cfRule type="expression" dxfId="19" priority="23">
      <formula>$V$28&lt;&gt;""</formula>
    </cfRule>
  </conditionalFormatting>
  <conditionalFormatting sqref="C29:E29">
    <cfRule type="expression" dxfId="18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G38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20" width="6.7109375" style="4" customWidth="1"/>
    <col min="21" max="21" width="11.28515625" style="4" customWidth="1"/>
    <col min="22" max="23" width="2.7109375" style="4" customWidth="1"/>
    <col min="24" max="29" width="14.42578125" style="4" hidden="1" customWidth="1"/>
    <col min="30" max="30" width="14.85546875" style="4" hidden="1" customWidth="1"/>
    <col min="31" max="44" width="3.7109375" style="4" hidden="1" customWidth="1"/>
    <col min="45" max="59" width="5.7109375" style="4" hidden="1" customWidth="1"/>
    <col min="60" max="16384" width="14.42578125" style="4" hidden="1"/>
  </cols>
  <sheetData>
    <row r="1" spans="1:23" ht="12" customHeight="1" thickBot="1" x14ac:dyDescent="0.3"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28"/>
      <c r="R1" s="28"/>
      <c r="S1" s="28"/>
      <c r="T1" s="28"/>
      <c r="U1" s="28"/>
      <c r="V1" s="28"/>
    </row>
    <row r="2" spans="1:23" ht="12" customHeight="1" x14ac:dyDescent="0.25">
      <c r="A2" s="29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5" customFormat="1" ht="54.95" customHeight="1" x14ac:dyDescent="0.3">
      <c r="A3" s="29"/>
      <c r="B3" s="24"/>
      <c r="C3" s="32" t="s">
        <v>76</v>
      </c>
      <c r="D3" s="33"/>
      <c r="E3" s="33"/>
      <c r="F3" s="33"/>
      <c r="G3" s="33"/>
      <c r="H3" s="33"/>
      <c r="I3" s="33"/>
      <c r="J3" s="33"/>
      <c r="K3" s="33"/>
      <c r="L3" s="33"/>
      <c r="M3" s="33"/>
      <c r="N3" s="33"/>
      <c r="O3" s="33"/>
      <c r="P3" s="33"/>
      <c r="Q3" s="33"/>
      <c r="R3" s="33"/>
      <c r="S3" s="33"/>
      <c r="T3" s="33"/>
      <c r="U3" s="33"/>
      <c r="V3" s="24"/>
      <c r="W3" s="31"/>
    </row>
    <row r="4" spans="1:23" s="5" customFormat="1" ht="15" customHeight="1" x14ac:dyDescent="0.25">
      <c r="A4" s="29"/>
      <c r="B4" s="24"/>
      <c r="C4" s="24" t="s">
        <v>0</v>
      </c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31"/>
    </row>
    <row r="5" spans="1:23" s="6" customFormat="1" ht="15" customHeight="1" x14ac:dyDescent="0.25">
      <c r="A5" s="29"/>
      <c r="B5" s="24"/>
      <c r="C5" s="34" t="s">
        <v>26</v>
      </c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24"/>
      <c r="W5" s="31"/>
    </row>
    <row r="6" spans="1:23" s="5" customFormat="1" ht="15" customHeight="1" x14ac:dyDescent="0.25">
      <c r="A6" s="29"/>
      <c r="B6" s="24"/>
      <c r="C6" s="23" t="s">
        <v>66</v>
      </c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4"/>
      <c r="W6" s="31"/>
    </row>
    <row r="7" spans="1:23" s="5" customFormat="1" ht="15" customHeight="1" x14ac:dyDescent="0.25">
      <c r="A7" s="29"/>
      <c r="B7" s="24"/>
      <c r="C7" s="23" t="s">
        <v>75</v>
      </c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4"/>
      <c r="W7" s="31"/>
    </row>
    <row r="8" spans="1:23" s="5" customFormat="1" ht="15" customHeight="1" x14ac:dyDescent="0.25">
      <c r="A8" s="29"/>
      <c r="B8" s="24"/>
      <c r="C8" s="24" t="s">
        <v>67</v>
      </c>
      <c r="D8" s="24"/>
      <c r="E8" s="24"/>
      <c r="F8" s="24"/>
      <c r="G8" s="24"/>
      <c r="H8" s="24"/>
      <c r="I8" s="24"/>
      <c r="J8" s="24"/>
      <c r="K8" s="24"/>
      <c r="L8" s="24"/>
      <c r="M8" s="24"/>
      <c r="N8" s="24"/>
      <c r="O8" s="24"/>
      <c r="P8" s="24"/>
      <c r="Q8" s="24"/>
      <c r="R8" s="24"/>
      <c r="S8" s="24"/>
      <c r="T8" s="24"/>
      <c r="U8" s="24"/>
      <c r="V8" s="24"/>
      <c r="W8" s="31"/>
    </row>
    <row r="9" spans="1:23" ht="15" customHeight="1" x14ac:dyDescent="0.25">
      <c r="A9" s="29"/>
      <c r="B9" s="24"/>
      <c r="C9" s="25" t="s">
        <v>1</v>
      </c>
      <c r="D9" s="27" t="s">
        <v>2</v>
      </c>
      <c r="E9" s="27" t="s">
        <v>3</v>
      </c>
      <c r="F9" s="26" t="s">
        <v>28</v>
      </c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4"/>
      <c r="W9" s="31"/>
    </row>
    <row r="10" spans="1:23" ht="125.1" customHeight="1" x14ac:dyDescent="0.25">
      <c r="A10" s="29"/>
      <c r="B10" s="24"/>
      <c r="C10" s="26"/>
      <c r="D10" s="26"/>
      <c r="E10" s="26"/>
      <c r="F10" s="18" t="s">
        <v>74</v>
      </c>
      <c r="G10" s="18" t="s">
        <v>4</v>
      </c>
      <c r="H10" s="18" t="s">
        <v>5</v>
      </c>
      <c r="I10" s="18" t="s">
        <v>6</v>
      </c>
      <c r="J10" s="18" t="s">
        <v>27</v>
      </c>
      <c r="K10" s="18" t="s">
        <v>78</v>
      </c>
      <c r="L10" s="18" t="s">
        <v>69</v>
      </c>
      <c r="M10" s="18" t="s">
        <v>7</v>
      </c>
      <c r="N10" s="18" t="s">
        <v>8</v>
      </c>
      <c r="O10" s="18" t="s">
        <v>70</v>
      </c>
      <c r="P10" s="18" t="s">
        <v>71</v>
      </c>
      <c r="Q10" s="18" t="s">
        <v>72</v>
      </c>
      <c r="R10" s="18" t="s">
        <v>9</v>
      </c>
      <c r="S10" s="18" t="s">
        <v>10</v>
      </c>
      <c r="T10" s="18" t="s">
        <v>11</v>
      </c>
      <c r="U10" s="7" t="s">
        <v>12</v>
      </c>
      <c r="V10" s="24"/>
      <c r="W10" s="31"/>
    </row>
    <row r="11" spans="1:23" ht="15" customHeight="1" x14ac:dyDescent="0.25">
      <c r="A11" s="29"/>
      <c r="B11" s="24"/>
      <c r="C11" s="8" t="s">
        <v>14</v>
      </c>
      <c r="D11" s="8">
        <v>1</v>
      </c>
      <c r="E11" s="9" t="s">
        <v>29</v>
      </c>
      <c r="F11" s="10">
        <v>8</v>
      </c>
      <c r="G11" s="10">
        <v>9</v>
      </c>
      <c r="H11" s="10">
        <v>8</v>
      </c>
      <c r="I11" s="10">
        <v>9</v>
      </c>
      <c r="J11" s="10">
        <v>9</v>
      </c>
      <c r="K11" s="10">
        <v>8</v>
      </c>
      <c r="L11" s="10">
        <v>8</v>
      </c>
      <c r="M11" s="10">
        <v>8</v>
      </c>
      <c r="N11" s="10">
        <v>6</v>
      </c>
      <c r="O11" s="10">
        <v>5</v>
      </c>
      <c r="P11" s="10">
        <v>5</v>
      </c>
      <c r="Q11" s="10">
        <v>5</v>
      </c>
      <c r="R11" s="10">
        <v>4</v>
      </c>
      <c r="S11" s="10">
        <v>10</v>
      </c>
      <c r="T11" s="10">
        <v>7</v>
      </c>
      <c r="U11" s="2">
        <f t="shared" ref="U11:U27" si="0">IF(COUNTIF(F11:T11,"=*")&gt;0,"-",IF(COUNTIF(F11:T11,"&lt;4")&gt;0,"-",(IFERROR(AVERAGE(F11:T11),""))))</f>
        <v>7.2666666666666666</v>
      </c>
      <c r="V11" s="24"/>
      <c r="W11" s="31"/>
    </row>
    <row r="12" spans="1:23" ht="15" customHeight="1" x14ac:dyDescent="0.25">
      <c r="A12" s="29"/>
      <c r="B12" s="24"/>
      <c r="C12" s="8" t="s">
        <v>13</v>
      </c>
      <c r="D12" s="8">
        <v>2</v>
      </c>
      <c r="E12" s="9" t="s">
        <v>30</v>
      </c>
      <c r="F12" s="10">
        <v>8</v>
      </c>
      <c r="G12" s="10">
        <v>8</v>
      </c>
      <c r="H12" s="10">
        <v>9</v>
      </c>
      <c r="I12" s="10">
        <v>8</v>
      </c>
      <c r="J12" s="10">
        <v>7</v>
      </c>
      <c r="K12" s="10">
        <v>7</v>
      </c>
      <c r="L12" s="10">
        <v>10</v>
      </c>
      <c r="M12" s="10">
        <v>8</v>
      </c>
      <c r="N12" s="10">
        <v>7</v>
      </c>
      <c r="O12" s="10">
        <v>5</v>
      </c>
      <c r="P12" s="10">
        <v>8</v>
      </c>
      <c r="Q12" s="10">
        <v>7</v>
      </c>
      <c r="R12" s="10">
        <v>6</v>
      </c>
      <c r="S12" s="10">
        <v>6</v>
      </c>
      <c r="T12" s="10">
        <v>7</v>
      </c>
      <c r="U12" s="2">
        <f t="shared" si="0"/>
        <v>7.4</v>
      </c>
      <c r="V12" s="24"/>
      <c r="W12" s="31"/>
    </row>
    <row r="13" spans="1:23" ht="15" customHeight="1" x14ac:dyDescent="0.25">
      <c r="A13" s="29"/>
      <c r="B13" s="24"/>
      <c r="C13" s="8" t="s">
        <v>14</v>
      </c>
      <c r="D13" s="8">
        <v>3</v>
      </c>
      <c r="E13" s="9" t="s">
        <v>31</v>
      </c>
      <c r="F13" s="10">
        <v>4</v>
      </c>
      <c r="G13" s="10">
        <v>6</v>
      </c>
      <c r="H13" s="10">
        <v>5</v>
      </c>
      <c r="I13" s="10">
        <v>6</v>
      </c>
      <c r="J13" s="10">
        <v>7</v>
      </c>
      <c r="K13" s="10" t="s">
        <v>77</v>
      </c>
      <c r="L13" s="10">
        <v>6</v>
      </c>
      <c r="M13" s="10">
        <v>4</v>
      </c>
      <c r="N13" s="10">
        <v>4</v>
      </c>
      <c r="O13" s="10">
        <v>4</v>
      </c>
      <c r="P13" s="10">
        <v>4</v>
      </c>
      <c r="Q13" s="10">
        <v>5</v>
      </c>
      <c r="R13" s="10" t="s">
        <v>77</v>
      </c>
      <c r="S13" s="10" t="s">
        <v>77</v>
      </c>
      <c r="T13" s="10">
        <v>5</v>
      </c>
      <c r="U13" s="2" t="str">
        <f t="shared" si="0"/>
        <v>-</v>
      </c>
      <c r="V13" s="24"/>
      <c r="W13" s="31"/>
    </row>
    <row r="14" spans="1:23" ht="15" customHeight="1" x14ac:dyDescent="0.25">
      <c r="A14" s="29"/>
      <c r="B14" s="24"/>
      <c r="C14" s="8" t="s">
        <v>14</v>
      </c>
      <c r="D14" s="8">
        <v>4</v>
      </c>
      <c r="E14" s="9" t="s">
        <v>32</v>
      </c>
      <c r="F14" s="10">
        <v>9</v>
      </c>
      <c r="G14" s="10">
        <v>8</v>
      </c>
      <c r="H14" s="10">
        <v>8</v>
      </c>
      <c r="I14" s="10">
        <v>10</v>
      </c>
      <c r="J14" s="10">
        <v>9</v>
      </c>
      <c r="K14" s="10">
        <v>7</v>
      </c>
      <c r="L14" s="10">
        <v>9</v>
      </c>
      <c r="M14" s="10">
        <v>6</v>
      </c>
      <c r="N14" s="10">
        <v>5</v>
      </c>
      <c r="O14" s="10">
        <v>6</v>
      </c>
      <c r="P14" s="10">
        <v>8</v>
      </c>
      <c r="Q14" s="10">
        <v>8</v>
      </c>
      <c r="R14" s="10">
        <v>5</v>
      </c>
      <c r="S14" s="10">
        <v>10</v>
      </c>
      <c r="T14" s="10">
        <v>6</v>
      </c>
      <c r="U14" s="2">
        <f t="shared" si="0"/>
        <v>7.6</v>
      </c>
      <c r="V14" s="24"/>
      <c r="W14" s="31"/>
    </row>
    <row r="15" spans="1:23" ht="15" customHeight="1" x14ac:dyDescent="0.25">
      <c r="A15" s="29"/>
      <c r="B15" s="24"/>
      <c r="C15" s="8" t="s">
        <v>13</v>
      </c>
      <c r="D15" s="8">
        <v>5</v>
      </c>
      <c r="E15" s="9" t="s">
        <v>33</v>
      </c>
      <c r="F15" s="10">
        <v>9</v>
      </c>
      <c r="G15" s="10">
        <v>8</v>
      </c>
      <c r="H15" s="10">
        <v>9</v>
      </c>
      <c r="I15" s="10">
        <v>9</v>
      </c>
      <c r="J15" s="10">
        <v>10</v>
      </c>
      <c r="K15" s="10">
        <v>8</v>
      </c>
      <c r="L15" s="10">
        <v>9</v>
      </c>
      <c r="M15" s="10">
        <v>9</v>
      </c>
      <c r="N15" s="10">
        <v>7</v>
      </c>
      <c r="O15" s="10">
        <v>8</v>
      </c>
      <c r="P15" s="10">
        <v>8</v>
      </c>
      <c r="Q15" s="10">
        <v>7</v>
      </c>
      <c r="R15" s="10">
        <v>7</v>
      </c>
      <c r="S15" s="10">
        <v>10</v>
      </c>
      <c r="T15" s="10">
        <v>7</v>
      </c>
      <c r="U15" s="2">
        <f t="shared" si="0"/>
        <v>8.3333333333333339</v>
      </c>
      <c r="V15" s="24"/>
      <c r="W15" s="31"/>
    </row>
    <row r="16" spans="1:23" ht="15" customHeight="1" x14ac:dyDescent="0.25">
      <c r="A16" s="29"/>
      <c r="B16" s="24"/>
      <c r="C16" s="8" t="s">
        <v>14</v>
      </c>
      <c r="D16" s="8">
        <v>6</v>
      </c>
      <c r="E16" s="9" t="s">
        <v>34</v>
      </c>
      <c r="F16" s="10">
        <v>10</v>
      </c>
      <c r="G16" s="10">
        <v>10</v>
      </c>
      <c r="H16" s="10">
        <v>10</v>
      </c>
      <c r="I16" s="10">
        <v>10</v>
      </c>
      <c r="J16" s="10">
        <v>10</v>
      </c>
      <c r="K16" s="10">
        <v>10</v>
      </c>
      <c r="L16" s="10">
        <v>9</v>
      </c>
      <c r="M16" s="10">
        <v>8</v>
      </c>
      <c r="N16" s="10">
        <v>9</v>
      </c>
      <c r="O16" s="10">
        <v>10</v>
      </c>
      <c r="P16" s="10">
        <v>7</v>
      </c>
      <c r="Q16" s="10">
        <v>8</v>
      </c>
      <c r="R16" s="10">
        <v>9</v>
      </c>
      <c r="S16" s="10">
        <v>10</v>
      </c>
      <c r="T16" s="10">
        <v>8</v>
      </c>
      <c r="U16" s="2">
        <f t="shared" si="0"/>
        <v>9.1999999999999993</v>
      </c>
      <c r="V16" s="24"/>
      <c r="W16" s="31"/>
    </row>
    <row r="17" spans="1:24" ht="15" customHeight="1" x14ac:dyDescent="0.25">
      <c r="A17" s="29"/>
      <c r="B17" s="24"/>
      <c r="C17" s="8" t="s">
        <v>13</v>
      </c>
      <c r="D17" s="8">
        <v>7</v>
      </c>
      <c r="E17" s="9" t="s">
        <v>35</v>
      </c>
      <c r="F17" s="10">
        <v>7</v>
      </c>
      <c r="G17" s="10">
        <v>6</v>
      </c>
      <c r="H17" s="10">
        <v>7</v>
      </c>
      <c r="I17" s="10">
        <v>8</v>
      </c>
      <c r="J17" s="10">
        <v>6</v>
      </c>
      <c r="K17" s="10">
        <v>8</v>
      </c>
      <c r="L17" s="10">
        <v>5</v>
      </c>
      <c r="M17" s="10">
        <v>6</v>
      </c>
      <c r="N17" s="10">
        <v>6</v>
      </c>
      <c r="O17" s="10">
        <v>6</v>
      </c>
      <c r="P17" s="10">
        <v>5</v>
      </c>
      <c r="Q17" s="10">
        <v>5</v>
      </c>
      <c r="R17" s="10">
        <v>4</v>
      </c>
      <c r="S17" s="10">
        <v>7</v>
      </c>
      <c r="T17" s="10">
        <v>6</v>
      </c>
      <c r="U17" s="2">
        <f t="shared" si="0"/>
        <v>6.1333333333333337</v>
      </c>
      <c r="V17" s="24"/>
      <c r="W17" s="31"/>
    </row>
    <row r="18" spans="1:24" ht="15" customHeight="1" x14ac:dyDescent="0.25">
      <c r="A18" s="29"/>
      <c r="B18" s="24"/>
      <c r="C18" s="8" t="s">
        <v>14</v>
      </c>
      <c r="D18" s="8">
        <v>8</v>
      </c>
      <c r="E18" s="9" t="s">
        <v>36</v>
      </c>
      <c r="F18" s="10">
        <v>9</v>
      </c>
      <c r="G18" s="10">
        <v>8</v>
      </c>
      <c r="H18" s="10">
        <v>9</v>
      </c>
      <c r="I18" s="10">
        <v>10</v>
      </c>
      <c r="J18" s="10">
        <v>10</v>
      </c>
      <c r="K18" s="10">
        <v>8</v>
      </c>
      <c r="L18" s="10">
        <v>10</v>
      </c>
      <c r="M18" s="10">
        <v>9</v>
      </c>
      <c r="N18" s="10">
        <v>8</v>
      </c>
      <c r="O18" s="10">
        <v>8</v>
      </c>
      <c r="P18" s="10">
        <v>8</v>
      </c>
      <c r="Q18" s="10">
        <v>7</v>
      </c>
      <c r="R18" s="10">
        <v>6</v>
      </c>
      <c r="S18" s="10">
        <v>8</v>
      </c>
      <c r="T18" s="10">
        <v>7</v>
      </c>
      <c r="U18" s="2">
        <f t="shared" si="0"/>
        <v>8.3333333333333339</v>
      </c>
      <c r="V18" s="24"/>
      <c r="W18" s="31"/>
    </row>
    <row r="19" spans="1:24" ht="15" customHeight="1" x14ac:dyDescent="0.25">
      <c r="A19" s="29"/>
      <c r="B19" s="24"/>
      <c r="C19" s="8" t="s">
        <v>14</v>
      </c>
      <c r="D19" s="8">
        <v>9</v>
      </c>
      <c r="E19" s="9" t="s">
        <v>37</v>
      </c>
      <c r="F19" s="10">
        <v>8</v>
      </c>
      <c r="G19" s="10">
        <v>7</v>
      </c>
      <c r="H19" s="10">
        <v>8</v>
      </c>
      <c r="I19" s="10">
        <v>8</v>
      </c>
      <c r="J19" s="10">
        <v>7</v>
      </c>
      <c r="K19" s="10">
        <v>5</v>
      </c>
      <c r="L19" s="10">
        <v>7</v>
      </c>
      <c r="M19" s="10">
        <v>5</v>
      </c>
      <c r="N19" s="10">
        <v>5</v>
      </c>
      <c r="O19" s="10">
        <v>6</v>
      </c>
      <c r="P19" s="10">
        <v>6</v>
      </c>
      <c r="Q19" s="10">
        <v>5</v>
      </c>
      <c r="R19" s="10">
        <v>5</v>
      </c>
      <c r="S19" s="10">
        <v>10</v>
      </c>
      <c r="T19" s="10">
        <v>6</v>
      </c>
      <c r="U19" s="2">
        <f t="shared" si="0"/>
        <v>6.5333333333333332</v>
      </c>
      <c r="V19" s="24"/>
      <c r="W19" s="31"/>
    </row>
    <row r="20" spans="1:24" ht="15" customHeight="1" x14ac:dyDescent="0.25">
      <c r="A20" s="29"/>
      <c r="B20" s="24"/>
      <c r="C20" s="8" t="s">
        <v>14</v>
      </c>
      <c r="D20" s="8">
        <v>10</v>
      </c>
      <c r="E20" s="9" t="s">
        <v>38</v>
      </c>
      <c r="F20" s="10">
        <v>10</v>
      </c>
      <c r="G20" s="10">
        <v>8</v>
      </c>
      <c r="H20" s="10">
        <v>10</v>
      </c>
      <c r="I20" s="10">
        <v>10</v>
      </c>
      <c r="J20" s="10">
        <v>9</v>
      </c>
      <c r="K20" s="10">
        <v>8</v>
      </c>
      <c r="L20" s="10">
        <v>10</v>
      </c>
      <c r="M20" s="10">
        <v>9</v>
      </c>
      <c r="N20" s="10">
        <v>8</v>
      </c>
      <c r="O20" s="10">
        <v>6</v>
      </c>
      <c r="P20" s="10">
        <v>8</v>
      </c>
      <c r="Q20" s="10">
        <v>7</v>
      </c>
      <c r="R20" s="10">
        <v>7</v>
      </c>
      <c r="S20" s="10">
        <v>8</v>
      </c>
      <c r="T20" s="10">
        <v>7</v>
      </c>
      <c r="U20" s="2">
        <f t="shared" si="0"/>
        <v>8.3333333333333339</v>
      </c>
      <c r="V20" s="24"/>
      <c r="W20" s="31"/>
    </row>
    <row r="21" spans="1:24" ht="15" customHeight="1" x14ac:dyDescent="0.25">
      <c r="A21" s="29"/>
      <c r="B21" s="24"/>
      <c r="C21" s="8" t="s">
        <v>13</v>
      </c>
      <c r="D21" s="8">
        <v>11</v>
      </c>
      <c r="E21" s="9" t="s">
        <v>39</v>
      </c>
      <c r="F21" s="10">
        <v>8</v>
      </c>
      <c r="G21" s="10">
        <v>7</v>
      </c>
      <c r="H21" s="10">
        <v>7</v>
      </c>
      <c r="I21" s="10">
        <v>10</v>
      </c>
      <c r="J21" s="10">
        <v>9</v>
      </c>
      <c r="K21" s="10" t="s">
        <v>77</v>
      </c>
      <c r="L21" s="10">
        <v>8</v>
      </c>
      <c r="M21" s="10">
        <v>5</v>
      </c>
      <c r="N21" s="10">
        <v>5</v>
      </c>
      <c r="O21" s="10">
        <v>6</v>
      </c>
      <c r="P21" s="10">
        <v>5</v>
      </c>
      <c r="Q21" s="10">
        <v>5</v>
      </c>
      <c r="R21" s="10">
        <v>5</v>
      </c>
      <c r="S21" s="10" t="s">
        <v>77</v>
      </c>
      <c r="T21" s="10">
        <v>5</v>
      </c>
      <c r="U21" s="2" t="str">
        <f t="shared" si="0"/>
        <v>-</v>
      </c>
      <c r="V21" s="24"/>
      <c r="W21" s="31"/>
    </row>
    <row r="22" spans="1:24" ht="15" customHeight="1" x14ac:dyDescent="0.25">
      <c r="A22" s="29"/>
      <c r="B22" s="24"/>
      <c r="C22" s="8" t="s">
        <v>13</v>
      </c>
      <c r="D22" s="8">
        <v>12</v>
      </c>
      <c r="E22" s="9" t="s">
        <v>40</v>
      </c>
      <c r="F22" s="10">
        <v>7</v>
      </c>
      <c r="G22" s="10">
        <v>6</v>
      </c>
      <c r="H22" s="10">
        <v>7</v>
      </c>
      <c r="I22" s="10">
        <v>7</v>
      </c>
      <c r="J22" s="10">
        <v>6</v>
      </c>
      <c r="K22" s="10" t="s">
        <v>77</v>
      </c>
      <c r="L22" s="10">
        <v>6</v>
      </c>
      <c r="M22" s="10">
        <v>4</v>
      </c>
      <c r="N22" s="10" t="s">
        <v>77</v>
      </c>
      <c r="O22" s="10">
        <v>4</v>
      </c>
      <c r="P22" s="10">
        <v>4</v>
      </c>
      <c r="Q22" s="10">
        <v>4</v>
      </c>
      <c r="R22" s="10">
        <v>4</v>
      </c>
      <c r="S22" s="10">
        <v>4</v>
      </c>
      <c r="T22" s="10">
        <v>5</v>
      </c>
      <c r="U22" s="2" t="str">
        <f t="shared" si="0"/>
        <v>-</v>
      </c>
      <c r="V22" s="24"/>
      <c r="W22" s="31"/>
    </row>
    <row r="23" spans="1:24" ht="15" customHeight="1" x14ac:dyDescent="0.25">
      <c r="A23" s="29"/>
      <c r="B23" s="24"/>
      <c r="C23" s="8" t="s">
        <v>13</v>
      </c>
      <c r="D23" s="8">
        <v>13</v>
      </c>
      <c r="E23" s="9" t="s">
        <v>41</v>
      </c>
      <c r="F23" s="10">
        <v>9</v>
      </c>
      <c r="G23" s="10">
        <v>8</v>
      </c>
      <c r="H23" s="10">
        <v>9</v>
      </c>
      <c r="I23" s="10">
        <v>9</v>
      </c>
      <c r="J23" s="10">
        <v>8</v>
      </c>
      <c r="K23" s="10">
        <v>6</v>
      </c>
      <c r="L23" s="10">
        <v>9</v>
      </c>
      <c r="M23" s="10">
        <v>7</v>
      </c>
      <c r="N23" s="10">
        <v>7</v>
      </c>
      <c r="O23" s="10">
        <v>6</v>
      </c>
      <c r="P23" s="10">
        <v>8</v>
      </c>
      <c r="Q23" s="10">
        <v>7</v>
      </c>
      <c r="R23" s="10">
        <v>7</v>
      </c>
      <c r="S23" s="10">
        <v>10</v>
      </c>
      <c r="T23" s="10">
        <v>8</v>
      </c>
      <c r="U23" s="2">
        <f t="shared" si="0"/>
        <v>7.8666666666666663</v>
      </c>
      <c r="V23" s="24"/>
      <c r="W23" s="31"/>
    </row>
    <row r="24" spans="1:24" ht="15" customHeight="1" x14ac:dyDescent="0.25">
      <c r="A24" s="29"/>
      <c r="B24" s="24"/>
      <c r="C24" s="8" t="s">
        <v>14</v>
      </c>
      <c r="D24" s="8">
        <v>14</v>
      </c>
      <c r="E24" s="9" t="s">
        <v>42</v>
      </c>
      <c r="F24" s="10">
        <v>9</v>
      </c>
      <c r="G24" s="10">
        <v>6</v>
      </c>
      <c r="H24" s="10">
        <v>8</v>
      </c>
      <c r="I24" s="10">
        <v>7</v>
      </c>
      <c r="J24" s="10">
        <v>7</v>
      </c>
      <c r="K24" s="10">
        <v>7</v>
      </c>
      <c r="L24" s="10">
        <v>6</v>
      </c>
      <c r="M24" s="10">
        <v>4</v>
      </c>
      <c r="N24" s="10">
        <v>7</v>
      </c>
      <c r="O24" s="10">
        <v>5</v>
      </c>
      <c r="P24" s="10">
        <v>5</v>
      </c>
      <c r="Q24" s="10">
        <v>7</v>
      </c>
      <c r="R24" s="10">
        <v>5</v>
      </c>
      <c r="S24" s="10">
        <v>6</v>
      </c>
      <c r="T24" s="10">
        <v>6</v>
      </c>
      <c r="U24" s="2">
        <f t="shared" si="0"/>
        <v>6.333333333333333</v>
      </c>
      <c r="V24" s="24"/>
      <c r="W24" s="31"/>
    </row>
    <row r="25" spans="1:24" ht="15" customHeight="1" x14ac:dyDescent="0.25">
      <c r="A25" s="29"/>
      <c r="B25" s="24"/>
      <c r="C25" s="8" t="s">
        <v>13</v>
      </c>
      <c r="D25" s="8">
        <v>15</v>
      </c>
      <c r="E25" s="9" t="s">
        <v>43</v>
      </c>
      <c r="F25" s="10">
        <v>10</v>
      </c>
      <c r="G25" s="10">
        <v>8</v>
      </c>
      <c r="H25" s="10">
        <v>9</v>
      </c>
      <c r="I25" s="10">
        <v>9</v>
      </c>
      <c r="J25" s="10">
        <v>9</v>
      </c>
      <c r="K25" s="10">
        <v>7</v>
      </c>
      <c r="L25" s="10">
        <v>9</v>
      </c>
      <c r="M25" s="10">
        <v>8</v>
      </c>
      <c r="N25" s="10">
        <v>8</v>
      </c>
      <c r="O25" s="10">
        <v>7</v>
      </c>
      <c r="P25" s="10">
        <v>8</v>
      </c>
      <c r="Q25" s="10">
        <v>10</v>
      </c>
      <c r="R25" s="10">
        <v>7</v>
      </c>
      <c r="S25" s="10">
        <v>10</v>
      </c>
      <c r="T25" s="10">
        <v>8</v>
      </c>
      <c r="U25" s="2">
        <f t="shared" si="0"/>
        <v>8.4666666666666668</v>
      </c>
      <c r="V25" s="24"/>
      <c r="W25" s="31"/>
    </row>
    <row r="26" spans="1:24" ht="15" customHeight="1" x14ac:dyDescent="0.25">
      <c r="A26" s="29"/>
      <c r="B26" s="24"/>
      <c r="C26" s="8" t="s">
        <v>14</v>
      </c>
      <c r="D26" s="8">
        <v>16</v>
      </c>
      <c r="E26" s="9" t="s">
        <v>44</v>
      </c>
      <c r="F26" s="10">
        <v>8</v>
      </c>
      <c r="G26" s="10">
        <v>10</v>
      </c>
      <c r="H26" s="10">
        <v>9</v>
      </c>
      <c r="I26" s="10">
        <v>8</v>
      </c>
      <c r="J26" s="10">
        <v>10</v>
      </c>
      <c r="K26" s="10">
        <v>7</v>
      </c>
      <c r="L26" s="10">
        <v>9</v>
      </c>
      <c r="M26" s="10">
        <v>9</v>
      </c>
      <c r="N26" s="10">
        <v>8</v>
      </c>
      <c r="O26" s="10">
        <v>6</v>
      </c>
      <c r="P26" s="10">
        <v>8</v>
      </c>
      <c r="Q26" s="10">
        <v>7</v>
      </c>
      <c r="R26" s="10">
        <v>6</v>
      </c>
      <c r="S26" s="10">
        <v>10</v>
      </c>
      <c r="T26" s="10">
        <v>7</v>
      </c>
      <c r="U26" s="2">
        <f t="shared" si="0"/>
        <v>8.1333333333333329</v>
      </c>
      <c r="V26" s="24"/>
      <c r="W26" s="31"/>
    </row>
    <row r="27" spans="1:24" ht="15" customHeight="1" x14ac:dyDescent="0.25">
      <c r="A27" s="29"/>
      <c r="B27" s="24"/>
      <c r="C27" s="20" t="s">
        <v>14</v>
      </c>
      <c r="D27" s="20">
        <v>17</v>
      </c>
      <c r="E27" s="9" t="s">
        <v>45</v>
      </c>
      <c r="F27" s="10">
        <v>8</v>
      </c>
      <c r="G27" s="10">
        <v>6</v>
      </c>
      <c r="H27" s="10">
        <v>7</v>
      </c>
      <c r="I27" s="10">
        <v>8</v>
      </c>
      <c r="J27" s="10">
        <v>7</v>
      </c>
      <c r="K27" s="10">
        <v>6</v>
      </c>
      <c r="L27" s="10">
        <v>6</v>
      </c>
      <c r="M27" s="10">
        <v>4</v>
      </c>
      <c r="N27" s="10">
        <v>6</v>
      </c>
      <c r="O27" s="10">
        <v>5</v>
      </c>
      <c r="P27" s="10">
        <v>7</v>
      </c>
      <c r="Q27" s="10">
        <v>6</v>
      </c>
      <c r="R27" s="10">
        <v>4</v>
      </c>
      <c r="S27" s="10">
        <v>6</v>
      </c>
      <c r="T27" s="10">
        <v>5</v>
      </c>
      <c r="U27" s="2">
        <f t="shared" si="0"/>
        <v>6.0666666666666664</v>
      </c>
      <c r="V27" s="24"/>
      <c r="W27" s="31"/>
    </row>
    <row r="28" spans="1:24" ht="15" customHeight="1" x14ac:dyDescent="0.25">
      <c r="A28" s="29"/>
      <c r="B28" s="24"/>
      <c r="C28" s="11"/>
      <c r="D28" s="11"/>
      <c r="E28" s="9" t="s">
        <v>15</v>
      </c>
      <c r="F28" s="3">
        <f>IF(SUM(F11:F27)=0,"",SUM(F11:F27)/$D27)</f>
        <v>8.2941176470588243</v>
      </c>
      <c r="G28" s="3">
        <f t="shared" ref="G28:T28" si="1">IF(SUM(G11:G27)=0,"",SUM(G11:G27)/$D27)</f>
        <v>7.5882352941176467</v>
      </c>
      <c r="H28" s="3">
        <f t="shared" si="1"/>
        <v>8.1764705882352935</v>
      </c>
      <c r="I28" s="3">
        <f t="shared" si="1"/>
        <v>8.5882352941176467</v>
      </c>
      <c r="J28" s="3">
        <f t="shared" si="1"/>
        <v>8.235294117647058</v>
      </c>
      <c r="K28" s="3">
        <f t="shared" si="1"/>
        <v>6</v>
      </c>
      <c r="L28" s="3">
        <f t="shared" si="1"/>
        <v>8</v>
      </c>
      <c r="M28" s="3">
        <f t="shared" si="1"/>
        <v>6.6470588235294121</v>
      </c>
      <c r="N28" s="3">
        <f t="shared" si="1"/>
        <v>6.2352941176470589</v>
      </c>
      <c r="O28" s="3">
        <f t="shared" si="1"/>
        <v>6.0588235294117645</v>
      </c>
      <c r="P28" s="3">
        <f t="shared" si="1"/>
        <v>6.5882352941176467</v>
      </c>
      <c r="Q28" s="3">
        <f t="shared" si="1"/>
        <v>6.4705882352941178</v>
      </c>
      <c r="R28" s="3">
        <f t="shared" si="1"/>
        <v>5.3529411764705879</v>
      </c>
      <c r="S28" s="3">
        <f t="shared" si="1"/>
        <v>7.3529411764705879</v>
      </c>
      <c r="T28" s="3">
        <f t="shared" si="1"/>
        <v>6.4705882352941178</v>
      </c>
      <c r="U28" s="2">
        <f>IFERROR(AVERAGE(F28:T28),"")</f>
        <v>7.0705882352941192</v>
      </c>
      <c r="V28" s="24"/>
      <c r="W28" s="31"/>
    </row>
    <row r="29" spans="1:24" ht="15" customHeight="1" x14ac:dyDescent="0.25">
      <c r="A29" s="29"/>
      <c r="B29" s="24"/>
      <c r="C29" s="11"/>
      <c r="D29" s="11"/>
      <c r="E29" s="9" t="s">
        <v>16</v>
      </c>
      <c r="F29" s="12">
        <f>IF(SUM(F11:F27)=0,"",IF(COUNTIF(F11:F27,"&gt;=4")=0,0,COUNTIF(F11:F27,"&gt;=4")/$D27*100))</f>
        <v>100</v>
      </c>
      <c r="G29" s="12">
        <f t="shared" ref="G29:T29" si="2">IF(SUM(G11:G27)=0,"",IF(COUNTIF(G11:G27,"&gt;=4")=0,0,COUNTIF(G11:G27,"&gt;=4")/$D27*100))</f>
        <v>100</v>
      </c>
      <c r="H29" s="12">
        <f t="shared" si="2"/>
        <v>100</v>
      </c>
      <c r="I29" s="12">
        <f t="shared" si="2"/>
        <v>100</v>
      </c>
      <c r="J29" s="12">
        <f t="shared" si="2"/>
        <v>100</v>
      </c>
      <c r="K29" s="12">
        <f t="shared" si="2"/>
        <v>82.35294117647058</v>
      </c>
      <c r="L29" s="12">
        <f t="shared" si="2"/>
        <v>100</v>
      </c>
      <c r="M29" s="12">
        <f t="shared" si="2"/>
        <v>100</v>
      </c>
      <c r="N29" s="12">
        <f t="shared" si="2"/>
        <v>94.117647058823522</v>
      </c>
      <c r="O29" s="12">
        <f t="shared" si="2"/>
        <v>100</v>
      </c>
      <c r="P29" s="12">
        <f t="shared" si="2"/>
        <v>100</v>
      </c>
      <c r="Q29" s="12">
        <f t="shared" si="2"/>
        <v>100</v>
      </c>
      <c r="R29" s="12">
        <f t="shared" si="2"/>
        <v>94.117647058823522</v>
      </c>
      <c r="S29" s="12">
        <f t="shared" si="2"/>
        <v>88.235294117647058</v>
      </c>
      <c r="T29" s="12">
        <f t="shared" si="2"/>
        <v>100</v>
      </c>
      <c r="U29" s="13"/>
      <c r="V29" s="24"/>
      <c r="W29" s="31"/>
      <c r="X29" s="14"/>
    </row>
    <row r="30" spans="1:24" ht="15" customHeight="1" x14ac:dyDescent="0.25">
      <c r="A30" s="29"/>
      <c r="B30" s="24"/>
      <c r="C30" s="11"/>
      <c r="D30" s="11"/>
      <c r="E30" s="9" t="s">
        <v>17</v>
      </c>
      <c r="F30" s="12">
        <f>IF(SUM(F11:F27)=0,"",IF(COUNTIF(F11:F27,"&gt;=7")=0,0,COUNTIF(F11:F27,"&gt;=7")/$D27*100))</f>
        <v>94.117647058823522</v>
      </c>
      <c r="G30" s="12">
        <f t="shared" ref="G30:T30" si="3">IF(SUM(G11:G27)=0,"",IF(COUNTIF(G11:G27,"&gt;=7")=0,0,COUNTIF(G11:G27,"&gt;=7")/$D27*100))</f>
        <v>70.588235294117652</v>
      </c>
      <c r="H30" s="12">
        <f t="shared" si="3"/>
        <v>94.117647058823522</v>
      </c>
      <c r="I30" s="12">
        <f t="shared" si="3"/>
        <v>94.117647058823522</v>
      </c>
      <c r="J30" s="12">
        <f t="shared" si="3"/>
        <v>88.235294117647058</v>
      </c>
      <c r="K30" s="12">
        <f t="shared" si="3"/>
        <v>64.705882352941174</v>
      </c>
      <c r="L30" s="12">
        <f t="shared" si="3"/>
        <v>70.588235294117652</v>
      </c>
      <c r="M30" s="12">
        <f t="shared" si="3"/>
        <v>52.941176470588239</v>
      </c>
      <c r="N30" s="12">
        <f t="shared" si="3"/>
        <v>52.941176470588239</v>
      </c>
      <c r="O30" s="12">
        <f t="shared" si="3"/>
        <v>23.52941176470588</v>
      </c>
      <c r="P30" s="12">
        <f t="shared" si="3"/>
        <v>58.82352941176471</v>
      </c>
      <c r="Q30" s="12">
        <f t="shared" si="3"/>
        <v>58.82352941176471</v>
      </c>
      <c r="R30" s="12">
        <f t="shared" si="3"/>
        <v>29.411764705882355</v>
      </c>
      <c r="S30" s="12">
        <f t="shared" si="3"/>
        <v>64.705882352941174</v>
      </c>
      <c r="T30" s="12">
        <f t="shared" si="3"/>
        <v>52.941176470588239</v>
      </c>
      <c r="U30" s="15"/>
      <c r="V30" s="24"/>
      <c r="W30" s="31"/>
      <c r="X30" s="14"/>
    </row>
    <row r="31" spans="1:24" ht="15" customHeight="1" x14ac:dyDescent="0.25">
      <c r="A31" s="29"/>
      <c r="B31" s="24"/>
      <c r="C31" s="11"/>
      <c r="D31" s="11"/>
      <c r="E31" s="9" t="s">
        <v>18</v>
      </c>
      <c r="F31" s="3">
        <f>IFERROR(AVERAGE(F29:T29),"")</f>
        <v>97.254901960784309</v>
      </c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5"/>
      <c r="V31" s="24"/>
      <c r="W31" s="31"/>
      <c r="X31" s="14"/>
    </row>
    <row r="32" spans="1:24" ht="15" customHeight="1" x14ac:dyDescent="0.25">
      <c r="A32" s="29"/>
      <c r="B32" s="24"/>
      <c r="C32" s="11"/>
      <c r="D32" s="11"/>
      <c r="E32" s="9" t="s">
        <v>19</v>
      </c>
      <c r="F32" s="3">
        <f>IFERROR(AVERAGE(F30:T30),"")</f>
        <v>64.705882352941188</v>
      </c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5"/>
      <c r="V32" s="24"/>
      <c r="W32" s="31"/>
      <c r="X32" s="14"/>
    </row>
    <row r="33" spans="1:24" ht="15" customHeight="1" x14ac:dyDescent="0.25">
      <c r="A33" s="29"/>
      <c r="B33" s="24"/>
      <c r="C33" s="11"/>
      <c r="D33" s="11"/>
      <c r="E33" s="9" t="s">
        <v>20</v>
      </c>
      <c r="F33" s="16">
        <f>IF(COUNTIF(C11:C27,"=Б")=0,IF(COUNTIF(C11:C27,"=К")=0,"",0),COUNTIF(C11:C27,"=Б"))</f>
        <v>10</v>
      </c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5"/>
      <c r="V33" s="24"/>
      <c r="W33" s="31"/>
      <c r="X33" s="14"/>
    </row>
    <row r="34" spans="1:24" ht="15" customHeight="1" x14ac:dyDescent="0.25">
      <c r="A34" s="29"/>
      <c r="B34" s="24"/>
      <c r="C34" s="11"/>
      <c r="D34" s="11"/>
      <c r="E34" s="9" t="s">
        <v>21</v>
      </c>
      <c r="F34" s="16">
        <f>IF(COUNTIF(C11:C27,"=К")=0,IF(COUNTIF(C11:C27,"=Б")=0,"",0),COUNTIF(C11:C27,"=К"))</f>
        <v>7</v>
      </c>
      <c r="G34" s="11"/>
      <c r="H34" s="11"/>
      <c r="I34" s="17" t="s">
        <v>22</v>
      </c>
      <c r="J34" s="11"/>
      <c r="K34" s="11"/>
      <c r="L34" s="11"/>
      <c r="M34" s="11"/>
      <c r="N34" s="11"/>
      <c r="O34" s="11"/>
      <c r="P34" s="1" t="s">
        <v>65</v>
      </c>
      <c r="Q34" s="11"/>
      <c r="R34" s="11"/>
      <c r="S34" s="11"/>
      <c r="T34" s="11"/>
      <c r="U34" s="11"/>
      <c r="V34" s="24"/>
      <c r="W34" s="31"/>
    </row>
    <row r="35" spans="1:24" ht="15" customHeight="1" x14ac:dyDescent="0.25">
      <c r="A35" s="29"/>
      <c r="B35" s="24"/>
      <c r="C35" s="11"/>
      <c r="D35" s="11"/>
      <c r="E35" s="9" t="s">
        <v>23</v>
      </c>
      <c r="F35" s="16">
        <v>1</v>
      </c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24"/>
      <c r="W35" s="31"/>
    </row>
    <row r="36" spans="1:24" ht="15" customHeight="1" x14ac:dyDescent="0.25">
      <c r="A36" s="29"/>
      <c r="B36" s="24"/>
      <c r="C36" s="11"/>
      <c r="D36" s="11"/>
      <c r="E36" s="9" t="s">
        <v>24</v>
      </c>
      <c r="F36" s="16">
        <v>4</v>
      </c>
      <c r="G36" s="11"/>
      <c r="H36" s="11"/>
      <c r="I36" s="17" t="s">
        <v>73</v>
      </c>
      <c r="J36" s="11"/>
      <c r="K36" s="11"/>
      <c r="L36" s="11"/>
      <c r="M36" s="11"/>
      <c r="N36" s="11"/>
      <c r="O36" s="11"/>
      <c r="P36" s="17" t="s">
        <v>25</v>
      </c>
      <c r="Q36" s="11"/>
      <c r="R36" s="11"/>
      <c r="S36" s="11"/>
      <c r="T36" s="11"/>
      <c r="U36" s="11"/>
      <c r="V36" s="24"/>
      <c r="W36" s="31"/>
    </row>
    <row r="37" spans="1:24" ht="12" customHeight="1" thickBot="1" x14ac:dyDescent="0.3">
      <c r="A37" s="29"/>
      <c r="B37" s="30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1"/>
    </row>
    <row r="38" spans="1:24" ht="12" customHeight="1" x14ac:dyDescent="0.25"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</row>
  </sheetData>
  <sheetProtection selectLockedCells="1"/>
  <sortState ref="E11:E27">
    <sortCondition ref="E11"/>
  </sortState>
  <mergeCells count="18">
    <mergeCell ref="B1:V1"/>
    <mergeCell ref="A2:A37"/>
    <mergeCell ref="B2:V2"/>
    <mergeCell ref="W2:W37"/>
    <mergeCell ref="B3:B36"/>
    <mergeCell ref="C3:U3"/>
    <mergeCell ref="V3:V36"/>
    <mergeCell ref="C4:U4"/>
    <mergeCell ref="C5:U5"/>
    <mergeCell ref="C6:U6"/>
    <mergeCell ref="B37:V37"/>
    <mergeCell ref="B38:V38"/>
    <mergeCell ref="C7:U7"/>
    <mergeCell ref="C8:U8"/>
    <mergeCell ref="C9:C10"/>
    <mergeCell ref="D9:D10"/>
    <mergeCell ref="E9:E10"/>
    <mergeCell ref="F9:U9"/>
  </mergeCells>
  <conditionalFormatting sqref="U11:U27">
    <cfRule type="expression" dxfId="17" priority="5">
      <formula>$V$27&lt;&gt;""</formula>
    </cfRule>
  </conditionalFormatting>
  <conditionalFormatting sqref="C11:T11 F12:T27">
    <cfRule type="expression" dxfId="16" priority="6">
      <formula>$V$11&lt;&gt;""</formula>
    </cfRule>
  </conditionalFormatting>
  <conditionalFormatting sqref="C12:E12">
    <cfRule type="expression" dxfId="15" priority="7">
      <formula>$V$12&lt;&gt;""</formula>
    </cfRule>
  </conditionalFormatting>
  <conditionalFormatting sqref="C13:E13">
    <cfRule type="expression" dxfId="14" priority="8">
      <formula>$V$13&lt;&gt;""</formula>
    </cfRule>
  </conditionalFormatting>
  <conditionalFormatting sqref="C14:E14">
    <cfRule type="expression" dxfId="13" priority="9">
      <formula>$V$14&lt;&gt;""</formula>
    </cfRule>
  </conditionalFormatting>
  <conditionalFormatting sqref="C15:E15">
    <cfRule type="expression" dxfId="12" priority="10">
      <formula>$V$15&lt;&gt;""</formula>
    </cfRule>
  </conditionalFormatting>
  <conditionalFormatting sqref="C16:E16">
    <cfRule type="expression" dxfId="11" priority="11">
      <formula>$V$16&lt;&gt;""</formula>
    </cfRule>
  </conditionalFormatting>
  <conditionalFormatting sqref="C17:E17">
    <cfRule type="expression" dxfId="10" priority="12">
      <formula>$V$17&lt;&gt;""</formula>
    </cfRule>
  </conditionalFormatting>
  <conditionalFormatting sqref="C18:E18">
    <cfRule type="expression" dxfId="9" priority="13">
      <formula>$V$18&lt;&gt;""</formula>
    </cfRule>
  </conditionalFormatting>
  <conditionalFormatting sqref="C19:E19">
    <cfRule type="expression" dxfId="8" priority="14">
      <formula>$V$19&lt;&gt;""</formula>
    </cfRule>
  </conditionalFormatting>
  <conditionalFormatting sqref="C20:E20">
    <cfRule type="expression" dxfId="7" priority="15">
      <formula>$V$20&lt;&gt;""</formula>
    </cfRule>
  </conditionalFormatting>
  <conditionalFormatting sqref="C21:E21">
    <cfRule type="expression" dxfId="6" priority="16">
      <formula>$V$21&lt;&gt;""</formula>
    </cfRule>
  </conditionalFormatting>
  <conditionalFormatting sqref="C22:E22">
    <cfRule type="expression" dxfId="5" priority="17">
      <formula>$V$22&lt;&gt;""</formula>
    </cfRule>
  </conditionalFormatting>
  <conditionalFormatting sqref="C23:E23">
    <cfRule type="expression" dxfId="4" priority="18">
      <formula>$V$23&lt;&gt;""</formula>
    </cfRule>
  </conditionalFormatting>
  <conditionalFormatting sqref="C24:E24">
    <cfRule type="expression" dxfId="3" priority="19">
      <formula>$V$24&lt;&gt;""</formula>
    </cfRule>
  </conditionalFormatting>
  <conditionalFormatting sqref="C25:E25">
    <cfRule type="expression" dxfId="2" priority="20">
      <formula>$V$25&lt;&gt;""</formula>
    </cfRule>
  </conditionalFormatting>
  <conditionalFormatting sqref="C26:E26">
    <cfRule type="expression" dxfId="1" priority="21">
      <formula>$V$26&lt;&gt;""</formula>
    </cfRule>
  </conditionalFormatting>
  <conditionalFormatting sqref="C27:E27">
    <cfRule type="expression" dxfId="0" priority="2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174</vt:lpstr>
      <vt:lpstr>Зведена 172</vt:lpstr>
      <vt:lpstr>'Зведена 172'!Область_печати</vt:lpstr>
      <vt:lpstr>'Зведена 174'!Область_печати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2024-06-24T06:38:17Z</dcterms:modified>
  <cp:category/>
  <cp:contentStatus/>
</cp:coreProperties>
</file>