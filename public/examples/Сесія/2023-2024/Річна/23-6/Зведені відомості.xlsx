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ведена 101" sheetId="1" r:id="rId4"/>
    <sheet state="visible" name="Зведена 161" sheetId="2" r:id="rId5"/>
    <sheet state="visible" name="Лист1" sheetId="3" r:id="rId6"/>
  </sheets>
  <definedNames>
    <definedName localSheetId="0" name="Ф80">#REF!</definedName>
    <definedName name="Ф80">#REF!</definedName>
    <definedName localSheetId="1" name="Ф80">#REF!</definedName>
  </definedNames>
  <calcPr/>
  <extLst>
    <ext uri="GoogleSheetsCustomDataVersion2">
      <go:sheetsCustomData xmlns:go="http://customooxmlschemas.google.com/" r:id="rId7" roundtripDataChecksum="9fB/5YTyBS8it5JjbFWyr52c5pNZ/A9ggnSaSESdYBA="/>
    </ext>
  </extLst>
</workbook>
</file>

<file path=xl/sharedStrings.xml><?xml version="1.0" encoding="utf-8"?>
<sst xmlns="http://schemas.openxmlformats.org/spreadsheetml/2006/main" count="231" uniqueCount="79">
  <si>
    <t>ВІДОКРЕМЛЕНИЙ СТРУКТУРНИЙ ПІДРОЗДІЛ
«ФАХОВИЙ КОЛЕДЖ НАФТОГАЗОВИХ ТЕХНОЛОГІЙ,
 ІНЖЕНЕРІЇ ТА ІНФРАСТРУКТУРИ СЕРВІСУ</t>
  </si>
  <si>
    <t>ОДЕСЬКОГО НАЦІОНАЛЬНОГО ТЕХНОЛОГІЧНОГО УНІВЕРСИТЕТУ»</t>
  </si>
  <si>
    <t>ЗВЕДЕНА ВІДОМІСТЬ</t>
  </si>
  <si>
    <t>Успішності студентів спеціальності 241 «Готельно-ресторанна справа»</t>
  </si>
  <si>
    <t>За рік 2023-2024 н.р.</t>
  </si>
  <si>
    <t>Група 23-6 курс І</t>
  </si>
  <si>
    <t>Б/К</t>
  </si>
  <si>
    <t>№
п/п</t>
  </si>
  <si>
    <t>Прізвище, ім’я, по батькові</t>
  </si>
  <si>
    <t>Підсумкові оцінки дисциплін</t>
  </si>
  <si>
    <t>Астрономія
Наговська Т.С.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</si>
  <si>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</si>
  <si>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</si>
  <si>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</si>
  <si>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Сербулова Ю.А.</t>
  </si>
  <si>
    <t>Захист України
Лазар В.І.</t>
  </si>
  <si>
    <t>Іноземна мова
Сербулова Ю.А.</t>
  </si>
  <si>
    <t>Інформатика
Вівдіч М.І.</t>
  </si>
  <si>
    <t>Історія України
Левчук Т.Г.</t>
  </si>
  <si>
    <t>Математика
Нужна Н.В.</t>
  </si>
  <si>
    <t>Українська література
Антропова Л.І.</t>
  </si>
  <si>
    <t>Українська мова
Антропова Л.І.</t>
  </si>
  <si>
    <t>Фізика
Калюта Н.М.</t>
  </si>
  <si>
    <t>Фізична культура
Галеніна І.С.</t>
  </si>
  <si>
    <t>Хімія
Леонова Д.І.</t>
  </si>
  <si>
    <t>Середній бал</t>
  </si>
  <si>
    <t>К</t>
  </si>
  <si>
    <t>Бакрив Олександра Сергіївна</t>
  </si>
  <si>
    <t>Башли Владлена Анатоліївна</t>
  </si>
  <si>
    <t>Бубнова Ірина Олегівна</t>
  </si>
  <si>
    <t>Вдов Евеліна Віталіївна</t>
  </si>
  <si>
    <t>Войт Кіра Максимівна</t>
  </si>
  <si>
    <t>Іванова Анастасія Анатоліївна</t>
  </si>
  <si>
    <t>Івненко Аліна Володимирівна</t>
  </si>
  <si>
    <t>Карнаушенко Софія Романівна</t>
  </si>
  <si>
    <t>Коновальчук Назар Сергійович</t>
  </si>
  <si>
    <t>Костюченко Вікторія Костянтинівна</t>
  </si>
  <si>
    <t>Крешун Ірина Сергіївна</t>
  </si>
  <si>
    <t>Майорова Анна Романівна</t>
  </si>
  <si>
    <t>Мартишев Давид Денисович</t>
  </si>
  <si>
    <t>Мирненко Анна Олександрівна</t>
  </si>
  <si>
    <t>Мозгова Тетяна Віталіївна</t>
  </si>
  <si>
    <t>Моісеєнко Анатолій Вікторович</t>
  </si>
  <si>
    <t>Молдованенко Ангеліна Олександрівна</t>
  </si>
  <si>
    <t>Нальотова Олександра Миколаївна</t>
  </si>
  <si>
    <t>Непом`яща Єлизавета Олександрівна</t>
  </si>
  <si>
    <t>Олійник Олександра Сергіївна</t>
  </si>
  <si>
    <t>Павлов Юрій Сергійович</t>
  </si>
  <si>
    <t>Пащенко Ілля Володимирович</t>
  </si>
  <si>
    <t>Підмогильна Валерія Вадимівна</t>
  </si>
  <si>
    <t>Ракітіна Маргарита Романівна</t>
  </si>
  <si>
    <t>Рибальченко Софія Олександрівна</t>
  </si>
  <si>
    <t>Сінькова Владлена Олександрівна</t>
  </si>
  <si>
    <t>Шестопалова Олександра Віталіївна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</si>
  <si>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</si>
  <si>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</si>
  <si>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</si>
  <si>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</si>
  <si>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</si>
  <si>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</si>
  <si>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</si>
  <si>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</si>
  <si>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Юлія СЕРБУЛОВА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</si>
  <si>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</si>
  <si>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</si>
  <si>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</si>
  <si>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</si>
  <si>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242 «Туризм»</t>
  </si>
  <si>
    <t>Бочкур Олександра Василівна</t>
  </si>
  <si>
    <t>Віннічук Анастасія Миколаївна</t>
  </si>
  <si>
    <t>Грабчак Катерина Сергіївна</t>
  </si>
  <si>
    <t>Гусак Дар`я Вячеславівна</t>
  </si>
  <si>
    <t>Найден Марина Юріївна</t>
  </si>
  <si>
    <t>Рувінська Олександра Ігорівна</t>
  </si>
  <si>
    <t>Синчук Владислава Олександрівна</t>
  </si>
  <si>
    <t>Шаульська Каріна Сергіївна</t>
  </si>
  <si>
    <t>Ябурова Аделіна Олексіївна</t>
  </si>
  <si>
    <t>Математика
Земляна Т.М.</t>
  </si>
  <si>
    <t>н/а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</si>
</sst>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rgb="FF000000"/>
      <name val="Calibri"/>
      <scheme val="minor"/>
    </font>
    <font>
      <sz val="12.0"/>
      <color theme="1"/>
      <name val="Times New Roman"/>
    </font>
    <font/>
    <font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rgb="FF000000"/>
      <name val="Calibri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7">
    <border/>
    <border>
      <left/>
      <right/>
      <top/>
      <bottom/>
    </border>
    <border>
      <left/>
      <top/>
      <bottom style="dotted">
        <color rgb="FF000000"/>
      </bottom>
    </border>
    <border>
      <top/>
      <bottom style="dotted">
        <color rgb="FF000000"/>
      </bottom>
    </border>
    <border>
      <right/>
      <top/>
      <bottom style="dotted">
        <color rgb="FF000000"/>
      </bottom>
    </border>
    <border>
      <left/>
      <right style="dotted">
        <color rgb="FF000000"/>
      </right>
      <top/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/>
      <top/>
    </border>
    <border>
      <left/>
      <right style="dotted">
        <color rgb="FF000000"/>
      </right>
    </border>
    <border>
      <left/>
      <right/>
      <top/>
    </border>
    <border>
      <left style="dotted">
        <color rgb="FF000000"/>
      </left>
      <right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 style="dotted">
        <color rgb="FF000000"/>
      </right>
      <bottom/>
    </border>
    <border>
      <left style="dotted">
        <color rgb="FF000000"/>
      </left>
      <right/>
      <bottom/>
    </border>
    <border>
      <left/>
      <top style="dotted">
        <color rgb="FF000000"/>
      </top>
      <bottom/>
    </border>
    <border>
      <top style="dotted">
        <color rgb="FF000000"/>
      </top>
      <bottom/>
    </border>
    <border>
      <right/>
      <top style="dotted">
        <color rgb="FF000000"/>
      </top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" fillId="2" fontId="3" numFmtId="0" xfId="0" applyAlignment="1" applyBorder="1" applyFont="1">
      <alignment horizontal="center" vertical="center"/>
    </xf>
    <xf borderId="13" fillId="0" fontId="2" numFmtId="0" xfId="0" applyBorder="1" applyFont="1"/>
    <xf borderId="6" fillId="3" fontId="3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quotePrefix="1" borderId="14" fillId="3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horizontal="center" shrinkToFit="0" textRotation="90" vertical="bottom" wrapText="1"/>
    </xf>
    <xf borderId="19" fillId="0" fontId="1" numFmtId="0" xfId="0" applyAlignment="1" applyBorder="1" applyFont="1">
      <alignment horizontal="center" shrinkToFit="0" textRotation="90" wrapText="1"/>
    </xf>
    <xf borderId="19" fillId="3" fontId="5" numFmtId="0" xfId="0" applyAlignment="1" applyBorder="1" applyFont="1">
      <alignment horizontal="center" shrinkToFit="0" textRotation="90" vertical="center" wrapText="1"/>
    </xf>
    <xf borderId="19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left" shrinkToFit="0" vertical="center" wrapText="1"/>
    </xf>
    <xf borderId="19" fillId="3" fontId="1" numFmtId="0" xfId="0" applyAlignment="1" applyBorder="1" applyFont="1">
      <alignment horizontal="center" vertical="center"/>
    </xf>
    <xf borderId="19" fillId="4" fontId="1" numFmtId="2" xfId="0" applyAlignment="1" applyBorder="1" applyFill="1" applyFont="1" applyNumberFormat="1">
      <alignment horizontal="center" vertical="center"/>
    </xf>
    <xf borderId="19" fillId="0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19" fillId="4" fontId="1" numFmtId="164" xfId="0" applyAlignment="1" applyBorder="1" applyFont="1" applyNumberFormat="1">
      <alignment horizontal="center" vertical="center"/>
    </xf>
    <xf borderId="20" fillId="5" fontId="1" numFmtId="164" xfId="0" applyAlignment="1" applyBorder="1" applyFill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2" fontId="1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19" fillId="3" fontId="1" numFmtId="164" xfId="0" applyAlignment="1" applyBorder="1" applyFont="1" applyNumberFormat="1">
      <alignment horizontal="center" vertical="center"/>
    </xf>
    <xf borderId="0" fillId="0" fontId="6" numFmtId="0" xfId="0" applyFont="1"/>
    <xf borderId="19" fillId="0" fontId="7" numFmtId="0" xfId="0" applyAlignment="1" applyBorder="1" applyFont="1">
      <alignment horizontal="center" shrinkToFit="0" textRotation="90" wrapText="1"/>
    </xf>
  </cellXfs>
  <cellStyles count="1">
    <cellStyle xfId="0" name="Normal" builtinId="0"/>
  </cellStyles>
  <dxfs count="1">
    <dxf>
      <font/>
      <fill>
        <patternFill patternType="solid">
          <fgColor rgb="FF82DCFF"/>
          <bgColor rgb="FF82DC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5" t="s">
        <v>10</v>
      </c>
      <c r="G10" s="26" t="s">
        <v>11</v>
      </c>
      <c r="H10" s="26" t="s">
        <v>12</v>
      </c>
      <c r="I10" s="26" t="s">
        <v>13</v>
      </c>
      <c r="J10" s="26" t="s">
        <v>14</v>
      </c>
      <c r="K10" s="26" t="s">
        <v>15</v>
      </c>
      <c r="L10" s="26" t="s">
        <v>16</v>
      </c>
      <c r="M10" s="26" t="s">
        <v>17</v>
      </c>
      <c r="N10" s="26" t="s">
        <v>18</v>
      </c>
      <c r="O10" s="26" t="s">
        <v>19</v>
      </c>
      <c r="P10" s="26" t="s">
        <v>20</v>
      </c>
      <c r="Q10" s="26" t="s">
        <v>21</v>
      </c>
      <c r="R10" s="26" t="s">
        <v>22</v>
      </c>
      <c r="S10" s="26" t="s">
        <v>23</v>
      </c>
      <c r="T10" s="26" t="s">
        <v>24</v>
      </c>
      <c r="U10" s="27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8" t="s">
        <v>26</v>
      </c>
      <c r="D11" s="28">
        <v>1.0</v>
      </c>
      <c r="E11" s="29" t="s">
        <v>27</v>
      </c>
      <c r="F11" s="30">
        <f>'Лист1'!C3</f>
        <v>9</v>
      </c>
      <c r="G11" s="30">
        <f>'Лист1'!D3</f>
        <v>8</v>
      </c>
      <c r="H11" s="30">
        <f>'Лист1'!E3</f>
        <v>8</v>
      </c>
      <c r="I11" s="30">
        <f>'Лист1'!F3</f>
        <v>10</v>
      </c>
      <c r="J11" s="30">
        <f>'Лист1'!G3</f>
        <v>10</v>
      </c>
      <c r="K11" s="30">
        <f>'Лист1'!H3</f>
        <v>8</v>
      </c>
      <c r="L11" s="30">
        <f>'Лист1'!I3</f>
        <v>7</v>
      </c>
      <c r="M11" s="30">
        <f>'Лист1'!J3</f>
        <v>9</v>
      </c>
      <c r="N11" s="30">
        <f>'Лист1'!K3</f>
        <v>8</v>
      </c>
      <c r="O11" s="30">
        <f>'Лист1'!L3</f>
        <v>7</v>
      </c>
      <c r="P11" s="30">
        <f>'Лист1'!M3</f>
        <v>7</v>
      </c>
      <c r="Q11" s="30">
        <f>'Лист1'!N3</f>
        <v>7</v>
      </c>
      <c r="R11" s="30">
        <f>'Лист1'!O3</f>
        <v>7</v>
      </c>
      <c r="S11" s="30">
        <f>'Лист1'!P3</f>
        <v>8</v>
      </c>
      <c r="T11" s="30">
        <f>'Лист1'!Q3</f>
        <v>7</v>
      </c>
      <c r="U11" s="31">
        <f t="shared" ref="U11:U37" si="1">IF(COUNTIF(F11:T11,"=*")&gt;0,"-",IF(COUNTIF(F11:T11,"&lt;4")&gt;0,"-",(IFERROR(AVERAGE(F11:T11),""))))</f>
        <v>8</v>
      </c>
      <c r="V11" s="15"/>
      <c r="W11" s="13"/>
      <c r="X11" s="1"/>
      <c r="Y11" s="1"/>
      <c r="Z11" s="1"/>
    </row>
    <row r="12" ht="15.0" customHeight="1">
      <c r="A12" s="10"/>
      <c r="B12" s="15"/>
      <c r="C12" s="28" t="s">
        <v>26</v>
      </c>
      <c r="D12" s="28">
        <v>2.0</v>
      </c>
      <c r="E12" s="29" t="s">
        <v>28</v>
      </c>
      <c r="F12" s="30">
        <f>'Лист1'!C4</f>
        <v>10</v>
      </c>
      <c r="G12" s="30">
        <f>'Лист1'!D4</f>
        <v>8</v>
      </c>
      <c r="H12" s="30">
        <f>'Лист1'!E4</f>
        <v>10</v>
      </c>
      <c r="I12" s="30">
        <f>'Лист1'!F4</f>
        <v>10</v>
      </c>
      <c r="J12" s="30">
        <f>'Лист1'!G4</f>
        <v>10</v>
      </c>
      <c r="K12" s="30">
        <f>'Лист1'!H4</f>
        <v>9</v>
      </c>
      <c r="L12" s="30">
        <f>'Лист1'!I4</f>
        <v>10</v>
      </c>
      <c r="M12" s="30">
        <f>'Лист1'!J4</f>
        <v>7</v>
      </c>
      <c r="N12" s="30">
        <f>'Лист1'!K4</f>
        <v>8</v>
      </c>
      <c r="O12" s="30">
        <f>'Лист1'!L4</f>
        <v>9</v>
      </c>
      <c r="P12" s="30">
        <f>'Лист1'!M4</f>
        <v>9</v>
      </c>
      <c r="Q12" s="30">
        <f>'Лист1'!N4</f>
        <v>9</v>
      </c>
      <c r="R12" s="30">
        <f>'Лист1'!O4</f>
        <v>7</v>
      </c>
      <c r="S12" s="30">
        <f>'Лист1'!P4</f>
        <v>10</v>
      </c>
      <c r="T12" s="30">
        <f>'Лист1'!Q4</f>
        <v>7</v>
      </c>
      <c r="U12" s="31">
        <f t="shared" si="1"/>
        <v>8.866666667</v>
      </c>
      <c r="V12" s="15"/>
      <c r="W12" s="13"/>
      <c r="X12" s="1"/>
      <c r="Y12" s="1"/>
      <c r="Z12" s="1"/>
    </row>
    <row r="13" ht="15.0" customHeight="1">
      <c r="A13" s="10"/>
      <c r="B13" s="15"/>
      <c r="C13" s="28" t="s">
        <v>26</v>
      </c>
      <c r="D13" s="28">
        <v>3.0</v>
      </c>
      <c r="E13" s="29" t="s">
        <v>29</v>
      </c>
      <c r="F13" s="30">
        <f>'Лист1'!C6</f>
        <v>7</v>
      </c>
      <c r="G13" s="30">
        <f>'Лист1'!D6</f>
        <v>6</v>
      </c>
      <c r="H13" s="30">
        <f>'Лист1'!E6</f>
        <v>9</v>
      </c>
      <c r="I13" s="30">
        <f>'Лист1'!F6</f>
        <v>8</v>
      </c>
      <c r="J13" s="30">
        <f>'Лист1'!G6</f>
        <v>11</v>
      </c>
      <c r="K13" s="30" t="str">
        <f>'Лист1'!H6</f>
        <v>н/а</v>
      </c>
      <c r="L13" s="30">
        <f>'Лист1'!I6</f>
        <v>10</v>
      </c>
      <c r="M13" s="30">
        <f>'Лист1'!J6</f>
        <v>6</v>
      </c>
      <c r="N13" s="30">
        <f>'Лист1'!K6</f>
        <v>8</v>
      </c>
      <c r="O13" s="30">
        <f>'Лист1'!L6</f>
        <v>5</v>
      </c>
      <c r="P13" s="30">
        <f>'Лист1'!M6</f>
        <v>8</v>
      </c>
      <c r="Q13" s="30">
        <f>'Лист1'!N6</f>
        <v>9</v>
      </c>
      <c r="R13" s="30">
        <f>'Лист1'!O6</f>
        <v>4</v>
      </c>
      <c r="S13" s="30">
        <f>'Лист1'!P6</f>
        <v>4</v>
      </c>
      <c r="T13" s="30">
        <f>'Лист1'!Q5</f>
        <v>9</v>
      </c>
      <c r="U13" s="31" t="str">
        <f t="shared" si="1"/>
        <v>-</v>
      </c>
      <c r="V13" s="15"/>
      <c r="W13" s="13"/>
      <c r="X13" s="1"/>
      <c r="Y13" s="1"/>
      <c r="Z13" s="1"/>
    </row>
    <row r="14" ht="15.0" customHeight="1">
      <c r="A14" s="10"/>
      <c r="B14" s="15"/>
      <c r="C14" s="28" t="s">
        <v>26</v>
      </c>
      <c r="D14" s="28">
        <v>4.0</v>
      </c>
      <c r="E14" s="29" t="s">
        <v>30</v>
      </c>
      <c r="F14" s="30">
        <f>'Лист1'!C7</f>
        <v>8</v>
      </c>
      <c r="G14" s="30">
        <f>'Лист1'!D7</f>
        <v>5</v>
      </c>
      <c r="H14" s="30">
        <f>'Лист1'!E7</f>
        <v>9</v>
      </c>
      <c r="I14" s="30">
        <f>'Лист1'!F7</f>
        <v>9</v>
      </c>
      <c r="J14" s="30">
        <f>'Лист1'!G7</f>
        <v>9</v>
      </c>
      <c r="K14" s="30" t="str">
        <f>'Лист1'!H7</f>
        <v>н/а</v>
      </c>
      <c r="L14" s="30">
        <f>'Лист1'!I7</f>
        <v>7</v>
      </c>
      <c r="M14" s="30">
        <f>'Лист1'!J7</f>
        <v>4</v>
      </c>
      <c r="N14" s="30">
        <f>'Лист1'!K7</f>
        <v>5</v>
      </c>
      <c r="O14" s="30">
        <f>'Лист1'!L7</f>
        <v>4</v>
      </c>
      <c r="P14" s="30">
        <f>'Лист1'!M7</f>
        <v>6</v>
      </c>
      <c r="Q14" s="30">
        <f>'Лист1'!N7</f>
        <v>5</v>
      </c>
      <c r="R14" s="30" t="str">
        <f>'Лист1'!O7</f>
        <v>н/а</v>
      </c>
      <c r="S14" s="30">
        <f>'Лист1'!P7</f>
        <v>4</v>
      </c>
      <c r="T14" s="30">
        <f>'Лист1'!Q6</f>
        <v>6</v>
      </c>
      <c r="U14" s="31" t="str">
        <f t="shared" si="1"/>
        <v>-</v>
      </c>
      <c r="V14" s="15"/>
      <c r="W14" s="13"/>
      <c r="X14" s="1"/>
      <c r="Y14" s="1"/>
      <c r="Z14" s="1"/>
    </row>
    <row r="15" ht="15.0" customHeight="1">
      <c r="A15" s="10"/>
      <c r="B15" s="15"/>
      <c r="C15" s="28" t="s">
        <v>26</v>
      </c>
      <c r="D15" s="28">
        <v>5.0</v>
      </c>
      <c r="E15" s="29" t="s">
        <v>31</v>
      </c>
      <c r="F15" s="30">
        <f>'Лист1'!C9</f>
        <v>10</v>
      </c>
      <c r="G15" s="30">
        <f>'Лист1'!D9</f>
        <v>10</v>
      </c>
      <c r="H15" s="30">
        <f>'Лист1'!E9</f>
        <v>10</v>
      </c>
      <c r="I15" s="30">
        <f>'Лист1'!F9</f>
        <v>10</v>
      </c>
      <c r="J15" s="30">
        <f>'Лист1'!G9</f>
        <v>10</v>
      </c>
      <c r="K15" s="30">
        <f>'Лист1'!H9</f>
        <v>11</v>
      </c>
      <c r="L15" s="30">
        <f>'Лист1'!I9</f>
        <v>11</v>
      </c>
      <c r="M15" s="30">
        <f>'Лист1'!J9</f>
        <v>10</v>
      </c>
      <c r="N15" s="30">
        <f>'Лист1'!K9</f>
        <v>9</v>
      </c>
      <c r="O15" s="30">
        <f>'Лист1'!L9</f>
        <v>10</v>
      </c>
      <c r="P15" s="30">
        <f>'Лист1'!M9</f>
        <v>10</v>
      </c>
      <c r="Q15" s="30">
        <f>'Лист1'!N9</f>
        <v>10</v>
      </c>
      <c r="R15" s="30">
        <f>'Лист1'!O9</f>
        <v>10</v>
      </c>
      <c r="S15" s="30">
        <f>'Лист1'!P9</f>
        <v>11</v>
      </c>
      <c r="T15" s="30">
        <f>'Лист1'!Q7</f>
        <v>6</v>
      </c>
      <c r="U15" s="31">
        <f t="shared" si="1"/>
        <v>9.866666667</v>
      </c>
      <c r="V15" s="15"/>
      <c r="W15" s="13"/>
      <c r="X15" s="1"/>
      <c r="Y15" s="1"/>
      <c r="Z15" s="1"/>
    </row>
    <row r="16" ht="15.0" customHeight="1">
      <c r="A16" s="10"/>
      <c r="B16" s="15"/>
      <c r="C16" s="28" t="s">
        <v>26</v>
      </c>
      <c r="D16" s="28">
        <v>6.0</v>
      </c>
      <c r="E16" s="29" t="s">
        <v>32</v>
      </c>
      <c r="F16" s="30">
        <f>'Лист1'!C12</f>
        <v>9</v>
      </c>
      <c r="G16" s="30">
        <f>'Лист1'!D12</f>
        <v>9</v>
      </c>
      <c r="H16" s="30">
        <f>'Лист1'!E12</f>
        <v>10</v>
      </c>
      <c r="I16" s="30">
        <f>'Лист1'!F12</f>
        <v>9</v>
      </c>
      <c r="J16" s="30">
        <f>'Лист1'!G12</f>
        <v>11</v>
      </c>
      <c r="K16" s="30" t="str">
        <f>'Лист1'!H12</f>
        <v>н/а</v>
      </c>
      <c r="L16" s="30">
        <f>'Лист1'!I12</f>
        <v>10</v>
      </c>
      <c r="M16" s="30">
        <f>'Лист1'!J12</f>
        <v>7</v>
      </c>
      <c r="N16" s="30">
        <f>'Лист1'!K12</f>
        <v>8</v>
      </c>
      <c r="O16" s="30">
        <f>'Лист1'!L12</f>
        <v>6</v>
      </c>
      <c r="P16" s="30">
        <f>'Лист1'!M12</f>
        <v>8</v>
      </c>
      <c r="Q16" s="30">
        <f>'Лист1'!N12</f>
        <v>7</v>
      </c>
      <c r="R16" s="30">
        <f>'Лист1'!O12</f>
        <v>6</v>
      </c>
      <c r="S16" s="30">
        <f>'Лист1'!P12</f>
        <v>4</v>
      </c>
      <c r="T16" s="30">
        <f>'Лист1'!Q8</f>
        <v>5</v>
      </c>
      <c r="U16" s="31" t="str">
        <f t="shared" si="1"/>
        <v>-</v>
      </c>
      <c r="V16" s="15"/>
      <c r="W16" s="13"/>
      <c r="X16" s="1"/>
      <c r="Y16" s="1"/>
      <c r="Z16" s="1"/>
    </row>
    <row r="17" ht="15.0" customHeight="1">
      <c r="A17" s="10"/>
      <c r="B17" s="15"/>
      <c r="C17" s="28" t="s">
        <v>26</v>
      </c>
      <c r="D17" s="28">
        <v>7.0</v>
      </c>
      <c r="E17" s="32" t="s">
        <v>33</v>
      </c>
      <c r="F17" s="30">
        <f>'Лист1'!C13</f>
        <v>7</v>
      </c>
      <c r="G17" s="30">
        <f>'Лист1'!D13</f>
        <v>5</v>
      </c>
      <c r="H17" s="30">
        <f>'Лист1'!E13</f>
        <v>6</v>
      </c>
      <c r="I17" s="30">
        <f>'Лист1'!F13</f>
        <v>6</v>
      </c>
      <c r="J17" s="30">
        <f>'Лист1'!G13</f>
        <v>5</v>
      </c>
      <c r="K17" s="30">
        <f>'Лист1'!H13</f>
        <v>4</v>
      </c>
      <c r="L17" s="30">
        <f>'Лист1'!I13</f>
        <v>5</v>
      </c>
      <c r="M17" s="30" t="str">
        <f>'Лист1'!J13</f>
        <v>н/а</v>
      </c>
      <c r="N17" s="30">
        <f>'Лист1'!K13</f>
        <v>5</v>
      </c>
      <c r="O17" s="30" t="str">
        <f>'Лист1'!L13</f>
        <v>н/а</v>
      </c>
      <c r="P17" s="30">
        <f>'Лист1'!M13</f>
        <v>6</v>
      </c>
      <c r="Q17" s="30">
        <f>'Лист1'!N13</f>
        <v>6</v>
      </c>
      <c r="R17" s="30">
        <f>'Лист1'!O13</f>
        <v>4</v>
      </c>
      <c r="S17" s="30">
        <f>'Лист1'!P13</f>
        <v>4</v>
      </c>
      <c r="T17" s="30">
        <f>'Лист1'!Q9</f>
        <v>9</v>
      </c>
      <c r="U17" s="31" t="str">
        <f t="shared" si="1"/>
        <v>-</v>
      </c>
      <c r="V17" s="15"/>
      <c r="W17" s="13"/>
      <c r="X17" s="1"/>
      <c r="Y17" s="1"/>
      <c r="Z17" s="1"/>
    </row>
    <row r="18" ht="15.0" customHeight="1">
      <c r="A18" s="10"/>
      <c r="B18" s="15"/>
      <c r="C18" s="28" t="s">
        <v>26</v>
      </c>
      <c r="D18" s="28">
        <v>8.0</v>
      </c>
      <c r="E18" s="29" t="s">
        <v>34</v>
      </c>
      <c r="F18" s="30">
        <f>'Лист1'!C14</f>
        <v>9</v>
      </c>
      <c r="G18" s="30">
        <f>'Лист1'!D14</f>
        <v>7</v>
      </c>
      <c r="H18" s="30">
        <f>'Лист1'!E14</f>
        <v>8</v>
      </c>
      <c r="I18" s="30">
        <f>'Лист1'!F14</f>
        <v>10</v>
      </c>
      <c r="J18" s="30">
        <f>'Лист1'!G14</f>
        <v>10</v>
      </c>
      <c r="K18" s="30">
        <f>'Лист1'!H14</f>
        <v>8</v>
      </c>
      <c r="L18" s="30">
        <f>'Лист1'!I14</f>
        <v>10</v>
      </c>
      <c r="M18" s="30">
        <f>'Лист1'!J14</f>
        <v>5</v>
      </c>
      <c r="N18" s="30">
        <f>'Лист1'!K14</f>
        <v>6</v>
      </c>
      <c r="O18" s="30">
        <f>'Лист1'!L14</f>
        <v>4</v>
      </c>
      <c r="P18" s="30">
        <f>'Лист1'!M14</f>
        <v>6</v>
      </c>
      <c r="Q18" s="30">
        <f>'Лист1'!N14</f>
        <v>6</v>
      </c>
      <c r="R18" s="30">
        <f>'Лист1'!O14</f>
        <v>4</v>
      </c>
      <c r="S18" s="30">
        <f>'Лист1'!P14</f>
        <v>10</v>
      </c>
      <c r="T18" s="30">
        <f>'Лист1'!Q10</f>
        <v>5</v>
      </c>
      <c r="U18" s="31">
        <f t="shared" si="1"/>
        <v>7.2</v>
      </c>
      <c r="V18" s="15"/>
      <c r="W18" s="13"/>
      <c r="X18" s="1"/>
      <c r="Y18" s="1"/>
      <c r="Z18" s="1"/>
    </row>
    <row r="19" ht="15.0" customHeight="1">
      <c r="A19" s="10"/>
      <c r="B19" s="15"/>
      <c r="C19" s="28" t="s">
        <v>26</v>
      </c>
      <c r="D19" s="28">
        <v>9.0</v>
      </c>
      <c r="E19" s="29" t="s">
        <v>35</v>
      </c>
      <c r="F19" s="30">
        <f>'Лист1'!C15</f>
        <v>7</v>
      </c>
      <c r="G19" s="30">
        <f>'Лист1'!D15</f>
        <v>7</v>
      </c>
      <c r="H19" s="30">
        <f>'Лист1'!E15</f>
        <v>8</v>
      </c>
      <c r="I19" s="30">
        <f>'Лист1'!F15</f>
        <v>8</v>
      </c>
      <c r="J19" s="30">
        <f>'Лист1'!G15</f>
        <v>7</v>
      </c>
      <c r="K19" s="30" t="str">
        <f>'Лист1'!H15</f>
        <v>н/а</v>
      </c>
      <c r="L19" s="30">
        <f>'Лист1'!I15</f>
        <v>7</v>
      </c>
      <c r="M19" s="30">
        <f>'Лист1'!J15</f>
        <v>7</v>
      </c>
      <c r="N19" s="30">
        <f>'Лист1'!K15</f>
        <v>8</v>
      </c>
      <c r="O19" s="30">
        <f>'Лист1'!L15</f>
        <v>5</v>
      </c>
      <c r="P19" s="30">
        <f>'Лист1'!M15</f>
        <v>8</v>
      </c>
      <c r="Q19" s="30">
        <f>'Лист1'!N15</f>
        <v>8</v>
      </c>
      <c r="R19" s="30">
        <f>'Лист1'!O15</f>
        <v>4</v>
      </c>
      <c r="S19" s="30">
        <f>'Лист1'!P15</f>
        <v>5</v>
      </c>
      <c r="T19" s="30">
        <f>'Лист1'!Q11</f>
        <v>8</v>
      </c>
      <c r="U19" s="31" t="str">
        <f t="shared" si="1"/>
        <v>-</v>
      </c>
      <c r="V19" s="15"/>
      <c r="W19" s="13"/>
      <c r="X19" s="1"/>
      <c r="Y19" s="1"/>
      <c r="Z19" s="1"/>
    </row>
    <row r="20" ht="15.0" customHeight="1">
      <c r="A20" s="10"/>
      <c r="B20" s="15"/>
      <c r="C20" s="28" t="s">
        <v>26</v>
      </c>
      <c r="D20" s="28">
        <v>10.0</v>
      </c>
      <c r="E20" s="29" t="s">
        <v>36</v>
      </c>
      <c r="F20" s="30">
        <f>'Лист1'!C16</f>
        <v>8</v>
      </c>
      <c r="G20" s="30">
        <f>'Лист1'!D16</f>
        <v>8</v>
      </c>
      <c r="H20" s="30">
        <f>'Лист1'!E16</f>
        <v>8</v>
      </c>
      <c r="I20" s="30">
        <f>'Лист1'!F16</f>
        <v>6</v>
      </c>
      <c r="J20" s="30">
        <f>'Лист1'!G16</f>
        <v>9</v>
      </c>
      <c r="K20" s="30" t="str">
        <f>'Лист1'!H16</f>
        <v>н/а</v>
      </c>
      <c r="L20" s="30">
        <f>'Лист1'!I16</f>
        <v>7</v>
      </c>
      <c r="M20" s="30">
        <f>'Лист1'!J16</f>
        <v>7</v>
      </c>
      <c r="N20" s="30">
        <f>'Лист1'!K16</f>
        <v>5</v>
      </c>
      <c r="O20" s="30">
        <f>'Лист1'!L16</f>
        <v>5</v>
      </c>
      <c r="P20" s="30">
        <f>'Лист1'!M16</f>
        <v>7</v>
      </c>
      <c r="Q20" s="30">
        <f>'Лист1'!N16</f>
        <v>6</v>
      </c>
      <c r="R20" s="30">
        <f>'Лист1'!O16</f>
        <v>5</v>
      </c>
      <c r="S20" s="30">
        <f>'Лист1'!P16</f>
        <v>4</v>
      </c>
      <c r="T20" s="30">
        <f>'Лист1'!Q12</f>
        <v>6</v>
      </c>
      <c r="U20" s="31" t="str">
        <f t="shared" si="1"/>
        <v>-</v>
      </c>
      <c r="V20" s="15"/>
      <c r="W20" s="13"/>
      <c r="X20" s="1"/>
      <c r="Y20" s="1"/>
      <c r="Z20" s="1"/>
    </row>
    <row r="21" ht="15.0" customHeight="1">
      <c r="A21" s="10"/>
      <c r="B21" s="15"/>
      <c r="C21" s="28" t="s">
        <v>26</v>
      </c>
      <c r="D21" s="28">
        <v>11.0</v>
      </c>
      <c r="E21" s="29" t="s">
        <v>37</v>
      </c>
      <c r="F21" s="30">
        <f>'Лист1'!C17</f>
        <v>10</v>
      </c>
      <c r="G21" s="30">
        <f>'Лист1'!D17</f>
        <v>10</v>
      </c>
      <c r="H21" s="30">
        <f>'Лист1'!E17</f>
        <v>10</v>
      </c>
      <c r="I21" s="30">
        <f>'Лист1'!F17</f>
        <v>10</v>
      </c>
      <c r="J21" s="30">
        <f>'Лист1'!G17</f>
        <v>11</v>
      </c>
      <c r="K21" s="30">
        <f>'Лист1'!H17</f>
        <v>10</v>
      </c>
      <c r="L21" s="30">
        <f>'Лист1'!I17</f>
        <v>11</v>
      </c>
      <c r="M21" s="30">
        <f>'Лист1'!J17</f>
        <v>7</v>
      </c>
      <c r="N21" s="30">
        <f>'Лист1'!K17</f>
        <v>6</v>
      </c>
      <c r="O21" s="30">
        <f>'Лист1'!L17</f>
        <v>9</v>
      </c>
      <c r="P21" s="30">
        <f>'Лист1'!M17</f>
        <v>9</v>
      </c>
      <c r="Q21" s="30">
        <f>'Лист1'!N17</f>
        <v>9</v>
      </c>
      <c r="R21" s="30">
        <f>'Лист1'!O17</f>
        <v>9</v>
      </c>
      <c r="S21" s="30">
        <f>'Лист1'!P17</f>
        <v>10</v>
      </c>
      <c r="T21" s="30">
        <f>'Лист1'!Q13</f>
        <v>5</v>
      </c>
      <c r="U21" s="31">
        <f t="shared" si="1"/>
        <v>9.066666667</v>
      </c>
      <c r="V21" s="15"/>
      <c r="W21" s="13"/>
      <c r="X21" s="1"/>
      <c r="Y21" s="1"/>
      <c r="Z21" s="1"/>
    </row>
    <row r="22" ht="15.0" customHeight="1">
      <c r="A22" s="10"/>
      <c r="B22" s="15"/>
      <c r="C22" s="28" t="s">
        <v>26</v>
      </c>
      <c r="D22" s="28">
        <v>12.0</v>
      </c>
      <c r="E22" s="29" t="s">
        <v>38</v>
      </c>
      <c r="F22" s="30">
        <f>'Лист1'!C18</f>
        <v>10</v>
      </c>
      <c r="G22" s="30">
        <f>'Лист1'!D18</f>
        <v>8</v>
      </c>
      <c r="H22" s="30">
        <f>'Лист1'!E18</f>
        <v>9</v>
      </c>
      <c r="I22" s="30">
        <f>'Лист1'!F18</f>
        <v>9</v>
      </c>
      <c r="J22" s="30">
        <f>'Лист1'!G18</f>
        <v>10</v>
      </c>
      <c r="K22" s="30">
        <f>'Лист1'!H18</f>
        <v>8</v>
      </c>
      <c r="L22" s="30">
        <f>'Лист1'!I18</f>
        <v>6</v>
      </c>
      <c r="M22" s="30">
        <f>'Лист1'!J18</f>
        <v>6</v>
      </c>
      <c r="N22" s="30">
        <f>'Лист1'!K18</f>
        <v>8</v>
      </c>
      <c r="O22" s="30">
        <f>'Лист1'!L18</f>
        <v>5</v>
      </c>
      <c r="P22" s="30">
        <f>'Лист1'!M18</f>
        <v>6</v>
      </c>
      <c r="Q22" s="30">
        <f>'Лист1'!N18</f>
        <v>8</v>
      </c>
      <c r="R22" s="30">
        <f>'Лист1'!O18</f>
        <v>6</v>
      </c>
      <c r="S22" s="30">
        <f>'Лист1'!P18</f>
        <v>8</v>
      </c>
      <c r="T22" s="30">
        <f>'Лист1'!Q14</f>
        <v>5</v>
      </c>
      <c r="U22" s="31">
        <f t="shared" si="1"/>
        <v>7.466666667</v>
      </c>
      <c r="V22" s="15"/>
      <c r="W22" s="13"/>
      <c r="X22" s="1"/>
      <c r="Y22" s="1"/>
      <c r="Z22" s="1"/>
    </row>
    <row r="23" ht="15.0" customHeight="1">
      <c r="A23" s="10"/>
      <c r="B23" s="15"/>
      <c r="C23" s="28" t="s">
        <v>26</v>
      </c>
      <c r="D23" s="28">
        <v>13.0</v>
      </c>
      <c r="E23" s="29" t="s">
        <v>39</v>
      </c>
      <c r="F23" s="30">
        <f>'Лист1'!C19</f>
        <v>9</v>
      </c>
      <c r="G23" s="30">
        <f>'Лист1'!D19</f>
        <v>9</v>
      </c>
      <c r="H23" s="30">
        <f>'Лист1'!E19</f>
        <v>8</v>
      </c>
      <c r="I23" s="30">
        <f>'Лист1'!F19</f>
        <v>9</v>
      </c>
      <c r="J23" s="30">
        <f>'Лист1'!G19</f>
        <v>9</v>
      </c>
      <c r="K23" s="30">
        <f>'Лист1'!H19</f>
        <v>8</v>
      </c>
      <c r="L23" s="30">
        <f>'Лист1'!I19</f>
        <v>9</v>
      </c>
      <c r="M23" s="30">
        <f>'Лист1'!J19</f>
        <v>7</v>
      </c>
      <c r="N23" s="30">
        <f>'Лист1'!K19</f>
        <v>8</v>
      </c>
      <c r="O23" s="30">
        <f>'Лист1'!L19</f>
        <v>7</v>
      </c>
      <c r="P23" s="30">
        <f>'Лист1'!M19</f>
        <v>9</v>
      </c>
      <c r="Q23" s="30">
        <f>'Лист1'!N19</f>
        <v>8</v>
      </c>
      <c r="R23" s="30">
        <f>'Лист1'!O19</f>
        <v>6</v>
      </c>
      <c r="S23" s="30">
        <f>'Лист1'!P19</f>
        <v>9</v>
      </c>
      <c r="T23" s="30">
        <f>'Лист1'!Q15</f>
        <v>6</v>
      </c>
      <c r="U23" s="31">
        <f t="shared" si="1"/>
        <v>8.066666667</v>
      </c>
      <c r="V23" s="15"/>
      <c r="W23" s="13"/>
      <c r="X23" s="1"/>
      <c r="Y23" s="1"/>
      <c r="Z23" s="1"/>
    </row>
    <row r="24" ht="15.0" customHeight="1">
      <c r="A24" s="10"/>
      <c r="B24" s="15"/>
      <c r="C24" s="28" t="s">
        <v>26</v>
      </c>
      <c r="D24" s="28">
        <v>14.0</v>
      </c>
      <c r="E24" s="29" t="s">
        <v>40</v>
      </c>
      <c r="F24" s="30">
        <f>'Лист1'!C20</f>
        <v>9</v>
      </c>
      <c r="G24" s="30">
        <f>'Лист1'!D20</f>
        <v>7</v>
      </c>
      <c r="H24" s="30">
        <f>'Лист1'!E20</f>
        <v>8</v>
      </c>
      <c r="I24" s="30">
        <f>'Лист1'!F20</f>
        <v>9</v>
      </c>
      <c r="J24" s="30">
        <f>'Лист1'!G20</f>
        <v>10</v>
      </c>
      <c r="K24" s="30">
        <f>'Лист1'!H20</f>
        <v>6</v>
      </c>
      <c r="L24" s="30">
        <f>'Лист1'!I20</f>
        <v>9</v>
      </c>
      <c r="M24" s="30">
        <f>'Лист1'!J20</f>
        <v>9</v>
      </c>
      <c r="N24" s="30">
        <f>'Лист1'!K20</f>
        <v>7</v>
      </c>
      <c r="O24" s="30">
        <f>'Лист1'!L20</f>
        <v>7</v>
      </c>
      <c r="P24" s="30">
        <f>'Лист1'!M20</f>
        <v>8</v>
      </c>
      <c r="Q24" s="30">
        <f>'Лист1'!N20</f>
        <v>9</v>
      </c>
      <c r="R24" s="30">
        <f>'Лист1'!O20</f>
        <v>6</v>
      </c>
      <c r="S24" s="30">
        <f>'Лист1'!P20</f>
        <v>7</v>
      </c>
      <c r="T24" s="30">
        <f>'Лист1'!Q16</f>
        <v>5</v>
      </c>
      <c r="U24" s="31">
        <f t="shared" si="1"/>
        <v>7.733333333</v>
      </c>
      <c r="V24" s="15"/>
      <c r="W24" s="13"/>
      <c r="X24" s="1"/>
      <c r="Y24" s="1"/>
      <c r="Z24" s="1"/>
    </row>
    <row r="25" ht="15.0" customHeight="1">
      <c r="A25" s="10"/>
      <c r="B25" s="15"/>
      <c r="C25" s="28" t="s">
        <v>26</v>
      </c>
      <c r="D25" s="28">
        <v>15.0</v>
      </c>
      <c r="E25" s="29" t="s">
        <v>41</v>
      </c>
      <c r="F25" s="30">
        <f>'Лист1'!C21</f>
        <v>7</v>
      </c>
      <c r="G25" s="30">
        <f>'Лист1'!D21</f>
        <v>7</v>
      </c>
      <c r="H25" s="30">
        <f>'Лист1'!E21</f>
        <v>6</v>
      </c>
      <c r="I25" s="30">
        <f>'Лист1'!F21</f>
        <v>8</v>
      </c>
      <c r="J25" s="30">
        <f>'Лист1'!G21</f>
        <v>9</v>
      </c>
      <c r="K25" s="30" t="str">
        <f>'Лист1'!H21</f>
        <v>н/а</v>
      </c>
      <c r="L25" s="30">
        <f>'Лист1'!I21</f>
        <v>5</v>
      </c>
      <c r="M25" s="30" t="str">
        <f>'Лист1'!J21</f>
        <v>н/а</v>
      </c>
      <c r="N25" s="30" t="str">
        <f>'Лист1'!K21</f>
        <v>н/а</v>
      </c>
      <c r="O25" s="30">
        <f>'Лист1'!L21</f>
        <v>4</v>
      </c>
      <c r="P25" s="30">
        <f>'Лист1'!M21</f>
        <v>5</v>
      </c>
      <c r="Q25" s="30">
        <f>'Лист1'!N21</f>
        <v>7</v>
      </c>
      <c r="R25" s="30" t="str">
        <f>'Лист1'!O21</f>
        <v>н/а</v>
      </c>
      <c r="S25" s="30">
        <f>'Лист1'!P21</f>
        <v>5</v>
      </c>
      <c r="T25" s="30">
        <f>'Лист1'!Q17</f>
        <v>9</v>
      </c>
      <c r="U25" s="31" t="str">
        <f t="shared" si="1"/>
        <v>-</v>
      </c>
      <c r="V25" s="15"/>
      <c r="W25" s="13"/>
      <c r="X25" s="1"/>
      <c r="Y25" s="1"/>
      <c r="Z25" s="1"/>
    </row>
    <row r="26" ht="15.0" customHeight="1">
      <c r="A26" s="10"/>
      <c r="B26" s="15"/>
      <c r="C26" s="28" t="s">
        <v>26</v>
      </c>
      <c r="D26" s="28">
        <v>16.0</v>
      </c>
      <c r="E26" s="29" t="s">
        <v>42</v>
      </c>
      <c r="F26" s="30">
        <f>'Лист1'!C22</f>
        <v>9</v>
      </c>
      <c r="G26" s="30">
        <f>'Лист1'!D22</f>
        <v>8</v>
      </c>
      <c r="H26" s="30">
        <f>'Лист1'!E22</f>
        <v>10</v>
      </c>
      <c r="I26" s="30">
        <f>'Лист1'!F22</f>
        <v>9</v>
      </c>
      <c r="J26" s="30">
        <f>'Лист1'!G22</f>
        <v>9</v>
      </c>
      <c r="K26" s="30">
        <f>'Лист1'!H22</f>
        <v>11</v>
      </c>
      <c r="L26" s="30">
        <f>'Лист1'!I22</f>
        <v>8</v>
      </c>
      <c r="M26" s="30">
        <f>'Лист1'!J22</f>
        <v>6</v>
      </c>
      <c r="N26" s="30">
        <f>'Лист1'!K22</f>
        <v>8</v>
      </c>
      <c r="O26" s="30">
        <f>'Лист1'!L22</f>
        <v>4</v>
      </c>
      <c r="P26" s="30">
        <f>'Лист1'!M22</f>
        <v>8</v>
      </c>
      <c r="Q26" s="30">
        <f>'Лист1'!N22</f>
        <v>8</v>
      </c>
      <c r="R26" s="30">
        <f>'Лист1'!O22</f>
        <v>5</v>
      </c>
      <c r="S26" s="30">
        <f>'Лист1'!P22</f>
        <v>10</v>
      </c>
      <c r="T26" s="30">
        <f>'Лист1'!Q18</f>
        <v>7</v>
      </c>
      <c r="U26" s="31">
        <f t="shared" si="1"/>
        <v>8</v>
      </c>
      <c r="V26" s="15"/>
      <c r="W26" s="13"/>
      <c r="X26" s="1"/>
      <c r="Y26" s="1"/>
      <c r="Z26" s="1"/>
    </row>
    <row r="27" ht="15.0" customHeight="1">
      <c r="A27" s="10"/>
      <c r="B27" s="15"/>
      <c r="C27" s="28" t="s">
        <v>26</v>
      </c>
      <c r="D27" s="28">
        <v>17.0</v>
      </c>
      <c r="E27" s="32" t="s">
        <v>43</v>
      </c>
      <c r="F27" s="30">
        <f>'Лист1'!C23</f>
        <v>10</v>
      </c>
      <c r="G27" s="30">
        <f>'Лист1'!D23</f>
        <v>9</v>
      </c>
      <c r="H27" s="30">
        <f>'Лист1'!E23</f>
        <v>9</v>
      </c>
      <c r="I27" s="30">
        <f>'Лист1'!F23</f>
        <v>10</v>
      </c>
      <c r="J27" s="30">
        <f>'Лист1'!G23</f>
        <v>10</v>
      </c>
      <c r="K27" s="30">
        <f>'Лист1'!H23</f>
        <v>9</v>
      </c>
      <c r="L27" s="30">
        <f>'Лист1'!I23</f>
        <v>10</v>
      </c>
      <c r="M27" s="30">
        <f>'Лист1'!J23</f>
        <v>10</v>
      </c>
      <c r="N27" s="30">
        <f>'Лист1'!K23</f>
        <v>10</v>
      </c>
      <c r="O27" s="30">
        <f>'Лист1'!L23</f>
        <v>7</v>
      </c>
      <c r="P27" s="30">
        <f>'Лист1'!M23</f>
        <v>10</v>
      </c>
      <c r="Q27" s="30">
        <f>'Лист1'!N23</f>
        <v>10</v>
      </c>
      <c r="R27" s="30">
        <f>'Лист1'!O23</f>
        <v>9</v>
      </c>
      <c r="S27" s="30">
        <f>'Лист1'!P23</f>
        <v>9</v>
      </c>
      <c r="T27" s="30">
        <f>'Лист1'!Q19</f>
        <v>7</v>
      </c>
      <c r="U27" s="31">
        <f t="shared" si="1"/>
        <v>9.266666667</v>
      </c>
      <c r="V27" s="15"/>
      <c r="W27" s="13"/>
      <c r="X27" s="1"/>
      <c r="Y27" s="1"/>
      <c r="Z27" s="1"/>
    </row>
    <row r="28" ht="15.0" customHeight="1">
      <c r="A28" s="10"/>
      <c r="B28" s="15"/>
      <c r="C28" s="28" t="s">
        <v>26</v>
      </c>
      <c r="D28" s="28">
        <v>18.0</v>
      </c>
      <c r="E28" s="29" t="s">
        <v>44</v>
      </c>
      <c r="F28" s="30">
        <f>'Лист1'!C25</f>
        <v>9</v>
      </c>
      <c r="G28" s="30">
        <f>'Лист1'!D25</f>
        <v>8</v>
      </c>
      <c r="H28" s="30">
        <f>'Лист1'!E25</f>
        <v>8</v>
      </c>
      <c r="I28" s="30">
        <f>'Лист1'!F25</f>
        <v>9</v>
      </c>
      <c r="J28" s="30">
        <f>'Лист1'!G25</f>
        <v>10</v>
      </c>
      <c r="K28" s="30">
        <f>'Лист1'!H25</f>
        <v>6</v>
      </c>
      <c r="L28" s="30">
        <f>'Лист1'!I25</f>
        <v>9</v>
      </c>
      <c r="M28" s="30">
        <f>'Лист1'!J25</f>
        <v>7</v>
      </c>
      <c r="N28" s="30">
        <f>'Лист1'!K25</f>
        <v>8</v>
      </c>
      <c r="O28" s="30">
        <f>'Лист1'!L25</f>
        <v>7</v>
      </c>
      <c r="P28" s="30">
        <f>'Лист1'!M25</f>
        <v>9</v>
      </c>
      <c r="Q28" s="30">
        <f>'Лист1'!N25</f>
        <v>9</v>
      </c>
      <c r="R28" s="30">
        <f>'Лист1'!O25</f>
        <v>8</v>
      </c>
      <c r="S28" s="30">
        <f>'Лист1'!P25</f>
        <v>8</v>
      </c>
      <c r="T28" s="30">
        <f>'Лист1'!Q20</f>
        <v>6</v>
      </c>
      <c r="U28" s="31">
        <f t="shared" si="1"/>
        <v>8.066666667</v>
      </c>
      <c r="V28" s="15"/>
      <c r="W28" s="13"/>
      <c r="X28" s="1"/>
      <c r="Y28" s="1"/>
      <c r="Z28" s="1"/>
    </row>
    <row r="29" ht="15.0" customHeight="1">
      <c r="A29" s="10"/>
      <c r="B29" s="15"/>
      <c r="C29" s="28" t="s">
        <v>26</v>
      </c>
      <c r="D29" s="28">
        <v>19.0</v>
      </c>
      <c r="E29" s="29" t="s">
        <v>45</v>
      </c>
      <c r="F29" s="30">
        <f>'Лист1'!C26</f>
        <v>9</v>
      </c>
      <c r="G29" s="30">
        <f>'Лист1'!D26</f>
        <v>6</v>
      </c>
      <c r="H29" s="30">
        <f>'Лист1'!E26</f>
        <v>9</v>
      </c>
      <c r="I29" s="30">
        <f>'Лист1'!F26</f>
        <v>9</v>
      </c>
      <c r="J29" s="30">
        <f>'Лист1'!G26</f>
        <v>9</v>
      </c>
      <c r="K29" s="30">
        <f>'Лист1'!H26</f>
        <v>8</v>
      </c>
      <c r="L29" s="30">
        <f>'Лист1'!I26</f>
        <v>7</v>
      </c>
      <c r="M29" s="30" t="str">
        <f>'Лист1'!J26</f>
        <v>н/а</v>
      </c>
      <c r="N29" s="30">
        <f>'Лист1'!K26</f>
        <v>8</v>
      </c>
      <c r="O29" s="30">
        <f>'Лист1'!L26</f>
        <v>6</v>
      </c>
      <c r="P29" s="30">
        <f>'Лист1'!M26</f>
        <v>7</v>
      </c>
      <c r="Q29" s="30">
        <f>'Лист1'!N26</f>
        <v>8</v>
      </c>
      <c r="R29" s="30">
        <f>'Лист1'!O26</f>
        <v>6</v>
      </c>
      <c r="S29" s="30">
        <f>'Лист1'!P26</f>
        <v>9</v>
      </c>
      <c r="T29" s="30">
        <f>'Лист1'!Q21</f>
        <v>5</v>
      </c>
      <c r="U29" s="31" t="str">
        <f t="shared" si="1"/>
        <v>-</v>
      </c>
      <c r="V29" s="15"/>
      <c r="W29" s="13"/>
      <c r="X29" s="1"/>
      <c r="Y29" s="1"/>
      <c r="Z29" s="1"/>
    </row>
    <row r="30" ht="15.0" customHeight="1">
      <c r="A30" s="10"/>
      <c r="B30" s="15"/>
      <c r="C30" s="28" t="s">
        <v>26</v>
      </c>
      <c r="D30" s="28">
        <v>20.0</v>
      </c>
      <c r="E30" s="29" t="s">
        <v>46</v>
      </c>
      <c r="F30" s="30">
        <f>'Лист1'!C27</f>
        <v>8</v>
      </c>
      <c r="G30" s="30">
        <f>'Лист1'!D27</f>
        <v>6</v>
      </c>
      <c r="H30" s="30">
        <f>'Лист1'!E27</f>
        <v>9</v>
      </c>
      <c r="I30" s="30">
        <f>'Лист1'!F27</f>
        <v>8</v>
      </c>
      <c r="J30" s="30">
        <f>'Лист1'!G27</f>
        <v>7</v>
      </c>
      <c r="K30" s="30" t="str">
        <f>'Лист1'!H27</f>
        <v>н/а</v>
      </c>
      <c r="L30" s="30">
        <f>'Лист1'!I27</f>
        <v>6</v>
      </c>
      <c r="M30" s="30">
        <f>'Лист1'!J27</f>
        <v>7</v>
      </c>
      <c r="N30" s="30">
        <f>'Лист1'!K27</f>
        <v>5</v>
      </c>
      <c r="O30" s="30">
        <f>'Лист1'!L27</f>
        <v>5</v>
      </c>
      <c r="P30" s="30">
        <f>'Лист1'!M27</f>
        <v>7</v>
      </c>
      <c r="Q30" s="30">
        <f>'Лист1'!N27</f>
        <v>6</v>
      </c>
      <c r="R30" s="30">
        <f>'Лист1'!O27</f>
        <v>5</v>
      </c>
      <c r="S30" s="30">
        <f>'Лист1'!P27</f>
        <v>4</v>
      </c>
      <c r="T30" s="30">
        <f>'Лист1'!Q22</f>
        <v>6</v>
      </c>
      <c r="U30" s="31" t="str">
        <f t="shared" si="1"/>
        <v>-</v>
      </c>
      <c r="V30" s="15"/>
      <c r="W30" s="13"/>
      <c r="X30" s="1"/>
      <c r="Y30" s="1"/>
      <c r="Z30" s="1"/>
    </row>
    <row r="31" ht="15.0" customHeight="1">
      <c r="A31" s="10"/>
      <c r="B31" s="15"/>
      <c r="C31" s="28" t="s">
        <v>26</v>
      </c>
      <c r="D31" s="28">
        <v>21.0</v>
      </c>
      <c r="E31" s="29" t="s">
        <v>47</v>
      </c>
      <c r="F31" s="30">
        <f>'Лист1'!C28</f>
        <v>8</v>
      </c>
      <c r="G31" s="30">
        <f>'Лист1'!D28</f>
        <v>6</v>
      </c>
      <c r="H31" s="30">
        <f>'Лист1'!E28</f>
        <v>6</v>
      </c>
      <c r="I31" s="30">
        <f>'Лист1'!F28</f>
        <v>8</v>
      </c>
      <c r="J31" s="30">
        <f>'Лист1'!G28</f>
        <v>5</v>
      </c>
      <c r="K31" s="30" t="str">
        <f>'Лист1'!H28</f>
        <v>н/а</v>
      </c>
      <c r="L31" s="30">
        <f>'Лист1'!I28</f>
        <v>5</v>
      </c>
      <c r="M31" s="30">
        <f>'Лист1'!J28</f>
        <v>5</v>
      </c>
      <c r="N31" s="30" t="str">
        <f>'Лист1'!K28</f>
        <v>н/а</v>
      </c>
      <c r="O31" s="30">
        <f>'Лист1'!L28</f>
        <v>4</v>
      </c>
      <c r="P31" s="30">
        <f>'Лист1'!M28</f>
        <v>5</v>
      </c>
      <c r="Q31" s="30">
        <f>'Лист1'!N28</f>
        <v>6</v>
      </c>
      <c r="R31" s="30" t="str">
        <f>'Лист1'!O28</f>
        <v>н/а</v>
      </c>
      <c r="S31" s="30">
        <f>'Лист1'!P28</f>
        <v>9</v>
      </c>
      <c r="T31" s="30">
        <f>'Лист1'!Q23</f>
        <v>7</v>
      </c>
      <c r="U31" s="31" t="str">
        <f t="shared" si="1"/>
        <v>-</v>
      </c>
      <c r="V31" s="15"/>
      <c r="W31" s="13"/>
      <c r="X31" s="1"/>
      <c r="Y31" s="1"/>
      <c r="Z31" s="1"/>
    </row>
    <row r="32" ht="15.0" customHeight="1">
      <c r="A32" s="10"/>
      <c r="B32" s="15"/>
      <c r="C32" s="28" t="s">
        <v>26</v>
      </c>
      <c r="D32" s="28">
        <v>22.0</v>
      </c>
      <c r="E32" s="29" t="s">
        <v>48</v>
      </c>
      <c r="F32" s="30">
        <f>'Лист1'!C29</f>
        <v>6</v>
      </c>
      <c r="G32" s="30">
        <f>'Лист1'!D29</f>
        <v>6</v>
      </c>
      <c r="H32" s="30">
        <f>'Лист1'!E29</f>
        <v>6</v>
      </c>
      <c r="I32" s="30">
        <f>'Лист1'!F29</f>
        <v>5</v>
      </c>
      <c r="J32" s="30">
        <f>'Лист1'!G29</f>
        <v>5</v>
      </c>
      <c r="K32" s="30">
        <f>'Лист1'!H29</f>
        <v>4</v>
      </c>
      <c r="L32" s="30">
        <f>'Лист1'!I29</f>
        <v>5</v>
      </c>
      <c r="M32" s="30" t="str">
        <f>'Лист1'!J29</f>
        <v>н/а</v>
      </c>
      <c r="N32" s="30">
        <f>'Лист1'!K29</f>
        <v>6</v>
      </c>
      <c r="O32" s="30" t="str">
        <f>'Лист1'!L29</f>
        <v>н/а</v>
      </c>
      <c r="P32" s="30">
        <f>'Лист1'!M29</f>
        <v>6</v>
      </c>
      <c r="Q32" s="30">
        <f>'Лист1'!N29</f>
        <v>7</v>
      </c>
      <c r="R32" s="30">
        <f>'Лист1'!O29</f>
        <v>4</v>
      </c>
      <c r="S32" s="30">
        <f>'Лист1'!P29</f>
        <v>5</v>
      </c>
      <c r="T32" s="30">
        <f>'Лист1'!Q24</f>
        <v>8</v>
      </c>
      <c r="U32" s="31" t="str">
        <f t="shared" si="1"/>
        <v>-</v>
      </c>
      <c r="V32" s="15"/>
      <c r="W32" s="13"/>
      <c r="X32" s="1"/>
      <c r="Y32" s="1"/>
      <c r="Z32" s="1"/>
    </row>
    <row r="33" ht="15.0" customHeight="1">
      <c r="A33" s="10"/>
      <c r="B33" s="15"/>
      <c r="C33" s="28" t="s">
        <v>26</v>
      </c>
      <c r="D33" s="28">
        <v>23.0</v>
      </c>
      <c r="E33" s="29" t="s">
        <v>49</v>
      </c>
      <c r="F33" s="30">
        <f>'Лист1'!C30</f>
        <v>10</v>
      </c>
      <c r="G33" s="30">
        <f>'Лист1'!D30</f>
        <v>8</v>
      </c>
      <c r="H33" s="30">
        <f>'Лист1'!E30</f>
        <v>9</v>
      </c>
      <c r="I33" s="30">
        <f>'Лист1'!F30</f>
        <v>10</v>
      </c>
      <c r="J33" s="30">
        <f>'Лист1'!G30</f>
        <v>8</v>
      </c>
      <c r="K33" s="30">
        <f>'Лист1'!H30</f>
        <v>7</v>
      </c>
      <c r="L33" s="30">
        <f>'Лист1'!I30</f>
        <v>9</v>
      </c>
      <c r="M33" s="30">
        <f>'Лист1'!J30</f>
        <v>7</v>
      </c>
      <c r="N33" s="30">
        <f>'Лист1'!K30</f>
        <v>8</v>
      </c>
      <c r="O33" s="30">
        <f>'Лист1'!L30</f>
        <v>8</v>
      </c>
      <c r="P33" s="30">
        <f>'Лист1'!M30</f>
        <v>7</v>
      </c>
      <c r="Q33" s="30">
        <f>'Лист1'!N30</f>
        <v>7</v>
      </c>
      <c r="R33" s="30">
        <f>'Лист1'!O30</f>
        <v>6</v>
      </c>
      <c r="S33" s="30">
        <f>'Лист1'!P30</f>
        <v>9</v>
      </c>
      <c r="T33" s="30">
        <f>'Лист1'!Q25</f>
        <v>6</v>
      </c>
      <c r="U33" s="31">
        <f t="shared" si="1"/>
        <v>7.933333333</v>
      </c>
      <c r="V33" s="15"/>
      <c r="W33" s="13"/>
      <c r="X33" s="1"/>
      <c r="Y33" s="1"/>
      <c r="Z33" s="1"/>
    </row>
    <row r="34" ht="15.0" customHeight="1">
      <c r="A34" s="10"/>
      <c r="B34" s="15"/>
      <c r="C34" s="28" t="s">
        <v>26</v>
      </c>
      <c r="D34" s="28">
        <v>24.0</v>
      </c>
      <c r="E34" s="29" t="s">
        <v>50</v>
      </c>
      <c r="F34" s="30">
        <f>'Лист1'!C31</f>
        <v>10</v>
      </c>
      <c r="G34" s="30">
        <f>'Лист1'!D31</f>
        <v>8</v>
      </c>
      <c r="H34" s="30">
        <f>'Лист1'!E31</f>
        <v>10</v>
      </c>
      <c r="I34" s="30">
        <f>'Лист1'!F31</f>
        <v>10</v>
      </c>
      <c r="J34" s="30">
        <f>'Лист1'!G31</f>
        <v>10</v>
      </c>
      <c r="K34" s="30">
        <f>'Лист1'!H31</f>
        <v>7</v>
      </c>
      <c r="L34" s="30">
        <f>'Лист1'!I31</f>
        <v>7</v>
      </c>
      <c r="M34" s="30">
        <f>'Лист1'!J31</f>
        <v>7</v>
      </c>
      <c r="N34" s="30">
        <f>'Лист1'!K31</f>
        <v>9</v>
      </c>
      <c r="O34" s="30">
        <f>'Лист1'!L31</f>
        <v>7</v>
      </c>
      <c r="P34" s="30">
        <f>'Лист1'!M31</f>
        <v>9</v>
      </c>
      <c r="Q34" s="30">
        <f>'Лист1'!N31</f>
        <v>9</v>
      </c>
      <c r="R34" s="30">
        <f>'Лист1'!O31</f>
        <v>6</v>
      </c>
      <c r="S34" s="30">
        <f>'Лист1'!P31</f>
        <v>7</v>
      </c>
      <c r="T34" s="30">
        <f>'Лист1'!Q26</f>
        <v>6</v>
      </c>
      <c r="U34" s="31">
        <f t="shared" si="1"/>
        <v>8.133333333</v>
      </c>
      <c r="V34" s="15"/>
      <c r="W34" s="13"/>
      <c r="X34" s="1"/>
      <c r="Y34" s="1"/>
      <c r="Z34" s="1"/>
    </row>
    <row r="35" ht="15.0" customHeight="1">
      <c r="A35" s="10"/>
      <c r="B35" s="15"/>
      <c r="C35" s="28" t="s">
        <v>26</v>
      </c>
      <c r="D35" s="28">
        <v>25.0</v>
      </c>
      <c r="E35" s="29" t="s">
        <v>51</v>
      </c>
      <c r="F35" s="30">
        <f>'Лист1'!C32</f>
        <v>9</v>
      </c>
      <c r="G35" s="30">
        <f>'Лист1'!D32</f>
        <v>7</v>
      </c>
      <c r="H35" s="30">
        <f>'Лист1'!E32</f>
        <v>9</v>
      </c>
      <c r="I35" s="30">
        <f>'Лист1'!F32</f>
        <v>10</v>
      </c>
      <c r="J35" s="30">
        <f>'Лист1'!G32</f>
        <v>8</v>
      </c>
      <c r="K35" s="30">
        <f>'Лист1'!H32</f>
        <v>8</v>
      </c>
      <c r="L35" s="30">
        <f>'Лист1'!I32</f>
        <v>9</v>
      </c>
      <c r="M35" s="30">
        <f>'Лист1'!J32</f>
        <v>6</v>
      </c>
      <c r="N35" s="30">
        <f>'Лист1'!K32</f>
        <v>6</v>
      </c>
      <c r="O35" s="30">
        <f>'Лист1'!L32</f>
        <v>5</v>
      </c>
      <c r="P35" s="30">
        <f>'Лист1'!M32</f>
        <v>7</v>
      </c>
      <c r="Q35" s="30">
        <f>'Лист1'!N32</f>
        <v>7</v>
      </c>
      <c r="R35" s="30">
        <f>'Лист1'!O32</f>
        <v>4</v>
      </c>
      <c r="S35" s="30">
        <f>'Лист1'!P32</f>
        <v>7</v>
      </c>
      <c r="T35" s="30">
        <f>'Лист1'!Q27</f>
        <v>5</v>
      </c>
      <c r="U35" s="31">
        <f t="shared" si="1"/>
        <v>7.133333333</v>
      </c>
      <c r="V35" s="15"/>
      <c r="W35" s="13"/>
      <c r="X35" s="1"/>
      <c r="Y35" s="1"/>
      <c r="Z35" s="1"/>
    </row>
    <row r="36" ht="15.0" customHeight="1">
      <c r="A36" s="10"/>
      <c r="B36" s="15"/>
      <c r="C36" s="28" t="s">
        <v>26</v>
      </c>
      <c r="D36" s="28">
        <v>26.0</v>
      </c>
      <c r="E36" s="29" t="s">
        <v>52</v>
      </c>
      <c r="F36" s="30">
        <f>'Лист1'!C35</f>
        <v>10</v>
      </c>
      <c r="G36" s="30">
        <f>'Лист1'!D35</f>
        <v>10</v>
      </c>
      <c r="H36" s="30">
        <f>'Лист1'!E35</f>
        <v>10</v>
      </c>
      <c r="I36" s="30">
        <f>'Лист1'!F35</f>
        <v>10</v>
      </c>
      <c r="J36" s="30">
        <f>'Лист1'!G35</f>
        <v>10</v>
      </c>
      <c r="K36" s="30">
        <f>'Лист1'!H35</f>
        <v>8</v>
      </c>
      <c r="L36" s="30">
        <f>'Лист1'!I35</f>
        <v>9</v>
      </c>
      <c r="M36" s="30">
        <f>'Лист1'!J35</f>
        <v>10</v>
      </c>
      <c r="N36" s="30">
        <f>'Лист1'!K35</f>
        <v>8</v>
      </c>
      <c r="O36" s="30">
        <f>'Лист1'!L35</f>
        <v>7</v>
      </c>
      <c r="P36" s="30">
        <f>'Лист1'!M35</f>
        <v>9</v>
      </c>
      <c r="Q36" s="30">
        <f>'Лист1'!N35</f>
        <v>10</v>
      </c>
      <c r="R36" s="30">
        <f>'Лист1'!O35</f>
        <v>9</v>
      </c>
      <c r="S36" s="30">
        <f>'Лист1'!P35</f>
        <v>8</v>
      </c>
      <c r="T36" s="30">
        <f>'Лист1'!Q28</f>
        <v>6</v>
      </c>
      <c r="U36" s="31">
        <f t="shared" si="1"/>
        <v>8.933333333</v>
      </c>
      <c r="V36" s="15"/>
      <c r="W36" s="13"/>
      <c r="X36" s="1"/>
      <c r="Y36" s="1"/>
      <c r="Z36" s="1"/>
    </row>
    <row r="37" ht="15.0" customHeight="1">
      <c r="A37" s="10"/>
      <c r="B37" s="15"/>
      <c r="C37" s="28" t="s">
        <v>26</v>
      </c>
      <c r="D37" s="28">
        <v>27.0</v>
      </c>
      <c r="E37" s="32" t="s">
        <v>53</v>
      </c>
      <c r="F37" s="30">
        <f>'Лист1'!C37</f>
        <v>10</v>
      </c>
      <c r="G37" s="30">
        <f>'Лист1'!D37</f>
        <v>10</v>
      </c>
      <c r="H37" s="30">
        <f>'Лист1'!E37</f>
        <v>9</v>
      </c>
      <c r="I37" s="30">
        <f>'Лист1'!F37</f>
        <v>9</v>
      </c>
      <c r="J37" s="30">
        <f>'Лист1'!G37</f>
        <v>11</v>
      </c>
      <c r="K37" s="30">
        <f>'Лист1'!H37</f>
        <v>9</v>
      </c>
      <c r="L37" s="30">
        <f>'Лист1'!I37</f>
        <v>11</v>
      </c>
      <c r="M37" s="30">
        <f>'Лист1'!J37</f>
        <v>10</v>
      </c>
      <c r="N37" s="30">
        <f>'Лист1'!K37</f>
        <v>9</v>
      </c>
      <c r="O37" s="30">
        <f>'Лист1'!L37</f>
        <v>10</v>
      </c>
      <c r="P37" s="30">
        <f>'Лист1'!M37</f>
        <v>10</v>
      </c>
      <c r="Q37" s="30">
        <f>'Лист1'!N37</f>
        <v>10</v>
      </c>
      <c r="R37" s="30">
        <f>'Лист1'!O37</f>
        <v>8</v>
      </c>
      <c r="S37" s="30">
        <f>'Лист1'!P37</f>
        <v>9</v>
      </c>
      <c r="T37" s="30">
        <f>'Лист1'!Q29</f>
        <v>5</v>
      </c>
      <c r="U37" s="31">
        <f t="shared" si="1"/>
        <v>9.333333333</v>
      </c>
      <c r="V37" s="15"/>
      <c r="W37" s="13"/>
      <c r="X37" s="1"/>
      <c r="Y37" s="1"/>
      <c r="Z37" s="1"/>
    </row>
    <row r="38" ht="15.0" customHeight="1">
      <c r="A38" s="10"/>
      <c r="B38" s="15"/>
      <c r="C38" s="33"/>
      <c r="D38" s="33"/>
      <c r="E38" s="29" t="s">
        <v>54</v>
      </c>
      <c r="F38" s="34">
        <f t="shared" ref="F38:T38" si="2">IF(SUM(F11:F37)=0,"",SUM(F11:F37)/$D37)</f>
        <v>8.777777778</v>
      </c>
      <c r="G38" s="34">
        <f t="shared" si="2"/>
        <v>7.62962963</v>
      </c>
      <c r="H38" s="34">
        <f t="shared" si="2"/>
        <v>8.555555556</v>
      </c>
      <c r="I38" s="34">
        <f t="shared" si="2"/>
        <v>8.814814815</v>
      </c>
      <c r="J38" s="34">
        <f t="shared" si="2"/>
        <v>9</v>
      </c>
      <c r="K38" s="34">
        <f t="shared" si="2"/>
        <v>5.518518519</v>
      </c>
      <c r="L38" s="34">
        <f t="shared" si="2"/>
        <v>8.111111111</v>
      </c>
      <c r="M38" s="34">
        <f t="shared" si="2"/>
        <v>6.148148148</v>
      </c>
      <c r="N38" s="34">
        <f t="shared" si="2"/>
        <v>6.814814815</v>
      </c>
      <c r="O38" s="34">
        <f t="shared" si="2"/>
        <v>5.814814815</v>
      </c>
      <c r="P38" s="34">
        <f t="shared" si="2"/>
        <v>7.62962963</v>
      </c>
      <c r="Q38" s="34">
        <f t="shared" si="2"/>
        <v>7.814814815</v>
      </c>
      <c r="R38" s="34">
        <f t="shared" si="2"/>
        <v>5.481481481</v>
      </c>
      <c r="S38" s="34">
        <f t="shared" si="2"/>
        <v>7.296296296</v>
      </c>
      <c r="T38" s="34">
        <f t="shared" si="2"/>
        <v>6.37037037</v>
      </c>
      <c r="U38" s="31">
        <f>IFERROR(AVERAGE(F38:T38),"")</f>
        <v>7.318518519</v>
      </c>
      <c r="V38" s="15"/>
      <c r="W38" s="13"/>
      <c r="X38" s="1"/>
      <c r="Y38" s="1"/>
      <c r="Z38" s="1"/>
    </row>
    <row r="39" ht="15.0" customHeight="1">
      <c r="A39" s="10"/>
      <c r="B39" s="15"/>
      <c r="C39" s="33"/>
      <c r="D39" s="33"/>
      <c r="E39" s="29" t="s">
        <v>55</v>
      </c>
      <c r="F39" s="35">
        <f t="shared" ref="F39:T39" si="3">IF(SUM(F11:F37)=0,"",IF(COUNTIF(F11:F37,"&gt;=4")=0,0,COUNTIF(F11:F37,"&gt;=4")/$D37*100))</f>
        <v>100</v>
      </c>
      <c r="G39" s="35">
        <f t="shared" si="3"/>
        <v>100</v>
      </c>
      <c r="H39" s="35">
        <f t="shared" si="3"/>
        <v>100</v>
      </c>
      <c r="I39" s="35">
        <f t="shared" si="3"/>
        <v>100</v>
      </c>
      <c r="J39" s="35">
        <f t="shared" si="3"/>
        <v>100</v>
      </c>
      <c r="K39" s="35">
        <f t="shared" si="3"/>
        <v>70.37037037</v>
      </c>
      <c r="L39" s="35">
        <f t="shared" si="3"/>
        <v>100</v>
      </c>
      <c r="M39" s="35">
        <f t="shared" si="3"/>
        <v>85.18518519</v>
      </c>
      <c r="N39" s="35">
        <f t="shared" si="3"/>
        <v>92.59259259</v>
      </c>
      <c r="O39" s="35">
        <f t="shared" si="3"/>
        <v>92.59259259</v>
      </c>
      <c r="P39" s="35">
        <f t="shared" si="3"/>
        <v>100</v>
      </c>
      <c r="Q39" s="35">
        <f t="shared" si="3"/>
        <v>100</v>
      </c>
      <c r="R39" s="35">
        <f t="shared" si="3"/>
        <v>88.88888889</v>
      </c>
      <c r="S39" s="35">
        <f t="shared" si="3"/>
        <v>100</v>
      </c>
      <c r="T39" s="35">
        <f t="shared" si="3"/>
        <v>100</v>
      </c>
      <c r="U39" s="33"/>
      <c r="V39" s="15"/>
      <c r="W39" s="13"/>
      <c r="X39" s="1"/>
      <c r="Y39" s="1"/>
      <c r="Z39" s="1"/>
    </row>
    <row r="40" ht="15.0" customHeight="1">
      <c r="A40" s="10"/>
      <c r="B40" s="15"/>
      <c r="C40" s="33"/>
      <c r="D40" s="33"/>
      <c r="E40" s="29" t="s">
        <v>56</v>
      </c>
      <c r="F40" s="35">
        <f t="shared" ref="F40:T40" si="4">IF(SUM(F11:F37)=0,"",IF(COUNTIF(F11:F37,"&gt;=7")=0,0,COUNTIF(F11:F37,"&gt;=7")/$D37*100))</f>
        <v>96.2962963</v>
      </c>
      <c r="G40" s="35">
        <f t="shared" si="4"/>
        <v>74.07407407</v>
      </c>
      <c r="H40" s="35">
        <f t="shared" si="4"/>
        <v>85.18518519</v>
      </c>
      <c r="I40" s="35">
        <f t="shared" si="4"/>
        <v>88.88888889</v>
      </c>
      <c r="J40" s="35">
        <f t="shared" si="4"/>
        <v>88.88888889</v>
      </c>
      <c r="K40" s="35">
        <f t="shared" si="4"/>
        <v>55.55555556</v>
      </c>
      <c r="L40" s="35">
        <f t="shared" si="4"/>
        <v>77.77777778</v>
      </c>
      <c r="M40" s="35">
        <f t="shared" si="4"/>
        <v>59.25925926</v>
      </c>
      <c r="N40" s="35">
        <f t="shared" si="4"/>
        <v>62.96296296</v>
      </c>
      <c r="O40" s="35">
        <f t="shared" si="4"/>
        <v>44.44444444</v>
      </c>
      <c r="P40" s="35">
        <f t="shared" si="4"/>
        <v>74.07407407</v>
      </c>
      <c r="Q40" s="35">
        <f t="shared" si="4"/>
        <v>77.77777778</v>
      </c>
      <c r="R40" s="35">
        <f t="shared" si="4"/>
        <v>29.62962963</v>
      </c>
      <c r="S40" s="35">
        <f t="shared" si="4"/>
        <v>66.66666667</v>
      </c>
      <c r="T40" s="35">
        <f t="shared" si="4"/>
        <v>37.03703704</v>
      </c>
      <c r="U40" s="33"/>
      <c r="V40" s="15"/>
      <c r="W40" s="13"/>
      <c r="X40" s="1"/>
      <c r="Y40" s="1"/>
      <c r="Z40" s="1"/>
    </row>
    <row r="41" ht="15.0" customHeight="1">
      <c r="A41" s="10"/>
      <c r="B41" s="15"/>
      <c r="C41" s="33"/>
      <c r="D41" s="33"/>
      <c r="E41" s="29" t="s">
        <v>57</v>
      </c>
      <c r="F41" s="34">
        <f t="shared" ref="F41:F42" si="5">IFERROR(AVERAGE(F39:T39),"")</f>
        <v>95.30864198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15"/>
      <c r="W41" s="13"/>
      <c r="X41" s="1"/>
      <c r="Y41" s="1"/>
      <c r="Z41" s="1"/>
    </row>
    <row r="42" ht="15.0" customHeight="1">
      <c r="A42" s="10"/>
      <c r="B42" s="15"/>
      <c r="C42" s="33"/>
      <c r="D42" s="33"/>
      <c r="E42" s="29" t="s">
        <v>58</v>
      </c>
      <c r="F42" s="34">
        <f t="shared" si="5"/>
        <v>67.90123457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15"/>
      <c r="W42" s="13"/>
      <c r="X42" s="1"/>
      <c r="Y42" s="1"/>
      <c r="Z42" s="1"/>
    </row>
    <row r="43" ht="15.0" customHeight="1">
      <c r="A43" s="10"/>
      <c r="B43" s="15"/>
      <c r="C43" s="33"/>
      <c r="D43" s="33"/>
      <c r="E43" s="29" t="s">
        <v>59</v>
      </c>
      <c r="F43" s="30">
        <f>IF(COUNTIF(C11:C37,"=Б")=0,IF(COUNTIF(C11:C37,"=К")=0,"",0),COUNTIF(C11:C37,"=Б"))</f>
        <v>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15"/>
      <c r="W43" s="13"/>
      <c r="X43" s="1"/>
      <c r="Y43" s="1"/>
      <c r="Z43" s="1"/>
    </row>
    <row r="44" ht="15.0" customHeight="1">
      <c r="A44" s="10"/>
      <c r="B44" s="15"/>
      <c r="C44" s="33"/>
      <c r="D44" s="33"/>
      <c r="E44" s="29" t="s">
        <v>60</v>
      </c>
      <c r="F44" s="30">
        <f>IF(COUNTIF(C11:C37,"=К")=0,IF(COUNTIF(C11:C37,"=Б")=0,"",0),COUNTIF(C11:C37,"=К"))</f>
        <v>27</v>
      </c>
      <c r="G44" s="33"/>
      <c r="H44" s="33"/>
      <c r="I44" s="36" t="s">
        <v>61</v>
      </c>
      <c r="J44" s="33"/>
      <c r="K44" s="33"/>
      <c r="L44" s="33"/>
      <c r="M44" s="33"/>
      <c r="N44" s="33"/>
      <c r="O44" s="33"/>
      <c r="P44" s="37" t="s">
        <v>62</v>
      </c>
      <c r="Q44" s="33"/>
      <c r="R44" s="33"/>
      <c r="S44" s="33"/>
      <c r="T44" s="33"/>
      <c r="U44" s="33"/>
      <c r="V44" s="15"/>
      <c r="W44" s="13"/>
      <c r="X44" s="1"/>
      <c r="Y44" s="1"/>
      <c r="Z44" s="1"/>
    </row>
    <row r="45" ht="15.0" customHeight="1">
      <c r="A45" s="10"/>
      <c r="B45" s="15"/>
      <c r="C45" s="33"/>
      <c r="D45" s="33"/>
      <c r="E45" s="29" t="s">
        <v>63</v>
      </c>
      <c r="F45" s="30">
        <v>0.0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15"/>
      <c r="W45" s="13"/>
      <c r="X45" s="1"/>
      <c r="Y45" s="1"/>
      <c r="Z45" s="1"/>
    </row>
    <row r="46" ht="15.0" customHeight="1">
      <c r="A46" s="10"/>
      <c r="B46" s="38"/>
      <c r="C46" s="33"/>
      <c r="D46" s="33"/>
      <c r="E46" s="29" t="s">
        <v>64</v>
      </c>
      <c r="F46" s="30">
        <v>0.0</v>
      </c>
      <c r="G46" s="33"/>
      <c r="H46" s="33"/>
      <c r="I46" s="36" t="s">
        <v>65</v>
      </c>
      <c r="J46" s="33"/>
      <c r="K46" s="33"/>
      <c r="L46" s="33"/>
      <c r="M46" s="33"/>
      <c r="N46" s="33"/>
      <c r="O46" s="33"/>
      <c r="P46" s="36" t="s">
        <v>66</v>
      </c>
      <c r="Q46" s="33"/>
      <c r="R46" s="33"/>
      <c r="S46" s="33"/>
      <c r="T46" s="33"/>
      <c r="U46" s="33"/>
      <c r="V46" s="38"/>
      <c r="W46" s="13"/>
      <c r="X46" s="1"/>
      <c r="Y46" s="1"/>
      <c r="Z46" s="1"/>
    </row>
    <row r="47" ht="12.0" customHeight="1">
      <c r="A47" s="39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W47" s="40"/>
      <c r="X47" s="1"/>
      <c r="Y47" s="1"/>
      <c r="Z47" s="1"/>
    </row>
    <row r="48" ht="12.0" customHeight="1">
      <c r="A48" s="1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3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C8:U8"/>
    <mergeCell ref="C9:C10"/>
    <mergeCell ref="D9:D10"/>
    <mergeCell ref="E9:E10"/>
    <mergeCell ref="F9:U9"/>
    <mergeCell ref="B47:V47"/>
    <mergeCell ref="B48:V48"/>
    <mergeCell ref="B1:V1"/>
    <mergeCell ref="A2:A47"/>
    <mergeCell ref="B2:V2"/>
    <mergeCell ref="W2:W47"/>
    <mergeCell ref="B3:B46"/>
    <mergeCell ref="C3:U3"/>
    <mergeCell ref="V3:V46"/>
  </mergeCells>
  <conditionalFormatting sqref="U11:U37">
    <cfRule type="expression" dxfId="0" priority="1">
      <formula>$V$37&lt;&gt;""</formula>
    </cfRule>
  </conditionalFormatting>
  <conditionalFormatting sqref="C11:T11 D13 D15 D17 D19 D21 D23 D25 D27 D29 D31 D33 D35 D37 F12:T37">
    <cfRule type="expression" dxfId="0" priority="2">
      <formula>$V$11&lt;&gt;""</formula>
    </cfRule>
  </conditionalFormatting>
  <conditionalFormatting sqref="C12:E12 C22:E22 C32:E32 D14 D16 D18 D20 D24 D26 D28 D30 D34 D36">
    <cfRule type="expression" dxfId="0" priority="3">
      <formula>#REF!&lt;&gt;""</formula>
    </cfRule>
  </conditionalFormatting>
  <conditionalFormatting sqref="C13 C23 C33 E13 E23 E33">
    <cfRule type="expression" dxfId="0" priority="4">
      <formula>#REF!&lt;&gt;""</formula>
    </cfRule>
  </conditionalFormatting>
  <conditionalFormatting sqref="C14 C24 C34 E14 E24 E34">
    <cfRule type="expression" dxfId="0" priority="5">
      <formula>#REF!&lt;&gt;""</formula>
    </cfRule>
  </conditionalFormatting>
  <conditionalFormatting sqref="C15 C25 C35 E15 E25 E35">
    <cfRule type="expression" dxfId="0" priority="6">
      <formula>#REF!&lt;&gt;""</formula>
    </cfRule>
  </conditionalFormatting>
  <conditionalFormatting sqref="C16:C17 C26:C27 C36 E16:E17 E26:E27 E36">
    <cfRule type="expression" dxfId="0" priority="7">
      <formula>#REF!&lt;&gt;""</formula>
    </cfRule>
  </conditionalFormatting>
  <conditionalFormatting sqref="C18 C28 E18 E28">
    <cfRule type="expression" dxfId="0" priority="8">
      <formula>#REF!&lt;&gt;""</formula>
    </cfRule>
  </conditionalFormatting>
  <conditionalFormatting sqref="C19:C20 C29:C30 E19:E20 E29:E30">
    <cfRule type="expression" dxfId="0" priority="9">
      <formula>#REF!&lt;&gt;""</formula>
    </cfRule>
  </conditionalFormatting>
  <conditionalFormatting sqref="C21 C31 E21 E31">
    <cfRule type="expression" dxfId="0" priority="10">
      <formula>#REF!&lt;&gt;""</formula>
    </cfRule>
  </conditionalFormatting>
  <conditionalFormatting sqref="C37 E37">
    <cfRule type="expression" dxfId="0" priority="11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67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6" t="s">
        <v>10</v>
      </c>
      <c r="G10" s="26" t="s">
        <v>11</v>
      </c>
      <c r="H10" s="26" t="s">
        <v>12</v>
      </c>
      <c r="I10" s="26" t="s">
        <v>13</v>
      </c>
      <c r="J10" s="26" t="s">
        <v>14</v>
      </c>
      <c r="K10" s="26" t="s">
        <v>15</v>
      </c>
      <c r="L10" s="26" t="s">
        <v>16</v>
      </c>
      <c r="M10" s="26" t="s">
        <v>17</v>
      </c>
      <c r="N10" s="26" t="s">
        <v>18</v>
      </c>
      <c r="O10" s="26" t="s">
        <v>19</v>
      </c>
      <c r="P10" s="26" t="s">
        <v>20</v>
      </c>
      <c r="Q10" s="26" t="s">
        <v>21</v>
      </c>
      <c r="R10" s="26" t="s">
        <v>22</v>
      </c>
      <c r="S10" s="26" t="s">
        <v>23</v>
      </c>
      <c r="T10" s="26" t="s">
        <v>24</v>
      </c>
      <c r="U10" s="27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8" t="s">
        <v>26</v>
      </c>
      <c r="D11" s="28">
        <v>1.0</v>
      </c>
      <c r="E11" s="29" t="s">
        <v>68</v>
      </c>
      <c r="F11" s="30">
        <f>'Лист1'!C5</f>
        <v>10</v>
      </c>
      <c r="G11" s="30">
        <f>'Лист1'!D5</f>
        <v>9</v>
      </c>
      <c r="H11" s="30">
        <f>'Лист1'!E5</f>
        <v>10</v>
      </c>
      <c r="I11" s="30">
        <f>'Лист1'!F5</f>
        <v>10</v>
      </c>
      <c r="J11" s="30">
        <f>'Лист1'!G5</f>
        <v>11</v>
      </c>
      <c r="K11" s="30">
        <f>'Лист1'!H5</f>
        <v>8</v>
      </c>
      <c r="L11" s="30">
        <f>'Лист1'!I5</f>
        <v>10</v>
      </c>
      <c r="M11" s="30">
        <f>'Лист1'!J5</f>
        <v>10</v>
      </c>
      <c r="N11" s="30">
        <f>'Лист1'!K5</f>
        <v>9</v>
      </c>
      <c r="O11" s="30">
        <f>'Лист1'!L5</f>
        <v>9</v>
      </c>
      <c r="P11" s="30">
        <f>'Лист1'!M5</f>
        <v>9</v>
      </c>
      <c r="Q11" s="30">
        <f>'Лист1'!N5</f>
        <v>10</v>
      </c>
      <c r="R11" s="30">
        <f>'Лист1'!O5</f>
        <v>7</v>
      </c>
      <c r="S11" s="30">
        <f>'Лист1'!P5</f>
        <v>7</v>
      </c>
      <c r="T11" s="30">
        <f>'Лист1'!Q32</f>
        <v>6</v>
      </c>
      <c r="U11" s="31">
        <f t="shared" ref="U11:U19" si="1">IF(COUNTIF(F11:T11,"=*")&gt;0,"-",IF(COUNTIF(F11:T11,"&lt;4")&gt;0,"-",(IFERROR(AVERAGE(F11:T11),""))))</f>
        <v>9</v>
      </c>
      <c r="V11" s="15"/>
      <c r="W11" s="13"/>
      <c r="X11" s="1"/>
      <c r="Y11" s="1"/>
      <c r="Z11" s="1"/>
    </row>
    <row r="12" ht="15.0" customHeight="1">
      <c r="A12" s="10"/>
      <c r="B12" s="15"/>
      <c r="C12" s="28" t="s">
        <v>26</v>
      </c>
      <c r="D12" s="28">
        <v>2.0</v>
      </c>
      <c r="E12" s="29" t="s">
        <v>69</v>
      </c>
      <c r="F12" s="30">
        <f>'Лист1'!C8</f>
        <v>7</v>
      </c>
      <c r="G12" s="30">
        <f>'Лист1'!D8</f>
        <v>7</v>
      </c>
      <c r="H12" s="30">
        <f>'Лист1'!E8</f>
        <v>9</v>
      </c>
      <c r="I12" s="30">
        <f>'Лист1'!F8</f>
        <v>8</v>
      </c>
      <c r="J12" s="30">
        <f>'Лист1'!G8</f>
        <v>8</v>
      </c>
      <c r="K12" s="30" t="str">
        <f>'Лист1'!H8</f>
        <v>н/а</v>
      </c>
      <c r="L12" s="30">
        <f>'Лист1'!I8</f>
        <v>8</v>
      </c>
      <c r="M12" s="30">
        <f>'Лист1'!J8</f>
        <v>6</v>
      </c>
      <c r="N12" s="30">
        <f>'Лист1'!K8</f>
        <v>7</v>
      </c>
      <c r="O12" s="30">
        <f>'Лист1'!L8</f>
        <v>4</v>
      </c>
      <c r="P12" s="30">
        <f>'Лист1'!M8</f>
        <v>6</v>
      </c>
      <c r="Q12" s="30">
        <f>'Лист1'!N8</f>
        <v>5</v>
      </c>
      <c r="R12" s="30">
        <f>'Лист1'!O8</f>
        <v>4</v>
      </c>
      <c r="S12" s="30">
        <f>'Лист1'!P8</f>
        <v>4</v>
      </c>
      <c r="T12" s="30">
        <f>'Лист1'!Q33</f>
        <v>5</v>
      </c>
      <c r="U12" s="31" t="str">
        <f t="shared" si="1"/>
        <v>-</v>
      </c>
      <c r="V12" s="15"/>
      <c r="W12" s="13"/>
      <c r="X12" s="1"/>
      <c r="Y12" s="1"/>
      <c r="Z12" s="1"/>
    </row>
    <row r="13" ht="15.0" customHeight="1">
      <c r="A13" s="10"/>
      <c r="B13" s="15"/>
      <c r="C13" s="28" t="s">
        <v>26</v>
      </c>
      <c r="D13" s="28">
        <v>3.0</v>
      </c>
      <c r="E13" s="29" t="s">
        <v>70</v>
      </c>
      <c r="F13" s="30">
        <f>'Лист1'!C10</f>
        <v>7</v>
      </c>
      <c r="G13" s="30">
        <f>'Лист1'!D10</f>
        <v>7</v>
      </c>
      <c r="H13" s="30">
        <f>'Лист1'!E10</f>
        <v>6</v>
      </c>
      <c r="I13" s="30">
        <f>'Лист1'!F10</f>
        <v>8</v>
      </c>
      <c r="J13" s="30">
        <f>'Лист1'!G10</f>
        <v>7</v>
      </c>
      <c r="K13" s="30" t="str">
        <f>'Лист1'!H10</f>
        <v>н/а</v>
      </c>
      <c r="L13" s="30">
        <f>'Лист1'!I10</f>
        <v>7</v>
      </c>
      <c r="M13" s="30" t="str">
        <f>'Лист1'!J10</f>
        <v>н/а</v>
      </c>
      <c r="N13" s="30" t="str">
        <f>'Лист1'!K10</f>
        <v>н/а</v>
      </c>
      <c r="O13" s="30" t="str">
        <f>'Лист1'!L10</f>
        <v>н/а</v>
      </c>
      <c r="P13" s="30">
        <f>'Лист1'!M10</f>
        <v>7</v>
      </c>
      <c r="Q13" s="30">
        <f>'Лист1'!N10</f>
        <v>5</v>
      </c>
      <c r="R13" s="30" t="str">
        <f>'Лист1'!O10</f>
        <v>н/а</v>
      </c>
      <c r="S13" s="30">
        <f>'Лист1'!P10</f>
        <v>4</v>
      </c>
      <c r="T13" s="30">
        <f>'Лист1'!Q34</f>
        <v>6</v>
      </c>
      <c r="U13" s="31" t="str">
        <f t="shared" si="1"/>
        <v>-</v>
      </c>
      <c r="V13" s="15"/>
      <c r="W13" s="13"/>
      <c r="X13" s="1"/>
      <c r="Y13" s="1"/>
      <c r="Z13" s="1"/>
    </row>
    <row r="14" ht="15.0" customHeight="1">
      <c r="A14" s="10"/>
      <c r="B14" s="15"/>
      <c r="C14" s="28" t="s">
        <v>26</v>
      </c>
      <c r="D14" s="28">
        <v>4.0</v>
      </c>
      <c r="E14" s="29" t="s">
        <v>71</v>
      </c>
      <c r="F14" s="30">
        <f>'Лист1'!C11</f>
        <v>9</v>
      </c>
      <c r="G14" s="30">
        <f>'Лист1'!D11</f>
        <v>10</v>
      </c>
      <c r="H14" s="30">
        <f>'Лист1'!E11</f>
        <v>10</v>
      </c>
      <c r="I14" s="30">
        <f>'Лист1'!F11</f>
        <v>10</v>
      </c>
      <c r="J14" s="30">
        <f>'Лист1'!G11</f>
        <v>11</v>
      </c>
      <c r="K14" s="30">
        <f>'Лист1'!H11</f>
        <v>11</v>
      </c>
      <c r="L14" s="30">
        <f>'Лист1'!I11</f>
        <v>11</v>
      </c>
      <c r="M14" s="30">
        <f>'Лист1'!J11</f>
        <v>9</v>
      </c>
      <c r="N14" s="30">
        <f>'Лист1'!K11</f>
        <v>9</v>
      </c>
      <c r="O14" s="30">
        <f>'Лист1'!L11</f>
        <v>10</v>
      </c>
      <c r="P14" s="30">
        <f>'Лист1'!M11</f>
        <v>10</v>
      </c>
      <c r="Q14" s="30">
        <f>'Лист1'!N11</f>
        <v>9</v>
      </c>
      <c r="R14" s="30">
        <f>'Лист1'!O11</f>
        <v>9</v>
      </c>
      <c r="S14" s="30">
        <f>'Лист1'!P11</f>
        <v>10</v>
      </c>
      <c r="T14" s="30">
        <f>'Лист1'!Q35</f>
        <v>6</v>
      </c>
      <c r="U14" s="31">
        <f t="shared" si="1"/>
        <v>9.6</v>
      </c>
      <c r="V14" s="15"/>
      <c r="W14" s="13"/>
      <c r="X14" s="1"/>
      <c r="Y14" s="1"/>
      <c r="Z14" s="1"/>
    </row>
    <row r="15" ht="15.0" customHeight="1">
      <c r="A15" s="10"/>
      <c r="B15" s="15"/>
      <c r="C15" s="28" t="s">
        <v>26</v>
      </c>
      <c r="D15" s="28">
        <v>5.0</v>
      </c>
      <c r="E15" s="29" t="s">
        <v>72</v>
      </c>
      <c r="F15" s="30">
        <f>'Лист1'!C24</f>
        <v>9</v>
      </c>
      <c r="G15" s="30">
        <f>'Лист1'!D24</f>
        <v>9</v>
      </c>
      <c r="H15" s="30">
        <f>'Лист1'!E24</f>
        <v>9</v>
      </c>
      <c r="I15" s="30">
        <f>'Лист1'!F24</f>
        <v>10</v>
      </c>
      <c r="J15" s="30">
        <f>'Лист1'!G24</f>
        <v>11</v>
      </c>
      <c r="K15" s="30">
        <f>'Лист1'!H24</f>
        <v>8</v>
      </c>
      <c r="L15" s="30">
        <f>'Лист1'!I24</f>
        <v>11</v>
      </c>
      <c r="M15" s="30">
        <f>'Лист1'!J24</f>
        <v>10</v>
      </c>
      <c r="N15" s="30">
        <f>'Лист1'!K24</f>
        <v>9</v>
      </c>
      <c r="O15" s="30">
        <f>'Лист1'!L24</f>
        <v>10</v>
      </c>
      <c r="P15" s="30">
        <f>'Лист1'!M24</f>
        <v>10</v>
      </c>
      <c r="Q15" s="30">
        <f>'Лист1'!N24</f>
        <v>10</v>
      </c>
      <c r="R15" s="30">
        <f>'Лист1'!O24</f>
        <v>8</v>
      </c>
      <c r="S15" s="30">
        <f>'Лист1'!P24</f>
        <v>9</v>
      </c>
      <c r="T15" s="30">
        <f>'Лист1'!Q36</f>
        <v>7</v>
      </c>
      <c r="U15" s="31">
        <f t="shared" si="1"/>
        <v>9.333333333</v>
      </c>
      <c r="V15" s="15"/>
      <c r="W15" s="13"/>
      <c r="X15" s="1"/>
      <c r="Y15" s="1"/>
      <c r="Z15" s="1"/>
    </row>
    <row r="16" ht="15.0" customHeight="1">
      <c r="A16" s="10"/>
      <c r="B16" s="15"/>
      <c r="C16" s="28" t="s">
        <v>26</v>
      </c>
      <c r="D16" s="28">
        <v>6.0</v>
      </c>
      <c r="E16" s="29" t="s">
        <v>73</v>
      </c>
      <c r="F16" s="30">
        <f>'Лист1'!C33</f>
        <v>7</v>
      </c>
      <c r="G16" s="30">
        <f>'Лист1'!D33</f>
        <v>7</v>
      </c>
      <c r="H16" s="30">
        <f>'Лист1'!E33</f>
        <v>6</v>
      </c>
      <c r="I16" s="30">
        <f>'Лист1'!F33</f>
        <v>6</v>
      </c>
      <c r="J16" s="30">
        <f>'Лист1'!G33</f>
        <v>9</v>
      </c>
      <c r="K16" s="30">
        <f>'Лист1'!H33</f>
        <v>5</v>
      </c>
      <c r="L16" s="30">
        <f>'Лист1'!I33</f>
        <v>6</v>
      </c>
      <c r="M16" s="30" t="str">
        <f>'Лист1'!J33</f>
        <v>н/а</v>
      </c>
      <c r="N16" s="30">
        <f>'Лист1'!K33</f>
        <v>4</v>
      </c>
      <c r="O16" s="30" t="str">
        <f>'Лист1'!L33</f>
        <v>н/а</v>
      </c>
      <c r="P16" s="30">
        <f>'Лист1'!M33</f>
        <v>6</v>
      </c>
      <c r="Q16" s="30">
        <f>'Лист1'!N33</f>
        <v>6</v>
      </c>
      <c r="R16" s="30">
        <f>'Лист1'!O33</f>
        <v>4</v>
      </c>
      <c r="S16" s="30">
        <f>'Лист1'!P33</f>
        <v>4</v>
      </c>
      <c r="T16" s="30">
        <f>'Лист1'!Q37</f>
        <v>7</v>
      </c>
      <c r="U16" s="31" t="str">
        <f t="shared" si="1"/>
        <v>-</v>
      </c>
      <c r="V16" s="15"/>
      <c r="W16" s="13"/>
      <c r="X16" s="1"/>
      <c r="Y16" s="1"/>
      <c r="Z16" s="1"/>
    </row>
    <row r="17" ht="15.0" customHeight="1">
      <c r="A17" s="10"/>
      <c r="B17" s="15"/>
      <c r="C17" s="28" t="s">
        <v>26</v>
      </c>
      <c r="D17" s="28">
        <v>7.0</v>
      </c>
      <c r="E17" s="29" t="s">
        <v>74</v>
      </c>
      <c r="F17" s="30">
        <f>'Лист1'!C34</f>
        <v>10</v>
      </c>
      <c r="G17" s="30">
        <f>'Лист1'!D34</f>
        <v>9</v>
      </c>
      <c r="H17" s="30">
        <f>'Лист1'!E34</f>
        <v>8</v>
      </c>
      <c r="I17" s="30">
        <f>'Лист1'!F34</f>
        <v>9</v>
      </c>
      <c r="J17" s="30">
        <f>'Лист1'!G34</f>
        <v>11</v>
      </c>
      <c r="K17" s="30">
        <f>'Лист1'!H34</f>
        <v>7</v>
      </c>
      <c r="L17" s="30">
        <f>'Лист1'!I34</f>
        <v>9</v>
      </c>
      <c r="M17" s="30">
        <f>'Лист1'!J34</f>
        <v>10</v>
      </c>
      <c r="N17" s="30">
        <f>'Лист1'!K34</f>
        <v>7</v>
      </c>
      <c r="O17" s="30">
        <f>'Лист1'!L34</f>
        <v>7</v>
      </c>
      <c r="P17" s="30">
        <f>'Лист1'!M34</f>
        <v>9</v>
      </c>
      <c r="Q17" s="30">
        <f>'Лист1'!N34</f>
        <v>9</v>
      </c>
      <c r="R17" s="30">
        <f>'Лист1'!O34</f>
        <v>6</v>
      </c>
      <c r="S17" s="30">
        <f>'Лист1'!P34</f>
        <v>4</v>
      </c>
      <c r="T17" s="30">
        <f>'Лист1'!Q38</f>
        <v>7</v>
      </c>
      <c r="U17" s="31">
        <f t="shared" si="1"/>
        <v>8.133333333</v>
      </c>
      <c r="V17" s="15"/>
      <c r="W17" s="13"/>
      <c r="X17" s="1"/>
      <c r="Y17" s="1"/>
      <c r="Z17" s="1"/>
    </row>
    <row r="18" ht="15.0" customHeight="1">
      <c r="A18" s="10"/>
      <c r="B18" s="15"/>
      <c r="C18" s="28" t="s">
        <v>26</v>
      </c>
      <c r="D18" s="28">
        <v>8.0</v>
      </c>
      <c r="E18" s="29" t="s">
        <v>75</v>
      </c>
      <c r="F18" s="30">
        <f>'Лист1'!C36</f>
        <v>10</v>
      </c>
      <c r="G18" s="30">
        <f>'Лист1'!D36</f>
        <v>10</v>
      </c>
      <c r="H18" s="30">
        <f>'Лист1'!E36</f>
        <v>9</v>
      </c>
      <c r="I18" s="30">
        <f>'Лист1'!F36</f>
        <v>10</v>
      </c>
      <c r="J18" s="30">
        <f>'Лист1'!G36</f>
        <v>11</v>
      </c>
      <c r="K18" s="30">
        <f>'Лист1'!H36</f>
        <v>10</v>
      </c>
      <c r="L18" s="30">
        <f>'Лист1'!I36</f>
        <v>11</v>
      </c>
      <c r="M18" s="30">
        <f>'Лист1'!J36</f>
        <v>9</v>
      </c>
      <c r="N18" s="30">
        <f>'Лист1'!K36</f>
        <v>10</v>
      </c>
      <c r="O18" s="30">
        <f>'Лист1'!L36</f>
        <v>10</v>
      </c>
      <c r="P18" s="30">
        <f>'Лист1'!M36</f>
        <v>9</v>
      </c>
      <c r="Q18" s="30">
        <f>'Лист1'!N36</f>
        <v>10</v>
      </c>
      <c r="R18" s="30">
        <f>'Лист1'!O36</f>
        <v>9</v>
      </c>
      <c r="S18" s="30">
        <f>'Лист1'!P36</f>
        <v>11</v>
      </c>
      <c r="T18" s="30" t="str">
        <f>Лист1!#REF!</f>
        <v>#ERROR!</v>
      </c>
      <c r="U18" s="31" t="str">
        <f t="shared" si="1"/>
        <v/>
      </c>
      <c r="V18" s="15"/>
      <c r="W18" s="13"/>
      <c r="X18" s="1"/>
      <c r="Y18" s="1"/>
      <c r="Z18" s="1"/>
    </row>
    <row r="19" ht="15.0" customHeight="1">
      <c r="A19" s="10"/>
      <c r="B19" s="15"/>
      <c r="C19" s="28" t="s">
        <v>26</v>
      </c>
      <c r="D19" s="28">
        <v>9.0</v>
      </c>
      <c r="E19" s="29" t="s">
        <v>76</v>
      </c>
      <c r="F19" s="30">
        <f>'Лист1'!C38</f>
        <v>10</v>
      </c>
      <c r="G19" s="30">
        <f>'Лист1'!D38</f>
        <v>10</v>
      </c>
      <c r="H19" s="30">
        <f>'Лист1'!E38</f>
        <v>10</v>
      </c>
      <c r="I19" s="30">
        <f>'Лист1'!F38</f>
        <v>9</v>
      </c>
      <c r="J19" s="30">
        <f>'Лист1'!G38</f>
        <v>10</v>
      </c>
      <c r="K19" s="30">
        <f>'Лист1'!H38</f>
        <v>10</v>
      </c>
      <c r="L19" s="30">
        <f>'Лист1'!I38</f>
        <v>10</v>
      </c>
      <c r="M19" s="30">
        <f>'Лист1'!J38</f>
        <v>10</v>
      </c>
      <c r="N19" s="30">
        <f>'Лист1'!K38</f>
        <v>7</v>
      </c>
      <c r="O19" s="30">
        <f>'Лист1'!L38</f>
        <v>9</v>
      </c>
      <c r="P19" s="30">
        <f>'Лист1'!M38</f>
        <v>9</v>
      </c>
      <c r="Q19" s="30">
        <f>'Лист1'!N38</f>
        <v>9</v>
      </c>
      <c r="R19" s="30">
        <f>'Лист1'!O38</f>
        <v>9</v>
      </c>
      <c r="S19" s="30">
        <f>'Лист1'!P38</f>
        <v>10</v>
      </c>
      <c r="T19" s="44">
        <f>'Лист1'!Q39</f>
        <v>4.583333333</v>
      </c>
      <c r="U19" s="31">
        <f t="shared" si="1"/>
        <v>9.105555556</v>
      </c>
      <c r="V19" s="15"/>
      <c r="W19" s="13"/>
      <c r="X19" s="1"/>
      <c r="Y19" s="1"/>
      <c r="Z19" s="1"/>
    </row>
    <row r="20" ht="15.0" customHeight="1">
      <c r="A20" s="10"/>
      <c r="B20" s="15"/>
      <c r="C20" s="33"/>
      <c r="D20" s="33"/>
      <c r="E20" s="29" t="s">
        <v>54</v>
      </c>
      <c r="F20" s="34">
        <f t="shared" ref="F20:T20" si="2">IF(SUM(F11:F19)=0,"",SUM(F11:F19)/$D19)</f>
        <v>8.777777778</v>
      </c>
      <c r="G20" s="34">
        <f t="shared" si="2"/>
        <v>8.666666667</v>
      </c>
      <c r="H20" s="34">
        <f t="shared" si="2"/>
        <v>8.555555556</v>
      </c>
      <c r="I20" s="34">
        <f t="shared" si="2"/>
        <v>8.888888889</v>
      </c>
      <c r="J20" s="34">
        <f t="shared" si="2"/>
        <v>9.888888889</v>
      </c>
      <c r="K20" s="34">
        <f t="shared" si="2"/>
        <v>6.555555556</v>
      </c>
      <c r="L20" s="34">
        <f t="shared" si="2"/>
        <v>9.222222222</v>
      </c>
      <c r="M20" s="34">
        <f t="shared" si="2"/>
        <v>7.111111111</v>
      </c>
      <c r="N20" s="34">
        <f t="shared" si="2"/>
        <v>6.888888889</v>
      </c>
      <c r="O20" s="34">
        <f t="shared" si="2"/>
        <v>6.555555556</v>
      </c>
      <c r="P20" s="34">
        <f t="shared" si="2"/>
        <v>8.333333333</v>
      </c>
      <c r="Q20" s="34">
        <f t="shared" si="2"/>
        <v>8.111111111</v>
      </c>
      <c r="R20" s="34">
        <f t="shared" si="2"/>
        <v>6.222222222</v>
      </c>
      <c r="S20" s="34">
        <f t="shared" si="2"/>
        <v>7</v>
      </c>
      <c r="T20" s="34" t="str">
        <f t="shared" si="2"/>
        <v>#ERROR!</v>
      </c>
      <c r="U20" s="31" t="str">
        <f>IFERROR(AVERAGE(F20:T20),"")</f>
        <v/>
      </c>
      <c r="V20" s="15"/>
      <c r="W20" s="13"/>
      <c r="X20" s="1"/>
      <c r="Y20" s="1"/>
      <c r="Z20" s="1"/>
    </row>
    <row r="21" ht="15.0" customHeight="1">
      <c r="A21" s="10"/>
      <c r="B21" s="15"/>
      <c r="C21" s="33"/>
      <c r="D21" s="33"/>
      <c r="E21" s="29" t="s">
        <v>55</v>
      </c>
      <c r="F21" s="35">
        <f t="shared" ref="F21:T21" si="3">IF(SUM(F11:F19)=0,"",IF(COUNTIF(F11:F19,"&gt;=4")=0,0,COUNTIF(F11:F19,"&gt;=4")/$D19*100))</f>
        <v>100</v>
      </c>
      <c r="G21" s="35">
        <f t="shared" si="3"/>
        <v>100</v>
      </c>
      <c r="H21" s="35">
        <f t="shared" si="3"/>
        <v>100</v>
      </c>
      <c r="I21" s="35">
        <f t="shared" si="3"/>
        <v>100</v>
      </c>
      <c r="J21" s="35">
        <f t="shared" si="3"/>
        <v>100</v>
      </c>
      <c r="K21" s="35">
        <f t="shared" si="3"/>
        <v>77.77777778</v>
      </c>
      <c r="L21" s="35">
        <f t="shared" si="3"/>
        <v>100</v>
      </c>
      <c r="M21" s="35">
        <f t="shared" si="3"/>
        <v>77.77777778</v>
      </c>
      <c r="N21" s="35">
        <f t="shared" si="3"/>
        <v>88.88888889</v>
      </c>
      <c r="O21" s="35">
        <f t="shared" si="3"/>
        <v>77.77777778</v>
      </c>
      <c r="P21" s="35">
        <f t="shared" si="3"/>
        <v>100</v>
      </c>
      <c r="Q21" s="35">
        <f t="shared" si="3"/>
        <v>100</v>
      </c>
      <c r="R21" s="35">
        <f t="shared" si="3"/>
        <v>88.88888889</v>
      </c>
      <c r="S21" s="35">
        <f t="shared" si="3"/>
        <v>100</v>
      </c>
      <c r="T21" s="35" t="str">
        <f t="shared" si="3"/>
        <v>#ERROR!</v>
      </c>
      <c r="U21" s="33"/>
      <c r="V21" s="15"/>
      <c r="W21" s="13"/>
      <c r="X21" s="1"/>
      <c r="Y21" s="1"/>
      <c r="Z21" s="1"/>
    </row>
    <row r="22" ht="15.0" customHeight="1">
      <c r="A22" s="10"/>
      <c r="B22" s="15"/>
      <c r="C22" s="33"/>
      <c r="D22" s="33"/>
      <c r="E22" s="29" t="s">
        <v>56</v>
      </c>
      <c r="F22" s="35">
        <f t="shared" ref="F22:T22" si="4">IF(SUM(F11:F19)=0,"",IF(COUNTIF(F11:F19,"&gt;=7")=0,0,COUNTIF(F11:F19,"&gt;=7")/$D19*100))</f>
        <v>100</v>
      </c>
      <c r="G22" s="35">
        <f t="shared" si="4"/>
        <v>100</v>
      </c>
      <c r="H22" s="35">
        <f t="shared" si="4"/>
        <v>77.77777778</v>
      </c>
      <c r="I22" s="35">
        <f t="shared" si="4"/>
        <v>88.88888889</v>
      </c>
      <c r="J22" s="35">
        <f t="shared" si="4"/>
        <v>100</v>
      </c>
      <c r="K22" s="35">
        <f t="shared" si="4"/>
        <v>66.66666667</v>
      </c>
      <c r="L22" s="35">
        <f t="shared" si="4"/>
        <v>88.88888889</v>
      </c>
      <c r="M22" s="35">
        <f t="shared" si="4"/>
        <v>66.66666667</v>
      </c>
      <c r="N22" s="35">
        <f t="shared" si="4"/>
        <v>77.77777778</v>
      </c>
      <c r="O22" s="35">
        <f t="shared" si="4"/>
        <v>66.66666667</v>
      </c>
      <c r="P22" s="35">
        <f t="shared" si="4"/>
        <v>77.77777778</v>
      </c>
      <c r="Q22" s="35">
        <f t="shared" si="4"/>
        <v>66.66666667</v>
      </c>
      <c r="R22" s="35">
        <f t="shared" si="4"/>
        <v>55.55555556</v>
      </c>
      <c r="S22" s="35">
        <f t="shared" si="4"/>
        <v>55.55555556</v>
      </c>
      <c r="T22" s="35" t="str">
        <f t="shared" si="4"/>
        <v>#ERROR!</v>
      </c>
      <c r="U22" s="33"/>
      <c r="V22" s="15"/>
      <c r="W22" s="13"/>
      <c r="X22" s="1"/>
      <c r="Y22" s="1"/>
      <c r="Z22" s="1"/>
    </row>
    <row r="23" ht="15.0" customHeight="1">
      <c r="A23" s="10"/>
      <c r="B23" s="15"/>
      <c r="C23" s="33"/>
      <c r="D23" s="33"/>
      <c r="E23" s="29" t="s">
        <v>57</v>
      </c>
      <c r="F23" s="34" t="str">
        <f t="shared" ref="F23:F24" si="5">IFERROR(AVERAGE(F21:T21),"")</f>
        <v/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15"/>
      <c r="W23" s="13"/>
      <c r="X23" s="1"/>
      <c r="Y23" s="1"/>
      <c r="Z23" s="1"/>
    </row>
    <row r="24" ht="15.0" customHeight="1">
      <c r="A24" s="10"/>
      <c r="B24" s="15"/>
      <c r="C24" s="33"/>
      <c r="D24" s="33"/>
      <c r="E24" s="29" t="s">
        <v>58</v>
      </c>
      <c r="F24" s="34" t="str">
        <f t="shared" si="5"/>
        <v/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15"/>
      <c r="W24" s="13"/>
      <c r="X24" s="1"/>
      <c r="Y24" s="1"/>
      <c r="Z24" s="1"/>
    </row>
    <row r="25" ht="15.0" customHeight="1">
      <c r="A25" s="10"/>
      <c r="B25" s="15"/>
      <c r="C25" s="33"/>
      <c r="D25" s="33"/>
      <c r="E25" s="29" t="s">
        <v>59</v>
      </c>
      <c r="F25" s="30">
        <f>IF(COUNTIF(C11:C19,"=Б")=0,IF(COUNTIF(C11:C19,"=К")=0,"",0),COUNTIF(C11:C19,"=Б"))</f>
        <v>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15"/>
      <c r="W25" s="13"/>
      <c r="X25" s="1"/>
      <c r="Y25" s="1"/>
      <c r="Z25" s="1"/>
    </row>
    <row r="26" ht="15.0" customHeight="1">
      <c r="A26" s="10"/>
      <c r="B26" s="15"/>
      <c r="C26" s="33"/>
      <c r="D26" s="33"/>
      <c r="E26" s="29" t="s">
        <v>60</v>
      </c>
      <c r="F26" s="30">
        <f>IF(COUNTIF(C11:C19,"=К")=0,IF(COUNTIF(C11:C19,"=Б")=0,"",0),COUNTIF(C11:C19,"=К"))</f>
        <v>9</v>
      </c>
      <c r="G26" s="33"/>
      <c r="H26" s="33"/>
      <c r="I26" s="36" t="s">
        <v>61</v>
      </c>
      <c r="J26" s="33"/>
      <c r="K26" s="33"/>
      <c r="L26" s="33"/>
      <c r="M26" s="33"/>
      <c r="N26" s="33"/>
      <c r="O26" s="33"/>
      <c r="P26" s="37" t="s">
        <v>62</v>
      </c>
      <c r="Q26" s="33"/>
      <c r="R26" s="33"/>
      <c r="S26" s="33"/>
      <c r="T26" s="33"/>
      <c r="U26" s="33"/>
      <c r="V26" s="15"/>
      <c r="W26" s="13"/>
      <c r="X26" s="1"/>
      <c r="Y26" s="1"/>
      <c r="Z26" s="1"/>
    </row>
    <row r="27" ht="15.0" customHeight="1">
      <c r="A27" s="10"/>
      <c r="B27" s="15"/>
      <c r="C27" s="33"/>
      <c r="D27" s="33"/>
      <c r="E27" s="29" t="s">
        <v>63</v>
      </c>
      <c r="F27" s="30">
        <v>0.0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15"/>
      <c r="W27" s="13"/>
      <c r="X27" s="1"/>
      <c r="Y27" s="1"/>
      <c r="Z27" s="1"/>
    </row>
    <row r="28" ht="15.0" customHeight="1">
      <c r="A28" s="10"/>
      <c r="B28" s="38"/>
      <c r="C28" s="33"/>
      <c r="D28" s="33"/>
      <c r="E28" s="29" t="s">
        <v>64</v>
      </c>
      <c r="F28" s="30">
        <v>0.0</v>
      </c>
      <c r="G28" s="33"/>
      <c r="H28" s="33"/>
      <c r="I28" s="36" t="s">
        <v>65</v>
      </c>
      <c r="J28" s="33"/>
      <c r="K28" s="33"/>
      <c r="L28" s="33"/>
      <c r="M28" s="33"/>
      <c r="N28" s="33"/>
      <c r="O28" s="33"/>
      <c r="P28" s="36" t="s">
        <v>66</v>
      </c>
      <c r="Q28" s="33"/>
      <c r="R28" s="33"/>
      <c r="S28" s="33"/>
      <c r="T28" s="33"/>
      <c r="U28" s="33"/>
      <c r="V28" s="38"/>
      <c r="W28" s="13"/>
      <c r="X28" s="1"/>
      <c r="Y28" s="1"/>
      <c r="Z28" s="1"/>
    </row>
    <row r="29" ht="12.0" customHeight="1">
      <c r="A29" s="39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40"/>
      <c r="X29" s="1"/>
      <c r="Y29" s="1"/>
      <c r="Z29" s="1"/>
    </row>
    <row r="30" ht="12.0" customHeight="1">
      <c r="A30" s="1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B3:B28"/>
    <mergeCell ref="C9:C10"/>
    <mergeCell ref="D9:D10"/>
    <mergeCell ref="E9:E10"/>
    <mergeCell ref="F9:U9"/>
    <mergeCell ref="B29:V29"/>
    <mergeCell ref="B30:V30"/>
    <mergeCell ref="B1:V1"/>
    <mergeCell ref="A2:A29"/>
    <mergeCell ref="B2:V2"/>
    <mergeCell ref="W2:W29"/>
    <mergeCell ref="C3:U3"/>
    <mergeCell ref="V3:V28"/>
    <mergeCell ref="C8:U8"/>
  </mergeCells>
  <conditionalFormatting sqref="U11:U18">
    <cfRule type="expression" dxfId="0" priority="1">
      <formula>$V$19&lt;&gt;""</formula>
    </cfRule>
  </conditionalFormatting>
  <conditionalFormatting sqref="C11:T11 F12:T19">
    <cfRule type="expression" dxfId="0" priority="2">
      <formula>$V$11&lt;&gt;""</formula>
    </cfRule>
  </conditionalFormatting>
  <conditionalFormatting sqref="C12:E12">
    <cfRule type="expression" dxfId="0" priority="3">
      <formula>$V$12&lt;&gt;""</formula>
    </cfRule>
  </conditionalFormatting>
  <conditionalFormatting sqref="C13:E13">
    <cfRule type="expression" dxfId="0" priority="4">
      <formula>$V$13&lt;&gt;""</formula>
    </cfRule>
  </conditionalFormatting>
  <conditionalFormatting sqref="C14:E14">
    <cfRule type="expression" dxfId="0" priority="5">
      <formula>$V$14&lt;&gt;""</formula>
    </cfRule>
  </conditionalFormatting>
  <conditionalFormatting sqref="C15:E15">
    <cfRule type="expression" dxfId="0" priority="6">
      <formula>$V$15&lt;&gt;""</formula>
    </cfRule>
  </conditionalFormatting>
  <conditionalFormatting sqref="C16:E16">
    <cfRule type="expression" dxfId="0" priority="7">
      <formula>$V$16&lt;&gt;""</formula>
    </cfRule>
  </conditionalFormatting>
  <conditionalFormatting sqref="C17:E17">
    <cfRule type="expression" dxfId="0" priority="8">
      <formula>$V$17&lt;&gt;""</formula>
    </cfRule>
  </conditionalFormatting>
  <conditionalFormatting sqref="C18:E18">
    <cfRule type="expression" dxfId="0" priority="9">
      <formula>$V$18&lt;&gt;""</formula>
    </cfRule>
  </conditionalFormatting>
  <conditionalFormatting sqref="U19">
    <cfRule type="expression" dxfId="0" priority="10">
      <formula>$V$19&lt;&gt;""</formula>
    </cfRule>
  </conditionalFormatting>
  <conditionalFormatting sqref="C19:E19">
    <cfRule type="expression" dxfId="0" priority="11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14"/>
    <col customWidth="1" min="3" max="17" width="9.14"/>
    <col customWidth="1" min="18" max="26" width="8.71"/>
  </cols>
  <sheetData>
    <row r="1" ht="12.7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24.5" customHeight="1">
      <c r="A2" s="45"/>
      <c r="B2" s="45"/>
      <c r="C2" s="46" t="s">
        <v>10</v>
      </c>
      <c r="D2" s="46" t="s">
        <v>11</v>
      </c>
      <c r="E2" s="46" t="s">
        <v>12</v>
      </c>
      <c r="F2" s="46" t="s">
        <v>13</v>
      </c>
      <c r="G2" s="46" t="s">
        <v>14</v>
      </c>
      <c r="H2" s="46" t="s">
        <v>15</v>
      </c>
      <c r="I2" s="46" t="s">
        <v>16</v>
      </c>
      <c r="J2" s="46" t="s">
        <v>17</v>
      </c>
      <c r="K2" s="46" t="s">
        <v>18</v>
      </c>
      <c r="L2" s="46" t="s">
        <v>77</v>
      </c>
      <c r="M2" s="46" t="s">
        <v>20</v>
      </c>
      <c r="N2" s="46" t="s">
        <v>21</v>
      </c>
      <c r="O2" s="46" t="s">
        <v>22</v>
      </c>
      <c r="P2" s="46" t="s">
        <v>23</v>
      </c>
      <c r="Q2" s="46" t="s">
        <v>24</v>
      </c>
      <c r="R2" s="45"/>
      <c r="S2" s="45"/>
      <c r="T2" s="45"/>
      <c r="U2" s="45"/>
      <c r="V2" s="45"/>
      <c r="W2" s="45"/>
      <c r="X2" s="45"/>
      <c r="Y2" s="45"/>
      <c r="Z2" s="45"/>
    </row>
    <row r="3" ht="12.75" customHeight="1">
      <c r="A3" s="45">
        <v>1.0</v>
      </c>
      <c r="B3" s="29" t="s">
        <v>27</v>
      </c>
      <c r="C3" s="30">
        <v>9.0</v>
      </c>
      <c r="D3" s="30">
        <v>8.0</v>
      </c>
      <c r="E3" s="30">
        <v>8.0</v>
      </c>
      <c r="F3" s="30">
        <v>10.0</v>
      </c>
      <c r="G3" s="30">
        <v>10.0</v>
      </c>
      <c r="H3" s="30">
        <v>8.0</v>
      </c>
      <c r="I3" s="30">
        <v>7.0</v>
      </c>
      <c r="J3" s="30">
        <v>9.0</v>
      </c>
      <c r="K3" s="30">
        <v>8.0</v>
      </c>
      <c r="L3" s="30">
        <v>7.0</v>
      </c>
      <c r="M3" s="30">
        <v>7.0</v>
      </c>
      <c r="N3" s="30">
        <v>7.0</v>
      </c>
      <c r="O3" s="30">
        <v>7.0</v>
      </c>
      <c r="P3" s="30">
        <v>8.0</v>
      </c>
      <c r="Q3" s="30">
        <v>7.0</v>
      </c>
      <c r="R3" s="45"/>
      <c r="S3" s="45"/>
      <c r="T3" s="45"/>
      <c r="U3" s="45"/>
      <c r="V3" s="45"/>
      <c r="W3" s="45"/>
      <c r="X3" s="45"/>
      <c r="Y3" s="45"/>
      <c r="Z3" s="45"/>
    </row>
    <row r="4" ht="12.75" customHeight="1">
      <c r="A4" s="45">
        <v>2.0</v>
      </c>
      <c r="B4" s="29" t="s">
        <v>28</v>
      </c>
      <c r="C4" s="30">
        <v>10.0</v>
      </c>
      <c r="D4" s="30">
        <v>8.0</v>
      </c>
      <c r="E4" s="30">
        <v>10.0</v>
      </c>
      <c r="F4" s="30">
        <v>10.0</v>
      </c>
      <c r="G4" s="30">
        <v>10.0</v>
      </c>
      <c r="H4" s="30">
        <v>9.0</v>
      </c>
      <c r="I4" s="30">
        <v>10.0</v>
      </c>
      <c r="J4" s="30">
        <v>7.0</v>
      </c>
      <c r="K4" s="30">
        <v>8.0</v>
      </c>
      <c r="L4" s="30">
        <v>9.0</v>
      </c>
      <c r="M4" s="30">
        <v>9.0</v>
      </c>
      <c r="N4" s="30">
        <v>9.0</v>
      </c>
      <c r="O4" s="30">
        <v>7.0</v>
      </c>
      <c r="P4" s="30">
        <v>10.0</v>
      </c>
      <c r="Q4" s="30">
        <v>7.0</v>
      </c>
      <c r="R4" s="45"/>
      <c r="S4" s="45"/>
      <c r="T4" s="45"/>
      <c r="U4" s="45"/>
      <c r="V4" s="45"/>
      <c r="W4" s="45"/>
      <c r="X4" s="45"/>
      <c r="Y4" s="45"/>
      <c r="Z4" s="45"/>
    </row>
    <row r="5" ht="12.75" customHeight="1">
      <c r="A5" s="45">
        <v>3.0</v>
      </c>
      <c r="B5" s="29" t="s">
        <v>68</v>
      </c>
      <c r="C5" s="30">
        <v>10.0</v>
      </c>
      <c r="D5" s="30">
        <v>9.0</v>
      </c>
      <c r="E5" s="30">
        <v>10.0</v>
      </c>
      <c r="F5" s="30">
        <v>10.0</v>
      </c>
      <c r="G5" s="30">
        <v>11.0</v>
      </c>
      <c r="H5" s="30">
        <v>8.0</v>
      </c>
      <c r="I5" s="30">
        <v>10.0</v>
      </c>
      <c r="J5" s="30">
        <v>10.0</v>
      </c>
      <c r="K5" s="30">
        <v>9.0</v>
      </c>
      <c r="L5" s="30">
        <v>9.0</v>
      </c>
      <c r="M5" s="30">
        <v>9.0</v>
      </c>
      <c r="N5" s="30">
        <v>10.0</v>
      </c>
      <c r="O5" s="30">
        <v>7.0</v>
      </c>
      <c r="P5" s="30">
        <v>7.0</v>
      </c>
      <c r="Q5" s="30">
        <v>9.0</v>
      </c>
      <c r="R5" s="45"/>
      <c r="S5" s="45"/>
      <c r="T5" s="45"/>
      <c r="U5" s="45"/>
      <c r="V5" s="45"/>
      <c r="W5" s="45"/>
      <c r="X5" s="45"/>
      <c r="Y5" s="45"/>
      <c r="Z5" s="45"/>
    </row>
    <row r="6" ht="12.75" customHeight="1">
      <c r="A6" s="45">
        <v>4.0</v>
      </c>
      <c r="B6" s="29" t="s">
        <v>29</v>
      </c>
      <c r="C6" s="30">
        <v>7.0</v>
      </c>
      <c r="D6" s="30">
        <v>6.0</v>
      </c>
      <c r="E6" s="30">
        <v>9.0</v>
      </c>
      <c r="F6" s="30">
        <v>8.0</v>
      </c>
      <c r="G6" s="30">
        <v>11.0</v>
      </c>
      <c r="H6" s="30" t="s">
        <v>78</v>
      </c>
      <c r="I6" s="30">
        <v>10.0</v>
      </c>
      <c r="J6" s="30">
        <v>6.0</v>
      </c>
      <c r="K6" s="30">
        <v>8.0</v>
      </c>
      <c r="L6" s="30">
        <v>5.0</v>
      </c>
      <c r="M6" s="30">
        <v>8.0</v>
      </c>
      <c r="N6" s="30">
        <v>9.0</v>
      </c>
      <c r="O6" s="30">
        <v>4.0</v>
      </c>
      <c r="P6" s="30">
        <v>4.0</v>
      </c>
      <c r="Q6" s="30">
        <v>6.0</v>
      </c>
      <c r="R6" s="45"/>
      <c r="S6" s="45"/>
      <c r="T6" s="45"/>
      <c r="U6" s="45"/>
      <c r="V6" s="45"/>
      <c r="W6" s="45"/>
      <c r="X6" s="45"/>
      <c r="Y6" s="45"/>
      <c r="Z6" s="45"/>
    </row>
    <row r="7" ht="12.75" customHeight="1">
      <c r="A7" s="45">
        <v>5.0</v>
      </c>
      <c r="B7" s="29" t="s">
        <v>30</v>
      </c>
      <c r="C7" s="30">
        <v>8.0</v>
      </c>
      <c r="D7" s="30">
        <v>5.0</v>
      </c>
      <c r="E7" s="30">
        <v>9.0</v>
      </c>
      <c r="F7" s="30">
        <v>9.0</v>
      </c>
      <c r="G7" s="30">
        <v>9.0</v>
      </c>
      <c r="H7" s="30" t="s">
        <v>78</v>
      </c>
      <c r="I7" s="30">
        <v>7.0</v>
      </c>
      <c r="J7" s="30">
        <v>4.0</v>
      </c>
      <c r="K7" s="30">
        <v>5.0</v>
      </c>
      <c r="L7" s="30">
        <v>4.0</v>
      </c>
      <c r="M7" s="30">
        <v>6.0</v>
      </c>
      <c r="N7" s="30">
        <v>5.0</v>
      </c>
      <c r="O7" s="30" t="s">
        <v>78</v>
      </c>
      <c r="P7" s="30">
        <v>4.0</v>
      </c>
      <c r="Q7" s="30">
        <v>6.0</v>
      </c>
      <c r="R7" s="45"/>
      <c r="S7" s="45"/>
      <c r="T7" s="45"/>
      <c r="U7" s="45"/>
      <c r="V7" s="45"/>
      <c r="W7" s="45"/>
      <c r="X7" s="45"/>
      <c r="Y7" s="45"/>
      <c r="Z7" s="45"/>
    </row>
    <row r="8" ht="12.75" customHeight="1">
      <c r="A8" s="45">
        <v>6.0</v>
      </c>
      <c r="B8" s="29" t="s">
        <v>69</v>
      </c>
      <c r="C8" s="30">
        <v>7.0</v>
      </c>
      <c r="D8" s="30">
        <v>7.0</v>
      </c>
      <c r="E8" s="30">
        <v>9.0</v>
      </c>
      <c r="F8" s="30">
        <v>8.0</v>
      </c>
      <c r="G8" s="30">
        <v>8.0</v>
      </c>
      <c r="H8" s="30" t="s">
        <v>78</v>
      </c>
      <c r="I8" s="30">
        <v>8.0</v>
      </c>
      <c r="J8" s="30">
        <v>6.0</v>
      </c>
      <c r="K8" s="30">
        <v>7.0</v>
      </c>
      <c r="L8" s="30">
        <v>4.0</v>
      </c>
      <c r="M8" s="30">
        <v>6.0</v>
      </c>
      <c r="N8" s="30">
        <v>5.0</v>
      </c>
      <c r="O8" s="30">
        <v>4.0</v>
      </c>
      <c r="P8" s="30">
        <v>4.0</v>
      </c>
      <c r="Q8" s="30">
        <v>5.0</v>
      </c>
      <c r="R8" s="45"/>
      <c r="S8" s="45"/>
      <c r="T8" s="45"/>
      <c r="U8" s="45"/>
      <c r="V8" s="45"/>
      <c r="W8" s="45"/>
      <c r="X8" s="45"/>
      <c r="Y8" s="45"/>
      <c r="Z8" s="45"/>
    </row>
    <row r="9" ht="12.75" customHeight="1">
      <c r="A9" s="45">
        <v>7.0</v>
      </c>
      <c r="B9" s="29" t="s">
        <v>31</v>
      </c>
      <c r="C9" s="30">
        <v>10.0</v>
      </c>
      <c r="D9" s="30">
        <v>10.0</v>
      </c>
      <c r="E9" s="30">
        <v>10.0</v>
      </c>
      <c r="F9" s="30">
        <v>10.0</v>
      </c>
      <c r="G9" s="30">
        <v>10.0</v>
      </c>
      <c r="H9" s="30">
        <v>11.0</v>
      </c>
      <c r="I9" s="30">
        <v>11.0</v>
      </c>
      <c r="J9" s="30">
        <v>10.0</v>
      </c>
      <c r="K9" s="30">
        <v>9.0</v>
      </c>
      <c r="L9" s="30">
        <v>10.0</v>
      </c>
      <c r="M9" s="30">
        <v>10.0</v>
      </c>
      <c r="N9" s="30">
        <v>10.0</v>
      </c>
      <c r="O9" s="30">
        <v>10.0</v>
      </c>
      <c r="P9" s="30">
        <v>11.0</v>
      </c>
      <c r="Q9" s="30">
        <v>9.0</v>
      </c>
      <c r="R9" s="45"/>
      <c r="S9" s="45"/>
      <c r="T9" s="45"/>
      <c r="U9" s="45"/>
      <c r="V9" s="45"/>
      <c r="W9" s="45"/>
      <c r="X9" s="45"/>
      <c r="Y9" s="45"/>
      <c r="Z9" s="45"/>
    </row>
    <row r="10" ht="12.75" customHeight="1">
      <c r="A10" s="45">
        <v>8.0</v>
      </c>
      <c r="B10" s="29" t="s">
        <v>70</v>
      </c>
      <c r="C10" s="30">
        <v>7.0</v>
      </c>
      <c r="D10" s="30">
        <v>7.0</v>
      </c>
      <c r="E10" s="30">
        <v>6.0</v>
      </c>
      <c r="F10" s="30">
        <v>8.0</v>
      </c>
      <c r="G10" s="30">
        <v>7.0</v>
      </c>
      <c r="H10" s="30" t="s">
        <v>78</v>
      </c>
      <c r="I10" s="30">
        <v>7.0</v>
      </c>
      <c r="J10" s="30" t="s">
        <v>78</v>
      </c>
      <c r="K10" s="30" t="s">
        <v>78</v>
      </c>
      <c r="L10" s="30" t="s">
        <v>78</v>
      </c>
      <c r="M10" s="30">
        <v>7.0</v>
      </c>
      <c r="N10" s="30">
        <v>5.0</v>
      </c>
      <c r="O10" s="30" t="s">
        <v>78</v>
      </c>
      <c r="P10" s="30">
        <v>4.0</v>
      </c>
      <c r="Q10" s="30">
        <v>5.0</v>
      </c>
      <c r="R10" s="45"/>
      <c r="S10" s="45"/>
      <c r="T10" s="45"/>
      <c r="U10" s="45"/>
      <c r="V10" s="45"/>
      <c r="W10" s="45"/>
      <c r="X10" s="45"/>
      <c r="Y10" s="45"/>
      <c r="Z10" s="45"/>
    </row>
    <row r="11" ht="12.75" customHeight="1">
      <c r="A11" s="45">
        <v>9.0</v>
      </c>
      <c r="B11" s="29" t="s">
        <v>71</v>
      </c>
      <c r="C11" s="30">
        <v>9.0</v>
      </c>
      <c r="D11" s="30">
        <v>10.0</v>
      </c>
      <c r="E11" s="30">
        <v>10.0</v>
      </c>
      <c r="F11" s="30">
        <v>10.0</v>
      </c>
      <c r="G11" s="30">
        <v>11.0</v>
      </c>
      <c r="H11" s="30">
        <v>11.0</v>
      </c>
      <c r="I11" s="30">
        <v>11.0</v>
      </c>
      <c r="J11" s="30">
        <v>9.0</v>
      </c>
      <c r="K11" s="30">
        <v>9.0</v>
      </c>
      <c r="L11" s="30">
        <v>10.0</v>
      </c>
      <c r="M11" s="30">
        <v>10.0</v>
      </c>
      <c r="N11" s="30">
        <v>9.0</v>
      </c>
      <c r="O11" s="30">
        <v>9.0</v>
      </c>
      <c r="P11" s="30">
        <v>10.0</v>
      </c>
      <c r="Q11" s="30">
        <v>8.0</v>
      </c>
      <c r="R11" s="45"/>
      <c r="S11" s="45"/>
      <c r="T11" s="45"/>
      <c r="U11" s="45"/>
      <c r="V11" s="45"/>
      <c r="W11" s="45"/>
      <c r="X11" s="45"/>
      <c r="Y11" s="45"/>
      <c r="Z11" s="45"/>
    </row>
    <row r="12" ht="12.75" customHeight="1">
      <c r="A12" s="45">
        <v>10.0</v>
      </c>
      <c r="B12" s="29" t="s">
        <v>32</v>
      </c>
      <c r="C12" s="30">
        <v>9.0</v>
      </c>
      <c r="D12" s="30">
        <v>9.0</v>
      </c>
      <c r="E12" s="30">
        <v>10.0</v>
      </c>
      <c r="F12" s="30">
        <v>9.0</v>
      </c>
      <c r="G12" s="30">
        <v>11.0</v>
      </c>
      <c r="H12" s="30" t="s">
        <v>78</v>
      </c>
      <c r="I12" s="30">
        <v>10.0</v>
      </c>
      <c r="J12" s="30">
        <v>7.0</v>
      </c>
      <c r="K12" s="30">
        <v>8.0</v>
      </c>
      <c r="L12" s="30">
        <v>6.0</v>
      </c>
      <c r="M12" s="30">
        <v>8.0</v>
      </c>
      <c r="N12" s="30">
        <v>7.0</v>
      </c>
      <c r="O12" s="30">
        <v>6.0</v>
      </c>
      <c r="P12" s="30">
        <v>4.0</v>
      </c>
      <c r="Q12" s="30">
        <v>6.0</v>
      </c>
      <c r="R12" s="45"/>
      <c r="S12" s="45"/>
      <c r="T12" s="45"/>
      <c r="U12" s="45"/>
      <c r="V12" s="45"/>
      <c r="W12" s="45"/>
      <c r="X12" s="45"/>
      <c r="Y12" s="45"/>
      <c r="Z12" s="45"/>
    </row>
    <row r="13" ht="12.75" customHeight="1">
      <c r="A13" s="45">
        <v>11.0</v>
      </c>
      <c r="B13" s="29" t="s">
        <v>33</v>
      </c>
      <c r="C13" s="30">
        <v>7.0</v>
      </c>
      <c r="D13" s="30">
        <v>5.0</v>
      </c>
      <c r="E13" s="30">
        <v>6.0</v>
      </c>
      <c r="F13" s="30">
        <v>6.0</v>
      </c>
      <c r="G13" s="30">
        <v>5.0</v>
      </c>
      <c r="H13" s="30">
        <v>4.0</v>
      </c>
      <c r="I13" s="30">
        <v>5.0</v>
      </c>
      <c r="J13" s="30" t="s">
        <v>78</v>
      </c>
      <c r="K13" s="30">
        <v>5.0</v>
      </c>
      <c r="L13" s="30" t="s">
        <v>78</v>
      </c>
      <c r="M13" s="30">
        <v>6.0</v>
      </c>
      <c r="N13" s="30">
        <v>6.0</v>
      </c>
      <c r="O13" s="30">
        <v>4.0</v>
      </c>
      <c r="P13" s="30">
        <v>4.0</v>
      </c>
      <c r="Q13" s="30">
        <v>5.0</v>
      </c>
      <c r="R13" s="45"/>
      <c r="S13" s="45"/>
      <c r="T13" s="45"/>
      <c r="U13" s="45"/>
      <c r="V13" s="45"/>
      <c r="W13" s="45"/>
      <c r="X13" s="45"/>
      <c r="Y13" s="45"/>
      <c r="Z13" s="45"/>
    </row>
    <row r="14" ht="12.75" customHeight="1">
      <c r="A14" s="45">
        <v>12.0</v>
      </c>
      <c r="B14" s="29" t="s">
        <v>34</v>
      </c>
      <c r="C14" s="30">
        <v>9.0</v>
      </c>
      <c r="D14" s="30">
        <v>7.0</v>
      </c>
      <c r="E14" s="30">
        <v>8.0</v>
      </c>
      <c r="F14" s="30">
        <v>10.0</v>
      </c>
      <c r="G14" s="30">
        <v>10.0</v>
      </c>
      <c r="H14" s="30">
        <v>8.0</v>
      </c>
      <c r="I14" s="30">
        <v>10.0</v>
      </c>
      <c r="J14" s="30">
        <v>5.0</v>
      </c>
      <c r="K14" s="30">
        <v>6.0</v>
      </c>
      <c r="L14" s="30">
        <v>4.0</v>
      </c>
      <c r="M14" s="30">
        <v>6.0</v>
      </c>
      <c r="N14" s="30">
        <v>6.0</v>
      </c>
      <c r="O14" s="30">
        <v>4.0</v>
      </c>
      <c r="P14" s="30">
        <v>10.0</v>
      </c>
      <c r="Q14" s="30">
        <v>5.0</v>
      </c>
      <c r="R14" s="45"/>
      <c r="S14" s="45"/>
      <c r="T14" s="45"/>
      <c r="U14" s="45"/>
      <c r="V14" s="45"/>
      <c r="W14" s="45"/>
      <c r="X14" s="45"/>
      <c r="Y14" s="45"/>
      <c r="Z14" s="45"/>
    </row>
    <row r="15" ht="12.75" customHeight="1">
      <c r="A15" s="45">
        <v>13.0</v>
      </c>
      <c r="B15" s="29" t="s">
        <v>35</v>
      </c>
      <c r="C15" s="30">
        <v>7.0</v>
      </c>
      <c r="D15" s="30">
        <v>7.0</v>
      </c>
      <c r="E15" s="30">
        <v>8.0</v>
      </c>
      <c r="F15" s="30">
        <v>8.0</v>
      </c>
      <c r="G15" s="30">
        <v>7.0</v>
      </c>
      <c r="H15" s="30" t="s">
        <v>78</v>
      </c>
      <c r="I15" s="30">
        <v>7.0</v>
      </c>
      <c r="J15" s="30">
        <v>7.0</v>
      </c>
      <c r="K15" s="30">
        <v>8.0</v>
      </c>
      <c r="L15" s="30">
        <v>5.0</v>
      </c>
      <c r="M15" s="30">
        <v>8.0</v>
      </c>
      <c r="N15" s="30">
        <v>8.0</v>
      </c>
      <c r="O15" s="30">
        <v>4.0</v>
      </c>
      <c r="P15" s="30">
        <v>5.0</v>
      </c>
      <c r="Q15" s="30">
        <v>6.0</v>
      </c>
      <c r="R15" s="45"/>
      <c r="S15" s="45"/>
      <c r="T15" s="45"/>
      <c r="U15" s="45"/>
      <c r="V15" s="45"/>
      <c r="W15" s="45"/>
      <c r="X15" s="45"/>
      <c r="Y15" s="45"/>
      <c r="Z15" s="45"/>
    </row>
    <row r="16" ht="12.75" customHeight="1">
      <c r="A16" s="45">
        <v>14.0</v>
      </c>
      <c r="B16" s="29" t="s">
        <v>36</v>
      </c>
      <c r="C16" s="30">
        <v>8.0</v>
      </c>
      <c r="D16" s="30">
        <v>8.0</v>
      </c>
      <c r="E16" s="30">
        <v>8.0</v>
      </c>
      <c r="F16" s="30">
        <v>6.0</v>
      </c>
      <c r="G16" s="30">
        <v>9.0</v>
      </c>
      <c r="H16" s="30" t="s">
        <v>78</v>
      </c>
      <c r="I16" s="30">
        <v>7.0</v>
      </c>
      <c r="J16" s="30">
        <v>7.0</v>
      </c>
      <c r="K16" s="30">
        <v>5.0</v>
      </c>
      <c r="L16" s="30">
        <v>5.0</v>
      </c>
      <c r="M16" s="30">
        <v>7.0</v>
      </c>
      <c r="N16" s="30">
        <v>6.0</v>
      </c>
      <c r="O16" s="30">
        <v>5.0</v>
      </c>
      <c r="P16" s="30">
        <v>4.0</v>
      </c>
      <c r="Q16" s="30">
        <v>5.0</v>
      </c>
      <c r="R16" s="45"/>
      <c r="S16" s="45"/>
      <c r="T16" s="45"/>
      <c r="U16" s="45"/>
      <c r="V16" s="45"/>
      <c r="W16" s="45"/>
      <c r="X16" s="45"/>
      <c r="Y16" s="45"/>
      <c r="Z16" s="45"/>
    </row>
    <row r="17" ht="12.75" customHeight="1">
      <c r="A17" s="45">
        <v>15.0</v>
      </c>
      <c r="B17" s="29" t="s">
        <v>37</v>
      </c>
      <c r="C17" s="30">
        <v>10.0</v>
      </c>
      <c r="D17" s="30">
        <v>10.0</v>
      </c>
      <c r="E17" s="30">
        <v>10.0</v>
      </c>
      <c r="F17" s="30">
        <v>10.0</v>
      </c>
      <c r="G17" s="30">
        <v>11.0</v>
      </c>
      <c r="H17" s="30">
        <v>10.0</v>
      </c>
      <c r="I17" s="30">
        <v>11.0</v>
      </c>
      <c r="J17" s="30">
        <v>7.0</v>
      </c>
      <c r="K17" s="30">
        <v>6.0</v>
      </c>
      <c r="L17" s="30">
        <v>9.0</v>
      </c>
      <c r="M17" s="30">
        <v>9.0</v>
      </c>
      <c r="N17" s="30">
        <v>9.0</v>
      </c>
      <c r="O17" s="30">
        <v>9.0</v>
      </c>
      <c r="P17" s="30">
        <v>10.0</v>
      </c>
      <c r="Q17" s="30">
        <v>9.0</v>
      </c>
      <c r="R17" s="45"/>
      <c r="S17" s="45"/>
      <c r="T17" s="45"/>
      <c r="U17" s="45"/>
      <c r="V17" s="45"/>
      <c r="W17" s="45"/>
      <c r="X17" s="45"/>
      <c r="Y17" s="45"/>
      <c r="Z17" s="45"/>
    </row>
    <row r="18" ht="12.75" customHeight="1">
      <c r="A18" s="45">
        <v>16.0</v>
      </c>
      <c r="B18" s="29" t="s">
        <v>38</v>
      </c>
      <c r="C18" s="30">
        <v>10.0</v>
      </c>
      <c r="D18" s="30">
        <v>8.0</v>
      </c>
      <c r="E18" s="30">
        <v>9.0</v>
      </c>
      <c r="F18" s="30">
        <v>9.0</v>
      </c>
      <c r="G18" s="30">
        <v>10.0</v>
      </c>
      <c r="H18" s="30">
        <v>8.0</v>
      </c>
      <c r="I18" s="30">
        <v>6.0</v>
      </c>
      <c r="J18" s="30">
        <v>6.0</v>
      </c>
      <c r="K18" s="30">
        <v>8.0</v>
      </c>
      <c r="L18" s="30">
        <v>5.0</v>
      </c>
      <c r="M18" s="30">
        <v>6.0</v>
      </c>
      <c r="N18" s="30">
        <v>8.0</v>
      </c>
      <c r="O18" s="30">
        <v>6.0</v>
      </c>
      <c r="P18" s="30">
        <v>8.0</v>
      </c>
      <c r="Q18" s="30">
        <v>7.0</v>
      </c>
      <c r="R18" s="45"/>
      <c r="S18" s="45"/>
      <c r="T18" s="45"/>
      <c r="U18" s="45"/>
      <c r="V18" s="45"/>
      <c r="W18" s="45"/>
      <c r="X18" s="45"/>
      <c r="Y18" s="45"/>
      <c r="Z18" s="45"/>
    </row>
    <row r="19" ht="12.75" customHeight="1">
      <c r="A19" s="45">
        <v>17.0</v>
      </c>
      <c r="B19" s="29" t="s">
        <v>39</v>
      </c>
      <c r="C19" s="30">
        <v>9.0</v>
      </c>
      <c r="D19" s="30">
        <v>9.0</v>
      </c>
      <c r="E19" s="30">
        <v>8.0</v>
      </c>
      <c r="F19" s="30">
        <v>9.0</v>
      </c>
      <c r="G19" s="30">
        <v>9.0</v>
      </c>
      <c r="H19" s="30">
        <v>8.0</v>
      </c>
      <c r="I19" s="30">
        <v>9.0</v>
      </c>
      <c r="J19" s="30">
        <v>7.0</v>
      </c>
      <c r="K19" s="30">
        <v>8.0</v>
      </c>
      <c r="L19" s="30">
        <v>7.0</v>
      </c>
      <c r="M19" s="30">
        <v>9.0</v>
      </c>
      <c r="N19" s="30">
        <v>8.0</v>
      </c>
      <c r="O19" s="30">
        <v>6.0</v>
      </c>
      <c r="P19" s="30">
        <v>9.0</v>
      </c>
      <c r="Q19" s="30">
        <v>7.0</v>
      </c>
      <c r="R19" s="45"/>
      <c r="S19" s="45"/>
      <c r="T19" s="45"/>
      <c r="U19" s="45"/>
      <c r="V19" s="45"/>
      <c r="W19" s="45"/>
      <c r="X19" s="45"/>
      <c r="Y19" s="45"/>
      <c r="Z19" s="45"/>
    </row>
    <row r="20" ht="12.75" customHeight="1">
      <c r="A20" s="45">
        <v>18.0</v>
      </c>
      <c r="B20" s="29" t="s">
        <v>40</v>
      </c>
      <c r="C20" s="30">
        <v>9.0</v>
      </c>
      <c r="D20" s="30">
        <v>7.0</v>
      </c>
      <c r="E20" s="30">
        <v>8.0</v>
      </c>
      <c r="F20" s="30">
        <v>9.0</v>
      </c>
      <c r="G20" s="30">
        <v>10.0</v>
      </c>
      <c r="H20" s="30">
        <v>6.0</v>
      </c>
      <c r="I20" s="30">
        <v>9.0</v>
      </c>
      <c r="J20" s="30">
        <v>9.0</v>
      </c>
      <c r="K20" s="30">
        <v>7.0</v>
      </c>
      <c r="L20" s="30">
        <v>7.0</v>
      </c>
      <c r="M20" s="30">
        <v>8.0</v>
      </c>
      <c r="N20" s="30">
        <v>9.0</v>
      </c>
      <c r="O20" s="30">
        <v>6.0</v>
      </c>
      <c r="P20" s="30">
        <v>7.0</v>
      </c>
      <c r="Q20" s="30">
        <v>6.0</v>
      </c>
      <c r="R20" s="45"/>
      <c r="S20" s="45"/>
      <c r="T20" s="45"/>
      <c r="U20" s="45"/>
      <c r="V20" s="45"/>
      <c r="W20" s="45"/>
      <c r="X20" s="45"/>
      <c r="Y20" s="45"/>
      <c r="Z20" s="45"/>
    </row>
    <row r="21" ht="12.75" customHeight="1">
      <c r="A21" s="45">
        <v>19.0</v>
      </c>
      <c r="B21" s="29" t="s">
        <v>41</v>
      </c>
      <c r="C21" s="30">
        <v>7.0</v>
      </c>
      <c r="D21" s="30">
        <v>7.0</v>
      </c>
      <c r="E21" s="30">
        <v>6.0</v>
      </c>
      <c r="F21" s="30">
        <v>8.0</v>
      </c>
      <c r="G21" s="30">
        <v>9.0</v>
      </c>
      <c r="H21" s="30" t="s">
        <v>78</v>
      </c>
      <c r="I21" s="30">
        <v>5.0</v>
      </c>
      <c r="J21" s="30" t="s">
        <v>78</v>
      </c>
      <c r="K21" s="30" t="s">
        <v>78</v>
      </c>
      <c r="L21" s="30">
        <v>4.0</v>
      </c>
      <c r="M21" s="30">
        <v>5.0</v>
      </c>
      <c r="N21" s="30">
        <v>7.0</v>
      </c>
      <c r="O21" s="30" t="s">
        <v>78</v>
      </c>
      <c r="P21" s="30">
        <v>5.0</v>
      </c>
      <c r="Q21" s="30">
        <v>5.0</v>
      </c>
      <c r="R21" s="45"/>
      <c r="S21" s="45"/>
      <c r="T21" s="45"/>
      <c r="U21" s="45"/>
      <c r="V21" s="45"/>
      <c r="W21" s="45"/>
      <c r="X21" s="45"/>
      <c r="Y21" s="45"/>
      <c r="Z21" s="45"/>
    </row>
    <row r="22" ht="12.75" customHeight="1">
      <c r="A22" s="45">
        <v>20.0</v>
      </c>
      <c r="B22" s="29" t="s">
        <v>42</v>
      </c>
      <c r="C22" s="30">
        <v>9.0</v>
      </c>
      <c r="D22" s="30">
        <v>8.0</v>
      </c>
      <c r="E22" s="30">
        <v>10.0</v>
      </c>
      <c r="F22" s="30">
        <v>9.0</v>
      </c>
      <c r="G22" s="30">
        <v>9.0</v>
      </c>
      <c r="H22" s="30">
        <v>11.0</v>
      </c>
      <c r="I22" s="30">
        <v>8.0</v>
      </c>
      <c r="J22" s="30">
        <v>6.0</v>
      </c>
      <c r="K22" s="30">
        <v>8.0</v>
      </c>
      <c r="L22" s="30">
        <v>4.0</v>
      </c>
      <c r="M22" s="30">
        <v>8.0</v>
      </c>
      <c r="N22" s="30">
        <v>8.0</v>
      </c>
      <c r="O22" s="30">
        <v>5.0</v>
      </c>
      <c r="P22" s="30">
        <v>10.0</v>
      </c>
      <c r="Q22" s="30">
        <v>6.0</v>
      </c>
      <c r="R22" s="45"/>
      <c r="S22" s="45"/>
      <c r="T22" s="45"/>
      <c r="U22" s="45"/>
      <c r="V22" s="45"/>
      <c r="W22" s="45"/>
      <c r="X22" s="45"/>
      <c r="Y22" s="45"/>
      <c r="Z22" s="45"/>
    </row>
    <row r="23" ht="12.75" customHeight="1">
      <c r="A23" s="45">
        <v>21.0</v>
      </c>
      <c r="B23" s="29" t="s">
        <v>43</v>
      </c>
      <c r="C23" s="30">
        <v>10.0</v>
      </c>
      <c r="D23" s="30">
        <v>9.0</v>
      </c>
      <c r="E23" s="30">
        <v>9.0</v>
      </c>
      <c r="F23" s="30">
        <v>10.0</v>
      </c>
      <c r="G23" s="30">
        <v>10.0</v>
      </c>
      <c r="H23" s="30">
        <v>9.0</v>
      </c>
      <c r="I23" s="30">
        <v>10.0</v>
      </c>
      <c r="J23" s="30">
        <v>10.0</v>
      </c>
      <c r="K23" s="30">
        <v>10.0</v>
      </c>
      <c r="L23" s="30">
        <v>7.0</v>
      </c>
      <c r="M23" s="30">
        <v>10.0</v>
      </c>
      <c r="N23" s="30">
        <v>10.0</v>
      </c>
      <c r="O23" s="30">
        <v>9.0</v>
      </c>
      <c r="P23" s="30">
        <v>9.0</v>
      </c>
      <c r="Q23" s="30">
        <v>7.0</v>
      </c>
      <c r="R23" s="45"/>
      <c r="S23" s="45"/>
      <c r="T23" s="45"/>
      <c r="U23" s="45"/>
      <c r="V23" s="45"/>
      <c r="W23" s="45"/>
      <c r="X23" s="45"/>
      <c r="Y23" s="45"/>
      <c r="Z23" s="45"/>
    </row>
    <row r="24" ht="12.75" customHeight="1">
      <c r="A24" s="45">
        <v>22.0</v>
      </c>
      <c r="B24" s="29" t="s">
        <v>72</v>
      </c>
      <c r="C24" s="30">
        <v>9.0</v>
      </c>
      <c r="D24" s="30">
        <v>9.0</v>
      </c>
      <c r="E24" s="30">
        <v>9.0</v>
      </c>
      <c r="F24" s="30">
        <v>10.0</v>
      </c>
      <c r="G24" s="30">
        <v>11.0</v>
      </c>
      <c r="H24" s="30">
        <v>8.0</v>
      </c>
      <c r="I24" s="30">
        <v>11.0</v>
      </c>
      <c r="J24" s="30">
        <v>10.0</v>
      </c>
      <c r="K24" s="30">
        <v>9.0</v>
      </c>
      <c r="L24" s="30">
        <v>10.0</v>
      </c>
      <c r="M24" s="30">
        <v>10.0</v>
      </c>
      <c r="N24" s="30">
        <v>10.0</v>
      </c>
      <c r="O24" s="30">
        <v>8.0</v>
      </c>
      <c r="P24" s="30">
        <v>9.0</v>
      </c>
      <c r="Q24" s="30">
        <v>8.0</v>
      </c>
      <c r="R24" s="45"/>
      <c r="S24" s="45"/>
      <c r="T24" s="45"/>
      <c r="U24" s="45"/>
      <c r="V24" s="45"/>
      <c r="W24" s="45"/>
      <c r="X24" s="45"/>
      <c r="Y24" s="45"/>
      <c r="Z24" s="45"/>
    </row>
    <row r="25" ht="12.75" customHeight="1">
      <c r="A25" s="45">
        <v>23.0</v>
      </c>
      <c r="B25" s="29" t="s">
        <v>44</v>
      </c>
      <c r="C25" s="30">
        <v>9.0</v>
      </c>
      <c r="D25" s="30">
        <v>8.0</v>
      </c>
      <c r="E25" s="30">
        <v>8.0</v>
      </c>
      <c r="F25" s="30">
        <v>9.0</v>
      </c>
      <c r="G25" s="30">
        <v>10.0</v>
      </c>
      <c r="H25" s="30">
        <v>6.0</v>
      </c>
      <c r="I25" s="30">
        <v>9.0</v>
      </c>
      <c r="J25" s="30">
        <v>7.0</v>
      </c>
      <c r="K25" s="30">
        <v>8.0</v>
      </c>
      <c r="L25" s="30">
        <v>7.0</v>
      </c>
      <c r="M25" s="30">
        <v>9.0</v>
      </c>
      <c r="N25" s="30">
        <v>9.0</v>
      </c>
      <c r="O25" s="30">
        <v>8.0</v>
      </c>
      <c r="P25" s="30">
        <v>8.0</v>
      </c>
      <c r="Q25" s="30">
        <v>6.0</v>
      </c>
      <c r="R25" s="45"/>
      <c r="S25" s="45"/>
      <c r="T25" s="45"/>
      <c r="U25" s="45"/>
      <c r="V25" s="45"/>
      <c r="W25" s="45"/>
      <c r="X25" s="45"/>
      <c r="Y25" s="45"/>
      <c r="Z25" s="45"/>
    </row>
    <row r="26" ht="12.75" customHeight="1">
      <c r="A26" s="45">
        <v>24.0</v>
      </c>
      <c r="B26" s="29" t="s">
        <v>45</v>
      </c>
      <c r="C26" s="30">
        <v>9.0</v>
      </c>
      <c r="D26" s="30">
        <v>6.0</v>
      </c>
      <c r="E26" s="30">
        <v>9.0</v>
      </c>
      <c r="F26" s="30">
        <v>9.0</v>
      </c>
      <c r="G26" s="30">
        <v>9.0</v>
      </c>
      <c r="H26" s="30">
        <v>8.0</v>
      </c>
      <c r="I26" s="30">
        <v>7.0</v>
      </c>
      <c r="J26" s="30" t="s">
        <v>78</v>
      </c>
      <c r="K26" s="30">
        <v>8.0</v>
      </c>
      <c r="L26" s="30">
        <v>6.0</v>
      </c>
      <c r="M26" s="30">
        <v>7.0</v>
      </c>
      <c r="N26" s="30">
        <v>8.0</v>
      </c>
      <c r="O26" s="30">
        <v>6.0</v>
      </c>
      <c r="P26" s="30">
        <v>9.0</v>
      </c>
      <c r="Q26" s="30">
        <v>6.0</v>
      </c>
      <c r="R26" s="45"/>
      <c r="S26" s="45"/>
      <c r="T26" s="45"/>
      <c r="U26" s="45"/>
      <c r="V26" s="45"/>
      <c r="W26" s="45"/>
      <c r="X26" s="45"/>
      <c r="Y26" s="45"/>
      <c r="Z26" s="45"/>
    </row>
    <row r="27" ht="12.75" customHeight="1">
      <c r="A27" s="45">
        <v>25.0</v>
      </c>
      <c r="B27" s="29" t="s">
        <v>46</v>
      </c>
      <c r="C27" s="30">
        <v>8.0</v>
      </c>
      <c r="D27" s="30">
        <v>6.0</v>
      </c>
      <c r="E27" s="30">
        <v>9.0</v>
      </c>
      <c r="F27" s="30">
        <v>8.0</v>
      </c>
      <c r="G27" s="30">
        <v>7.0</v>
      </c>
      <c r="H27" s="30" t="s">
        <v>78</v>
      </c>
      <c r="I27" s="30">
        <v>6.0</v>
      </c>
      <c r="J27" s="30">
        <v>7.0</v>
      </c>
      <c r="K27" s="30">
        <v>5.0</v>
      </c>
      <c r="L27" s="30">
        <v>5.0</v>
      </c>
      <c r="M27" s="30">
        <v>7.0</v>
      </c>
      <c r="N27" s="30">
        <v>6.0</v>
      </c>
      <c r="O27" s="30">
        <v>5.0</v>
      </c>
      <c r="P27" s="30">
        <v>4.0</v>
      </c>
      <c r="Q27" s="30">
        <v>5.0</v>
      </c>
      <c r="R27" s="45"/>
      <c r="S27" s="45"/>
      <c r="T27" s="45"/>
      <c r="U27" s="45"/>
      <c r="V27" s="45"/>
      <c r="W27" s="45"/>
      <c r="X27" s="45"/>
      <c r="Y27" s="45"/>
      <c r="Z27" s="45"/>
    </row>
    <row r="28" ht="12.75" customHeight="1">
      <c r="A28" s="45">
        <v>26.0</v>
      </c>
      <c r="B28" s="29" t="s">
        <v>47</v>
      </c>
      <c r="C28" s="30">
        <v>8.0</v>
      </c>
      <c r="D28" s="30">
        <v>6.0</v>
      </c>
      <c r="E28" s="30">
        <v>6.0</v>
      </c>
      <c r="F28" s="30">
        <v>8.0</v>
      </c>
      <c r="G28" s="30">
        <v>5.0</v>
      </c>
      <c r="H28" s="30" t="s">
        <v>78</v>
      </c>
      <c r="I28" s="30">
        <v>5.0</v>
      </c>
      <c r="J28" s="30">
        <v>5.0</v>
      </c>
      <c r="K28" s="30" t="s">
        <v>78</v>
      </c>
      <c r="L28" s="30">
        <v>4.0</v>
      </c>
      <c r="M28" s="30">
        <v>5.0</v>
      </c>
      <c r="N28" s="30">
        <v>6.0</v>
      </c>
      <c r="O28" s="30" t="s">
        <v>78</v>
      </c>
      <c r="P28" s="30">
        <v>9.0</v>
      </c>
      <c r="Q28" s="30">
        <v>6.0</v>
      </c>
      <c r="R28" s="45"/>
      <c r="S28" s="45"/>
      <c r="T28" s="45"/>
      <c r="U28" s="45"/>
      <c r="V28" s="45"/>
      <c r="W28" s="45"/>
      <c r="X28" s="45"/>
      <c r="Y28" s="45"/>
      <c r="Z28" s="45"/>
    </row>
    <row r="29" ht="12.75" customHeight="1">
      <c r="A29" s="45">
        <v>27.0</v>
      </c>
      <c r="B29" s="29" t="s">
        <v>48</v>
      </c>
      <c r="C29" s="30">
        <v>6.0</v>
      </c>
      <c r="D29" s="30">
        <v>6.0</v>
      </c>
      <c r="E29" s="30">
        <v>6.0</v>
      </c>
      <c r="F29" s="30">
        <v>5.0</v>
      </c>
      <c r="G29" s="30">
        <v>5.0</v>
      </c>
      <c r="H29" s="30">
        <v>4.0</v>
      </c>
      <c r="I29" s="30">
        <v>5.0</v>
      </c>
      <c r="J29" s="30" t="s">
        <v>78</v>
      </c>
      <c r="K29" s="30">
        <v>6.0</v>
      </c>
      <c r="L29" s="30" t="s">
        <v>78</v>
      </c>
      <c r="M29" s="30">
        <v>6.0</v>
      </c>
      <c r="N29" s="30">
        <v>7.0</v>
      </c>
      <c r="O29" s="30">
        <v>4.0</v>
      </c>
      <c r="P29" s="30">
        <v>5.0</v>
      </c>
      <c r="Q29" s="30">
        <v>5.0</v>
      </c>
      <c r="R29" s="45"/>
      <c r="S29" s="45"/>
      <c r="T29" s="45"/>
      <c r="U29" s="45"/>
      <c r="V29" s="45"/>
      <c r="W29" s="45"/>
      <c r="X29" s="45"/>
      <c r="Y29" s="45"/>
      <c r="Z29" s="45"/>
    </row>
    <row r="30" ht="12.75" customHeight="1">
      <c r="A30" s="45">
        <v>28.0</v>
      </c>
      <c r="B30" s="29" t="s">
        <v>49</v>
      </c>
      <c r="C30" s="30">
        <v>10.0</v>
      </c>
      <c r="D30" s="30">
        <v>8.0</v>
      </c>
      <c r="E30" s="30">
        <v>9.0</v>
      </c>
      <c r="F30" s="30">
        <v>10.0</v>
      </c>
      <c r="G30" s="30">
        <v>8.0</v>
      </c>
      <c r="H30" s="30">
        <v>7.0</v>
      </c>
      <c r="I30" s="30">
        <v>9.0</v>
      </c>
      <c r="J30" s="30">
        <v>7.0</v>
      </c>
      <c r="K30" s="30">
        <v>8.0</v>
      </c>
      <c r="L30" s="30">
        <v>8.0</v>
      </c>
      <c r="M30" s="30">
        <v>7.0</v>
      </c>
      <c r="N30" s="30">
        <v>7.0</v>
      </c>
      <c r="O30" s="30">
        <v>6.0</v>
      </c>
      <c r="P30" s="30">
        <v>9.0</v>
      </c>
      <c r="Q30" s="30">
        <v>5.0</v>
      </c>
      <c r="R30" s="45"/>
      <c r="S30" s="45"/>
      <c r="T30" s="45"/>
      <c r="U30" s="45"/>
      <c r="V30" s="45"/>
      <c r="W30" s="45"/>
      <c r="X30" s="45"/>
      <c r="Y30" s="45"/>
      <c r="Z30" s="45"/>
    </row>
    <row r="31" ht="12.75" customHeight="1">
      <c r="A31" s="45">
        <v>29.0</v>
      </c>
      <c r="B31" s="29" t="s">
        <v>50</v>
      </c>
      <c r="C31" s="30">
        <v>10.0</v>
      </c>
      <c r="D31" s="30">
        <v>8.0</v>
      </c>
      <c r="E31" s="30">
        <v>10.0</v>
      </c>
      <c r="F31" s="30">
        <v>10.0</v>
      </c>
      <c r="G31" s="30">
        <v>10.0</v>
      </c>
      <c r="H31" s="30">
        <v>7.0</v>
      </c>
      <c r="I31" s="30">
        <v>7.0</v>
      </c>
      <c r="J31" s="30">
        <v>7.0</v>
      </c>
      <c r="K31" s="30">
        <v>9.0</v>
      </c>
      <c r="L31" s="30">
        <v>7.0</v>
      </c>
      <c r="M31" s="30">
        <v>9.0</v>
      </c>
      <c r="N31" s="30">
        <v>9.0</v>
      </c>
      <c r="O31" s="30">
        <v>6.0</v>
      </c>
      <c r="P31" s="30">
        <v>7.0</v>
      </c>
      <c r="Q31" s="30">
        <v>6.0</v>
      </c>
      <c r="R31" s="45"/>
      <c r="S31" s="45"/>
      <c r="T31" s="45"/>
      <c r="U31" s="45"/>
      <c r="V31" s="45"/>
      <c r="W31" s="45"/>
      <c r="X31" s="45"/>
      <c r="Y31" s="45"/>
      <c r="Z31" s="45"/>
    </row>
    <row r="32" ht="12.75" customHeight="1">
      <c r="A32" s="45">
        <v>30.0</v>
      </c>
      <c r="B32" s="29" t="s">
        <v>51</v>
      </c>
      <c r="C32" s="30">
        <v>9.0</v>
      </c>
      <c r="D32" s="30">
        <v>7.0</v>
      </c>
      <c r="E32" s="30">
        <v>9.0</v>
      </c>
      <c r="F32" s="30">
        <v>10.0</v>
      </c>
      <c r="G32" s="30">
        <v>8.0</v>
      </c>
      <c r="H32" s="30">
        <v>8.0</v>
      </c>
      <c r="I32" s="30">
        <v>9.0</v>
      </c>
      <c r="J32" s="30">
        <v>6.0</v>
      </c>
      <c r="K32" s="30">
        <v>6.0</v>
      </c>
      <c r="L32" s="30">
        <v>5.0</v>
      </c>
      <c r="M32" s="30">
        <v>7.0</v>
      </c>
      <c r="N32" s="30">
        <v>7.0</v>
      </c>
      <c r="O32" s="30">
        <v>4.0</v>
      </c>
      <c r="P32" s="30">
        <v>7.0</v>
      </c>
      <c r="Q32" s="30">
        <v>6.0</v>
      </c>
      <c r="R32" s="45"/>
      <c r="S32" s="45"/>
      <c r="T32" s="45"/>
      <c r="U32" s="45"/>
      <c r="V32" s="45"/>
      <c r="W32" s="45"/>
      <c r="X32" s="45"/>
      <c r="Y32" s="45"/>
      <c r="Z32" s="45"/>
    </row>
    <row r="33" ht="12.75" customHeight="1">
      <c r="A33" s="45">
        <v>31.0</v>
      </c>
      <c r="B33" s="29" t="s">
        <v>73</v>
      </c>
      <c r="C33" s="30">
        <v>7.0</v>
      </c>
      <c r="D33" s="30">
        <v>7.0</v>
      </c>
      <c r="E33" s="30">
        <v>6.0</v>
      </c>
      <c r="F33" s="30">
        <v>6.0</v>
      </c>
      <c r="G33" s="30">
        <v>9.0</v>
      </c>
      <c r="H33" s="30">
        <v>5.0</v>
      </c>
      <c r="I33" s="30">
        <v>6.0</v>
      </c>
      <c r="J33" s="30" t="s">
        <v>78</v>
      </c>
      <c r="K33" s="30">
        <v>4.0</v>
      </c>
      <c r="L33" s="30" t="s">
        <v>78</v>
      </c>
      <c r="M33" s="30">
        <v>6.0</v>
      </c>
      <c r="N33" s="30">
        <v>6.0</v>
      </c>
      <c r="O33" s="30">
        <v>4.0</v>
      </c>
      <c r="P33" s="30">
        <v>4.0</v>
      </c>
      <c r="Q33" s="30">
        <v>5.0</v>
      </c>
      <c r="R33" s="45"/>
      <c r="S33" s="45"/>
      <c r="T33" s="45"/>
      <c r="U33" s="45"/>
      <c r="V33" s="45"/>
      <c r="W33" s="45"/>
      <c r="X33" s="45"/>
      <c r="Y33" s="45"/>
      <c r="Z33" s="45"/>
    </row>
    <row r="34" ht="12.75" customHeight="1">
      <c r="A34" s="45">
        <v>32.0</v>
      </c>
      <c r="B34" s="29" t="s">
        <v>74</v>
      </c>
      <c r="C34" s="30">
        <v>10.0</v>
      </c>
      <c r="D34" s="30">
        <v>9.0</v>
      </c>
      <c r="E34" s="30">
        <v>8.0</v>
      </c>
      <c r="F34" s="30">
        <v>9.0</v>
      </c>
      <c r="G34" s="30">
        <v>11.0</v>
      </c>
      <c r="H34" s="30">
        <v>7.0</v>
      </c>
      <c r="I34" s="30">
        <v>9.0</v>
      </c>
      <c r="J34" s="30">
        <v>10.0</v>
      </c>
      <c r="K34" s="30">
        <v>7.0</v>
      </c>
      <c r="L34" s="30">
        <v>7.0</v>
      </c>
      <c r="M34" s="30">
        <v>9.0</v>
      </c>
      <c r="N34" s="30">
        <v>9.0</v>
      </c>
      <c r="O34" s="30">
        <v>6.0</v>
      </c>
      <c r="P34" s="30">
        <v>4.0</v>
      </c>
      <c r="Q34" s="30">
        <v>6.0</v>
      </c>
      <c r="R34" s="45"/>
      <c r="S34" s="45"/>
      <c r="T34" s="45"/>
      <c r="U34" s="45"/>
      <c r="V34" s="45"/>
      <c r="W34" s="45"/>
      <c r="X34" s="45"/>
      <c r="Y34" s="45"/>
      <c r="Z34" s="45"/>
    </row>
    <row r="35" ht="12.75" customHeight="1">
      <c r="A35" s="45">
        <v>33.0</v>
      </c>
      <c r="B35" s="29" t="s">
        <v>52</v>
      </c>
      <c r="C35" s="30">
        <v>10.0</v>
      </c>
      <c r="D35" s="30">
        <v>10.0</v>
      </c>
      <c r="E35" s="30">
        <v>10.0</v>
      </c>
      <c r="F35" s="30">
        <v>10.0</v>
      </c>
      <c r="G35" s="30">
        <v>10.0</v>
      </c>
      <c r="H35" s="30">
        <v>8.0</v>
      </c>
      <c r="I35" s="30">
        <v>9.0</v>
      </c>
      <c r="J35" s="30">
        <v>10.0</v>
      </c>
      <c r="K35" s="30">
        <v>8.0</v>
      </c>
      <c r="L35" s="30">
        <v>7.0</v>
      </c>
      <c r="M35" s="30">
        <v>9.0</v>
      </c>
      <c r="N35" s="30">
        <v>10.0</v>
      </c>
      <c r="O35" s="30">
        <v>9.0</v>
      </c>
      <c r="P35" s="30">
        <v>8.0</v>
      </c>
      <c r="Q35" s="30">
        <v>6.0</v>
      </c>
      <c r="R35" s="45"/>
      <c r="S35" s="45"/>
      <c r="T35" s="45"/>
      <c r="U35" s="45"/>
      <c r="V35" s="45"/>
      <c r="W35" s="45"/>
      <c r="X35" s="45"/>
      <c r="Y35" s="45"/>
      <c r="Z35" s="45"/>
    </row>
    <row r="36" ht="12.75" customHeight="1">
      <c r="A36" s="45">
        <v>34.0</v>
      </c>
      <c r="B36" s="29" t="s">
        <v>75</v>
      </c>
      <c r="C36" s="30">
        <v>10.0</v>
      </c>
      <c r="D36" s="30">
        <v>10.0</v>
      </c>
      <c r="E36" s="30">
        <v>9.0</v>
      </c>
      <c r="F36" s="30">
        <v>10.0</v>
      </c>
      <c r="G36" s="30">
        <v>11.0</v>
      </c>
      <c r="H36" s="30">
        <v>10.0</v>
      </c>
      <c r="I36" s="30">
        <v>11.0</v>
      </c>
      <c r="J36" s="30">
        <v>9.0</v>
      </c>
      <c r="K36" s="30">
        <v>10.0</v>
      </c>
      <c r="L36" s="30">
        <v>10.0</v>
      </c>
      <c r="M36" s="30">
        <v>9.0</v>
      </c>
      <c r="N36" s="30">
        <v>10.0</v>
      </c>
      <c r="O36" s="30">
        <v>9.0</v>
      </c>
      <c r="P36" s="30">
        <v>11.0</v>
      </c>
      <c r="Q36" s="30">
        <v>7.0</v>
      </c>
      <c r="R36" s="45"/>
      <c r="S36" s="45"/>
      <c r="T36" s="45"/>
      <c r="U36" s="45"/>
      <c r="V36" s="45"/>
      <c r="W36" s="45"/>
      <c r="X36" s="45"/>
      <c r="Y36" s="45"/>
      <c r="Z36" s="45"/>
    </row>
    <row r="37" ht="12.75" customHeight="1">
      <c r="A37" s="45">
        <v>35.0</v>
      </c>
      <c r="B37" s="29" t="s">
        <v>53</v>
      </c>
      <c r="C37" s="30">
        <v>10.0</v>
      </c>
      <c r="D37" s="30">
        <v>10.0</v>
      </c>
      <c r="E37" s="30">
        <v>9.0</v>
      </c>
      <c r="F37" s="30">
        <v>9.0</v>
      </c>
      <c r="G37" s="30">
        <v>11.0</v>
      </c>
      <c r="H37" s="30">
        <v>9.0</v>
      </c>
      <c r="I37" s="30">
        <v>11.0</v>
      </c>
      <c r="J37" s="30">
        <v>10.0</v>
      </c>
      <c r="K37" s="30">
        <v>9.0</v>
      </c>
      <c r="L37" s="30">
        <v>10.0</v>
      </c>
      <c r="M37" s="30">
        <v>10.0</v>
      </c>
      <c r="N37" s="30">
        <v>10.0</v>
      </c>
      <c r="O37" s="30">
        <v>8.0</v>
      </c>
      <c r="P37" s="30">
        <v>9.0</v>
      </c>
      <c r="Q37" s="30">
        <v>7.0</v>
      </c>
      <c r="R37" s="45"/>
      <c r="S37" s="45"/>
      <c r="T37" s="45"/>
      <c r="U37" s="45"/>
      <c r="V37" s="45"/>
      <c r="W37" s="45"/>
      <c r="X37" s="45"/>
      <c r="Y37" s="45"/>
      <c r="Z37" s="45"/>
    </row>
    <row r="38" ht="12.75" customHeight="1">
      <c r="A38" s="45">
        <v>36.0</v>
      </c>
      <c r="B38" s="29" t="s">
        <v>76</v>
      </c>
      <c r="C38" s="30">
        <v>10.0</v>
      </c>
      <c r="D38" s="30">
        <v>10.0</v>
      </c>
      <c r="E38" s="30">
        <v>10.0</v>
      </c>
      <c r="F38" s="30">
        <v>9.0</v>
      </c>
      <c r="G38" s="30">
        <v>10.0</v>
      </c>
      <c r="H38" s="30">
        <v>10.0</v>
      </c>
      <c r="I38" s="30">
        <v>10.0</v>
      </c>
      <c r="J38" s="30">
        <v>10.0</v>
      </c>
      <c r="K38" s="30">
        <v>7.0</v>
      </c>
      <c r="L38" s="30">
        <v>9.0</v>
      </c>
      <c r="M38" s="30">
        <v>9.0</v>
      </c>
      <c r="N38" s="30">
        <v>9.0</v>
      </c>
      <c r="O38" s="30">
        <v>9.0</v>
      </c>
      <c r="P38" s="30">
        <v>10.0</v>
      </c>
      <c r="Q38" s="30">
        <v>7.0</v>
      </c>
      <c r="R38" s="45"/>
      <c r="S38" s="45"/>
      <c r="T38" s="45"/>
      <c r="U38" s="45"/>
      <c r="V38" s="45"/>
      <c r="W38" s="45"/>
      <c r="X38" s="45"/>
      <c r="Y38" s="45"/>
      <c r="Z38" s="45"/>
    </row>
    <row r="39" ht="12.75" customHeight="1">
      <c r="A39" s="45"/>
      <c r="B39" s="29" t="s">
        <v>54</v>
      </c>
      <c r="C39" s="34">
        <f t="shared" ref="C39:Q39" si="1">IF(SUM(C3:C38)=0,"",SUM(C12:C38)/$A38)</f>
        <v>6.638888889</v>
      </c>
      <c r="D39" s="34">
        <f t="shared" si="1"/>
        <v>5.944444444</v>
      </c>
      <c r="E39" s="34">
        <f t="shared" si="1"/>
        <v>6.305555556</v>
      </c>
      <c r="F39" s="34">
        <f t="shared" si="1"/>
        <v>6.527777778</v>
      </c>
      <c r="G39" s="34">
        <f t="shared" si="1"/>
        <v>6.805555556</v>
      </c>
      <c r="H39" s="34">
        <f t="shared" si="1"/>
        <v>4.472222222</v>
      </c>
      <c r="I39" s="34">
        <f t="shared" si="1"/>
        <v>6.138888889</v>
      </c>
      <c r="J39" s="34">
        <f t="shared" si="1"/>
        <v>4.694444444</v>
      </c>
      <c r="K39" s="34">
        <f t="shared" si="1"/>
        <v>5.083333333</v>
      </c>
      <c r="L39" s="34">
        <f t="shared" si="1"/>
        <v>4.388888889</v>
      </c>
      <c r="M39" s="34">
        <f t="shared" si="1"/>
        <v>5.805555556</v>
      </c>
      <c r="N39" s="34">
        <f t="shared" si="1"/>
        <v>5.972222222</v>
      </c>
      <c r="O39" s="34">
        <f t="shared" si="1"/>
        <v>4.333333333</v>
      </c>
      <c r="P39" s="34">
        <f t="shared" si="1"/>
        <v>5.5</v>
      </c>
      <c r="Q39" s="34">
        <f t="shared" si="1"/>
        <v>4.583333333</v>
      </c>
      <c r="R39" s="45"/>
      <c r="S39" s="45"/>
      <c r="T39" s="45"/>
      <c r="U39" s="45"/>
      <c r="V39" s="45"/>
      <c r="W39" s="45"/>
      <c r="X39" s="45"/>
      <c r="Y39" s="45"/>
      <c r="Z39" s="45"/>
    </row>
    <row r="40" ht="12.75" customHeight="1">
      <c r="A40" s="45"/>
      <c r="B40" s="29" t="s">
        <v>55</v>
      </c>
      <c r="C40" s="35">
        <f t="shared" ref="C40:Q40" si="2">IF(SUM(C3:C38)=0,"",IF(COUNTIF(C12:C38,"&gt;=4")=0,0,COUNTIF(C12:C38,"&gt;=4")/$A38*100))</f>
        <v>75</v>
      </c>
      <c r="D40" s="35">
        <f t="shared" si="2"/>
        <v>75</v>
      </c>
      <c r="E40" s="35">
        <f t="shared" si="2"/>
        <v>75</v>
      </c>
      <c r="F40" s="35">
        <f t="shared" si="2"/>
        <v>75</v>
      </c>
      <c r="G40" s="35">
        <f t="shared" si="2"/>
        <v>75</v>
      </c>
      <c r="H40" s="35">
        <f t="shared" si="2"/>
        <v>58.33333333</v>
      </c>
      <c r="I40" s="35">
        <f t="shared" si="2"/>
        <v>75</v>
      </c>
      <c r="J40" s="35">
        <f t="shared" si="2"/>
        <v>61.11111111</v>
      </c>
      <c r="K40" s="35">
        <f t="shared" si="2"/>
        <v>69.44444444</v>
      </c>
      <c r="L40" s="35">
        <f t="shared" si="2"/>
        <v>66.66666667</v>
      </c>
      <c r="M40" s="35">
        <f t="shared" si="2"/>
        <v>75</v>
      </c>
      <c r="N40" s="35">
        <f t="shared" si="2"/>
        <v>75</v>
      </c>
      <c r="O40" s="35">
        <f t="shared" si="2"/>
        <v>69.44444444</v>
      </c>
      <c r="P40" s="35">
        <f t="shared" si="2"/>
        <v>75</v>
      </c>
      <c r="Q40" s="35">
        <f t="shared" si="2"/>
        <v>75</v>
      </c>
      <c r="R40" s="45"/>
      <c r="S40" s="45"/>
      <c r="T40" s="45"/>
      <c r="U40" s="45"/>
      <c r="V40" s="45"/>
      <c r="W40" s="45"/>
      <c r="X40" s="45"/>
      <c r="Y40" s="45"/>
      <c r="Z40" s="45"/>
    </row>
    <row r="41" ht="12.75" customHeight="1">
      <c r="A41" s="45"/>
      <c r="B41" s="29" t="s">
        <v>56</v>
      </c>
      <c r="C41" s="35">
        <f t="shared" ref="C41:Q41" si="3">IF(SUM(C3:C38)=0,"",IF(COUNTIF(C12:C38,"&gt;=7")=0,0,COUNTIF(C12:C38,"&gt;=7")/$A38*100))</f>
        <v>72.22222222</v>
      </c>
      <c r="D41" s="35">
        <f t="shared" si="3"/>
        <v>61.11111111</v>
      </c>
      <c r="E41" s="35">
        <f t="shared" si="3"/>
        <v>61.11111111</v>
      </c>
      <c r="F41" s="35">
        <f t="shared" si="3"/>
        <v>63.88888889</v>
      </c>
      <c r="G41" s="35">
        <f t="shared" si="3"/>
        <v>66.66666667</v>
      </c>
      <c r="H41" s="35">
        <f t="shared" si="3"/>
        <v>44.44444444</v>
      </c>
      <c r="I41" s="35">
        <f t="shared" si="3"/>
        <v>55.55555556</v>
      </c>
      <c r="J41" s="35">
        <f t="shared" si="3"/>
        <v>47.22222222</v>
      </c>
      <c r="K41" s="35">
        <f t="shared" si="3"/>
        <v>47.22222222</v>
      </c>
      <c r="L41" s="35">
        <f t="shared" si="3"/>
        <v>36.11111111</v>
      </c>
      <c r="M41" s="35">
        <f t="shared" si="3"/>
        <v>55.55555556</v>
      </c>
      <c r="N41" s="35">
        <f t="shared" si="3"/>
        <v>58.33333333</v>
      </c>
      <c r="O41" s="35">
        <f t="shared" si="3"/>
        <v>22.22222222</v>
      </c>
      <c r="P41" s="35">
        <f t="shared" si="3"/>
        <v>50</v>
      </c>
      <c r="Q41" s="35">
        <f t="shared" si="3"/>
        <v>22.22222222</v>
      </c>
      <c r="R41" s="45"/>
      <c r="S41" s="45"/>
      <c r="T41" s="45"/>
      <c r="U41" s="45"/>
      <c r="V41" s="45"/>
      <c r="W41" s="45"/>
      <c r="X41" s="45"/>
      <c r="Y41" s="45"/>
      <c r="Z41" s="45"/>
    </row>
    <row r="42" ht="12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2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2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2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2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2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2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2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2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2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2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2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2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2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2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2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2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2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2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2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2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2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2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2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2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2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2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2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2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2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2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2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2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2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2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2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2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2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2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2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2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2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2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2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2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2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2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2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2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2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2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2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2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2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2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2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2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2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2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2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2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2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2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2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2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2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2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2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2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2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2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2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2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2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2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2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2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2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2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2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2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2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2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2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2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2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2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2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2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2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2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2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2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2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2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2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2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2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2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2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2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2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2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2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2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2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2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2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2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2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2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2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2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2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2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2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2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2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2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2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2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2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2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2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2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2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2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2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2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2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2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2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2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2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2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2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2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2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2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2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2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2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2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2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2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2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2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2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2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2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2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2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2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2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2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2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2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2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2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2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2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2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2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2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2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2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2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2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2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2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2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2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2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2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2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2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2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2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2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2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2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2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2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2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2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2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2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2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2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2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2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2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2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2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2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2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2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2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2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2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2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2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2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2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2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2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2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2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2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2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2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2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2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2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2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2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2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2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2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2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2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2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2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2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2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2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2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2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2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2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2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2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2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2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2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2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2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2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2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2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2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2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2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2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2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2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2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2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2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2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2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2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2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2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2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2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2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2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2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2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2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2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2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2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2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2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2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2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2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2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2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2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2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2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2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2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2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2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2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2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2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2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2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2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2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2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2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2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2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2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2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2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2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2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2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2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2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2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2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2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2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2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2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2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2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2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2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2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2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2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2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2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2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2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2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2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2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2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2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2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2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2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2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2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2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2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2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2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2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2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2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2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2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2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2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2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2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2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2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2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2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2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2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2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2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2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2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2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2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2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2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2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2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2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2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2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2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2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2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2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2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2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2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2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2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2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2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2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2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2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2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2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2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2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2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2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2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2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2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2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2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2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2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2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2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2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2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2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2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2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2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2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2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2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2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2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2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2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2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2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2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2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2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2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2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2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2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2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2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2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2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2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2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2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2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2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2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2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2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2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2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2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2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2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2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2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2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2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2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2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2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2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2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2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2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2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2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2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2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2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2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2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2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2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2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2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2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2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2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2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2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2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2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2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2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2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2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2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2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2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2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2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2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2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2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2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2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2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2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2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2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2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2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2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2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2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2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2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2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2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2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2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2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2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2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2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2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2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2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2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2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2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2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2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2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2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2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2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2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2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2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2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2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2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2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2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2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2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2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2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2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2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2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2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2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2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2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2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2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2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2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2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2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2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2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2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2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2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2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2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2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2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2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2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2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2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2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2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2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2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2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2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2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2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2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2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2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2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2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2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2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2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2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2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2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2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2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2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2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2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2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2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2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2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2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2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2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2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2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2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2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2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2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2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2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2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2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2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2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2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2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2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2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2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2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2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2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2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2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2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2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2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2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2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2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2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2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2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2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2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2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2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2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2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2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2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2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2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2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2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2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2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2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2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2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2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2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2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2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2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2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2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2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2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2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2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2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2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2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2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2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2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2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2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2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2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2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2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2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2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2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2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2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2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2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2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2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2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2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2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2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2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2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2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2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2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2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2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2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2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2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2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2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2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2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2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2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2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2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2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2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2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2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2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2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2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2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2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2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2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2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2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2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2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2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2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2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2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2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2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2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2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2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2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2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2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2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2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2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2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2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2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2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2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2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2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2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2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2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2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2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2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2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2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2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2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2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2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2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2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2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2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2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2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2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2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2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2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2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2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2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2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2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2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2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2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2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2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2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2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2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2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2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2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2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2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2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2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2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2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2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2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2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2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2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2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2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2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2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2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2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2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2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2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2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2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2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2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2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2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2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2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2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2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2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2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2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2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2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2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2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2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2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2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2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2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2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2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2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2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2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2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2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2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2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2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2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2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2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2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2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2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2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2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2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2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2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2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2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2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2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2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2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2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2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2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2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2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2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2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2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2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2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2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2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2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2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2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2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2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2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2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2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2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2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2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2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2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2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2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2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2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2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2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2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2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2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2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2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2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2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2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2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2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2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2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2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2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2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2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2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2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2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2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2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2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2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2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2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2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2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2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2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2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2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2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2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2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2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2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2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2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2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2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2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2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2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2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2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2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2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2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2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2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2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2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2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2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2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2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2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2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2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2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2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2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2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2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2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2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2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2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2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2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2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2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2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2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2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2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2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2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2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2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2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2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2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2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2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2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2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2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2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2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2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2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2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2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2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2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2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2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2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2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2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2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2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2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2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2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2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2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2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2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2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2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2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2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2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conditionalFormatting sqref="B3:P3 C4:P4 C6:P7 C9:P9 C12:P35">
    <cfRule type="expression" dxfId="0" priority="1">
      <formula>$U$11&lt;&gt;""</formula>
    </cfRule>
  </conditionalFormatting>
  <conditionalFormatting sqref="B4">
    <cfRule type="expression" dxfId="0" priority="2">
      <formula>$U$12&lt;&gt;""</formula>
    </cfRule>
  </conditionalFormatting>
  <conditionalFormatting sqref="B6">
    <cfRule type="expression" dxfId="0" priority="3">
      <formula>$U$13&lt;&gt;""</formula>
    </cfRule>
  </conditionalFormatting>
  <conditionalFormatting sqref="B7">
    <cfRule type="expression" dxfId="0" priority="4">
      <formula>$U$14&lt;&gt;""</formula>
    </cfRule>
  </conditionalFormatting>
  <conditionalFormatting sqref="B14">
    <cfRule type="expression" dxfId="0" priority="5">
      <formula>$U$15&lt;&gt;""</formula>
    </cfRule>
  </conditionalFormatting>
  <conditionalFormatting sqref="B13 B16 B18:B21 B23 B27 B29 B31 B35">
    <cfRule type="expression" dxfId="0" priority="6">
      <formula>$U$16&lt;&gt;""</formula>
    </cfRule>
  </conditionalFormatting>
  <conditionalFormatting sqref="B25">
    <cfRule type="expression" dxfId="0" priority="7">
      <formula>$U$18&lt;&gt;""</formula>
    </cfRule>
  </conditionalFormatting>
  <conditionalFormatting sqref="B30 B32">
    <cfRule type="expression" dxfId="0" priority="8">
      <formula>$U$19&lt;&gt;""</formula>
    </cfRule>
  </conditionalFormatting>
  <conditionalFormatting sqref="B33">
    <cfRule type="expression" dxfId="0" priority="9">
      <formula>$U$38&lt;&gt;""</formula>
    </cfRule>
  </conditionalFormatting>
  <conditionalFormatting sqref="B5:P5 B8:P8 B10:P11 B34 B36:P38">
    <cfRule type="expression" dxfId="0" priority="10">
      <formula>#REF!&lt;&gt;""</formula>
    </cfRule>
  </conditionalFormatting>
  <conditionalFormatting sqref="B9">
    <cfRule type="expression" dxfId="0" priority="11">
      <formula>$U$13&lt;&gt;""</formula>
    </cfRule>
  </conditionalFormatting>
  <conditionalFormatting sqref="B15">
    <cfRule type="expression" dxfId="0" priority="12">
      <formula>$U$14&lt;&gt;""</formula>
    </cfRule>
  </conditionalFormatting>
  <conditionalFormatting sqref="B17">
    <cfRule type="expression" dxfId="0" priority="13">
      <formula>$U$15&lt;&gt;""</formula>
    </cfRule>
  </conditionalFormatting>
  <conditionalFormatting sqref="B12">
    <cfRule type="expression" dxfId="0" priority="14">
      <formula>$U$18&lt;&gt;""</formula>
    </cfRule>
  </conditionalFormatting>
  <conditionalFormatting sqref="B26">
    <cfRule type="expression" dxfId="0" priority="15">
      <formula>$U$19&lt;&gt;""</formula>
    </cfRule>
  </conditionalFormatting>
  <conditionalFormatting sqref="B28">
    <cfRule type="expression" dxfId="0" priority="16">
      <formula>#REF!&lt;&gt;""</formula>
    </cfRule>
  </conditionalFormatting>
  <conditionalFormatting sqref="B22">
    <cfRule type="expression" dxfId="0" priority="17">
      <formula>$U$12&lt;&gt;""</formula>
    </cfRule>
  </conditionalFormatting>
  <conditionalFormatting sqref="B24">
    <cfRule type="expression" dxfId="0" priority="18">
      <formula>$U$13&lt;&gt;""</formula>
    </cfRule>
  </conditionalFormatting>
  <conditionalFormatting sqref="Q3:Q4 Q6:Q7 Q9 Q12:Q35">
    <cfRule type="expression" dxfId="0" priority="19">
      <formula>$U$11&lt;&gt;""</formula>
    </cfRule>
  </conditionalFormatting>
  <conditionalFormatting sqref="Q5 Q8 Q10:Q11 Q36:Q38">
    <cfRule type="expression" dxfId="0" priority="20">
      <formula>#REF!&lt;&gt;""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>37063</dc:creator>
</cp:coreProperties>
</file>