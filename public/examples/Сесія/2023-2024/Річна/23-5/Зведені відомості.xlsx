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ведена 101" sheetId="1" r:id="rId4"/>
    <sheet state="visible" name="Зведена 161" sheetId="2" r:id="rId5"/>
    <sheet state="visible" name="Зведена 172" sheetId="3" r:id="rId6"/>
    <sheet state="visible" name="Зведена 181" sheetId="4" r:id="rId7"/>
    <sheet state="visible" name="Зведена 241" sheetId="5" r:id="rId8"/>
  </sheets>
  <definedNames>
    <definedName localSheetId="4" name="Ф80">#REF!</definedName>
    <definedName localSheetId="3" name="Ф80">#REF!</definedName>
    <definedName localSheetId="0" name="Ф80">#REF!</definedName>
    <definedName name="Ф80">#REF!</definedName>
    <definedName localSheetId="1" name="Ф80">#REF!</definedName>
    <definedName localSheetId="2" name="Ф80">#REF!</definedName>
  </definedNames>
  <calcPr/>
  <extLst>
    <ext uri="GoogleSheetsCustomDataVersion2">
      <go:sheetsCustomData xmlns:go="http://customooxmlschemas.google.com/" r:id="rId9" roundtripDataChecksum="8VekWpm3LeXU9Lr2c7qDkQV/YITF8UBq9sAtt756UY8="/>
    </ext>
  </extLst>
</workbook>
</file>

<file path=xl/sharedStrings.xml><?xml version="1.0" encoding="utf-8"?>
<sst xmlns="http://schemas.openxmlformats.org/spreadsheetml/2006/main" count="271" uniqueCount="75">
  <si>
    <t>ВІДОКРЕМЛЕНИЙ СТРУКТУРНИЙ ПІДРОЗДІЛ
«ФАХОВИЙ КОЛЕДЖ НАФТОГАЗОВИХ ТЕХНОЛОГІЙ,
 ІНЖЕНЕРІЇ ТА ІНФРАСТРУКТУРИ СЕРВІСУ</t>
  </si>
  <si>
    <t>ОДЕСЬКОГО НАЦІОНАЛЬНОГО ТЕХНОЛОГІЧНОГО УНІВЕРСИТЕТУ»</t>
  </si>
  <si>
    <t>ЗВЕДЕНА ВІДОМІСТЬ</t>
  </si>
  <si>
    <t>Успішності студентів спеціальності 101 «Екологія»</t>
  </si>
  <si>
    <t>За рік 2023-2024 н.р.</t>
  </si>
  <si>
    <t>Група 23-5 курс І</t>
  </si>
  <si>
    <t>Б/К</t>
  </si>
  <si>
    <t>№
п/п</t>
  </si>
  <si>
    <t>Прізвище, ім’я, по батькові</t>
  </si>
  <si>
    <t>Підсумкові оцінки дисциплін</t>
  </si>
  <si>
    <t>Астрономія
Наговська Т.С.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</si>
  <si>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</si>
  <si>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</si>
  <si>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</si>
  <si>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Сербулова Ю.А.</t>
  </si>
  <si>
    <t>Захист України
Лазар В.І.</t>
  </si>
  <si>
    <t>Іноземна мова
Сербулова Ю.А.</t>
  </si>
  <si>
    <t>Інформатика
Вівдіч М.І.</t>
  </si>
  <si>
    <t>Історія України
Левчук Т.Г.</t>
  </si>
  <si>
    <t>Математика
Земляна Т.М.</t>
  </si>
  <si>
    <t>Українська література
Юрченко О.Б.</t>
  </si>
  <si>
    <t>Українська мова
Юрченко О.Б.</t>
  </si>
  <si>
    <t>Фізика
Калюта Н.М.</t>
  </si>
  <si>
    <t>Фізична культура
Галеніна І.С.</t>
  </si>
  <si>
    <t>Хімія
Леонова Д.І.</t>
  </si>
  <si>
    <t>Середній бал</t>
  </si>
  <si>
    <t>Б</t>
  </si>
  <si>
    <t>Бакшлян Віолетта Вячеславівна</t>
  </si>
  <si>
    <t>Бевз Денис Валерійович</t>
  </si>
  <si>
    <t>н/а</t>
  </si>
  <si>
    <t>Білецька Анна Євгенівна</t>
  </si>
  <si>
    <t>Валєнієкс Анна Ріхардівна</t>
  </si>
  <si>
    <t>Жикол Дар`я Сергіївна</t>
  </si>
  <si>
    <t>Кірчева Вікторія Олександрівна</t>
  </si>
  <si>
    <t>К</t>
  </si>
  <si>
    <t>Мельникова Ірина Юріївна</t>
  </si>
  <si>
    <t>Огороднік Маргарита Ігорівна</t>
  </si>
  <si>
    <t>Сізова Катерина Віталіївна</t>
  </si>
  <si>
    <t>Стефанович Андрій Олександрович</t>
  </si>
  <si>
    <t>Щетина Діана Станіславівна</t>
  </si>
  <si>
    <t>Яковенко Артем Сергійович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</si>
  <si>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</si>
  <si>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</si>
  <si>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</si>
  <si>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</si>
  <si>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</si>
  <si>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</si>
  <si>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</si>
  <si>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</si>
  <si>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Юлія СЕРБУЛОВА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</si>
  <si>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</si>
  <si>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</si>
  <si>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</si>
  <si>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</si>
  <si>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Успішності студентів спеціальності 161 «Хімічні технології та інженерія»</t>
  </si>
  <si>
    <t>Васильченко Анастасія Олександрівна</t>
  </si>
  <si>
    <t>Заслоцька Анна Василівна</t>
  </si>
  <si>
    <t>Крамаренко Єлизавета Юріївна</t>
  </si>
  <si>
    <t>М`ясковська Ярослава Сергіївна</t>
  </si>
  <si>
    <t>Мельникова Катерина Михайлівна</t>
  </si>
  <si>
    <t>Мирненко Станіслав Вадимович</t>
  </si>
  <si>
    <t>Огієнко Владислав Вікторович</t>
  </si>
  <si>
    <t>Прошіна Єлизавета Костянтинівна</t>
  </si>
  <si>
    <t>Сараїн Владислав Вячеславович</t>
  </si>
  <si>
    <t>Скибицька Вікторія Русланівна</t>
  </si>
  <si>
    <t>Успішності студентів спеціальності 172 «Телекомунікації та радіотехніка»</t>
  </si>
  <si>
    <t>Горбачов Павло Вікторович</t>
  </si>
  <si>
    <t>Стрибков Олександр Іванович</t>
  </si>
  <si>
    <t>Успішності студентів спеціальності 181 «Харчові технології»</t>
  </si>
  <si>
    <t>Полєєв Олексій Юрійович</t>
  </si>
  <si>
    <t>Рибалко Максим Сергійович</t>
  </si>
  <si>
    <t>Токарчук Денис Олександрович</t>
  </si>
  <si>
    <t>Успішності студентів спеціальності 241 «Готельно-ресторанна справа»</t>
  </si>
  <si>
    <t>Некрасова Анна Володимирівна</t>
  </si>
  <si>
    <t>Чернушенко Поліна Дмитрівна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</si>
</sst>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rgb="FF000000"/>
      <name val="Calibri"/>
      <scheme val="minor"/>
    </font>
    <font>
      <sz val="12.0"/>
      <color theme="1"/>
      <name val="Times New Roman"/>
    </font>
    <font/>
    <font>
      <sz val="14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7">
    <border/>
    <border>
      <left/>
      <right/>
      <top/>
      <bottom/>
    </border>
    <border>
      <left/>
      <top/>
      <bottom style="dotted">
        <color rgb="FF000000"/>
      </bottom>
    </border>
    <border>
      <top/>
      <bottom style="dotted">
        <color rgb="FF000000"/>
      </bottom>
    </border>
    <border>
      <right/>
      <top/>
      <bottom style="dotted">
        <color rgb="FF000000"/>
      </bottom>
    </border>
    <border>
      <left/>
      <right style="dotted">
        <color rgb="FF000000"/>
      </right>
      <top/>
    </border>
    <border>
      <left/>
      <top/>
      <bottom/>
    </border>
    <border>
      <top/>
      <bottom/>
    </border>
    <border>
      <right/>
      <top/>
      <bottom/>
    </border>
    <border>
      <left style="dotted">
        <color rgb="FF000000"/>
      </left>
      <right/>
      <top/>
    </border>
    <border>
      <left/>
      <right style="dotted">
        <color rgb="FF000000"/>
      </right>
    </border>
    <border>
      <left/>
      <right/>
      <top/>
    </border>
    <border>
      <left style="dotted">
        <color rgb="FF000000"/>
      </left>
      <right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 style="dotted">
        <color rgb="FF000000"/>
      </right>
      <bottom/>
    </border>
    <border>
      <left style="dotted">
        <color rgb="FF000000"/>
      </left>
      <right/>
      <bottom/>
    </border>
    <border>
      <left/>
      <top style="dotted">
        <color rgb="FF000000"/>
      </top>
      <bottom/>
    </border>
    <border>
      <top style="dotted">
        <color rgb="FF000000"/>
      </top>
      <bottom/>
    </border>
    <border>
      <right/>
      <top style="dotted">
        <color rgb="FF000000"/>
      </top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vertical="center"/>
    </xf>
    <xf borderId="10" fillId="0" fontId="2" numFmtId="0" xfId="0" applyBorder="1" applyFont="1"/>
    <xf borderId="1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" fillId="2" fontId="3" numFmtId="0" xfId="0" applyAlignment="1" applyBorder="1" applyFont="1">
      <alignment horizontal="center" vertical="center"/>
    </xf>
    <xf borderId="13" fillId="0" fontId="2" numFmtId="0" xfId="0" applyBorder="1" applyFont="1"/>
    <xf borderId="6" fillId="3" fontId="3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quotePrefix="1" borderId="14" fillId="3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 shrinkToFit="0" vertical="center" wrapText="1"/>
    </xf>
    <xf borderId="15" fillId="3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1" numFmtId="0" xfId="0" applyAlignment="1" applyBorder="1" applyFont="1">
      <alignment horizontal="center" shrinkToFit="0" textRotation="90" wrapText="1"/>
    </xf>
    <xf borderId="19" fillId="3" fontId="5" numFmtId="0" xfId="0" applyAlignment="1" applyBorder="1" applyFont="1">
      <alignment horizontal="center" shrinkToFit="0" textRotation="90" vertical="center" wrapText="1"/>
    </xf>
    <xf borderId="19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left" shrinkToFit="0" vertical="center" wrapText="1"/>
    </xf>
    <xf borderId="19" fillId="3" fontId="1" numFmtId="0" xfId="0" applyAlignment="1" applyBorder="1" applyFont="1">
      <alignment horizontal="center" vertical="center"/>
    </xf>
    <xf borderId="19" fillId="4" fontId="1" numFmtId="2" xfId="0" applyAlignment="1" applyBorder="1" applyFill="1" applyFont="1" applyNumberFormat="1">
      <alignment horizontal="center" vertical="center"/>
    </xf>
    <xf borderId="19" fillId="3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vertical="center"/>
    </xf>
    <xf borderId="19" fillId="4" fontId="1" numFmtId="164" xfId="0" applyAlignment="1" applyBorder="1" applyFont="1" applyNumberFormat="1">
      <alignment horizontal="center" vertical="center"/>
    </xf>
    <xf borderId="20" fillId="5" fontId="1" numFmtId="164" xfId="0" applyAlignment="1" applyBorder="1" applyFill="1" applyFont="1" applyNumberFormat="1">
      <alignment horizontal="center" vertical="center"/>
    </xf>
    <xf borderId="1" fillId="3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2" fontId="1" numFmtId="0" xfId="0" applyAlignment="1" applyBorder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19" fillId="3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82DCFF"/>
          <bgColor rgb="FF82DC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1" width="11.29"/>
    <col customWidth="1" min="22" max="23" width="2.71"/>
    <col customWidth="1" hidden="1" min="24" max="24" width="14.43"/>
    <col customWidth="1" min="25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1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1"/>
      <c r="Y2" s="1"/>
      <c r="Z2" s="1"/>
    </row>
    <row r="3" ht="54.75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11"/>
      <c r="W3" s="13"/>
      <c r="X3" s="14"/>
      <c r="Y3" s="14"/>
      <c r="Z3" s="14"/>
    </row>
    <row r="4" ht="15.0" customHeight="1">
      <c r="A4" s="10"/>
      <c r="B4" s="15"/>
      <c r="C4" s="16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5"/>
      <c r="W4" s="13"/>
      <c r="X4" s="14"/>
      <c r="Y4" s="14"/>
      <c r="Z4" s="14"/>
    </row>
    <row r="5" ht="15.0" customHeight="1">
      <c r="A5" s="10"/>
      <c r="B5" s="15"/>
      <c r="C5" s="17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15"/>
      <c r="W5" s="13"/>
      <c r="X5" s="18"/>
      <c r="Y5" s="18"/>
      <c r="Z5" s="18"/>
    </row>
    <row r="6" ht="15.0" customHeight="1">
      <c r="A6" s="10"/>
      <c r="B6" s="15"/>
      <c r="C6" s="16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15"/>
      <c r="W6" s="13"/>
      <c r="X6" s="14"/>
      <c r="Y6" s="14"/>
      <c r="Z6" s="14"/>
    </row>
    <row r="7" ht="15.0" customHeight="1">
      <c r="A7" s="10"/>
      <c r="B7" s="15"/>
      <c r="C7" s="16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15"/>
      <c r="W7" s="13"/>
      <c r="X7" s="14"/>
      <c r="Y7" s="14"/>
      <c r="Z7" s="14"/>
    </row>
    <row r="8" ht="15.0" customHeight="1">
      <c r="A8" s="10"/>
      <c r="B8" s="15"/>
      <c r="C8" s="16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15"/>
      <c r="W8" s="13"/>
      <c r="X8" s="14"/>
      <c r="Y8" s="14"/>
      <c r="Z8" s="14"/>
    </row>
    <row r="9" ht="15.0" customHeight="1">
      <c r="A9" s="10"/>
      <c r="B9" s="15"/>
      <c r="C9" s="19" t="s">
        <v>6</v>
      </c>
      <c r="D9" s="20" t="s">
        <v>7</v>
      </c>
      <c r="E9" s="20" t="s">
        <v>8</v>
      </c>
      <c r="F9" s="21" t="s">
        <v>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15"/>
      <c r="W9" s="13"/>
      <c r="X9" s="1"/>
      <c r="Y9" s="1"/>
      <c r="Z9" s="1"/>
    </row>
    <row r="10" ht="124.5" customHeight="1">
      <c r="A10" s="10"/>
      <c r="B10" s="15"/>
      <c r="C10" s="24"/>
      <c r="D10" s="24"/>
      <c r="E10" s="24"/>
      <c r="F10" s="25" t="s">
        <v>10</v>
      </c>
      <c r="G10" s="25" t="s">
        <v>11</v>
      </c>
      <c r="H10" s="25" t="s">
        <v>12</v>
      </c>
      <c r="I10" s="25" t="s">
        <v>13</v>
      </c>
      <c r="J10" s="25" t="s">
        <v>14</v>
      </c>
      <c r="K10" s="25" t="s">
        <v>15</v>
      </c>
      <c r="L10" s="25" t="s">
        <v>16</v>
      </c>
      <c r="M10" s="25" t="s">
        <v>17</v>
      </c>
      <c r="N10" s="25" t="s">
        <v>18</v>
      </c>
      <c r="O10" s="25" t="s">
        <v>19</v>
      </c>
      <c r="P10" s="25" t="s">
        <v>20</v>
      </c>
      <c r="Q10" s="25" t="s">
        <v>21</v>
      </c>
      <c r="R10" s="25" t="s">
        <v>22</v>
      </c>
      <c r="S10" s="25" t="s">
        <v>23</v>
      </c>
      <c r="T10" s="25" t="s">
        <v>24</v>
      </c>
      <c r="U10" s="26" t="s">
        <v>25</v>
      </c>
      <c r="V10" s="15"/>
      <c r="W10" s="13"/>
      <c r="X10" s="1"/>
      <c r="Y10" s="1"/>
      <c r="Z10" s="1"/>
    </row>
    <row r="11" ht="15.0" customHeight="1">
      <c r="A11" s="10"/>
      <c r="B11" s="15"/>
      <c r="C11" s="27" t="s">
        <v>26</v>
      </c>
      <c r="D11" s="27">
        <v>1.0</v>
      </c>
      <c r="E11" s="28" t="s">
        <v>27</v>
      </c>
      <c r="F11" s="29">
        <v>9.0</v>
      </c>
      <c r="G11" s="29">
        <v>6.0</v>
      </c>
      <c r="H11" s="29">
        <v>8.0</v>
      </c>
      <c r="I11" s="29">
        <v>8.0</v>
      </c>
      <c r="J11" s="29">
        <v>10.0</v>
      </c>
      <c r="K11" s="29">
        <v>8.0</v>
      </c>
      <c r="L11" s="29">
        <v>9.0</v>
      </c>
      <c r="M11" s="29">
        <v>10.0</v>
      </c>
      <c r="N11" s="29">
        <v>8.0</v>
      </c>
      <c r="O11" s="29">
        <v>8.0</v>
      </c>
      <c r="P11" s="29">
        <v>5.0</v>
      </c>
      <c r="Q11" s="29">
        <v>5.0</v>
      </c>
      <c r="R11" s="29">
        <v>4.0</v>
      </c>
      <c r="S11" s="29">
        <v>7.0</v>
      </c>
      <c r="T11" s="29">
        <v>5.0</v>
      </c>
      <c r="U11" s="30">
        <f t="shared" ref="U11:U16" si="1">IF(COUNTIF(F11:T11,"=*")&gt;0,"-",IF(COUNTIF(F11:T11,"&lt;4")&gt;0,"-",(IFERROR(AVERAGE(F11:T11),""))))</f>
        <v>7.333333333</v>
      </c>
      <c r="V11" s="15"/>
      <c r="W11" s="13"/>
      <c r="X11" s="1"/>
      <c r="Y11" s="1"/>
      <c r="Z11" s="1"/>
    </row>
    <row r="12" ht="15.0" customHeight="1">
      <c r="A12" s="10"/>
      <c r="B12" s="15"/>
      <c r="C12" s="27" t="s">
        <v>26</v>
      </c>
      <c r="D12" s="27">
        <v>2.0</v>
      </c>
      <c r="E12" s="28" t="s">
        <v>28</v>
      </c>
      <c r="F12" s="29">
        <v>7.0</v>
      </c>
      <c r="G12" s="29">
        <v>5.0</v>
      </c>
      <c r="H12" s="29">
        <v>6.0</v>
      </c>
      <c r="I12" s="29">
        <v>8.0</v>
      </c>
      <c r="J12" s="29">
        <v>10.0</v>
      </c>
      <c r="K12" s="29">
        <v>4.0</v>
      </c>
      <c r="L12" s="29">
        <v>8.0</v>
      </c>
      <c r="M12" s="29">
        <v>4.0</v>
      </c>
      <c r="N12" s="29" t="s">
        <v>29</v>
      </c>
      <c r="O12" s="29">
        <v>4.0</v>
      </c>
      <c r="P12" s="29">
        <v>5.0</v>
      </c>
      <c r="Q12" s="29">
        <v>4.0</v>
      </c>
      <c r="R12" s="29">
        <v>4.0</v>
      </c>
      <c r="S12" s="29">
        <v>8.0</v>
      </c>
      <c r="T12" s="31">
        <v>5.0</v>
      </c>
      <c r="U12" s="30" t="str">
        <f t="shared" si="1"/>
        <v>-</v>
      </c>
      <c r="V12" s="15"/>
      <c r="W12" s="13"/>
      <c r="X12" s="1"/>
      <c r="Y12" s="1"/>
      <c r="Z12" s="1"/>
    </row>
    <row r="13" ht="15.0" customHeight="1">
      <c r="A13" s="10"/>
      <c r="B13" s="15"/>
      <c r="C13" s="27" t="s">
        <v>26</v>
      </c>
      <c r="D13" s="27">
        <v>3.0</v>
      </c>
      <c r="E13" s="28" t="s">
        <v>30</v>
      </c>
      <c r="F13" s="29">
        <v>10.0</v>
      </c>
      <c r="G13" s="29">
        <v>9.0</v>
      </c>
      <c r="H13" s="29">
        <v>9.0</v>
      </c>
      <c r="I13" s="29">
        <v>10.0</v>
      </c>
      <c r="J13" s="29">
        <v>10.0</v>
      </c>
      <c r="K13" s="29">
        <v>8.0</v>
      </c>
      <c r="L13" s="29">
        <v>10.0</v>
      </c>
      <c r="M13" s="29">
        <v>10.0</v>
      </c>
      <c r="N13" s="29">
        <v>8.0</v>
      </c>
      <c r="O13" s="29">
        <v>8.0</v>
      </c>
      <c r="P13" s="29">
        <v>8.0</v>
      </c>
      <c r="Q13" s="29">
        <v>8.0</v>
      </c>
      <c r="R13" s="29">
        <v>7.0</v>
      </c>
      <c r="S13" s="29">
        <v>10.0</v>
      </c>
      <c r="T13" s="29">
        <v>8.0</v>
      </c>
      <c r="U13" s="30">
        <f t="shared" si="1"/>
        <v>8.866666667</v>
      </c>
      <c r="V13" s="15"/>
      <c r="W13" s="13"/>
      <c r="X13" s="1"/>
      <c r="Y13" s="1"/>
      <c r="Z13" s="1"/>
    </row>
    <row r="14" ht="15.0" customHeight="1">
      <c r="A14" s="10"/>
      <c r="B14" s="15"/>
      <c r="C14" s="27" t="s">
        <v>26</v>
      </c>
      <c r="D14" s="27">
        <v>4.0</v>
      </c>
      <c r="E14" s="28" t="s">
        <v>31</v>
      </c>
      <c r="F14" s="29">
        <v>8.0</v>
      </c>
      <c r="G14" s="29">
        <v>8.0</v>
      </c>
      <c r="H14" s="29">
        <v>8.0</v>
      </c>
      <c r="I14" s="29">
        <v>9.0</v>
      </c>
      <c r="J14" s="29">
        <v>10.0</v>
      </c>
      <c r="K14" s="29">
        <v>5.0</v>
      </c>
      <c r="L14" s="29">
        <v>9.0</v>
      </c>
      <c r="M14" s="29">
        <v>5.0</v>
      </c>
      <c r="N14" s="29" t="s">
        <v>29</v>
      </c>
      <c r="O14" s="29" t="s">
        <v>29</v>
      </c>
      <c r="P14" s="29">
        <v>6.0</v>
      </c>
      <c r="Q14" s="29">
        <v>4.0</v>
      </c>
      <c r="R14" s="29">
        <v>3.0</v>
      </c>
      <c r="S14" s="29">
        <v>7.0</v>
      </c>
      <c r="T14" s="29">
        <v>4.0</v>
      </c>
      <c r="U14" s="30" t="str">
        <f t="shared" si="1"/>
        <v>-</v>
      </c>
      <c r="V14" s="15"/>
      <c r="W14" s="13"/>
      <c r="X14" s="1"/>
      <c r="Y14" s="1"/>
      <c r="Z14" s="1"/>
    </row>
    <row r="15" ht="15.0" customHeight="1">
      <c r="A15" s="10"/>
      <c r="B15" s="15"/>
      <c r="C15" s="27" t="s">
        <v>26</v>
      </c>
      <c r="D15" s="27">
        <v>5.0</v>
      </c>
      <c r="E15" s="28" t="s">
        <v>32</v>
      </c>
      <c r="F15" s="29">
        <v>9.0</v>
      </c>
      <c r="G15" s="29">
        <v>8.0</v>
      </c>
      <c r="H15" s="29">
        <v>8.0</v>
      </c>
      <c r="I15" s="29">
        <v>9.0</v>
      </c>
      <c r="J15" s="29">
        <v>10.0</v>
      </c>
      <c r="K15" s="29">
        <v>7.0</v>
      </c>
      <c r="L15" s="29">
        <v>10.0</v>
      </c>
      <c r="M15" s="29">
        <v>9.0</v>
      </c>
      <c r="N15" s="29">
        <v>7.0</v>
      </c>
      <c r="O15" s="29">
        <v>6.0</v>
      </c>
      <c r="P15" s="29">
        <v>8.0</v>
      </c>
      <c r="Q15" s="29">
        <v>8.0</v>
      </c>
      <c r="R15" s="29">
        <v>5.0</v>
      </c>
      <c r="S15" s="29">
        <v>7.0</v>
      </c>
      <c r="T15" s="31">
        <v>5.0</v>
      </c>
      <c r="U15" s="30">
        <f t="shared" si="1"/>
        <v>7.733333333</v>
      </c>
      <c r="V15" s="15"/>
      <c r="W15" s="13"/>
      <c r="X15" s="1"/>
      <c r="Y15" s="1"/>
      <c r="Z15" s="1"/>
    </row>
    <row r="16" ht="15.0" customHeight="1">
      <c r="A16" s="10"/>
      <c r="B16" s="15"/>
      <c r="C16" s="27" t="s">
        <v>26</v>
      </c>
      <c r="D16" s="27">
        <v>6.0</v>
      </c>
      <c r="E16" s="28" t="s">
        <v>33</v>
      </c>
      <c r="F16" s="29">
        <v>9.0</v>
      </c>
      <c r="G16" s="29">
        <v>7.0</v>
      </c>
      <c r="H16" s="29">
        <v>8.0</v>
      </c>
      <c r="I16" s="29">
        <v>9.0</v>
      </c>
      <c r="J16" s="29">
        <v>9.0</v>
      </c>
      <c r="K16" s="29" t="s">
        <v>29</v>
      </c>
      <c r="L16" s="29">
        <v>9.0</v>
      </c>
      <c r="M16" s="29">
        <v>4.0</v>
      </c>
      <c r="N16" s="29">
        <v>6.0</v>
      </c>
      <c r="O16" s="29">
        <v>4.0</v>
      </c>
      <c r="P16" s="29">
        <v>5.0</v>
      </c>
      <c r="Q16" s="29">
        <v>6.0</v>
      </c>
      <c r="R16" s="29" t="s">
        <v>29</v>
      </c>
      <c r="S16" s="29">
        <v>9.0</v>
      </c>
      <c r="T16" s="29">
        <v>4.0</v>
      </c>
      <c r="U16" s="30" t="str">
        <f t="shared" si="1"/>
        <v>-</v>
      </c>
      <c r="V16" s="15"/>
      <c r="W16" s="13"/>
      <c r="X16" s="1"/>
      <c r="Y16" s="1"/>
      <c r="Z16" s="1"/>
    </row>
    <row r="17" ht="15.0" customHeight="1">
      <c r="A17" s="10"/>
      <c r="B17" s="15"/>
      <c r="C17" s="27" t="s">
        <v>34</v>
      </c>
      <c r="D17" s="27">
        <v>7.0</v>
      </c>
      <c r="E17" s="32" t="s">
        <v>35</v>
      </c>
      <c r="F17" s="29">
        <v>8.0</v>
      </c>
      <c r="G17" s="29">
        <v>8.0</v>
      </c>
      <c r="H17" s="29">
        <v>8.0</v>
      </c>
      <c r="I17" s="29">
        <v>9.0</v>
      </c>
      <c r="J17" s="29">
        <v>7.0</v>
      </c>
      <c r="K17" s="29">
        <v>4.0</v>
      </c>
      <c r="L17" s="29">
        <v>8.0</v>
      </c>
      <c r="M17" s="29">
        <v>4.0</v>
      </c>
      <c r="N17" s="29">
        <v>7.0</v>
      </c>
      <c r="O17" s="29">
        <v>4.0</v>
      </c>
      <c r="P17" s="29">
        <v>6.0</v>
      </c>
      <c r="Q17" s="29">
        <v>6.0</v>
      </c>
      <c r="R17" s="29">
        <v>4.0</v>
      </c>
      <c r="S17" s="29">
        <v>10.0</v>
      </c>
      <c r="T17" s="31">
        <v>5.0</v>
      </c>
      <c r="U17" s="30">
        <f t="shared" ref="U17:U18" si="2">AVERAGE(F17:T17)</f>
        <v>6.533333333</v>
      </c>
      <c r="V17" s="15"/>
      <c r="W17" s="13"/>
      <c r="X17" s="1"/>
      <c r="Y17" s="1"/>
      <c r="Z17" s="1"/>
    </row>
    <row r="18" ht="15.0" customHeight="1">
      <c r="A18" s="10"/>
      <c r="B18" s="15"/>
      <c r="C18" s="27" t="s">
        <v>26</v>
      </c>
      <c r="D18" s="27">
        <v>8.0</v>
      </c>
      <c r="E18" s="28" t="s">
        <v>36</v>
      </c>
      <c r="F18" s="29">
        <v>10.0</v>
      </c>
      <c r="G18" s="29">
        <v>9.0</v>
      </c>
      <c r="H18" s="29">
        <v>7.0</v>
      </c>
      <c r="I18" s="29">
        <v>10.0</v>
      </c>
      <c r="J18" s="29">
        <v>10.0</v>
      </c>
      <c r="K18" s="29">
        <v>9.0</v>
      </c>
      <c r="L18" s="29">
        <v>10.0</v>
      </c>
      <c r="M18" s="29">
        <v>9.0</v>
      </c>
      <c r="N18" s="29">
        <v>8.0</v>
      </c>
      <c r="O18" s="29">
        <v>5.0</v>
      </c>
      <c r="P18" s="29">
        <v>9.0</v>
      </c>
      <c r="Q18" s="29">
        <v>9.0</v>
      </c>
      <c r="R18" s="29">
        <v>5.0</v>
      </c>
      <c r="S18" s="29">
        <v>9.0</v>
      </c>
      <c r="T18" s="31">
        <v>8.0</v>
      </c>
      <c r="U18" s="30">
        <f t="shared" si="2"/>
        <v>8.466666667</v>
      </c>
      <c r="V18" s="15"/>
      <c r="W18" s="13"/>
      <c r="X18" s="1"/>
      <c r="Y18" s="1"/>
      <c r="Z18" s="1"/>
    </row>
    <row r="19" ht="15.0" customHeight="1">
      <c r="A19" s="10"/>
      <c r="B19" s="15"/>
      <c r="C19" s="27" t="s">
        <v>26</v>
      </c>
      <c r="D19" s="27">
        <v>9.0</v>
      </c>
      <c r="E19" s="28" t="s">
        <v>37</v>
      </c>
      <c r="F19" s="29">
        <v>8.0</v>
      </c>
      <c r="G19" s="29">
        <v>7.0</v>
      </c>
      <c r="H19" s="29">
        <v>9.0</v>
      </c>
      <c r="I19" s="29">
        <v>9.0</v>
      </c>
      <c r="J19" s="29">
        <v>10.0</v>
      </c>
      <c r="K19" s="29">
        <v>4.0</v>
      </c>
      <c r="L19" s="29">
        <v>10.0</v>
      </c>
      <c r="M19" s="29">
        <v>9.0</v>
      </c>
      <c r="N19" s="29">
        <v>7.0</v>
      </c>
      <c r="O19" s="29">
        <v>6.0</v>
      </c>
      <c r="P19" s="29">
        <v>7.0</v>
      </c>
      <c r="Q19" s="29">
        <v>5.0</v>
      </c>
      <c r="R19" s="29">
        <v>6.0</v>
      </c>
      <c r="S19" s="29">
        <v>8.0</v>
      </c>
      <c r="T19" s="31">
        <v>5.0</v>
      </c>
      <c r="U19" s="30">
        <f t="shared" ref="U19:U22" si="3">IF(COUNTIF(F19:T19,"=*")&gt;0,"-",IF(COUNTIF(F19:T19,"&lt;4")&gt;0,"-",(IFERROR(AVERAGE(F19:T19),""))))</f>
        <v>7.333333333</v>
      </c>
      <c r="V19" s="15"/>
      <c r="W19" s="13"/>
      <c r="X19" s="1"/>
      <c r="Y19" s="1"/>
      <c r="Z19" s="1"/>
    </row>
    <row r="20" ht="15.0" customHeight="1">
      <c r="A20" s="10"/>
      <c r="B20" s="15"/>
      <c r="C20" s="27" t="s">
        <v>34</v>
      </c>
      <c r="D20" s="27">
        <v>10.0</v>
      </c>
      <c r="E20" s="28" t="s">
        <v>38</v>
      </c>
      <c r="F20" s="29">
        <v>9.0</v>
      </c>
      <c r="G20" s="29">
        <v>9.0</v>
      </c>
      <c r="H20" s="29">
        <v>9.0</v>
      </c>
      <c r="I20" s="29">
        <v>10.0</v>
      </c>
      <c r="J20" s="29">
        <v>10.0</v>
      </c>
      <c r="K20" s="29">
        <v>9.0</v>
      </c>
      <c r="L20" s="29">
        <v>10.0</v>
      </c>
      <c r="M20" s="29">
        <v>10.0</v>
      </c>
      <c r="N20" s="29">
        <v>8.0</v>
      </c>
      <c r="O20" s="29">
        <v>9.0</v>
      </c>
      <c r="P20" s="29">
        <v>9.0</v>
      </c>
      <c r="Q20" s="29">
        <v>9.0</v>
      </c>
      <c r="R20" s="29">
        <v>9.0</v>
      </c>
      <c r="S20" s="29">
        <v>10.0</v>
      </c>
      <c r="T20" s="31">
        <v>7.0</v>
      </c>
      <c r="U20" s="30">
        <f t="shared" si="3"/>
        <v>9.133333333</v>
      </c>
      <c r="V20" s="15"/>
      <c r="W20" s="13"/>
      <c r="X20" s="1"/>
      <c r="Y20" s="1"/>
      <c r="Z20" s="1"/>
    </row>
    <row r="21" ht="15.0" customHeight="1">
      <c r="A21" s="10"/>
      <c r="B21" s="15"/>
      <c r="C21" s="27" t="s">
        <v>26</v>
      </c>
      <c r="D21" s="27">
        <v>11.0</v>
      </c>
      <c r="E21" s="28" t="s">
        <v>39</v>
      </c>
      <c r="F21" s="29">
        <v>8.0</v>
      </c>
      <c r="G21" s="29">
        <v>8.0</v>
      </c>
      <c r="H21" s="29">
        <v>7.0</v>
      </c>
      <c r="I21" s="29">
        <v>8.0</v>
      </c>
      <c r="J21" s="29">
        <v>10.0</v>
      </c>
      <c r="K21" s="29">
        <v>8.0</v>
      </c>
      <c r="L21" s="29">
        <v>10.0</v>
      </c>
      <c r="M21" s="29">
        <v>5.0</v>
      </c>
      <c r="N21" s="29">
        <v>6.0</v>
      </c>
      <c r="O21" s="29">
        <v>4.0</v>
      </c>
      <c r="P21" s="29">
        <v>7.0</v>
      </c>
      <c r="Q21" s="29">
        <v>4.0</v>
      </c>
      <c r="R21" s="29">
        <v>4.0</v>
      </c>
      <c r="S21" s="29">
        <v>9.0</v>
      </c>
      <c r="T21" s="31">
        <v>7.0</v>
      </c>
      <c r="U21" s="30">
        <f t="shared" si="3"/>
        <v>7</v>
      </c>
      <c r="V21" s="15"/>
      <c r="W21" s="13"/>
      <c r="X21" s="1"/>
      <c r="Y21" s="1"/>
      <c r="Z21" s="1"/>
    </row>
    <row r="22" ht="15.0" customHeight="1">
      <c r="A22" s="10"/>
      <c r="B22" s="15"/>
      <c r="C22" s="27" t="s">
        <v>26</v>
      </c>
      <c r="D22" s="27">
        <v>12.0</v>
      </c>
      <c r="E22" s="28" t="s">
        <v>40</v>
      </c>
      <c r="F22" s="29">
        <v>9.0</v>
      </c>
      <c r="G22" s="29">
        <v>9.0</v>
      </c>
      <c r="H22" s="29">
        <v>10.0</v>
      </c>
      <c r="I22" s="29">
        <v>11.0</v>
      </c>
      <c r="J22" s="29">
        <v>10.0</v>
      </c>
      <c r="K22" s="29">
        <v>9.0</v>
      </c>
      <c r="L22" s="29">
        <v>10.0</v>
      </c>
      <c r="M22" s="29">
        <v>9.0</v>
      </c>
      <c r="N22" s="29">
        <v>7.0</v>
      </c>
      <c r="O22" s="29">
        <v>4.0</v>
      </c>
      <c r="P22" s="29">
        <v>9.0</v>
      </c>
      <c r="Q22" s="29">
        <v>7.0</v>
      </c>
      <c r="R22" s="29">
        <v>7.0</v>
      </c>
      <c r="S22" s="29">
        <v>10.0</v>
      </c>
      <c r="T22" s="31">
        <v>6.0</v>
      </c>
      <c r="U22" s="30">
        <f t="shared" si="3"/>
        <v>8.466666667</v>
      </c>
      <c r="V22" s="15"/>
      <c r="W22" s="13"/>
      <c r="X22" s="1"/>
      <c r="Y22" s="1"/>
      <c r="Z22" s="1"/>
    </row>
    <row r="23" ht="15.0" customHeight="1">
      <c r="A23" s="10"/>
      <c r="B23" s="15"/>
      <c r="C23" s="33"/>
      <c r="D23" s="33"/>
      <c r="E23" s="28" t="s">
        <v>41</v>
      </c>
      <c r="F23" s="34">
        <f t="shared" ref="F23:T23" si="4">IF(SUM(F11:F22)=0,"",SUM(F11:F22)/$D22)</f>
        <v>8.666666667</v>
      </c>
      <c r="G23" s="34">
        <f t="shared" si="4"/>
        <v>7.75</v>
      </c>
      <c r="H23" s="34">
        <f t="shared" si="4"/>
        <v>8.083333333</v>
      </c>
      <c r="I23" s="34">
        <f t="shared" si="4"/>
        <v>9.166666667</v>
      </c>
      <c r="J23" s="34">
        <f t="shared" si="4"/>
        <v>9.666666667</v>
      </c>
      <c r="K23" s="34">
        <f t="shared" si="4"/>
        <v>6.25</v>
      </c>
      <c r="L23" s="34">
        <f t="shared" si="4"/>
        <v>9.416666667</v>
      </c>
      <c r="M23" s="34">
        <f t="shared" si="4"/>
        <v>7.333333333</v>
      </c>
      <c r="N23" s="34">
        <f t="shared" si="4"/>
        <v>6</v>
      </c>
      <c r="O23" s="34">
        <f t="shared" si="4"/>
        <v>5.166666667</v>
      </c>
      <c r="P23" s="34">
        <f t="shared" si="4"/>
        <v>7</v>
      </c>
      <c r="Q23" s="34">
        <f t="shared" si="4"/>
        <v>6.25</v>
      </c>
      <c r="R23" s="34">
        <f t="shared" si="4"/>
        <v>4.833333333</v>
      </c>
      <c r="S23" s="34">
        <f t="shared" si="4"/>
        <v>8.666666667</v>
      </c>
      <c r="T23" s="34">
        <f t="shared" si="4"/>
        <v>5.75</v>
      </c>
      <c r="U23" s="30">
        <f>IFERROR(AVERAGE(F23:T23),"")</f>
        <v>7.333333333</v>
      </c>
      <c r="V23" s="15"/>
      <c r="W23" s="13"/>
      <c r="X23" s="1"/>
      <c r="Y23" s="1"/>
      <c r="Z23" s="1"/>
    </row>
    <row r="24" ht="15.0" customHeight="1">
      <c r="A24" s="10"/>
      <c r="B24" s="15"/>
      <c r="C24" s="33"/>
      <c r="D24" s="33"/>
      <c r="E24" s="28" t="s">
        <v>42</v>
      </c>
      <c r="F24" s="35">
        <f t="shared" ref="F24:T24" si="5">IF(SUM(F11:F22)=0,"",IF(COUNTIF(F11:F22,"&gt;=4")=0,0,COUNTIF(F11:F22,"&gt;=4")/$D22*100))</f>
        <v>100</v>
      </c>
      <c r="G24" s="35">
        <f t="shared" si="5"/>
        <v>100</v>
      </c>
      <c r="H24" s="35">
        <f t="shared" si="5"/>
        <v>100</v>
      </c>
      <c r="I24" s="35">
        <f t="shared" si="5"/>
        <v>100</v>
      </c>
      <c r="J24" s="35">
        <f t="shared" si="5"/>
        <v>100</v>
      </c>
      <c r="K24" s="35">
        <f t="shared" si="5"/>
        <v>91.66666667</v>
      </c>
      <c r="L24" s="35">
        <f t="shared" si="5"/>
        <v>100</v>
      </c>
      <c r="M24" s="35">
        <f t="shared" si="5"/>
        <v>100</v>
      </c>
      <c r="N24" s="35">
        <f t="shared" si="5"/>
        <v>83.33333333</v>
      </c>
      <c r="O24" s="35">
        <f t="shared" si="5"/>
        <v>91.66666667</v>
      </c>
      <c r="P24" s="35">
        <f t="shared" si="5"/>
        <v>100</v>
      </c>
      <c r="Q24" s="35">
        <f t="shared" si="5"/>
        <v>100</v>
      </c>
      <c r="R24" s="35">
        <f t="shared" si="5"/>
        <v>83.33333333</v>
      </c>
      <c r="S24" s="35">
        <f t="shared" si="5"/>
        <v>100</v>
      </c>
      <c r="T24" s="35">
        <f t="shared" si="5"/>
        <v>100</v>
      </c>
      <c r="U24" s="33"/>
      <c r="V24" s="15"/>
      <c r="W24" s="13"/>
      <c r="X24" s="1"/>
      <c r="Y24" s="1"/>
      <c r="Z24" s="1"/>
    </row>
    <row r="25" ht="15.0" customHeight="1">
      <c r="A25" s="10"/>
      <c r="B25" s="15"/>
      <c r="C25" s="33"/>
      <c r="D25" s="33"/>
      <c r="E25" s="28" t="s">
        <v>43</v>
      </c>
      <c r="F25" s="35">
        <f t="shared" ref="F25:T25" si="6">IF(SUM(F11:F22)=0,"",IF(COUNTIF(F11:F22,"&gt;=7")=0,0,COUNTIF(F11:F22,"&gt;=7")/$D22*100))</f>
        <v>100</v>
      </c>
      <c r="G25" s="35">
        <f t="shared" si="6"/>
        <v>83.33333333</v>
      </c>
      <c r="H25" s="35">
        <f t="shared" si="6"/>
        <v>91.66666667</v>
      </c>
      <c r="I25" s="35">
        <f t="shared" si="6"/>
        <v>100</v>
      </c>
      <c r="J25" s="35">
        <f t="shared" si="6"/>
        <v>100</v>
      </c>
      <c r="K25" s="35">
        <f t="shared" si="6"/>
        <v>58.33333333</v>
      </c>
      <c r="L25" s="35">
        <f t="shared" si="6"/>
        <v>100</v>
      </c>
      <c r="M25" s="35">
        <f t="shared" si="6"/>
        <v>58.33333333</v>
      </c>
      <c r="N25" s="35">
        <f t="shared" si="6"/>
        <v>66.66666667</v>
      </c>
      <c r="O25" s="35">
        <f t="shared" si="6"/>
        <v>25</v>
      </c>
      <c r="P25" s="35">
        <f t="shared" si="6"/>
        <v>58.33333333</v>
      </c>
      <c r="Q25" s="35">
        <f t="shared" si="6"/>
        <v>41.66666667</v>
      </c>
      <c r="R25" s="35">
        <f t="shared" si="6"/>
        <v>25</v>
      </c>
      <c r="S25" s="35">
        <f t="shared" si="6"/>
        <v>100</v>
      </c>
      <c r="T25" s="35">
        <f t="shared" si="6"/>
        <v>33.33333333</v>
      </c>
      <c r="U25" s="33"/>
      <c r="V25" s="15"/>
      <c r="W25" s="13"/>
      <c r="X25" s="1"/>
      <c r="Y25" s="1"/>
      <c r="Z25" s="1"/>
    </row>
    <row r="26" ht="15.0" customHeight="1">
      <c r="A26" s="10"/>
      <c r="B26" s="15"/>
      <c r="C26" s="33"/>
      <c r="D26" s="33"/>
      <c r="E26" s="28" t="s">
        <v>44</v>
      </c>
      <c r="F26" s="34">
        <f t="shared" ref="F26:F27" si="7">IFERROR(AVERAGE(F24:T24),"")</f>
        <v>96.66666667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15"/>
      <c r="W26" s="13"/>
      <c r="X26" s="1"/>
      <c r="Y26" s="1"/>
      <c r="Z26" s="1"/>
    </row>
    <row r="27" ht="15.0" customHeight="1">
      <c r="A27" s="10"/>
      <c r="B27" s="15"/>
      <c r="C27" s="33"/>
      <c r="D27" s="33"/>
      <c r="E27" s="28" t="s">
        <v>45</v>
      </c>
      <c r="F27" s="34">
        <f t="shared" si="7"/>
        <v>69.44444444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15"/>
      <c r="W27" s="13"/>
      <c r="X27" s="1"/>
      <c r="Y27" s="1"/>
      <c r="Z27" s="1"/>
    </row>
    <row r="28" ht="15.0" customHeight="1">
      <c r="A28" s="10"/>
      <c r="B28" s="15"/>
      <c r="C28" s="33"/>
      <c r="D28" s="33"/>
      <c r="E28" s="28" t="s">
        <v>46</v>
      </c>
      <c r="F28" s="29">
        <f>IF(COUNTIF(C11:C22,"=Б")=0,IF(COUNTIF(C11:C22,"=К")=0,"",0),COUNTIF(C11:C22,"=Б"))</f>
        <v>10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15"/>
      <c r="W28" s="13"/>
      <c r="X28" s="1"/>
      <c r="Y28" s="1"/>
      <c r="Z28" s="1"/>
    </row>
    <row r="29" ht="15.0" customHeight="1">
      <c r="A29" s="10"/>
      <c r="B29" s="15"/>
      <c r="C29" s="33"/>
      <c r="D29" s="33"/>
      <c r="E29" s="28" t="s">
        <v>47</v>
      </c>
      <c r="F29" s="29">
        <f>IF(COUNTIF(C11:C22,"=К")=0,IF(COUNTIF(C11:C22,"=Б")=0,"",0),COUNTIF(C11:C22,"=К"))</f>
        <v>2</v>
      </c>
      <c r="G29" s="33"/>
      <c r="H29" s="33"/>
      <c r="I29" s="36" t="s">
        <v>48</v>
      </c>
      <c r="J29" s="33"/>
      <c r="K29" s="33"/>
      <c r="L29" s="33"/>
      <c r="M29" s="33"/>
      <c r="N29" s="33"/>
      <c r="O29" s="33"/>
      <c r="P29" s="37" t="s">
        <v>49</v>
      </c>
      <c r="Q29" s="33"/>
      <c r="R29" s="33"/>
      <c r="S29" s="33"/>
      <c r="T29" s="33"/>
      <c r="U29" s="33"/>
      <c r="V29" s="15"/>
      <c r="W29" s="13"/>
      <c r="X29" s="1"/>
      <c r="Y29" s="1"/>
      <c r="Z29" s="1"/>
    </row>
    <row r="30" ht="15.0" customHeight="1">
      <c r="A30" s="10"/>
      <c r="B30" s="15"/>
      <c r="C30" s="33"/>
      <c r="D30" s="33"/>
      <c r="E30" s="28" t="s">
        <v>50</v>
      </c>
      <c r="F30" s="29">
        <v>4.0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15"/>
      <c r="W30" s="13"/>
      <c r="X30" s="1"/>
      <c r="Y30" s="1"/>
      <c r="Z30" s="1"/>
    </row>
    <row r="31" ht="15.0" customHeight="1">
      <c r="A31" s="10"/>
      <c r="B31" s="38"/>
      <c r="C31" s="33"/>
      <c r="D31" s="33"/>
      <c r="E31" s="28" t="s">
        <v>51</v>
      </c>
      <c r="F31" s="29">
        <v>4.0</v>
      </c>
      <c r="G31" s="33"/>
      <c r="H31" s="33"/>
      <c r="I31" s="36" t="s">
        <v>52</v>
      </c>
      <c r="J31" s="33"/>
      <c r="K31" s="33"/>
      <c r="L31" s="33"/>
      <c r="M31" s="33"/>
      <c r="N31" s="33"/>
      <c r="O31" s="33"/>
      <c r="P31" s="36" t="s">
        <v>53</v>
      </c>
      <c r="Q31" s="33"/>
      <c r="R31" s="33"/>
      <c r="S31" s="33"/>
      <c r="T31" s="33"/>
      <c r="U31" s="33"/>
      <c r="V31" s="38"/>
      <c r="W31" s="13"/>
      <c r="X31" s="1"/>
      <c r="Y31" s="1"/>
      <c r="Z31" s="1"/>
    </row>
    <row r="32" ht="12.0" customHeight="1">
      <c r="A32" s="39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8"/>
      <c r="W32" s="40"/>
      <c r="X32" s="1"/>
      <c r="Y32" s="1"/>
      <c r="Z32" s="1"/>
    </row>
    <row r="33" ht="12.0" customHeight="1">
      <c r="A33" s="1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3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C4:U4"/>
    <mergeCell ref="C5:U5"/>
    <mergeCell ref="C6:U6"/>
    <mergeCell ref="C7:U7"/>
    <mergeCell ref="B3:B31"/>
    <mergeCell ref="C9:C10"/>
    <mergeCell ref="D9:D10"/>
    <mergeCell ref="E9:E10"/>
    <mergeCell ref="F9:U9"/>
    <mergeCell ref="B32:V32"/>
    <mergeCell ref="B33:V33"/>
    <mergeCell ref="B1:V1"/>
    <mergeCell ref="A2:A32"/>
    <mergeCell ref="B2:V2"/>
    <mergeCell ref="W2:W32"/>
    <mergeCell ref="C3:U3"/>
    <mergeCell ref="V3:V31"/>
    <mergeCell ref="C8:U8"/>
  </mergeCells>
  <conditionalFormatting sqref="U11:U21">
    <cfRule type="expression" dxfId="0" priority="1">
      <formula>$V$22&lt;&gt;""</formula>
    </cfRule>
  </conditionalFormatting>
  <conditionalFormatting sqref="C11:T11 D13 D15 D17 D19 D21 F12:T22">
    <cfRule type="expression" dxfId="0" priority="2">
      <formula>$V$11&lt;&gt;""</formula>
    </cfRule>
  </conditionalFormatting>
  <conditionalFormatting sqref="C12:E12 D14 D16 D18 D20 D22">
    <cfRule type="expression" dxfId="0" priority="3">
      <formula>$V$12&lt;&gt;""</formula>
    </cfRule>
  </conditionalFormatting>
  <conditionalFormatting sqref="C13 E13">
    <cfRule type="expression" dxfId="0" priority="4">
      <formula>$V$13&lt;&gt;""</formula>
    </cfRule>
  </conditionalFormatting>
  <conditionalFormatting sqref="C14 E14">
    <cfRule type="expression" dxfId="0" priority="5">
      <formula>$V$14&lt;&gt;""</formula>
    </cfRule>
  </conditionalFormatting>
  <conditionalFormatting sqref="C15 E15">
    <cfRule type="expression" dxfId="0" priority="6">
      <formula>$V$15&lt;&gt;""</formula>
    </cfRule>
  </conditionalFormatting>
  <conditionalFormatting sqref="C16:C17 E16:E17">
    <cfRule type="expression" dxfId="0" priority="7">
      <formula>$V$16&lt;&gt;""</formula>
    </cfRule>
  </conditionalFormatting>
  <conditionalFormatting sqref="C18 E18">
    <cfRule type="expression" dxfId="0" priority="8">
      <formula>$V$18&lt;&gt;""</formula>
    </cfRule>
  </conditionalFormatting>
  <conditionalFormatting sqref="C19:C20 E19:E20">
    <cfRule type="expression" dxfId="0" priority="9">
      <formula>$V$19&lt;&gt;""</formula>
    </cfRule>
  </conditionalFormatting>
  <conditionalFormatting sqref="C21 E21">
    <cfRule type="expression" dxfId="0" priority="10">
      <formula>$V$21&lt;&gt;""</formula>
    </cfRule>
  </conditionalFormatting>
  <conditionalFormatting sqref="U22">
    <cfRule type="expression" dxfId="0" priority="11">
      <formula>$V$22&lt;&gt;""</formula>
    </cfRule>
  </conditionalFormatting>
  <conditionalFormatting sqref="C22 E22">
    <cfRule type="expression" dxfId="0" priority="12">
      <formula>#REF!&lt;&gt;""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1" width="11.29"/>
    <col customWidth="1" min="22" max="23" width="2.71"/>
    <col customWidth="1" hidden="1" min="24" max="24" width="14.43"/>
    <col customWidth="1" min="25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1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1"/>
      <c r="Y2" s="1"/>
      <c r="Z2" s="1"/>
    </row>
    <row r="3" ht="54.75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11"/>
      <c r="W3" s="13"/>
      <c r="X3" s="14"/>
      <c r="Y3" s="14"/>
      <c r="Z3" s="14"/>
    </row>
    <row r="4" ht="15.0" customHeight="1">
      <c r="A4" s="10"/>
      <c r="B4" s="15"/>
      <c r="C4" s="16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5"/>
      <c r="W4" s="13"/>
      <c r="X4" s="14"/>
      <c r="Y4" s="14"/>
      <c r="Z4" s="14"/>
    </row>
    <row r="5" ht="15.0" customHeight="1">
      <c r="A5" s="10"/>
      <c r="B5" s="15"/>
      <c r="C5" s="17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15"/>
      <c r="W5" s="13"/>
      <c r="X5" s="18"/>
      <c r="Y5" s="18"/>
      <c r="Z5" s="18"/>
    </row>
    <row r="6" ht="15.0" customHeight="1">
      <c r="A6" s="10"/>
      <c r="B6" s="15"/>
      <c r="C6" s="16" t="s">
        <v>54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15"/>
      <c r="W6" s="13"/>
      <c r="X6" s="14"/>
      <c r="Y6" s="14"/>
      <c r="Z6" s="14"/>
    </row>
    <row r="7" ht="15.0" customHeight="1">
      <c r="A7" s="10"/>
      <c r="B7" s="15"/>
      <c r="C7" s="16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15"/>
      <c r="W7" s="13"/>
      <c r="X7" s="14"/>
      <c r="Y7" s="14"/>
      <c r="Z7" s="14"/>
    </row>
    <row r="8" ht="15.0" customHeight="1">
      <c r="A8" s="10"/>
      <c r="B8" s="15"/>
      <c r="C8" s="16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15"/>
      <c r="W8" s="13"/>
      <c r="X8" s="14"/>
      <c r="Y8" s="14"/>
      <c r="Z8" s="14"/>
    </row>
    <row r="9" ht="15.0" customHeight="1">
      <c r="A9" s="10"/>
      <c r="B9" s="15"/>
      <c r="C9" s="19" t="s">
        <v>6</v>
      </c>
      <c r="D9" s="20" t="s">
        <v>7</v>
      </c>
      <c r="E9" s="20" t="s">
        <v>8</v>
      </c>
      <c r="F9" s="21" t="s">
        <v>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15"/>
      <c r="W9" s="13"/>
      <c r="X9" s="1"/>
      <c r="Y9" s="1"/>
      <c r="Z9" s="1"/>
    </row>
    <row r="10" ht="124.5" customHeight="1">
      <c r="A10" s="10"/>
      <c r="B10" s="15"/>
      <c r="C10" s="24"/>
      <c r="D10" s="24"/>
      <c r="E10" s="24"/>
      <c r="F10" s="25" t="s">
        <v>10</v>
      </c>
      <c r="G10" s="25" t="s">
        <v>11</v>
      </c>
      <c r="H10" s="25" t="s">
        <v>12</v>
      </c>
      <c r="I10" s="25" t="s">
        <v>13</v>
      </c>
      <c r="J10" s="25" t="s">
        <v>14</v>
      </c>
      <c r="K10" s="25" t="s">
        <v>15</v>
      </c>
      <c r="L10" s="25" t="s">
        <v>16</v>
      </c>
      <c r="M10" s="25" t="s">
        <v>17</v>
      </c>
      <c r="N10" s="25" t="s">
        <v>18</v>
      </c>
      <c r="O10" s="25" t="s">
        <v>19</v>
      </c>
      <c r="P10" s="25" t="s">
        <v>20</v>
      </c>
      <c r="Q10" s="25" t="s">
        <v>21</v>
      </c>
      <c r="R10" s="25" t="s">
        <v>22</v>
      </c>
      <c r="S10" s="25" t="s">
        <v>23</v>
      </c>
      <c r="T10" s="25" t="s">
        <v>24</v>
      </c>
      <c r="U10" s="26" t="s">
        <v>25</v>
      </c>
      <c r="V10" s="15"/>
      <c r="W10" s="13"/>
      <c r="X10" s="1"/>
      <c r="Y10" s="1"/>
      <c r="Z10" s="1"/>
    </row>
    <row r="11" ht="15.0" customHeight="1">
      <c r="A11" s="10"/>
      <c r="B11" s="15"/>
      <c r="C11" s="27" t="s">
        <v>26</v>
      </c>
      <c r="D11" s="27">
        <v>1.0</v>
      </c>
      <c r="E11" s="28" t="s">
        <v>55</v>
      </c>
      <c r="F11" s="29">
        <v>9.0</v>
      </c>
      <c r="G11" s="29">
        <v>9.0</v>
      </c>
      <c r="H11" s="29">
        <v>10.0</v>
      </c>
      <c r="I11" s="29">
        <v>9.0</v>
      </c>
      <c r="J11" s="29">
        <v>10.0</v>
      </c>
      <c r="K11" s="29" t="s">
        <v>29</v>
      </c>
      <c r="L11" s="29">
        <v>11.0</v>
      </c>
      <c r="M11" s="29">
        <v>7.0</v>
      </c>
      <c r="N11" s="29">
        <v>7.0</v>
      </c>
      <c r="O11" s="29">
        <v>4.0</v>
      </c>
      <c r="P11" s="29">
        <v>7.0</v>
      </c>
      <c r="Q11" s="29">
        <v>7.0</v>
      </c>
      <c r="R11" s="29" t="s">
        <v>29</v>
      </c>
      <c r="S11" s="29">
        <v>7.0</v>
      </c>
      <c r="T11" s="31">
        <v>4.0</v>
      </c>
      <c r="U11" s="30" t="str">
        <f t="shared" ref="U11:U20" si="1">IF(COUNTIF(F11:T11,"=*")&gt;0,"-",IF(COUNTIF(F11:T11,"&lt;4")&gt;0,"-",(IFERROR(AVERAGE(F11:T11),""))))</f>
        <v>-</v>
      </c>
      <c r="V11" s="15"/>
      <c r="W11" s="13"/>
      <c r="X11" s="1"/>
      <c r="Y11" s="1"/>
      <c r="Z11" s="1"/>
    </row>
    <row r="12" ht="15.0" customHeight="1">
      <c r="A12" s="10"/>
      <c r="B12" s="15"/>
      <c r="C12" s="27" t="s">
        <v>26</v>
      </c>
      <c r="D12" s="27">
        <v>2.0</v>
      </c>
      <c r="E12" s="28" t="s">
        <v>56</v>
      </c>
      <c r="F12" s="29">
        <v>8.0</v>
      </c>
      <c r="G12" s="29">
        <v>9.0</v>
      </c>
      <c r="H12" s="29">
        <v>10.0</v>
      </c>
      <c r="I12" s="29">
        <v>10.0</v>
      </c>
      <c r="J12" s="29">
        <v>10.0</v>
      </c>
      <c r="K12" s="29">
        <v>8.0</v>
      </c>
      <c r="L12" s="29">
        <v>10.0</v>
      </c>
      <c r="M12" s="29">
        <v>10.0</v>
      </c>
      <c r="N12" s="29">
        <v>9.0</v>
      </c>
      <c r="O12" s="29">
        <v>6.0</v>
      </c>
      <c r="P12" s="29">
        <v>9.0</v>
      </c>
      <c r="Q12" s="29">
        <v>8.0</v>
      </c>
      <c r="R12" s="29">
        <v>7.0</v>
      </c>
      <c r="S12" s="29">
        <v>7.0</v>
      </c>
      <c r="T12" s="29">
        <v>5.0</v>
      </c>
      <c r="U12" s="30">
        <f t="shared" si="1"/>
        <v>8.4</v>
      </c>
      <c r="V12" s="15"/>
      <c r="W12" s="13"/>
      <c r="X12" s="1"/>
      <c r="Y12" s="1"/>
      <c r="Z12" s="1"/>
    </row>
    <row r="13" ht="15.0" customHeight="1">
      <c r="A13" s="10"/>
      <c r="B13" s="15"/>
      <c r="C13" s="27" t="s">
        <v>26</v>
      </c>
      <c r="D13" s="27">
        <v>3.0</v>
      </c>
      <c r="E13" s="28" t="s">
        <v>57</v>
      </c>
      <c r="F13" s="29">
        <v>9.0</v>
      </c>
      <c r="G13" s="29">
        <v>9.0</v>
      </c>
      <c r="H13" s="29">
        <v>10.0</v>
      </c>
      <c r="I13" s="29">
        <v>9.0</v>
      </c>
      <c r="J13" s="29">
        <v>11.0</v>
      </c>
      <c r="K13" s="29">
        <v>10.0</v>
      </c>
      <c r="L13" s="29">
        <v>11.0</v>
      </c>
      <c r="M13" s="29">
        <v>10.0</v>
      </c>
      <c r="N13" s="29">
        <v>8.0</v>
      </c>
      <c r="O13" s="29">
        <v>7.0</v>
      </c>
      <c r="P13" s="29">
        <v>10.0</v>
      </c>
      <c r="Q13" s="29">
        <v>10.0</v>
      </c>
      <c r="R13" s="29">
        <v>8.0</v>
      </c>
      <c r="S13" s="29">
        <v>9.0</v>
      </c>
      <c r="T13" s="31">
        <v>8.0</v>
      </c>
      <c r="U13" s="30">
        <f t="shared" si="1"/>
        <v>9.266666667</v>
      </c>
      <c r="V13" s="15"/>
      <c r="W13" s="13"/>
      <c r="X13" s="1"/>
      <c r="Y13" s="1"/>
      <c r="Z13" s="1"/>
    </row>
    <row r="14" ht="15.0" customHeight="1">
      <c r="A14" s="10"/>
      <c r="B14" s="15"/>
      <c r="C14" s="27" t="s">
        <v>26</v>
      </c>
      <c r="D14" s="27">
        <v>4.0</v>
      </c>
      <c r="E14" s="28" t="s">
        <v>58</v>
      </c>
      <c r="F14" s="29">
        <v>8.0</v>
      </c>
      <c r="G14" s="29">
        <v>6.0</v>
      </c>
      <c r="H14" s="29">
        <v>6.0</v>
      </c>
      <c r="I14" s="29">
        <v>9.0</v>
      </c>
      <c r="J14" s="29">
        <v>7.0</v>
      </c>
      <c r="K14" s="29" t="s">
        <v>29</v>
      </c>
      <c r="L14" s="29">
        <v>6.0</v>
      </c>
      <c r="M14" s="29">
        <v>4.0</v>
      </c>
      <c r="N14" s="29" t="s">
        <v>29</v>
      </c>
      <c r="O14" s="29">
        <v>4.0</v>
      </c>
      <c r="P14" s="29">
        <v>4.0</v>
      </c>
      <c r="Q14" s="29">
        <v>4.0</v>
      </c>
      <c r="R14" s="29">
        <v>4.0</v>
      </c>
      <c r="S14" s="29">
        <v>5.0</v>
      </c>
      <c r="T14" s="31">
        <v>5.0</v>
      </c>
      <c r="U14" s="30" t="str">
        <f t="shared" si="1"/>
        <v>-</v>
      </c>
      <c r="V14" s="15"/>
      <c r="W14" s="13"/>
      <c r="X14" s="1"/>
      <c r="Y14" s="1"/>
      <c r="Z14" s="1"/>
    </row>
    <row r="15" ht="15.0" customHeight="1">
      <c r="A15" s="10"/>
      <c r="B15" s="15"/>
      <c r="C15" s="27" t="s">
        <v>26</v>
      </c>
      <c r="D15" s="27">
        <v>5.0</v>
      </c>
      <c r="E15" s="28" t="s">
        <v>59</v>
      </c>
      <c r="F15" s="29">
        <v>9.0</v>
      </c>
      <c r="G15" s="29">
        <v>6.0</v>
      </c>
      <c r="H15" s="29">
        <v>7.0</v>
      </c>
      <c r="I15" s="29">
        <v>9.0</v>
      </c>
      <c r="J15" s="29">
        <v>10.0</v>
      </c>
      <c r="K15" s="29">
        <v>6.0</v>
      </c>
      <c r="L15" s="29">
        <v>9.0</v>
      </c>
      <c r="M15" s="29">
        <v>7.0</v>
      </c>
      <c r="N15" s="29">
        <v>6.0</v>
      </c>
      <c r="O15" s="29">
        <v>5.0</v>
      </c>
      <c r="P15" s="29">
        <v>8.0</v>
      </c>
      <c r="Q15" s="29">
        <v>6.0</v>
      </c>
      <c r="R15" s="29">
        <v>5.0</v>
      </c>
      <c r="S15" s="29">
        <v>9.0</v>
      </c>
      <c r="T15" s="31">
        <v>5.0</v>
      </c>
      <c r="U15" s="30">
        <f t="shared" si="1"/>
        <v>7.133333333</v>
      </c>
      <c r="V15" s="15"/>
      <c r="W15" s="13"/>
      <c r="X15" s="1"/>
      <c r="Y15" s="1"/>
      <c r="Z15" s="1"/>
    </row>
    <row r="16" ht="15.0" customHeight="1">
      <c r="A16" s="10"/>
      <c r="B16" s="15"/>
      <c r="C16" s="27" t="s">
        <v>26</v>
      </c>
      <c r="D16" s="27">
        <v>6.0</v>
      </c>
      <c r="E16" s="28" t="s">
        <v>60</v>
      </c>
      <c r="F16" s="29">
        <v>10.0</v>
      </c>
      <c r="G16" s="29">
        <v>9.0</v>
      </c>
      <c r="H16" s="29">
        <v>9.0</v>
      </c>
      <c r="I16" s="29">
        <v>9.0</v>
      </c>
      <c r="J16" s="29">
        <v>10.0</v>
      </c>
      <c r="K16" s="29">
        <v>8.0</v>
      </c>
      <c r="L16" s="29">
        <v>10.0</v>
      </c>
      <c r="M16" s="29">
        <v>11.0</v>
      </c>
      <c r="N16" s="29">
        <v>8.0</v>
      </c>
      <c r="O16" s="29">
        <v>8.0</v>
      </c>
      <c r="P16" s="29">
        <v>7.0</v>
      </c>
      <c r="Q16" s="29">
        <v>8.0</v>
      </c>
      <c r="R16" s="29">
        <v>8.0</v>
      </c>
      <c r="S16" s="29">
        <v>11.0</v>
      </c>
      <c r="T16" s="29">
        <v>8.0</v>
      </c>
      <c r="U16" s="30">
        <f t="shared" si="1"/>
        <v>8.933333333</v>
      </c>
      <c r="V16" s="15"/>
      <c r="W16" s="13"/>
      <c r="X16" s="1"/>
      <c r="Y16" s="1"/>
      <c r="Z16" s="1"/>
    </row>
    <row r="17" ht="15.0" customHeight="1">
      <c r="A17" s="10"/>
      <c r="B17" s="15"/>
      <c r="C17" s="27" t="s">
        <v>26</v>
      </c>
      <c r="D17" s="27">
        <v>7.0</v>
      </c>
      <c r="E17" s="28" t="s">
        <v>61</v>
      </c>
      <c r="F17" s="29">
        <v>8.0</v>
      </c>
      <c r="G17" s="29">
        <v>7.0</v>
      </c>
      <c r="H17" s="29">
        <v>6.0</v>
      </c>
      <c r="I17" s="29">
        <v>6.0</v>
      </c>
      <c r="J17" s="29">
        <v>9.0</v>
      </c>
      <c r="K17" s="29" t="s">
        <v>29</v>
      </c>
      <c r="L17" s="29">
        <v>9.0</v>
      </c>
      <c r="M17" s="29">
        <v>4.0</v>
      </c>
      <c r="N17" s="29">
        <v>7.0</v>
      </c>
      <c r="O17" s="29">
        <v>4.0</v>
      </c>
      <c r="P17" s="29">
        <v>8.0</v>
      </c>
      <c r="Q17" s="29">
        <v>6.0</v>
      </c>
      <c r="R17" s="29">
        <v>4.0</v>
      </c>
      <c r="S17" s="29">
        <v>9.0</v>
      </c>
      <c r="T17" s="31">
        <v>5.0</v>
      </c>
      <c r="U17" s="30" t="str">
        <f t="shared" si="1"/>
        <v>-</v>
      </c>
      <c r="V17" s="15"/>
      <c r="W17" s="13"/>
      <c r="X17" s="1"/>
      <c r="Y17" s="1"/>
      <c r="Z17" s="1"/>
    </row>
    <row r="18" ht="15.0" customHeight="1">
      <c r="A18" s="10"/>
      <c r="B18" s="15"/>
      <c r="C18" s="27" t="s">
        <v>26</v>
      </c>
      <c r="D18" s="27">
        <v>8.0</v>
      </c>
      <c r="E18" s="28" t="s">
        <v>62</v>
      </c>
      <c r="F18" s="29">
        <v>10.0</v>
      </c>
      <c r="G18" s="29">
        <v>10.0</v>
      </c>
      <c r="H18" s="29">
        <v>9.0</v>
      </c>
      <c r="I18" s="29">
        <v>10.0</v>
      </c>
      <c r="J18" s="29">
        <v>10.0</v>
      </c>
      <c r="K18" s="29">
        <v>8.0</v>
      </c>
      <c r="L18" s="29">
        <v>10.0</v>
      </c>
      <c r="M18" s="29">
        <v>11.0</v>
      </c>
      <c r="N18" s="29">
        <v>8.0</v>
      </c>
      <c r="O18" s="29">
        <v>7.0</v>
      </c>
      <c r="P18" s="29">
        <v>8.0</v>
      </c>
      <c r="Q18" s="29">
        <v>9.0</v>
      </c>
      <c r="R18" s="29">
        <v>8.0</v>
      </c>
      <c r="S18" s="29">
        <v>10.0</v>
      </c>
      <c r="T18" s="31">
        <v>8.0</v>
      </c>
      <c r="U18" s="30">
        <f t="shared" si="1"/>
        <v>9.066666667</v>
      </c>
      <c r="V18" s="15"/>
      <c r="W18" s="13"/>
      <c r="X18" s="1"/>
      <c r="Y18" s="1"/>
      <c r="Z18" s="1"/>
    </row>
    <row r="19" ht="15.0" customHeight="1">
      <c r="A19" s="10"/>
      <c r="B19" s="15"/>
      <c r="C19" s="27" t="s">
        <v>26</v>
      </c>
      <c r="D19" s="27">
        <v>9.0</v>
      </c>
      <c r="E19" s="28" t="s">
        <v>63</v>
      </c>
      <c r="F19" s="29">
        <v>9.0</v>
      </c>
      <c r="G19" s="29">
        <v>9.0</v>
      </c>
      <c r="H19" s="29">
        <v>9.0</v>
      </c>
      <c r="I19" s="29">
        <v>10.0</v>
      </c>
      <c r="J19" s="29">
        <v>10.0</v>
      </c>
      <c r="K19" s="29">
        <v>8.0</v>
      </c>
      <c r="L19" s="29">
        <v>10.0</v>
      </c>
      <c r="M19" s="29">
        <v>10.0</v>
      </c>
      <c r="N19" s="29">
        <v>7.0</v>
      </c>
      <c r="O19" s="29">
        <v>7.0</v>
      </c>
      <c r="P19" s="29">
        <v>7.0</v>
      </c>
      <c r="Q19" s="29">
        <v>7.0</v>
      </c>
      <c r="R19" s="29">
        <v>7.0</v>
      </c>
      <c r="S19" s="29">
        <v>11.0</v>
      </c>
      <c r="T19" s="31">
        <v>9.0</v>
      </c>
      <c r="U19" s="30">
        <f t="shared" si="1"/>
        <v>8.666666667</v>
      </c>
      <c r="V19" s="15"/>
      <c r="W19" s="13"/>
      <c r="X19" s="1"/>
      <c r="Y19" s="1"/>
      <c r="Z19" s="1"/>
    </row>
    <row r="20" ht="15.0" customHeight="1">
      <c r="A20" s="10"/>
      <c r="B20" s="15"/>
      <c r="C20" s="27" t="s">
        <v>26</v>
      </c>
      <c r="D20" s="27">
        <v>10.0</v>
      </c>
      <c r="E20" s="28" t="s">
        <v>64</v>
      </c>
      <c r="F20" s="29">
        <v>9.0</v>
      </c>
      <c r="G20" s="29">
        <v>9.0</v>
      </c>
      <c r="H20" s="29">
        <v>9.0</v>
      </c>
      <c r="I20" s="29">
        <v>10.0</v>
      </c>
      <c r="J20" s="29">
        <v>10.0</v>
      </c>
      <c r="K20" s="29">
        <v>8.0</v>
      </c>
      <c r="L20" s="29">
        <v>10.0</v>
      </c>
      <c r="M20" s="29">
        <v>6.0</v>
      </c>
      <c r="N20" s="29">
        <v>8.0</v>
      </c>
      <c r="O20" s="29">
        <v>4.0</v>
      </c>
      <c r="P20" s="29">
        <v>8.0</v>
      </c>
      <c r="Q20" s="29">
        <v>7.0</v>
      </c>
      <c r="R20" s="29">
        <v>5.0</v>
      </c>
      <c r="S20" s="29">
        <v>9.0</v>
      </c>
      <c r="T20" s="31">
        <v>5.0</v>
      </c>
      <c r="U20" s="30">
        <f t="shared" si="1"/>
        <v>7.8</v>
      </c>
      <c r="V20" s="15"/>
      <c r="W20" s="13"/>
      <c r="X20" s="1"/>
      <c r="Y20" s="1"/>
      <c r="Z20" s="1"/>
    </row>
    <row r="21" ht="15.0" customHeight="1">
      <c r="A21" s="10"/>
      <c r="B21" s="15"/>
      <c r="C21" s="33"/>
      <c r="D21" s="33"/>
      <c r="E21" s="28" t="s">
        <v>41</v>
      </c>
      <c r="F21" s="34">
        <f t="shared" ref="F21:T21" si="2">IF(SUM(F11:F20)=0,"",SUM(F11:F20)/$D20)</f>
        <v>8.9</v>
      </c>
      <c r="G21" s="34">
        <f t="shared" si="2"/>
        <v>8.3</v>
      </c>
      <c r="H21" s="34">
        <f t="shared" si="2"/>
        <v>8.5</v>
      </c>
      <c r="I21" s="34">
        <f t="shared" si="2"/>
        <v>9.1</v>
      </c>
      <c r="J21" s="34">
        <f t="shared" si="2"/>
        <v>9.7</v>
      </c>
      <c r="K21" s="34">
        <f t="shared" si="2"/>
        <v>5.6</v>
      </c>
      <c r="L21" s="34">
        <f t="shared" si="2"/>
        <v>9.6</v>
      </c>
      <c r="M21" s="34">
        <f t="shared" si="2"/>
        <v>8</v>
      </c>
      <c r="N21" s="34">
        <f t="shared" si="2"/>
        <v>6.8</v>
      </c>
      <c r="O21" s="34">
        <f t="shared" si="2"/>
        <v>5.6</v>
      </c>
      <c r="P21" s="34">
        <f t="shared" si="2"/>
        <v>7.6</v>
      </c>
      <c r="Q21" s="34">
        <f t="shared" si="2"/>
        <v>7.2</v>
      </c>
      <c r="R21" s="34">
        <f t="shared" si="2"/>
        <v>5.6</v>
      </c>
      <c r="S21" s="34">
        <f t="shared" si="2"/>
        <v>8.7</v>
      </c>
      <c r="T21" s="34">
        <f t="shared" si="2"/>
        <v>6.2</v>
      </c>
      <c r="U21" s="30">
        <f>IFERROR(AVERAGE(F21:T21),"")</f>
        <v>7.693333333</v>
      </c>
      <c r="V21" s="15"/>
      <c r="W21" s="13"/>
      <c r="X21" s="1"/>
      <c r="Y21" s="1"/>
      <c r="Z21" s="1"/>
    </row>
    <row r="22" ht="15.0" customHeight="1">
      <c r="A22" s="10"/>
      <c r="B22" s="15"/>
      <c r="C22" s="33"/>
      <c r="D22" s="33"/>
      <c r="E22" s="28" t="s">
        <v>42</v>
      </c>
      <c r="F22" s="35">
        <f t="shared" ref="F22:T22" si="3">IF(SUM(F11:F20)=0,"",IF(COUNTIF(F11:F20,"&gt;=4")=0,0,COUNTIF(F11:F20,"&gt;=4")/$D20*100))</f>
        <v>100</v>
      </c>
      <c r="G22" s="35">
        <f t="shared" si="3"/>
        <v>100</v>
      </c>
      <c r="H22" s="35">
        <f t="shared" si="3"/>
        <v>100</v>
      </c>
      <c r="I22" s="35">
        <f t="shared" si="3"/>
        <v>100</v>
      </c>
      <c r="J22" s="35">
        <f t="shared" si="3"/>
        <v>100</v>
      </c>
      <c r="K22" s="35">
        <f t="shared" si="3"/>
        <v>70</v>
      </c>
      <c r="L22" s="35">
        <f t="shared" si="3"/>
        <v>100</v>
      </c>
      <c r="M22" s="35">
        <f t="shared" si="3"/>
        <v>100</v>
      </c>
      <c r="N22" s="35">
        <f t="shared" si="3"/>
        <v>90</v>
      </c>
      <c r="O22" s="35">
        <f t="shared" si="3"/>
        <v>100</v>
      </c>
      <c r="P22" s="35">
        <f t="shared" si="3"/>
        <v>100</v>
      </c>
      <c r="Q22" s="35">
        <f t="shared" si="3"/>
        <v>100</v>
      </c>
      <c r="R22" s="35">
        <f t="shared" si="3"/>
        <v>90</v>
      </c>
      <c r="S22" s="35">
        <f t="shared" si="3"/>
        <v>100</v>
      </c>
      <c r="T22" s="35">
        <f t="shared" si="3"/>
        <v>100</v>
      </c>
      <c r="U22" s="33"/>
      <c r="V22" s="15"/>
      <c r="W22" s="13"/>
      <c r="X22" s="1"/>
      <c r="Y22" s="1"/>
      <c r="Z22" s="1"/>
    </row>
    <row r="23" ht="15.0" customHeight="1">
      <c r="A23" s="10"/>
      <c r="B23" s="15"/>
      <c r="C23" s="33"/>
      <c r="D23" s="33"/>
      <c r="E23" s="28" t="s">
        <v>43</v>
      </c>
      <c r="F23" s="35">
        <f t="shared" ref="F23:T23" si="4">IF(SUM(F11:F20)=0,"",IF(COUNTIF(F11:F20,"&gt;=7")=0,0,COUNTIF(F11:F20,"&gt;=7")/$D20*100))</f>
        <v>100</v>
      </c>
      <c r="G23" s="35">
        <f t="shared" si="4"/>
        <v>80</v>
      </c>
      <c r="H23" s="35">
        <f t="shared" si="4"/>
        <v>80</v>
      </c>
      <c r="I23" s="35">
        <f t="shared" si="4"/>
        <v>90</v>
      </c>
      <c r="J23" s="35">
        <f t="shared" si="4"/>
        <v>100</v>
      </c>
      <c r="K23" s="35">
        <f t="shared" si="4"/>
        <v>60</v>
      </c>
      <c r="L23" s="35">
        <f t="shared" si="4"/>
        <v>90</v>
      </c>
      <c r="M23" s="35">
        <f t="shared" si="4"/>
        <v>70</v>
      </c>
      <c r="N23" s="35">
        <f t="shared" si="4"/>
        <v>80</v>
      </c>
      <c r="O23" s="35">
        <f t="shared" si="4"/>
        <v>40</v>
      </c>
      <c r="P23" s="35">
        <f t="shared" si="4"/>
        <v>90</v>
      </c>
      <c r="Q23" s="35">
        <f t="shared" si="4"/>
        <v>70</v>
      </c>
      <c r="R23" s="35">
        <f t="shared" si="4"/>
        <v>50</v>
      </c>
      <c r="S23" s="35">
        <f t="shared" si="4"/>
        <v>90</v>
      </c>
      <c r="T23" s="35">
        <f t="shared" si="4"/>
        <v>40</v>
      </c>
      <c r="U23" s="33"/>
      <c r="V23" s="15"/>
      <c r="W23" s="13"/>
      <c r="X23" s="1"/>
      <c r="Y23" s="1"/>
      <c r="Z23" s="1"/>
    </row>
    <row r="24" ht="15.0" customHeight="1">
      <c r="A24" s="10"/>
      <c r="B24" s="15"/>
      <c r="C24" s="33"/>
      <c r="D24" s="33"/>
      <c r="E24" s="28" t="s">
        <v>44</v>
      </c>
      <c r="F24" s="34">
        <f t="shared" ref="F24:F25" si="5">IFERROR(AVERAGE(F22:T22),"")</f>
        <v>96.66666667</v>
      </c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15"/>
      <c r="W24" s="13"/>
      <c r="X24" s="1"/>
      <c r="Y24" s="1"/>
      <c r="Z24" s="1"/>
    </row>
    <row r="25" ht="15.0" customHeight="1">
      <c r="A25" s="10"/>
      <c r="B25" s="15"/>
      <c r="C25" s="33"/>
      <c r="D25" s="33"/>
      <c r="E25" s="28" t="s">
        <v>45</v>
      </c>
      <c r="F25" s="34">
        <f t="shared" si="5"/>
        <v>75.33333333</v>
      </c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15"/>
      <c r="W25" s="13"/>
      <c r="X25" s="1"/>
      <c r="Y25" s="1"/>
      <c r="Z25" s="1"/>
    </row>
    <row r="26" ht="15.0" customHeight="1">
      <c r="A26" s="10"/>
      <c r="B26" s="15"/>
      <c r="C26" s="33"/>
      <c r="D26" s="33"/>
      <c r="E26" s="28" t="s">
        <v>46</v>
      </c>
      <c r="F26" s="29">
        <f>IF(COUNTIF(C11:C20,"=Б")=0,IF(COUNTIF(C11:C20,"=К")=0,"",0),COUNTIF(C11:C20,"=Б"))</f>
        <v>10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15"/>
      <c r="W26" s="13"/>
      <c r="X26" s="1"/>
      <c r="Y26" s="1"/>
      <c r="Z26" s="1"/>
    </row>
    <row r="27" ht="15.0" customHeight="1">
      <c r="A27" s="10"/>
      <c r="B27" s="15"/>
      <c r="C27" s="33"/>
      <c r="D27" s="33"/>
      <c r="E27" s="28" t="s">
        <v>47</v>
      </c>
      <c r="F27" s="29">
        <f>IF(COUNTIF(C11:C20,"=К")=0,IF(COUNTIF(C11:C20,"=Б")=0,"",0),COUNTIF(C11:C20,"=К"))</f>
        <v>0</v>
      </c>
      <c r="G27" s="33"/>
      <c r="H27" s="33"/>
      <c r="I27" s="36" t="s">
        <v>48</v>
      </c>
      <c r="J27" s="33"/>
      <c r="K27" s="33"/>
      <c r="L27" s="33"/>
      <c r="M27" s="33"/>
      <c r="N27" s="33"/>
      <c r="O27" s="33"/>
      <c r="P27" s="37" t="s">
        <v>49</v>
      </c>
      <c r="Q27" s="33"/>
      <c r="R27" s="33"/>
      <c r="S27" s="33"/>
      <c r="T27" s="33"/>
      <c r="U27" s="33"/>
      <c r="V27" s="15"/>
      <c r="W27" s="13"/>
      <c r="X27" s="1"/>
      <c r="Y27" s="1"/>
      <c r="Z27" s="1"/>
    </row>
    <row r="28" ht="15.0" customHeight="1">
      <c r="A28" s="10"/>
      <c r="B28" s="15"/>
      <c r="C28" s="33"/>
      <c r="D28" s="33"/>
      <c r="E28" s="28" t="s">
        <v>50</v>
      </c>
      <c r="F28" s="29">
        <v>2.0</v>
      </c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15"/>
      <c r="W28" s="13"/>
      <c r="X28" s="1"/>
      <c r="Y28" s="1"/>
      <c r="Z28" s="1"/>
    </row>
    <row r="29" ht="15.0" customHeight="1">
      <c r="A29" s="10"/>
      <c r="B29" s="38"/>
      <c r="C29" s="33"/>
      <c r="D29" s="33"/>
      <c r="E29" s="28" t="s">
        <v>51</v>
      </c>
      <c r="F29" s="29">
        <v>4.0</v>
      </c>
      <c r="G29" s="33"/>
      <c r="H29" s="33"/>
      <c r="I29" s="36" t="s">
        <v>52</v>
      </c>
      <c r="J29" s="33"/>
      <c r="K29" s="33"/>
      <c r="L29" s="33"/>
      <c r="M29" s="33"/>
      <c r="N29" s="33"/>
      <c r="O29" s="33"/>
      <c r="P29" s="36" t="s">
        <v>53</v>
      </c>
      <c r="Q29" s="33"/>
      <c r="R29" s="33"/>
      <c r="S29" s="33"/>
      <c r="T29" s="33"/>
      <c r="U29" s="33"/>
      <c r="V29" s="38"/>
      <c r="W29" s="13"/>
      <c r="X29" s="1"/>
      <c r="Y29" s="1"/>
      <c r="Z29" s="1"/>
    </row>
    <row r="30" ht="12.0" customHeight="1">
      <c r="A30" s="39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8"/>
      <c r="W30" s="40"/>
      <c r="X30" s="1"/>
      <c r="Y30" s="1"/>
      <c r="Z30" s="1"/>
    </row>
    <row r="31" ht="12.0" customHeight="1">
      <c r="A31" s="1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3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C4:U4"/>
    <mergeCell ref="C5:U5"/>
    <mergeCell ref="C6:U6"/>
    <mergeCell ref="C7:U7"/>
    <mergeCell ref="B3:B29"/>
    <mergeCell ref="C9:C10"/>
    <mergeCell ref="D9:D10"/>
    <mergeCell ref="E9:E10"/>
    <mergeCell ref="F9:U9"/>
    <mergeCell ref="B30:V30"/>
    <mergeCell ref="B31:V31"/>
    <mergeCell ref="B1:V1"/>
    <mergeCell ref="A2:A30"/>
    <mergeCell ref="B2:V2"/>
    <mergeCell ref="W2:W30"/>
    <mergeCell ref="C3:U3"/>
    <mergeCell ref="V3:V29"/>
    <mergeCell ref="C8:U8"/>
  </mergeCells>
  <conditionalFormatting sqref="U11:U19">
    <cfRule type="expression" dxfId="0" priority="1">
      <formula>$V$20&lt;&gt;""</formula>
    </cfRule>
  </conditionalFormatting>
  <conditionalFormatting sqref="C11:T11 F12:T20">
    <cfRule type="expression" dxfId="0" priority="2">
      <formula>$V$11&lt;&gt;""</formula>
    </cfRule>
  </conditionalFormatting>
  <conditionalFormatting sqref="C12:E12">
    <cfRule type="expression" dxfId="0" priority="3">
      <formula>$V$12&lt;&gt;""</formula>
    </cfRule>
  </conditionalFormatting>
  <conditionalFormatting sqref="C13:E13">
    <cfRule type="expression" dxfId="0" priority="4">
      <formula>$V$13&lt;&gt;""</formula>
    </cfRule>
  </conditionalFormatting>
  <conditionalFormatting sqref="C14:E14">
    <cfRule type="expression" dxfId="0" priority="5">
      <formula>$V$14&lt;&gt;""</formula>
    </cfRule>
  </conditionalFormatting>
  <conditionalFormatting sqref="C15:E15">
    <cfRule type="expression" dxfId="0" priority="6">
      <formula>$V$15&lt;&gt;""</formula>
    </cfRule>
  </conditionalFormatting>
  <conditionalFormatting sqref="C16:E16">
    <cfRule type="expression" dxfId="0" priority="7">
      <formula>$V$16&lt;&gt;""</formula>
    </cfRule>
  </conditionalFormatting>
  <conditionalFormatting sqref="C17:E17">
    <cfRule type="expression" dxfId="0" priority="8">
      <formula>$V$17&lt;&gt;""</formula>
    </cfRule>
  </conditionalFormatting>
  <conditionalFormatting sqref="C18:E18">
    <cfRule type="expression" dxfId="0" priority="9">
      <formula>$V$18&lt;&gt;""</formula>
    </cfRule>
  </conditionalFormatting>
  <conditionalFormatting sqref="C19:E19">
    <cfRule type="expression" dxfId="0" priority="10">
      <formula>$V$19&lt;&gt;""</formula>
    </cfRule>
  </conditionalFormatting>
  <conditionalFormatting sqref="U20">
    <cfRule type="expression" dxfId="0" priority="11">
      <formula>$V$20&lt;&gt;""</formula>
    </cfRule>
  </conditionalFormatting>
  <conditionalFormatting sqref="C20:E20">
    <cfRule type="expression" dxfId="0" priority="12">
      <formula>#REF!&lt;&gt;""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1" width="11.29"/>
    <col customWidth="1" min="22" max="23" width="2.71"/>
    <col customWidth="1" hidden="1" min="24" max="24" width="14.43"/>
    <col customWidth="1" min="25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1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1"/>
      <c r="Y2" s="1"/>
      <c r="Z2" s="1"/>
    </row>
    <row r="3" ht="54.75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11"/>
      <c r="W3" s="13"/>
      <c r="X3" s="14"/>
      <c r="Y3" s="14"/>
      <c r="Z3" s="14"/>
    </row>
    <row r="4" ht="15.0" customHeight="1">
      <c r="A4" s="10"/>
      <c r="B4" s="15"/>
      <c r="C4" s="16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5"/>
      <c r="W4" s="13"/>
      <c r="X4" s="14"/>
      <c r="Y4" s="14"/>
      <c r="Z4" s="14"/>
    </row>
    <row r="5" ht="15.0" customHeight="1">
      <c r="A5" s="10"/>
      <c r="B5" s="15"/>
      <c r="C5" s="17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15"/>
      <c r="W5" s="13"/>
      <c r="X5" s="18"/>
      <c r="Y5" s="18"/>
      <c r="Z5" s="18"/>
    </row>
    <row r="6" ht="15.0" customHeight="1">
      <c r="A6" s="10"/>
      <c r="B6" s="15"/>
      <c r="C6" s="16" t="s">
        <v>65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15"/>
      <c r="W6" s="13"/>
      <c r="X6" s="14"/>
      <c r="Y6" s="14"/>
      <c r="Z6" s="14"/>
    </row>
    <row r="7" ht="15.0" customHeight="1">
      <c r="A7" s="10"/>
      <c r="B7" s="15"/>
      <c r="C7" s="16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15"/>
      <c r="W7" s="13"/>
      <c r="X7" s="14"/>
      <c r="Y7" s="14"/>
      <c r="Z7" s="14"/>
    </row>
    <row r="8" ht="15.0" customHeight="1">
      <c r="A8" s="10"/>
      <c r="B8" s="15"/>
      <c r="C8" s="16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15"/>
      <c r="W8" s="13"/>
      <c r="X8" s="14"/>
      <c r="Y8" s="14"/>
      <c r="Z8" s="14"/>
    </row>
    <row r="9" ht="15.0" customHeight="1">
      <c r="A9" s="10"/>
      <c r="B9" s="15"/>
      <c r="C9" s="19" t="s">
        <v>6</v>
      </c>
      <c r="D9" s="20" t="s">
        <v>7</v>
      </c>
      <c r="E9" s="20" t="s">
        <v>8</v>
      </c>
      <c r="F9" s="21" t="s">
        <v>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15"/>
      <c r="W9" s="13"/>
      <c r="X9" s="1"/>
      <c r="Y9" s="1"/>
      <c r="Z9" s="1"/>
    </row>
    <row r="10" ht="124.5" customHeight="1">
      <c r="A10" s="10"/>
      <c r="B10" s="15"/>
      <c r="C10" s="24"/>
      <c r="D10" s="24"/>
      <c r="E10" s="24"/>
      <c r="F10" s="25" t="s">
        <v>10</v>
      </c>
      <c r="G10" s="25" t="s">
        <v>11</v>
      </c>
      <c r="H10" s="25" t="s">
        <v>12</v>
      </c>
      <c r="I10" s="25" t="s">
        <v>13</v>
      </c>
      <c r="J10" s="25" t="s">
        <v>14</v>
      </c>
      <c r="K10" s="25" t="s">
        <v>15</v>
      </c>
      <c r="L10" s="25" t="s">
        <v>16</v>
      </c>
      <c r="M10" s="25" t="s">
        <v>17</v>
      </c>
      <c r="N10" s="25" t="s">
        <v>18</v>
      </c>
      <c r="O10" s="25" t="s">
        <v>19</v>
      </c>
      <c r="P10" s="25" t="s">
        <v>20</v>
      </c>
      <c r="Q10" s="25" t="s">
        <v>21</v>
      </c>
      <c r="R10" s="25" t="s">
        <v>22</v>
      </c>
      <c r="S10" s="25" t="s">
        <v>23</v>
      </c>
      <c r="T10" s="25" t="s">
        <v>24</v>
      </c>
      <c r="U10" s="26" t="s">
        <v>25</v>
      </c>
      <c r="V10" s="15"/>
      <c r="W10" s="13"/>
      <c r="X10" s="1"/>
      <c r="Y10" s="1"/>
      <c r="Z10" s="1"/>
    </row>
    <row r="11" ht="15.0" customHeight="1">
      <c r="A11" s="10"/>
      <c r="B11" s="15"/>
      <c r="C11" s="27" t="s">
        <v>34</v>
      </c>
      <c r="D11" s="27">
        <v>1.0</v>
      </c>
      <c r="E11" s="28" t="s">
        <v>66</v>
      </c>
      <c r="F11" s="29">
        <v>8.0</v>
      </c>
      <c r="G11" s="29">
        <v>9.0</v>
      </c>
      <c r="H11" s="29">
        <v>8.0</v>
      </c>
      <c r="I11" s="29">
        <v>8.0</v>
      </c>
      <c r="J11" s="29">
        <v>10.0</v>
      </c>
      <c r="K11" s="29">
        <v>10.0</v>
      </c>
      <c r="L11" s="29">
        <v>10.0</v>
      </c>
      <c r="M11" s="29">
        <v>9.0</v>
      </c>
      <c r="N11" s="29">
        <v>7.0</v>
      </c>
      <c r="O11" s="29">
        <v>7.0</v>
      </c>
      <c r="P11" s="29">
        <v>7.0</v>
      </c>
      <c r="Q11" s="29">
        <v>9.0</v>
      </c>
      <c r="R11" s="29">
        <v>8.0</v>
      </c>
      <c r="S11" s="29">
        <v>10.0</v>
      </c>
      <c r="T11" s="29">
        <v>7.0</v>
      </c>
      <c r="U11" s="30">
        <f t="shared" ref="U11:U12" si="1">IF(COUNTIF(F11:T11,"=*")&gt;0,"-",IF(COUNTIF(F11:T11,"&lt;4")&gt;0,"-",(IFERROR(AVERAGE(F11:T11),""))))</f>
        <v>8.466666667</v>
      </c>
      <c r="V11" s="15"/>
      <c r="W11" s="13"/>
      <c r="X11" s="1"/>
      <c r="Y11" s="1"/>
      <c r="Z11" s="1"/>
    </row>
    <row r="12" ht="15.0" customHeight="1">
      <c r="A12" s="10"/>
      <c r="B12" s="15"/>
      <c r="C12" s="27" t="s">
        <v>34</v>
      </c>
      <c r="D12" s="27">
        <v>2.0</v>
      </c>
      <c r="E12" s="28" t="s">
        <v>67</v>
      </c>
      <c r="F12" s="29">
        <v>6.0</v>
      </c>
      <c r="G12" s="29">
        <v>7.0</v>
      </c>
      <c r="H12" s="29">
        <v>8.0</v>
      </c>
      <c r="I12" s="29">
        <v>5.0</v>
      </c>
      <c r="J12" s="29">
        <v>9.0</v>
      </c>
      <c r="K12" s="29">
        <v>4.0</v>
      </c>
      <c r="L12" s="29">
        <v>8.0</v>
      </c>
      <c r="M12" s="29">
        <v>4.0</v>
      </c>
      <c r="N12" s="29">
        <v>5.0</v>
      </c>
      <c r="O12" s="29" t="s">
        <v>29</v>
      </c>
      <c r="P12" s="29">
        <v>4.0</v>
      </c>
      <c r="Q12" s="29">
        <v>4.0</v>
      </c>
      <c r="R12" s="29">
        <v>4.0</v>
      </c>
      <c r="S12" s="29">
        <v>4.0</v>
      </c>
      <c r="T12" s="29">
        <v>4.0</v>
      </c>
      <c r="U12" s="30" t="str">
        <f t="shared" si="1"/>
        <v>-</v>
      </c>
      <c r="V12" s="15"/>
      <c r="W12" s="13"/>
      <c r="X12" s="1"/>
      <c r="Y12" s="1"/>
      <c r="Z12" s="1"/>
    </row>
    <row r="13" ht="15.0" customHeight="1">
      <c r="A13" s="10"/>
      <c r="B13" s="15"/>
      <c r="C13" s="33"/>
      <c r="D13" s="33"/>
      <c r="E13" s="28" t="s">
        <v>41</v>
      </c>
      <c r="F13" s="34">
        <f t="shared" ref="F13:T13" si="2">IF(SUM(F11:F12)=0,"",SUM(F11:F12)/$D12)</f>
        <v>7</v>
      </c>
      <c r="G13" s="34">
        <f t="shared" si="2"/>
        <v>8</v>
      </c>
      <c r="H13" s="34">
        <f t="shared" si="2"/>
        <v>8</v>
      </c>
      <c r="I13" s="34">
        <f t="shared" si="2"/>
        <v>6.5</v>
      </c>
      <c r="J13" s="34">
        <f t="shared" si="2"/>
        <v>9.5</v>
      </c>
      <c r="K13" s="34">
        <f t="shared" si="2"/>
        <v>7</v>
      </c>
      <c r="L13" s="34">
        <f t="shared" si="2"/>
        <v>9</v>
      </c>
      <c r="M13" s="34">
        <f t="shared" si="2"/>
        <v>6.5</v>
      </c>
      <c r="N13" s="34">
        <f t="shared" si="2"/>
        <v>6</v>
      </c>
      <c r="O13" s="34">
        <f t="shared" si="2"/>
        <v>3.5</v>
      </c>
      <c r="P13" s="34">
        <f t="shared" si="2"/>
        <v>5.5</v>
      </c>
      <c r="Q13" s="34">
        <f t="shared" si="2"/>
        <v>6.5</v>
      </c>
      <c r="R13" s="34">
        <f t="shared" si="2"/>
        <v>6</v>
      </c>
      <c r="S13" s="34">
        <f t="shared" si="2"/>
        <v>7</v>
      </c>
      <c r="T13" s="34">
        <f t="shared" si="2"/>
        <v>5.5</v>
      </c>
      <c r="U13" s="30">
        <f>IFERROR(AVERAGE(F13:T13),"")</f>
        <v>6.766666667</v>
      </c>
      <c r="V13" s="15"/>
      <c r="W13" s="13"/>
      <c r="X13" s="1"/>
      <c r="Y13" s="1"/>
      <c r="Z13" s="1"/>
    </row>
    <row r="14" ht="15.0" customHeight="1">
      <c r="A14" s="10"/>
      <c r="B14" s="15"/>
      <c r="C14" s="33"/>
      <c r="D14" s="33"/>
      <c r="E14" s="28" t="s">
        <v>42</v>
      </c>
      <c r="F14" s="35">
        <f t="shared" ref="F14:T14" si="3">IF(SUM(F11:F12)=0,"",IF(COUNTIF(F11:F12,"&gt;=4")=0,0,COUNTIF(F11:F12,"&gt;=4")/$D12*100))</f>
        <v>100</v>
      </c>
      <c r="G14" s="35">
        <f t="shared" si="3"/>
        <v>100</v>
      </c>
      <c r="H14" s="35">
        <f t="shared" si="3"/>
        <v>100</v>
      </c>
      <c r="I14" s="35">
        <f t="shared" si="3"/>
        <v>100</v>
      </c>
      <c r="J14" s="35">
        <f t="shared" si="3"/>
        <v>100</v>
      </c>
      <c r="K14" s="35">
        <f t="shared" si="3"/>
        <v>100</v>
      </c>
      <c r="L14" s="35">
        <f t="shared" si="3"/>
        <v>100</v>
      </c>
      <c r="M14" s="35">
        <f t="shared" si="3"/>
        <v>100</v>
      </c>
      <c r="N14" s="35">
        <f t="shared" si="3"/>
        <v>100</v>
      </c>
      <c r="O14" s="35">
        <f t="shared" si="3"/>
        <v>50</v>
      </c>
      <c r="P14" s="35">
        <f t="shared" si="3"/>
        <v>100</v>
      </c>
      <c r="Q14" s="35">
        <f t="shared" si="3"/>
        <v>100</v>
      </c>
      <c r="R14" s="35">
        <f t="shared" si="3"/>
        <v>100</v>
      </c>
      <c r="S14" s="35">
        <f t="shared" si="3"/>
        <v>100</v>
      </c>
      <c r="T14" s="35">
        <f t="shared" si="3"/>
        <v>100</v>
      </c>
      <c r="U14" s="33"/>
      <c r="V14" s="15"/>
      <c r="W14" s="13"/>
      <c r="X14" s="1"/>
      <c r="Y14" s="1"/>
      <c r="Z14" s="1"/>
    </row>
    <row r="15" ht="15.0" customHeight="1">
      <c r="A15" s="10"/>
      <c r="B15" s="15"/>
      <c r="C15" s="33"/>
      <c r="D15" s="33"/>
      <c r="E15" s="28" t="s">
        <v>43</v>
      </c>
      <c r="F15" s="35">
        <f t="shared" ref="F15:T15" si="4">IF(SUM(F11:F12)=0,"",IF(COUNTIF(F11:F12,"&gt;=7")=0,0,COUNTIF(F11:F12,"&gt;=7")/$D12*100))</f>
        <v>50</v>
      </c>
      <c r="G15" s="35">
        <f t="shared" si="4"/>
        <v>100</v>
      </c>
      <c r="H15" s="35">
        <f t="shared" si="4"/>
        <v>100</v>
      </c>
      <c r="I15" s="35">
        <f t="shared" si="4"/>
        <v>50</v>
      </c>
      <c r="J15" s="35">
        <f t="shared" si="4"/>
        <v>100</v>
      </c>
      <c r="K15" s="35">
        <f t="shared" si="4"/>
        <v>50</v>
      </c>
      <c r="L15" s="35">
        <f t="shared" si="4"/>
        <v>100</v>
      </c>
      <c r="M15" s="35">
        <f t="shared" si="4"/>
        <v>50</v>
      </c>
      <c r="N15" s="35">
        <f t="shared" si="4"/>
        <v>50</v>
      </c>
      <c r="O15" s="35">
        <f t="shared" si="4"/>
        <v>50</v>
      </c>
      <c r="P15" s="35">
        <f t="shared" si="4"/>
        <v>50</v>
      </c>
      <c r="Q15" s="35">
        <f t="shared" si="4"/>
        <v>50</v>
      </c>
      <c r="R15" s="35">
        <f t="shared" si="4"/>
        <v>50</v>
      </c>
      <c r="S15" s="35">
        <f t="shared" si="4"/>
        <v>50</v>
      </c>
      <c r="T15" s="35">
        <f t="shared" si="4"/>
        <v>50</v>
      </c>
      <c r="U15" s="33"/>
      <c r="V15" s="15"/>
      <c r="W15" s="13"/>
      <c r="X15" s="1"/>
      <c r="Y15" s="1"/>
      <c r="Z15" s="1"/>
    </row>
    <row r="16" ht="15.0" customHeight="1">
      <c r="A16" s="10"/>
      <c r="B16" s="15"/>
      <c r="C16" s="33"/>
      <c r="D16" s="33"/>
      <c r="E16" s="28" t="s">
        <v>44</v>
      </c>
      <c r="F16" s="34">
        <f t="shared" ref="F16:F17" si="5">IFERROR(AVERAGE(F14:T14),"")</f>
        <v>96.66666667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15"/>
      <c r="W16" s="13"/>
      <c r="X16" s="1"/>
      <c r="Y16" s="1"/>
      <c r="Z16" s="1"/>
    </row>
    <row r="17" ht="15.0" customHeight="1">
      <c r="A17" s="10"/>
      <c r="B17" s="15"/>
      <c r="C17" s="33"/>
      <c r="D17" s="33"/>
      <c r="E17" s="28" t="s">
        <v>45</v>
      </c>
      <c r="F17" s="34">
        <f t="shared" si="5"/>
        <v>63.33333333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15"/>
      <c r="W17" s="13"/>
      <c r="X17" s="1"/>
      <c r="Y17" s="1"/>
      <c r="Z17" s="1"/>
    </row>
    <row r="18" ht="15.0" customHeight="1">
      <c r="A18" s="10"/>
      <c r="B18" s="15"/>
      <c r="C18" s="33"/>
      <c r="D18" s="33"/>
      <c r="E18" s="28" t="s">
        <v>46</v>
      </c>
      <c r="F18" s="29">
        <f>IF(COUNTIF(C11:C12,"=Б")=0,IF(COUNTIF(C11:C12,"=К")=0,"",0),COUNTIF(C11:C12,"=Б"))</f>
        <v>0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15"/>
      <c r="W18" s="13"/>
      <c r="X18" s="1"/>
      <c r="Y18" s="1"/>
      <c r="Z18" s="1"/>
    </row>
    <row r="19" ht="15.0" customHeight="1">
      <c r="A19" s="10"/>
      <c r="B19" s="15"/>
      <c r="C19" s="33"/>
      <c r="D19" s="33"/>
      <c r="E19" s="28" t="s">
        <v>47</v>
      </c>
      <c r="F19" s="29">
        <f>IF(COUNTIF(C11:C12,"=К")=0,IF(COUNTIF(C11:C12,"=Б")=0,"",0),COUNTIF(C11:C12,"=К"))</f>
        <v>2</v>
      </c>
      <c r="G19" s="33"/>
      <c r="H19" s="33"/>
      <c r="I19" s="36" t="s">
        <v>48</v>
      </c>
      <c r="J19" s="33"/>
      <c r="K19" s="33"/>
      <c r="L19" s="33"/>
      <c r="M19" s="33"/>
      <c r="N19" s="33"/>
      <c r="O19" s="33"/>
      <c r="P19" s="37" t="s">
        <v>49</v>
      </c>
      <c r="Q19" s="33"/>
      <c r="R19" s="33"/>
      <c r="S19" s="33"/>
      <c r="T19" s="33"/>
      <c r="U19" s="33"/>
      <c r="V19" s="15"/>
      <c r="W19" s="13"/>
      <c r="X19" s="1"/>
      <c r="Y19" s="1"/>
      <c r="Z19" s="1"/>
    </row>
    <row r="20" ht="15.0" customHeight="1">
      <c r="A20" s="10"/>
      <c r="B20" s="15"/>
      <c r="C20" s="33"/>
      <c r="D20" s="33"/>
      <c r="E20" s="28" t="s">
        <v>50</v>
      </c>
      <c r="F20" s="29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15"/>
      <c r="W20" s="13"/>
      <c r="X20" s="1"/>
      <c r="Y20" s="1"/>
      <c r="Z20" s="1"/>
    </row>
    <row r="21" ht="15.0" customHeight="1">
      <c r="A21" s="10"/>
      <c r="B21" s="38"/>
      <c r="C21" s="33"/>
      <c r="D21" s="33"/>
      <c r="E21" s="28" t="s">
        <v>51</v>
      </c>
      <c r="F21" s="29"/>
      <c r="G21" s="33"/>
      <c r="H21" s="33"/>
      <c r="I21" s="36" t="s">
        <v>52</v>
      </c>
      <c r="J21" s="33"/>
      <c r="K21" s="33"/>
      <c r="L21" s="33"/>
      <c r="M21" s="33"/>
      <c r="N21" s="33"/>
      <c r="O21" s="33"/>
      <c r="P21" s="36" t="s">
        <v>53</v>
      </c>
      <c r="Q21" s="33"/>
      <c r="R21" s="33"/>
      <c r="S21" s="33"/>
      <c r="T21" s="33"/>
      <c r="U21" s="33"/>
      <c r="V21" s="38"/>
      <c r="W21" s="13"/>
      <c r="X21" s="1"/>
      <c r="Y21" s="1"/>
      <c r="Z21" s="1"/>
    </row>
    <row r="22" ht="12.0" customHeight="1">
      <c r="A22" s="39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  <c r="W22" s="40"/>
      <c r="X22" s="1"/>
      <c r="Y22" s="1"/>
      <c r="Z22" s="1"/>
    </row>
    <row r="23" ht="12.0" customHeight="1">
      <c r="A23" s="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3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C4:U4"/>
    <mergeCell ref="C5:U5"/>
    <mergeCell ref="C6:U6"/>
    <mergeCell ref="C7:U7"/>
    <mergeCell ref="B3:B21"/>
    <mergeCell ref="C9:C10"/>
    <mergeCell ref="D9:D10"/>
    <mergeCell ref="E9:E10"/>
    <mergeCell ref="F9:U9"/>
    <mergeCell ref="B22:V22"/>
    <mergeCell ref="B23:V23"/>
    <mergeCell ref="B1:V1"/>
    <mergeCell ref="A2:A22"/>
    <mergeCell ref="B2:V2"/>
    <mergeCell ref="W2:W22"/>
    <mergeCell ref="C3:U3"/>
    <mergeCell ref="V3:V21"/>
    <mergeCell ref="C8:U8"/>
  </mergeCells>
  <conditionalFormatting sqref="U12">
    <cfRule type="expression" dxfId="0" priority="1">
      <formula>$V$12&lt;&gt;""</formula>
    </cfRule>
  </conditionalFormatting>
  <conditionalFormatting sqref="C12:E12">
    <cfRule type="expression" dxfId="0" priority="2">
      <formula>#REF!&lt;&gt;""</formula>
    </cfRule>
  </conditionalFormatting>
  <conditionalFormatting sqref="U11">
    <cfRule type="expression" dxfId="0" priority="3">
      <formula>$V$12&lt;&gt;""</formula>
    </cfRule>
  </conditionalFormatting>
  <conditionalFormatting sqref="F11:T12">
    <cfRule type="expression" dxfId="0" priority="4">
      <formula>#REF!&lt;&gt;""</formula>
    </cfRule>
  </conditionalFormatting>
  <conditionalFormatting sqref="C11:E11">
    <cfRule type="expression" dxfId="0" priority="5">
      <formula>#REF!&lt;&gt;""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1" width="11.29"/>
    <col customWidth="1" min="22" max="23" width="2.71"/>
    <col customWidth="1" hidden="1" min="24" max="24" width="14.43"/>
    <col customWidth="1" min="25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1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1"/>
      <c r="Y2" s="1"/>
      <c r="Z2" s="1"/>
    </row>
    <row r="3" ht="54.75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11"/>
      <c r="W3" s="13"/>
      <c r="X3" s="14"/>
      <c r="Y3" s="14"/>
      <c r="Z3" s="14"/>
    </row>
    <row r="4" ht="15.0" customHeight="1">
      <c r="A4" s="10"/>
      <c r="B4" s="15"/>
      <c r="C4" s="16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5"/>
      <c r="W4" s="13"/>
      <c r="X4" s="14"/>
      <c r="Y4" s="14"/>
      <c r="Z4" s="14"/>
    </row>
    <row r="5" ht="15.0" customHeight="1">
      <c r="A5" s="10"/>
      <c r="B5" s="15"/>
      <c r="C5" s="17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15"/>
      <c r="W5" s="13"/>
      <c r="X5" s="18"/>
      <c r="Y5" s="18"/>
      <c r="Z5" s="18"/>
    </row>
    <row r="6" ht="15.0" customHeight="1">
      <c r="A6" s="10"/>
      <c r="B6" s="15"/>
      <c r="C6" s="16" t="s">
        <v>68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15"/>
      <c r="W6" s="13"/>
      <c r="X6" s="14"/>
      <c r="Y6" s="14"/>
      <c r="Z6" s="14"/>
    </row>
    <row r="7" ht="15.0" customHeight="1">
      <c r="A7" s="10"/>
      <c r="B7" s="15"/>
      <c r="C7" s="16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15"/>
      <c r="W7" s="13"/>
      <c r="X7" s="14"/>
      <c r="Y7" s="14"/>
      <c r="Z7" s="14"/>
    </row>
    <row r="8" ht="15.0" customHeight="1">
      <c r="A8" s="10"/>
      <c r="B8" s="15"/>
      <c r="C8" s="16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15"/>
      <c r="W8" s="13"/>
      <c r="X8" s="14"/>
      <c r="Y8" s="14"/>
      <c r="Z8" s="14"/>
    </row>
    <row r="9" ht="15.0" customHeight="1">
      <c r="A9" s="10"/>
      <c r="B9" s="15"/>
      <c r="C9" s="19" t="s">
        <v>6</v>
      </c>
      <c r="D9" s="20" t="s">
        <v>7</v>
      </c>
      <c r="E9" s="20" t="s">
        <v>8</v>
      </c>
      <c r="F9" s="21" t="s">
        <v>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15"/>
      <c r="W9" s="13"/>
      <c r="X9" s="1"/>
      <c r="Y9" s="1"/>
      <c r="Z9" s="1"/>
    </row>
    <row r="10" ht="124.5" customHeight="1">
      <c r="A10" s="10"/>
      <c r="B10" s="15"/>
      <c r="C10" s="24"/>
      <c r="D10" s="24"/>
      <c r="E10" s="24"/>
      <c r="F10" s="25" t="s">
        <v>10</v>
      </c>
      <c r="G10" s="25" t="s">
        <v>11</v>
      </c>
      <c r="H10" s="25" t="s">
        <v>12</v>
      </c>
      <c r="I10" s="25" t="s">
        <v>13</v>
      </c>
      <c r="J10" s="25" t="s">
        <v>14</v>
      </c>
      <c r="K10" s="25" t="s">
        <v>15</v>
      </c>
      <c r="L10" s="25" t="s">
        <v>16</v>
      </c>
      <c r="M10" s="25" t="s">
        <v>17</v>
      </c>
      <c r="N10" s="25" t="s">
        <v>18</v>
      </c>
      <c r="O10" s="25" t="s">
        <v>19</v>
      </c>
      <c r="P10" s="25" t="s">
        <v>20</v>
      </c>
      <c r="Q10" s="25" t="s">
        <v>21</v>
      </c>
      <c r="R10" s="25" t="s">
        <v>22</v>
      </c>
      <c r="S10" s="25" t="s">
        <v>23</v>
      </c>
      <c r="T10" s="25" t="s">
        <v>24</v>
      </c>
      <c r="U10" s="26" t="s">
        <v>25</v>
      </c>
      <c r="V10" s="15"/>
      <c r="W10" s="13"/>
      <c r="X10" s="1"/>
      <c r="Y10" s="1"/>
      <c r="Z10" s="1"/>
    </row>
    <row r="11" ht="15.0" customHeight="1">
      <c r="A11" s="10"/>
      <c r="B11" s="15"/>
      <c r="C11" s="27" t="s">
        <v>34</v>
      </c>
      <c r="D11" s="44">
        <v>1.0</v>
      </c>
      <c r="E11" s="28" t="s">
        <v>69</v>
      </c>
      <c r="F11" s="29">
        <v>6.0</v>
      </c>
      <c r="G11" s="29">
        <v>6.0</v>
      </c>
      <c r="H11" s="29">
        <v>6.0</v>
      </c>
      <c r="I11" s="29">
        <v>5.0</v>
      </c>
      <c r="J11" s="29">
        <v>5.0</v>
      </c>
      <c r="K11" s="29" t="s">
        <v>29</v>
      </c>
      <c r="L11" s="29">
        <v>5.0</v>
      </c>
      <c r="M11" s="29">
        <v>4.0</v>
      </c>
      <c r="N11" s="29" t="s">
        <v>29</v>
      </c>
      <c r="O11" s="29" t="s">
        <v>29</v>
      </c>
      <c r="P11" s="29">
        <v>4.0</v>
      </c>
      <c r="Q11" s="29">
        <v>4.0</v>
      </c>
      <c r="R11" s="29">
        <v>4.0</v>
      </c>
      <c r="S11" s="29">
        <v>4.0</v>
      </c>
      <c r="T11" s="29">
        <v>4.0</v>
      </c>
      <c r="U11" s="30" t="str">
        <f t="shared" ref="U11:U13" si="1">IF(COUNTIF(F11:T11,"=*")&gt;0,"-",IF(COUNTIF(F11:T11,"&lt;4")&gt;0,"-",(IFERROR(AVERAGE(F11:T11),""))))</f>
        <v>-</v>
      </c>
      <c r="V11" s="15"/>
      <c r="W11" s="13"/>
      <c r="X11" s="1"/>
      <c r="Y11" s="1"/>
      <c r="Z11" s="1"/>
    </row>
    <row r="12" ht="15.0" customHeight="1">
      <c r="A12" s="10"/>
      <c r="B12" s="15"/>
      <c r="C12" s="27" t="s">
        <v>34</v>
      </c>
      <c r="D12" s="44">
        <v>2.0</v>
      </c>
      <c r="E12" s="28" t="s">
        <v>70</v>
      </c>
      <c r="F12" s="29">
        <v>8.0</v>
      </c>
      <c r="G12" s="29">
        <v>9.0</v>
      </c>
      <c r="H12" s="29">
        <v>9.0</v>
      </c>
      <c r="I12" s="29">
        <v>9.0</v>
      </c>
      <c r="J12" s="29">
        <v>8.0</v>
      </c>
      <c r="K12" s="29">
        <v>9.0</v>
      </c>
      <c r="L12" s="29">
        <v>8.0</v>
      </c>
      <c r="M12" s="29">
        <v>9.0</v>
      </c>
      <c r="N12" s="29">
        <v>9.0</v>
      </c>
      <c r="O12" s="29">
        <v>6.0</v>
      </c>
      <c r="P12" s="29">
        <v>9.0</v>
      </c>
      <c r="Q12" s="29">
        <v>10.0</v>
      </c>
      <c r="R12" s="29">
        <v>7.0</v>
      </c>
      <c r="S12" s="29">
        <v>10.0</v>
      </c>
      <c r="T12" s="29">
        <v>7.0</v>
      </c>
      <c r="U12" s="30">
        <f t="shared" si="1"/>
        <v>8.466666667</v>
      </c>
      <c r="V12" s="15"/>
      <c r="W12" s="13"/>
      <c r="X12" s="1"/>
      <c r="Y12" s="1"/>
      <c r="Z12" s="1"/>
    </row>
    <row r="13" ht="15.0" customHeight="1">
      <c r="A13" s="10"/>
      <c r="B13" s="15"/>
      <c r="C13" s="27" t="s">
        <v>34</v>
      </c>
      <c r="D13" s="44">
        <v>3.0</v>
      </c>
      <c r="E13" s="28" t="s">
        <v>71</v>
      </c>
      <c r="F13" s="29">
        <v>10.0</v>
      </c>
      <c r="G13" s="29">
        <v>10.0</v>
      </c>
      <c r="H13" s="29">
        <v>9.0</v>
      </c>
      <c r="I13" s="29">
        <v>10.0</v>
      </c>
      <c r="J13" s="29">
        <v>10.0</v>
      </c>
      <c r="K13" s="29">
        <v>9.0</v>
      </c>
      <c r="L13" s="29">
        <v>10.0</v>
      </c>
      <c r="M13" s="29">
        <v>10.0</v>
      </c>
      <c r="N13" s="29">
        <v>9.0</v>
      </c>
      <c r="O13" s="29">
        <v>8.0</v>
      </c>
      <c r="P13" s="29">
        <v>11.0</v>
      </c>
      <c r="Q13" s="29">
        <v>10.0</v>
      </c>
      <c r="R13" s="29">
        <v>9.0</v>
      </c>
      <c r="S13" s="29">
        <v>10.0</v>
      </c>
      <c r="T13" s="29">
        <v>7.0</v>
      </c>
      <c r="U13" s="30">
        <f t="shared" si="1"/>
        <v>9.466666667</v>
      </c>
      <c r="V13" s="15"/>
      <c r="W13" s="13"/>
      <c r="X13" s="1"/>
      <c r="Y13" s="1"/>
      <c r="Z13" s="1"/>
    </row>
    <row r="14" ht="15.0" customHeight="1">
      <c r="A14" s="10"/>
      <c r="B14" s="15"/>
      <c r="C14" s="33"/>
      <c r="D14" s="33"/>
      <c r="E14" s="28" t="s">
        <v>41</v>
      </c>
      <c r="F14" s="34">
        <f t="shared" ref="F14:T14" si="2">IF(SUM(F11:F13)=0,"",SUM(F11:F13)/$D13)</f>
        <v>8</v>
      </c>
      <c r="G14" s="34">
        <f t="shared" si="2"/>
        <v>8.333333333</v>
      </c>
      <c r="H14" s="34">
        <f t="shared" si="2"/>
        <v>8</v>
      </c>
      <c r="I14" s="34">
        <f t="shared" si="2"/>
        <v>8</v>
      </c>
      <c r="J14" s="34">
        <f t="shared" si="2"/>
        <v>7.666666667</v>
      </c>
      <c r="K14" s="34">
        <f t="shared" si="2"/>
        <v>6</v>
      </c>
      <c r="L14" s="34">
        <f t="shared" si="2"/>
        <v>7.666666667</v>
      </c>
      <c r="M14" s="34">
        <f t="shared" si="2"/>
        <v>7.666666667</v>
      </c>
      <c r="N14" s="34">
        <f t="shared" si="2"/>
        <v>6</v>
      </c>
      <c r="O14" s="34">
        <f t="shared" si="2"/>
        <v>4.666666667</v>
      </c>
      <c r="P14" s="34">
        <f t="shared" si="2"/>
        <v>8</v>
      </c>
      <c r="Q14" s="34">
        <f t="shared" si="2"/>
        <v>8</v>
      </c>
      <c r="R14" s="34">
        <f t="shared" si="2"/>
        <v>6.666666667</v>
      </c>
      <c r="S14" s="34">
        <f t="shared" si="2"/>
        <v>8</v>
      </c>
      <c r="T14" s="34">
        <f t="shared" si="2"/>
        <v>6</v>
      </c>
      <c r="U14" s="30">
        <f>IFERROR(AVERAGE(F14:T14),"")</f>
        <v>7.244444444</v>
      </c>
      <c r="V14" s="15"/>
      <c r="W14" s="13"/>
      <c r="X14" s="1"/>
      <c r="Y14" s="1"/>
      <c r="Z14" s="1"/>
    </row>
    <row r="15" ht="15.0" customHeight="1">
      <c r="A15" s="10"/>
      <c r="B15" s="15"/>
      <c r="C15" s="33"/>
      <c r="D15" s="33"/>
      <c r="E15" s="28" t="s">
        <v>42</v>
      </c>
      <c r="F15" s="35">
        <f t="shared" ref="F15:T15" si="3">IF(SUM(F11:F13)=0,"",IF(COUNTIF(F11:F13,"&gt;=4")=0,0,COUNTIF(F11:F13,"&gt;=4")/$D13*100))</f>
        <v>100</v>
      </c>
      <c r="G15" s="35">
        <f t="shared" si="3"/>
        <v>100</v>
      </c>
      <c r="H15" s="35">
        <f t="shared" si="3"/>
        <v>100</v>
      </c>
      <c r="I15" s="35">
        <f t="shared" si="3"/>
        <v>100</v>
      </c>
      <c r="J15" s="35">
        <f t="shared" si="3"/>
        <v>100</v>
      </c>
      <c r="K15" s="35">
        <f t="shared" si="3"/>
        <v>66.66666667</v>
      </c>
      <c r="L15" s="35">
        <f t="shared" si="3"/>
        <v>100</v>
      </c>
      <c r="M15" s="35">
        <f t="shared" si="3"/>
        <v>100</v>
      </c>
      <c r="N15" s="35">
        <f t="shared" si="3"/>
        <v>66.66666667</v>
      </c>
      <c r="O15" s="35">
        <f t="shared" si="3"/>
        <v>66.66666667</v>
      </c>
      <c r="P15" s="35">
        <f t="shared" si="3"/>
        <v>100</v>
      </c>
      <c r="Q15" s="35">
        <f t="shared" si="3"/>
        <v>100</v>
      </c>
      <c r="R15" s="35">
        <f t="shared" si="3"/>
        <v>100</v>
      </c>
      <c r="S15" s="35">
        <f t="shared" si="3"/>
        <v>100</v>
      </c>
      <c r="T15" s="35">
        <f t="shared" si="3"/>
        <v>100</v>
      </c>
      <c r="U15" s="33"/>
      <c r="V15" s="15"/>
      <c r="W15" s="13"/>
      <c r="X15" s="1"/>
      <c r="Y15" s="1"/>
      <c r="Z15" s="1"/>
    </row>
    <row r="16" ht="15.0" customHeight="1">
      <c r="A16" s="10"/>
      <c r="B16" s="15"/>
      <c r="C16" s="33"/>
      <c r="D16" s="33"/>
      <c r="E16" s="28" t="s">
        <v>43</v>
      </c>
      <c r="F16" s="35">
        <f t="shared" ref="F16:T16" si="4">IF(SUM(F11:F13)=0,"",IF(COUNTIF(F11:F13,"&gt;=7")=0,0,COUNTIF(F11:F13,"&gt;=7")/$D13*100))</f>
        <v>66.66666667</v>
      </c>
      <c r="G16" s="35">
        <f t="shared" si="4"/>
        <v>66.66666667</v>
      </c>
      <c r="H16" s="35">
        <f t="shared" si="4"/>
        <v>66.66666667</v>
      </c>
      <c r="I16" s="35">
        <f t="shared" si="4"/>
        <v>66.66666667</v>
      </c>
      <c r="J16" s="35">
        <f t="shared" si="4"/>
        <v>66.66666667</v>
      </c>
      <c r="K16" s="35">
        <f t="shared" si="4"/>
        <v>66.66666667</v>
      </c>
      <c r="L16" s="35">
        <f t="shared" si="4"/>
        <v>66.66666667</v>
      </c>
      <c r="M16" s="35">
        <f t="shared" si="4"/>
        <v>66.66666667</v>
      </c>
      <c r="N16" s="35">
        <f t="shared" si="4"/>
        <v>66.66666667</v>
      </c>
      <c r="O16" s="35">
        <f t="shared" si="4"/>
        <v>33.33333333</v>
      </c>
      <c r="P16" s="35">
        <f t="shared" si="4"/>
        <v>66.66666667</v>
      </c>
      <c r="Q16" s="35">
        <f t="shared" si="4"/>
        <v>66.66666667</v>
      </c>
      <c r="R16" s="35">
        <f t="shared" si="4"/>
        <v>66.66666667</v>
      </c>
      <c r="S16" s="35">
        <f t="shared" si="4"/>
        <v>66.66666667</v>
      </c>
      <c r="T16" s="35">
        <f t="shared" si="4"/>
        <v>66.66666667</v>
      </c>
      <c r="U16" s="33"/>
      <c r="V16" s="15"/>
      <c r="W16" s="13"/>
      <c r="X16" s="1"/>
      <c r="Y16" s="1"/>
      <c r="Z16" s="1"/>
    </row>
    <row r="17" ht="15.0" customHeight="1">
      <c r="A17" s="10"/>
      <c r="B17" s="15"/>
      <c r="C17" s="33"/>
      <c r="D17" s="33"/>
      <c r="E17" s="28" t="s">
        <v>44</v>
      </c>
      <c r="F17" s="34">
        <f t="shared" ref="F17:F18" si="5">IFERROR(AVERAGE(F15:T15),"")</f>
        <v>93.33333333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15"/>
      <c r="W17" s="13"/>
      <c r="X17" s="1"/>
      <c r="Y17" s="1"/>
      <c r="Z17" s="1"/>
    </row>
    <row r="18" ht="15.0" customHeight="1">
      <c r="A18" s="10"/>
      <c r="B18" s="15"/>
      <c r="C18" s="33"/>
      <c r="D18" s="33"/>
      <c r="E18" s="28" t="s">
        <v>45</v>
      </c>
      <c r="F18" s="34">
        <f t="shared" si="5"/>
        <v>64.44444444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15"/>
      <c r="W18" s="13"/>
      <c r="X18" s="1"/>
      <c r="Y18" s="1"/>
      <c r="Z18" s="1"/>
    </row>
    <row r="19" ht="15.0" customHeight="1">
      <c r="A19" s="10"/>
      <c r="B19" s="15"/>
      <c r="C19" s="33"/>
      <c r="D19" s="33"/>
      <c r="E19" s="28" t="s">
        <v>46</v>
      </c>
      <c r="F19" s="29">
        <f>IF(COUNTIF(C11:C13,"=Б")=0,IF(COUNTIF(C11:C13,"=К")=0,"",0),COUNTIF(C11:C13,"=Б"))</f>
        <v>0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15"/>
      <c r="W19" s="13"/>
      <c r="X19" s="1"/>
      <c r="Y19" s="1"/>
      <c r="Z19" s="1"/>
    </row>
    <row r="20" ht="15.0" customHeight="1">
      <c r="A20" s="10"/>
      <c r="B20" s="15"/>
      <c r="C20" s="33"/>
      <c r="D20" s="33"/>
      <c r="E20" s="28" t="s">
        <v>47</v>
      </c>
      <c r="F20" s="29">
        <f>IF(COUNTIF(C11:C13,"=К")=0,IF(COUNTIF(C11:C13,"=Б")=0,"",0),COUNTIF(C11:C13,"=К"))</f>
        <v>3</v>
      </c>
      <c r="G20" s="33"/>
      <c r="H20" s="33"/>
      <c r="I20" s="36" t="s">
        <v>48</v>
      </c>
      <c r="J20" s="33"/>
      <c r="K20" s="33"/>
      <c r="L20" s="33"/>
      <c r="M20" s="33"/>
      <c r="N20" s="33"/>
      <c r="O20" s="33"/>
      <c r="P20" s="37" t="s">
        <v>49</v>
      </c>
      <c r="Q20" s="33"/>
      <c r="R20" s="33"/>
      <c r="S20" s="33"/>
      <c r="T20" s="33"/>
      <c r="U20" s="33"/>
      <c r="V20" s="15"/>
      <c r="W20" s="13"/>
      <c r="X20" s="1"/>
      <c r="Y20" s="1"/>
      <c r="Z20" s="1"/>
    </row>
    <row r="21" ht="15.0" customHeight="1">
      <c r="A21" s="10"/>
      <c r="B21" s="15"/>
      <c r="C21" s="33"/>
      <c r="D21" s="33"/>
      <c r="E21" s="28" t="s">
        <v>50</v>
      </c>
      <c r="F21" s="29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15"/>
      <c r="W21" s="13"/>
      <c r="X21" s="1"/>
      <c r="Y21" s="1"/>
      <c r="Z21" s="1"/>
    </row>
    <row r="22" ht="15.0" customHeight="1">
      <c r="A22" s="10"/>
      <c r="B22" s="38"/>
      <c r="C22" s="33"/>
      <c r="D22" s="33"/>
      <c r="E22" s="28" t="s">
        <v>51</v>
      </c>
      <c r="F22" s="29"/>
      <c r="G22" s="33"/>
      <c r="H22" s="33"/>
      <c r="I22" s="36" t="s">
        <v>52</v>
      </c>
      <c r="J22" s="33"/>
      <c r="K22" s="33"/>
      <c r="L22" s="33"/>
      <c r="M22" s="33"/>
      <c r="N22" s="33"/>
      <c r="O22" s="33"/>
      <c r="P22" s="36" t="s">
        <v>53</v>
      </c>
      <c r="Q22" s="33"/>
      <c r="R22" s="33"/>
      <c r="S22" s="33"/>
      <c r="T22" s="33"/>
      <c r="U22" s="33"/>
      <c r="V22" s="38"/>
      <c r="W22" s="13"/>
      <c r="X22" s="1"/>
      <c r="Y22" s="1"/>
      <c r="Z22" s="1"/>
    </row>
    <row r="23" ht="12.0" customHeight="1">
      <c r="A23" s="39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  <c r="W23" s="40"/>
      <c r="X23" s="1"/>
      <c r="Y23" s="1"/>
      <c r="Z23" s="1"/>
    </row>
    <row r="24" ht="12.0" customHeight="1">
      <c r="A24" s="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3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C4:U4"/>
    <mergeCell ref="C5:U5"/>
    <mergeCell ref="C6:U6"/>
    <mergeCell ref="C7:U7"/>
    <mergeCell ref="B3:B22"/>
    <mergeCell ref="C9:C10"/>
    <mergeCell ref="D9:D10"/>
    <mergeCell ref="E9:E10"/>
    <mergeCell ref="F9:U9"/>
    <mergeCell ref="B23:V23"/>
    <mergeCell ref="B24:V24"/>
    <mergeCell ref="B1:V1"/>
    <mergeCell ref="A2:A23"/>
    <mergeCell ref="B2:V2"/>
    <mergeCell ref="W2:W23"/>
    <mergeCell ref="C3:U3"/>
    <mergeCell ref="V3:V22"/>
    <mergeCell ref="C8:U8"/>
  </mergeCells>
  <conditionalFormatting sqref="U11:U12">
    <cfRule type="expression" dxfId="0" priority="1">
      <formula>$V$13&lt;&gt;""</formula>
    </cfRule>
  </conditionalFormatting>
  <conditionalFormatting sqref="F11:T13">
    <cfRule type="expression" dxfId="0" priority="2">
      <formula>#REF!&lt;&gt;""</formula>
    </cfRule>
  </conditionalFormatting>
  <conditionalFormatting sqref="C11:E11">
    <cfRule type="expression" dxfId="0" priority="3">
      <formula>$V$11&lt;&gt;""</formula>
    </cfRule>
  </conditionalFormatting>
  <conditionalFormatting sqref="C12:E12">
    <cfRule type="expression" dxfId="0" priority="4">
      <formula>$V$12&lt;&gt;""</formula>
    </cfRule>
  </conditionalFormatting>
  <conditionalFormatting sqref="U13">
    <cfRule type="expression" dxfId="0" priority="5">
      <formula>$V$13&lt;&gt;""</formula>
    </cfRule>
  </conditionalFormatting>
  <conditionalFormatting sqref="C13:E13">
    <cfRule type="expression" dxfId="0" priority="6">
      <formula>#REF!&lt;&gt;""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E100"/>
    <pageSetUpPr fitToPage="1"/>
  </sheetPr>
  <sheetViews>
    <sheetView workbookViewId="0"/>
  </sheetViews>
  <sheetFormatPr customHeight="1" defaultColWidth="14.43" defaultRowHeight="15.0"/>
  <cols>
    <col customWidth="1" min="1" max="2" width="2.71"/>
    <col customWidth="1" min="3" max="3" width="4.14"/>
    <col customWidth="1" min="4" max="4" width="6.57"/>
    <col customWidth="1" min="5" max="5" width="40.43"/>
    <col customWidth="1" min="6" max="20" width="6.71"/>
    <col customWidth="1" min="21" max="21" width="11.29"/>
    <col customWidth="1" min="22" max="23" width="2.71"/>
    <col customWidth="1" hidden="1" min="24" max="24" width="14.43"/>
    <col customWidth="1" min="25" max="26" width="8.71"/>
  </cols>
  <sheetData>
    <row r="1" ht="12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1"/>
      <c r="X1" s="1"/>
      <c r="Y1" s="1"/>
      <c r="Z1" s="1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9"/>
      <c r="X2" s="1"/>
      <c r="Y2" s="1"/>
      <c r="Z2" s="1"/>
    </row>
    <row r="3" ht="54.75" customHeight="1">
      <c r="A3" s="10"/>
      <c r="B3" s="11"/>
      <c r="C3" s="12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11"/>
      <c r="W3" s="13"/>
      <c r="X3" s="14"/>
      <c r="Y3" s="14"/>
      <c r="Z3" s="14"/>
    </row>
    <row r="4" ht="15.0" customHeight="1">
      <c r="A4" s="10"/>
      <c r="B4" s="15"/>
      <c r="C4" s="16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15"/>
      <c r="W4" s="13"/>
      <c r="X4" s="14"/>
      <c r="Y4" s="14"/>
      <c r="Z4" s="14"/>
    </row>
    <row r="5" ht="15.0" customHeight="1">
      <c r="A5" s="10"/>
      <c r="B5" s="15"/>
      <c r="C5" s="17" t="s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15"/>
      <c r="W5" s="13"/>
      <c r="X5" s="18"/>
      <c r="Y5" s="18"/>
      <c r="Z5" s="18"/>
    </row>
    <row r="6" ht="15.0" customHeight="1">
      <c r="A6" s="10"/>
      <c r="B6" s="15"/>
      <c r="C6" s="16" t="s">
        <v>72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15"/>
      <c r="W6" s="13"/>
      <c r="X6" s="14"/>
      <c r="Y6" s="14"/>
      <c r="Z6" s="14"/>
    </row>
    <row r="7" ht="15.0" customHeight="1">
      <c r="A7" s="10"/>
      <c r="B7" s="15"/>
      <c r="C7" s="16" t="s"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15"/>
      <c r="W7" s="13"/>
      <c r="X7" s="14"/>
      <c r="Y7" s="14"/>
      <c r="Z7" s="14"/>
    </row>
    <row r="8" ht="15.0" customHeight="1">
      <c r="A8" s="10"/>
      <c r="B8" s="15"/>
      <c r="C8" s="16" t="s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15"/>
      <c r="W8" s="13"/>
      <c r="X8" s="14"/>
      <c r="Y8" s="14"/>
      <c r="Z8" s="14"/>
    </row>
    <row r="9" ht="15.0" customHeight="1">
      <c r="A9" s="10"/>
      <c r="B9" s="15"/>
      <c r="C9" s="19" t="s">
        <v>6</v>
      </c>
      <c r="D9" s="20" t="s">
        <v>7</v>
      </c>
      <c r="E9" s="20" t="s">
        <v>8</v>
      </c>
      <c r="F9" s="21" t="s">
        <v>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15"/>
      <c r="W9" s="13"/>
      <c r="X9" s="1"/>
      <c r="Y9" s="1"/>
      <c r="Z9" s="1"/>
    </row>
    <row r="10" ht="124.5" customHeight="1">
      <c r="A10" s="10"/>
      <c r="B10" s="15"/>
      <c r="C10" s="24"/>
      <c r="D10" s="24"/>
      <c r="E10" s="24"/>
      <c r="F10" s="25" t="s">
        <v>10</v>
      </c>
      <c r="G10" s="25" t="s">
        <v>11</v>
      </c>
      <c r="H10" s="25" t="s">
        <v>12</v>
      </c>
      <c r="I10" s="25" t="s">
        <v>13</v>
      </c>
      <c r="J10" s="25" t="s">
        <v>14</v>
      </c>
      <c r="K10" s="25" t="s">
        <v>15</v>
      </c>
      <c r="L10" s="25" t="s">
        <v>16</v>
      </c>
      <c r="M10" s="25" t="s">
        <v>17</v>
      </c>
      <c r="N10" s="25" t="s">
        <v>18</v>
      </c>
      <c r="O10" s="25" t="s">
        <v>19</v>
      </c>
      <c r="P10" s="25" t="s">
        <v>20</v>
      </c>
      <c r="Q10" s="25" t="s">
        <v>21</v>
      </c>
      <c r="R10" s="25" t="s">
        <v>22</v>
      </c>
      <c r="S10" s="25" t="s">
        <v>23</v>
      </c>
      <c r="T10" s="25" t="s">
        <v>24</v>
      </c>
      <c r="U10" s="26" t="s">
        <v>25</v>
      </c>
      <c r="V10" s="15"/>
      <c r="W10" s="13"/>
      <c r="X10" s="1"/>
      <c r="Y10" s="1"/>
      <c r="Z10" s="1"/>
    </row>
    <row r="11" ht="15.0" customHeight="1">
      <c r="A11" s="10"/>
      <c r="B11" s="15"/>
      <c r="C11" s="27" t="s">
        <v>34</v>
      </c>
      <c r="D11" s="27">
        <v>1.0</v>
      </c>
      <c r="E11" s="28" t="s">
        <v>73</v>
      </c>
      <c r="F11" s="29">
        <v>8.0</v>
      </c>
      <c r="G11" s="29">
        <v>8.0</v>
      </c>
      <c r="H11" s="29">
        <v>8.0</v>
      </c>
      <c r="I11" s="29">
        <v>8.0</v>
      </c>
      <c r="J11" s="29">
        <v>9.0</v>
      </c>
      <c r="K11" s="29" t="s">
        <v>29</v>
      </c>
      <c r="L11" s="29">
        <v>9.0</v>
      </c>
      <c r="M11" s="29">
        <v>4.0</v>
      </c>
      <c r="N11" s="29">
        <v>6.0</v>
      </c>
      <c r="O11" s="29" t="s">
        <v>29</v>
      </c>
      <c r="P11" s="29">
        <v>5.0</v>
      </c>
      <c r="Q11" s="29">
        <v>4.0</v>
      </c>
      <c r="R11" s="29">
        <v>4.0</v>
      </c>
      <c r="S11" s="29">
        <v>4.0</v>
      </c>
      <c r="T11" s="29">
        <v>5.0</v>
      </c>
      <c r="U11" s="30">
        <f>AVERAGE(F11:T11)</f>
        <v>6.307692308</v>
      </c>
      <c r="V11" s="15"/>
      <c r="W11" s="13"/>
      <c r="X11" s="1"/>
      <c r="Y11" s="1"/>
      <c r="Z11" s="1"/>
    </row>
    <row r="12" ht="15.0" customHeight="1">
      <c r="A12" s="10"/>
      <c r="B12" s="15"/>
      <c r="C12" s="27" t="s">
        <v>34</v>
      </c>
      <c r="D12" s="27">
        <v>2.0</v>
      </c>
      <c r="E12" s="28" t="s">
        <v>74</v>
      </c>
      <c r="F12" s="29">
        <v>7.0</v>
      </c>
      <c r="G12" s="29">
        <v>5.0</v>
      </c>
      <c r="H12" s="29">
        <v>7.0</v>
      </c>
      <c r="I12" s="29">
        <v>8.0</v>
      </c>
      <c r="J12" s="29">
        <v>10.0</v>
      </c>
      <c r="K12" s="29">
        <v>4.0</v>
      </c>
      <c r="L12" s="29">
        <v>10.0</v>
      </c>
      <c r="M12" s="29">
        <v>4.0</v>
      </c>
      <c r="N12" s="29">
        <v>5.0</v>
      </c>
      <c r="O12" s="29" t="s">
        <v>29</v>
      </c>
      <c r="P12" s="29">
        <v>5.0</v>
      </c>
      <c r="Q12" s="29">
        <v>4.0</v>
      </c>
      <c r="R12" s="29" t="s">
        <v>29</v>
      </c>
      <c r="S12" s="29">
        <v>4.0</v>
      </c>
      <c r="T12" s="29">
        <v>4.0</v>
      </c>
      <c r="U12" s="30" t="str">
        <f>IF(COUNTIF(F12:T12,"=*")&gt;0,"-",IF(COUNTIF(F12:T12,"&lt;4")&gt;0,"-",(IFERROR(AVERAGE(F12:T12),""))))</f>
        <v>-</v>
      </c>
      <c r="V12" s="15"/>
      <c r="W12" s="13"/>
      <c r="X12" s="1"/>
      <c r="Y12" s="1"/>
      <c r="Z12" s="1"/>
    </row>
    <row r="13" ht="15.0" customHeight="1">
      <c r="A13" s="10"/>
      <c r="B13" s="15"/>
      <c r="C13" s="33"/>
      <c r="D13" s="33"/>
      <c r="E13" s="28" t="s">
        <v>41</v>
      </c>
      <c r="F13" s="34">
        <f t="shared" ref="F13:N13" si="1">IF(SUM(F11:F12)=0,"",SUM(F11:F12)/$D12)</f>
        <v>7.5</v>
      </c>
      <c r="G13" s="34">
        <f t="shared" si="1"/>
        <v>6.5</v>
      </c>
      <c r="H13" s="34">
        <f t="shared" si="1"/>
        <v>7.5</v>
      </c>
      <c r="I13" s="34">
        <f t="shared" si="1"/>
        <v>8</v>
      </c>
      <c r="J13" s="34">
        <f t="shared" si="1"/>
        <v>9.5</v>
      </c>
      <c r="K13" s="34">
        <f t="shared" si="1"/>
        <v>2</v>
      </c>
      <c r="L13" s="34">
        <f t="shared" si="1"/>
        <v>9.5</v>
      </c>
      <c r="M13" s="34">
        <f t="shared" si="1"/>
        <v>4</v>
      </c>
      <c r="N13" s="34">
        <f t="shared" si="1"/>
        <v>5.5</v>
      </c>
      <c r="O13" s="34">
        <v>0.0</v>
      </c>
      <c r="P13" s="34">
        <f t="shared" ref="P13:T13" si="2">IF(SUM(P11:P12)=0,"",SUM(P11:P12)/$D12)</f>
        <v>5</v>
      </c>
      <c r="Q13" s="34">
        <f t="shared" si="2"/>
        <v>4</v>
      </c>
      <c r="R13" s="34">
        <f t="shared" si="2"/>
        <v>2</v>
      </c>
      <c r="S13" s="34">
        <f t="shared" si="2"/>
        <v>4</v>
      </c>
      <c r="T13" s="34">
        <f t="shared" si="2"/>
        <v>4.5</v>
      </c>
      <c r="U13" s="30">
        <f>IFERROR(AVERAGE(F13:T13),"")</f>
        <v>5.3</v>
      </c>
      <c r="V13" s="15"/>
      <c r="W13" s="13"/>
      <c r="X13" s="1"/>
      <c r="Y13" s="1"/>
      <c r="Z13" s="1"/>
    </row>
    <row r="14" ht="15.0" customHeight="1">
      <c r="A14" s="10"/>
      <c r="B14" s="15"/>
      <c r="C14" s="33"/>
      <c r="D14" s="33"/>
      <c r="E14" s="28" t="s">
        <v>42</v>
      </c>
      <c r="F14" s="35">
        <f t="shared" ref="F14:N14" si="3">IF(SUM(F11:F12)=0,"",IF(COUNTIF(F11:F12,"&gt;=4")=0,0,COUNTIF(F11:F12,"&gt;=4")/$D12*100))</f>
        <v>100</v>
      </c>
      <c r="G14" s="35">
        <f t="shared" si="3"/>
        <v>100</v>
      </c>
      <c r="H14" s="35">
        <f t="shared" si="3"/>
        <v>100</v>
      </c>
      <c r="I14" s="35">
        <f t="shared" si="3"/>
        <v>100</v>
      </c>
      <c r="J14" s="35">
        <f t="shared" si="3"/>
        <v>100</v>
      </c>
      <c r="K14" s="35">
        <f t="shared" si="3"/>
        <v>50</v>
      </c>
      <c r="L14" s="35">
        <f t="shared" si="3"/>
        <v>100</v>
      </c>
      <c r="M14" s="35">
        <f t="shared" si="3"/>
        <v>100</v>
      </c>
      <c r="N14" s="35">
        <f t="shared" si="3"/>
        <v>100</v>
      </c>
      <c r="O14" s="35">
        <v>0.0</v>
      </c>
      <c r="P14" s="35">
        <f t="shared" ref="P14:T14" si="4">IF(SUM(P11:P12)=0,"",IF(COUNTIF(P11:P12,"&gt;=4")=0,0,COUNTIF(P11:P12,"&gt;=4")/$D12*100))</f>
        <v>100</v>
      </c>
      <c r="Q14" s="35">
        <f t="shared" si="4"/>
        <v>100</v>
      </c>
      <c r="R14" s="35">
        <f t="shared" si="4"/>
        <v>50</v>
      </c>
      <c r="S14" s="35">
        <f t="shared" si="4"/>
        <v>100</v>
      </c>
      <c r="T14" s="35">
        <f t="shared" si="4"/>
        <v>100</v>
      </c>
      <c r="U14" s="33"/>
      <c r="V14" s="15"/>
      <c r="W14" s="13"/>
      <c r="X14" s="1"/>
      <c r="Y14" s="1"/>
      <c r="Z14" s="1"/>
    </row>
    <row r="15" ht="15.0" customHeight="1">
      <c r="A15" s="10"/>
      <c r="B15" s="15"/>
      <c r="C15" s="33"/>
      <c r="D15" s="33"/>
      <c r="E15" s="28" t="s">
        <v>43</v>
      </c>
      <c r="F15" s="35">
        <f t="shared" ref="F15:N15" si="5">IF(SUM(F11:F12)=0,"",IF(COUNTIF(F11:F12,"&gt;=7")=0,0,COUNTIF(F11:F12,"&gt;=7")/$D12*100))</f>
        <v>100</v>
      </c>
      <c r="G15" s="35">
        <f t="shared" si="5"/>
        <v>50</v>
      </c>
      <c r="H15" s="35">
        <f t="shared" si="5"/>
        <v>100</v>
      </c>
      <c r="I15" s="35">
        <f t="shared" si="5"/>
        <v>100</v>
      </c>
      <c r="J15" s="35">
        <f t="shared" si="5"/>
        <v>100</v>
      </c>
      <c r="K15" s="35">
        <f t="shared" si="5"/>
        <v>0</v>
      </c>
      <c r="L15" s="35">
        <f t="shared" si="5"/>
        <v>100</v>
      </c>
      <c r="M15" s="35">
        <f t="shared" si="5"/>
        <v>0</v>
      </c>
      <c r="N15" s="35">
        <f t="shared" si="5"/>
        <v>0</v>
      </c>
      <c r="O15" s="35">
        <v>0.0</v>
      </c>
      <c r="P15" s="35">
        <f t="shared" ref="P15:T15" si="6">IF(SUM(P11:P12)=0,"",IF(COUNTIF(P11:P12,"&gt;=7")=0,0,COUNTIF(P11:P12,"&gt;=7")/$D12*100))</f>
        <v>0</v>
      </c>
      <c r="Q15" s="35">
        <f t="shared" si="6"/>
        <v>0</v>
      </c>
      <c r="R15" s="35">
        <f t="shared" si="6"/>
        <v>0</v>
      </c>
      <c r="S15" s="35">
        <f t="shared" si="6"/>
        <v>0</v>
      </c>
      <c r="T15" s="35">
        <f t="shared" si="6"/>
        <v>0</v>
      </c>
      <c r="U15" s="33"/>
      <c r="V15" s="15"/>
      <c r="W15" s="13"/>
      <c r="X15" s="1"/>
      <c r="Y15" s="1"/>
      <c r="Z15" s="1"/>
    </row>
    <row r="16" ht="15.0" customHeight="1">
      <c r="A16" s="10"/>
      <c r="B16" s="15"/>
      <c r="C16" s="33"/>
      <c r="D16" s="33"/>
      <c r="E16" s="28" t="s">
        <v>44</v>
      </c>
      <c r="F16" s="34">
        <f t="shared" ref="F16:F17" si="7">IFERROR(AVERAGE(F14:T14),"")</f>
        <v>86.66666667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15"/>
      <c r="W16" s="13"/>
      <c r="X16" s="1"/>
      <c r="Y16" s="1"/>
      <c r="Z16" s="1"/>
    </row>
    <row r="17" ht="15.0" customHeight="1">
      <c r="A17" s="10"/>
      <c r="B17" s="15"/>
      <c r="C17" s="33"/>
      <c r="D17" s="33"/>
      <c r="E17" s="28" t="s">
        <v>45</v>
      </c>
      <c r="F17" s="34">
        <f t="shared" si="7"/>
        <v>36.66666667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15"/>
      <c r="W17" s="13"/>
      <c r="X17" s="1"/>
      <c r="Y17" s="1"/>
      <c r="Z17" s="1"/>
    </row>
    <row r="18" ht="15.0" customHeight="1">
      <c r="A18" s="10"/>
      <c r="B18" s="15"/>
      <c r="C18" s="33"/>
      <c r="D18" s="33"/>
      <c r="E18" s="28" t="s">
        <v>46</v>
      </c>
      <c r="F18" s="29">
        <f>IF(COUNTIF(C11:C12,"=Б")=0,IF(COUNTIF(C11:C12,"=К")=0,"",0),COUNTIF(C11:C12,"=Б"))</f>
        <v>0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15"/>
      <c r="W18" s="13"/>
      <c r="X18" s="1"/>
      <c r="Y18" s="1"/>
      <c r="Z18" s="1"/>
    </row>
    <row r="19" ht="15.0" customHeight="1">
      <c r="A19" s="10"/>
      <c r="B19" s="15"/>
      <c r="C19" s="33"/>
      <c r="D19" s="33"/>
      <c r="E19" s="28" t="s">
        <v>47</v>
      </c>
      <c r="F19" s="29">
        <f>IF(COUNTIF(C11:C12,"=К")=0,IF(COUNTIF(C11:C12,"=Б")=0,"",0),COUNTIF(C11:C12,"=К"))</f>
        <v>2</v>
      </c>
      <c r="G19" s="33"/>
      <c r="H19" s="33"/>
      <c r="I19" s="36" t="s">
        <v>48</v>
      </c>
      <c r="J19" s="33"/>
      <c r="K19" s="33"/>
      <c r="L19" s="33"/>
      <c r="M19" s="33"/>
      <c r="N19" s="33"/>
      <c r="O19" s="33"/>
      <c r="P19" s="37" t="s">
        <v>49</v>
      </c>
      <c r="Q19" s="33"/>
      <c r="R19" s="33"/>
      <c r="S19" s="33"/>
      <c r="T19" s="33"/>
      <c r="U19" s="33"/>
      <c r="V19" s="15"/>
      <c r="W19" s="13"/>
      <c r="X19" s="1"/>
      <c r="Y19" s="1"/>
      <c r="Z19" s="1"/>
    </row>
    <row r="20" ht="15.0" customHeight="1">
      <c r="A20" s="10"/>
      <c r="B20" s="15"/>
      <c r="C20" s="33"/>
      <c r="D20" s="33"/>
      <c r="E20" s="28" t="s">
        <v>50</v>
      </c>
      <c r="F20" s="29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15"/>
      <c r="W20" s="13"/>
      <c r="X20" s="1"/>
      <c r="Y20" s="1"/>
      <c r="Z20" s="1"/>
    </row>
    <row r="21" ht="15.0" customHeight="1">
      <c r="A21" s="10"/>
      <c r="B21" s="38"/>
      <c r="C21" s="33"/>
      <c r="D21" s="33"/>
      <c r="E21" s="28" t="s">
        <v>51</v>
      </c>
      <c r="F21" s="29"/>
      <c r="G21" s="33"/>
      <c r="H21" s="33"/>
      <c r="I21" s="36" t="s">
        <v>52</v>
      </c>
      <c r="J21" s="33"/>
      <c r="K21" s="33"/>
      <c r="L21" s="33"/>
      <c r="M21" s="33"/>
      <c r="N21" s="33"/>
      <c r="O21" s="33"/>
      <c r="P21" s="36" t="s">
        <v>53</v>
      </c>
      <c r="Q21" s="33"/>
      <c r="R21" s="33"/>
      <c r="S21" s="33"/>
      <c r="T21" s="33"/>
      <c r="U21" s="33"/>
      <c r="V21" s="38"/>
      <c r="W21" s="13"/>
      <c r="X21" s="1"/>
      <c r="Y21" s="1"/>
      <c r="Z21" s="1"/>
    </row>
    <row r="22" ht="12.0" customHeight="1">
      <c r="A22" s="39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  <c r="W22" s="40"/>
      <c r="X22" s="1"/>
      <c r="Y22" s="1"/>
      <c r="Z22" s="1"/>
    </row>
    <row r="23" ht="12.0" customHeight="1">
      <c r="A23" s="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3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C4:U4"/>
    <mergeCell ref="C5:U5"/>
    <mergeCell ref="C6:U6"/>
    <mergeCell ref="C7:U7"/>
    <mergeCell ref="B3:B21"/>
    <mergeCell ref="C9:C10"/>
    <mergeCell ref="D9:D10"/>
    <mergeCell ref="E9:E10"/>
    <mergeCell ref="F9:U9"/>
    <mergeCell ref="B22:V22"/>
    <mergeCell ref="B23:V23"/>
    <mergeCell ref="B1:V1"/>
    <mergeCell ref="A2:A22"/>
    <mergeCell ref="B2:V2"/>
    <mergeCell ref="W2:W22"/>
    <mergeCell ref="C3:U3"/>
    <mergeCell ref="V3:V21"/>
    <mergeCell ref="C8:U8"/>
  </mergeCells>
  <conditionalFormatting sqref="U11">
    <cfRule type="expression" dxfId="0" priority="1">
      <formula>$V$12&lt;&gt;""</formula>
    </cfRule>
  </conditionalFormatting>
  <conditionalFormatting sqref="C11:S11 F12:S12 T11:T12">
    <cfRule type="expression" dxfId="0" priority="2">
      <formula>$V$11&lt;&gt;""</formula>
    </cfRule>
  </conditionalFormatting>
  <conditionalFormatting sqref="U12">
    <cfRule type="expression" dxfId="0" priority="3">
      <formula>$V$12&lt;&gt;""</formula>
    </cfRule>
  </conditionalFormatting>
  <conditionalFormatting sqref="C12:E12">
    <cfRule type="expression" dxfId="0" priority="4">
      <formula>#REF!&lt;&gt;""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>37063</dc:creator>
</cp:coreProperties>
</file>