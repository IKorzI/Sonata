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18990" yWindow="-105" windowWidth="19410" windowHeight="11760"/>
  </bookViews>
  <sheets>
    <sheet name="Зведена 181" sheetId="38" r:id="rId1"/>
    <sheet name="Зведена 241" sheetId="46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181'!$B$2:$V$35</definedName>
    <definedName name="_xlnm.Print_Area" localSheetId="1">'Зведена 241'!$B$2:$V$44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G35" i="46" l="1"/>
  <c r="I35" i="46"/>
  <c r="N35" i="46"/>
  <c r="T35" i="46"/>
  <c r="G36" i="46"/>
  <c r="I36" i="46"/>
  <c r="N36" i="46"/>
  <c r="T36" i="46"/>
  <c r="G37" i="46"/>
  <c r="I37" i="46"/>
  <c r="N37" i="46"/>
  <c r="T37" i="46"/>
  <c r="F37" i="46"/>
  <c r="F36" i="46"/>
  <c r="F35" i="46"/>
  <c r="G26" i="38"/>
  <c r="I26" i="38"/>
  <c r="N26" i="38"/>
  <c r="O26" i="38"/>
  <c r="T26" i="38"/>
  <c r="G27" i="38"/>
  <c r="I27" i="38"/>
  <c r="N27" i="38"/>
  <c r="O27" i="38"/>
  <c r="T27" i="38"/>
  <c r="G28" i="38"/>
  <c r="I28" i="38"/>
  <c r="N28" i="38"/>
  <c r="O28" i="38"/>
  <c r="T28" i="38"/>
  <c r="F28" i="38"/>
  <c r="F27" i="38"/>
  <c r="F26" i="38"/>
  <c r="S26" i="38" l="1"/>
  <c r="S27" i="38"/>
  <c r="S28" i="38"/>
  <c r="S35" i="46"/>
  <c r="S37" i="46"/>
  <c r="S36" i="46"/>
  <c r="O35" i="46"/>
  <c r="O36" i="46"/>
  <c r="O37" i="46"/>
  <c r="R35" i="46"/>
  <c r="R37" i="46"/>
  <c r="R36" i="46"/>
  <c r="R27" i="38"/>
  <c r="R26" i="38"/>
  <c r="R28" i="38"/>
  <c r="M35" i="46"/>
  <c r="M36" i="46"/>
  <c r="M37" i="46"/>
  <c r="M26" i="38"/>
  <c r="M27" i="38"/>
  <c r="M28" i="38"/>
  <c r="J35" i="46"/>
  <c r="J37" i="46"/>
  <c r="J36" i="46"/>
  <c r="J26" i="38"/>
  <c r="J28" i="38"/>
  <c r="J27" i="38"/>
  <c r="L36" i="46"/>
  <c r="L37" i="46"/>
  <c r="L35" i="46"/>
  <c r="L26" i="38"/>
  <c r="L27" i="38"/>
  <c r="L28" i="38"/>
  <c r="K36" i="46"/>
  <c r="K35" i="46"/>
  <c r="K37" i="46"/>
  <c r="K27" i="38"/>
  <c r="K26" i="38"/>
  <c r="K28" i="38"/>
  <c r="H35" i="46"/>
  <c r="H36" i="46"/>
  <c r="H37" i="46"/>
  <c r="H26" i="38"/>
  <c r="H28" i="38"/>
  <c r="H27" i="38"/>
  <c r="Q27" i="38"/>
  <c r="Q26" i="38"/>
  <c r="Q28" i="38"/>
  <c r="Q36" i="46"/>
  <c r="Q35" i="46"/>
  <c r="Q37" i="46"/>
  <c r="P26" i="38"/>
  <c r="P27" i="38"/>
  <c r="P28" i="38"/>
  <c r="P35" i="46"/>
  <c r="P36" i="46"/>
  <c r="P37" i="46"/>
  <c r="F41" i="46"/>
  <c r="F40" i="46"/>
  <c r="U34" i="46"/>
  <c r="U33" i="46"/>
  <c r="U32" i="46"/>
  <c r="U31" i="46"/>
  <c r="U30" i="46"/>
  <c r="U29" i="46"/>
  <c r="U28" i="46"/>
  <c r="U27" i="46"/>
  <c r="U26" i="46"/>
  <c r="U25" i="46"/>
  <c r="U24" i="46"/>
  <c r="U23" i="46"/>
  <c r="U22" i="46"/>
  <c r="U21" i="46"/>
  <c r="U20" i="46"/>
  <c r="U19" i="46"/>
  <c r="U18" i="46"/>
  <c r="U17" i="46"/>
  <c r="U16" i="46"/>
  <c r="U15" i="46"/>
  <c r="U14" i="46"/>
  <c r="U13" i="46"/>
  <c r="U12" i="46"/>
  <c r="U11" i="46"/>
  <c r="F39" i="46" l="1"/>
  <c r="F38" i="46"/>
  <c r="U35" i="46"/>
  <c r="U12" i="38"/>
  <c r="U13" i="38"/>
  <c r="U14" i="38"/>
  <c r="U15" i="38"/>
  <c r="U16" i="38"/>
  <c r="U17" i="38"/>
  <c r="U18" i="38"/>
  <c r="U19" i="38"/>
  <c r="U20" i="38"/>
  <c r="U21" i="38"/>
  <c r="U22" i="38"/>
  <c r="U23" i="38"/>
  <c r="U24" i="38"/>
  <c r="U25" i="38"/>
  <c r="U11" i="38"/>
  <c r="F32" i="38" l="1"/>
  <c r="F31" i="38"/>
  <c r="F30" i="38" l="1"/>
  <c r="U26" i="38"/>
  <c r="F29" i="38"/>
</calcChain>
</file>

<file path=xl/sharedStrings.xml><?xml version="1.0" encoding="utf-8"?>
<sst xmlns="http://schemas.openxmlformats.org/spreadsheetml/2006/main" count="191" uniqueCount="81">
  <si>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</si>
  <si>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</si>
  <si>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</si>
  <si>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</si>
  <si>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</si>
  <si>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</si>
  <si>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</si>
  <si>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Історія України
Левчук Т.Г.</t>
  </si>
  <si>
    <t>Фізика
Калюта Н.М.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</si>
  <si>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</si>
  <si>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</si>
  <si>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</si>
  <si>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</si>
  <si>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</si>
  <si>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</si>
  <si>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</si>
  <si>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</si>
  <si>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</si>
  <si>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</si>
  <si>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</si>
  <si>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</si>
  <si>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</si>
  <si>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</si>
  <si>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</si>
  <si>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</si>
  <si>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</si>
  <si>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ВІДОКРЕМЛЕНИЙ СТРУКТУРНИЙ ПІДРОЗДІЛ «ФАХОВИЙ КОЛЕДЖ НАФТОГАЗОВИХ ТЕХНОЛОГІЙ,
ІНЖЕНЕРІЇ ТА ІНФРАСТРУКТУРИ СЕРВІСУ</t>
  </si>
  <si>
    <t>Захист України
Лазар В.І.</t>
  </si>
  <si>
    <t>Інформатика
Бєльдюгіна С.С.</t>
  </si>
  <si>
    <t>Хімія
Сахно Н.О.</t>
  </si>
  <si>
    <t>Астрономія
Наговська Т.С.</t>
  </si>
  <si>
    <t>За IІ семестр 2024-2025 н.р.</t>
  </si>
  <si>
    <t>Українська література
Юрченко О.Б.</t>
  </si>
  <si>
    <t>Українська мова
Юрченко О.Б.</t>
  </si>
  <si>
    <t>Яна ГУСАК-ШКЛОВСЬКА</t>
  </si>
  <si>
    <t>Група 24-6 курс І</t>
  </si>
  <si>
    <t>Успішності студентів спеціальності 181 «Технологія приготування їжі»</t>
  </si>
  <si>
    <t>Успішності студентів спеціальності 241 «Готельно-ресторанна справа»</t>
  </si>
  <si>
    <t>Бернацький Георгій Євгенович</t>
  </si>
  <si>
    <t>Богаченко Анна Вадимівна</t>
  </si>
  <si>
    <t>Богуш Надія Олексіївна</t>
  </si>
  <si>
    <t>Бойченко Богдан Миколайович</t>
  </si>
  <si>
    <t>Вєлікова Катерина Сергіївна</t>
  </si>
  <si>
    <t>Галицька Ольга Русланівна</t>
  </si>
  <si>
    <t>Гонтарчук Анастасія Русланівна</t>
  </si>
  <si>
    <t>Градінар Анастасія Володимирівна</t>
  </si>
  <si>
    <t>Грідіна Міланія Сергіївна</t>
  </si>
  <si>
    <t>Демченко Іван Олегович</t>
  </si>
  <si>
    <t>Дончило Дар'я Валеріївна</t>
  </si>
  <si>
    <t>Дуняк Валерія Миколаївна</t>
  </si>
  <si>
    <t>Зеленчук Юлія Олегівна</t>
  </si>
  <si>
    <t>Кузнєцова Катерина Сергіївна</t>
  </si>
  <si>
    <t>Левенко Єлизавета Олегівна</t>
  </si>
  <si>
    <t>Ліщенюк Діана Євгеніївна</t>
  </si>
  <si>
    <t>Макаренко Анастасія Олександрівна</t>
  </si>
  <si>
    <t>Михайлова Валерія Олександрівна</t>
  </si>
  <si>
    <t>Оковита Марія Сергіївна</t>
  </si>
  <si>
    <t>Паламарчук Данііл Ігорович</t>
  </si>
  <si>
    <t>Погосян Мілісса Мартіросівна</t>
  </si>
  <si>
    <t>Федорович Владислава Артемівна</t>
  </si>
  <si>
    <t>Чернишова Юлія В`ячеславівна</t>
  </si>
  <si>
    <t>Якименко Валерія Сергіївна</t>
  </si>
  <si>
    <t>Іноземна мова
Нічик Н.О.</t>
  </si>
  <si>
    <t>Математика
Ромчук В.В.</t>
  </si>
  <si>
    <t>Фізична культура
Кулатов В.М.</t>
  </si>
  <si>
    <t>Барбарош Софія Дмитрівна</t>
  </si>
  <si>
    <t>Богусевич Денис Олексійович</t>
  </si>
  <si>
    <t>Зіскант Ігор Михайлович</t>
  </si>
  <si>
    <t>Зорєнко Максим Валерійович</t>
  </si>
  <si>
    <t>Іваніна Олександр Іванович</t>
  </si>
  <si>
    <t>Ізвеков Артем Ігорович</t>
  </si>
  <si>
    <t>Казимов Наміг Самед огли</t>
  </si>
  <si>
    <t>Лагутін Денис Георгійович</t>
  </si>
  <si>
    <t>Нікуліна Софія Русланівна</t>
  </si>
  <si>
    <t>Нофенко Андрій Володимирович</t>
  </si>
  <si>
    <t>Подугольников Ярослав Дмитрович</t>
  </si>
  <si>
    <t>Савченко Аліса Василівна</t>
  </si>
  <si>
    <t>Топал Мілена Борисівна</t>
  </si>
  <si>
    <t>Урсу Ангеліна В`чеславівна</t>
  </si>
  <si>
    <t>Харчук Іван Миколайович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</si>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</sst>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9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1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Font="1" applyFill="1" applyAlignment="1">
      <alignment horizontal="center" vertical="center"/>
    </xf>
    <xf numFmtId="0" fontId="5" fillId="4" borderId="1" xfId="5" applyFont="1" applyFill="1" applyAlignment="1">
      <alignment horizontal="center" vertical="center"/>
    </xf>
    <xf numFmtId="0" fontId="6" fillId="4" borderId="1" xfId="5" applyFont="1" applyFill="1" applyAlignment="1">
      <alignment horizontal="center" vertical="center"/>
    </xf>
    <xf numFmtId="0" fontId="4" fillId="5" borderId="2" xfId="5" applyFont="1" applyFill="1" applyBorder="1" applyAlignment="1">
      <alignment horizontal="center" vertical="center" textRotation="90" wrapText="1"/>
    </xf>
    <xf numFmtId="0" fontId="3" fillId="5" borderId="2" xfId="5" applyFont="1" applyFill="1" applyBorder="1" applyAlignment="1">
      <alignment horizontal="center" vertical="center" wrapText="1"/>
    </xf>
    <xf numFmtId="0" fontId="3" fillId="5" borderId="2" xfId="5" applyFont="1" applyFill="1" applyBorder="1" applyAlignment="1">
      <alignment horizontal="left" vertical="center" wrapText="1"/>
    </xf>
    <xf numFmtId="0" fontId="3" fillId="5" borderId="2" xfId="5" applyFont="1" applyFill="1" applyBorder="1" applyAlignment="1" applyProtection="1">
      <alignment horizontal="center" vertical="center"/>
      <protection locked="0"/>
    </xf>
    <xf numFmtId="0" fontId="3" fillId="5" borderId="1" xfId="5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Font="1" applyFill="1" applyAlignment="1" applyProtection="1">
      <alignment horizontal="center" vertical="center"/>
      <protection locked="0"/>
    </xf>
    <xf numFmtId="0" fontId="3" fillId="5" borderId="2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8" fillId="5" borderId="1" xfId="5" applyFont="1" applyFill="1" applyAlignment="1" applyProtection="1">
      <alignment horizontal="left" vertical="center"/>
      <protection locked="0"/>
    </xf>
    <xf numFmtId="0" fontId="3" fillId="5" borderId="2" xfId="5" applyFont="1" applyFill="1" applyBorder="1" applyAlignment="1">
      <alignment horizontal="center" vertical="center" wrapText="1"/>
    </xf>
    <xf numFmtId="0" fontId="3" fillId="4" borderId="3" xfId="5" applyFont="1" applyFill="1" applyBorder="1" applyAlignment="1">
      <alignment horizontal="center" vertical="center"/>
    </xf>
    <xf numFmtId="0" fontId="3" fillId="4" borderId="4" xfId="5" applyFont="1" applyFill="1" applyBorder="1" applyAlignment="1">
      <alignment horizontal="center" vertical="center"/>
    </xf>
    <xf numFmtId="0" fontId="3" fillId="5" borderId="1" xfId="5" applyFont="1" applyFill="1" applyAlignment="1">
      <alignment horizontal="center" vertical="center"/>
    </xf>
    <xf numFmtId="0" fontId="3" fillId="4" borderId="5" xfId="5" applyFont="1" applyFill="1" applyBorder="1" applyAlignment="1">
      <alignment horizontal="center" vertical="center"/>
    </xf>
    <xf numFmtId="0" fontId="5" fillId="5" borderId="1" xfId="5" applyFont="1" applyFill="1" applyAlignment="1">
      <alignment horizontal="center" vertical="center"/>
    </xf>
    <xf numFmtId="0" fontId="5" fillId="5" borderId="1" xfId="5" applyFont="1" applyFill="1" applyAlignment="1">
      <alignment horizontal="center" wrapText="1"/>
    </xf>
    <xf numFmtId="0" fontId="5" fillId="5" borderId="1" xfId="5" applyFont="1" applyFill="1" applyAlignment="1">
      <alignment horizontal="center"/>
    </xf>
    <xf numFmtId="0" fontId="6" fillId="5" borderId="1" xfId="5" applyFont="1" applyFill="1" applyAlignment="1">
      <alignment horizontal="center" vertical="center"/>
    </xf>
    <xf numFmtId="0" fontId="3" fillId="4" borderId="7" xfId="5" applyFont="1" applyFill="1" applyBorder="1" applyAlignment="1">
      <alignment horizontal="center" vertical="center"/>
    </xf>
    <xf numFmtId="0" fontId="3" fillId="5" borderId="2" xfId="5" quotePrefix="1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/>
    </xf>
    <xf numFmtId="0" fontId="3" fillId="5" borderId="2" xfId="5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40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48"/>
  <sheetViews>
    <sheetView tabSelected="1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3" ht="12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/>
    </row>
    <row r="3" spans="1:23" s="5" customFormat="1" ht="35.1" customHeight="1" x14ac:dyDescent="0.3">
      <c r="A3" s="20"/>
      <c r="B3" s="23"/>
      <c r="C3" s="24" t="s">
        <v>26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3"/>
      <c r="W3" s="22"/>
    </row>
    <row r="4" spans="1:23" s="5" customFormat="1" ht="15" customHeight="1" x14ac:dyDescent="0.25">
      <c r="A4" s="20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2"/>
    </row>
    <row r="5" spans="1:23" s="6" customFormat="1" ht="15" customHeight="1" x14ac:dyDescent="0.25">
      <c r="A5" s="20"/>
      <c r="B5" s="23"/>
      <c r="C5" s="26" t="s">
        <v>23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3"/>
      <c r="W5" s="22"/>
    </row>
    <row r="6" spans="1:23" s="5" customFormat="1" ht="15" customHeight="1" x14ac:dyDescent="0.25">
      <c r="A6" s="20"/>
      <c r="B6" s="23"/>
      <c r="C6" s="23" t="s">
        <v>36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2"/>
    </row>
    <row r="7" spans="1:23" s="5" customFormat="1" ht="15" customHeight="1" x14ac:dyDescent="0.25">
      <c r="A7" s="20"/>
      <c r="B7" s="23"/>
      <c r="C7" s="23" t="s">
        <v>31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2"/>
    </row>
    <row r="8" spans="1:23" s="5" customFormat="1" ht="15" customHeight="1" x14ac:dyDescent="0.25">
      <c r="A8" s="20"/>
      <c r="B8" s="23"/>
      <c r="C8" s="23" t="s">
        <v>35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2"/>
    </row>
    <row r="9" spans="1:23" ht="15" customHeight="1" x14ac:dyDescent="0.25">
      <c r="A9" s="20"/>
      <c r="B9" s="23"/>
      <c r="C9" s="28" t="s">
        <v>1</v>
      </c>
      <c r="D9" s="30" t="s">
        <v>2</v>
      </c>
      <c r="E9" s="30" t="s">
        <v>3</v>
      </c>
      <c r="F9" s="8"/>
      <c r="G9" s="29" t="s">
        <v>25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3"/>
      <c r="W9" s="22"/>
    </row>
    <row r="10" spans="1:23" ht="125.1" customHeight="1" x14ac:dyDescent="0.25">
      <c r="A10" s="20"/>
      <c r="B10" s="23"/>
      <c r="C10" s="29"/>
      <c r="D10" s="29"/>
      <c r="E10" s="29"/>
      <c r="F10" s="16" t="s">
        <v>30</v>
      </c>
      <c r="G10" s="16" t="s">
        <v>4</v>
      </c>
      <c r="H10" s="16" t="s">
        <v>5</v>
      </c>
      <c r="I10" s="16" t="s">
        <v>6</v>
      </c>
      <c r="J10" s="16" t="s">
        <v>24</v>
      </c>
      <c r="K10" s="16" t="s">
        <v>27</v>
      </c>
      <c r="L10" s="16" t="s">
        <v>62</v>
      </c>
      <c r="M10" s="16" t="s">
        <v>28</v>
      </c>
      <c r="N10" s="16" t="s">
        <v>7</v>
      </c>
      <c r="O10" s="16" t="s">
        <v>63</v>
      </c>
      <c r="P10" s="16" t="s">
        <v>32</v>
      </c>
      <c r="Q10" s="16" t="s">
        <v>33</v>
      </c>
      <c r="R10" s="16" t="s">
        <v>8</v>
      </c>
      <c r="S10" s="16" t="s">
        <v>64</v>
      </c>
      <c r="T10" s="16" t="s">
        <v>29</v>
      </c>
      <c r="U10" s="7" t="s">
        <v>9</v>
      </c>
      <c r="V10" s="23"/>
      <c r="W10" s="22"/>
    </row>
    <row r="11" spans="1:23" ht="15" customHeight="1" x14ac:dyDescent="0.25">
      <c r="A11" s="20"/>
      <c r="B11" s="23"/>
      <c r="C11" s="8" t="s">
        <v>10</v>
      </c>
      <c r="D11" s="8">
        <v>1</v>
      </c>
      <c r="E11" s="9" t="s">
        <v>65</v>
      </c>
      <c r="F11" s="10">
        <v>8</v>
      </c>
      <c r="G11" s="10">
        <v>8</v>
      </c>
      <c r="H11" s="10">
        <v>7</v>
      </c>
      <c r="I11" s="10">
        <v>8</v>
      </c>
      <c r="J11" s="10">
        <v>9</v>
      </c>
      <c r="K11" s="10">
        <v>7</v>
      </c>
      <c r="L11" s="10">
        <v>4</v>
      </c>
      <c r="M11" s="10">
        <v>7</v>
      </c>
      <c r="N11" s="10">
        <v>8</v>
      </c>
      <c r="O11" s="10">
        <v>8</v>
      </c>
      <c r="P11" s="10">
        <v>7</v>
      </c>
      <c r="Q11" s="10">
        <v>7</v>
      </c>
      <c r="R11" s="10">
        <v>6</v>
      </c>
      <c r="S11" s="10">
        <v>8</v>
      </c>
      <c r="T11" s="10">
        <v>8</v>
      </c>
      <c r="U11" s="2">
        <f>IF(COUNTIF(F11:T11,"=*")&gt;0,"-",IF(COUNTIF(F11:T11,"&lt;4")&gt;0,"-",(IFERROR(AVERAGE(F11:T11),""))))</f>
        <v>7.333333333333333</v>
      </c>
      <c r="V11" s="23"/>
      <c r="W11" s="22"/>
    </row>
    <row r="12" spans="1:23" ht="15" customHeight="1" x14ac:dyDescent="0.25">
      <c r="A12" s="20"/>
      <c r="B12" s="23"/>
      <c r="C12" s="8" t="s">
        <v>10</v>
      </c>
      <c r="D12" s="8">
        <v>2</v>
      </c>
      <c r="E12" s="9" t="s">
        <v>66</v>
      </c>
      <c r="F12" s="10">
        <v>9</v>
      </c>
      <c r="G12" s="10">
        <v>8</v>
      </c>
      <c r="H12" s="10">
        <v>9</v>
      </c>
      <c r="I12" s="10">
        <v>9</v>
      </c>
      <c r="J12" s="10">
        <v>5</v>
      </c>
      <c r="K12" s="10" t="s">
        <v>80</v>
      </c>
      <c r="L12" s="10">
        <v>4</v>
      </c>
      <c r="M12" s="10">
        <v>5</v>
      </c>
      <c r="N12" s="10">
        <v>6</v>
      </c>
      <c r="O12" s="10">
        <v>7</v>
      </c>
      <c r="P12" s="10">
        <v>4</v>
      </c>
      <c r="Q12" s="10">
        <v>4</v>
      </c>
      <c r="R12" s="10">
        <v>5</v>
      </c>
      <c r="S12" s="10">
        <v>10</v>
      </c>
      <c r="T12" s="10">
        <v>5</v>
      </c>
      <c r="U12" s="2" t="str">
        <f t="shared" ref="U12:U25" si="0">IF(COUNTIF(F12:T12,"=*")&gt;0,"-",IF(COUNTIF(F12:T12,"&lt;4")&gt;0,"-",(IFERROR(AVERAGE(F12:T12),""))))</f>
        <v>-</v>
      </c>
      <c r="V12" s="23"/>
      <c r="W12" s="22"/>
    </row>
    <row r="13" spans="1:23" ht="15" customHeight="1" x14ac:dyDescent="0.25">
      <c r="A13" s="20"/>
      <c r="B13" s="23"/>
      <c r="C13" s="8" t="s">
        <v>10</v>
      </c>
      <c r="D13" s="8">
        <v>3</v>
      </c>
      <c r="E13" s="9" t="s">
        <v>67</v>
      </c>
      <c r="F13" s="10">
        <v>4</v>
      </c>
      <c r="G13" s="10">
        <v>6</v>
      </c>
      <c r="H13" s="10">
        <v>5</v>
      </c>
      <c r="I13" s="10">
        <v>4</v>
      </c>
      <c r="J13" s="10">
        <v>5</v>
      </c>
      <c r="K13" s="10">
        <v>4</v>
      </c>
      <c r="L13" s="10">
        <v>4</v>
      </c>
      <c r="M13" s="10">
        <v>7</v>
      </c>
      <c r="N13" s="10">
        <v>4</v>
      </c>
      <c r="O13" s="10">
        <v>4</v>
      </c>
      <c r="P13" s="10">
        <v>7</v>
      </c>
      <c r="Q13" s="10">
        <v>7</v>
      </c>
      <c r="R13" s="10">
        <v>4</v>
      </c>
      <c r="S13" s="10">
        <v>4</v>
      </c>
      <c r="T13" s="10">
        <v>7</v>
      </c>
      <c r="U13" s="2">
        <f t="shared" si="0"/>
        <v>5.0666666666666664</v>
      </c>
      <c r="V13" s="23"/>
      <c r="W13" s="22"/>
    </row>
    <row r="14" spans="1:23" ht="15" customHeight="1" x14ac:dyDescent="0.25">
      <c r="A14" s="20"/>
      <c r="B14" s="23"/>
      <c r="C14" s="8" t="s">
        <v>10</v>
      </c>
      <c r="D14" s="8">
        <v>4</v>
      </c>
      <c r="E14" s="9" t="s">
        <v>68</v>
      </c>
      <c r="F14" s="10">
        <v>8</v>
      </c>
      <c r="G14" s="10">
        <v>8</v>
      </c>
      <c r="H14" s="10">
        <v>8</v>
      </c>
      <c r="I14" s="10">
        <v>8</v>
      </c>
      <c r="J14" s="10">
        <v>5</v>
      </c>
      <c r="K14" s="10">
        <v>9</v>
      </c>
      <c r="L14" s="10">
        <v>4</v>
      </c>
      <c r="M14" s="10">
        <v>4</v>
      </c>
      <c r="N14" s="10" t="s">
        <v>80</v>
      </c>
      <c r="O14" s="10">
        <v>5</v>
      </c>
      <c r="P14" s="10">
        <v>4</v>
      </c>
      <c r="Q14" s="10">
        <v>4</v>
      </c>
      <c r="R14" s="10">
        <v>4</v>
      </c>
      <c r="S14" s="10">
        <v>10</v>
      </c>
      <c r="T14" s="10">
        <v>5</v>
      </c>
      <c r="U14" s="2" t="str">
        <f t="shared" si="0"/>
        <v>-</v>
      </c>
      <c r="V14" s="23"/>
      <c r="W14" s="22"/>
    </row>
    <row r="15" spans="1:23" ht="15" customHeight="1" x14ac:dyDescent="0.25">
      <c r="A15" s="20"/>
      <c r="B15" s="23"/>
      <c r="C15" s="8" t="s">
        <v>10</v>
      </c>
      <c r="D15" s="8">
        <v>5</v>
      </c>
      <c r="E15" s="9" t="s">
        <v>69</v>
      </c>
      <c r="F15" s="10">
        <v>8</v>
      </c>
      <c r="G15" s="10">
        <v>7</v>
      </c>
      <c r="H15" s="10">
        <v>10</v>
      </c>
      <c r="I15" s="10">
        <v>8</v>
      </c>
      <c r="J15" s="10">
        <v>6</v>
      </c>
      <c r="K15" s="10">
        <v>6</v>
      </c>
      <c r="L15" s="10">
        <v>5</v>
      </c>
      <c r="M15" s="10">
        <v>5</v>
      </c>
      <c r="N15" s="10">
        <v>5</v>
      </c>
      <c r="O15" s="10">
        <v>6</v>
      </c>
      <c r="P15" s="10">
        <v>7</v>
      </c>
      <c r="Q15" s="10">
        <v>7</v>
      </c>
      <c r="R15" s="10">
        <v>6</v>
      </c>
      <c r="S15" s="10">
        <v>10</v>
      </c>
      <c r="T15" s="10">
        <v>5</v>
      </c>
      <c r="U15" s="2">
        <f t="shared" si="0"/>
        <v>6.7333333333333334</v>
      </c>
      <c r="V15" s="23"/>
      <c r="W15" s="22"/>
    </row>
    <row r="16" spans="1:23" ht="15" customHeight="1" x14ac:dyDescent="0.25">
      <c r="A16" s="20"/>
      <c r="B16" s="23"/>
      <c r="C16" s="8" t="s">
        <v>10</v>
      </c>
      <c r="D16" s="8">
        <v>6</v>
      </c>
      <c r="E16" s="9" t="s">
        <v>70</v>
      </c>
      <c r="F16" s="10">
        <v>8</v>
      </c>
      <c r="G16" s="10">
        <v>6</v>
      </c>
      <c r="H16" s="10">
        <v>7</v>
      </c>
      <c r="I16" s="10">
        <v>8</v>
      </c>
      <c r="J16" s="10">
        <v>5</v>
      </c>
      <c r="K16" s="10">
        <v>5</v>
      </c>
      <c r="L16" s="10">
        <v>4</v>
      </c>
      <c r="M16" s="10">
        <v>4</v>
      </c>
      <c r="N16" s="10">
        <v>6</v>
      </c>
      <c r="O16" s="10">
        <v>5</v>
      </c>
      <c r="P16" s="10">
        <v>4</v>
      </c>
      <c r="Q16" s="10">
        <v>4</v>
      </c>
      <c r="R16" s="10">
        <v>4</v>
      </c>
      <c r="S16" s="10">
        <v>7</v>
      </c>
      <c r="T16" s="10">
        <v>4</v>
      </c>
      <c r="U16" s="2">
        <f t="shared" si="0"/>
        <v>5.4</v>
      </c>
      <c r="V16" s="23"/>
      <c r="W16" s="22"/>
    </row>
    <row r="17" spans="1:23" ht="15" customHeight="1" x14ac:dyDescent="0.25">
      <c r="A17" s="20"/>
      <c r="B17" s="23"/>
      <c r="C17" s="8" t="s">
        <v>10</v>
      </c>
      <c r="D17" s="8">
        <v>7</v>
      </c>
      <c r="E17" s="9" t="s">
        <v>71</v>
      </c>
      <c r="F17" s="10">
        <v>4</v>
      </c>
      <c r="G17" s="10">
        <v>6</v>
      </c>
      <c r="H17" s="10">
        <v>5</v>
      </c>
      <c r="I17" s="10">
        <v>4</v>
      </c>
      <c r="J17" s="10">
        <v>5</v>
      </c>
      <c r="K17" s="10">
        <v>4</v>
      </c>
      <c r="L17" s="10">
        <v>4</v>
      </c>
      <c r="M17" s="10">
        <v>7</v>
      </c>
      <c r="N17" s="10">
        <v>4</v>
      </c>
      <c r="O17" s="10">
        <v>7</v>
      </c>
      <c r="P17" s="10">
        <v>7</v>
      </c>
      <c r="Q17" s="10">
        <v>7</v>
      </c>
      <c r="R17" s="10">
        <v>4</v>
      </c>
      <c r="S17" s="10">
        <v>4</v>
      </c>
      <c r="T17" s="10">
        <v>7</v>
      </c>
      <c r="U17" s="2">
        <f t="shared" si="0"/>
        <v>5.2666666666666666</v>
      </c>
      <c r="V17" s="23"/>
      <c r="W17" s="22"/>
    </row>
    <row r="18" spans="1:23" ht="15" customHeight="1" x14ac:dyDescent="0.25">
      <c r="A18" s="20"/>
      <c r="B18" s="23"/>
      <c r="C18" s="8" t="s">
        <v>10</v>
      </c>
      <c r="D18" s="8">
        <v>8</v>
      </c>
      <c r="E18" s="9" t="s">
        <v>72</v>
      </c>
      <c r="F18" s="10">
        <v>10</v>
      </c>
      <c r="G18" s="10">
        <v>9</v>
      </c>
      <c r="H18" s="10">
        <v>5</v>
      </c>
      <c r="I18" s="10">
        <v>10</v>
      </c>
      <c r="J18" s="10">
        <v>5</v>
      </c>
      <c r="K18" s="10">
        <v>4</v>
      </c>
      <c r="L18" s="10">
        <v>4</v>
      </c>
      <c r="M18" s="10">
        <v>7</v>
      </c>
      <c r="N18" s="10">
        <v>4</v>
      </c>
      <c r="O18" s="10">
        <v>7</v>
      </c>
      <c r="P18" s="10">
        <v>7</v>
      </c>
      <c r="Q18" s="10">
        <v>7</v>
      </c>
      <c r="R18" s="10">
        <v>7</v>
      </c>
      <c r="S18" s="10">
        <v>4</v>
      </c>
      <c r="T18" s="10">
        <v>7</v>
      </c>
      <c r="U18" s="2">
        <f t="shared" si="0"/>
        <v>6.4666666666666668</v>
      </c>
      <c r="V18" s="23"/>
      <c r="W18" s="22"/>
    </row>
    <row r="19" spans="1:23" ht="15" customHeight="1" x14ac:dyDescent="0.25">
      <c r="A19" s="20"/>
      <c r="B19" s="23"/>
      <c r="C19" s="8" t="s">
        <v>10</v>
      </c>
      <c r="D19" s="8">
        <v>9</v>
      </c>
      <c r="E19" s="9" t="s">
        <v>73</v>
      </c>
      <c r="F19" s="10">
        <v>9</v>
      </c>
      <c r="G19" s="10">
        <v>8</v>
      </c>
      <c r="H19" s="10">
        <v>9</v>
      </c>
      <c r="I19" s="10">
        <v>9</v>
      </c>
      <c r="J19" s="10">
        <v>5</v>
      </c>
      <c r="K19" s="10">
        <v>4</v>
      </c>
      <c r="L19" s="10">
        <v>4</v>
      </c>
      <c r="M19" s="10">
        <v>7</v>
      </c>
      <c r="N19" s="10">
        <v>8</v>
      </c>
      <c r="O19" s="10">
        <v>5</v>
      </c>
      <c r="P19" s="10">
        <v>4</v>
      </c>
      <c r="Q19" s="10">
        <v>4</v>
      </c>
      <c r="R19" s="10">
        <v>4</v>
      </c>
      <c r="S19" s="10">
        <v>8</v>
      </c>
      <c r="T19" s="10">
        <v>4</v>
      </c>
      <c r="U19" s="2">
        <f t="shared" si="0"/>
        <v>6.1333333333333337</v>
      </c>
      <c r="V19" s="23"/>
      <c r="W19" s="22"/>
    </row>
    <row r="20" spans="1:23" ht="15" customHeight="1" x14ac:dyDescent="0.25">
      <c r="A20" s="20"/>
      <c r="B20" s="23"/>
      <c r="C20" s="8" t="s">
        <v>10</v>
      </c>
      <c r="D20" s="8">
        <v>10</v>
      </c>
      <c r="E20" s="9" t="s">
        <v>74</v>
      </c>
      <c r="F20" s="10">
        <v>8</v>
      </c>
      <c r="G20" s="10">
        <v>7</v>
      </c>
      <c r="H20" s="10">
        <v>9</v>
      </c>
      <c r="I20" s="10">
        <v>8</v>
      </c>
      <c r="J20" s="10">
        <v>6</v>
      </c>
      <c r="K20" s="10">
        <v>7</v>
      </c>
      <c r="L20" s="10">
        <v>4</v>
      </c>
      <c r="M20" s="10">
        <v>6</v>
      </c>
      <c r="N20" s="10">
        <v>8</v>
      </c>
      <c r="O20" s="10">
        <v>6</v>
      </c>
      <c r="P20" s="10">
        <v>4</v>
      </c>
      <c r="Q20" s="10">
        <v>4</v>
      </c>
      <c r="R20" s="10">
        <v>4</v>
      </c>
      <c r="S20" s="10">
        <v>10</v>
      </c>
      <c r="T20" s="10">
        <v>5</v>
      </c>
      <c r="U20" s="2">
        <f t="shared" si="0"/>
        <v>6.4</v>
      </c>
      <c r="V20" s="23"/>
      <c r="W20" s="22"/>
    </row>
    <row r="21" spans="1:23" ht="15" customHeight="1" x14ac:dyDescent="0.25">
      <c r="A21" s="20"/>
      <c r="B21" s="23"/>
      <c r="C21" s="8" t="s">
        <v>10</v>
      </c>
      <c r="D21" s="8">
        <v>11</v>
      </c>
      <c r="E21" s="9" t="s">
        <v>75</v>
      </c>
      <c r="F21" s="10">
        <v>8</v>
      </c>
      <c r="G21" s="10">
        <v>4</v>
      </c>
      <c r="H21" s="10">
        <v>6</v>
      </c>
      <c r="I21" s="10">
        <v>8</v>
      </c>
      <c r="J21" s="10">
        <v>5</v>
      </c>
      <c r="K21" s="10">
        <v>6</v>
      </c>
      <c r="L21" s="10">
        <v>4</v>
      </c>
      <c r="M21" s="10" t="s">
        <v>80</v>
      </c>
      <c r="N21" s="10">
        <v>5</v>
      </c>
      <c r="O21" s="10">
        <v>4</v>
      </c>
      <c r="P21" s="10">
        <v>4</v>
      </c>
      <c r="Q21" s="10">
        <v>4</v>
      </c>
      <c r="R21" s="10" t="s">
        <v>80</v>
      </c>
      <c r="S21" s="10">
        <v>10</v>
      </c>
      <c r="T21" s="10">
        <v>4</v>
      </c>
      <c r="U21" s="2" t="str">
        <f t="shared" si="0"/>
        <v>-</v>
      </c>
      <c r="V21" s="23"/>
      <c r="W21" s="22"/>
    </row>
    <row r="22" spans="1:23" ht="15" customHeight="1" x14ac:dyDescent="0.25">
      <c r="A22" s="20"/>
      <c r="B22" s="23"/>
      <c r="C22" s="8" t="s">
        <v>10</v>
      </c>
      <c r="D22" s="8">
        <v>12</v>
      </c>
      <c r="E22" s="9" t="s">
        <v>76</v>
      </c>
      <c r="F22" s="10">
        <v>8</v>
      </c>
      <c r="G22" s="10">
        <v>5</v>
      </c>
      <c r="H22" s="10">
        <v>7</v>
      </c>
      <c r="I22" s="10">
        <v>8</v>
      </c>
      <c r="J22" s="10">
        <v>5</v>
      </c>
      <c r="K22" s="10" t="s">
        <v>80</v>
      </c>
      <c r="L22" s="10">
        <v>4</v>
      </c>
      <c r="M22" s="10" t="s">
        <v>80</v>
      </c>
      <c r="N22" s="10" t="s">
        <v>80</v>
      </c>
      <c r="O22" s="10">
        <v>4</v>
      </c>
      <c r="P22" s="10">
        <v>4</v>
      </c>
      <c r="Q22" s="10">
        <v>4</v>
      </c>
      <c r="R22" s="10" t="s">
        <v>80</v>
      </c>
      <c r="S22" s="10">
        <v>4</v>
      </c>
      <c r="T22" s="10" t="s">
        <v>80</v>
      </c>
      <c r="U22" s="2" t="str">
        <f t="shared" si="0"/>
        <v>-</v>
      </c>
      <c r="V22" s="23"/>
      <c r="W22" s="22"/>
    </row>
    <row r="23" spans="1:23" ht="15" customHeight="1" x14ac:dyDescent="0.25">
      <c r="A23" s="20"/>
      <c r="B23" s="23"/>
      <c r="C23" s="8" t="s">
        <v>10</v>
      </c>
      <c r="D23" s="8">
        <v>13</v>
      </c>
      <c r="E23" s="9" t="s">
        <v>77</v>
      </c>
      <c r="F23" s="10">
        <v>9</v>
      </c>
      <c r="G23" s="10">
        <v>6</v>
      </c>
      <c r="H23" s="10">
        <v>5</v>
      </c>
      <c r="I23" s="10">
        <v>9</v>
      </c>
      <c r="J23" s="10">
        <v>5</v>
      </c>
      <c r="K23" s="10">
        <v>4</v>
      </c>
      <c r="L23" s="10">
        <v>4</v>
      </c>
      <c r="M23" s="10">
        <v>8</v>
      </c>
      <c r="N23" s="10">
        <v>4</v>
      </c>
      <c r="O23" s="10">
        <v>4</v>
      </c>
      <c r="P23" s="10">
        <v>4</v>
      </c>
      <c r="Q23" s="10">
        <v>4</v>
      </c>
      <c r="R23" s="10" t="s">
        <v>80</v>
      </c>
      <c r="S23" s="10">
        <v>4</v>
      </c>
      <c r="T23" s="10">
        <v>4</v>
      </c>
      <c r="U23" s="2" t="str">
        <f t="shared" si="0"/>
        <v>-</v>
      </c>
      <c r="V23" s="23"/>
      <c r="W23" s="22"/>
    </row>
    <row r="24" spans="1:23" ht="15" customHeight="1" x14ac:dyDescent="0.25">
      <c r="A24" s="20"/>
      <c r="B24" s="23"/>
      <c r="C24" s="8" t="s">
        <v>10</v>
      </c>
      <c r="D24" s="8">
        <v>14</v>
      </c>
      <c r="E24" s="9" t="s">
        <v>78</v>
      </c>
      <c r="F24" s="10">
        <v>10</v>
      </c>
      <c r="G24" s="10">
        <v>10</v>
      </c>
      <c r="H24" s="10">
        <v>10</v>
      </c>
      <c r="I24" s="10">
        <v>10</v>
      </c>
      <c r="J24" s="10">
        <v>10</v>
      </c>
      <c r="K24" s="10">
        <v>9</v>
      </c>
      <c r="L24" s="10">
        <v>7</v>
      </c>
      <c r="M24" s="10">
        <v>10</v>
      </c>
      <c r="N24" s="10">
        <v>8</v>
      </c>
      <c r="O24" s="10">
        <v>9</v>
      </c>
      <c r="P24" s="10">
        <v>10</v>
      </c>
      <c r="Q24" s="10">
        <v>10</v>
      </c>
      <c r="R24" s="10">
        <v>9</v>
      </c>
      <c r="S24" s="10">
        <v>10</v>
      </c>
      <c r="T24" s="10">
        <v>7</v>
      </c>
      <c r="U24" s="2">
        <f t="shared" si="0"/>
        <v>9.2666666666666675</v>
      </c>
      <c r="V24" s="23"/>
      <c r="W24" s="22"/>
    </row>
    <row r="25" spans="1:23" ht="15" customHeight="1" x14ac:dyDescent="0.25">
      <c r="A25" s="20"/>
      <c r="B25" s="23"/>
      <c r="C25" s="8" t="s">
        <v>10</v>
      </c>
      <c r="D25" s="8">
        <v>15</v>
      </c>
      <c r="E25" s="9" t="s">
        <v>79</v>
      </c>
      <c r="F25" s="10">
        <v>10</v>
      </c>
      <c r="G25" s="10">
        <v>11</v>
      </c>
      <c r="H25" s="10">
        <v>10</v>
      </c>
      <c r="I25" s="10">
        <v>10</v>
      </c>
      <c r="J25" s="10">
        <v>8</v>
      </c>
      <c r="K25" s="10">
        <v>10</v>
      </c>
      <c r="L25" s="10">
        <v>7</v>
      </c>
      <c r="M25" s="10">
        <v>4</v>
      </c>
      <c r="N25" s="10">
        <v>10</v>
      </c>
      <c r="O25" s="10">
        <v>8</v>
      </c>
      <c r="P25" s="10">
        <v>10</v>
      </c>
      <c r="Q25" s="10">
        <v>10</v>
      </c>
      <c r="R25" s="10">
        <v>10</v>
      </c>
      <c r="S25" s="10">
        <v>10</v>
      </c>
      <c r="T25" s="10">
        <v>7</v>
      </c>
      <c r="U25" s="2">
        <f t="shared" si="0"/>
        <v>9</v>
      </c>
      <c r="V25" s="23"/>
      <c r="W25" s="22"/>
    </row>
    <row r="26" spans="1:23" ht="15" customHeight="1" x14ac:dyDescent="0.25">
      <c r="A26" s="20"/>
      <c r="B26" s="23"/>
      <c r="C26" s="11"/>
      <c r="D26" s="11"/>
      <c r="E26" s="9" t="s">
        <v>11</v>
      </c>
      <c r="F26" s="3">
        <f>IF(SUM(F11:F25)=0,"",SUM(F11:F25)/$D25)</f>
        <v>8.0666666666666664</v>
      </c>
      <c r="G26" s="3">
        <f t="shared" ref="G26:T26" si="1">IF(SUM(G11:G25)=0,"",SUM(G11:G25)/$D25)</f>
        <v>7.2666666666666666</v>
      </c>
      <c r="H26" s="3">
        <f t="shared" si="1"/>
        <v>7.4666666666666668</v>
      </c>
      <c r="I26" s="3">
        <f t="shared" si="1"/>
        <v>8.0666666666666664</v>
      </c>
      <c r="J26" s="3">
        <f t="shared" si="1"/>
        <v>5.9333333333333336</v>
      </c>
      <c r="K26" s="3">
        <f t="shared" si="1"/>
        <v>5.2666666666666666</v>
      </c>
      <c r="L26" s="3">
        <f t="shared" si="1"/>
        <v>4.4666666666666668</v>
      </c>
      <c r="M26" s="3">
        <f t="shared" si="1"/>
        <v>5.4</v>
      </c>
      <c r="N26" s="3">
        <f t="shared" si="1"/>
        <v>5.333333333333333</v>
      </c>
      <c r="O26" s="3">
        <f t="shared" si="1"/>
        <v>5.9333333333333336</v>
      </c>
      <c r="P26" s="3">
        <f t="shared" si="1"/>
        <v>5.8</v>
      </c>
      <c r="Q26" s="3">
        <f t="shared" si="1"/>
        <v>5.8</v>
      </c>
      <c r="R26" s="3">
        <f t="shared" si="1"/>
        <v>4.4666666666666668</v>
      </c>
      <c r="S26" s="3">
        <f t="shared" si="1"/>
        <v>7.5333333333333332</v>
      </c>
      <c r="T26" s="3">
        <f t="shared" si="1"/>
        <v>5.2666666666666666</v>
      </c>
      <c r="U26" s="2">
        <f>IFERROR(AVERAGE(F26:T26),"")</f>
        <v>6.1377777777777771</v>
      </c>
      <c r="V26" s="23"/>
      <c r="W26" s="22"/>
    </row>
    <row r="27" spans="1:23" ht="15" customHeight="1" x14ac:dyDescent="0.25">
      <c r="A27" s="20"/>
      <c r="B27" s="23"/>
      <c r="C27" s="11"/>
      <c r="D27" s="11"/>
      <c r="E27" s="9" t="s">
        <v>12</v>
      </c>
      <c r="F27" s="12">
        <f>IF(SUM(F11:F25)=0,"",IF(COUNTIF(F11:F25,"&gt;=4")=0,0,COUNTIF(F11:F25,"&gt;=4")/$D25*100))</f>
        <v>100</v>
      </c>
      <c r="G27" s="12">
        <f t="shared" ref="G27:T27" si="2">IF(SUM(G11:G25)=0,"",IF(COUNTIF(G11:G25,"&gt;=4")=0,0,COUNTIF(G11:G25,"&gt;=4")/$D25*100))</f>
        <v>100</v>
      </c>
      <c r="H27" s="12">
        <f t="shared" si="2"/>
        <v>100</v>
      </c>
      <c r="I27" s="12">
        <f t="shared" si="2"/>
        <v>100</v>
      </c>
      <c r="J27" s="12">
        <f t="shared" si="2"/>
        <v>100</v>
      </c>
      <c r="K27" s="12">
        <f t="shared" si="2"/>
        <v>86.666666666666671</v>
      </c>
      <c r="L27" s="12">
        <f t="shared" si="2"/>
        <v>100</v>
      </c>
      <c r="M27" s="12">
        <f t="shared" si="2"/>
        <v>86.666666666666671</v>
      </c>
      <c r="N27" s="12">
        <f t="shared" si="2"/>
        <v>86.666666666666671</v>
      </c>
      <c r="O27" s="12">
        <f t="shared" si="2"/>
        <v>100</v>
      </c>
      <c r="P27" s="12">
        <f t="shared" si="2"/>
        <v>100</v>
      </c>
      <c r="Q27" s="12">
        <f t="shared" si="2"/>
        <v>100</v>
      </c>
      <c r="R27" s="12">
        <f t="shared" si="2"/>
        <v>80</v>
      </c>
      <c r="S27" s="12">
        <f t="shared" si="2"/>
        <v>100</v>
      </c>
      <c r="T27" s="12">
        <f t="shared" si="2"/>
        <v>93.333333333333329</v>
      </c>
      <c r="U27" s="13"/>
      <c r="V27" s="23"/>
      <c r="W27" s="22"/>
    </row>
    <row r="28" spans="1:23" ht="15" customHeight="1" x14ac:dyDescent="0.25">
      <c r="A28" s="20"/>
      <c r="B28" s="23"/>
      <c r="C28" s="11"/>
      <c r="D28" s="11"/>
      <c r="E28" s="9" t="s">
        <v>13</v>
      </c>
      <c r="F28" s="12">
        <f>IF(SUM(F11:F25)=0,"",IF(COUNTIF(F11:F25,"&gt;=7")=0,0,COUNTIF(F11:F25,"&gt;=7")/$D25*100))</f>
        <v>86.666666666666671</v>
      </c>
      <c r="G28" s="12">
        <f t="shared" ref="G28:T28" si="3">IF(SUM(G11:G25)=0,"",IF(COUNTIF(G11:G25,"&gt;=7")=0,0,COUNTIF(G11:G25,"&gt;=7")/$D25*100))</f>
        <v>60</v>
      </c>
      <c r="H28" s="12">
        <f t="shared" si="3"/>
        <v>66.666666666666657</v>
      </c>
      <c r="I28" s="12">
        <f t="shared" si="3"/>
        <v>86.666666666666671</v>
      </c>
      <c r="J28" s="12">
        <f t="shared" si="3"/>
        <v>20</v>
      </c>
      <c r="K28" s="12">
        <f t="shared" si="3"/>
        <v>33.333333333333329</v>
      </c>
      <c r="L28" s="12">
        <f t="shared" si="3"/>
        <v>13.333333333333334</v>
      </c>
      <c r="M28" s="12">
        <f t="shared" si="3"/>
        <v>46.666666666666664</v>
      </c>
      <c r="N28" s="12">
        <f t="shared" si="3"/>
        <v>33.333333333333329</v>
      </c>
      <c r="O28" s="12">
        <f t="shared" si="3"/>
        <v>40</v>
      </c>
      <c r="P28" s="12">
        <f t="shared" si="3"/>
        <v>46.666666666666664</v>
      </c>
      <c r="Q28" s="12">
        <f t="shared" si="3"/>
        <v>46.666666666666664</v>
      </c>
      <c r="R28" s="12">
        <f t="shared" si="3"/>
        <v>20</v>
      </c>
      <c r="S28" s="12">
        <f t="shared" si="3"/>
        <v>66.666666666666657</v>
      </c>
      <c r="T28" s="12">
        <f t="shared" si="3"/>
        <v>40</v>
      </c>
      <c r="U28" s="11"/>
      <c r="V28" s="23"/>
      <c r="W28" s="22"/>
    </row>
    <row r="29" spans="1:23" ht="15" customHeight="1" x14ac:dyDescent="0.25">
      <c r="A29" s="20"/>
      <c r="B29" s="23"/>
      <c r="C29" s="11"/>
      <c r="D29" s="11"/>
      <c r="E29" s="9" t="s">
        <v>14</v>
      </c>
      <c r="F29" s="3">
        <f>IFERROR(AVERAGE(F27:T27),"")</f>
        <v>95.555555555555557</v>
      </c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23"/>
      <c r="W29" s="22"/>
    </row>
    <row r="30" spans="1:23" ht="15" customHeight="1" x14ac:dyDescent="0.25">
      <c r="A30" s="20"/>
      <c r="B30" s="23"/>
      <c r="C30" s="11"/>
      <c r="D30" s="11"/>
      <c r="E30" s="9" t="s">
        <v>15</v>
      </c>
      <c r="F30" s="3">
        <f>IFERROR(AVERAGE(F28:T28),"")</f>
        <v>47.1111111111111</v>
      </c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23"/>
      <c r="W30" s="22"/>
    </row>
    <row r="31" spans="1:23" ht="15" customHeight="1" x14ac:dyDescent="0.25">
      <c r="A31" s="20"/>
      <c r="B31" s="23"/>
      <c r="C31" s="11"/>
      <c r="D31" s="11"/>
      <c r="E31" s="9" t="s">
        <v>16</v>
      </c>
      <c r="F31" s="14">
        <f>IF(COUNTIF(C11:C25,"=Б")=0,IF(COUNTIF(C11:C25,"=К")=0,"",0),COUNTIF(C11:C25,"=Б"))</f>
        <v>0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23"/>
      <c r="W31" s="22"/>
    </row>
    <row r="32" spans="1:23" ht="15" customHeight="1" x14ac:dyDescent="0.25">
      <c r="A32" s="20"/>
      <c r="B32" s="23"/>
      <c r="C32" s="11"/>
      <c r="D32" s="11"/>
      <c r="E32" s="9" t="s">
        <v>17</v>
      </c>
      <c r="F32" s="14">
        <f>IF(COUNTIF(C11:C25,"=К")=0,IF(COUNTIF(C11:C25,"=Б")=0,"",0),COUNTIF(C11:C25,"=К"))</f>
        <v>15</v>
      </c>
      <c r="G32" s="11"/>
      <c r="H32" s="15" t="s">
        <v>18</v>
      </c>
      <c r="I32" s="11"/>
      <c r="J32" s="11"/>
      <c r="K32" s="11"/>
      <c r="L32" s="11"/>
      <c r="M32" s="11"/>
      <c r="N32" s="11"/>
      <c r="O32" s="17" t="s">
        <v>34</v>
      </c>
      <c r="P32" s="1"/>
      <c r="Q32" s="11"/>
      <c r="R32" s="11"/>
      <c r="S32" s="11"/>
      <c r="T32" s="11"/>
      <c r="U32" s="11"/>
      <c r="V32" s="23"/>
      <c r="W32" s="22"/>
    </row>
    <row r="33" spans="1:23" ht="15" customHeight="1" x14ac:dyDescent="0.25">
      <c r="A33" s="20"/>
      <c r="B33" s="23"/>
      <c r="C33" s="11"/>
      <c r="D33" s="11"/>
      <c r="E33" s="9" t="s">
        <v>19</v>
      </c>
      <c r="F33" s="14">
        <v>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23"/>
      <c r="W33" s="22"/>
    </row>
    <row r="34" spans="1:23" ht="15" customHeight="1" x14ac:dyDescent="0.25">
      <c r="A34" s="20"/>
      <c r="B34" s="23"/>
      <c r="C34" s="11"/>
      <c r="D34" s="11"/>
      <c r="E34" s="9" t="s">
        <v>20</v>
      </c>
      <c r="F34" s="14"/>
      <c r="G34" s="11"/>
      <c r="H34" s="15" t="s">
        <v>21</v>
      </c>
      <c r="I34" s="11"/>
      <c r="J34" s="11"/>
      <c r="K34" s="11"/>
      <c r="L34" s="11"/>
      <c r="M34" s="11"/>
      <c r="N34" s="11"/>
      <c r="O34" s="15" t="s">
        <v>22</v>
      </c>
      <c r="P34" s="15"/>
      <c r="Q34" s="11"/>
      <c r="R34" s="11"/>
      <c r="S34" s="11"/>
      <c r="T34" s="11"/>
      <c r="U34" s="11"/>
      <c r="V34" s="23"/>
      <c r="W34" s="22"/>
    </row>
    <row r="35" spans="1:23" ht="12" customHeight="1" thickBot="1" x14ac:dyDescent="0.3">
      <c r="A35" s="20"/>
      <c r="B35" s="21"/>
      <c r="C35" s="21"/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2"/>
    </row>
    <row r="36" spans="1:23" ht="12" customHeight="1" x14ac:dyDescent="0.25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</row>
    <row r="39" spans="1:23" ht="0" hidden="1" customHeight="1" x14ac:dyDescent="0.25"/>
    <row r="40" spans="1:23" ht="0" hidden="1" customHeight="1" x14ac:dyDescent="0.25"/>
    <row r="41" spans="1:23" ht="0" hidden="1" customHeight="1" x14ac:dyDescent="0.25"/>
    <row r="42" spans="1:23" ht="0" hidden="1" customHeight="1" x14ac:dyDescent="0.25"/>
    <row r="43" spans="1:23" ht="0" hidden="1" customHeight="1" x14ac:dyDescent="0.25"/>
    <row r="44" spans="1:23" ht="0" hidden="1" customHeight="1" x14ac:dyDescent="0.25"/>
    <row r="45" spans="1:23" ht="0" hidden="1" customHeight="1" x14ac:dyDescent="0.25"/>
    <row r="46" spans="1:23" ht="0" hidden="1" customHeight="1" x14ac:dyDescent="0.25"/>
    <row r="47" spans="1:23" ht="0" hidden="1" customHeight="1" x14ac:dyDescent="0.25"/>
    <row r="48" spans="1:23" ht="0" hidden="1" customHeight="1" x14ac:dyDescent="0.25"/>
  </sheetData>
  <sheetProtection selectLockedCells="1"/>
  <sortState ref="E11:E26">
    <sortCondition ref="E11"/>
  </sortState>
  <mergeCells count="18">
    <mergeCell ref="B36:V36"/>
    <mergeCell ref="C7:U7"/>
    <mergeCell ref="C8:U8"/>
    <mergeCell ref="C9:C10"/>
    <mergeCell ref="D9:D10"/>
    <mergeCell ref="E9:E10"/>
    <mergeCell ref="G9:U9"/>
    <mergeCell ref="B1:V1"/>
    <mergeCell ref="A2:A35"/>
    <mergeCell ref="B2:V2"/>
    <mergeCell ref="W2:W35"/>
    <mergeCell ref="B3:B34"/>
    <mergeCell ref="C3:U3"/>
    <mergeCell ref="V3:V34"/>
    <mergeCell ref="C4:U4"/>
    <mergeCell ref="C5:U5"/>
    <mergeCell ref="C6:U6"/>
    <mergeCell ref="B35:V35"/>
  </mergeCells>
  <conditionalFormatting sqref="C13 E13">
    <cfRule type="expression" dxfId="39" priority="15">
      <formula>$V$13&lt;&gt;""</formula>
    </cfRule>
  </conditionalFormatting>
  <conditionalFormatting sqref="C14 E14">
    <cfRule type="expression" dxfId="38" priority="16">
      <formula>$V$14&lt;&gt;""</formula>
    </cfRule>
  </conditionalFormatting>
  <conditionalFormatting sqref="C15 E15">
    <cfRule type="expression" dxfId="37" priority="17">
      <formula>$V$15&lt;&gt;""</formula>
    </cfRule>
  </conditionalFormatting>
  <conditionalFormatting sqref="C16 E16">
    <cfRule type="expression" dxfId="36" priority="18">
      <formula>$V$16&lt;&gt;""</formula>
    </cfRule>
  </conditionalFormatting>
  <conditionalFormatting sqref="C17 E17">
    <cfRule type="expression" dxfId="35" priority="19">
      <formula>$V$17&lt;&gt;""</formula>
    </cfRule>
  </conditionalFormatting>
  <conditionalFormatting sqref="C18 E18">
    <cfRule type="expression" dxfId="34" priority="20">
      <formula>$V$18&lt;&gt;""</formula>
    </cfRule>
  </conditionalFormatting>
  <conditionalFormatting sqref="C19 E19">
    <cfRule type="expression" dxfId="33" priority="21">
      <formula>$V$19&lt;&gt;""</formula>
    </cfRule>
  </conditionalFormatting>
  <conditionalFormatting sqref="C20 E20">
    <cfRule type="expression" dxfId="32" priority="22">
      <formula>$V$20&lt;&gt;""</formula>
    </cfRule>
  </conditionalFormatting>
  <conditionalFormatting sqref="C21 E21">
    <cfRule type="expression" dxfId="31" priority="23">
      <formula>$V$21&lt;&gt;""</formula>
    </cfRule>
  </conditionalFormatting>
  <conditionalFormatting sqref="C22 E22">
    <cfRule type="expression" dxfId="30" priority="24">
      <formula>$V$22&lt;&gt;""</formula>
    </cfRule>
  </conditionalFormatting>
  <conditionalFormatting sqref="C23 E23">
    <cfRule type="expression" dxfId="29" priority="25">
      <formula>$V$23&lt;&gt;""</formula>
    </cfRule>
  </conditionalFormatting>
  <conditionalFormatting sqref="C24 E24">
    <cfRule type="expression" dxfId="28" priority="26">
      <formula>$V$24&lt;&gt;""</formula>
    </cfRule>
  </conditionalFormatting>
  <conditionalFormatting sqref="U11:U25">
    <cfRule type="expression" dxfId="27" priority="27">
      <formula>$V$25&lt;&gt;""</formula>
    </cfRule>
  </conditionalFormatting>
  <conditionalFormatting sqref="D13 D15 D17 D19 D21 D23 D25 C11:T11 F12:T25">
    <cfRule type="expression" dxfId="26" priority="13">
      <formula>$V$11&lt;&gt;""</formula>
    </cfRule>
  </conditionalFormatting>
  <conditionalFormatting sqref="C12:E12 D14 D16 D18 D20 D22 D24">
    <cfRule type="expression" dxfId="25" priority="14">
      <formula>$V$12&lt;&gt;""</formula>
    </cfRule>
  </conditionalFormatting>
  <conditionalFormatting sqref="C25 E25">
    <cfRule type="expression" dxfId="24" priority="37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5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</row>
    <row r="2" spans="1:23" ht="12" customHeight="1" x14ac:dyDescent="0.25">
      <c r="A2" s="20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  <c r="R2" s="21"/>
      <c r="S2" s="21"/>
      <c r="T2" s="21"/>
      <c r="U2" s="21"/>
      <c r="V2" s="21"/>
      <c r="W2" s="22"/>
    </row>
    <row r="3" spans="1:23" s="5" customFormat="1" ht="35.1" customHeight="1" x14ac:dyDescent="0.3">
      <c r="A3" s="20"/>
      <c r="B3" s="23"/>
      <c r="C3" s="24" t="s">
        <v>26</v>
      </c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3"/>
      <c r="W3" s="22"/>
    </row>
    <row r="4" spans="1:23" s="5" customFormat="1" ht="15" customHeight="1" x14ac:dyDescent="0.25">
      <c r="A4" s="20"/>
      <c r="B4" s="23"/>
      <c r="C4" s="23" t="s">
        <v>0</v>
      </c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2"/>
    </row>
    <row r="5" spans="1:23" s="6" customFormat="1" ht="15" customHeight="1" x14ac:dyDescent="0.25">
      <c r="A5" s="20"/>
      <c r="B5" s="23"/>
      <c r="C5" s="26" t="s">
        <v>23</v>
      </c>
      <c r="D5" s="26"/>
      <c r="E5" s="26"/>
      <c r="F5" s="26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3"/>
      <c r="W5" s="22"/>
    </row>
    <row r="6" spans="1:23" s="5" customFormat="1" ht="15" customHeight="1" x14ac:dyDescent="0.25">
      <c r="A6" s="20"/>
      <c r="B6" s="23"/>
      <c r="C6" s="23" t="s">
        <v>37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2"/>
    </row>
    <row r="7" spans="1:23" s="5" customFormat="1" ht="15" customHeight="1" x14ac:dyDescent="0.25">
      <c r="A7" s="20"/>
      <c r="B7" s="23"/>
      <c r="C7" s="23" t="s">
        <v>31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2"/>
    </row>
    <row r="8" spans="1:23" s="5" customFormat="1" ht="15" customHeight="1" x14ac:dyDescent="0.25">
      <c r="A8" s="20"/>
      <c r="B8" s="23"/>
      <c r="C8" s="23" t="s">
        <v>35</v>
      </c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2"/>
    </row>
    <row r="9" spans="1:23" ht="15" customHeight="1" x14ac:dyDescent="0.25">
      <c r="A9" s="20"/>
      <c r="B9" s="23"/>
      <c r="C9" s="28" t="s">
        <v>1</v>
      </c>
      <c r="D9" s="30" t="s">
        <v>2</v>
      </c>
      <c r="E9" s="30" t="s">
        <v>3</v>
      </c>
      <c r="F9" s="8"/>
      <c r="G9" s="29" t="s">
        <v>25</v>
      </c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3"/>
      <c r="W9" s="22"/>
    </row>
    <row r="10" spans="1:23" ht="125.1" customHeight="1" x14ac:dyDescent="0.25">
      <c r="A10" s="20"/>
      <c r="B10" s="23"/>
      <c r="C10" s="29"/>
      <c r="D10" s="29"/>
      <c r="E10" s="29"/>
      <c r="F10" s="16" t="s">
        <v>30</v>
      </c>
      <c r="G10" s="16" t="s">
        <v>4</v>
      </c>
      <c r="H10" s="16" t="s">
        <v>5</v>
      </c>
      <c r="I10" s="16" t="s">
        <v>6</v>
      </c>
      <c r="J10" s="16" t="s">
        <v>24</v>
      </c>
      <c r="K10" s="16" t="s">
        <v>27</v>
      </c>
      <c r="L10" s="16" t="s">
        <v>62</v>
      </c>
      <c r="M10" s="16" t="s">
        <v>28</v>
      </c>
      <c r="N10" s="16" t="s">
        <v>7</v>
      </c>
      <c r="O10" s="16" t="s">
        <v>63</v>
      </c>
      <c r="P10" s="16" t="s">
        <v>32</v>
      </c>
      <c r="Q10" s="16" t="s">
        <v>33</v>
      </c>
      <c r="R10" s="16" t="s">
        <v>8</v>
      </c>
      <c r="S10" s="16" t="s">
        <v>64</v>
      </c>
      <c r="T10" s="16" t="s">
        <v>29</v>
      </c>
      <c r="U10" s="7" t="s">
        <v>9</v>
      </c>
      <c r="V10" s="23"/>
      <c r="W10" s="22"/>
    </row>
    <row r="11" spans="1:23" ht="15" customHeight="1" x14ac:dyDescent="0.25">
      <c r="A11" s="20"/>
      <c r="B11" s="23"/>
      <c r="C11" s="8" t="s">
        <v>10</v>
      </c>
      <c r="D11" s="8">
        <v>1</v>
      </c>
      <c r="E11" s="9" t="s">
        <v>38</v>
      </c>
      <c r="F11" s="10">
        <v>10</v>
      </c>
      <c r="G11" s="10">
        <v>10</v>
      </c>
      <c r="H11" s="10">
        <v>9</v>
      </c>
      <c r="I11" s="10">
        <v>10</v>
      </c>
      <c r="J11" s="10">
        <v>10</v>
      </c>
      <c r="K11" s="10">
        <v>8</v>
      </c>
      <c r="L11" s="10">
        <v>8</v>
      </c>
      <c r="M11" s="10">
        <v>11</v>
      </c>
      <c r="N11" s="10">
        <v>9</v>
      </c>
      <c r="O11" s="10">
        <v>9</v>
      </c>
      <c r="P11" s="10">
        <v>7</v>
      </c>
      <c r="Q11" s="10">
        <v>7</v>
      </c>
      <c r="R11" s="10">
        <v>10</v>
      </c>
      <c r="S11" s="10">
        <v>10</v>
      </c>
      <c r="T11" s="10">
        <v>10</v>
      </c>
      <c r="U11" s="2">
        <f>IF(COUNTIF(F11:T11,"=*")&gt;0,"-",IF(COUNTIF(F11:T11,"&lt;4")&gt;0,"-",(IFERROR(AVERAGE(F11:T11),""))))</f>
        <v>9.1999999999999993</v>
      </c>
      <c r="V11" s="23"/>
      <c r="W11" s="22"/>
    </row>
    <row r="12" spans="1:23" ht="15" customHeight="1" x14ac:dyDescent="0.25">
      <c r="A12" s="20"/>
      <c r="B12" s="23"/>
      <c r="C12" s="8" t="s">
        <v>10</v>
      </c>
      <c r="D12" s="8">
        <v>2</v>
      </c>
      <c r="E12" s="9" t="s">
        <v>39</v>
      </c>
      <c r="F12" s="10">
        <v>10</v>
      </c>
      <c r="G12" s="10">
        <v>10</v>
      </c>
      <c r="H12" s="10">
        <v>10</v>
      </c>
      <c r="I12" s="10">
        <v>10</v>
      </c>
      <c r="J12" s="10">
        <v>10</v>
      </c>
      <c r="K12" s="10">
        <v>7</v>
      </c>
      <c r="L12" s="10">
        <v>8</v>
      </c>
      <c r="M12" s="10">
        <v>8</v>
      </c>
      <c r="N12" s="10">
        <v>7</v>
      </c>
      <c r="O12" s="10">
        <v>7</v>
      </c>
      <c r="P12" s="10">
        <v>7</v>
      </c>
      <c r="Q12" s="10">
        <v>7</v>
      </c>
      <c r="R12" s="10">
        <v>8</v>
      </c>
      <c r="S12" s="10">
        <v>9</v>
      </c>
      <c r="T12" s="10">
        <v>6</v>
      </c>
      <c r="U12" s="2">
        <f t="shared" ref="U12:U34" si="0">IF(COUNTIF(F12:T12,"=*")&gt;0,"-",IF(COUNTIF(F12:T12,"&lt;4")&gt;0,"-",(IFERROR(AVERAGE(F12:T12),""))))</f>
        <v>8.2666666666666675</v>
      </c>
      <c r="V12" s="23"/>
      <c r="W12" s="22"/>
    </row>
    <row r="13" spans="1:23" ht="15" customHeight="1" x14ac:dyDescent="0.25">
      <c r="A13" s="20"/>
      <c r="B13" s="23"/>
      <c r="C13" s="8" t="s">
        <v>10</v>
      </c>
      <c r="D13" s="18">
        <v>3</v>
      </c>
      <c r="E13" s="9" t="s">
        <v>40</v>
      </c>
      <c r="F13" s="10">
        <v>10</v>
      </c>
      <c r="G13" s="10">
        <v>9</v>
      </c>
      <c r="H13" s="10">
        <v>10</v>
      </c>
      <c r="I13" s="10">
        <v>10</v>
      </c>
      <c r="J13" s="10">
        <v>10</v>
      </c>
      <c r="K13" s="10" t="s">
        <v>80</v>
      </c>
      <c r="L13" s="10">
        <v>9</v>
      </c>
      <c r="M13" s="10">
        <v>8</v>
      </c>
      <c r="N13" s="10">
        <v>9</v>
      </c>
      <c r="O13" s="10">
        <v>8</v>
      </c>
      <c r="P13" s="10">
        <v>7</v>
      </c>
      <c r="Q13" s="10">
        <v>7</v>
      </c>
      <c r="R13" s="10">
        <v>7</v>
      </c>
      <c r="S13" s="10">
        <v>10</v>
      </c>
      <c r="T13" s="10">
        <v>7</v>
      </c>
      <c r="U13" s="2" t="str">
        <f t="shared" si="0"/>
        <v>-</v>
      </c>
      <c r="V13" s="23"/>
      <c r="W13" s="22"/>
    </row>
    <row r="14" spans="1:23" ht="15" customHeight="1" x14ac:dyDescent="0.25">
      <c r="A14" s="20"/>
      <c r="B14" s="23"/>
      <c r="C14" s="8" t="s">
        <v>10</v>
      </c>
      <c r="D14" s="18">
        <v>4</v>
      </c>
      <c r="E14" s="9" t="s">
        <v>41</v>
      </c>
      <c r="F14" s="10">
        <v>5</v>
      </c>
      <c r="G14" s="10">
        <v>5</v>
      </c>
      <c r="H14" s="10">
        <v>8</v>
      </c>
      <c r="I14" s="10">
        <v>4</v>
      </c>
      <c r="J14" s="10">
        <v>5</v>
      </c>
      <c r="K14" s="10">
        <v>4</v>
      </c>
      <c r="L14" s="10">
        <v>6</v>
      </c>
      <c r="M14" s="10">
        <v>7</v>
      </c>
      <c r="N14" s="10" t="s">
        <v>80</v>
      </c>
      <c r="O14" s="10">
        <v>4</v>
      </c>
      <c r="P14" s="10">
        <v>4</v>
      </c>
      <c r="Q14" s="10">
        <v>4</v>
      </c>
      <c r="R14" s="10" t="s">
        <v>80</v>
      </c>
      <c r="S14" s="10">
        <v>8</v>
      </c>
      <c r="T14" s="10">
        <v>4</v>
      </c>
      <c r="U14" s="2" t="str">
        <f t="shared" si="0"/>
        <v>-</v>
      </c>
      <c r="V14" s="23"/>
      <c r="W14" s="22"/>
    </row>
    <row r="15" spans="1:23" ht="15" customHeight="1" x14ac:dyDescent="0.25">
      <c r="A15" s="20"/>
      <c r="B15" s="23"/>
      <c r="C15" s="8" t="s">
        <v>10</v>
      </c>
      <c r="D15" s="18">
        <v>5</v>
      </c>
      <c r="E15" s="9" t="s">
        <v>42</v>
      </c>
      <c r="F15" s="10">
        <v>9</v>
      </c>
      <c r="G15" s="10">
        <v>9</v>
      </c>
      <c r="H15" s="10">
        <v>8</v>
      </c>
      <c r="I15" s="10">
        <v>9</v>
      </c>
      <c r="J15" s="10">
        <v>9</v>
      </c>
      <c r="K15" s="10">
        <v>4</v>
      </c>
      <c r="L15" s="10">
        <v>10</v>
      </c>
      <c r="M15" s="10">
        <v>7</v>
      </c>
      <c r="N15" s="10">
        <v>7</v>
      </c>
      <c r="O15" s="10">
        <v>5</v>
      </c>
      <c r="P15" s="10">
        <v>4</v>
      </c>
      <c r="Q15" s="10">
        <v>4</v>
      </c>
      <c r="R15" s="10">
        <v>7</v>
      </c>
      <c r="S15" s="10">
        <v>9</v>
      </c>
      <c r="T15" s="10">
        <v>6</v>
      </c>
      <c r="U15" s="2">
        <f t="shared" si="0"/>
        <v>7.1333333333333337</v>
      </c>
      <c r="V15" s="23"/>
      <c r="W15" s="22"/>
    </row>
    <row r="16" spans="1:23" ht="15" customHeight="1" x14ac:dyDescent="0.25">
      <c r="A16" s="20"/>
      <c r="B16" s="23"/>
      <c r="C16" s="8" t="s">
        <v>10</v>
      </c>
      <c r="D16" s="18">
        <v>6</v>
      </c>
      <c r="E16" s="9" t="s">
        <v>43</v>
      </c>
      <c r="F16" s="10">
        <v>8</v>
      </c>
      <c r="G16" s="10">
        <v>8</v>
      </c>
      <c r="H16" s="10">
        <v>7</v>
      </c>
      <c r="I16" s="10">
        <v>8</v>
      </c>
      <c r="J16" s="10">
        <v>8</v>
      </c>
      <c r="K16" s="10" t="s">
        <v>80</v>
      </c>
      <c r="L16" s="10">
        <v>4</v>
      </c>
      <c r="M16" s="10" t="s">
        <v>80</v>
      </c>
      <c r="N16" s="10">
        <v>8</v>
      </c>
      <c r="O16" s="10">
        <v>5</v>
      </c>
      <c r="P16" s="10">
        <v>4</v>
      </c>
      <c r="Q16" s="10">
        <v>4</v>
      </c>
      <c r="R16" s="10" t="s">
        <v>80</v>
      </c>
      <c r="S16" s="10">
        <v>8</v>
      </c>
      <c r="T16" s="10">
        <v>4</v>
      </c>
      <c r="U16" s="2" t="str">
        <f t="shared" si="0"/>
        <v>-</v>
      </c>
      <c r="V16" s="23"/>
      <c r="W16" s="22"/>
    </row>
    <row r="17" spans="1:23" ht="15" customHeight="1" x14ac:dyDescent="0.25">
      <c r="A17" s="20"/>
      <c r="B17" s="23"/>
      <c r="C17" s="8" t="s">
        <v>10</v>
      </c>
      <c r="D17" s="18">
        <v>7</v>
      </c>
      <c r="E17" s="9" t="s">
        <v>44</v>
      </c>
      <c r="F17" s="10">
        <v>10</v>
      </c>
      <c r="G17" s="10">
        <v>10</v>
      </c>
      <c r="H17" s="10">
        <v>9</v>
      </c>
      <c r="I17" s="10">
        <v>10</v>
      </c>
      <c r="J17" s="10">
        <v>10</v>
      </c>
      <c r="K17" s="10">
        <v>9</v>
      </c>
      <c r="L17" s="10">
        <v>7</v>
      </c>
      <c r="M17" s="10">
        <v>9</v>
      </c>
      <c r="N17" s="10">
        <v>9</v>
      </c>
      <c r="O17" s="10">
        <v>8</v>
      </c>
      <c r="P17" s="10">
        <v>9</v>
      </c>
      <c r="Q17" s="10">
        <v>9</v>
      </c>
      <c r="R17" s="10">
        <v>9</v>
      </c>
      <c r="S17" s="10">
        <v>10</v>
      </c>
      <c r="T17" s="10">
        <v>6</v>
      </c>
      <c r="U17" s="2">
        <f t="shared" si="0"/>
        <v>8.9333333333333336</v>
      </c>
      <c r="V17" s="23"/>
      <c r="W17" s="22"/>
    </row>
    <row r="18" spans="1:23" ht="15" customHeight="1" x14ac:dyDescent="0.25">
      <c r="A18" s="20"/>
      <c r="B18" s="23"/>
      <c r="C18" s="8" t="s">
        <v>10</v>
      </c>
      <c r="D18" s="18">
        <v>8</v>
      </c>
      <c r="E18" s="9" t="s">
        <v>45</v>
      </c>
      <c r="F18" s="10">
        <v>10</v>
      </c>
      <c r="G18" s="10">
        <v>9</v>
      </c>
      <c r="H18" s="10">
        <v>9</v>
      </c>
      <c r="I18" s="10">
        <v>11</v>
      </c>
      <c r="J18" s="10">
        <v>9</v>
      </c>
      <c r="K18" s="10">
        <v>9</v>
      </c>
      <c r="L18" s="10">
        <v>9</v>
      </c>
      <c r="M18" s="10">
        <v>7</v>
      </c>
      <c r="N18" s="10">
        <v>8</v>
      </c>
      <c r="O18" s="10">
        <v>7</v>
      </c>
      <c r="P18" s="10">
        <v>8</v>
      </c>
      <c r="Q18" s="10">
        <v>8</v>
      </c>
      <c r="R18" s="10">
        <v>8</v>
      </c>
      <c r="S18" s="10">
        <v>10</v>
      </c>
      <c r="T18" s="10">
        <v>8</v>
      </c>
      <c r="U18" s="2">
        <f t="shared" si="0"/>
        <v>8.6666666666666661</v>
      </c>
      <c r="V18" s="23"/>
      <c r="W18" s="22"/>
    </row>
    <row r="19" spans="1:23" ht="15" customHeight="1" x14ac:dyDescent="0.25">
      <c r="A19" s="20"/>
      <c r="B19" s="23"/>
      <c r="C19" s="8" t="s">
        <v>10</v>
      </c>
      <c r="D19" s="18">
        <v>9</v>
      </c>
      <c r="E19" s="9" t="s">
        <v>46</v>
      </c>
      <c r="F19" s="10">
        <v>9</v>
      </c>
      <c r="G19" s="10">
        <v>10</v>
      </c>
      <c r="H19" s="10">
        <v>9</v>
      </c>
      <c r="I19" s="10">
        <v>10</v>
      </c>
      <c r="J19" s="10">
        <v>9</v>
      </c>
      <c r="K19" s="10">
        <v>7</v>
      </c>
      <c r="L19" s="10">
        <v>10</v>
      </c>
      <c r="M19" s="10">
        <v>9</v>
      </c>
      <c r="N19" s="10">
        <v>9</v>
      </c>
      <c r="O19" s="10">
        <v>7</v>
      </c>
      <c r="P19" s="10">
        <v>9</v>
      </c>
      <c r="Q19" s="10">
        <v>9</v>
      </c>
      <c r="R19" s="10">
        <v>6</v>
      </c>
      <c r="S19" s="10">
        <v>10</v>
      </c>
      <c r="T19" s="10">
        <v>7</v>
      </c>
      <c r="U19" s="2">
        <f t="shared" si="0"/>
        <v>8.6666666666666661</v>
      </c>
      <c r="V19" s="23"/>
      <c r="W19" s="22"/>
    </row>
    <row r="20" spans="1:23" ht="15" customHeight="1" x14ac:dyDescent="0.25">
      <c r="A20" s="20"/>
      <c r="B20" s="23"/>
      <c r="C20" s="8" t="s">
        <v>10</v>
      </c>
      <c r="D20" s="18">
        <v>10</v>
      </c>
      <c r="E20" s="9" t="s">
        <v>47</v>
      </c>
      <c r="F20" s="10">
        <v>8</v>
      </c>
      <c r="G20" s="10">
        <v>7</v>
      </c>
      <c r="H20" s="10">
        <v>8</v>
      </c>
      <c r="I20" s="10">
        <v>8</v>
      </c>
      <c r="J20" s="10">
        <v>8</v>
      </c>
      <c r="K20" s="10">
        <v>4</v>
      </c>
      <c r="L20" s="10">
        <v>5</v>
      </c>
      <c r="M20" s="10">
        <v>6</v>
      </c>
      <c r="N20" s="10">
        <v>5</v>
      </c>
      <c r="O20" s="10">
        <v>5</v>
      </c>
      <c r="P20" s="10">
        <v>7</v>
      </c>
      <c r="Q20" s="10">
        <v>7</v>
      </c>
      <c r="R20" s="10">
        <v>5</v>
      </c>
      <c r="S20" s="10">
        <v>4</v>
      </c>
      <c r="T20" s="10">
        <v>5</v>
      </c>
      <c r="U20" s="2">
        <f t="shared" si="0"/>
        <v>6.1333333333333337</v>
      </c>
      <c r="V20" s="23"/>
      <c r="W20" s="22"/>
    </row>
    <row r="21" spans="1:23" ht="15" customHeight="1" x14ac:dyDescent="0.25">
      <c r="A21" s="20"/>
      <c r="B21" s="23"/>
      <c r="C21" s="8" t="s">
        <v>10</v>
      </c>
      <c r="D21" s="18">
        <v>11</v>
      </c>
      <c r="E21" s="9" t="s">
        <v>48</v>
      </c>
      <c r="F21" s="10">
        <v>10</v>
      </c>
      <c r="G21" s="10">
        <v>10</v>
      </c>
      <c r="H21" s="10">
        <v>8</v>
      </c>
      <c r="I21" s="10">
        <v>10</v>
      </c>
      <c r="J21" s="10">
        <v>10</v>
      </c>
      <c r="K21" s="10" t="s">
        <v>80</v>
      </c>
      <c r="L21" s="10">
        <v>10</v>
      </c>
      <c r="M21" s="10">
        <v>6</v>
      </c>
      <c r="N21" s="10">
        <v>10</v>
      </c>
      <c r="O21" s="10">
        <v>8</v>
      </c>
      <c r="P21" s="10">
        <v>5</v>
      </c>
      <c r="Q21" s="10">
        <v>5</v>
      </c>
      <c r="R21" s="10">
        <v>8</v>
      </c>
      <c r="S21" s="10">
        <v>4</v>
      </c>
      <c r="T21" s="10">
        <v>8</v>
      </c>
      <c r="U21" s="2" t="str">
        <f t="shared" si="0"/>
        <v>-</v>
      </c>
      <c r="V21" s="23"/>
      <c r="W21" s="22"/>
    </row>
    <row r="22" spans="1:23" ht="15" customHeight="1" x14ac:dyDescent="0.25">
      <c r="A22" s="20"/>
      <c r="B22" s="23"/>
      <c r="C22" s="8" t="s">
        <v>10</v>
      </c>
      <c r="D22" s="18">
        <v>12</v>
      </c>
      <c r="E22" s="9" t="s">
        <v>49</v>
      </c>
      <c r="F22" s="10">
        <v>8</v>
      </c>
      <c r="G22" s="10">
        <v>7</v>
      </c>
      <c r="H22" s="10">
        <v>6</v>
      </c>
      <c r="I22" s="10">
        <v>8</v>
      </c>
      <c r="J22" s="10">
        <v>10</v>
      </c>
      <c r="K22" s="10" t="s">
        <v>80</v>
      </c>
      <c r="L22" s="10">
        <v>4</v>
      </c>
      <c r="M22" s="10">
        <v>6</v>
      </c>
      <c r="N22" s="10">
        <v>8</v>
      </c>
      <c r="O22" s="10">
        <v>8</v>
      </c>
      <c r="P22" s="10">
        <v>5</v>
      </c>
      <c r="Q22" s="10">
        <v>5</v>
      </c>
      <c r="R22" s="10">
        <v>4</v>
      </c>
      <c r="S22" s="10">
        <v>9</v>
      </c>
      <c r="T22" s="10">
        <v>8</v>
      </c>
      <c r="U22" s="2" t="str">
        <f t="shared" si="0"/>
        <v>-</v>
      </c>
      <c r="V22" s="23"/>
      <c r="W22" s="22"/>
    </row>
    <row r="23" spans="1:23" ht="15" customHeight="1" x14ac:dyDescent="0.25">
      <c r="A23" s="20"/>
      <c r="B23" s="23"/>
      <c r="C23" s="8" t="s">
        <v>10</v>
      </c>
      <c r="D23" s="18">
        <v>13</v>
      </c>
      <c r="E23" s="9" t="s">
        <v>50</v>
      </c>
      <c r="F23" s="10">
        <v>9</v>
      </c>
      <c r="G23" s="10">
        <v>8</v>
      </c>
      <c r="H23" s="10">
        <v>9</v>
      </c>
      <c r="I23" s="10">
        <v>9</v>
      </c>
      <c r="J23" s="10">
        <v>8</v>
      </c>
      <c r="K23" s="10">
        <v>4</v>
      </c>
      <c r="L23" s="10">
        <v>4</v>
      </c>
      <c r="M23" s="10">
        <v>7</v>
      </c>
      <c r="N23" s="10">
        <v>6</v>
      </c>
      <c r="O23" s="10">
        <v>6</v>
      </c>
      <c r="P23" s="10">
        <v>5</v>
      </c>
      <c r="Q23" s="10">
        <v>5</v>
      </c>
      <c r="R23" s="10">
        <v>6</v>
      </c>
      <c r="S23" s="10">
        <v>10</v>
      </c>
      <c r="T23" s="10">
        <v>4</v>
      </c>
      <c r="U23" s="2">
        <f t="shared" si="0"/>
        <v>6.666666666666667</v>
      </c>
      <c r="V23" s="23"/>
      <c r="W23" s="22"/>
    </row>
    <row r="24" spans="1:23" ht="15" customHeight="1" x14ac:dyDescent="0.25">
      <c r="A24" s="20"/>
      <c r="B24" s="23"/>
      <c r="C24" s="8" t="s">
        <v>10</v>
      </c>
      <c r="D24" s="18">
        <v>14</v>
      </c>
      <c r="E24" s="9" t="s">
        <v>51</v>
      </c>
      <c r="F24" s="10">
        <v>5</v>
      </c>
      <c r="G24" s="10">
        <v>8</v>
      </c>
      <c r="H24" s="10">
        <v>5</v>
      </c>
      <c r="I24" s="10">
        <v>5</v>
      </c>
      <c r="J24" s="10">
        <v>5</v>
      </c>
      <c r="K24" s="10">
        <v>4</v>
      </c>
      <c r="L24" s="10">
        <v>4</v>
      </c>
      <c r="M24" s="10">
        <v>7</v>
      </c>
      <c r="N24" s="10">
        <v>4</v>
      </c>
      <c r="O24" s="10">
        <v>5</v>
      </c>
      <c r="P24" s="10">
        <v>4</v>
      </c>
      <c r="Q24" s="10">
        <v>4</v>
      </c>
      <c r="R24" s="10" t="s">
        <v>80</v>
      </c>
      <c r="S24" s="10">
        <v>4</v>
      </c>
      <c r="T24" s="10" t="s">
        <v>80</v>
      </c>
      <c r="U24" s="2" t="str">
        <f t="shared" si="0"/>
        <v>-</v>
      </c>
      <c r="V24" s="23"/>
      <c r="W24" s="22"/>
    </row>
    <row r="25" spans="1:23" ht="15" customHeight="1" x14ac:dyDescent="0.25">
      <c r="A25" s="20"/>
      <c r="B25" s="23"/>
      <c r="C25" s="8" t="s">
        <v>10</v>
      </c>
      <c r="D25" s="18">
        <v>15</v>
      </c>
      <c r="E25" s="9" t="s">
        <v>52</v>
      </c>
      <c r="F25" s="10">
        <v>5</v>
      </c>
      <c r="G25" s="10">
        <v>6</v>
      </c>
      <c r="H25" s="10">
        <v>5</v>
      </c>
      <c r="I25" s="10">
        <v>4</v>
      </c>
      <c r="J25" s="10">
        <v>4</v>
      </c>
      <c r="K25" s="10" t="s">
        <v>80</v>
      </c>
      <c r="L25" s="10">
        <v>4</v>
      </c>
      <c r="M25" s="10" t="s">
        <v>80</v>
      </c>
      <c r="N25" s="10" t="s">
        <v>80</v>
      </c>
      <c r="O25" s="10">
        <v>4</v>
      </c>
      <c r="P25" s="10">
        <v>4</v>
      </c>
      <c r="Q25" s="10">
        <v>4</v>
      </c>
      <c r="R25" s="10" t="s">
        <v>80</v>
      </c>
      <c r="S25" s="10">
        <v>4</v>
      </c>
      <c r="T25" s="10" t="s">
        <v>80</v>
      </c>
      <c r="U25" s="2" t="str">
        <f t="shared" si="0"/>
        <v>-</v>
      </c>
      <c r="V25" s="23"/>
      <c r="W25" s="22"/>
    </row>
    <row r="26" spans="1:23" ht="15" customHeight="1" x14ac:dyDescent="0.25">
      <c r="A26" s="20"/>
      <c r="B26" s="23"/>
      <c r="C26" s="8" t="s">
        <v>10</v>
      </c>
      <c r="D26" s="18">
        <v>16</v>
      </c>
      <c r="E26" s="9" t="s">
        <v>53</v>
      </c>
      <c r="F26" s="10">
        <v>9</v>
      </c>
      <c r="G26" s="10">
        <v>9</v>
      </c>
      <c r="H26" s="10">
        <v>8</v>
      </c>
      <c r="I26" s="10">
        <v>9</v>
      </c>
      <c r="J26" s="10">
        <v>8</v>
      </c>
      <c r="K26" s="10">
        <v>4</v>
      </c>
      <c r="L26" s="10">
        <v>4</v>
      </c>
      <c r="M26" s="10">
        <v>5</v>
      </c>
      <c r="N26" s="10">
        <v>5</v>
      </c>
      <c r="O26" s="10">
        <v>4</v>
      </c>
      <c r="P26" s="10">
        <v>4</v>
      </c>
      <c r="Q26" s="10">
        <v>4</v>
      </c>
      <c r="R26" s="10">
        <v>5</v>
      </c>
      <c r="S26" s="10">
        <v>10</v>
      </c>
      <c r="T26" s="10">
        <v>7</v>
      </c>
      <c r="U26" s="2">
        <f t="shared" si="0"/>
        <v>6.333333333333333</v>
      </c>
      <c r="V26" s="23"/>
      <c r="W26" s="22"/>
    </row>
    <row r="27" spans="1:23" ht="15" customHeight="1" x14ac:dyDescent="0.25">
      <c r="A27" s="20"/>
      <c r="B27" s="23"/>
      <c r="C27" s="8" t="s">
        <v>10</v>
      </c>
      <c r="D27" s="18">
        <v>17</v>
      </c>
      <c r="E27" s="9" t="s">
        <v>54</v>
      </c>
      <c r="F27" s="10">
        <v>9</v>
      </c>
      <c r="G27" s="10">
        <v>9</v>
      </c>
      <c r="H27" s="10">
        <v>10</v>
      </c>
      <c r="I27" s="10">
        <v>9</v>
      </c>
      <c r="J27" s="10">
        <v>9</v>
      </c>
      <c r="K27" s="10">
        <v>9</v>
      </c>
      <c r="L27" s="10">
        <v>7</v>
      </c>
      <c r="M27" s="10">
        <v>10</v>
      </c>
      <c r="N27" s="10">
        <v>9</v>
      </c>
      <c r="O27" s="10">
        <v>7</v>
      </c>
      <c r="P27" s="10">
        <v>10</v>
      </c>
      <c r="Q27" s="10">
        <v>10</v>
      </c>
      <c r="R27" s="10">
        <v>9</v>
      </c>
      <c r="S27" s="10">
        <v>10</v>
      </c>
      <c r="T27" s="10">
        <v>8</v>
      </c>
      <c r="U27" s="2">
        <f t="shared" si="0"/>
        <v>9</v>
      </c>
      <c r="V27" s="23"/>
      <c r="W27" s="22"/>
    </row>
    <row r="28" spans="1:23" ht="15" customHeight="1" x14ac:dyDescent="0.25">
      <c r="A28" s="20"/>
      <c r="B28" s="23"/>
      <c r="C28" s="8" t="s">
        <v>10</v>
      </c>
      <c r="D28" s="18">
        <v>18</v>
      </c>
      <c r="E28" s="9" t="s">
        <v>55</v>
      </c>
      <c r="F28" s="10">
        <v>9</v>
      </c>
      <c r="G28" s="10">
        <v>8</v>
      </c>
      <c r="H28" s="10">
        <v>10</v>
      </c>
      <c r="I28" s="10">
        <v>9</v>
      </c>
      <c r="J28" s="10">
        <v>8</v>
      </c>
      <c r="K28" s="10" t="s">
        <v>80</v>
      </c>
      <c r="L28" s="10">
        <v>4</v>
      </c>
      <c r="M28" s="10">
        <v>8</v>
      </c>
      <c r="N28" s="10">
        <v>6</v>
      </c>
      <c r="O28" s="10">
        <v>4</v>
      </c>
      <c r="P28" s="10">
        <v>4</v>
      </c>
      <c r="Q28" s="10">
        <v>4</v>
      </c>
      <c r="R28" s="10">
        <v>5</v>
      </c>
      <c r="S28" s="10">
        <v>10</v>
      </c>
      <c r="T28" s="10">
        <v>4</v>
      </c>
      <c r="U28" s="2" t="str">
        <f t="shared" si="0"/>
        <v>-</v>
      </c>
      <c r="V28" s="23"/>
      <c r="W28" s="22"/>
    </row>
    <row r="29" spans="1:23" ht="15" customHeight="1" x14ac:dyDescent="0.25">
      <c r="A29" s="20"/>
      <c r="B29" s="23"/>
      <c r="C29" s="8" t="s">
        <v>10</v>
      </c>
      <c r="D29" s="18">
        <v>19</v>
      </c>
      <c r="E29" s="9" t="s">
        <v>56</v>
      </c>
      <c r="F29" s="10">
        <v>10</v>
      </c>
      <c r="G29" s="10">
        <v>10</v>
      </c>
      <c r="H29" s="10">
        <v>10</v>
      </c>
      <c r="I29" s="10">
        <v>10</v>
      </c>
      <c r="J29" s="10">
        <v>9</v>
      </c>
      <c r="K29" s="10">
        <v>4</v>
      </c>
      <c r="L29" s="10">
        <v>5</v>
      </c>
      <c r="M29" s="10">
        <v>9</v>
      </c>
      <c r="N29" s="10">
        <v>7</v>
      </c>
      <c r="O29" s="10">
        <v>9</v>
      </c>
      <c r="P29" s="10">
        <v>5</v>
      </c>
      <c r="Q29" s="10">
        <v>5</v>
      </c>
      <c r="R29" s="10">
        <v>9</v>
      </c>
      <c r="S29" s="10">
        <v>10</v>
      </c>
      <c r="T29" s="10">
        <v>7</v>
      </c>
      <c r="U29" s="2">
        <f t="shared" si="0"/>
        <v>7.9333333333333336</v>
      </c>
      <c r="V29" s="23"/>
      <c r="W29" s="22"/>
    </row>
    <row r="30" spans="1:23" ht="15" customHeight="1" x14ac:dyDescent="0.25">
      <c r="A30" s="20"/>
      <c r="B30" s="23"/>
      <c r="C30" s="8" t="s">
        <v>10</v>
      </c>
      <c r="D30" s="18">
        <v>20</v>
      </c>
      <c r="E30" s="9" t="s">
        <v>57</v>
      </c>
      <c r="F30" s="10">
        <v>5</v>
      </c>
      <c r="G30" s="10">
        <v>4</v>
      </c>
      <c r="H30" s="10">
        <v>5</v>
      </c>
      <c r="I30" s="10">
        <v>5</v>
      </c>
      <c r="J30" s="10">
        <v>5</v>
      </c>
      <c r="K30" s="10" t="s">
        <v>80</v>
      </c>
      <c r="L30" s="10">
        <v>4</v>
      </c>
      <c r="M30" s="10" t="s">
        <v>80</v>
      </c>
      <c r="N30" s="10" t="s">
        <v>80</v>
      </c>
      <c r="O30" s="10">
        <v>6</v>
      </c>
      <c r="P30" s="10">
        <v>4</v>
      </c>
      <c r="Q30" s="10">
        <v>4</v>
      </c>
      <c r="R30" s="10" t="s">
        <v>80</v>
      </c>
      <c r="S30" s="10">
        <v>4</v>
      </c>
      <c r="T30" s="10" t="s">
        <v>80</v>
      </c>
      <c r="U30" s="2" t="str">
        <f t="shared" si="0"/>
        <v>-</v>
      </c>
      <c r="V30" s="23"/>
      <c r="W30" s="22"/>
    </row>
    <row r="31" spans="1:23" ht="15" customHeight="1" x14ac:dyDescent="0.25">
      <c r="A31" s="20"/>
      <c r="B31" s="23"/>
      <c r="C31" s="8" t="s">
        <v>10</v>
      </c>
      <c r="D31" s="18">
        <v>21</v>
      </c>
      <c r="E31" s="9" t="s">
        <v>58</v>
      </c>
      <c r="F31" s="10">
        <v>6</v>
      </c>
      <c r="G31" s="10">
        <v>4</v>
      </c>
      <c r="H31" s="10">
        <v>8</v>
      </c>
      <c r="I31" s="10">
        <v>5</v>
      </c>
      <c r="J31" s="10">
        <v>6</v>
      </c>
      <c r="K31" s="10">
        <v>4</v>
      </c>
      <c r="L31" s="10">
        <v>7</v>
      </c>
      <c r="M31" s="10">
        <v>7</v>
      </c>
      <c r="N31" s="10">
        <v>5</v>
      </c>
      <c r="O31" s="10">
        <v>4</v>
      </c>
      <c r="P31" s="10">
        <v>4</v>
      </c>
      <c r="Q31" s="10">
        <v>4</v>
      </c>
      <c r="R31" s="10">
        <v>4</v>
      </c>
      <c r="S31" s="10">
        <v>4</v>
      </c>
      <c r="T31" s="10">
        <v>3</v>
      </c>
      <c r="U31" s="2" t="str">
        <f t="shared" si="0"/>
        <v>-</v>
      </c>
      <c r="V31" s="23"/>
      <c r="W31" s="22"/>
    </row>
    <row r="32" spans="1:23" ht="15" customHeight="1" x14ac:dyDescent="0.25">
      <c r="A32" s="20"/>
      <c r="B32" s="23"/>
      <c r="C32" s="8" t="s">
        <v>10</v>
      </c>
      <c r="D32" s="18">
        <v>22</v>
      </c>
      <c r="E32" s="9" t="s">
        <v>59</v>
      </c>
      <c r="F32" s="10">
        <v>8</v>
      </c>
      <c r="G32" s="10">
        <v>8</v>
      </c>
      <c r="H32" s="10">
        <v>8</v>
      </c>
      <c r="I32" s="10">
        <v>8</v>
      </c>
      <c r="J32" s="10">
        <v>5</v>
      </c>
      <c r="K32" s="10" t="s">
        <v>80</v>
      </c>
      <c r="L32" s="10">
        <v>4</v>
      </c>
      <c r="M32" s="10">
        <v>4</v>
      </c>
      <c r="N32" s="10">
        <v>7</v>
      </c>
      <c r="O32" s="10">
        <v>5</v>
      </c>
      <c r="P32" s="10">
        <v>4</v>
      </c>
      <c r="Q32" s="10">
        <v>4</v>
      </c>
      <c r="R32" s="10">
        <v>4</v>
      </c>
      <c r="S32" s="10">
        <v>4</v>
      </c>
      <c r="T32" s="10">
        <v>4</v>
      </c>
      <c r="U32" s="2" t="str">
        <f t="shared" si="0"/>
        <v>-</v>
      </c>
      <c r="V32" s="23"/>
      <c r="W32" s="22"/>
    </row>
    <row r="33" spans="1:23" ht="15" customHeight="1" x14ac:dyDescent="0.25">
      <c r="A33" s="20"/>
      <c r="B33" s="23"/>
      <c r="C33" s="8" t="s">
        <v>10</v>
      </c>
      <c r="D33" s="18">
        <v>23</v>
      </c>
      <c r="E33" s="9" t="s">
        <v>60</v>
      </c>
      <c r="F33" s="10">
        <v>10</v>
      </c>
      <c r="G33" s="10">
        <v>10</v>
      </c>
      <c r="H33" s="10">
        <v>10</v>
      </c>
      <c r="I33" s="10">
        <v>11</v>
      </c>
      <c r="J33" s="10">
        <v>7</v>
      </c>
      <c r="K33" s="10">
        <v>10</v>
      </c>
      <c r="L33" s="10">
        <v>10</v>
      </c>
      <c r="M33" s="10">
        <v>10</v>
      </c>
      <c r="N33" s="10">
        <v>10</v>
      </c>
      <c r="O33" s="10">
        <v>8</v>
      </c>
      <c r="P33" s="10">
        <v>7</v>
      </c>
      <c r="Q33" s="10">
        <v>7</v>
      </c>
      <c r="R33" s="10">
        <v>8</v>
      </c>
      <c r="S33" s="10">
        <v>10</v>
      </c>
      <c r="T33" s="10">
        <v>7</v>
      </c>
      <c r="U33" s="2">
        <f t="shared" si="0"/>
        <v>9</v>
      </c>
      <c r="V33" s="23"/>
      <c r="W33" s="22"/>
    </row>
    <row r="34" spans="1:23" ht="15" customHeight="1" x14ac:dyDescent="0.25">
      <c r="A34" s="20"/>
      <c r="B34" s="23"/>
      <c r="C34" s="8" t="s">
        <v>10</v>
      </c>
      <c r="D34" s="18">
        <v>24</v>
      </c>
      <c r="E34" s="9" t="s">
        <v>61</v>
      </c>
      <c r="F34" s="10">
        <v>7</v>
      </c>
      <c r="G34" s="10">
        <v>8</v>
      </c>
      <c r="H34" s="10">
        <v>7</v>
      </c>
      <c r="I34" s="10">
        <v>7</v>
      </c>
      <c r="J34" s="10">
        <v>10</v>
      </c>
      <c r="K34" s="10" t="s">
        <v>80</v>
      </c>
      <c r="L34" s="10">
        <v>5</v>
      </c>
      <c r="M34" s="10" t="s">
        <v>80</v>
      </c>
      <c r="N34" s="10">
        <v>4</v>
      </c>
      <c r="O34" s="10">
        <v>4</v>
      </c>
      <c r="P34" s="10">
        <v>4</v>
      </c>
      <c r="Q34" s="10">
        <v>4</v>
      </c>
      <c r="R34" s="10" t="s">
        <v>80</v>
      </c>
      <c r="S34" s="10">
        <v>4</v>
      </c>
      <c r="T34" s="10">
        <v>5</v>
      </c>
      <c r="U34" s="2" t="str">
        <f t="shared" si="0"/>
        <v>-</v>
      </c>
      <c r="V34" s="23"/>
      <c r="W34" s="22"/>
    </row>
    <row r="35" spans="1:23" ht="15" customHeight="1" x14ac:dyDescent="0.25">
      <c r="A35" s="20"/>
      <c r="B35" s="23"/>
      <c r="C35" s="11"/>
      <c r="D35" s="11"/>
      <c r="E35" s="9" t="s">
        <v>11</v>
      </c>
      <c r="F35" s="3">
        <f>IF(SUM(F11:F34)=0,"",SUM(F11:F34)/$D34)</f>
        <v>8.2916666666666661</v>
      </c>
      <c r="G35" s="3">
        <f t="shared" ref="G35:T35" si="1">IF(SUM(G11:G34)=0,"",SUM(G11:G34)/$D34)</f>
        <v>8.1666666666666661</v>
      </c>
      <c r="H35" s="3">
        <f t="shared" si="1"/>
        <v>8.1666666666666661</v>
      </c>
      <c r="I35" s="3">
        <f t="shared" si="1"/>
        <v>8.2916666666666661</v>
      </c>
      <c r="J35" s="3">
        <f t="shared" si="1"/>
        <v>8</v>
      </c>
      <c r="K35" s="3">
        <f t="shared" si="1"/>
        <v>3.7916666666666665</v>
      </c>
      <c r="L35" s="3">
        <f t="shared" si="1"/>
        <v>6.333333333333333</v>
      </c>
      <c r="M35" s="3">
        <f t="shared" si="1"/>
        <v>6.291666666666667</v>
      </c>
      <c r="N35" s="3">
        <f t="shared" si="1"/>
        <v>6.333333333333333</v>
      </c>
      <c r="O35" s="3">
        <f t="shared" si="1"/>
        <v>6.125</v>
      </c>
      <c r="P35" s="3">
        <f t="shared" si="1"/>
        <v>5.625</v>
      </c>
      <c r="Q35" s="3">
        <f t="shared" si="1"/>
        <v>5.625</v>
      </c>
      <c r="R35" s="3">
        <f t="shared" si="1"/>
        <v>5.083333333333333</v>
      </c>
      <c r="S35" s="3">
        <f t="shared" si="1"/>
        <v>7.708333333333333</v>
      </c>
      <c r="T35" s="3">
        <f t="shared" si="1"/>
        <v>5.333333333333333</v>
      </c>
      <c r="U35" s="2">
        <f>IFERROR(AVERAGE(F35:T35),"")</f>
        <v>6.6111111111111098</v>
      </c>
      <c r="V35" s="23"/>
      <c r="W35" s="22"/>
    </row>
    <row r="36" spans="1:23" ht="15" customHeight="1" x14ac:dyDescent="0.25">
      <c r="A36" s="20"/>
      <c r="B36" s="23"/>
      <c r="C36" s="11"/>
      <c r="D36" s="11"/>
      <c r="E36" s="9" t="s">
        <v>12</v>
      </c>
      <c r="F36" s="12">
        <f>IF(SUM(F11:F34)=0,"",IF(COUNTIF(F11:F34,"&gt;=4")=0,0,COUNTIF(F11:F34,"&gt;=4")/$D34*100))</f>
        <v>100</v>
      </c>
      <c r="G36" s="12">
        <f t="shared" ref="G36:T36" si="2">IF(SUM(G11:G34)=0,"",IF(COUNTIF(G11:G34,"&gt;=4")=0,0,COUNTIF(G11:G34,"&gt;=4")/$D34*100))</f>
        <v>100</v>
      </c>
      <c r="H36" s="12">
        <f t="shared" si="2"/>
        <v>100</v>
      </c>
      <c r="I36" s="12">
        <f t="shared" si="2"/>
        <v>100</v>
      </c>
      <c r="J36" s="12">
        <f t="shared" si="2"/>
        <v>100</v>
      </c>
      <c r="K36" s="12">
        <f t="shared" si="2"/>
        <v>62.5</v>
      </c>
      <c r="L36" s="12">
        <f t="shared" si="2"/>
        <v>100</v>
      </c>
      <c r="M36" s="12">
        <f t="shared" si="2"/>
        <v>83.333333333333343</v>
      </c>
      <c r="N36" s="12">
        <f t="shared" si="2"/>
        <v>87.5</v>
      </c>
      <c r="O36" s="12">
        <f t="shared" si="2"/>
        <v>100</v>
      </c>
      <c r="P36" s="12">
        <f t="shared" si="2"/>
        <v>100</v>
      </c>
      <c r="Q36" s="12">
        <f t="shared" si="2"/>
        <v>100</v>
      </c>
      <c r="R36" s="12">
        <f t="shared" si="2"/>
        <v>75</v>
      </c>
      <c r="S36" s="12">
        <f t="shared" si="2"/>
        <v>100</v>
      </c>
      <c r="T36" s="12">
        <f t="shared" si="2"/>
        <v>83.333333333333343</v>
      </c>
      <c r="U36" s="13"/>
      <c r="V36" s="23"/>
      <c r="W36" s="22"/>
    </row>
    <row r="37" spans="1:23" ht="15" customHeight="1" x14ac:dyDescent="0.25">
      <c r="A37" s="20"/>
      <c r="B37" s="23"/>
      <c r="C37" s="11"/>
      <c r="D37" s="11"/>
      <c r="E37" s="9" t="s">
        <v>13</v>
      </c>
      <c r="F37" s="12">
        <f>IF(SUM(F11:F34)=0,"",IF(COUNTIF(F11:F34,"&gt;=7")=0,0,COUNTIF(F11:F34,"&gt;=7")/$D34*100))</f>
        <v>79.166666666666657</v>
      </c>
      <c r="G37" s="12">
        <f t="shared" ref="G37:T37" si="3">IF(SUM(G11:G34)=0,"",IF(COUNTIF(G11:G34,"&gt;=7")=0,0,COUNTIF(G11:G34,"&gt;=7")/$D34*100))</f>
        <v>83.333333333333343</v>
      </c>
      <c r="H37" s="12">
        <f t="shared" si="3"/>
        <v>83.333333333333343</v>
      </c>
      <c r="I37" s="12">
        <f t="shared" si="3"/>
        <v>79.166666666666657</v>
      </c>
      <c r="J37" s="12">
        <f t="shared" si="3"/>
        <v>75</v>
      </c>
      <c r="K37" s="12">
        <f t="shared" si="3"/>
        <v>29.166666666666668</v>
      </c>
      <c r="L37" s="12">
        <f t="shared" si="3"/>
        <v>45.833333333333329</v>
      </c>
      <c r="M37" s="12">
        <f t="shared" si="3"/>
        <v>62.5</v>
      </c>
      <c r="N37" s="12">
        <f t="shared" si="3"/>
        <v>58.333333333333336</v>
      </c>
      <c r="O37" s="12">
        <f t="shared" si="3"/>
        <v>45.833333333333329</v>
      </c>
      <c r="P37" s="12">
        <f t="shared" si="3"/>
        <v>37.5</v>
      </c>
      <c r="Q37" s="12">
        <f t="shared" si="3"/>
        <v>37.5</v>
      </c>
      <c r="R37" s="12">
        <f t="shared" si="3"/>
        <v>41.666666666666671</v>
      </c>
      <c r="S37" s="12">
        <f t="shared" si="3"/>
        <v>66.666666666666657</v>
      </c>
      <c r="T37" s="12">
        <f t="shared" si="3"/>
        <v>41.666666666666671</v>
      </c>
      <c r="U37" s="11"/>
      <c r="V37" s="23"/>
      <c r="W37" s="22"/>
    </row>
    <row r="38" spans="1:23" ht="15" customHeight="1" x14ac:dyDescent="0.25">
      <c r="A38" s="20"/>
      <c r="B38" s="23"/>
      <c r="C38" s="11"/>
      <c r="D38" s="11"/>
      <c r="E38" s="9" t="s">
        <v>14</v>
      </c>
      <c r="F38" s="3">
        <f>IFERROR(AVERAGE(F36:T36),"")</f>
        <v>92.777777777777786</v>
      </c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23"/>
      <c r="W38" s="22"/>
    </row>
    <row r="39" spans="1:23" ht="15" customHeight="1" x14ac:dyDescent="0.25">
      <c r="A39" s="20"/>
      <c r="B39" s="23"/>
      <c r="C39" s="11"/>
      <c r="D39" s="11"/>
      <c r="E39" s="9" t="s">
        <v>15</v>
      </c>
      <c r="F39" s="3">
        <f>IFERROR(AVERAGE(F37:T37),"")</f>
        <v>57.777777777777779</v>
      </c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23"/>
      <c r="W39" s="22"/>
    </row>
    <row r="40" spans="1:23" ht="15" customHeight="1" x14ac:dyDescent="0.25">
      <c r="A40" s="20"/>
      <c r="B40" s="23"/>
      <c r="C40" s="11"/>
      <c r="D40" s="11"/>
      <c r="E40" s="9" t="s">
        <v>16</v>
      </c>
      <c r="F40" s="14">
        <f>IF(COUNTIF(C11:C34,"=Б")=0,IF(COUNTIF(C11:C34,"=К")=0,"",0),COUNTIF(C11:C34,"=Б"))</f>
        <v>0</v>
      </c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23"/>
      <c r="W40" s="22"/>
    </row>
    <row r="41" spans="1:23" ht="15" customHeight="1" x14ac:dyDescent="0.25">
      <c r="A41" s="20"/>
      <c r="B41" s="23"/>
      <c r="C41" s="11"/>
      <c r="D41" s="11"/>
      <c r="E41" s="9" t="s">
        <v>17</v>
      </c>
      <c r="F41" s="14">
        <f>IF(COUNTIF(C11:C34,"=К")=0,IF(COUNTIF(C11:C34,"=Б")=0,"",0),COUNTIF(C11:C34,"=К"))</f>
        <v>24</v>
      </c>
      <c r="G41" s="11"/>
      <c r="H41" s="15" t="s">
        <v>18</v>
      </c>
      <c r="I41" s="11"/>
      <c r="J41" s="11"/>
      <c r="K41" s="11"/>
      <c r="L41" s="11"/>
      <c r="M41" s="11"/>
      <c r="N41" s="11"/>
      <c r="O41" s="17" t="s">
        <v>34</v>
      </c>
      <c r="P41" s="1"/>
      <c r="Q41" s="11"/>
      <c r="R41" s="11"/>
      <c r="S41" s="11"/>
      <c r="T41" s="11"/>
      <c r="U41" s="11"/>
      <c r="V41" s="23"/>
      <c r="W41" s="22"/>
    </row>
    <row r="42" spans="1:23" ht="15" customHeight="1" x14ac:dyDescent="0.25">
      <c r="A42" s="20"/>
      <c r="B42" s="23"/>
      <c r="C42" s="11"/>
      <c r="D42" s="11"/>
      <c r="E42" s="9" t="s">
        <v>19</v>
      </c>
      <c r="F42" s="14">
        <v>0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23"/>
      <c r="W42" s="22"/>
    </row>
    <row r="43" spans="1:23" ht="15" customHeight="1" x14ac:dyDescent="0.25">
      <c r="A43" s="20"/>
      <c r="B43" s="23"/>
      <c r="C43" s="11"/>
      <c r="D43" s="11"/>
      <c r="E43" s="9" t="s">
        <v>20</v>
      </c>
      <c r="F43" s="14"/>
      <c r="G43" s="11"/>
      <c r="H43" s="15" t="s">
        <v>21</v>
      </c>
      <c r="I43" s="11"/>
      <c r="J43" s="11"/>
      <c r="K43" s="11"/>
      <c r="L43" s="11"/>
      <c r="M43" s="11"/>
      <c r="N43" s="11"/>
      <c r="O43" s="15" t="s">
        <v>22</v>
      </c>
      <c r="P43" s="15"/>
      <c r="Q43" s="11"/>
      <c r="R43" s="11"/>
      <c r="S43" s="11"/>
      <c r="T43" s="11"/>
      <c r="U43" s="11"/>
      <c r="V43" s="23"/>
      <c r="W43" s="22"/>
    </row>
    <row r="44" spans="1:23" ht="12" customHeight="1" thickBot="1" x14ac:dyDescent="0.3">
      <c r="A44" s="20"/>
      <c r="B44" s="21"/>
      <c r="C44" s="21"/>
      <c r="D44" s="21"/>
      <c r="E44" s="21"/>
      <c r="F44" s="21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2"/>
    </row>
    <row r="45" spans="1:23" ht="12" customHeight="1" x14ac:dyDescent="0.25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</row>
  </sheetData>
  <sheetProtection selectLockedCells="1"/>
  <mergeCells count="18">
    <mergeCell ref="B1:V1"/>
    <mergeCell ref="A2:A44"/>
    <mergeCell ref="B2:V2"/>
    <mergeCell ref="W2:W44"/>
    <mergeCell ref="B3:B43"/>
    <mergeCell ref="C3:U3"/>
    <mergeCell ref="V3:V43"/>
    <mergeCell ref="C4:U4"/>
    <mergeCell ref="C5:U5"/>
    <mergeCell ref="C6:U6"/>
    <mergeCell ref="B44:V44"/>
    <mergeCell ref="B45:V45"/>
    <mergeCell ref="C7:U7"/>
    <mergeCell ref="C8:U8"/>
    <mergeCell ref="C9:C10"/>
    <mergeCell ref="D9:D10"/>
    <mergeCell ref="E9:E10"/>
    <mergeCell ref="G9:U9"/>
  </mergeCells>
  <conditionalFormatting sqref="C12 E12">
    <cfRule type="expression" dxfId="23" priority="13">
      <formula>$V$12&lt;&gt;""</formula>
    </cfRule>
  </conditionalFormatting>
  <conditionalFormatting sqref="C13 E13">
    <cfRule type="expression" dxfId="22" priority="14">
      <formula>$V$13&lt;&gt;""</formula>
    </cfRule>
  </conditionalFormatting>
  <conditionalFormatting sqref="C14 E14">
    <cfRule type="expression" dxfId="21" priority="15">
      <formula>$V$14&lt;&gt;""</formula>
    </cfRule>
  </conditionalFormatting>
  <conditionalFormatting sqref="C15 E15">
    <cfRule type="expression" dxfId="20" priority="16">
      <formula>$V$15&lt;&gt;""</formula>
    </cfRule>
  </conditionalFormatting>
  <conditionalFormatting sqref="C16 E16">
    <cfRule type="expression" dxfId="19" priority="17">
      <formula>$V$16&lt;&gt;""</formula>
    </cfRule>
  </conditionalFormatting>
  <conditionalFormatting sqref="C17 E17">
    <cfRule type="expression" dxfId="18" priority="18">
      <formula>$V$17&lt;&gt;""</formula>
    </cfRule>
  </conditionalFormatting>
  <conditionalFormatting sqref="C18 E18">
    <cfRule type="expression" dxfId="17" priority="19">
      <formula>$V$18&lt;&gt;""</formula>
    </cfRule>
  </conditionalFormatting>
  <conditionalFormatting sqref="C19 E19">
    <cfRule type="expression" dxfId="16" priority="20">
      <formula>$V$19&lt;&gt;""</formula>
    </cfRule>
  </conditionalFormatting>
  <conditionalFormatting sqref="C20 E20">
    <cfRule type="expression" dxfId="15" priority="21">
      <formula>$V$20&lt;&gt;""</formula>
    </cfRule>
  </conditionalFormatting>
  <conditionalFormatting sqref="C21 E21">
    <cfRule type="expression" dxfId="14" priority="22">
      <formula>$V$21&lt;&gt;""</formula>
    </cfRule>
  </conditionalFormatting>
  <conditionalFormatting sqref="C22 E22">
    <cfRule type="expression" dxfId="13" priority="23">
      <formula>$V$22&lt;&gt;""</formula>
    </cfRule>
  </conditionalFormatting>
  <conditionalFormatting sqref="C23 E23">
    <cfRule type="expression" dxfId="12" priority="24">
      <formula>$V$23&lt;&gt;""</formula>
    </cfRule>
  </conditionalFormatting>
  <conditionalFormatting sqref="C24 E24">
    <cfRule type="expression" dxfId="11" priority="25">
      <formula>$V$24&lt;&gt;""</formula>
    </cfRule>
  </conditionalFormatting>
  <conditionalFormatting sqref="C25 E25">
    <cfRule type="expression" dxfId="10" priority="26">
      <formula>$V$25&lt;&gt;""</formula>
    </cfRule>
  </conditionalFormatting>
  <conditionalFormatting sqref="C26 E26">
    <cfRule type="expression" dxfId="9" priority="27">
      <formula>$V$26&lt;&gt;""</formula>
    </cfRule>
  </conditionalFormatting>
  <conditionalFormatting sqref="C27 E27">
    <cfRule type="expression" dxfId="8" priority="28">
      <formula>$V$27&lt;&gt;""</formula>
    </cfRule>
  </conditionalFormatting>
  <conditionalFormatting sqref="C28 E28">
    <cfRule type="expression" dxfId="7" priority="29">
      <formula>$V$28&lt;&gt;""</formula>
    </cfRule>
  </conditionalFormatting>
  <conditionalFormatting sqref="C29 E29">
    <cfRule type="expression" dxfId="6" priority="30">
      <formula>$V$29&lt;&gt;""</formula>
    </cfRule>
  </conditionalFormatting>
  <conditionalFormatting sqref="C30 E30">
    <cfRule type="expression" dxfId="5" priority="31">
      <formula>$V$30&lt;&gt;""</formula>
    </cfRule>
  </conditionalFormatting>
  <conditionalFormatting sqref="C31 E31">
    <cfRule type="expression" dxfId="4" priority="32">
      <formula>$V$31&lt;&gt;""</formula>
    </cfRule>
  </conditionalFormatting>
  <conditionalFormatting sqref="C32 E32">
    <cfRule type="expression" dxfId="3" priority="33">
      <formula>$V$32&lt;&gt;""</formula>
    </cfRule>
  </conditionalFormatting>
  <conditionalFormatting sqref="C11:T11 F12:T34 D12:D34">
    <cfRule type="expression" dxfId="2" priority="11">
      <formula>$V$11&lt;&gt;""</formula>
    </cfRule>
  </conditionalFormatting>
  <conditionalFormatting sqref="C33:C34 E33:E34">
    <cfRule type="expression" dxfId="1" priority="34">
      <formula>$V$33&lt;&gt;""</formula>
    </cfRule>
  </conditionalFormatting>
  <conditionalFormatting sqref="U11:U34">
    <cfRule type="expression" dxfId="0" priority="71">
      <formula>$V$34&lt;&gt;""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181</vt:lpstr>
      <vt:lpstr>Зведена 241</vt:lpstr>
      <vt:lpstr>'Зведена 181'!Область_печати</vt:lpstr>
      <vt:lpstr>'Зведена 241'!Область_печати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2025-06-25T11:05:48Z</dcterms:modified>
  <cp:category/>
  <cp:contentStatus/>
</cp:coreProperties>
</file>