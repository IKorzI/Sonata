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760"/>
  </bookViews>
  <sheets>
    <sheet name="24-1" sheetId="1" r:id="rId1"/>
    <sheet name="24-2" sheetId="2" r:id="rId2"/>
    <sheet name="24-3" sheetId="3" r:id="rId3"/>
    <sheet name="24-4" sheetId="4" r:id="rId4"/>
    <sheet name="24-5" sheetId="5" r:id="rId5"/>
    <sheet name="24-6" sheetId="6" r:id="rId6"/>
    <sheet name="Лист8" sheetId="7" r:id="rId7"/>
    <sheet name="Лист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8" l="1"/>
  <c r="W5" i="8"/>
  <c r="W4" i="8"/>
  <c r="W3" i="8"/>
  <c r="W2" i="8"/>
  <c r="C10" i="7" l="1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</calcChain>
</file>

<file path=xl/sharedStrings.xml><?xml version="1.0" encoding="utf-8"?>
<sst xmlns="http://schemas.openxmlformats.org/spreadsheetml/2006/main" count="569" uniqueCount="125">
  <si>
    <t>№</t>
  </si>
  <si>
    <t>Б/К</t>
  </si>
  <si>
    <t>ПІБ студента</t>
  </si>
  <si>
    <t>Навчальна дисципліна</t>
  </si>
  <si>
    <t>ПІБ викладача</t>
  </si>
  <si>
    <t>К</t>
  </si>
  <si>
    <t>Математика</t>
  </si>
  <si>
    <t>Фізика</t>
  </si>
  <si>
    <t>Калюта Н.М.</t>
  </si>
  <si>
    <t>Б</t>
  </si>
  <si>
    <t>Історія України</t>
  </si>
  <si>
    <t>Левчук Т.Г.</t>
  </si>
  <si>
    <t>Захист України</t>
  </si>
  <si>
    <t>Земляна Т.М.</t>
  </si>
  <si>
    <t>Лазар В.І.</t>
  </si>
  <si>
    <t>Хімія</t>
  </si>
  <si>
    <t>Сахно Н.О.</t>
  </si>
  <si>
    <t>24-1</t>
  </si>
  <si>
    <t>24-2</t>
  </si>
  <si>
    <t>24-3</t>
  </si>
  <si>
    <t>24-4</t>
  </si>
  <si>
    <t>24-5</t>
  </si>
  <si>
    <t>24-6</t>
  </si>
  <si>
    <t>Захист України
Лазар В.І.</t>
  </si>
  <si>
    <t>Фізика
Калюта Н.М.</t>
  </si>
  <si>
    <t>Інформатика</t>
  </si>
  <si>
    <t>Бєльдюгіна С.С.</t>
  </si>
  <si>
    <t>Інформатика
Бєльдюгіна С.С.</t>
  </si>
  <si>
    <t>Фізична культура</t>
  </si>
  <si>
    <t>Возіян О.Г.</t>
  </si>
  <si>
    <t>Ромчук В.В.</t>
  </si>
  <si>
    <t>Ковалюк Л.В.</t>
  </si>
  <si>
    <t>Стефанюк В.В.</t>
  </si>
  <si>
    <t>Циганкова Є.В.</t>
  </si>
  <si>
    <t>Карєва А.С.</t>
  </si>
  <si>
    <t>Лєрманова О.Є.</t>
  </si>
  <si>
    <t>Мельниченко С.І.</t>
  </si>
  <si>
    <t>Присяжнюк А.М.</t>
  </si>
  <si>
    <t>Самойлова Я.В.</t>
  </si>
  <si>
    <t>Стегарь Е.С.</t>
  </si>
  <si>
    <t>Давиденко А.І.</t>
  </si>
  <si>
    <t>Кіцул Г.О.</t>
  </si>
  <si>
    <t>Крепких О.В.</t>
  </si>
  <si>
    <t>Кульчицька М.С.</t>
  </si>
  <si>
    <t>Савченко С.А.</t>
  </si>
  <si>
    <t>Чувпило В.О.</t>
  </si>
  <si>
    <t>Кольчак А.А.</t>
  </si>
  <si>
    <t>Шаргородська А.С.</t>
  </si>
  <si>
    <t>Штєфан Д.І.</t>
  </si>
  <si>
    <t>Пономаренко А.Д.</t>
  </si>
  <si>
    <t>Щур І.А.</t>
  </si>
  <si>
    <t>Макаліш І.О.</t>
  </si>
  <si>
    <t>Аман С.В.</t>
  </si>
  <si>
    <t>Іхтіар І.П.</t>
  </si>
  <si>
    <t>Матура К.С.</t>
  </si>
  <si>
    <t>Нагорняк Р.В.</t>
  </si>
  <si>
    <t>Янчук М.Д.</t>
  </si>
  <si>
    <t>Білецький А.О.</t>
  </si>
  <si>
    <t>Дурбайлов О.Д.</t>
  </si>
  <si>
    <t>Городниченко С.О.</t>
  </si>
  <si>
    <t>Сорохан П.А.</t>
  </si>
  <si>
    <t>Карабут А.Г.</t>
  </si>
  <si>
    <t>Богусевич Д.О.</t>
  </si>
  <si>
    <t>Зорєнко М.В.</t>
  </si>
  <si>
    <t>Подугольников Я.Д.</t>
  </si>
  <si>
    <t>Савченко А.В.</t>
  </si>
  <si>
    <t>Топал М.Б.</t>
  </si>
  <si>
    <t>Бал</t>
  </si>
  <si>
    <t>н/а</t>
  </si>
  <si>
    <t>Бессалов А.Ю.</t>
  </si>
  <si>
    <t>Подаревський А.В.</t>
  </si>
  <si>
    <t>Заболотний В.О.</t>
  </si>
  <si>
    <t>Прокопенко М.Д.</t>
  </si>
  <si>
    <t>Стафідов Р.В.</t>
  </si>
  <si>
    <t>Погосян М.М.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</si>
  <si>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</si>
  <si>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</si>
  <si>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</si>
  <si>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</si>
  <si>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</si>
  <si>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</si>
  <si>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</si>
  <si>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</si>
  <si>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</si>
  <si>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</si>
  <si>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</si>
  <si>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</si>
  <si>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</si>
  <si>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</si>
  <si>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</si>
  <si>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</si>
  <si>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</si>
  <si>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</si>
  <si>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</si>
  <si>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</si>
  <si>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</si>
  <si>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</si>
  <si>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</si>
  <si>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</si>
  <si>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</si>
  <si>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</si>
  <si>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</si>
  <si>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</si>
  <si>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</si>
  <si>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</si>
  <si>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</si>
  <si>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</si>
  <si>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</si>
  <si>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</si>
  <si>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</si>
  <si>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</si>
  <si>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</si>
  <si>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</si>
  <si>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</si>
  <si>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Богуш Н.О.</t>
  </si>
  <si>
    <t>Бойченко Б.М.</t>
  </si>
  <si>
    <t>Галицька О.Р.</t>
  </si>
  <si>
    <t>Дончило Д.В.</t>
  </si>
  <si>
    <t>Дуняк В.М.</t>
  </si>
  <si>
    <t>Кузнєцова К.С.</t>
  </si>
  <si>
    <t>Левенко Є.О.</t>
  </si>
  <si>
    <t>Михайлова В.О.</t>
  </si>
  <si>
    <t>Паламарчук Д.І.</t>
  </si>
  <si>
    <t>Федорович В.А.</t>
  </si>
  <si>
    <t>Якименко В.С.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</si>
</sst>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EFEFE"/>
      </a:lt1>
      <a:dk2>
        <a:srgbClr val="000000"/>
      </a:dk2>
      <a:lt2>
        <a:srgbClr val="FEFEF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7"/>
  <sheetViews>
    <sheetView tabSelected="1" zoomScale="85" zoomScaleNormal="85" workbookViewId="0"/>
  </sheetViews>
  <sheetFormatPr defaultColWidth="14.42578125" defaultRowHeight="25.15" customHeight="1" x14ac:dyDescent="0.25"/>
  <cols>
    <col min="1" max="2" width="5.7109375" style="4" customWidth="1"/>
    <col min="3" max="3" width="30.7109375" style="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3" t="s">
        <v>0</v>
      </c>
      <c r="B1" s="5" t="s">
        <v>1</v>
      </c>
      <c r="C1" s="5" t="s">
        <v>2</v>
      </c>
      <c r="D1" s="3" t="s">
        <v>67</v>
      </c>
      <c r="E1" s="5" t="s">
        <v>3</v>
      </c>
      <c r="F1" s="5" t="s">
        <v>4</v>
      </c>
    </row>
    <row r="2" spans="1:6" ht="25.15" customHeight="1" x14ac:dyDescent="0.25">
      <c r="A2" s="22" t="s">
        <v>17</v>
      </c>
      <c r="B2" s="23"/>
      <c r="C2" s="23"/>
      <c r="D2" s="23"/>
      <c r="E2" s="23"/>
      <c r="F2" s="23"/>
    </row>
    <row r="3" spans="1:6" ht="25.15" customHeight="1" x14ac:dyDescent="0.25">
      <c r="A3" s="10">
        <v>1</v>
      </c>
      <c r="B3" s="10" t="s">
        <v>5</v>
      </c>
      <c r="C3" s="9" t="s">
        <v>34</v>
      </c>
      <c r="D3" s="10" t="s">
        <v>68</v>
      </c>
      <c r="E3" s="9" t="s">
        <v>12</v>
      </c>
      <c r="F3" s="9" t="s">
        <v>14</v>
      </c>
    </row>
    <row r="4" spans="1:6" ht="25.15" customHeight="1" x14ac:dyDescent="0.25">
      <c r="A4" s="19">
        <v>2</v>
      </c>
      <c r="B4" s="19" t="s">
        <v>5</v>
      </c>
      <c r="C4" s="18" t="s">
        <v>31</v>
      </c>
      <c r="D4" s="10" t="s">
        <v>68</v>
      </c>
      <c r="E4" s="9" t="s">
        <v>7</v>
      </c>
      <c r="F4" s="9" t="s">
        <v>8</v>
      </c>
    </row>
    <row r="5" spans="1:6" ht="25.15" customHeight="1" x14ac:dyDescent="0.25">
      <c r="A5" s="19"/>
      <c r="B5" s="19"/>
      <c r="C5" s="18"/>
      <c r="D5" s="10" t="s">
        <v>68</v>
      </c>
      <c r="E5" s="9" t="s">
        <v>15</v>
      </c>
      <c r="F5" s="9" t="s">
        <v>16</v>
      </c>
    </row>
    <row r="6" spans="1:6" ht="25.15" customHeight="1" x14ac:dyDescent="0.25">
      <c r="A6" s="10">
        <v>3</v>
      </c>
      <c r="B6" s="10" t="s">
        <v>5</v>
      </c>
      <c r="C6" s="9" t="s">
        <v>35</v>
      </c>
      <c r="D6" s="10" t="s">
        <v>68</v>
      </c>
      <c r="E6" s="9" t="s">
        <v>12</v>
      </c>
      <c r="F6" s="9" t="s">
        <v>14</v>
      </c>
    </row>
    <row r="7" spans="1:6" ht="25.15" customHeight="1" x14ac:dyDescent="0.25">
      <c r="A7" s="10">
        <v>4</v>
      </c>
      <c r="B7" s="10" t="s">
        <v>5</v>
      </c>
      <c r="C7" s="9" t="s">
        <v>36</v>
      </c>
      <c r="D7" s="10" t="s">
        <v>68</v>
      </c>
      <c r="E7" s="9" t="s">
        <v>12</v>
      </c>
      <c r="F7" s="9" t="s">
        <v>14</v>
      </c>
    </row>
    <row r="8" spans="1:6" ht="25.15" customHeight="1" x14ac:dyDescent="0.25">
      <c r="A8" s="19">
        <v>5</v>
      </c>
      <c r="B8" s="19" t="s">
        <v>5</v>
      </c>
      <c r="C8" s="18" t="s">
        <v>37</v>
      </c>
      <c r="D8" s="10" t="s">
        <v>68</v>
      </c>
      <c r="E8" s="9" t="s">
        <v>12</v>
      </c>
      <c r="F8" s="9" t="s">
        <v>14</v>
      </c>
    </row>
    <row r="9" spans="1:6" ht="25.15" customHeight="1" x14ac:dyDescent="0.25">
      <c r="A9" s="19"/>
      <c r="B9" s="19"/>
      <c r="C9" s="18"/>
      <c r="D9" s="10" t="s">
        <v>68</v>
      </c>
      <c r="E9" s="9" t="s">
        <v>25</v>
      </c>
      <c r="F9" s="9" t="s">
        <v>26</v>
      </c>
    </row>
    <row r="10" spans="1:6" ht="25.15" customHeight="1" x14ac:dyDescent="0.25">
      <c r="A10" s="19"/>
      <c r="B10" s="19"/>
      <c r="C10" s="18"/>
      <c r="D10" s="10" t="s">
        <v>68</v>
      </c>
      <c r="E10" s="9" t="s">
        <v>15</v>
      </c>
      <c r="F10" s="9" t="s">
        <v>16</v>
      </c>
    </row>
    <row r="11" spans="1:6" ht="25.15" customHeight="1" x14ac:dyDescent="0.25">
      <c r="A11" s="10">
        <v>6</v>
      </c>
      <c r="B11" s="10" t="s">
        <v>5</v>
      </c>
      <c r="C11" s="9" t="s">
        <v>38</v>
      </c>
      <c r="D11" s="10" t="s">
        <v>68</v>
      </c>
      <c r="E11" s="9" t="s">
        <v>12</v>
      </c>
      <c r="F11" s="9" t="s">
        <v>14</v>
      </c>
    </row>
    <row r="12" spans="1:6" ht="25.15" customHeight="1" x14ac:dyDescent="0.25">
      <c r="A12" s="16">
        <v>7</v>
      </c>
      <c r="B12" s="16" t="s">
        <v>5</v>
      </c>
      <c r="C12" s="15" t="s">
        <v>39</v>
      </c>
      <c r="D12" s="16" t="s">
        <v>68</v>
      </c>
      <c r="E12" s="15" t="s">
        <v>12</v>
      </c>
      <c r="F12" s="15" t="s">
        <v>14</v>
      </c>
    </row>
    <row r="13" spans="1:6" ht="25.15" customHeight="1" x14ac:dyDescent="0.25">
      <c r="A13" s="19">
        <v>8</v>
      </c>
      <c r="B13" s="19" t="s">
        <v>5</v>
      </c>
      <c r="C13" s="18" t="s">
        <v>32</v>
      </c>
      <c r="D13" s="10" t="s">
        <v>68</v>
      </c>
      <c r="E13" s="9" t="s">
        <v>12</v>
      </c>
      <c r="F13" s="9" t="s">
        <v>14</v>
      </c>
    </row>
    <row r="14" spans="1:6" ht="25.15" customHeight="1" x14ac:dyDescent="0.25">
      <c r="A14" s="19"/>
      <c r="B14" s="19"/>
      <c r="C14" s="18"/>
      <c r="D14" s="10" t="s">
        <v>68</v>
      </c>
      <c r="E14" s="9" t="s">
        <v>7</v>
      </c>
      <c r="F14" s="9" t="s">
        <v>8</v>
      </c>
    </row>
    <row r="15" spans="1:6" ht="25.15" customHeight="1" x14ac:dyDescent="0.25">
      <c r="A15" s="19"/>
      <c r="B15" s="19"/>
      <c r="C15" s="18"/>
      <c r="D15" s="13">
        <v>2</v>
      </c>
      <c r="E15" s="9" t="s">
        <v>15</v>
      </c>
      <c r="F15" s="9" t="s">
        <v>16</v>
      </c>
    </row>
    <row r="16" spans="1:6" ht="25.15" customHeight="1" x14ac:dyDescent="0.25">
      <c r="A16" s="19">
        <v>9</v>
      </c>
      <c r="B16" s="19" t="s">
        <v>5</v>
      </c>
      <c r="C16" s="20" t="s">
        <v>33</v>
      </c>
      <c r="D16" s="10" t="s">
        <v>68</v>
      </c>
      <c r="E16" s="9" t="s">
        <v>12</v>
      </c>
      <c r="F16" s="9" t="s">
        <v>14</v>
      </c>
    </row>
    <row r="17" spans="1:6" ht="25.15" customHeight="1" x14ac:dyDescent="0.25">
      <c r="A17" s="19"/>
      <c r="B17" s="19"/>
      <c r="C17" s="21"/>
      <c r="D17" s="13">
        <v>2</v>
      </c>
      <c r="E17" s="9" t="s">
        <v>15</v>
      </c>
      <c r="F17" s="9" t="s">
        <v>16</v>
      </c>
    </row>
  </sheetData>
  <sortState ref="H3:H17">
    <sortCondition ref="H3"/>
  </sortState>
  <mergeCells count="13">
    <mergeCell ref="C8:C10"/>
    <mergeCell ref="B8:B10"/>
    <mergeCell ref="A8:A10"/>
    <mergeCell ref="A2:F2"/>
    <mergeCell ref="C4:C5"/>
    <mergeCell ref="B4:B5"/>
    <mergeCell ref="A4:A5"/>
    <mergeCell ref="C13:C15"/>
    <mergeCell ref="B13:B15"/>
    <mergeCell ref="A13:A15"/>
    <mergeCell ref="C16:C17"/>
    <mergeCell ref="B16:B17"/>
    <mergeCell ref="A16:A17"/>
  </mergeCells>
  <printOptions horizontalCentered="1"/>
  <pageMargins left="0.39370078740157483" right="0.39370078740157483" top="0.39370078740157483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24"/>
  <sheetViews>
    <sheetView zoomScale="85" zoomScaleNormal="85" workbookViewId="0">
      <selection activeCell="D23" activeCellId="1" sqref="D10 D23"/>
    </sheetView>
  </sheetViews>
  <sheetFormatPr defaultColWidth="14.42578125" defaultRowHeight="25.15" customHeight="1" x14ac:dyDescent="0.25"/>
  <cols>
    <col min="1" max="2" width="5.7109375" style="4" customWidth="1"/>
    <col min="3" max="3" width="30.7109375" style="1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3" t="s">
        <v>0</v>
      </c>
      <c r="B1" s="3" t="s">
        <v>1</v>
      </c>
      <c r="C1" s="3" t="s">
        <v>2</v>
      </c>
      <c r="D1" s="3" t="s">
        <v>67</v>
      </c>
      <c r="E1" s="3" t="s">
        <v>3</v>
      </c>
      <c r="F1" s="3" t="s">
        <v>4</v>
      </c>
    </row>
    <row r="2" spans="1:6" ht="25.15" customHeight="1" x14ac:dyDescent="0.25">
      <c r="A2" s="22" t="s">
        <v>18</v>
      </c>
      <c r="B2" s="23"/>
      <c r="C2" s="23"/>
      <c r="D2" s="23"/>
      <c r="E2" s="23"/>
      <c r="F2" s="23"/>
    </row>
    <row r="3" spans="1:6" ht="25.15" customHeight="1" x14ac:dyDescent="0.25">
      <c r="A3" s="25">
        <v>1</v>
      </c>
      <c r="B3" s="25" t="s">
        <v>9</v>
      </c>
      <c r="C3" s="24" t="s">
        <v>40</v>
      </c>
      <c r="D3" s="7" t="s">
        <v>68</v>
      </c>
      <c r="E3" s="8" t="s">
        <v>12</v>
      </c>
      <c r="F3" s="8" t="s">
        <v>14</v>
      </c>
    </row>
    <row r="4" spans="1:6" ht="25.15" customHeight="1" x14ac:dyDescent="0.25">
      <c r="A4" s="25"/>
      <c r="B4" s="25"/>
      <c r="C4" s="24"/>
      <c r="D4" s="7" t="s">
        <v>68</v>
      </c>
      <c r="E4" s="8" t="s">
        <v>10</v>
      </c>
      <c r="F4" s="8" t="s">
        <v>11</v>
      </c>
    </row>
    <row r="5" spans="1:6" ht="25.15" customHeight="1" x14ac:dyDescent="0.25">
      <c r="A5" s="25"/>
      <c r="B5" s="25"/>
      <c r="C5" s="24"/>
      <c r="D5" s="7" t="s">
        <v>68</v>
      </c>
      <c r="E5" s="8" t="s">
        <v>6</v>
      </c>
      <c r="F5" s="8" t="s">
        <v>13</v>
      </c>
    </row>
    <row r="6" spans="1:6" ht="25.15" customHeight="1" x14ac:dyDescent="0.25">
      <c r="A6" s="25"/>
      <c r="B6" s="25"/>
      <c r="C6" s="24"/>
      <c r="D6" s="7" t="s">
        <v>68</v>
      </c>
      <c r="E6" s="8" t="s">
        <v>7</v>
      </c>
      <c r="F6" s="8" t="s">
        <v>8</v>
      </c>
    </row>
    <row r="7" spans="1:6" ht="25.15" customHeight="1" x14ac:dyDescent="0.25">
      <c r="A7" s="25"/>
      <c r="B7" s="25"/>
      <c r="C7" s="24"/>
      <c r="D7" s="7" t="s">
        <v>68</v>
      </c>
      <c r="E7" s="8" t="s">
        <v>28</v>
      </c>
      <c r="F7" s="8" t="s">
        <v>29</v>
      </c>
    </row>
    <row r="8" spans="1:6" ht="25.15" customHeight="1" x14ac:dyDescent="0.25">
      <c r="A8" s="19">
        <v>2</v>
      </c>
      <c r="B8" s="19" t="s">
        <v>9</v>
      </c>
      <c r="C8" s="18" t="s">
        <v>41</v>
      </c>
      <c r="D8" s="10" t="s">
        <v>68</v>
      </c>
      <c r="E8" s="9" t="s">
        <v>12</v>
      </c>
      <c r="F8" s="9" t="s">
        <v>14</v>
      </c>
    </row>
    <row r="9" spans="1:6" ht="25.15" customHeight="1" x14ac:dyDescent="0.25">
      <c r="A9" s="19"/>
      <c r="B9" s="19"/>
      <c r="C9" s="18"/>
      <c r="D9" s="10" t="s">
        <v>68</v>
      </c>
      <c r="E9" s="9" t="s">
        <v>25</v>
      </c>
      <c r="F9" s="9" t="s">
        <v>26</v>
      </c>
    </row>
    <row r="10" spans="1:6" ht="25.15" customHeight="1" x14ac:dyDescent="0.25">
      <c r="A10" s="19"/>
      <c r="B10" s="19"/>
      <c r="C10" s="18"/>
      <c r="D10" s="10">
        <v>2</v>
      </c>
      <c r="E10" s="9" t="s">
        <v>7</v>
      </c>
      <c r="F10" s="9" t="s">
        <v>8</v>
      </c>
    </row>
    <row r="11" spans="1:6" ht="25.15" customHeight="1" x14ac:dyDescent="0.25">
      <c r="A11" s="25">
        <v>3</v>
      </c>
      <c r="B11" s="25" t="s">
        <v>9</v>
      </c>
      <c r="C11" s="24" t="s">
        <v>46</v>
      </c>
      <c r="D11" s="7" t="s">
        <v>68</v>
      </c>
      <c r="E11" s="8" t="s">
        <v>12</v>
      </c>
      <c r="F11" s="8" t="s">
        <v>14</v>
      </c>
    </row>
    <row r="12" spans="1:6" ht="25.15" customHeight="1" x14ac:dyDescent="0.25">
      <c r="A12" s="25"/>
      <c r="B12" s="25"/>
      <c r="C12" s="24"/>
      <c r="D12" s="7" t="s">
        <v>68</v>
      </c>
      <c r="E12" s="8" t="s">
        <v>25</v>
      </c>
      <c r="F12" s="8" t="s">
        <v>26</v>
      </c>
    </row>
    <row r="13" spans="1:6" ht="25.15" customHeight="1" x14ac:dyDescent="0.25">
      <c r="A13" s="25"/>
      <c r="B13" s="25"/>
      <c r="C13" s="24"/>
      <c r="D13" s="7" t="s">
        <v>68</v>
      </c>
      <c r="E13" s="8" t="s">
        <v>10</v>
      </c>
      <c r="F13" s="8" t="s">
        <v>11</v>
      </c>
    </row>
    <row r="14" spans="1:6" ht="25.15" customHeight="1" x14ac:dyDescent="0.25">
      <c r="A14" s="25"/>
      <c r="B14" s="25"/>
      <c r="C14" s="24"/>
      <c r="D14" s="7" t="s">
        <v>68</v>
      </c>
      <c r="E14" s="8" t="s">
        <v>6</v>
      </c>
      <c r="F14" s="8" t="s">
        <v>13</v>
      </c>
    </row>
    <row r="15" spans="1:6" ht="25.15" customHeight="1" x14ac:dyDescent="0.25">
      <c r="A15" s="25"/>
      <c r="B15" s="25"/>
      <c r="C15" s="24"/>
      <c r="D15" s="7" t="s">
        <v>68</v>
      </c>
      <c r="E15" s="8" t="s">
        <v>7</v>
      </c>
      <c r="F15" s="8" t="s">
        <v>8</v>
      </c>
    </row>
    <row r="16" spans="1:6" ht="25.15" customHeight="1" x14ac:dyDescent="0.25">
      <c r="A16" s="25"/>
      <c r="B16" s="25"/>
      <c r="C16" s="24"/>
      <c r="D16" s="7" t="s">
        <v>68</v>
      </c>
      <c r="E16" s="8" t="s">
        <v>15</v>
      </c>
      <c r="F16" s="8" t="s">
        <v>16</v>
      </c>
    </row>
    <row r="17" spans="1:6" ht="25.15" customHeight="1" x14ac:dyDescent="0.25">
      <c r="A17" s="10">
        <v>4</v>
      </c>
      <c r="B17" s="10" t="s">
        <v>5</v>
      </c>
      <c r="C17" s="9" t="s">
        <v>42</v>
      </c>
      <c r="D17" s="10" t="s">
        <v>68</v>
      </c>
      <c r="E17" s="9" t="s">
        <v>12</v>
      </c>
      <c r="F17" s="9" t="s">
        <v>14</v>
      </c>
    </row>
    <row r="18" spans="1:6" ht="25.15" customHeight="1" x14ac:dyDescent="0.25">
      <c r="A18" s="10">
        <v>5</v>
      </c>
      <c r="B18" s="10" t="s">
        <v>9</v>
      </c>
      <c r="C18" s="9" t="s">
        <v>43</v>
      </c>
      <c r="D18" s="10" t="s">
        <v>68</v>
      </c>
      <c r="E18" s="9" t="s">
        <v>12</v>
      </c>
      <c r="F18" s="9" t="s">
        <v>14</v>
      </c>
    </row>
    <row r="19" spans="1:6" ht="25.15" customHeight="1" x14ac:dyDescent="0.25">
      <c r="A19" s="7">
        <v>6</v>
      </c>
      <c r="B19" s="7" t="s">
        <v>9</v>
      </c>
      <c r="C19" s="8" t="s">
        <v>44</v>
      </c>
      <c r="D19" s="7" t="s">
        <v>68</v>
      </c>
      <c r="E19" s="8" t="s">
        <v>12</v>
      </c>
      <c r="F19" s="8" t="s">
        <v>14</v>
      </c>
    </row>
    <row r="20" spans="1:6" ht="25.15" customHeight="1" x14ac:dyDescent="0.25">
      <c r="A20" s="10">
        <v>7</v>
      </c>
      <c r="B20" s="10" t="s">
        <v>9</v>
      </c>
      <c r="C20" s="9" t="s">
        <v>45</v>
      </c>
      <c r="D20" s="10" t="s">
        <v>68</v>
      </c>
      <c r="E20" s="9" t="s">
        <v>12</v>
      </c>
      <c r="F20" s="9" t="s">
        <v>14</v>
      </c>
    </row>
    <row r="21" spans="1:6" ht="25.15" customHeight="1" x14ac:dyDescent="0.25">
      <c r="A21" s="19">
        <v>8</v>
      </c>
      <c r="B21" s="19" t="s">
        <v>9</v>
      </c>
      <c r="C21" s="18" t="s">
        <v>47</v>
      </c>
      <c r="D21" s="10" t="s">
        <v>68</v>
      </c>
      <c r="E21" s="9" t="s">
        <v>12</v>
      </c>
      <c r="F21" s="9" t="s">
        <v>14</v>
      </c>
    </row>
    <row r="22" spans="1:6" ht="25.15" customHeight="1" x14ac:dyDescent="0.25">
      <c r="A22" s="19"/>
      <c r="B22" s="19"/>
      <c r="C22" s="18"/>
      <c r="D22" s="10" t="s">
        <v>68</v>
      </c>
      <c r="E22" s="9" t="s">
        <v>25</v>
      </c>
      <c r="F22" s="9" t="s">
        <v>26</v>
      </c>
    </row>
    <row r="23" spans="1:6" ht="25.15" customHeight="1" x14ac:dyDescent="0.25">
      <c r="A23" s="19"/>
      <c r="B23" s="19"/>
      <c r="C23" s="18"/>
      <c r="D23" s="10">
        <v>2</v>
      </c>
      <c r="E23" s="9" t="s">
        <v>15</v>
      </c>
      <c r="F23" s="9" t="s">
        <v>16</v>
      </c>
    </row>
    <row r="24" spans="1:6" ht="25.15" customHeight="1" x14ac:dyDescent="0.25">
      <c r="A24" s="10">
        <v>9</v>
      </c>
      <c r="B24" s="10" t="s">
        <v>9</v>
      </c>
      <c r="C24" s="9" t="s">
        <v>48</v>
      </c>
      <c r="D24" s="10" t="s">
        <v>68</v>
      </c>
      <c r="E24" s="9" t="s">
        <v>12</v>
      </c>
      <c r="F24" s="9" t="s">
        <v>14</v>
      </c>
    </row>
  </sheetData>
  <sortState ref="I25:I46">
    <sortCondition ref="I25"/>
  </sortState>
  <mergeCells count="13">
    <mergeCell ref="A2:F2"/>
    <mergeCell ref="C21:C23"/>
    <mergeCell ref="B21:B23"/>
    <mergeCell ref="A21:A23"/>
    <mergeCell ref="C11:C16"/>
    <mergeCell ref="B11:B16"/>
    <mergeCell ref="A11:A16"/>
    <mergeCell ref="C8:C10"/>
    <mergeCell ref="B8:B10"/>
    <mergeCell ref="A8:A10"/>
    <mergeCell ref="C3:C7"/>
    <mergeCell ref="B3:B7"/>
    <mergeCell ref="A3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8"/>
  <sheetViews>
    <sheetView workbookViewId="0">
      <selection sqref="A1:F8"/>
    </sheetView>
  </sheetViews>
  <sheetFormatPr defaultColWidth="14.42578125" defaultRowHeight="25.15" customHeight="1" x14ac:dyDescent="0.25"/>
  <cols>
    <col min="1" max="2" width="5.7109375" style="4" customWidth="1"/>
    <col min="3" max="3" width="30.7109375" style="1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3" t="s">
        <v>0</v>
      </c>
      <c r="B1" s="3" t="s">
        <v>1</v>
      </c>
      <c r="C1" s="3" t="s">
        <v>2</v>
      </c>
      <c r="D1" s="3" t="s">
        <v>67</v>
      </c>
      <c r="E1" s="3" t="s">
        <v>3</v>
      </c>
      <c r="F1" s="3" t="s">
        <v>4</v>
      </c>
    </row>
    <row r="2" spans="1:6" ht="25.15" customHeight="1" x14ac:dyDescent="0.25">
      <c r="A2" s="22" t="s">
        <v>19</v>
      </c>
      <c r="B2" s="23"/>
      <c r="C2" s="23"/>
      <c r="D2" s="23"/>
      <c r="E2" s="23"/>
      <c r="F2" s="23"/>
    </row>
    <row r="3" spans="1:6" ht="25.15" customHeight="1" x14ac:dyDescent="0.25">
      <c r="A3" s="7">
        <v>1</v>
      </c>
      <c r="B3" s="7" t="s">
        <v>5</v>
      </c>
      <c r="C3" s="8" t="s">
        <v>69</v>
      </c>
      <c r="D3" s="7">
        <v>2</v>
      </c>
      <c r="E3" s="8" t="s">
        <v>15</v>
      </c>
      <c r="F3" s="8" t="s">
        <v>16</v>
      </c>
    </row>
    <row r="4" spans="1:6" ht="25.15" customHeight="1" x14ac:dyDescent="0.25">
      <c r="A4" s="7">
        <v>2</v>
      </c>
      <c r="B4" s="7" t="s">
        <v>9</v>
      </c>
      <c r="C4" s="8" t="s">
        <v>51</v>
      </c>
      <c r="D4" s="7" t="s">
        <v>68</v>
      </c>
      <c r="E4" s="8" t="s">
        <v>7</v>
      </c>
      <c r="F4" s="8" t="s">
        <v>8</v>
      </c>
    </row>
    <row r="5" spans="1:6" ht="25.15" customHeight="1" x14ac:dyDescent="0.25">
      <c r="A5" s="10">
        <v>3</v>
      </c>
      <c r="B5" s="10" t="s">
        <v>5</v>
      </c>
      <c r="C5" s="9" t="s">
        <v>70</v>
      </c>
      <c r="D5" s="10">
        <v>2</v>
      </c>
      <c r="E5" s="9" t="s">
        <v>15</v>
      </c>
      <c r="F5" s="9" t="s">
        <v>16</v>
      </c>
    </row>
    <row r="6" spans="1:6" ht="25.15" customHeight="1" x14ac:dyDescent="0.25">
      <c r="A6" s="19">
        <v>4</v>
      </c>
      <c r="B6" s="19" t="s">
        <v>9</v>
      </c>
      <c r="C6" s="18" t="s">
        <v>49</v>
      </c>
      <c r="D6" s="10" t="s">
        <v>68</v>
      </c>
      <c r="E6" s="9" t="s">
        <v>7</v>
      </c>
      <c r="F6" s="9" t="s">
        <v>8</v>
      </c>
    </row>
    <row r="7" spans="1:6" ht="25.15" customHeight="1" x14ac:dyDescent="0.25">
      <c r="A7" s="19"/>
      <c r="B7" s="19"/>
      <c r="C7" s="18"/>
      <c r="D7" s="10" t="s">
        <v>68</v>
      </c>
      <c r="E7" s="9" t="s">
        <v>15</v>
      </c>
      <c r="F7" s="9" t="s">
        <v>16</v>
      </c>
    </row>
    <row r="8" spans="1:6" ht="25.15" customHeight="1" x14ac:dyDescent="0.25">
      <c r="A8" s="10">
        <v>5</v>
      </c>
      <c r="B8" s="10" t="s">
        <v>9</v>
      </c>
      <c r="C8" s="9" t="s">
        <v>50</v>
      </c>
      <c r="D8" s="10" t="s">
        <v>68</v>
      </c>
      <c r="E8" s="9" t="s">
        <v>15</v>
      </c>
      <c r="F8" s="9" t="s">
        <v>16</v>
      </c>
    </row>
  </sheetData>
  <sortState ref="H9:H14">
    <sortCondition ref="H9"/>
  </sortState>
  <mergeCells count="4">
    <mergeCell ref="A2:F2"/>
    <mergeCell ref="C6:C7"/>
    <mergeCell ref="B6:B7"/>
    <mergeCell ref="A6:A7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36"/>
  <sheetViews>
    <sheetView zoomScale="70" zoomScaleNormal="70" workbookViewId="0"/>
  </sheetViews>
  <sheetFormatPr defaultColWidth="14.42578125" defaultRowHeight="25.15" customHeight="1" x14ac:dyDescent="0.25"/>
  <cols>
    <col min="1" max="2" width="5.7109375" style="4" customWidth="1"/>
    <col min="3" max="3" width="30.7109375" style="1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5" t="s">
        <v>0</v>
      </c>
      <c r="B1" s="5" t="s">
        <v>1</v>
      </c>
      <c r="C1" s="5" t="s">
        <v>2</v>
      </c>
      <c r="D1" s="3" t="s">
        <v>67</v>
      </c>
      <c r="E1" s="5" t="s">
        <v>3</v>
      </c>
      <c r="F1" s="5" t="s">
        <v>4</v>
      </c>
    </row>
    <row r="2" spans="1:6" ht="25.15" customHeight="1" x14ac:dyDescent="0.25">
      <c r="A2" s="22" t="s">
        <v>20</v>
      </c>
      <c r="B2" s="23"/>
      <c r="C2" s="23"/>
      <c r="D2" s="23"/>
      <c r="E2" s="23"/>
      <c r="F2" s="23"/>
    </row>
    <row r="3" spans="1:6" ht="25.15" customHeight="1" x14ac:dyDescent="0.25">
      <c r="A3" s="19">
        <v>1</v>
      </c>
      <c r="B3" s="19" t="s">
        <v>5</v>
      </c>
      <c r="C3" s="18" t="s">
        <v>52</v>
      </c>
      <c r="D3" s="10" t="s">
        <v>68</v>
      </c>
      <c r="E3" s="9" t="s">
        <v>25</v>
      </c>
      <c r="F3" s="9" t="s">
        <v>26</v>
      </c>
    </row>
    <row r="4" spans="1:6" ht="25.15" customHeight="1" x14ac:dyDescent="0.25">
      <c r="A4" s="19"/>
      <c r="B4" s="19"/>
      <c r="C4" s="18"/>
      <c r="D4" s="10" t="s">
        <v>68</v>
      </c>
      <c r="E4" s="9" t="s">
        <v>10</v>
      </c>
      <c r="F4" s="9" t="s">
        <v>11</v>
      </c>
    </row>
    <row r="5" spans="1:6" ht="25.15" customHeight="1" x14ac:dyDescent="0.25">
      <c r="A5" s="19"/>
      <c r="B5" s="19"/>
      <c r="C5" s="18"/>
      <c r="D5" s="10" t="s">
        <v>68</v>
      </c>
      <c r="E5" s="9" t="s">
        <v>6</v>
      </c>
      <c r="F5" s="9" t="s">
        <v>30</v>
      </c>
    </row>
    <row r="6" spans="1:6" ht="25.15" customHeight="1" x14ac:dyDescent="0.25">
      <c r="A6" s="19"/>
      <c r="B6" s="19"/>
      <c r="C6" s="18"/>
      <c r="D6" s="10" t="s">
        <v>68</v>
      </c>
      <c r="E6" s="9" t="s">
        <v>15</v>
      </c>
      <c r="F6" s="9" t="s">
        <v>16</v>
      </c>
    </row>
    <row r="7" spans="1:6" ht="25.15" customHeight="1" x14ac:dyDescent="0.25">
      <c r="A7" s="10">
        <v>2</v>
      </c>
      <c r="B7" s="10" t="s">
        <v>9</v>
      </c>
      <c r="C7" s="9" t="s">
        <v>57</v>
      </c>
      <c r="D7" s="10" t="s">
        <v>68</v>
      </c>
      <c r="E7" s="9" t="s">
        <v>12</v>
      </c>
      <c r="F7" s="9" t="s">
        <v>14</v>
      </c>
    </row>
    <row r="8" spans="1:6" ht="25.15" customHeight="1" x14ac:dyDescent="0.25">
      <c r="A8" s="19">
        <v>3</v>
      </c>
      <c r="B8" s="19" t="s">
        <v>5</v>
      </c>
      <c r="C8" s="18" t="s">
        <v>59</v>
      </c>
      <c r="D8" s="10" t="s">
        <v>68</v>
      </c>
      <c r="E8" s="9" t="s">
        <v>12</v>
      </c>
      <c r="F8" s="9" t="s">
        <v>14</v>
      </c>
    </row>
    <row r="9" spans="1:6" ht="25.15" customHeight="1" x14ac:dyDescent="0.25">
      <c r="A9" s="19"/>
      <c r="B9" s="19"/>
      <c r="C9" s="18"/>
      <c r="D9" s="10" t="s">
        <v>68</v>
      </c>
      <c r="E9" s="9" t="s">
        <v>25</v>
      </c>
      <c r="F9" s="9" t="s">
        <v>26</v>
      </c>
    </row>
    <row r="10" spans="1:6" ht="25.15" customHeight="1" x14ac:dyDescent="0.25">
      <c r="A10" s="19"/>
      <c r="B10" s="19"/>
      <c r="C10" s="18"/>
      <c r="D10" s="10" t="s">
        <v>68</v>
      </c>
      <c r="E10" s="9" t="s">
        <v>10</v>
      </c>
      <c r="F10" s="9" t="s">
        <v>11</v>
      </c>
    </row>
    <row r="11" spans="1:6" ht="25.15" customHeight="1" x14ac:dyDescent="0.25">
      <c r="A11" s="19"/>
      <c r="B11" s="19"/>
      <c r="C11" s="18"/>
      <c r="D11" s="10" t="s">
        <v>68</v>
      </c>
      <c r="E11" s="9" t="s">
        <v>6</v>
      </c>
      <c r="F11" s="9" t="s">
        <v>30</v>
      </c>
    </row>
    <row r="12" spans="1:6" ht="25.15" customHeight="1" x14ac:dyDescent="0.25">
      <c r="A12" s="19"/>
      <c r="B12" s="19"/>
      <c r="C12" s="18"/>
      <c r="D12" s="10" t="s">
        <v>68</v>
      </c>
      <c r="E12" s="9" t="s">
        <v>7</v>
      </c>
      <c r="F12" s="9" t="s">
        <v>8</v>
      </c>
    </row>
    <row r="13" spans="1:6" ht="25.15" customHeight="1" x14ac:dyDescent="0.25">
      <c r="A13" s="19"/>
      <c r="B13" s="19"/>
      <c r="C13" s="18"/>
      <c r="D13" s="10" t="s">
        <v>68</v>
      </c>
      <c r="E13" s="9" t="s">
        <v>15</v>
      </c>
      <c r="F13" s="9" t="s">
        <v>16</v>
      </c>
    </row>
    <row r="14" spans="1:6" ht="25.15" customHeight="1" x14ac:dyDescent="0.25">
      <c r="A14" s="10">
        <v>4</v>
      </c>
      <c r="B14" s="10" t="s">
        <v>9</v>
      </c>
      <c r="C14" s="9" t="s">
        <v>58</v>
      </c>
      <c r="D14" s="10" t="s">
        <v>68</v>
      </c>
      <c r="E14" s="9" t="s">
        <v>12</v>
      </c>
      <c r="F14" s="9" t="s">
        <v>14</v>
      </c>
    </row>
    <row r="15" spans="1:6" ht="25.15" customHeight="1" x14ac:dyDescent="0.25">
      <c r="A15" s="19">
        <v>5</v>
      </c>
      <c r="B15" s="19" t="s">
        <v>5</v>
      </c>
      <c r="C15" s="18" t="s">
        <v>53</v>
      </c>
      <c r="D15" s="16" t="s">
        <v>68</v>
      </c>
      <c r="E15" s="15" t="s">
        <v>12</v>
      </c>
      <c r="F15" s="15" t="s">
        <v>14</v>
      </c>
    </row>
    <row r="16" spans="1:6" ht="25.15" customHeight="1" x14ac:dyDescent="0.25">
      <c r="A16" s="19"/>
      <c r="B16" s="19"/>
      <c r="C16" s="18"/>
      <c r="D16" s="16" t="s">
        <v>68</v>
      </c>
      <c r="E16" s="15" t="s">
        <v>10</v>
      </c>
      <c r="F16" s="15" t="s">
        <v>11</v>
      </c>
    </row>
    <row r="17" spans="1:6" ht="25.15" customHeight="1" x14ac:dyDescent="0.25">
      <c r="A17" s="19">
        <v>6</v>
      </c>
      <c r="B17" s="19" t="s">
        <v>5</v>
      </c>
      <c r="C17" s="18" t="s">
        <v>54</v>
      </c>
      <c r="D17" s="16" t="s">
        <v>68</v>
      </c>
      <c r="E17" s="15" t="s">
        <v>12</v>
      </c>
      <c r="F17" s="15" t="s">
        <v>14</v>
      </c>
    </row>
    <row r="18" spans="1:6" ht="25.15" customHeight="1" x14ac:dyDescent="0.25">
      <c r="A18" s="19"/>
      <c r="B18" s="19"/>
      <c r="C18" s="18"/>
      <c r="D18" s="16" t="s">
        <v>68</v>
      </c>
      <c r="E18" s="15" t="s">
        <v>25</v>
      </c>
      <c r="F18" s="15" t="s">
        <v>26</v>
      </c>
    </row>
    <row r="19" spans="1:6" ht="25.15" customHeight="1" x14ac:dyDescent="0.25">
      <c r="A19" s="19"/>
      <c r="B19" s="19"/>
      <c r="C19" s="18"/>
      <c r="D19" s="16" t="s">
        <v>68</v>
      </c>
      <c r="E19" s="15" t="s">
        <v>7</v>
      </c>
      <c r="F19" s="15" t="s">
        <v>8</v>
      </c>
    </row>
    <row r="20" spans="1:6" ht="25.15" customHeight="1" x14ac:dyDescent="0.25">
      <c r="A20" s="19"/>
      <c r="B20" s="19"/>
      <c r="C20" s="18"/>
      <c r="D20" s="16" t="s">
        <v>68</v>
      </c>
      <c r="E20" s="15" t="s">
        <v>15</v>
      </c>
      <c r="F20" s="15" t="s">
        <v>16</v>
      </c>
    </row>
    <row r="21" spans="1:6" ht="25.15" customHeight="1" x14ac:dyDescent="0.25">
      <c r="A21" s="19">
        <v>7</v>
      </c>
      <c r="B21" s="19" t="s">
        <v>9</v>
      </c>
      <c r="C21" s="18" t="s">
        <v>55</v>
      </c>
      <c r="D21" s="16" t="s">
        <v>68</v>
      </c>
      <c r="E21" s="15" t="s">
        <v>12</v>
      </c>
      <c r="F21" s="15" t="s">
        <v>14</v>
      </c>
    </row>
    <row r="22" spans="1:6" ht="25.15" customHeight="1" x14ac:dyDescent="0.25">
      <c r="A22" s="19"/>
      <c r="B22" s="19"/>
      <c r="C22" s="18"/>
      <c r="D22" s="16" t="s">
        <v>68</v>
      </c>
      <c r="E22" s="15" t="s">
        <v>25</v>
      </c>
      <c r="F22" s="15" t="s">
        <v>26</v>
      </c>
    </row>
    <row r="23" spans="1:6" ht="25.15" customHeight="1" x14ac:dyDescent="0.25">
      <c r="A23" s="19"/>
      <c r="B23" s="19"/>
      <c r="C23" s="18"/>
      <c r="D23" s="16" t="s">
        <v>68</v>
      </c>
      <c r="E23" s="15" t="s">
        <v>10</v>
      </c>
      <c r="F23" s="15" t="s">
        <v>11</v>
      </c>
    </row>
    <row r="24" spans="1:6" ht="25.15" customHeight="1" x14ac:dyDescent="0.25">
      <c r="A24" s="19"/>
      <c r="B24" s="19"/>
      <c r="C24" s="18"/>
      <c r="D24" s="16" t="s">
        <v>68</v>
      </c>
      <c r="E24" s="15" t="s">
        <v>6</v>
      </c>
      <c r="F24" s="15" t="s">
        <v>30</v>
      </c>
    </row>
    <row r="25" spans="1:6" ht="25.15" customHeight="1" x14ac:dyDescent="0.25">
      <c r="A25" s="19"/>
      <c r="B25" s="19"/>
      <c r="C25" s="18"/>
      <c r="D25" s="16" t="s">
        <v>68</v>
      </c>
      <c r="E25" s="15" t="s">
        <v>7</v>
      </c>
      <c r="F25" s="15" t="s">
        <v>8</v>
      </c>
    </row>
    <row r="26" spans="1:6" ht="25.15" customHeight="1" x14ac:dyDescent="0.25">
      <c r="A26" s="19"/>
      <c r="B26" s="19"/>
      <c r="C26" s="18"/>
      <c r="D26" s="16" t="s">
        <v>68</v>
      </c>
      <c r="E26" s="15" t="s">
        <v>15</v>
      </c>
      <c r="F26" s="15" t="s">
        <v>16</v>
      </c>
    </row>
    <row r="27" spans="1:6" ht="25.15" customHeight="1" x14ac:dyDescent="0.25">
      <c r="A27" s="19">
        <v>8</v>
      </c>
      <c r="B27" s="19" t="s">
        <v>5</v>
      </c>
      <c r="C27" s="18" t="s">
        <v>60</v>
      </c>
      <c r="D27" s="16" t="s">
        <v>68</v>
      </c>
      <c r="E27" s="15" t="s">
        <v>12</v>
      </c>
      <c r="F27" s="15" t="s">
        <v>14</v>
      </c>
    </row>
    <row r="28" spans="1:6" ht="25.15" customHeight="1" x14ac:dyDescent="0.25">
      <c r="A28" s="19"/>
      <c r="B28" s="19"/>
      <c r="C28" s="18"/>
      <c r="D28" s="16" t="s">
        <v>68</v>
      </c>
      <c r="E28" s="15" t="s">
        <v>25</v>
      </c>
      <c r="F28" s="15" t="s">
        <v>26</v>
      </c>
    </row>
    <row r="29" spans="1:6" ht="25.15" customHeight="1" x14ac:dyDescent="0.25">
      <c r="A29" s="19"/>
      <c r="B29" s="19"/>
      <c r="C29" s="18"/>
      <c r="D29" s="16" t="s">
        <v>68</v>
      </c>
      <c r="E29" s="15" t="s">
        <v>7</v>
      </c>
      <c r="F29" s="15" t="s">
        <v>8</v>
      </c>
    </row>
    <row r="30" spans="1:6" ht="25.15" customHeight="1" x14ac:dyDescent="0.25">
      <c r="A30" s="19"/>
      <c r="B30" s="19"/>
      <c r="C30" s="18"/>
      <c r="D30" s="16">
        <v>2</v>
      </c>
      <c r="E30" s="15" t="s">
        <v>15</v>
      </c>
      <c r="F30" s="15" t="s">
        <v>16</v>
      </c>
    </row>
    <row r="31" spans="1:6" ht="25.15" customHeight="1" x14ac:dyDescent="0.25">
      <c r="A31" s="19">
        <v>9</v>
      </c>
      <c r="B31" s="19" t="s">
        <v>9</v>
      </c>
      <c r="C31" s="18" t="s">
        <v>56</v>
      </c>
      <c r="D31" s="16" t="s">
        <v>68</v>
      </c>
      <c r="E31" s="15" t="s">
        <v>12</v>
      </c>
      <c r="F31" s="15" t="s">
        <v>14</v>
      </c>
    </row>
    <row r="32" spans="1:6" ht="25.15" customHeight="1" x14ac:dyDescent="0.25">
      <c r="A32" s="19"/>
      <c r="B32" s="19"/>
      <c r="C32" s="18"/>
      <c r="D32" s="16" t="s">
        <v>68</v>
      </c>
      <c r="E32" s="15" t="s">
        <v>25</v>
      </c>
      <c r="F32" s="15" t="s">
        <v>26</v>
      </c>
    </row>
    <row r="33" spans="1:6" ht="25.15" customHeight="1" x14ac:dyDescent="0.25">
      <c r="A33" s="19"/>
      <c r="B33" s="19"/>
      <c r="C33" s="18"/>
      <c r="D33" s="16" t="s">
        <v>68</v>
      </c>
      <c r="E33" s="15" t="s">
        <v>10</v>
      </c>
      <c r="F33" s="15" t="s">
        <v>11</v>
      </c>
    </row>
    <row r="34" spans="1:6" ht="25.15" customHeight="1" x14ac:dyDescent="0.25">
      <c r="A34" s="19"/>
      <c r="B34" s="19"/>
      <c r="C34" s="18"/>
      <c r="D34" s="16" t="s">
        <v>68</v>
      </c>
      <c r="E34" s="15" t="s">
        <v>6</v>
      </c>
      <c r="F34" s="15" t="s">
        <v>30</v>
      </c>
    </row>
    <row r="35" spans="1:6" ht="25.15" customHeight="1" x14ac:dyDescent="0.25">
      <c r="A35" s="19"/>
      <c r="B35" s="19"/>
      <c r="C35" s="18"/>
      <c r="D35" s="16" t="s">
        <v>68</v>
      </c>
      <c r="E35" s="15" t="s">
        <v>7</v>
      </c>
      <c r="F35" s="15" t="s">
        <v>8</v>
      </c>
    </row>
    <row r="36" spans="1:6" ht="25.15" customHeight="1" x14ac:dyDescent="0.25">
      <c r="A36" s="19"/>
      <c r="B36" s="19"/>
      <c r="C36" s="18"/>
      <c r="D36" s="16" t="s">
        <v>68</v>
      </c>
      <c r="E36" s="15" t="s">
        <v>15</v>
      </c>
      <c r="F36" s="15" t="s">
        <v>16</v>
      </c>
    </row>
  </sheetData>
  <sortState ref="H37:H71">
    <sortCondition ref="H37"/>
  </sortState>
  <mergeCells count="22">
    <mergeCell ref="A2:F2"/>
    <mergeCell ref="C31:C36"/>
    <mergeCell ref="B31:B36"/>
    <mergeCell ref="A31:A36"/>
    <mergeCell ref="C21:C26"/>
    <mergeCell ref="B21:B26"/>
    <mergeCell ref="C17:C20"/>
    <mergeCell ref="B17:B20"/>
    <mergeCell ref="A17:A20"/>
    <mergeCell ref="C15:C16"/>
    <mergeCell ref="B15:B16"/>
    <mergeCell ref="A15:A16"/>
    <mergeCell ref="C3:C6"/>
    <mergeCell ref="B3:B6"/>
    <mergeCell ref="A3:A6"/>
    <mergeCell ref="A21:A26"/>
    <mergeCell ref="C27:C30"/>
    <mergeCell ref="B27:B30"/>
    <mergeCell ref="A27:A30"/>
    <mergeCell ref="C8:C13"/>
    <mergeCell ref="B8:B13"/>
    <mergeCell ref="A8:A13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7"/>
  <sheetViews>
    <sheetView zoomScale="85" zoomScaleNormal="85" workbookViewId="0"/>
  </sheetViews>
  <sheetFormatPr defaultColWidth="14.42578125" defaultRowHeight="25.15" customHeight="1" x14ac:dyDescent="0.25"/>
  <cols>
    <col min="1" max="2" width="5.7109375" style="4" customWidth="1"/>
    <col min="3" max="3" width="30.7109375" style="1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5" t="s">
        <v>0</v>
      </c>
      <c r="B1" s="5" t="s">
        <v>1</v>
      </c>
      <c r="C1" s="5" t="s">
        <v>2</v>
      </c>
      <c r="D1" s="3" t="s">
        <v>67</v>
      </c>
      <c r="E1" s="5" t="s">
        <v>3</v>
      </c>
      <c r="F1" s="5" t="s">
        <v>4</v>
      </c>
    </row>
    <row r="2" spans="1:6" ht="25.15" customHeight="1" x14ac:dyDescent="0.25">
      <c r="A2" s="22" t="s">
        <v>21</v>
      </c>
      <c r="B2" s="23"/>
      <c r="C2" s="23"/>
      <c r="D2" s="23"/>
      <c r="E2" s="23"/>
      <c r="F2" s="23"/>
    </row>
    <row r="3" spans="1:6" ht="25.15" customHeight="1" x14ac:dyDescent="0.25">
      <c r="A3" s="10">
        <v>1</v>
      </c>
      <c r="B3" s="10" t="s">
        <v>5</v>
      </c>
      <c r="C3" s="9" t="s">
        <v>71</v>
      </c>
      <c r="D3" s="10">
        <v>2</v>
      </c>
      <c r="E3" s="9" t="s">
        <v>25</v>
      </c>
      <c r="F3" s="9" t="s">
        <v>26</v>
      </c>
    </row>
    <row r="4" spans="1:6" ht="25.15" customHeight="1" x14ac:dyDescent="0.25">
      <c r="A4" s="25">
        <v>2</v>
      </c>
      <c r="B4" s="25" t="s">
        <v>5</v>
      </c>
      <c r="C4" s="24" t="s">
        <v>61</v>
      </c>
      <c r="D4" s="10" t="s">
        <v>68</v>
      </c>
      <c r="E4" s="11" t="s">
        <v>25</v>
      </c>
      <c r="F4" s="11" t="s">
        <v>26</v>
      </c>
    </row>
    <row r="5" spans="1:6" ht="25.15" customHeight="1" x14ac:dyDescent="0.25">
      <c r="A5" s="25"/>
      <c r="B5" s="25"/>
      <c r="C5" s="24"/>
      <c r="D5" s="7" t="s">
        <v>68</v>
      </c>
      <c r="E5" s="6" t="s">
        <v>15</v>
      </c>
      <c r="F5" s="6" t="s">
        <v>16</v>
      </c>
    </row>
    <row r="6" spans="1:6" ht="25.15" customHeight="1" x14ac:dyDescent="0.25">
      <c r="A6" s="10">
        <v>3</v>
      </c>
      <c r="B6" s="10" t="s">
        <v>5</v>
      </c>
      <c r="C6" s="9" t="s">
        <v>72</v>
      </c>
      <c r="D6" s="10">
        <v>3</v>
      </c>
      <c r="E6" s="9" t="s">
        <v>15</v>
      </c>
      <c r="F6" s="9" t="s">
        <v>16</v>
      </c>
    </row>
    <row r="7" spans="1:6" ht="25.15" customHeight="1" x14ac:dyDescent="0.25">
      <c r="A7" s="10">
        <v>4</v>
      </c>
      <c r="B7" s="10" t="s">
        <v>5</v>
      </c>
      <c r="C7" s="9" t="s">
        <v>73</v>
      </c>
      <c r="D7" s="10">
        <v>3</v>
      </c>
      <c r="E7" s="9" t="s">
        <v>15</v>
      </c>
      <c r="F7" s="9" t="s">
        <v>16</v>
      </c>
    </row>
  </sheetData>
  <sortState ref="H8:H13">
    <sortCondition ref="H8"/>
  </sortState>
  <mergeCells count="4">
    <mergeCell ref="A2:F2"/>
    <mergeCell ref="C4:C5"/>
    <mergeCell ref="B4:B5"/>
    <mergeCell ref="A4:A5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38"/>
  <sheetViews>
    <sheetView zoomScale="85" zoomScaleNormal="85" workbookViewId="0"/>
  </sheetViews>
  <sheetFormatPr defaultColWidth="14.42578125" defaultRowHeight="25.15" customHeight="1" x14ac:dyDescent="0.25"/>
  <cols>
    <col min="1" max="2" width="5.7109375" style="4" customWidth="1"/>
    <col min="3" max="3" width="30.7109375" style="14" customWidth="1"/>
    <col min="4" max="4" width="6.7109375" style="12" customWidth="1"/>
    <col min="5" max="6" width="30.7109375" style="4" customWidth="1"/>
    <col min="7" max="26" width="8.7109375" style="4" customWidth="1"/>
    <col min="27" max="16384" width="14.42578125" style="4"/>
  </cols>
  <sheetData>
    <row r="1" spans="1:6" ht="25.15" customHeight="1" x14ac:dyDescent="0.25">
      <c r="A1" s="5" t="s">
        <v>0</v>
      </c>
      <c r="B1" s="5" t="s">
        <v>1</v>
      </c>
      <c r="C1" s="5" t="s">
        <v>2</v>
      </c>
      <c r="D1" s="3" t="s">
        <v>67</v>
      </c>
      <c r="E1" s="5" t="s">
        <v>3</v>
      </c>
      <c r="F1" s="5" t="s">
        <v>4</v>
      </c>
    </row>
    <row r="2" spans="1:6" ht="25.15" customHeight="1" x14ac:dyDescent="0.25">
      <c r="A2" s="22" t="s">
        <v>22</v>
      </c>
      <c r="B2" s="23"/>
      <c r="C2" s="23"/>
      <c r="D2" s="23"/>
      <c r="E2" s="23"/>
      <c r="F2" s="23"/>
    </row>
    <row r="3" spans="1:6" ht="25.15" customHeight="1" x14ac:dyDescent="0.25">
      <c r="A3" s="7">
        <v>1</v>
      </c>
      <c r="B3" s="7" t="s">
        <v>5</v>
      </c>
      <c r="C3" s="8" t="s">
        <v>62</v>
      </c>
      <c r="D3" s="7" t="s">
        <v>68</v>
      </c>
      <c r="E3" s="8" t="s">
        <v>12</v>
      </c>
      <c r="F3" s="8" t="s">
        <v>14</v>
      </c>
    </row>
    <row r="4" spans="1:6" ht="25.15" customHeight="1" x14ac:dyDescent="0.25">
      <c r="A4" s="7">
        <v>2</v>
      </c>
      <c r="B4" s="7" t="s">
        <v>5</v>
      </c>
      <c r="C4" s="8" t="s">
        <v>114</v>
      </c>
      <c r="D4" s="7" t="s">
        <v>68</v>
      </c>
      <c r="E4" s="8" t="s">
        <v>12</v>
      </c>
      <c r="F4" s="8" t="s">
        <v>14</v>
      </c>
    </row>
    <row r="5" spans="1:6" ht="25.15" customHeight="1" x14ac:dyDescent="0.25">
      <c r="A5" s="25">
        <v>3</v>
      </c>
      <c r="B5" s="25" t="s">
        <v>5</v>
      </c>
      <c r="C5" s="24" t="s">
        <v>115</v>
      </c>
      <c r="D5" s="7" t="s">
        <v>68</v>
      </c>
      <c r="E5" s="8" t="s">
        <v>10</v>
      </c>
      <c r="F5" s="8" t="s">
        <v>11</v>
      </c>
    </row>
    <row r="6" spans="1:6" ht="25.15" customHeight="1" x14ac:dyDescent="0.25">
      <c r="A6" s="25"/>
      <c r="B6" s="25"/>
      <c r="C6" s="24"/>
      <c r="D6" s="7" t="s">
        <v>68</v>
      </c>
      <c r="E6" s="8" t="s">
        <v>7</v>
      </c>
      <c r="F6" s="8" t="s">
        <v>8</v>
      </c>
    </row>
    <row r="7" spans="1:6" ht="25.15" customHeight="1" x14ac:dyDescent="0.25">
      <c r="A7" s="25">
        <v>4</v>
      </c>
      <c r="B7" s="25" t="s">
        <v>5</v>
      </c>
      <c r="C7" s="24" t="s">
        <v>116</v>
      </c>
      <c r="D7" s="7" t="s">
        <v>68</v>
      </c>
      <c r="E7" s="8" t="s">
        <v>12</v>
      </c>
      <c r="F7" s="8" t="s">
        <v>14</v>
      </c>
    </row>
    <row r="8" spans="1:6" ht="25.15" customHeight="1" x14ac:dyDescent="0.25">
      <c r="A8" s="25"/>
      <c r="B8" s="25"/>
      <c r="C8" s="24"/>
      <c r="D8" s="7" t="s">
        <v>68</v>
      </c>
      <c r="E8" s="8" t="s">
        <v>25</v>
      </c>
      <c r="F8" s="8" t="s">
        <v>26</v>
      </c>
    </row>
    <row r="9" spans="1:6" ht="25.15" customHeight="1" x14ac:dyDescent="0.25">
      <c r="A9" s="25"/>
      <c r="B9" s="25"/>
      <c r="C9" s="24"/>
      <c r="D9" s="7" t="s">
        <v>68</v>
      </c>
      <c r="E9" s="8" t="s">
        <v>7</v>
      </c>
      <c r="F9" s="8" t="s">
        <v>8</v>
      </c>
    </row>
    <row r="10" spans="1:6" ht="25.15" customHeight="1" x14ac:dyDescent="0.25">
      <c r="A10" s="7">
        <v>5</v>
      </c>
      <c r="B10" s="7" t="s">
        <v>5</v>
      </c>
      <c r="C10" s="8" t="s">
        <v>117</v>
      </c>
      <c r="D10" s="7" t="s">
        <v>68</v>
      </c>
      <c r="E10" s="8" t="s">
        <v>12</v>
      </c>
      <c r="F10" s="8" t="s">
        <v>14</v>
      </c>
    </row>
    <row r="11" spans="1:6" ht="25.15" customHeight="1" x14ac:dyDescent="0.25">
      <c r="A11" s="7">
        <v>6</v>
      </c>
      <c r="B11" s="7" t="s">
        <v>5</v>
      </c>
      <c r="C11" s="8" t="s">
        <v>118</v>
      </c>
      <c r="D11" s="7" t="s">
        <v>68</v>
      </c>
      <c r="E11" s="8" t="s">
        <v>12</v>
      </c>
      <c r="F11" s="8" t="s">
        <v>14</v>
      </c>
    </row>
    <row r="12" spans="1:6" ht="25.15" customHeight="1" x14ac:dyDescent="0.25">
      <c r="A12" s="7">
        <v>7</v>
      </c>
      <c r="B12" s="7" t="s">
        <v>5</v>
      </c>
      <c r="C12" s="8" t="s">
        <v>63</v>
      </c>
      <c r="D12" s="7" t="s">
        <v>68</v>
      </c>
      <c r="E12" s="8" t="s">
        <v>10</v>
      </c>
      <c r="F12" s="8" t="s">
        <v>11</v>
      </c>
    </row>
    <row r="13" spans="1:6" ht="25.15" customHeight="1" x14ac:dyDescent="0.25">
      <c r="A13" s="25">
        <v>8</v>
      </c>
      <c r="B13" s="25" t="s">
        <v>5</v>
      </c>
      <c r="C13" s="24" t="s">
        <v>119</v>
      </c>
      <c r="D13" s="7" t="s">
        <v>68</v>
      </c>
      <c r="E13" s="8" t="s">
        <v>7</v>
      </c>
      <c r="F13" s="8" t="s">
        <v>8</v>
      </c>
    </row>
    <row r="14" spans="1:6" ht="25.15" customHeight="1" x14ac:dyDescent="0.25">
      <c r="A14" s="25"/>
      <c r="B14" s="25"/>
      <c r="C14" s="24"/>
      <c r="D14" s="7" t="s">
        <v>68</v>
      </c>
      <c r="E14" s="8" t="s">
        <v>15</v>
      </c>
      <c r="F14" s="8" t="s">
        <v>16</v>
      </c>
    </row>
    <row r="15" spans="1:6" ht="25.15" customHeight="1" x14ac:dyDescent="0.25">
      <c r="A15" s="25">
        <v>9</v>
      </c>
      <c r="B15" s="25" t="s">
        <v>5</v>
      </c>
      <c r="C15" s="24" t="s">
        <v>120</v>
      </c>
      <c r="D15" s="7" t="s">
        <v>68</v>
      </c>
      <c r="E15" s="8" t="s">
        <v>12</v>
      </c>
      <c r="F15" s="8" t="s">
        <v>14</v>
      </c>
    </row>
    <row r="16" spans="1:6" ht="25.15" customHeight="1" x14ac:dyDescent="0.25">
      <c r="A16" s="25"/>
      <c r="B16" s="25"/>
      <c r="C16" s="24"/>
      <c r="D16" s="7" t="s">
        <v>68</v>
      </c>
      <c r="E16" s="8" t="s">
        <v>25</v>
      </c>
      <c r="F16" s="8" t="s">
        <v>26</v>
      </c>
    </row>
    <row r="17" spans="1:6" ht="25.15" customHeight="1" x14ac:dyDescent="0.25">
      <c r="A17" s="25"/>
      <c r="B17" s="25"/>
      <c r="C17" s="24"/>
      <c r="D17" s="7" t="s">
        <v>68</v>
      </c>
      <c r="E17" s="8" t="s">
        <v>10</v>
      </c>
      <c r="F17" s="8" t="s">
        <v>11</v>
      </c>
    </row>
    <row r="18" spans="1:6" ht="25.15" customHeight="1" x14ac:dyDescent="0.25">
      <c r="A18" s="25"/>
      <c r="B18" s="25"/>
      <c r="C18" s="24"/>
      <c r="D18" s="7" t="s">
        <v>68</v>
      </c>
      <c r="E18" s="8" t="s">
        <v>7</v>
      </c>
      <c r="F18" s="8" t="s">
        <v>8</v>
      </c>
    </row>
    <row r="19" spans="1:6" ht="25.15" customHeight="1" x14ac:dyDescent="0.25">
      <c r="A19" s="25"/>
      <c r="B19" s="25"/>
      <c r="C19" s="24"/>
      <c r="D19" s="7" t="s">
        <v>68</v>
      </c>
      <c r="E19" s="8" t="s">
        <v>15</v>
      </c>
      <c r="F19" s="8" t="s">
        <v>16</v>
      </c>
    </row>
    <row r="20" spans="1:6" ht="25.15" customHeight="1" x14ac:dyDescent="0.25">
      <c r="A20" s="7">
        <v>10</v>
      </c>
      <c r="B20" s="7" t="s">
        <v>5</v>
      </c>
      <c r="C20" s="8" t="s">
        <v>121</v>
      </c>
      <c r="D20" s="7" t="s">
        <v>68</v>
      </c>
      <c r="E20" s="8" t="s">
        <v>12</v>
      </c>
      <c r="F20" s="8" t="s">
        <v>14</v>
      </c>
    </row>
    <row r="21" spans="1:6" ht="25.15" customHeight="1" x14ac:dyDescent="0.25">
      <c r="A21" s="25">
        <v>11</v>
      </c>
      <c r="B21" s="25" t="s">
        <v>5</v>
      </c>
      <c r="C21" s="24" t="s">
        <v>122</v>
      </c>
      <c r="D21" s="7" t="s">
        <v>68</v>
      </c>
      <c r="E21" s="8" t="s">
        <v>12</v>
      </c>
      <c r="F21" s="8" t="s">
        <v>14</v>
      </c>
    </row>
    <row r="22" spans="1:6" ht="25.15" customHeight="1" x14ac:dyDescent="0.25">
      <c r="A22" s="25"/>
      <c r="B22" s="25"/>
      <c r="C22" s="24"/>
      <c r="D22" s="7" t="s">
        <v>68</v>
      </c>
      <c r="E22" s="8" t="s">
        <v>25</v>
      </c>
      <c r="F22" s="8" t="s">
        <v>26</v>
      </c>
    </row>
    <row r="23" spans="1:6" ht="25.15" customHeight="1" x14ac:dyDescent="0.25">
      <c r="A23" s="25"/>
      <c r="B23" s="25"/>
      <c r="C23" s="24"/>
      <c r="D23" s="7" t="s">
        <v>68</v>
      </c>
      <c r="E23" s="8" t="s">
        <v>10</v>
      </c>
      <c r="F23" s="8" t="s">
        <v>11</v>
      </c>
    </row>
    <row r="24" spans="1:6" ht="25.15" customHeight="1" x14ac:dyDescent="0.25">
      <c r="A24" s="25"/>
      <c r="B24" s="25"/>
      <c r="C24" s="24"/>
      <c r="D24" s="7" t="s">
        <v>68</v>
      </c>
      <c r="E24" s="8" t="s">
        <v>7</v>
      </c>
      <c r="F24" s="8" t="s">
        <v>8</v>
      </c>
    </row>
    <row r="25" spans="1:6" ht="25.15" customHeight="1" x14ac:dyDescent="0.25">
      <c r="A25" s="25"/>
      <c r="B25" s="25"/>
      <c r="C25" s="24"/>
      <c r="D25" s="7" t="s">
        <v>68</v>
      </c>
      <c r="E25" s="8" t="s">
        <v>15</v>
      </c>
      <c r="F25" s="8" t="s">
        <v>16</v>
      </c>
    </row>
    <row r="26" spans="1:6" ht="25.15" customHeight="1" x14ac:dyDescent="0.25">
      <c r="A26" s="7">
        <v>12</v>
      </c>
      <c r="B26" s="7" t="s">
        <v>5</v>
      </c>
      <c r="C26" s="8" t="s">
        <v>74</v>
      </c>
      <c r="D26" s="7">
        <v>3</v>
      </c>
      <c r="E26" s="8" t="s">
        <v>15</v>
      </c>
      <c r="F26" s="8" t="s">
        <v>16</v>
      </c>
    </row>
    <row r="27" spans="1:6" ht="25.15" customHeight="1" x14ac:dyDescent="0.25">
      <c r="A27" s="25">
        <v>13</v>
      </c>
      <c r="B27" s="25" t="s">
        <v>5</v>
      </c>
      <c r="C27" s="24" t="s">
        <v>64</v>
      </c>
      <c r="D27" s="7" t="s">
        <v>68</v>
      </c>
      <c r="E27" s="8" t="s">
        <v>25</v>
      </c>
      <c r="F27" s="8" t="s">
        <v>26</v>
      </c>
    </row>
    <row r="28" spans="1:6" ht="25.15" customHeight="1" x14ac:dyDescent="0.25">
      <c r="A28" s="25"/>
      <c r="B28" s="25"/>
      <c r="C28" s="24"/>
      <c r="D28" s="7" t="s">
        <v>68</v>
      </c>
      <c r="E28" s="8" t="s">
        <v>7</v>
      </c>
      <c r="F28" s="8" t="s">
        <v>8</v>
      </c>
    </row>
    <row r="29" spans="1:6" ht="25.15" customHeight="1" x14ac:dyDescent="0.25">
      <c r="A29" s="25">
        <v>14</v>
      </c>
      <c r="B29" s="25" t="s">
        <v>5</v>
      </c>
      <c r="C29" s="24" t="s">
        <v>65</v>
      </c>
      <c r="D29" s="7" t="s">
        <v>68</v>
      </c>
      <c r="E29" s="8" t="s">
        <v>12</v>
      </c>
      <c r="F29" s="8" t="s">
        <v>14</v>
      </c>
    </row>
    <row r="30" spans="1:6" ht="25.15" customHeight="1" x14ac:dyDescent="0.25">
      <c r="A30" s="25"/>
      <c r="B30" s="25"/>
      <c r="C30" s="24"/>
      <c r="D30" s="7" t="s">
        <v>68</v>
      </c>
      <c r="E30" s="8" t="s">
        <v>25</v>
      </c>
      <c r="F30" s="8" t="s">
        <v>26</v>
      </c>
    </row>
    <row r="31" spans="1:6" ht="25.15" customHeight="1" x14ac:dyDescent="0.25">
      <c r="A31" s="25"/>
      <c r="B31" s="25"/>
      <c r="C31" s="24"/>
      <c r="D31" s="7" t="s">
        <v>68</v>
      </c>
      <c r="E31" s="8" t="s">
        <v>10</v>
      </c>
      <c r="F31" s="8" t="s">
        <v>11</v>
      </c>
    </row>
    <row r="32" spans="1:6" ht="25.15" customHeight="1" x14ac:dyDescent="0.25">
      <c r="A32" s="25"/>
      <c r="B32" s="25"/>
      <c r="C32" s="24"/>
      <c r="D32" s="7" t="s">
        <v>68</v>
      </c>
      <c r="E32" s="8" t="s">
        <v>7</v>
      </c>
      <c r="F32" s="8" t="s">
        <v>8</v>
      </c>
    </row>
    <row r="33" spans="1:6" ht="25.15" customHeight="1" x14ac:dyDescent="0.25">
      <c r="A33" s="25"/>
      <c r="B33" s="25"/>
      <c r="C33" s="24"/>
      <c r="D33" s="7" t="s">
        <v>68</v>
      </c>
      <c r="E33" s="8" t="s">
        <v>15</v>
      </c>
      <c r="F33" s="8" t="s">
        <v>16</v>
      </c>
    </row>
    <row r="34" spans="1:6" ht="25.15" customHeight="1" x14ac:dyDescent="0.25">
      <c r="A34" s="10">
        <v>15</v>
      </c>
      <c r="B34" s="10" t="s">
        <v>5</v>
      </c>
      <c r="C34" s="9" t="s">
        <v>66</v>
      </c>
      <c r="D34" s="10" t="s">
        <v>68</v>
      </c>
      <c r="E34" s="9" t="s">
        <v>7</v>
      </c>
      <c r="F34" s="9" t="s">
        <v>8</v>
      </c>
    </row>
    <row r="35" spans="1:6" ht="25.15" customHeight="1" x14ac:dyDescent="0.25">
      <c r="A35" s="7">
        <v>16</v>
      </c>
      <c r="B35" s="7" t="s">
        <v>5</v>
      </c>
      <c r="C35" s="8" t="s">
        <v>123</v>
      </c>
      <c r="D35" s="7" t="s">
        <v>68</v>
      </c>
      <c r="E35" s="8" t="s">
        <v>12</v>
      </c>
      <c r="F35" s="8" t="s">
        <v>14</v>
      </c>
    </row>
    <row r="36" spans="1:6" ht="25.15" customHeight="1" x14ac:dyDescent="0.25">
      <c r="A36" s="25">
        <v>17</v>
      </c>
      <c r="B36" s="25" t="s">
        <v>5</v>
      </c>
      <c r="C36" s="24" t="s">
        <v>124</v>
      </c>
      <c r="D36" s="7" t="s">
        <v>68</v>
      </c>
      <c r="E36" s="8" t="s">
        <v>12</v>
      </c>
      <c r="F36" s="8" t="s">
        <v>14</v>
      </c>
    </row>
    <row r="37" spans="1:6" ht="25.15" customHeight="1" x14ac:dyDescent="0.25">
      <c r="A37" s="25"/>
      <c r="B37" s="25"/>
      <c r="C37" s="24"/>
      <c r="D37" s="7" t="s">
        <v>68</v>
      </c>
      <c r="E37" s="8" t="s">
        <v>25</v>
      </c>
      <c r="F37" s="8" t="s">
        <v>26</v>
      </c>
    </row>
    <row r="38" spans="1:6" ht="25.15" customHeight="1" x14ac:dyDescent="0.25">
      <c r="A38" s="25"/>
      <c r="B38" s="25"/>
      <c r="C38" s="24"/>
      <c r="D38" s="7" t="s">
        <v>68</v>
      </c>
      <c r="E38" s="8" t="s">
        <v>7</v>
      </c>
      <c r="F38" s="8" t="s">
        <v>8</v>
      </c>
    </row>
  </sheetData>
  <sortState ref="J3:J38">
    <sortCondition ref="J3:J38"/>
  </sortState>
  <mergeCells count="25">
    <mergeCell ref="A2:F2"/>
    <mergeCell ref="C29:C33"/>
    <mergeCell ref="B29:B33"/>
    <mergeCell ref="A29:A33"/>
    <mergeCell ref="C27:C28"/>
    <mergeCell ref="B27:B28"/>
    <mergeCell ref="A27:A28"/>
    <mergeCell ref="A36:A38"/>
    <mergeCell ref="B36:B38"/>
    <mergeCell ref="C36:C38"/>
    <mergeCell ref="C21:C25"/>
    <mergeCell ref="B21:B25"/>
    <mergeCell ref="A21:A25"/>
    <mergeCell ref="A15:A19"/>
    <mergeCell ref="B15:B19"/>
    <mergeCell ref="C15:C19"/>
    <mergeCell ref="C13:C14"/>
    <mergeCell ref="B13:B14"/>
    <mergeCell ref="A13:A14"/>
    <mergeCell ref="A7:A9"/>
    <mergeCell ref="B7:B9"/>
    <mergeCell ref="C7:C9"/>
    <mergeCell ref="C5:C6"/>
    <mergeCell ref="B5:B6"/>
    <mergeCell ref="A5:A6"/>
  </mergeCells>
  <printOptions horizontalCentered="1"/>
  <pageMargins left="0.39370078740157483" right="0.39370078740157483" top="0.39370078740157483" bottom="0.1968503937007874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>
      <selection activeCell="B2" sqref="B2:C4"/>
    </sheetView>
  </sheetViews>
  <sheetFormatPr defaultColWidth="14.42578125" defaultRowHeight="15" customHeight="1" x14ac:dyDescent="0.25"/>
  <cols>
    <col min="1" max="26" width="8.7109375" customWidth="1"/>
  </cols>
  <sheetData>
    <row r="1" spans="2:7" ht="19.5" customHeight="1" x14ac:dyDescent="0.25"/>
    <row r="2" spans="2:7" ht="19.5" customHeight="1" x14ac:dyDescent="0.25">
      <c r="B2" s="1" t="str">
        <f t="shared" ref="B2:B10" si="0">MID(G2,1,SEARCH("
",G2)-1)</f>
        <v>Захист України</v>
      </c>
      <c r="C2" s="1" t="str">
        <f t="shared" ref="C2:C10" si="1">MID(G2,SEARCH("
",G2)+1,99)</f>
        <v>Лазар В.І.</v>
      </c>
      <c r="G2" s="2" t="s">
        <v>23</v>
      </c>
    </row>
    <row r="3" spans="2:7" ht="19.5" customHeight="1" x14ac:dyDescent="0.25">
      <c r="B3" s="1" t="str">
        <f t="shared" si="0"/>
        <v>Інформатика</v>
      </c>
      <c r="C3" s="1" t="str">
        <f t="shared" si="1"/>
        <v>Бєльдюгіна С.С.</v>
      </c>
      <c r="G3" s="2" t="s">
        <v>27</v>
      </c>
    </row>
    <row r="4" spans="2:7" ht="19.5" customHeight="1" x14ac:dyDescent="0.25">
      <c r="B4" s="1" t="str">
        <f t="shared" si="0"/>
        <v>Фізика</v>
      </c>
      <c r="C4" s="1" t="str">
        <f t="shared" si="1"/>
        <v>Калюта Н.М.</v>
      </c>
      <c r="G4" s="2" t="s">
        <v>24</v>
      </c>
    </row>
    <row r="5" spans="2:7" ht="19.5" customHeight="1" x14ac:dyDescent="0.25">
      <c r="B5" s="1" t="e">
        <f t="shared" si="0"/>
        <v>#VALUE!</v>
      </c>
      <c r="C5" s="1" t="e">
        <f t="shared" si="1"/>
        <v>#VALUE!</v>
      </c>
      <c r="G5" s="2"/>
    </row>
    <row r="6" spans="2:7" ht="19.5" customHeight="1" x14ac:dyDescent="0.25">
      <c r="B6" s="1" t="e">
        <f t="shared" si="0"/>
        <v>#VALUE!</v>
      </c>
      <c r="C6" s="1" t="e">
        <f t="shared" si="1"/>
        <v>#VALUE!</v>
      </c>
      <c r="G6" s="2"/>
    </row>
    <row r="7" spans="2:7" ht="19.5" customHeight="1" x14ac:dyDescent="0.25">
      <c r="B7" s="1" t="e">
        <f t="shared" si="0"/>
        <v>#VALUE!</v>
      </c>
      <c r="C7" s="1" t="e">
        <f t="shared" si="1"/>
        <v>#VALUE!</v>
      </c>
      <c r="G7" s="2"/>
    </row>
    <row r="8" spans="2:7" ht="19.5" customHeight="1" x14ac:dyDescent="0.25">
      <c r="B8" s="1" t="e">
        <f t="shared" si="0"/>
        <v>#VALUE!</v>
      </c>
      <c r="C8" s="1" t="e">
        <f t="shared" si="1"/>
        <v>#VALUE!</v>
      </c>
    </row>
    <row r="9" spans="2:7" ht="19.5" customHeight="1" x14ac:dyDescent="0.25">
      <c r="B9" s="1" t="e">
        <f t="shared" si="0"/>
        <v>#VALUE!</v>
      </c>
      <c r="C9" s="1" t="e">
        <f t="shared" si="1"/>
        <v>#VALUE!</v>
      </c>
    </row>
    <row r="10" spans="2:7" ht="19.5" customHeight="1" x14ac:dyDescent="0.25">
      <c r="B10" s="1" t="e">
        <f t="shared" si="0"/>
        <v>#VALUE!</v>
      </c>
      <c r="C10" s="1" t="e">
        <f t="shared" si="1"/>
        <v>#VALUE!</v>
      </c>
    </row>
    <row r="11" spans="2:7" ht="19.5" customHeight="1" x14ac:dyDescent="0.25"/>
    <row r="12" spans="2:7" ht="19.5" customHeight="1" x14ac:dyDescent="0.25"/>
    <row r="13" spans="2:7" ht="19.5" customHeight="1" x14ac:dyDescent="0.25"/>
    <row r="14" spans="2:7" ht="19.5" customHeight="1" x14ac:dyDescent="0.25"/>
    <row r="15" spans="2:7" ht="19.5" customHeight="1" x14ac:dyDescent="0.25"/>
    <row r="16" spans="2:7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  <row r="210" ht="19.5" customHeight="1" x14ac:dyDescent="0.25"/>
    <row r="211" ht="19.5" customHeight="1" x14ac:dyDescent="0.25"/>
    <row r="212" ht="19.5" customHeight="1" x14ac:dyDescent="0.25"/>
    <row r="213" ht="19.5" customHeight="1" x14ac:dyDescent="0.25"/>
    <row r="214" ht="19.5" customHeight="1" x14ac:dyDescent="0.25"/>
    <row r="215" ht="19.5" customHeight="1" x14ac:dyDescent="0.25"/>
    <row r="216" ht="19.5" customHeight="1" x14ac:dyDescent="0.25"/>
    <row r="217" ht="19.5" customHeight="1" x14ac:dyDescent="0.25"/>
    <row r="218" ht="19.5" customHeight="1" x14ac:dyDescent="0.25"/>
    <row r="219" ht="19.5" customHeight="1" x14ac:dyDescent="0.25"/>
    <row r="220" ht="19.5" customHeight="1" x14ac:dyDescent="0.25"/>
    <row r="221" ht="19.5" customHeight="1" x14ac:dyDescent="0.25"/>
    <row r="222" ht="19.5" customHeight="1" x14ac:dyDescent="0.25"/>
    <row r="223" ht="19.5" customHeight="1" x14ac:dyDescent="0.25"/>
    <row r="224" ht="19.5" customHeight="1" x14ac:dyDescent="0.25"/>
    <row r="225" ht="19.5" customHeight="1" x14ac:dyDescent="0.25"/>
    <row r="226" ht="19.5" customHeight="1" x14ac:dyDescent="0.25"/>
    <row r="227" ht="19.5" customHeight="1" x14ac:dyDescent="0.25"/>
    <row r="228" ht="19.5" customHeight="1" x14ac:dyDescent="0.25"/>
    <row r="229" ht="19.5" customHeight="1" x14ac:dyDescent="0.25"/>
    <row r="230" ht="19.5" customHeight="1" x14ac:dyDescent="0.25"/>
    <row r="231" ht="19.5" customHeight="1" x14ac:dyDescent="0.25"/>
    <row r="232" ht="19.5" customHeight="1" x14ac:dyDescent="0.25"/>
    <row r="233" ht="19.5" customHeight="1" x14ac:dyDescent="0.25"/>
    <row r="234" ht="19.5" customHeight="1" x14ac:dyDescent="0.25"/>
    <row r="235" ht="19.5" customHeight="1" x14ac:dyDescent="0.25"/>
    <row r="236" ht="19.5" customHeight="1" x14ac:dyDescent="0.25"/>
    <row r="237" ht="19.5" customHeight="1" x14ac:dyDescent="0.25"/>
    <row r="238" ht="19.5" customHeight="1" x14ac:dyDescent="0.25"/>
    <row r="239" ht="19.5" customHeight="1" x14ac:dyDescent="0.25"/>
    <row r="240" ht="19.5" customHeight="1" x14ac:dyDescent="0.25"/>
    <row r="241" ht="19.5" customHeight="1" x14ac:dyDescent="0.25"/>
    <row r="242" ht="19.5" customHeight="1" x14ac:dyDescent="0.25"/>
    <row r="243" ht="19.5" customHeight="1" x14ac:dyDescent="0.25"/>
    <row r="244" ht="19.5" customHeight="1" x14ac:dyDescent="0.25"/>
    <row r="245" ht="19.5" customHeight="1" x14ac:dyDescent="0.25"/>
    <row r="246" ht="19.5" customHeight="1" x14ac:dyDescent="0.25"/>
    <row r="247" ht="19.5" customHeight="1" x14ac:dyDescent="0.25"/>
    <row r="248" ht="19.5" customHeight="1" x14ac:dyDescent="0.25"/>
    <row r="249" ht="19.5" customHeight="1" x14ac:dyDescent="0.25"/>
    <row r="250" ht="19.5" customHeight="1" x14ac:dyDescent="0.25"/>
    <row r="251" ht="19.5" customHeight="1" x14ac:dyDescent="0.25"/>
    <row r="252" ht="19.5" customHeight="1" x14ac:dyDescent="0.25"/>
    <row r="253" ht="19.5" customHeight="1" x14ac:dyDescent="0.25"/>
    <row r="254" ht="19.5" customHeight="1" x14ac:dyDescent="0.25"/>
    <row r="255" ht="19.5" customHeight="1" x14ac:dyDescent="0.25"/>
    <row r="256" ht="19.5" customHeight="1" x14ac:dyDescent="0.25"/>
    <row r="257" ht="19.5" customHeight="1" x14ac:dyDescent="0.25"/>
    <row r="258" ht="19.5" customHeight="1" x14ac:dyDescent="0.25"/>
    <row r="259" ht="19.5" customHeight="1" x14ac:dyDescent="0.25"/>
    <row r="260" ht="19.5" customHeight="1" x14ac:dyDescent="0.25"/>
    <row r="261" ht="19.5" customHeight="1" x14ac:dyDescent="0.25"/>
    <row r="262" ht="19.5" customHeight="1" x14ac:dyDescent="0.25"/>
    <row r="263" ht="19.5" customHeight="1" x14ac:dyDescent="0.25"/>
    <row r="264" ht="19.5" customHeight="1" x14ac:dyDescent="0.25"/>
    <row r="265" ht="19.5" customHeight="1" x14ac:dyDescent="0.25"/>
    <row r="266" ht="19.5" customHeight="1" x14ac:dyDescent="0.25"/>
    <row r="267" ht="19.5" customHeight="1" x14ac:dyDescent="0.25"/>
    <row r="268" ht="19.5" customHeight="1" x14ac:dyDescent="0.25"/>
    <row r="269" ht="19.5" customHeight="1" x14ac:dyDescent="0.25"/>
    <row r="270" ht="19.5" customHeight="1" x14ac:dyDescent="0.25"/>
    <row r="271" ht="19.5" customHeight="1" x14ac:dyDescent="0.25"/>
    <row r="272" ht="19.5" customHeight="1" x14ac:dyDescent="0.25"/>
    <row r="273" ht="19.5" customHeight="1" x14ac:dyDescent="0.25"/>
    <row r="274" ht="19.5" customHeight="1" x14ac:dyDescent="0.25"/>
    <row r="275" ht="19.5" customHeight="1" x14ac:dyDescent="0.25"/>
    <row r="276" ht="19.5" customHeight="1" x14ac:dyDescent="0.25"/>
    <row r="277" ht="19.5" customHeight="1" x14ac:dyDescent="0.25"/>
    <row r="278" ht="19.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9.5" customHeight="1" x14ac:dyDescent="0.25"/>
    <row r="284" ht="19.5" customHeight="1" x14ac:dyDescent="0.25"/>
    <row r="285" ht="19.5" customHeight="1" x14ac:dyDescent="0.25"/>
    <row r="286" ht="19.5" customHeight="1" x14ac:dyDescent="0.25"/>
    <row r="287" ht="19.5" customHeight="1" x14ac:dyDescent="0.25"/>
    <row r="288" ht="19.5" customHeight="1" x14ac:dyDescent="0.25"/>
    <row r="289" ht="19.5" customHeight="1" x14ac:dyDescent="0.25"/>
    <row r="290" ht="19.5" customHeight="1" x14ac:dyDescent="0.25"/>
    <row r="291" ht="19.5" customHeight="1" x14ac:dyDescent="0.25"/>
    <row r="292" ht="19.5" customHeight="1" x14ac:dyDescent="0.25"/>
    <row r="293" ht="19.5" customHeight="1" x14ac:dyDescent="0.25"/>
    <row r="294" ht="19.5" customHeight="1" x14ac:dyDescent="0.25"/>
    <row r="295" ht="19.5" customHeight="1" x14ac:dyDescent="0.25"/>
    <row r="296" ht="19.5" customHeight="1" x14ac:dyDescent="0.25"/>
    <row r="297" ht="19.5" customHeight="1" x14ac:dyDescent="0.25"/>
    <row r="298" ht="19.5" customHeight="1" x14ac:dyDescent="0.25"/>
    <row r="299" ht="19.5" customHeight="1" x14ac:dyDescent="0.25"/>
    <row r="300" ht="19.5" customHeight="1" x14ac:dyDescent="0.25"/>
    <row r="301" ht="19.5" customHeight="1" x14ac:dyDescent="0.25"/>
    <row r="302" ht="19.5" customHeight="1" x14ac:dyDescent="0.25"/>
    <row r="303" ht="19.5" customHeight="1" x14ac:dyDescent="0.25"/>
    <row r="304" ht="19.5" customHeight="1" x14ac:dyDescent="0.25"/>
    <row r="305" ht="19.5" customHeight="1" x14ac:dyDescent="0.25"/>
    <row r="306" ht="19.5" customHeight="1" x14ac:dyDescent="0.25"/>
    <row r="307" ht="19.5" customHeight="1" x14ac:dyDescent="0.25"/>
    <row r="308" ht="19.5" customHeight="1" x14ac:dyDescent="0.25"/>
    <row r="309" ht="19.5" customHeight="1" x14ac:dyDescent="0.25"/>
    <row r="310" ht="19.5" customHeight="1" x14ac:dyDescent="0.25"/>
    <row r="311" ht="19.5" customHeight="1" x14ac:dyDescent="0.25"/>
    <row r="312" ht="19.5" customHeight="1" x14ac:dyDescent="0.25"/>
    <row r="313" ht="19.5" customHeight="1" x14ac:dyDescent="0.25"/>
    <row r="314" ht="19.5" customHeight="1" x14ac:dyDescent="0.25"/>
    <row r="315" ht="19.5" customHeight="1" x14ac:dyDescent="0.25"/>
    <row r="316" ht="19.5" customHeight="1" x14ac:dyDescent="0.25"/>
    <row r="317" ht="19.5" customHeight="1" x14ac:dyDescent="0.25"/>
    <row r="318" ht="19.5" customHeight="1" x14ac:dyDescent="0.25"/>
    <row r="319" ht="19.5" customHeight="1" x14ac:dyDescent="0.25"/>
    <row r="320" ht="19.5" customHeight="1" x14ac:dyDescent="0.25"/>
    <row r="321" ht="19.5" customHeight="1" x14ac:dyDescent="0.25"/>
    <row r="322" ht="19.5" customHeight="1" x14ac:dyDescent="0.25"/>
    <row r="323" ht="19.5" customHeight="1" x14ac:dyDescent="0.25"/>
    <row r="324" ht="19.5" customHeight="1" x14ac:dyDescent="0.25"/>
    <row r="325" ht="19.5" customHeight="1" x14ac:dyDescent="0.25"/>
    <row r="326" ht="19.5" customHeight="1" x14ac:dyDescent="0.25"/>
    <row r="327" ht="19.5" customHeight="1" x14ac:dyDescent="0.25"/>
    <row r="328" ht="19.5" customHeight="1" x14ac:dyDescent="0.25"/>
    <row r="329" ht="19.5" customHeight="1" x14ac:dyDescent="0.25"/>
    <row r="330" ht="19.5" customHeight="1" x14ac:dyDescent="0.25"/>
    <row r="331" ht="19.5" customHeight="1" x14ac:dyDescent="0.25"/>
    <row r="332" ht="19.5" customHeight="1" x14ac:dyDescent="0.25"/>
    <row r="333" ht="19.5" customHeight="1" x14ac:dyDescent="0.25"/>
    <row r="334" ht="19.5" customHeight="1" x14ac:dyDescent="0.25"/>
    <row r="335" ht="19.5" customHeight="1" x14ac:dyDescent="0.25"/>
    <row r="336" ht="19.5" customHeight="1" x14ac:dyDescent="0.25"/>
    <row r="337" ht="19.5" customHeight="1" x14ac:dyDescent="0.25"/>
    <row r="338" ht="19.5" customHeight="1" x14ac:dyDescent="0.25"/>
    <row r="339" ht="19.5" customHeight="1" x14ac:dyDescent="0.25"/>
    <row r="340" ht="19.5" customHeight="1" x14ac:dyDescent="0.25"/>
    <row r="341" ht="19.5" customHeight="1" x14ac:dyDescent="0.25"/>
    <row r="342" ht="19.5" customHeight="1" x14ac:dyDescent="0.25"/>
    <row r="343" ht="19.5" customHeight="1" x14ac:dyDescent="0.25"/>
    <row r="344" ht="19.5" customHeight="1" x14ac:dyDescent="0.25"/>
    <row r="345" ht="19.5" customHeight="1" x14ac:dyDescent="0.25"/>
    <row r="346" ht="19.5" customHeight="1" x14ac:dyDescent="0.25"/>
    <row r="347" ht="19.5" customHeight="1" x14ac:dyDescent="0.25"/>
    <row r="348" ht="19.5" customHeight="1" x14ac:dyDescent="0.25"/>
    <row r="349" ht="19.5" customHeight="1" x14ac:dyDescent="0.25"/>
    <row r="350" ht="19.5" customHeight="1" x14ac:dyDescent="0.25"/>
    <row r="351" ht="19.5" customHeight="1" x14ac:dyDescent="0.25"/>
    <row r="352" ht="19.5" customHeight="1" x14ac:dyDescent="0.25"/>
    <row r="353" ht="19.5" customHeight="1" x14ac:dyDescent="0.25"/>
    <row r="354" ht="19.5" customHeight="1" x14ac:dyDescent="0.25"/>
    <row r="355" ht="19.5" customHeight="1" x14ac:dyDescent="0.25"/>
    <row r="356" ht="19.5" customHeight="1" x14ac:dyDescent="0.25"/>
    <row r="357" ht="19.5" customHeight="1" x14ac:dyDescent="0.25"/>
    <row r="358" ht="19.5" customHeight="1" x14ac:dyDescent="0.25"/>
    <row r="359" ht="19.5" customHeight="1" x14ac:dyDescent="0.25"/>
    <row r="360" ht="19.5" customHeight="1" x14ac:dyDescent="0.25"/>
    <row r="361" ht="19.5" customHeight="1" x14ac:dyDescent="0.25"/>
    <row r="362" ht="19.5" customHeight="1" x14ac:dyDescent="0.25"/>
    <row r="363" ht="19.5" customHeight="1" x14ac:dyDescent="0.25"/>
    <row r="364" ht="19.5" customHeight="1" x14ac:dyDescent="0.25"/>
    <row r="365" ht="19.5" customHeight="1" x14ac:dyDescent="0.25"/>
    <row r="366" ht="19.5" customHeight="1" x14ac:dyDescent="0.25"/>
    <row r="367" ht="19.5" customHeight="1" x14ac:dyDescent="0.25"/>
    <row r="368" ht="19.5" customHeight="1" x14ac:dyDescent="0.25"/>
    <row r="369" ht="19.5" customHeight="1" x14ac:dyDescent="0.25"/>
    <row r="370" ht="19.5" customHeight="1" x14ac:dyDescent="0.25"/>
    <row r="371" ht="19.5" customHeight="1" x14ac:dyDescent="0.25"/>
    <row r="372" ht="19.5" customHeight="1" x14ac:dyDescent="0.25"/>
    <row r="373" ht="19.5" customHeight="1" x14ac:dyDescent="0.25"/>
    <row r="374" ht="19.5" customHeight="1" x14ac:dyDescent="0.25"/>
    <row r="375" ht="19.5" customHeight="1" x14ac:dyDescent="0.25"/>
    <row r="376" ht="19.5" customHeight="1" x14ac:dyDescent="0.25"/>
    <row r="377" ht="19.5" customHeight="1" x14ac:dyDescent="0.25"/>
    <row r="378" ht="19.5" customHeight="1" x14ac:dyDescent="0.25"/>
    <row r="379" ht="19.5" customHeight="1" x14ac:dyDescent="0.25"/>
    <row r="380" ht="19.5" customHeight="1" x14ac:dyDescent="0.25"/>
    <row r="381" ht="19.5" customHeight="1" x14ac:dyDescent="0.25"/>
    <row r="382" ht="19.5" customHeight="1" x14ac:dyDescent="0.25"/>
    <row r="383" ht="19.5" customHeight="1" x14ac:dyDescent="0.25"/>
    <row r="384" ht="19.5" customHeight="1" x14ac:dyDescent="0.25"/>
    <row r="385" ht="19.5" customHeight="1" x14ac:dyDescent="0.25"/>
    <row r="386" ht="19.5" customHeight="1" x14ac:dyDescent="0.25"/>
    <row r="387" ht="19.5" customHeight="1" x14ac:dyDescent="0.25"/>
    <row r="388" ht="19.5" customHeight="1" x14ac:dyDescent="0.25"/>
    <row r="389" ht="19.5" customHeight="1" x14ac:dyDescent="0.25"/>
    <row r="390" ht="19.5" customHeight="1" x14ac:dyDescent="0.25"/>
    <row r="391" ht="19.5" customHeight="1" x14ac:dyDescent="0.25"/>
    <row r="392" ht="19.5" customHeight="1" x14ac:dyDescent="0.25"/>
    <row r="393" ht="19.5" customHeight="1" x14ac:dyDescent="0.25"/>
    <row r="394" ht="19.5" customHeight="1" x14ac:dyDescent="0.25"/>
    <row r="395" ht="19.5" customHeight="1" x14ac:dyDescent="0.25"/>
    <row r="396" ht="19.5" customHeight="1" x14ac:dyDescent="0.25"/>
    <row r="397" ht="19.5" customHeight="1" x14ac:dyDescent="0.25"/>
    <row r="398" ht="19.5" customHeight="1" x14ac:dyDescent="0.25"/>
    <row r="399" ht="19.5" customHeight="1" x14ac:dyDescent="0.25"/>
    <row r="400" ht="19.5" customHeight="1" x14ac:dyDescent="0.25"/>
    <row r="401" ht="19.5" customHeight="1" x14ac:dyDescent="0.25"/>
    <row r="402" ht="19.5" customHeight="1" x14ac:dyDescent="0.25"/>
    <row r="403" ht="19.5" customHeight="1" x14ac:dyDescent="0.25"/>
    <row r="404" ht="19.5" customHeight="1" x14ac:dyDescent="0.25"/>
    <row r="405" ht="19.5" customHeight="1" x14ac:dyDescent="0.25"/>
    <row r="406" ht="19.5" customHeight="1" x14ac:dyDescent="0.25"/>
    <row r="407" ht="19.5" customHeight="1" x14ac:dyDescent="0.25"/>
    <row r="408" ht="19.5" customHeight="1" x14ac:dyDescent="0.25"/>
    <row r="409" ht="19.5" customHeight="1" x14ac:dyDescent="0.25"/>
    <row r="410" ht="19.5" customHeight="1" x14ac:dyDescent="0.25"/>
    <row r="411" ht="19.5" customHeight="1" x14ac:dyDescent="0.25"/>
    <row r="412" ht="19.5" customHeight="1" x14ac:dyDescent="0.25"/>
    <row r="413" ht="19.5" customHeight="1" x14ac:dyDescent="0.25"/>
    <row r="414" ht="19.5" customHeight="1" x14ac:dyDescent="0.25"/>
    <row r="415" ht="19.5" customHeight="1" x14ac:dyDescent="0.25"/>
    <row r="416" ht="19.5" customHeight="1" x14ac:dyDescent="0.25"/>
    <row r="417" ht="19.5" customHeight="1" x14ac:dyDescent="0.25"/>
    <row r="418" ht="19.5" customHeight="1" x14ac:dyDescent="0.25"/>
    <row r="419" ht="19.5" customHeight="1" x14ac:dyDescent="0.25"/>
    <row r="420" ht="19.5" customHeight="1" x14ac:dyDescent="0.25"/>
    <row r="421" ht="19.5" customHeight="1" x14ac:dyDescent="0.25"/>
    <row r="422" ht="19.5" customHeight="1" x14ac:dyDescent="0.25"/>
    <row r="423" ht="19.5" customHeight="1" x14ac:dyDescent="0.25"/>
    <row r="424" ht="19.5" customHeight="1" x14ac:dyDescent="0.25"/>
    <row r="425" ht="19.5" customHeight="1" x14ac:dyDescent="0.25"/>
    <row r="426" ht="19.5" customHeight="1" x14ac:dyDescent="0.25"/>
    <row r="427" ht="19.5" customHeight="1" x14ac:dyDescent="0.25"/>
    <row r="428" ht="19.5" customHeight="1" x14ac:dyDescent="0.25"/>
    <row r="429" ht="19.5" customHeight="1" x14ac:dyDescent="0.25"/>
    <row r="430" ht="19.5" customHeight="1" x14ac:dyDescent="0.25"/>
    <row r="431" ht="19.5" customHeight="1" x14ac:dyDescent="0.25"/>
    <row r="432" ht="19.5" customHeight="1" x14ac:dyDescent="0.25"/>
    <row r="433" ht="19.5" customHeight="1" x14ac:dyDescent="0.25"/>
    <row r="434" ht="19.5" customHeight="1" x14ac:dyDescent="0.25"/>
    <row r="435" ht="19.5" customHeight="1" x14ac:dyDescent="0.25"/>
    <row r="436" ht="19.5" customHeight="1" x14ac:dyDescent="0.25"/>
    <row r="437" ht="19.5" customHeight="1" x14ac:dyDescent="0.25"/>
    <row r="438" ht="19.5" customHeight="1" x14ac:dyDescent="0.25"/>
    <row r="439" ht="19.5" customHeight="1" x14ac:dyDescent="0.25"/>
    <row r="440" ht="19.5" customHeight="1" x14ac:dyDescent="0.25"/>
    <row r="441" ht="19.5" customHeight="1" x14ac:dyDescent="0.25"/>
    <row r="442" ht="19.5" customHeight="1" x14ac:dyDescent="0.25"/>
    <row r="443" ht="19.5" customHeight="1" x14ac:dyDescent="0.25"/>
    <row r="444" ht="19.5" customHeight="1" x14ac:dyDescent="0.25"/>
    <row r="445" ht="19.5" customHeight="1" x14ac:dyDescent="0.25"/>
    <row r="446" ht="19.5" customHeight="1" x14ac:dyDescent="0.25"/>
    <row r="447" ht="19.5" customHeight="1" x14ac:dyDescent="0.25"/>
    <row r="448" ht="19.5" customHeight="1" x14ac:dyDescent="0.25"/>
    <row r="449" ht="19.5" customHeight="1" x14ac:dyDescent="0.25"/>
    <row r="450" ht="19.5" customHeight="1" x14ac:dyDescent="0.25"/>
    <row r="451" ht="19.5" customHeight="1" x14ac:dyDescent="0.25"/>
    <row r="452" ht="19.5" customHeight="1" x14ac:dyDescent="0.25"/>
    <row r="453" ht="19.5" customHeight="1" x14ac:dyDescent="0.25"/>
    <row r="454" ht="19.5" customHeight="1" x14ac:dyDescent="0.25"/>
    <row r="455" ht="19.5" customHeight="1" x14ac:dyDescent="0.25"/>
    <row r="456" ht="19.5" customHeight="1" x14ac:dyDescent="0.25"/>
    <row r="457" ht="19.5" customHeight="1" x14ac:dyDescent="0.25"/>
    <row r="458" ht="19.5" customHeight="1" x14ac:dyDescent="0.25"/>
    <row r="459" ht="19.5" customHeight="1" x14ac:dyDescent="0.25"/>
    <row r="460" ht="19.5" customHeight="1" x14ac:dyDescent="0.25"/>
    <row r="461" ht="19.5" customHeight="1" x14ac:dyDescent="0.25"/>
    <row r="462" ht="19.5" customHeight="1" x14ac:dyDescent="0.25"/>
    <row r="463" ht="19.5" customHeight="1" x14ac:dyDescent="0.25"/>
    <row r="464" ht="19.5" customHeight="1" x14ac:dyDescent="0.25"/>
    <row r="465" ht="19.5" customHeight="1" x14ac:dyDescent="0.25"/>
    <row r="466" ht="19.5" customHeight="1" x14ac:dyDescent="0.25"/>
    <row r="467" ht="19.5" customHeight="1" x14ac:dyDescent="0.25"/>
    <row r="468" ht="19.5" customHeight="1" x14ac:dyDescent="0.25"/>
    <row r="469" ht="19.5" customHeight="1" x14ac:dyDescent="0.25"/>
    <row r="470" ht="19.5" customHeight="1" x14ac:dyDescent="0.25"/>
    <row r="471" ht="19.5" customHeight="1" x14ac:dyDescent="0.25"/>
    <row r="472" ht="19.5" customHeight="1" x14ac:dyDescent="0.25"/>
    <row r="473" ht="19.5" customHeight="1" x14ac:dyDescent="0.25"/>
    <row r="474" ht="19.5" customHeight="1" x14ac:dyDescent="0.25"/>
    <row r="475" ht="19.5" customHeight="1" x14ac:dyDescent="0.25"/>
    <row r="476" ht="19.5" customHeight="1" x14ac:dyDescent="0.25"/>
    <row r="477" ht="19.5" customHeight="1" x14ac:dyDescent="0.25"/>
    <row r="478" ht="19.5" customHeight="1" x14ac:dyDescent="0.25"/>
    <row r="479" ht="19.5" customHeight="1" x14ac:dyDescent="0.25"/>
    <row r="480" ht="19.5" customHeight="1" x14ac:dyDescent="0.25"/>
    <row r="481" ht="19.5" customHeight="1" x14ac:dyDescent="0.25"/>
    <row r="482" ht="19.5" customHeight="1" x14ac:dyDescent="0.25"/>
    <row r="483" ht="19.5" customHeight="1" x14ac:dyDescent="0.25"/>
    <row r="484" ht="19.5" customHeight="1" x14ac:dyDescent="0.25"/>
    <row r="485" ht="19.5" customHeight="1" x14ac:dyDescent="0.25"/>
    <row r="486" ht="19.5" customHeight="1" x14ac:dyDescent="0.25"/>
    <row r="487" ht="19.5" customHeight="1" x14ac:dyDescent="0.25"/>
    <row r="488" ht="19.5" customHeight="1" x14ac:dyDescent="0.25"/>
    <row r="489" ht="19.5" customHeight="1" x14ac:dyDescent="0.25"/>
    <row r="490" ht="19.5" customHeight="1" x14ac:dyDescent="0.25"/>
    <row r="491" ht="19.5" customHeight="1" x14ac:dyDescent="0.25"/>
    <row r="492" ht="19.5" customHeight="1" x14ac:dyDescent="0.25"/>
    <row r="493" ht="19.5" customHeight="1" x14ac:dyDescent="0.25"/>
    <row r="494" ht="19.5" customHeight="1" x14ac:dyDescent="0.25"/>
    <row r="495" ht="19.5" customHeight="1" x14ac:dyDescent="0.25"/>
    <row r="496" ht="19.5" customHeight="1" x14ac:dyDescent="0.25"/>
    <row r="497" ht="19.5" customHeight="1" x14ac:dyDescent="0.25"/>
    <row r="498" ht="19.5" customHeight="1" x14ac:dyDescent="0.25"/>
    <row r="499" ht="19.5" customHeight="1" x14ac:dyDescent="0.25"/>
    <row r="500" ht="19.5" customHeight="1" x14ac:dyDescent="0.25"/>
    <row r="501" ht="19.5" customHeight="1" x14ac:dyDescent="0.25"/>
    <row r="502" ht="19.5" customHeight="1" x14ac:dyDescent="0.25"/>
    <row r="503" ht="19.5" customHeight="1" x14ac:dyDescent="0.25"/>
    <row r="504" ht="19.5" customHeight="1" x14ac:dyDescent="0.25"/>
    <row r="505" ht="19.5" customHeight="1" x14ac:dyDescent="0.25"/>
    <row r="506" ht="19.5" customHeight="1" x14ac:dyDescent="0.25"/>
    <row r="507" ht="19.5" customHeight="1" x14ac:dyDescent="0.25"/>
    <row r="508" ht="19.5" customHeight="1" x14ac:dyDescent="0.25"/>
    <row r="509" ht="19.5" customHeight="1" x14ac:dyDescent="0.25"/>
    <row r="510" ht="19.5" customHeight="1" x14ac:dyDescent="0.25"/>
    <row r="511" ht="19.5" customHeight="1" x14ac:dyDescent="0.25"/>
    <row r="512" ht="19.5" customHeight="1" x14ac:dyDescent="0.25"/>
    <row r="513" ht="19.5" customHeight="1" x14ac:dyDescent="0.25"/>
    <row r="514" ht="19.5" customHeight="1" x14ac:dyDescent="0.25"/>
    <row r="515" ht="19.5" customHeight="1" x14ac:dyDescent="0.25"/>
    <row r="516" ht="19.5" customHeight="1" x14ac:dyDescent="0.25"/>
    <row r="517" ht="19.5" customHeight="1" x14ac:dyDescent="0.25"/>
    <row r="518" ht="19.5" customHeight="1" x14ac:dyDescent="0.25"/>
    <row r="519" ht="19.5" customHeight="1" x14ac:dyDescent="0.25"/>
    <row r="520" ht="19.5" customHeight="1" x14ac:dyDescent="0.25"/>
    <row r="521" ht="19.5" customHeight="1" x14ac:dyDescent="0.25"/>
    <row r="522" ht="19.5" customHeight="1" x14ac:dyDescent="0.25"/>
    <row r="523" ht="19.5" customHeight="1" x14ac:dyDescent="0.25"/>
    <row r="524" ht="19.5" customHeight="1" x14ac:dyDescent="0.25"/>
    <row r="525" ht="19.5" customHeight="1" x14ac:dyDescent="0.25"/>
    <row r="526" ht="19.5" customHeight="1" x14ac:dyDescent="0.25"/>
    <row r="527" ht="19.5" customHeight="1" x14ac:dyDescent="0.25"/>
    <row r="528" ht="19.5" customHeight="1" x14ac:dyDescent="0.25"/>
    <row r="529" ht="19.5" customHeight="1" x14ac:dyDescent="0.25"/>
    <row r="530" ht="19.5" customHeight="1" x14ac:dyDescent="0.25"/>
    <row r="531" ht="19.5" customHeight="1" x14ac:dyDescent="0.25"/>
    <row r="532" ht="19.5" customHeight="1" x14ac:dyDescent="0.25"/>
    <row r="533" ht="19.5" customHeight="1" x14ac:dyDescent="0.25"/>
    <row r="534" ht="19.5" customHeight="1" x14ac:dyDescent="0.25"/>
    <row r="535" ht="19.5" customHeight="1" x14ac:dyDescent="0.25"/>
    <row r="536" ht="19.5" customHeight="1" x14ac:dyDescent="0.25"/>
    <row r="537" ht="19.5" customHeight="1" x14ac:dyDescent="0.25"/>
    <row r="538" ht="19.5" customHeight="1" x14ac:dyDescent="0.25"/>
    <row r="539" ht="19.5" customHeight="1" x14ac:dyDescent="0.25"/>
    <row r="540" ht="19.5" customHeight="1" x14ac:dyDescent="0.25"/>
    <row r="541" ht="19.5" customHeight="1" x14ac:dyDescent="0.25"/>
    <row r="542" ht="19.5" customHeight="1" x14ac:dyDescent="0.25"/>
    <row r="543" ht="19.5" customHeight="1" x14ac:dyDescent="0.25"/>
    <row r="544" ht="19.5" customHeight="1" x14ac:dyDescent="0.25"/>
    <row r="545" ht="19.5" customHeight="1" x14ac:dyDescent="0.25"/>
    <row r="546" ht="19.5" customHeight="1" x14ac:dyDescent="0.25"/>
    <row r="547" ht="19.5" customHeight="1" x14ac:dyDescent="0.25"/>
    <row r="548" ht="19.5" customHeight="1" x14ac:dyDescent="0.25"/>
    <row r="549" ht="19.5" customHeight="1" x14ac:dyDescent="0.25"/>
    <row r="550" ht="19.5" customHeight="1" x14ac:dyDescent="0.25"/>
    <row r="551" ht="19.5" customHeight="1" x14ac:dyDescent="0.25"/>
    <row r="552" ht="19.5" customHeight="1" x14ac:dyDescent="0.25"/>
    <row r="553" ht="19.5" customHeight="1" x14ac:dyDescent="0.25"/>
    <row r="554" ht="19.5" customHeight="1" x14ac:dyDescent="0.25"/>
    <row r="555" ht="19.5" customHeight="1" x14ac:dyDescent="0.25"/>
    <row r="556" ht="19.5" customHeight="1" x14ac:dyDescent="0.25"/>
    <row r="557" ht="19.5" customHeight="1" x14ac:dyDescent="0.25"/>
    <row r="558" ht="19.5" customHeight="1" x14ac:dyDescent="0.25"/>
    <row r="559" ht="19.5" customHeight="1" x14ac:dyDescent="0.25"/>
    <row r="560" ht="19.5" customHeight="1" x14ac:dyDescent="0.25"/>
    <row r="561" ht="19.5" customHeight="1" x14ac:dyDescent="0.25"/>
    <row r="562" ht="19.5" customHeight="1" x14ac:dyDescent="0.25"/>
    <row r="563" ht="19.5" customHeight="1" x14ac:dyDescent="0.25"/>
    <row r="564" ht="19.5" customHeight="1" x14ac:dyDescent="0.25"/>
    <row r="565" ht="19.5" customHeight="1" x14ac:dyDescent="0.25"/>
    <row r="566" ht="19.5" customHeight="1" x14ac:dyDescent="0.25"/>
    <row r="567" ht="19.5" customHeight="1" x14ac:dyDescent="0.25"/>
    <row r="568" ht="19.5" customHeight="1" x14ac:dyDescent="0.25"/>
    <row r="569" ht="19.5" customHeight="1" x14ac:dyDescent="0.25"/>
    <row r="570" ht="19.5" customHeight="1" x14ac:dyDescent="0.25"/>
    <row r="571" ht="19.5" customHeight="1" x14ac:dyDescent="0.25"/>
    <row r="572" ht="19.5" customHeight="1" x14ac:dyDescent="0.25"/>
    <row r="573" ht="19.5" customHeight="1" x14ac:dyDescent="0.25"/>
    <row r="574" ht="19.5" customHeight="1" x14ac:dyDescent="0.25"/>
    <row r="575" ht="19.5" customHeight="1" x14ac:dyDescent="0.25"/>
    <row r="576" ht="19.5" customHeight="1" x14ac:dyDescent="0.25"/>
    <row r="577" ht="19.5" customHeight="1" x14ac:dyDescent="0.25"/>
    <row r="578" ht="19.5" customHeight="1" x14ac:dyDescent="0.25"/>
    <row r="579" ht="19.5" customHeight="1" x14ac:dyDescent="0.25"/>
    <row r="580" ht="19.5" customHeight="1" x14ac:dyDescent="0.25"/>
    <row r="581" ht="19.5" customHeight="1" x14ac:dyDescent="0.25"/>
    <row r="582" ht="19.5" customHeight="1" x14ac:dyDescent="0.25"/>
    <row r="583" ht="19.5" customHeight="1" x14ac:dyDescent="0.25"/>
    <row r="584" ht="19.5" customHeight="1" x14ac:dyDescent="0.25"/>
    <row r="585" ht="19.5" customHeight="1" x14ac:dyDescent="0.25"/>
    <row r="586" ht="19.5" customHeight="1" x14ac:dyDescent="0.25"/>
    <row r="587" ht="19.5" customHeight="1" x14ac:dyDescent="0.25"/>
    <row r="588" ht="19.5" customHeight="1" x14ac:dyDescent="0.25"/>
    <row r="589" ht="19.5" customHeight="1" x14ac:dyDescent="0.25"/>
    <row r="590" ht="19.5" customHeight="1" x14ac:dyDescent="0.25"/>
    <row r="591" ht="19.5" customHeight="1" x14ac:dyDescent="0.25"/>
    <row r="592" ht="19.5" customHeight="1" x14ac:dyDescent="0.25"/>
    <row r="593" ht="19.5" customHeight="1" x14ac:dyDescent="0.25"/>
    <row r="594" ht="19.5" customHeight="1" x14ac:dyDescent="0.25"/>
    <row r="595" ht="19.5" customHeight="1" x14ac:dyDescent="0.25"/>
    <row r="596" ht="19.5" customHeight="1" x14ac:dyDescent="0.25"/>
    <row r="597" ht="19.5" customHeight="1" x14ac:dyDescent="0.25"/>
    <row r="598" ht="19.5" customHeight="1" x14ac:dyDescent="0.25"/>
    <row r="599" ht="19.5" customHeight="1" x14ac:dyDescent="0.25"/>
    <row r="600" ht="19.5" customHeight="1" x14ac:dyDescent="0.25"/>
    <row r="601" ht="19.5" customHeight="1" x14ac:dyDescent="0.25"/>
    <row r="602" ht="19.5" customHeight="1" x14ac:dyDescent="0.25"/>
    <row r="603" ht="19.5" customHeight="1" x14ac:dyDescent="0.25"/>
    <row r="604" ht="19.5" customHeight="1" x14ac:dyDescent="0.25"/>
    <row r="605" ht="19.5" customHeight="1" x14ac:dyDescent="0.25"/>
    <row r="606" ht="19.5" customHeight="1" x14ac:dyDescent="0.25"/>
    <row r="607" ht="19.5" customHeight="1" x14ac:dyDescent="0.25"/>
    <row r="608" ht="19.5" customHeight="1" x14ac:dyDescent="0.25"/>
    <row r="609" ht="19.5" customHeight="1" x14ac:dyDescent="0.25"/>
    <row r="610" ht="19.5" customHeight="1" x14ac:dyDescent="0.25"/>
    <row r="611" ht="19.5" customHeight="1" x14ac:dyDescent="0.25"/>
    <row r="612" ht="19.5" customHeight="1" x14ac:dyDescent="0.25"/>
    <row r="613" ht="19.5" customHeight="1" x14ac:dyDescent="0.25"/>
    <row r="614" ht="19.5" customHeight="1" x14ac:dyDescent="0.25"/>
    <row r="615" ht="19.5" customHeight="1" x14ac:dyDescent="0.25"/>
    <row r="616" ht="19.5" customHeight="1" x14ac:dyDescent="0.25"/>
    <row r="617" ht="19.5" customHeight="1" x14ac:dyDescent="0.25"/>
    <row r="618" ht="19.5" customHeight="1" x14ac:dyDescent="0.25"/>
    <row r="619" ht="19.5" customHeight="1" x14ac:dyDescent="0.25"/>
    <row r="620" ht="19.5" customHeight="1" x14ac:dyDescent="0.25"/>
    <row r="621" ht="19.5" customHeight="1" x14ac:dyDescent="0.25"/>
    <row r="622" ht="19.5" customHeight="1" x14ac:dyDescent="0.25"/>
    <row r="623" ht="19.5" customHeight="1" x14ac:dyDescent="0.25"/>
    <row r="624" ht="19.5" customHeight="1" x14ac:dyDescent="0.25"/>
    <row r="625" ht="19.5" customHeight="1" x14ac:dyDescent="0.25"/>
    <row r="626" ht="19.5" customHeight="1" x14ac:dyDescent="0.25"/>
    <row r="627" ht="19.5" customHeight="1" x14ac:dyDescent="0.25"/>
    <row r="628" ht="19.5" customHeight="1" x14ac:dyDescent="0.25"/>
    <row r="629" ht="19.5" customHeight="1" x14ac:dyDescent="0.25"/>
    <row r="630" ht="19.5" customHeight="1" x14ac:dyDescent="0.25"/>
    <row r="631" ht="19.5" customHeight="1" x14ac:dyDescent="0.25"/>
    <row r="632" ht="19.5" customHeight="1" x14ac:dyDescent="0.25"/>
    <row r="633" ht="19.5" customHeight="1" x14ac:dyDescent="0.25"/>
    <row r="634" ht="19.5" customHeight="1" x14ac:dyDescent="0.25"/>
    <row r="635" ht="19.5" customHeight="1" x14ac:dyDescent="0.25"/>
    <row r="636" ht="19.5" customHeight="1" x14ac:dyDescent="0.25"/>
    <row r="637" ht="19.5" customHeight="1" x14ac:dyDescent="0.25"/>
    <row r="638" ht="19.5" customHeight="1" x14ac:dyDescent="0.25"/>
    <row r="639" ht="19.5" customHeight="1" x14ac:dyDescent="0.25"/>
    <row r="640" ht="19.5" customHeight="1" x14ac:dyDescent="0.25"/>
    <row r="641" ht="19.5" customHeight="1" x14ac:dyDescent="0.25"/>
    <row r="642" ht="19.5" customHeight="1" x14ac:dyDescent="0.25"/>
    <row r="643" ht="19.5" customHeight="1" x14ac:dyDescent="0.25"/>
    <row r="644" ht="19.5" customHeight="1" x14ac:dyDescent="0.25"/>
    <row r="645" ht="19.5" customHeight="1" x14ac:dyDescent="0.25"/>
    <row r="646" ht="19.5" customHeight="1" x14ac:dyDescent="0.25"/>
    <row r="647" ht="19.5" customHeight="1" x14ac:dyDescent="0.25"/>
    <row r="648" ht="19.5" customHeight="1" x14ac:dyDescent="0.25"/>
    <row r="649" ht="19.5" customHeight="1" x14ac:dyDescent="0.25"/>
    <row r="650" ht="19.5" customHeight="1" x14ac:dyDescent="0.25"/>
    <row r="651" ht="19.5" customHeight="1" x14ac:dyDescent="0.25"/>
    <row r="652" ht="19.5" customHeight="1" x14ac:dyDescent="0.25"/>
    <row r="653" ht="19.5" customHeight="1" x14ac:dyDescent="0.25"/>
    <row r="654" ht="19.5" customHeight="1" x14ac:dyDescent="0.25"/>
    <row r="655" ht="19.5" customHeight="1" x14ac:dyDescent="0.25"/>
    <row r="656" ht="19.5" customHeight="1" x14ac:dyDescent="0.25"/>
    <row r="657" ht="19.5" customHeight="1" x14ac:dyDescent="0.25"/>
    <row r="658" ht="19.5" customHeight="1" x14ac:dyDescent="0.25"/>
    <row r="659" ht="19.5" customHeight="1" x14ac:dyDescent="0.25"/>
    <row r="660" ht="19.5" customHeight="1" x14ac:dyDescent="0.25"/>
    <row r="661" ht="19.5" customHeight="1" x14ac:dyDescent="0.25"/>
    <row r="662" ht="19.5" customHeight="1" x14ac:dyDescent="0.25"/>
    <row r="663" ht="19.5" customHeight="1" x14ac:dyDescent="0.25"/>
    <row r="664" ht="19.5" customHeight="1" x14ac:dyDescent="0.25"/>
    <row r="665" ht="19.5" customHeight="1" x14ac:dyDescent="0.25"/>
    <row r="666" ht="19.5" customHeight="1" x14ac:dyDescent="0.25"/>
    <row r="667" ht="19.5" customHeight="1" x14ac:dyDescent="0.25"/>
    <row r="668" ht="19.5" customHeight="1" x14ac:dyDescent="0.25"/>
    <row r="669" ht="19.5" customHeight="1" x14ac:dyDescent="0.25"/>
    <row r="670" ht="19.5" customHeight="1" x14ac:dyDescent="0.25"/>
    <row r="671" ht="19.5" customHeight="1" x14ac:dyDescent="0.25"/>
    <row r="672" ht="19.5" customHeight="1" x14ac:dyDescent="0.25"/>
    <row r="673" ht="19.5" customHeight="1" x14ac:dyDescent="0.25"/>
    <row r="674" ht="19.5" customHeight="1" x14ac:dyDescent="0.25"/>
    <row r="675" ht="19.5" customHeight="1" x14ac:dyDescent="0.25"/>
    <row r="676" ht="19.5" customHeight="1" x14ac:dyDescent="0.25"/>
    <row r="677" ht="19.5" customHeight="1" x14ac:dyDescent="0.25"/>
    <row r="678" ht="19.5" customHeight="1" x14ac:dyDescent="0.25"/>
    <row r="679" ht="19.5" customHeight="1" x14ac:dyDescent="0.25"/>
    <row r="680" ht="19.5" customHeight="1" x14ac:dyDescent="0.25"/>
    <row r="681" ht="19.5" customHeight="1" x14ac:dyDescent="0.25"/>
    <row r="682" ht="19.5" customHeight="1" x14ac:dyDescent="0.25"/>
    <row r="683" ht="19.5" customHeight="1" x14ac:dyDescent="0.25"/>
    <row r="684" ht="19.5" customHeight="1" x14ac:dyDescent="0.25"/>
    <row r="685" ht="19.5" customHeight="1" x14ac:dyDescent="0.25"/>
    <row r="686" ht="19.5" customHeight="1" x14ac:dyDescent="0.25"/>
    <row r="687" ht="19.5" customHeight="1" x14ac:dyDescent="0.25"/>
    <row r="688" ht="19.5" customHeight="1" x14ac:dyDescent="0.25"/>
    <row r="689" ht="19.5" customHeight="1" x14ac:dyDescent="0.25"/>
    <row r="690" ht="19.5" customHeight="1" x14ac:dyDescent="0.25"/>
    <row r="691" ht="19.5" customHeight="1" x14ac:dyDescent="0.25"/>
    <row r="692" ht="19.5" customHeight="1" x14ac:dyDescent="0.25"/>
    <row r="693" ht="19.5" customHeight="1" x14ac:dyDescent="0.25"/>
    <row r="694" ht="19.5" customHeight="1" x14ac:dyDescent="0.25"/>
    <row r="695" ht="19.5" customHeight="1" x14ac:dyDescent="0.25"/>
    <row r="696" ht="19.5" customHeight="1" x14ac:dyDescent="0.25"/>
    <row r="697" ht="19.5" customHeight="1" x14ac:dyDescent="0.25"/>
    <row r="698" ht="19.5" customHeight="1" x14ac:dyDescent="0.25"/>
    <row r="699" ht="19.5" customHeight="1" x14ac:dyDescent="0.25"/>
    <row r="700" ht="19.5" customHeight="1" x14ac:dyDescent="0.25"/>
    <row r="701" ht="19.5" customHeight="1" x14ac:dyDescent="0.25"/>
    <row r="702" ht="19.5" customHeight="1" x14ac:dyDescent="0.25"/>
    <row r="703" ht="19.5" customHeight="1" x14ac:dyDescent="0.25"/>
    <row r="704" ht="19.5" customHeight="1" x14ac:dyDescent="0.25"/>
    <row r="705" ht="19.5" customHeight="1" x14ac:dyDescent="0.25"/>
    <row r="706" ht="19.5" customHeight="1" x14ac:dyDescent="0.25"/>
    <row r="707" ht="19.5" customHeight="1" x14ac:dyDescent="0.25"/>
    <row r="708" ht="19.5" customHeight="1" x14ac:dyDescent="0.25"/>
    <row r="709" ht="19.5" customHeight="1" x14ac:dyDescent="0.25"/>
    <row r="710" ht="19.5" customHeight="1" x14ac:dyDescent="0.25"/>
    <row r="711" ht="19.5" customHeight="1" x14ac:dyDescent="0.25"/>
    <row r="712" ht="19.5" customHeight="1" x14ac:dyDescent="0.25"/>
    <row r="713" ht="19.5" customHeight="1" x14ac:dyDescent="0.25"/>
    <row r="714" ht="19.5" customHeight="1" x14ac:dyDescent="0.25"/>
    <row r="715" ht="19.5" customHeight="1" x14ac:dyDescent="0.25"/>
    <row r="716" ht="19.5" customHeight="1" x14ac:dyDescent="0.25"/>
    <row r="717" ht="19.5" customHeight="1" x14ac:dyDescent="0.25"/>
    <row r="718" ht="19.5" customHeight="1" x14ac:dyDescent="0.25"/>
    <row r="719" ht="19.5" customHeight="1" x14ac:dyDescent="0.25"/>
    <row r="720" ht="19.5" customHeight="1" x14ac:dyDescent="0.25"/>
    <row r="721" ht="19.5" customHeight="1" x14ac:dyDescent="0.25"/>
    <row r="722" ht="19.5" customHeight="1" x14ac:dyDescent="0.25"/>
    <row r="723" ht="19.5" customHeight="1" x14ac:dyDescent="0.25"/>
    <row r="724" ht="19.5" customHeight="1" x14ac:dyDescent="0.25"/>
    <row r="725" ht="19.5" customHeight="1" x14ac:dyDescent="0.25"/>
    <row r="726" ht="19.5" customHeight="1" x14ac:dyDescent="0.25"/>
    <row r="727" ht="19.5" customHeight="1" x14ac:dyDescent="0.25"/>
    <row r="728" ht="19.5" customHeight="1" x14ac:dyDescent="0.25"/>
    <row r="729" ht="19.5" customHeight="1" x14ac:dyDescent="0.25"/>
    <row r="730" ht="19.5" customHeight="1" x14ac:dyDescent="0.25"/>
    <row r="731" ht="19.5" customHeight="1" x14ac:dyDescent="0.25"/>
    <row r="732" ht="19.5" customHeight="1" x14ac:dyDescent="0.25"/>
    <row r="733" ht="19.5" customHeight="1" x14ac:dyDescent="0.25"/>
    <row r="734" ht="19.5" customHeight="1" x14ac:dyDescent="0.25"/>
    <row r="735" ht="19.5" customHeight="1" x14ac:dyDescent="0.25"/>
    <row r="736" ht="19.5" customHeight="1" x14ac:dyDescent="0.25"/>
    <row r="737" ht="19.5" customHeight="1" x14ac:dyDescent="0.25"/>
    <row r="738" ht="19.5" customHeight="1" x14ac:dyDescent="0.25"/>
    <row r="739" ht="19.5" customHeight="1" x14ac:dyDescent="0.25"/>
    <row r="740" ht="19.5" customHeight="1" x14ac:dyDescent="0.25"/>
    <row r="741" ht="19.5" customHeight="1" x14ac:dyDescent="0.25"/>
    <row r="742" ht="19.5" customHeight="1" x14ac:dyDescent="0.25"/>
    <row r="743" ht="19.5" customHeight="1" x14ac:dyDescent="0.25"/>
    <row r="744" ht="19.5" customHeight="1" x14ac:dyDescent="0.25"/>
    <row r="745" ht="19.5" customHeight="1" x14ac:dyDescent="0.25"/>
    <row r="746" ht="19.5" customHeight="1" x14ac:dyDescent="0.25"/>
    <row r="747" ht="19.5" customHeight="1" x14ac:dyDescent="0.25"/>
    <row r="748" ht="19.5" customHeight="1" x14ac:dyDescent="0.25"/>
    <row r="749" ht="19.5" customHeight="1" x14ac:dyDescent="0.25"/>
    <row r="750" ht="19.5" customHeight="1" x14ac:dyDescent="0.25"/>
    <row r="751" ht="19.5" customHeight="1" x14ac:dyDescent="0.25"/>
    <row r="752" ht="19.5" customHeight="1" x14ac:dyDescent="0.25"/>
    <row r="753" ht="19.5" customHeight="1" x14ac:dyDescent="0.25"/>
    <row r="754" ht="19.5" customHeight="1" x14ac:dyDescent="0.25"/>
    <row r="755" ht="19.5" customHeight="1" x14ac:dyDescent="0.25"/>
    <row r="756" ht="19.5" customHeight="1" x14ac:dyDescent="0.25"/>
    <row r="757" ht="19.5" customHeight="1" x14ac:dyDescent="0.25"/>
    <row r="758" ht="19.5" customHeight="1" x14ac:dyDescent="0.25"/>
    <row r="759" ht="19.5" customHeight="1" x14ac:dyDescent="0.25"/>
    <row r="760" ht="19.5" customHeight="1" x14ac:dyDescent="0.25"/>
    <row r="761" ht="19.5" customHeight="1" x14ac:dyDescent="0.25"/>
    <row r="762" ht="19.5" customHeight="1" x14ac:dyDescent="0.25"/>
    <row r="763" ht="19.5" customHeight="1" x14ac:dyDescent="0.25"/>
    <row r="764" ht="19.5" customHeight="1" x14ac:dyDescent="0.25"/>
    <row r="765" ht="19.5" customHeight="1" x14ac:dyDescent="0.25"/>
    <row r="766" ht="19.5" customHeight="1" x14ac:dyDescent="0.25"/>
    <row r="767" ht="19.5" customHeight="1" x14ac:dyDescent="0.25"/>
    <row r="768" ht="19.5" customHeight="1" x14ac:dyDescent="0.25"/>
    <row r="769" ht="19.5" customHeight="1" x14ac:dyDescent="0.25"/>
    <row r="770" ht="19.5" customHeight="1" x14ac:dyDescent="0.25"/>
    <row r="771" ht="19.5" customHeight="1" x14ac:dyDescent="0.25"/>
    <row r="772" ht="19.5" customHeight="1" x14ac:dyDescent="0.25"/>
    <row r="773" ht="19.5" customHeight="1" x14ac:dyDescent="0.25"/>
    <row r="774" ht="19.5" customHeight="1" x14ac:dyDescent="0.25"/>
    <row r="775" ht="19.5" customHeight="1" x14ac:dyDescent="0.25"/>
    <row r="776" ht="19.5" customHeight="1" x14ac:dyDescent="0.25"/>
    <row r="777" ht="19.5" customHeight="1" x14ac:dyDescent="0.25"/>
    <row r="778" ht="19.5" customHeight="1" x14ac:dyDescent="0.25"/>
    <row r="779" ht="19.5" customHeight="1" x14ac:dyDescent="0.25"/>
    <row r="780" ht="19.5" customHeight="1" x14ac:dyDescent="0.25"/>
    <row r="781" ht="19.5" customHeight="1" x14ac:dyDescent="0.25"/>
    <row r="782" ht="19.5" customHeight="1" x14ac:dyDescent="0.25"/>
    <row r="783" ht="19.5" customHeight="1" x14ac:dyDescent="0.25"/>
    <row r="784" ht="19.5" customHeight="1" x14ac:dyDescent="0.25"/>
    <row r="785" ht="19.5" customHeight="1" x14ac:dyDescent="0.25"/>
    <row r="786" ht="19.5" customHeight="1" x14ac:dyDescent="0.25"/>
    <row r="787" ht="19.5" customHeight="1" x14ac:dyDescent="0.25"/>
    <row r="788" ht="19.5" customHeight="1" x14ac:dyDescent="0.25"/>
    <row r="789" ht="19.5" customHeight="1" x14ac:dyDescent="0.25"/>
    <row r="790" ht="19.5" customHeight="1" x14ac:dyDescent="0.25"/>
    <row r="791" ht="19.5" customHeight="1" x14ac:dyDescent="0.25"/>
    <row r="792" ht="19.5" customHeight="1" x14ac:dyDescent="0.25"/>
    <row r="793" ht="19.5" customHeight="1" x14ac:dyDescent="0.25"/>
    <row r="794" ht="19.5" customHeight="1" x14ac:dyDescent="0.25"/>
    <row r="795" ht="19.5" customHeight="1" x14ac:dyDescent="0.25"/>
    <row r="796" ht="19.5" customHeight="1" x14ac:dyDescent="0.25"/>
    <row r="797" ht="19.5" customHeight="1" x14ac:dyDescent="0.25"/>
    <row r="798" ht="19.5" customHeight="1" x14ac:dyDescent="0.25"/>
    <row r="799" ht="19.5" customHeight="1" x14ac:dyDescent="0.25"/>
    <row r="800" ht="19.5" customHeight="1" x14ac:dyDescent="0.25"/>
    <row r="801" ht="19.5" customHeight="1" x14ac:dyDescent="0.25"/>
    <row r="802" ht="19.5" customHeight="1" x14ac:dyDescent="0.25"/>
    <row r="803" ht="19.5" customHeight="1" x14ac:dyDescent="0.25"/>
    <row r="804" ht="19.5" customHeight="1" x14ac:dyDescent="0.25"/>
    <row r="805" ht="19.5" customHeight="1" x14ac:dyDescent="0.25"/>
    <row r="806" ht="19.5" customHeight="1" x14ac:dyDescent="0.25"/>
    <row r="807" ht="19.5" customHeight="1" x14ac:dyDescent="0.25"/>
    <row r="808" ht="19.5" customHeight="1" x14ac:dyDescent="0.25"/>
    <row r="809" ht="19.5" customHeight="1" x14ac:dyDescent="0.25"/>
    <row r="810" ht="19.5" customHeight="1" x14ac:dyDescent="0.25"/>
    <row r="811" ht="19.5" customHeight="1" x14ac:dyDescent="0.25"/>
    <row r="812" ht="19.5" customHeight="1" x14ac:dyDescent="0.25"/>
    <row r="813" ht="19.5" customHeight="1" x14ac:dyDescent="0.25"/>
    <row r="814" ht="19.5" customHeight="1" x14ac:dyDescent="0.25"/>
    <row r="815" ht="19.5" customHeight="1" x14ac:dyDescent="0.25"/>
    <row r="816" ht="19.5" customHeight="1" x14ac:dyDescent="0.25"/>
    <row r="817" ht="19.5" customHeight="1" x14ac:dyDescent="0.25"/>
    <row r="818" ht="19.5" customHeight="1" x14ac:dyDescent="0.25"/>
    <row r="819" ht="19.5" customHeight="1" x14ac:dyDescent="0.25"/>
    <row r="820" ht="19.5" customHeight="1" x14ac:dyDescent="0.25"/>
    <row r="821" ht="19.5" customHeight="1" x14ac:dyDescent="0.25"/>
    <row r="822" ht="19.5" customHeight="1" x14ac:dyDescent="0.25"/>
    <row r="823" ht="19.5" customHeight="1" x14ac:dyDescent="0.25"/>
    <row r="824" ht="19.5" customHeight="1" x14ac:dyDescent="0.25"/>
    <row r="825" ht="19.5" customHeight="1" x14ac:dyDescent="0.25"/>
    <row r="826" ht="19.5" customHeight="1" x14ac:dyDescent="0.25"/>
    <row r="827" ht="19.5" customHeight="1" x14ac:dyDescent="0.25"/>
    <row r="828" ht="19.5" customHeight="1" x14ac:dyDescent="0.25"/>
    <row r="829" ht="19.5" customHeight="1" x14ac:dyDescent="0.25"/>
    <row r="830" ht="19.5" customHeight="1" x14ac:dyDescent="0.25"/>
    <row r="831" ht="19.5" customHeight="1" x14ac:dyDescent="0.25"/>
    <row r="832" ht="19.5" customHeight="1" x14ac:dyDescent="0.25"/>
    <row r="833" ht="19.5" customHeight="1" x14ac:dyDescent="0.25"/>
    <row r="834" ht="19.5" customHeight="1" x14ac:dyDescent="0.25"/>
    <row r="835" ht="19.5" customHeight="1" x14ac:dyDescent="0.25"/>
    <row r="836" ht="19.5" customHeight="1" x14ac:dyDescent="0.25"/>
    <row r="837" ht="19.5" customHeight="1" x14ac:dyDescent="0.25"/>
    <row r="838" ht="19.5" customHeight="1" x14ac:dyDescent="0.25"/>
    <row r="839" ht="19.5" customHeight="1" x14ac:dyDescent="0.25"/>
    <row r="840" ht="19.5" customHeight="1" x14ac:dyDescent="0.25"/>
    <row r="841" ht="19.5" customHeight="1" x14ac:dyDescent="0.25"/>
    <row r="842" ht="19.5" customHeight="1" x14ac:dyDescent="0.25"/>
    <row r="843" ht="19.5" customHeight="1" x14ac:dyDescent="0.25"/>
    <row r="844" ht="19.5" customHeight="1" x14ac:dyDescent="0.25"/>
    <row r="845" ht="19.5" customHeight="1" x14ac:dyDescent="0.25"/>
    <row r="846" ht="19.5" customHeight="1" x14ac:dyDescent="0.25"/>
    <row r="847" ht="19.5" customHeight="1" x14ac:dyDescent="0.25"/>
    <row r="848" ht="19.5" customHeight="1" x14ac:dyDescent="0.25"/>
    <row r="849" ht="19.5" customHeight="1" x14ac:dyDescent="0.25"/>
    <row r="850" ht="19.5" customHeight="1" x14ac:dyDescent="0.25"/>
    <row r="851" ht="19.5" customHeight="1" x14ac:dyDescent="0.25"/>
    <row r="852" ht="19.5" customHeight="1" x14ac:dyDescent="0.25"/>
    <row r="853" ht="19.5" customHeight="1" x14ac:dyDescent="0.25"/>
    <row r="854" ht="19.5" customHeight="1" x14ac:dyDescent="0.25"/>
    <row r="855" ht="19.5" customHeight="1" x14ac:dyDescent="0.25"/>
    <row r="856" ht="19.5" customHeight="1" x14ac:dyDescent="0.25"/>
    <row r="857" ht="19.5" customHeight="1" x14ac:dyDescent="0.25"/>
    <row r="858" ht="19.5" customHeight="1" x14ac:dyDescent="0.25"/>
    <row r="859" ht="19.5" customHeight="1" x14ac:dyDescent="0.25"/>
    <row r="860" ht="19.5" customHeight="1" x14ac:dyDescent="0.25"/>
    <row r="861" ht="19.5" customHeight="1" x14ac:dyDescent="0.25"/>
    <row r="862" ht="19.5" customHeight="1" x14ac:dyDescent="0.25"/>
    <row r="863" ht="19.5" customHeight="1" x14ac:dyDescent="0.25"/>
    <row r="864" ht="19.5" customHeight="1" x14ac:dyDescent="0.25"/>
    <row r="865" ht="19.5" customHeight="1" x14ac:dyDescent="0.25"/>
    <row r="866" ht="19.5" customHeight="1" x14ac:dyDescent="0.25"/>
    <row r="867" ht="19.5" customHeight="1" x14ac:dyDescent="0.25"/>
    <row r="868" ht="19.5" customHeight="1" x14ac:dyDescent="0.25"/>
    <row r="869" ht="19.5" customHeight="1" x14ac:dyDescent="0.25"/>
    <row r="870" ht="19.5" customHeight="1" x14ac:dyDescent="0.25"/>
    <row r="871" ht="19.5" customHeight="1" x14ac:dyDescent="0.25"/>
    <row r="872" ht="19.5" customHeight="1" x14ac:dyDescent="0.25"/>
    <row r="873" ht="19.5" customHeight="1" x14ac:dyDescent="0.25"/>
    <row r="874" ht="19.5" customHeight="1" x14ac:dyDescent="0.25"/>
    <row r="875" ht="19.5" customHeight="1" x14ac:dyDescent="0.25"/>
    <row r="876" ht="19.5" customHeight="1" x14ac:dyDescent="0.25"/>
    <row r="877" ht="19.5" customHeight="1" x14ac:dyDescent="0.25"/>
    <row r="878" ht="19.5" customHeight="1" x14ac:dyDescent="0.25"/>
    <row r="879" ht="19.5" customHeight="1" x14ac:dyDescent="0.25"/>
    <row r="880" ht="19.5" customHeight="1" x14ac:dyDescent="0.25"/>
    <row r="881" ht="19.5" customHeight="1" x14ac:dyDescent="0.25"/>
    <row r="882" ht="19.5" customHeight="1" x14ac:dyDescent="0.25"/>
    <row r="883" ht="19.5" customHeight="1" x14ac:dyDescent="0.25"/>
    <row r="884" ht="19.5" customHeight="1" x14ac:dyDescent="0.25"/>
    <row r="885" ht="19.5" customHeight="1" x14ac:dyDescent="0.25"/>
    <row r="886" ht="19.5" customHeight="1" x14ac:dyDescent="0.25"/>
    <row r="887" ht="19.5" customHeight="1" x14ac:dyDescent="0.25"/>
    <row r="888" ht="19.5" customHeight="1" x14ac:dyDescent="0.25"/>
    <row r="889" ht="19.5" customHeight="1" x14ac:dyDescent="0.25"/>
    <row r="890" ht="19.5" customHeight="1" x14ac:dyDescent="0.25"/>
    <row r="891" ht="19.5" customHeight="1" x14ac:dyDescent="0.25"/>
    <row r="892" ht="19.5" customHeight="1" x14ac:dyDescent="0.25"/>
    <row r="893" ht="19.5" customHeight="1" x14ac:dyDescent="0.25"/>
    <row r="894" ht="19.5" customHeight="1" x14ac:dyDescent="0.25"/>
    <row r="895" ht="19.5" customHeight="1" x14ac:dyDescent="0.25"/>
    <row r="896" ht="19.5" customHeight="1" x14ac:dyDescent="0.25"/>
    <row r="897" ht="19.5" customHeight="1" x14ac:dyDescent="0.25"/>
    <row r="898" ht="19.5" customHeight="1" x14ac:dyDescent="0.25"/>
    <row r="899" ht="19.5" customHeight="1" x14ac:dyDescent="0.25"/>
    <row r="900" ht="19.5" customHeight="1" x14ac:dyDescent="0.25"/>
    <row r="901" ht="19.5" customHeight="1" x14ac:dyDescent="0.25"/>
    <row r="902" ht="19.5" customHeight="1" x14ac:dyDescent="0.25"/>
    <row r="903" ht="19.5" customHeight="1" x14ac:dyDescent="0.25"/>
    <row r="904" ht="19.5" customHeight="1" x14ac:dyDescent="0.25"/>
    <row r="905" ht="19.5" customHeight="1" x14ac:dyDescent="0.25"/>
    <row r="906" ht="19.5" customHeight="1" x14ac:dyDescent="0.25"/>
    <row r="907" ht="19.5" customHeight="1" x14ac:dyDescent="0.25"/>
    <row r="908" ht="19.5" customHeight="1" x14ac:dyDescent="0.25"/>
    <row r="909" ht="19.5" customHeight="1" x14ac:dyDescent="0.25"/>
    <row r="910" ht="19.5" customHeight="1" x14ac:dyDescent="0.25"/>
    <row r="911" ht="19.5" customHeight="1" x14ac:dyDescent="0.25"/>
    <row r="912" ht="19.5" customHeight="1" x14ac:dyDescent="0.25"/>
    <row r="913" ht="19.5" customHeight="1" x14ac:dyDescent="0.25"/>
    <row r="914" ht="19.5" customHeight="1" x14ac:dyDescent="0.25"/>
    <row r="915" ht="19.5" customHeight="1" x14ac:dyDescent="0.25"/>
    <row r="916" ht="19.5" customHeight="1" x14ac:dyDescent="0.25"/>
    <row r="917" ht="19.5" customHeight="1" x14ac:dyDescent="0.25"/>
    <row r="918" ht="19.5" customHeight="1" x14ac:dyDescent="0.25"/>
    <row r="919" ht="19.5" customHeight="1" x14ac:dyDescent="0.25"/>
    <row r="920" ht="19.5" customHeight="1" x14ac:dyDescent="0.25"/>
    <row r="921" ht="19.5" customHeight="1" x14ac:dyDescent="0.25"/>
    <row r="922" ht="19.5" customHeight="1" x14ac:dyDescent="0.25"/>
    <row r="923" ht="19.5" customHeight="1" x14ac:dyDescent="0.25"/>
    <row r="924" ht="19.5" customHeight="1" x14ac:dyDescent="0.25"/>
    <row r="925" ht="19.5" customHeight="1" x14ac:dyDescent="0.25"/>
    <row r="926" ht="19.5" customHeight="1" x14ac:dyDescent="0.25"/>
    <row r="927" ht="19.5" customHeight="1" x14ac:dyDescent="0.25"/>
    <row r="928" ht="19.5" customHeight="1" x14ac:dyDescent="0.25"/>
    <row r="929" ht="19.5" customHeight="1" x14ac:dyDescent="0.25"/>
    <row r="930" ht="19.5" customHeight="1" x14ac:dyDescent="0.25"/>
    <row r="931" ht="19.5" customHeight="1" x14ac:dyDescent="0.25"/>
    <row r="932" ht="19.5" customHeight="1" x14ac:dyDescent="0.25"/>
    <row r="933" ht="19.5" customHeight="1" x14ac:dyDescent="0.25"/>
    <row r="934" ht="19.5" customHeight="1" x14ac:dyDescent="0.25"/>
    <row r="935" ht="19.5" customHeight="1" x14ac:dyDescent="0.25"/>
    <row r="936" ht="19.5" customHeight="1" x14ac:dyDescent="0.25"/>
    <row r="937" ht="19.5" customHeight="1" x14ac:dyDescent="0.25"/>
    <row r="938" ht="19.5" customHeight="1" x14ac:dyDescent="0.25"/>
    <row r="939" ht="19.5" customHeight="1" x14ac:dyDescent="0.25"/>
    <row r="940" ht="19.5" customHeight="1" x14ac:dyDescent="0.25"/>
    <row r="941" ht="19.5" customHeight="1" x14ac:dyDescent="0.25"/>
    <row r="942" ht="19.5" customHeight="1" x14ac:dyDescent="0.25"/>
    <row r="943" ht="19.5" customHeight="1" x14ac:dyDescent="0.25"/>
    <row r="944" ht="19.5" customHeight="1" x14ac:dyDescent="0.25"/>
    <row r="945" ht="19.5" customHeight="1" x14ac:dyDescent="0.25"/>
    <row r="946" ht="19.5" customHeight="1" x14ac:dyDescent="0.25"/>
    <row r="947" ht="19.5" customHeight="1" x14ac:dyDescent="0.25"/>
    <row r="948" ht="19.5" customHeight="1" x14ac:dyDescent="0.25"/>
    <row r="949" ht="19.5" customHeight="1" x14ac:dyDescent="0.25"/>
    <row r="950" ht="19.5" customHeight="1" x14ac:dyDescent="0.25"/>
    <row r="951" ht="19.5" customHeight="1" x14ac:dyDescent="0.25"/>
    <row r="952" ht="19.5" customHeight="1" x14ac:dyDescent="0.25"/>
    <row r="953" ht="19.5" customHeight="1" x14ac:dyDescent="0.25"/>
    <row r="954" ht="19.5" customHeight="1" x14ac:dyDescent="0.25"/>
    <row r="955" ht="19.5" customHeight="1" x14ac:dyDescent="0.25"/>
    <row r="956" ht="19.5" customHeight="1" x14ac:dyDescent="0.25"/>
    <row r="957" ht="19.5" customHeight="1" x14ac:dyDescent="0.25"/>
    <row r="958" ht="19.5" customHeight="1" x14ac:dyDescent="0.25"/>
    <row r="959" ht="19.5" customHeight="1" x14ac:dyDescent="0.25"/>
    <row r="960" ht="19.5" customHeight="1" x14ac:dyDescent="0.25"/>
    <row r="961" ht="19.5" customHeight="1" x14ac:dyDescent="0.25"/>
    <row r="962" ht="19.5" customHeight="1" x14ac:dyDescent="0.25"/>
    <row r="963" ht="19.5" customHeight="1" x14ac:dyDescent="0.25"/>
    <row r="964" ht="19.5" customHeight="1" x14ac:dyDescent="0.25"/>
    <row r="965" ht="19.5" customHeight="1" x14ac:dyDescent="0.25"/>
    <row r="966" ht="19.5" customHeight="1" x14ac:dyDescent="0.25"/>
    <row r="967" ht="19.5" customHeight="1" x14ac:dyDescent="0.25"/>
    <row r="968" ht="19.5" customHeight="1" x14ac:dyDescent="0.25"/>
    <row r="969" ht="19.5" customHeight="1" x14ac:dyDescent="0.25"/>
    <row r="970" ht="19.5" customHeight="1" x14ac:dyDescent="0.25"/>
    <row r="971" ht="19.5" customHeight="1" x14ac:dyDescent="0.25"/>
    <row r="972" ht="19.5" customHeight="1" x14ac:dyDescent="0.25"/>
    <row r="973" ht="19.5" customHeight="1" x14ac:dyDescent="0.25"/>
    <row r="974" ht="19.5" customHeight="1" x14ac:dyDescent="0.25"/>
    <row r="975" ht="19.5" customHeight="1" x14ac:dyDescent="0.25"/>
    <row r="976" ht="19.5" customHeight="1" x14ac:dyDescent="0.25"/>
    <row r="977" ht="19.5" customHeight="1" x14ac:dyDescent="0.25"/>
    <row r="978" ht="19.5" customHeight="1" x14ac:dyDescent="0.25"/>
    <row r="979" ht="19.5" customHeight="1" x14ac:dyDescent="0.25"/>
    <row r="980" ht="19.5" customHeight="1" x14ac:dyDescent="0.25"/>
    <row r="981" ht="19.5" customHeight="1" x14ac:dyDescent="0.25"/>
    <row r="982" ht="19.5" customHeight="1" x14ac:dyDescent="0.25"/>
    <row r="983" ht="19.5" customHeight="1" x14ac:dyDescent="0.25"/>
    <row r="984" ht="19.5" customHeight="1" x14ac:dyDescent="0.25"/>
    <row r="985" ht="19.5" customHeight="1" x14ac:dyDescent="0.25"/>
    <row r="986" ht="19.5" customHeight="1" x14ac:dyDescent="0.25"/>
    <row r="987" ht="19.5" customHeight="1" x14ac:dyDescent="0.25"/>
    <row r="988" ht="19.5" customHeight="1" x14ac:dyDescent="0.25"/>
    <row r="989" ht="19.5" customHeight="1" x14ac:dyDescent="0.25"/>
    <row r="990" ht="19.5" customHeight="1" x14ac:dyDescent="0.25"/>
    <row r="991" ht="19.5" customHeight="1" x14ac:dyDescent="0.25"/>
    <row r="992" ht="19.5" customHeight="1" x14ac:dyDescent="0.25"/>
    <row r="993" ht="19.5" customHeight="1" x14ac:dyDescent="0.25"/>
    <row r="994" ht="19.5" customHeight="1" x14ac:dyDescent="0.25"/>
    <row r="995" ht="19.5" customHeight="1" x14ac:dyDescent="0.25"/>
    <row r="996" ht="19.5" customHeight="1" x14ac:dyDescent="0.25"/>
    <row r="997" ht="19.5" customHeight="1" x14ac:dyDescent="0.25"/>
    <row r="998" ht="19.5" customHeight="1" x14ac:dyDescent="0.25"/>
    <row r="999" ht="19.5" customHeight="1" x14ac:dyDescent="0.25"/>
    <row r="1000" ht="19.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40"/>
  <sheetViews>
    <sheetView workbookViewId="0">
      <selection activeCell="B37" sqref="B37"/>
    </sheetView>
  </sheetViews>
  <sheetFormatPr defaultRowHeight="15" x14ac:dyDescent="0.25"/>
  <sheetData>
    <row r="2" spans="2:23" x14ac:dyDescent="0.25">
      <c r="B2" t="s">
        <v>75</v>
      </c>
      <c r="C2">
        <v>8</v>
      </c>
      <c r="D2">
        <v>8</v>
      </c>
      <c r="E2">
        <v>7</v>
      </c>
      <c r="F2">
        <v>8</v>
      </c>
      <c r="G2">
        <v>9</v>
      </c>
      <c r="H2">
        <v>7</v>
      </c>
      <c r="I2">
        <v>4</v>
      </c>
      <c r="J2">
        <v>7</v>
      </c>
      <c r="K2">
        <v>8</v>
      </c>
      <c r="L2">
        <v>8</v>
      </c>
      <c r="M2">
        <v>7</v>
      </c>
      <c r="N2">
        <v>7</v>
      </c>
      <c r="O2">
        <v>6</v>
      </c>
      <c r="P2">
        <v>8</v>
      </c>
      <c r="Q2">
        <v>8</v>
      </c>
      <c r="V2" s="17" t="s">
        <v>68</v>
      </c>
      <c r="W2">
        <f>COUNTIF(C2:Q41,"н/а")</f>
        <v>35</v>
      </c>
    </row>
    <row r="3" spans="2:23" x14ac:dyDescent="0.25">
      <c r="B3" t="s">
        <v>76</v>
      </c>
      <c r="C3">
        <v>9</v>
      </c>
      <c r="D3">
        <v>8</v>
      </c>
      <c r="E3">
        <v>9</v>
      </c>
      <c r="F3">
        <v>9</v>
      </c>
      <c r="G3">
        <v>5</v>
      </c>
      <c r="H3" t="s">
        <v>68</v>
      </c>
      <c r="I3">
        <v>4</v>
      </c>
      <c r="J3">
        <v>5</v>
      </c>
      <c r="K3">
        <v>6</v>
      </c>
      <c r="L3">
        <v>7</v>
      </c>
      <c r="M3">
        <v>4</v>
      </c>
      <c r="N3">
        <v>4</v>
      </c>
      <c r="O3">
        <v>5</v>
      </c>
      <c r="P3">
        <v>10</v>
      </c>
      <c r="Q3">
        <v>5</v>
      </c>
      <c r="V3" s="17">
        <v>1</v>
      </c>
      <c r="W3">
        <f>COUNTIF(C2:Q41,1)</f>
        <v>0</v>
      </c>
    </row>
    <row r="4" spans="2:23" x14ac:dyDescent="0.25">
      <c r="B4" t="s">
        <v>77</v>
      </c>
      <c r="C4">
        <v>4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>
        <v>7</v>
      </c>
      <c r="K4">
        <v>4</v>
      </c>
      <c r="L4">
        <v>4</v>
      </c>
      <c r="M4">
        <v>7</v>
      </c>
      <c r="N4">
        <v>7</v>
      </c>
      <c r="O4">
        <v>4</v>
      </c>
      <c r="P4">
        <v>4</v>
      </c>
      <c r="Q4">
        <v>7</v>
      </c>
      <c r="V4" s="17">
        <v>2</v>
      </c>
      <c r="W4">
        <f>COUNTIF(C2:Q41,2)</f>
        <v>0</v>
      </c>
    </row>
    <row r="5" spans="2:23" x14ac:dyDescent="0.25">
      <c r="B5" t="s">
        <v>78</v>
      </c>
      <c r="C5">
        <v>8</v>
      </c>
      <c r="D5">
        <v>8</v>
      </c>
      <c r="E5">
        <v>8</v>
      </c>
      <c r="F5">
        <v>8</v>
      </c>
      <c r="G5">
        <v>5</v>
      </c>
      <c r="H5">
        <v>9</v>
      </c>
      <c r="I5">
        <v>4</v>
      </c>
      <c r="J5">
        <v>4</v>
      </c>
      <c r="K5" t="s">
        <v>68</v>
      </c>
      <c r="L5">
        <v>5</v>
      </c>
      <c r="M5">
        <v>4</v>
      </c>
      <c r="N5">
        <v>4</v>
      </c>
      <c r="O5">
        <v>4</v>
      </c>
      <c r="P5">
        <v>10</v>
      </c>
      <c r="Q5">
        <v>5</v>
      </c>
      <c r="V5" s="17">
        <v>3</v>
      </c>
      <c r="W5">
        <f>COUNTIF(C2:Q41,3)</f>
        <v>1</v>
      </c>
    </row>
    <row r="6" spans="2:23" x14ac:dyDescent="0.25">
      <c r="B6" t="s">
        <v>79</v>
      </c>
      <c r="C6">
        <v>8</v>
      </c>
      <c r="D6">
        <v>7</v>
      </c>
      <c r="E6">
        <v>10</v>
      </c>
      <c r="F6">
        <v>8</v>
      </c>
      <c r="G6">
        <v>6</v>
      </c>
      <c r="H6">
        <v>6</v>
      </c>
      <c r="I6">
        <v>5</v>
      </c>
      <c r="J6">
        <v>5</v>
      </c>
      <c r="K6">
        <v>5</v>
      </c>
      <c r="L6">
        <v>6</v>
      </c>
      <c r="M6">
        <v>7</v>
      </c>
      <c r="N6">
        <v>7</v>
      </c>
      <c r="O6">
        <v>6</v>
      </c>
      <c r="P6">
        <v>10</v>
      </c>
      <c r="Q6">
        <v>5</v>
      </c>
      <c r="V6" s="17">
        <v>0</v>
      </c>
      <c r="W6">
        <f>COUNTIF(C2:Q41,0)</f>
        <v>0</v>
      </c>
    </row>
    <row r="7" spans="2:23" x14ac:dyDescent="0.25">
      <c r="B7" t="s">
        <v>80</v>
      </c>
      <c r="C7">
        <v>8</v>
      </c>
      <c r="D7">
        <v>6</v>
      </c>
      <c r="E7">
        <v>7</v>
      </c>
      <c r="F7">
        <v>8</v>
      </c>
      <c r="G7">
        <v>5</v>
      </c>
      <c r="H7">
        <v>5</v>
      </c>
      <c r="I7">
        <v>4</v>
      </c>
      <c r="J7">
        <v>4</v>
      </c>
      <c r="K7">
        <v>6</v>
      </c>
      <c r="L7">
        <v>5</v>
      </c>
      <c r="M7">
        <v>4</v>
      </c>
      <c r="N7">
        <v>4</v>
      </c>
      <c r="O7">
        <v>4</v>
      </c>
      <c r="P7">
        <v>7</v>
      </c>
      <c r="Q7">
        <v>4</v>
      </c>
    </row>
    <row r="8" spans="2:23" x14ac:dyDescent="0.25">
      <c r="B8" t="s">
        <v>81</v>
      </c>
      <c r="C8">
        <v>4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>
        <v>7</v>
      </c>
      <c r="K8">
        <v>4</v>
      </c>
      <c r="L8">
        <v>7</v>
      </c>
      <c r="M8">
        <v>7</v>
      </c>
      <c r="N8">
        <v>7</v>
      </c>
      <c r="O8">
        <v>4</v>
      </c>
      <c r="P8">
        <v>4</v>
      </c>
      <c r="Q8">
        <v>7</v>
      </c>
    </row>
    <row r="9" spans="2:23" x14ac:dyDescent="0.25">
      <c r="B9" t="s">
        <v>82</v>
      </c>
      <c r="C9">
        <v>10</v>
      </c>
      <c r="D9">
        <v>9</v>
      </c>
      <c r="E9">
        <v>5</v>
      </c>
      <c r="F9">
        <v>10</v>
      </c>
      <c r="G9">
        <v>5</v>
      </c>
      <c r="H9">
        <v>4</v>
      </c>
      <c r="I9">
        <v>4</v>
      </c>
      <c r="J9">
        <v>7</v>
      </c>
      <c r="K9">
        <v>4</v>
      </c>
      <c r="L9">
        <v>7</v>
      </c>
      <c r="M9">
        <v>7</v>
      </c>
      <c r="N9">
        <v>7</v>
      </c>
      <c r="O9">
        <v>7</v>
      </c>
      <c r="P9">
        <v>4</v>
      </c>
      <c r="Q9">
        <v>7</v>
      </c>
    </row>
    <row r="10" spans="2:23" x14ac:dyDescent="0.25">
      <c r="B10" t="s">
        <v>83</v>
      </c>
      <c r="C10">
        <v>9</v>
      </c>
      <c r="D10">
        <v>8</v>
      </c>
      <c r="E10">
        <v>9</v>
      </c>
      <c r="F10">
        <v>9</v>
      </c>
      <c r="G10">
        <v>5</v>
      </c>
      <c r="H10">
        <v>4</v>
      </c>
      <c r="I10">
        <v>4</v>
      </c>
      <c r="J10">
        <v>7</v>
      </c>
      <c r="K10">
        <v>8</v>
      </c>
      <c r="L10">
        <v>5</v>
      </c>
      <c r="M10">
        <v>4</v>
      </c>
      <c r="N10">
        <v>4</v>
      </c>
      <c r="O10">
        <v>4</v>
      </c>
      <c r="P10">
        <v>8</v>
      </c>
      <c r="Q10">
        <v>4</v>
      </c>
    </row>
    <row r="11" spans="2:23" x14ac:dyDescent="0.25">
      <c r="B11" t="s">
        <v>84</v>
      </c>
      <c r="C11">
        <v>8</v>
      </c>
      <c r="D11">
        <v>7</v>
      </c>
      <c r="E11">
        <v>9</v>
      </c>
      <c r="F11">
        <v>8</v>
      </c>
      <c r="G11">
        <v>6</v>
      </c>
      <c r="H11">
        <v>7</v>
      </c>
      <c r="I11">
        <v>4</v>
      </c>
      <c r="J11">
        <v>6</v>
      </c>
      <c r="K11">
        <v>8</v>
      </c>
      <c r="L11">
        <v>6</v>
      </c>
      <c r="M11">
        <v>4</v>
      </c>
      <c r="N11">
        <v>4</v>
      </c>
      <c r="O11">
        <v>4</v>
      </c>
      <c r="P11">
        <v>10</v>
      </c>
      <c r="Q11">
        <v>5</v>
      </c>
    </row>
    <row r="12" spans="2:23" x14ac:dyDescent="0.25">
      <c r="B12" t="s">
        <v>85</v>
      </c>
      <c r="C12">
        <v>8</v>
      </c>
      <c r="D12">
        <v>4</v>
      </c>
      <c r="E12">
        <v>6</v>
      </c>
      <c r="F12">
        <v>8</v>
      </c>
      <c r="G12">
        <v>5</v>
      </c>
      <c r="H12">
        <v>6</v>
      </c>
      <c r="I12">
        <v>4</v>
      </c>
      <c r="J12" t="s">
        <v>68</v>
      </c>
      <c r="K12">
        <v>5</v>
      </c>
      <c r="L12">
        <v>4</v>
      </c>
      <c r="M12">
        <v>4</v>
      </c>
      <c r="N12">
        <v>4</v>
      </c>
      <c r="O12" t="s">
        <v>68</v>
      </c>
      <c r="P12">
        <v>10</v>
      </c>
      <c r="Q12">
        <v>4</v>
      </c>
    </row>
    <row r="13" spans="2:23" x14ac:dyDescent="0.25">
      <c r="B13" t="s">
        <v>86</v>
      </c>
      <c r="C13">
        <v>8</v>
      </c>
      <c r="D13">
        <v>5</v>
      </c>
      <c r="E13">
        <v>7</v>
      </c>
      <c r="F13">
        <v>8</v>
      </c>
      <c r="G13">
        <v>5</v>
      </c>
      <c r="H13" t="s">
        <v>68</v>
      </c>
      <c r="I13">
        <v>4</v>
      </c>
      <c r="J13" t="s">
        <v>68</v>
      </c>
      <c r="K13" t="s">
        <v>68</v>
      </c>
      <c r="L13">
        <v>4</v>
      </c>
      <c r="M13">
        <v>4</v>
      </c>
      <c r="N13">
        <v>4</v>
      </c>
      <c r="O13" t="s">
        <v>68</v>
      </c>
      <c r="P13">
        <v>4</v>
      </c>
      <c r="Q13" t="s">
        <v>68</v>
      </c>
    </row>
    <row r="14" spans="2:23" x14ac:dyDescent="0.25">
      <c r="B14" t="s">
        <v>87</v>
      </c>
      <c r="C14">
        <v>9</v>
      </c>
      <c r="D14">
        <v>6</v>
      </c>
      <c r="E14">
        <v>5</v>
      </c>
      <c r="F14">
        <v>9</v>
      </c>
      <c r="G14">
        <v>5</v>
      </c>
      <c r="H14">
        <v>4</v>
      </c>
      <c r="I14">
        <v>4</v>
      </c>
      <c r="J14">
        <v>8</v>
      </c>
      <c r="K14">
        <v>4</v>
      </c>
      <c r="L14">
        <v>4</v>
      </c>
      <c r="M14">
        <v>4</v>
      </c>
      <c r="N14">
        <v>4</v>
      </c>
      <c r="O14" t="s">
        <v>68</v>
      </c>
      <c r="P14">
        <v>4</v>
      </c>
      <c r="Q14">
        <v>4</v>
      </c>
    </row>
    <row r="15" spans="2:23" x14ac:dyDescent="0.25">
      <c r="B15" t="s">
        <v>88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9</v>
      </c>
      <c r="I15">
        <v>7</v>
      </c>
      <c r="J15">
        <v>10</v>
      </c>
      <c r="K15">
        <v>8</v>
      </c>
      <c r="L15">
        <v>9</v>
      </c>
      <c r="M15">
        <v>10</v>
      </c>
      <c r="N15">
        <v>10</v>
      </c>
      <c r="O15">
        <v>9</v>
      </c>
      <c r="P15">
        <v>10</v>
      </c>
      <c r="Q15">
        <v>7</v>
      </c>
    </row>
    <row r="16" spans="2:23" x14ac:dyDescent="0.25">
      <c r="B16" t="s">
        <v>89</v>
      </c>
      <c r="C16">
        <v>10</v>
      </c>
      <c r="D16">
        <v>11</v>
      </c>
      <c r="E16">
        <v>10</v>
      </c>
      <c r="F16">
        <v>10</v>
      </c>
      <c r="G16">
        <v>8</v>
      </c>
      <c r="H16">
        <v>10</v>
      </c>
      <c r="I16">
        <v>7</v>
      </c>
      <c r="J16">
        <v>4</v>
      </c>
      <c r="K16">
        <v>10</v>
      </c>
      <c r="L16">
        <v>8</v>
      </c>
      <c r="M16">
        <v>10</v>
      </c>
      <c r="N16">
        <v>10</v>
      </c>
      <c r="O16">
        <v>10</v>
      </c>
      <c r="P16">
        <v>10</v>
      </c>
      <c r="Q16">
        <v>7</v>
      </c>
    </row>
    <row r="17" spans="2:17" x14ac:dyDescent="0.25">
      <c r="B17" t="s">
        <v>90</v>
      </c>
      <c r="C17">
        <v>10</v>
      </c>
      <c r="D17">
        <v>10</v>
      </c>
      <c r="E17">
        <v>9</v>
      </c>
      <c r="F17">
        <v>10</v>
      </c>
      <c r="G17">
        <v>10</v>
      </c>
      <c r="H17">
        <v>8</v>
      </c>
      <c r="I17">
        <v>8</v>
      </c>
      <c r="J17">
        <v>11</v>
      </c>
      <c r="K17">
        <v>9</v>
      </c>
      <c r="L17">
        <v>9</v>
      </c>
      <c r="M17">
        <v>7</v>
      </c>
      <c r="N17">
        <v>7</v>
      </c>
      <c r="O17">
        <v>10</v>
      </c>
      <c r="P17">
        <v>10</v>
      </c>
      <c r="Q17">
        <v>10</v>
      </c>
    </row>
    <row r="18" spans="2:17" x14ac:dyDescent="0.25">
      <c r="B18" t="s">
        <v>91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7</v>
      </c>
      <c r="I18">
        <v>8</v>
      </c>
      <c r="J18">
        <v>8</v>
      </c>
      <c r="K18">
        <v>7</v>
      </c>
      <c r="L18">
        <v>7</v>
      </c>
      <c r="M18">
        <v>7</v>
      </c>
      <c r="N18">
        <v>7</v>
      </c>
      <c r="O18">
        <v>8</v>
      </c>
      <c r="P18">
        <v>9</v>
      </c>
      <c r="Q18">
        <v>6</v>
      </c>
    </row>
    <row r="19" spans="2:17" x14ac:dyDescent="0.25">
      <c r="B19" t="s">
        <v>92</v>
      </c>
      <c r="C19">
        <v>10</v>
      </c>
      <c r="D19">
        <v>9</v>
      </c>
      <c r="E19">
        <v>10</v>
      </c>
      <c r="F19">
        <v>10</v>
      </c>
      <c r="G19">
        <v>10</v>
      </c>
      <c r="H19" t="s">
        <v>68</v>
      </c>
      <c r="I19">
        <v>9</v>
      </c>
      <c r="J19">
        <v>8</v>
      </c>
      <c r="K19">
        <v>9</v>
      </c>
      <c r="L19">
        <v>8</v>
      </c>
      <c r="M19">
        <v>7</v>
      </c>
      <c r="N19">
        <v>7</v>
      </c>
      <c r="O19">
        <v>7</v>
      </c>
      <c r="P19">
        <v>10</v>
      </c>
      <c r="Q19">
        <v>7</v>
      </c>
    </row>
    <row r="20" spans="2:17" x14ac:dyDescent="0.25">
      <c r="B20" t="s">
        <v>93</v>
      </c>
      <c r="C20">
        <v>5</v>
      </c>
      <c r="D20">
        <v>5</v>
      </c>
      <c r="E20">
        <v>8</v>
      </c>
      <c r="F20">
        <v>4</v>
      </c>
      <c r="G20">
        <v>5</v>
      </c>
      <c r="H20">
        <v>4</v>
      </c>
      <c r="I20">
        <v>6</v>
      </c>
      <c r="J20">
        <v>7</v>
      </c>
      <c r="K20" t="s">
        <v>68</v>
      </c>
      <c r="L20">
        <v>4</v>
      </c>
      <c r="M20">
        <v>4</v>
      </c>
      <c r="N20">
        <v>4</v>
      </c>
      <c r="O20" t="s">
        <v>68</v>
      </c>
      <c r="P20">
        <v>8</v>
      </c>
      <c r="Q20">
        <v>4</v>
      </c>
    </row>
    <row r="21" spans="2:17" x14ac:dyDescent="0.25">
      <c r="B21" t="s">
        <v>94</v>
      </c>
      <c r="C21">
        <v>9</v>
      </c>
      <c r="D21">
        <v>9</v>
      </c>
      <c r="E21">
        <v>8</v>
      </c>
      <c r="F21">
        <v>9</v>
      </c>
      <c r="G21">
        <v>9</v>
      </c>
      <c r="H21">
        <v>4</v>
      </c>
      <c r="I21">
        <v>10</v>
      </c>
      <c r="J21">
        <v>7</v>
      </c>
      <c r="K21">
        <v>7</v>
      </c>
      <c r="L21">
        <v>5</v>
      </c>
      <c r="M21">
        <v>4</v>
      </c>
      <c r="N21">
        <v>4</v>
      </c>
      <c r="O21">
        <v>7</v>
      </c>
      <c r="P21">
        <v>9</v>
      </c>
      <c r="Q21">
        <v>6</v>
      </c>
    </row>
    <row r="22" spans="2:17" x14ac:dyDescent="0.25">
      <c r="B22" t="s">
        <v>95</v>
      </c>
      <c r="C22">
        <v>8</v>
      </c>
      <c r="D22">
        <v>8</v>
      </c>
      <c r="E22">
        <v>7</v>
      </c>
      <c r="F22">
        <v>8</v>
      </c>
      <c r="G22">
        <v>8</v>
      </c>
      <c r="H22" t="s">
        <v>68</v>
      </c>
      <c r="I22">
        <v>4</v>
      </c>
      <c r="J22" t="s">
        <v>68</v>
      </c>
      <c r="K22">
        <v>8</v>
      </c>
      <c r="L22">
        <v>5</v>
      </c>
      <c r="M22">
        <v>4</v>
      </c>
      <c r="N22">
        <v>4</v>
      </c>
      <c r="O22" t="s">
        <v>68</v>
      </c>
      <c r="P22">
        <v>8</v>
      </c>
      <c r="Q22">
        <v>4</v>
      </c>
    </row>
    <row r="23" spans="2:17" x14ac:dyDescent="0.25">
      <c r="B23" t="s">
        <v>96</v>
      </c>
      <c r="C23">
        <v>10</v>
      </c>
      <c r="D23">
        <v>10</v>
      </c>
      <c r="E23">
        <v>9</v>
      </c>
      <c r="F23">
        <v>10</v>
      </c>
      <c r="G23">
        <v>10</v>
      </c>
      <c r="H23">
        <v>9</v>
      </c>
      <c r="I23">
        <v>7</v>
      </c>
      <c r="J23">
        <v>9</v>
      </c>
      <c r="K23">
        <v>9</v>
      </c>
      <c r="L23">
        <v>8</v>
      </c>
      <c r="M23">
        <v>9</v>
      </c>
      <c r="N23">
        <v>9</v>
      </c>
      <c r="O23">
        <v>9</v>
      </c>
      <c r="P23">
        <v>10</v>
      </c>
      <c r="Q23">
        <v>6</v>
      </c>
    </row>
    <row r="24" spans="2:17" x14ac:dyDescent="0.25">
      <c r="B24" t="s">
        <v>97</v>
      </c>
      <c r="C24">
        <v>10</v>
      </c>
      <c r="D24">
        <v>9</v>
      </c>
      <c r="E24">
        <v>9</v>
      </c>
      <c r="F24">
        <v>11</v>
      </c>
      <c r="G24">
        <v>9</v>
      </c>
      <c r="H24">
        <v>9</v>
      </c>
      <c r="I24">
        <v>9</v>
      </c>
      <c r="J24">
        <v>7</v>
      </c>
      <c r="K24">
        <v>8</v>
      </c>
      <c r="L24">
        <v>7</v>
      </c>
      <c r="M24">
        <v>8</v>
      </c>
      <c r="N24">
        <v>8</v>
      </c>
      <c r="O24">
        <v>8</v>
      </c>
      <c r="P24">
        <v>10</v>
      </c>
      <c r="Q24">
        <v>8</v>
      </c>
    </row>
    <row r="25" spans="2:17" x14ac:dyDescent="0.25">
      <c r="B25" t="s">
        <v>98</v>
      </c>
      <c r="C25">
        <v>9</v>
      </c>
      <c r="D25">
        <v>10</v>
      </c>
      <c r="E25">
        <v>9</v>
      </c>
      <c r="F25">
        <v>10</v>
      </c>
      <c r="G25">
        <v>9</v>
      </c>
      <c r="H25">
        <v>7</v>
      </c>
      <c r="I25">
        <v>10</v>
      </c>
      <c r="J25">
        <v>9</v>
      </c>
      <c r="K25">
        <v>9</v>
      </c>
      <c r="L25">
        <v>7</v>
      </c>
      <c r="M25">
        <v>9</v>
      </c>
      <c r="N25">
        <v>9</v>
      </c>
      <c r="O25">
        <v>6</v>
      </c>
      <c r="P25">
        <v>10</v>
      </c>
      <c r="Q25">
        <v>7</v>
      </c>
    </row>
    <row r="26" spans="2:17" x14ac:dyDescent="0.25">
      <c r="B26" t="s">
        <v>99</v>
      </c>
      <c r="C26">
        <v>8</v>
      </c>
      <c r="D26">
        <v>7</v>
      </c>
      <c r="E26">
        <v>8</v>
      </c>
      <c r="F26">
        <v>8</v>
      </c>
      <c r="G26">
        <v>8</v>
      </c>
      <c r="H26">
        <v>4</v>
      </c>
      <c r="I26">
        <v>5</v>
      </c>
      <c r="J26">
        <v>6</v>
      </c>
      <c r="K26">
        <v>5</v>
      </c>
      <c r="L26">
        <v>5</v>
      </c>
      <c r="M26">
        <v>7</v>
      </c>
      <c r="N26">
        <v>7</v>
      </c>
      <c r="O26">
        <v>5</v>
      </c>
      <c r="P26">
        <v>4</v>
      </c>
      <c r="Q26">
        <v>5</v>
      </c>
    </row>
    <row r="27" spans="2:17" x14ac:dyDescent="0.25">
      <c r="B27" t="s">
        <v>100</v>
      </c>
      <c r="C27">
        <v>10</v>
      </c>
      <c r="D27">
        <v>10</v>
      </c>
      <c r="E27">
        <v>8</v>
      </c>
      <c r="F27">
        <v>10</v>
      </c>
      <c r="G27">
        <v>10</v>
      </c>
      <c r="H27" t="s">
        <v>68</v>
      </c>
      <c r="I27">
        <v>10</v>
      </c>
      <c r="J27">
        <v>6</v>
      </c>
      <c r="K27">
        <v>10</v>
      </c>
      <c r="L27">
        <v>8</v>
      </c>
      <c r="M27">
        <v>5</v>
      </c>
      <c r="N27">
        <v>5</v>
      </c>
      <c r="O27">
        <v>8</v>
      </c>
      <c r="P27">
        <v>4</v>
      </c>
      <c r="Q27">
        <v>8</v>
      </c>
    </row>
    <row r="28" spans="2:17" x14ac:dyDescent="0.25">
      <c r="B28" t="s">
        <v>101</v>
      </c>
      <c r="C28">
        <v>8</v>
      </c>
      <c r="D28">
        <v>7</v>
      </c>
      <c r="E28">
        <v>6</v>
      </c>
      <c r="F28">
        <v>8</v>
      </c>
      <c r="G28">
        <v>10</v>
      </c>
      <c r="H28" t="s">
        <v>68</v>
      </c>
      <c r="I28">
        <v>4</v>
      </c>
      <c r="J28">
        <v>6</v>
      </c>
      <c r="K28">
        <v>8</v>
      </c>
      <c r="L28">
        <v>8</v>
      </c>
      <c r="M28">
        <v>5</v>
      </c>
      <c r="N28">
        <v>5</v>
      </c>
      <c r="O28">
        <v>4</v>
      </c>
      <c r="P28">
        <v>9</v>
      </c>
      <c r="Q28">
        <v>8</v>
      </c>
    </row>
    <row r="29" spans="2:17" x14ac:dyDescent="0.25">
      <c r="B29" t="s">
        <v>102</v>
      </c>
      <c r="C29">
        <v>9</v>
      </c>
      <c r="D29">
        <v>8</v>
      </c>
      <c r="E29">
        <v>9</v>
      </c>
      <c r="F29">
        <v>9</v>
      </c>
      <c r="G29">
        <v>8</v>
      </c>
      <c r="H29">
        <v>4</v>
      </c>
      <c r="I29">
        <v>4</v>
      </c>
      <c r="J29">
        <v>7</v>
      </c>
      <c r="K29">
        <v>6</v>
      </c>
      <c r="L29">
        <v>6</v>
      </c>
      <c r="M29">
        <v>5</v>
      </c>
      <c r="N29">
        <v>5</v>
      </c>
      <c r="O29">
        <v>6</v>
      </c>
      <c r="P29">
        <v>10</v>
      </c>
      <c r="Q29">
        <v>4</v>
      </c>
    </row>
    <row r="30" spans="2:17" x14ac:dyDescent="0.25">
      <c r="B30" t="s">
        <v>103</v>
      </c>
      <c r="C30">
        <v>5</v>
      </c>
      <c r="D30">
        <v>8</v>
      </c>
      <c r="E30">
        <v>5</v>
      </c>
      <c r="F30">
        <v>5</v>
      </c>
      <c r="G30">
        <v>5</v>
      </c>
      <c r="H30">
        <v>4</v>
      </c>
      <c r="I30">
        <v>4</v>
      </c>
      <c r="J30">
        <v>7</v>
      </c>
      <c r="K30">
        <v>4</v>
      </c>
      <c r="L30">
        <v>5</v>
      </c>
      <c r="M30">
        <v>4</v>
      </c>
      <c r="N30">
        <v>4</v>
      </c>
      <c r="O30" t="s">
        <v>68</v>
      </c>
      <c r="P30">
        <v>4</v>
      </c>
      <c r="Q30" t="s">
        <v>68</v>
      </c>
    </row>
    <row r="31" spans="2:17" x14ac:dyDescent="0.25">
      <c r="B31" t="s">
        <v>104</v>
      </c>
      <c r="C31">
        <v>5</v>
      </c>
      <c r="D31">
        <v>6</v>
      </c>
      <c r="E31">
        <v>5</v>
      </c>
      <c r="F31">
        <v>4</v>
      </c>
      <c r="G31">
        <v>4</v>
      </c>
      <c r="H31" t="s">
        <v>68</v>
      </c>
      <c r="I31">
        <v>4</v>
      </c>
      <c r="J31" t="s">
        <v>68</v>
      </c>
      <c r="K31" t="s">
        <v>68</v>
      </c>
      <c r="L31">
        <v>4</v>
      </c>
      <c r="M31">
        <v>4</v>
      </c>
      <c r="N31">
        <v>4</v>
      </c>
      <c r="O31" t="s">
        <v>68</v>
      </c>
      <c r="P31">
        <v>4</v>
      </c>
      <c r="Q31" t="s">
        <v>68</v>
      </c>
    </row>
    <row r="32" spans="2:17" x14ac:dyDescent="0.25">
      <c r="B32" t="s">
        <v>105</v>
      </c>
      <c r="C32">
        <v>9</v>
      </c>
      <c r="D32">
        <v>9</v>
      </c>
      <c r="E32">
        <v>8</v>
      </c>
      <c r="F32">
        <v>9</v>
      </c>
      <c r="G32">
        <v>8</v>
      </c>
      <c r="H32">
        <v>4</v>
      </c>
      <c r="I32">
        <v>4</v>
      </c>
      <c r="J32">
        <v>5</v>
      </c>
      <c r="K32">
        <v>5</v>
      </c>
      <c r="L32">
        <v>4</v>
      </c>
      <c r="M32">
        <v>4</v>
      </c>
      <c r="N32">
        <v>4</v>
      </c>
      <c r="O32">
        <v>5</v>
      </c>
      <c r="P32">
        <v>10</v>
      </c>
      <c r="Q32">
        <v>7</v>
      </c>
    </row>
    <row r="33" spans="2:17" x14ac:dyDescent="0.25">
      <c r="B33" t="s">
        <v>106</v>
      </c>
      <c r="C33">
        <v>9</v>
      </c>
      <c r="D33">
        <v>9</v>
      </c>
      <c r="E33">
        <v>10</v>
      </c>
      <c r="F33">
        <v>9</v>
      </c>
      <c r="G33">
        <v>9</v>
      </c>
      <c r="H33">
        <v>9</v>
      </c>
      <c r="I33">
        <v>7</v>
      </c>
      <c r="J33">
        <v>10</v>
      </c>
      <c r="K33">
        <v>9</v>
      </c>
      <c r="L33">
        <v>7</v>
      </c>
      <c r="M33">
        <v>10</v>
      </c>
      <c r="N33">
        <v>10</v>
      </c>
      <c r="O33">
        <v>9</v>
      </c>
      <c r="P33">
        <v>10</v>
      </c>
      <c r="Q33">
        <v>8</v>
      </c>
    </row>
    <row r="34" spans="2:17" x14ac:dyDescent="0.25">
      <c r="B34" t="s">
        <v>107</v>
      </c>
      <c r="C34">
        <v>9</v>
      </c>
      <c r="D34">
        <v>8</v>
      </c>
      <c r="E34">
        <v>10</v>
      </c>
      <c r="F34">
        <v>9</v>
      </c>
      <c r="G34">
        <v>8</v>
      </c>
      <c r="H34" t="s">
        <v>68</v>
      </c>
      <c r="I34">
        <v>4</v>
      </c>
      <c r="J34">
        <v>8</v>
      </c>
      <c r="K34">
        <v>6</v>
      </c>
      <c r="L34">
        <v>4</v>
      </c>
      <c r="M34">
        <v>4</v>
      </c>
      <c r="N34">
        <v>4</v>
      </c>
      <c r="O34">
        <v>5</v>
      </c>
      <c r="P34">
        <v>10</v>
      </c>
      <c r="Q34">
        <v>4</v>
      </c>
    </row>
    <row r="35" spans="2:17" x14ac:dyDescent="0.25">
      <c r="B35" t="s">
        <v>108</v>
      </c>
      <c r="C35">
        <v>10</v>
      </c>
      <c r="D35">
        <v>10</v>
      </c>
      <c r="E35">
        <v>10</v>
      </c>
      <c r="F35">
        <v>10</v>
      </c>
      <c r="G35">
        <v>9</v>
      </c>
      <c r="H35">
        <v>4</v>
      </c>
      <c r="I35">
        <v>5</v>
      </c>
      <c r="J35">
        <v>9</v>
      </c>
      <c r="K35">
        <v>7</v>
      </c>
      <c r="L35">
        <v>9</v>
      </c>
      <c r="M35">
        <v>5</v>
      </c>
      <c r="N35">
        <v>5</v>
      </c>
      <c r="O35">
        <v>9</v>
      </c>
      <c r="P35">
        <v>10</v>
      </c>
      <c r="Q35">
        <v>7</v>
      </c>
    </row>
    <row r="36" spans="2:17" x14ac:dyDescent="0.25">
      <c r="B36" t="s">
        <v>109</v>
      </c>
      <c r="C36">
        <v>5</v>
      </c>
      <c r="D36">
        <v>4</v>
      </c>
      <c r="E36">
        <v>5</v>
      </c>
      <c r="F36">
        <v>5</v>
      </c>
      <c r="G36">
        <v>5</v>
      </c>
      <c r="H36" t="s">
        <v>68</v>
      </c>
      <c r="I36">
        <v>4</v>
      </c>
      <c r="J36" t="s">
        <v>68</v>
      </c>
      <c r="K36" t="s">
        <v>68</v>
      </c>
      <c r="L36">
        <v>6</v>
      </c>
      <c r="M36">
        <v>4</v>
      </c>
      <c r="N36">
        <v>4</v>
      </c>
      <c r="O36" t="s">
        <v>68</v>
      </c>
      <c r="P36">
        <v>4</v>
      </c>
      <c r="Q36" t="s">
        <v>68</v>
      </c>
    </row>
    <row r="37" spans="2:17" x14ac:dyDescent="0.25">
      <c r="B37" t="s">
        <v>110</v>
      </c>
      <c r="C37">
        <v>6</v>
      </c>
      <c r="D37">
        <v>4</v>
      </c>
      <c r="E37">
        <v>8</v>
      </c>
      <c r="F37">
        <v>5</v>
      </c>
      <c r="G37">
        <v>6</v>
      </c>
      <c r="H37">
        <v>4</v>
      </c>
      <c r="I37">
        <v>7</v>
      </c>
      <c r="J37">
        <v>7</v>
      </c>
      <c r="K37">
        <v>5</v>
      </c>
      <c r="L37">
        <v>4</v>
      </c>
      <c r="M37">
        <v>4</v>
      </c>
      <c r="N37">
        <v>4</v>
      </c>
      <c r="O37">
        <v>4</v>
      </c>
      <c r="P37">
        <v>4</v>
      </c>
      <c r="Q37">
        <v>3</v>
      </c>
    </row>
    <row r="38" spans="2:17" x14ac:dyDescent="0.25">
      <c r="B38" t="s">
        <v>111</v>
      </c>
      <c r="C38">
        <v>8</v>
      </c>
      <c r="D38">
        <v>8</v>
      </c>
      <c r="E38">
        <v>8</v>
      </c>
      <c r="F38">
        <v>8</v>
      </c>
      <c r="G38">
        <v>5</v>
      </c>
      <c r="H38" t="s">
        <v>68</v>
      </c>
      <c r="I38">
        <v>4</v>
      </c>
      <c r="J38">
        <v>4</v>
      </c>
      <c r="K38">
        <v>7</v>
      </c>
      <c r="L38">
        <v>5</v>
      </c>
      <c r="M38">
        <v>4</v>
      </c>
      <c r="N38">
        <v>4</v>
      </c>
      <c r="O38">
        <v>4</v>
      </c>
      <c r="P38">
        <v>4</v>
      </c>
      <c r="Q38">
        <v>4</v>
      </c>
    </row>
    <row r="39" spans="2:17" x14ac:dyDescent="0.25">
      <c r="B39" t="s">
        <v>112</v>
      </c>
      <c r="C39">
        <v>10</v>
      </c>
      <c r="D39">
        <v>10</v>
      </c>
      <c r="E39">
        <v>10</v>
      </c>
      <c r="F39">
        <v>11</v>
      </c>
      <c r="G39">
        <v>7</v>
      </c>
      <c r="H39">
        <v>10</v>
      </c>
      <c r="I39">
        <v>10</v>
      </c>
      <c r="J39">
        <v>10</v>
      </c>
      <c r="K39">
        <v>10</v>
      </c>
      <c r="L39">
        <v>8</v>
      </c>
      <c r="M39">
        <v>7</v>
      </c>
      <c r="N39">
        <v>7</v>
      </c>
      <c r="O39">
        <v>8</v>
      </c>
      <c r="P39">
        <v>10</v>
      </c>
      <c r="Q39">
        <v>7</v>
      </c>
    </row>
    <row r="40" spans="2:17" x14ac:dyDescent="0.25">
      <c r="B40" t="s">
        <v>113</v>
      </c>
      <c r="C40">
        <v>7</v>
      </c>
      <c r="D40">
        <v>8</v>
      </c>
      <c r="E40">
        <v>7</v>
      </c>
      <c r="F40">
        <v>7</v>
      </c>
      <c r="G40">
        <v>10</v>
      </c>
      <c r="H40" t="s">
        <v>68</v>
      </c>
      <c r="I40">
        <v>5</v>
      </c>
      <c r="J40" t="s">
        <v>68</v>
      </c>
      <c r="K40">
        <v>4</v>
      </c>
      <c r="L40">
        <v>4</v>
      </c>
      <c r="M40">
        <v>4</v>
      </c>
      <c r="N40">
        <v>4</v>
      </c>
      <c r="O40" t="s">
        <v>68</v>
      </c>
      <c r="P40">
        <v>4</v>
      </c>
      <c r="Q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24-1</vt:lpstr>
      <vt:lpstr>24-2</vt:lpstr>
      <vt:lpstr>24-3</vt:lpstr>
      <vt:lpstr>24-4</vt:lpstr>
      <vt:lpstr>24-5</vt:lpstr>
      <vt:lpstr>24-6</vt:lpstr>
      <vt:lpstr>Лист8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SURKOV</cp:lastModifiedBy>
  <dcterms:created xsi:type="dcterms:W3CDTF">2006-09-28T05:33:49Z</dcterms:created>
  <dcterms:modified xsi:type="dcterms:W3CDTF">2025-06-30T07:56:34Z</dcterms:modified>
</cp:coreProperties>
</file>