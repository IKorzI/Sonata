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8990" yWindow="-105" windowWidth="19410" windowHeight="11760"/>
  </bookViews>
  <sheets>
    <sheet name="Зведена 076" sheetId="38" r:id="rId1"/>
    <sheet name="Рейтингова 076" sheetId="46" r:id="rId2"/>
    <sheet name="Зведена 101" sheetId="44" r:id="rId3"/>
    <sheet name="Рейтингова 101" sheetId="47" r:id="rId4"/>
    <sheet name="Зведена 185" sheetId="45" r:id="rId5"/>
  </sheets>
  <definedNames>
    <definedName name="A1048577" localSheetId="0">#REF!</definedName>
    <definedName name="A1048577" localSheetId="2">#REF!</definedName>
    <definedName name="A1048577" localSheetId="4">#REF!</definedName>
    <definedName name="A1048577" localSheetId="1">#REF!</definedName>
    <definedName name="A1048577" localSheetId="3">#REF!</definedName>
    <definedName name="A1048577">#REF!</definedName>
    <definedName name="_xlnm.Print_Area" localSheetId="0">'Зведена 076'!$B$2:$V$45</definedName>
    <definedName name="_xlnm.Print_Area" localSheetId="2">'Зведена 101'!$B$2:$V$33</definedName>
    <definedName name="_xlnm.Print_Area" localSheetId="4">'Зведена 185'!$B$2:$V$22</definedName>
    <definedName name="_xlnm.Print_Area" localSheetId="1">'Рейтингова 076'!$B$2:$W$31</definedName>
    <definedName name="_xlnm.Print_Area" localSheetId="3">'Рейтингова 101'!$B$2:$W$22</definedName>
    <definedName name="Ф80" localSheetId="0">#REF!</definedName>
    <definedName name="Ф80" localSheetId="2">#REF!</definedName>
    <definedName name="Ф80" localSheetId="4">#REF!</definedName>
    <definedName name="Ф80" localSheetId="1">#REF!</definedName>
    <definedName name="Ф80" localSheetId="3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15" i="47" l="1"/>
  <c r="V15" i="47" s="1"/>
  <c r="U11" i="47"/>
  <c r="V11" i="47" s="1"/>
  <c r="U17" i="47"/>
  <c r="V17" i="47" s="1"/>
  <c r="U14" i="47"/>
  <c r="V14" i="47" s="1"/>
  <c r="U16" i="47"/>
  <c r="V16" i="47" s="1"/>
  <c r="U13" i="47"/>
  <c r="V13" i="47" s="1"/>
  <c r="U12" i="47"/>
  <c r="V12" i="47" s="1"/>
  <c r="F21" i="47"/>
  <c r="F20" i="47"/>
  <c r="F19" i="47"/>
  <c r="F18" i="47"/>
  <c r="U12" i="46"/>
  <c r="V12" i="46" s="1"/>
  <c r="U20" i="46"/>
  <c r="V20" i="46" s="1"/>
  <c r="U17" i="46"/>
  <c r="V17" i="46" s="1"/>
  <c r="U18" i="46"/>
  <c r="V18" i="46" s="1"/>
  <c r="U19" i="46"/>
  <c r="V19" i="46" s="1"/>
  <c r="U24" i="46"/>
  <c r="V24" i="46" s="1"/>
  <c r="U21" i="46"/>
  <c r="V21" i="46" s="1"/>
  <c r="U14" i="46"/>
  <c r="V14" i="46" s="1"/>
  <c r="U15" i="46"/>
  <c r="V15" i="46" s="1"/>
  <c r="U23" i="46"/>
  <c r="V23" i="46" s="1"/>
  <c r="U11" i="46"/>
  <c r="V11" i="46" s="1"/>
  <c r="U16" i="46"/>
  <c r="V16" i="46" s="1"/>
  <c r="U25" i="46"/>
  <c r="V25" i="46" s="1"/>
  <c r="U13" i="46"/>
  <c r="V13" i="46" s="1"/>
  <c r="U22" i="46"/>
  <c r="V22" i="46" s="1"/>
  <c r="U26" i="46"/>
  <c r="V26" i="46" s="1"/>
  <c r="F30" i="46"/>
  <c r="F29" i="46"/>
  <c r="G24" i="44" l="1"/>
  <c r="N24" i="44"/>
  <c r="R24" i="44"/>
  <c r="T24" i="44"/>
  <c r="G25" i="44"/>
  <c r="N25" i="44"/>
  <c r="R25" i="44"/>
  <c r="T25" i="44"/>
  <c r="G26" i="44"/>
  <c r="N26" i="44"/>
  <c r="R26" i="44"/>
  <c r="T26" i="44"/>
  <c r="G36" i="38"/>
  <c r="N36" i="38"/>
  <c r="R36" i="38"/>
  <c r="T36" i="38"/>
  <c r="G37" i="38"/>
  <c r="N37" i="38"/>
  <c r="R37" i="38"/>
  <c r="T37" i="38"/>
  <c r="G38" i="38"/>
  <c r="N38" i="38"/>
  <c r="R38" i="38"/>
  <c r="T38" i="38"/>
  <c r="O24" i="44" l="1"/>
  <c r="O26" i="44"/>
  <c r="O25" i="44"/>
  <c r="O36" i="38"/>
  <c r="O38" i="38"/>
  <c r="O37" i="38"/>
  <c r="I37" i="38"/>
  <c r="I38" i="38"/>
  <c r="I36" i="38"/>
  <c r="I25" i="44"/>
  <c r="I26" i="44"/>
  <c r="I24" i="44"/>
  <c r="F38" i="38"/>
  <c r="F36" i="38"/>
  <c r="F37" i="38"/>
  <c r="F15" i="45"/>
  <c r="F13" i="45"/>
  <c r="F14" i="45"/>
  <c r="F25" i="44"/>
  <c r="F26" i="44"/>
  <c r="F24" i="44"/>
  <c r="M25" i="44"/>
  <c r="M24" i="44"/>
  <c r="M26" i="44"/>
  <c r="M37" i="38"/>
  <c r="M36" i="38"/>
  <c r="M38" i="38"/>
  <c r="S24" i="44"/>
  <c r="S25" i="44"/>
  <c r="S26" i="44"/>
  <c r="S36" i="38"/>
  <c r="S37" i="38"/>
  <c r="S38" i="38"/>
  <c r="H25" i="44"/>
  <c r="H24" i="44"/>
  <c r="H26" i="44"/>
  <c r="H37" i="38"/>
  <c r="H36" i="38"/>
  <c r="H38" i="38"/>
  <c r="K36" i="38"/>
  <c r="K37" i="38"/>
  <c r="K38" i="38"/>
  <c r="K24" i="44"/>
  <c r="K25" i="44"/>
  <c r="K26" i="44"/>
  <c r="J25" i="44"/>
  <c r="J24" i="44"/>
  <c r="J26" i="44"/>
  <c r="J36" i="38"/>
  <c r="J38" i="38"/>
  <c r="J37" i="38"/>
  <c r="Q36" i="38"/>
  <c r="Q37" i="38"/>
  <c r="Q38" i="38"/>
  <c r="Q24" i="44"/>
  <c r="Q25" i="44"/>
  <c r="Q26" i="44"/>
  <c r="P37" i="38"/>
  <c r="P36" i="38"/>
  <c r="P38" i="38"/>
  <c r="P25" i="44"/>
  <c r="P24" i="44"/>
  <c r="P26" i="44"/>
  <c r="L24" i="44"/>
  <c r="L25" i="44"/>
  <c r="L26" i="44"/>
  <c r="L36" i="38"/>
  <c r="L37" i="38"/>
  <c r="L38" i="38"/>
  <c r="F19" i="45"/>
  <c r="F18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U12" i="45"/>
  <c r="U11" i="45"/>
  <c r="F30" i="44"/>
  <c r="F29" i="44"/>
  <c r="U23" i="44"/>
  <c r="U22" i="44"/>
  <c r="U21" i="44"/>
  <c r="U20" i="44"/>
  <c r="U19" i="44"/>
  <c r="U18" i="44"/>
  <c r="U17" i="44"/>
  <c r="U16" i="44"/>
  <c r="U15" i="44"/>
  <c r="U14" i="44"/>
  <c r="U13" i="44"/>
  <c r="U12" i="44"/>
  <c r="U11" i="44"/>
  <c r="U13" i="45" l="1"/>
  <c r="F16" i="45"/>
  <c r="F17" i="45"/>
  <c r="F28" i="44"/>
  <c r="F27" i="44"/>
  <c r="U24" i="44"/>
  <c r="U12" i="38" l="1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11" i="38"/>
  <c r="F42" i="38" l="1"/>
  <c r="F28" i="46" s="1"/>
  <c r="F41" i="38"/>
  <c r="F27" i="46" s="1"/>
  <c r="F40" i="38" l="1"/>
  <c r="U36" i="38"/>
  <c r="F39" i="38"/>
</calcChain>
</file>

<file path=xl/sharedStrings.xml><?xml version="1.0" encoding="utf-8"?>
<sst xmlns="http://schemas.openxmlformats.org/spreadsheetml/2006/main" count="333" uniqueCount="86">
  <si>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</si>
  <si>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</si>
  <si>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</si>
  <si>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</si>
  <si>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</si>
  <si>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</si>
  <si>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</si>
  <si>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</si>
  <si>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Фізика
Калюта Н.М.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</si>
  <si>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</si>
  <si>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</si>
  <si>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</si>
  <si>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</si>
  <si>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</si>
  <si>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</si>
  <si>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</si>
  <si>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</si>
  <si>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</si>
  <si>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</si>
  <si>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</si>
  <si>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</si>
  <si>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</si>
  <si>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</si>
  <si>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</si>
  <si>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</si>
  <si>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</si>
  <si>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</si>
  <si>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</si>
  <si>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Захист України
Лазар В.І.</t>
  </si>
  <si>
    <t>Іноземна мова
Сербулова Ю.А.</t>
  </si>
  <si>
    <t>Інформатика
Бєльдюгіна С.С.</t>
  </si>
  <si>
    <t>Фізична культура
Возіян О.Г.</t>
  </si>
  <si>
    <t>Хімія
Сахно Н.О.</t>
  </si>
  <si>
    <t>Астрономія
Наговська Т.С.</t>
  </si>
  <si>
    <t>Успішності студентів спеціальності 185 «Нафтогазова інженерія та технології»</t>
  </si>
  <si>
    <t>Успішності студентів спеціальності 076 «Підприємництво та торгівля»</t>
  </si>
  <si>
    <t>Група 24-2 курс І</t>
  </si>
  <si>
    <t>За IІ семестр 2024-2025 н.р.</t>
  </si>
  <si>
    <t>Математика
Земляна Т.М.</t>
  </si>
  <si>
    <t>Українська література
Юрченко О.Б.</t>
  </si>
  <si>
    <t>Українська мова
Юрченко О.Б.</t>
  </si>
  <si>
    <t>Адаменко Юлія Русланівна</t>
  </si>
  <si>
    <t>Гратій Олена Дмитрівна</t>
  </si>
  <si>
    <t>Давиденко Андрій Ілліч</t>
  </si>
  <si>
    <t>Друмова Діана Олегівна</t>
  </si>
  <si>
    <t>Ізраєвський Артем Сергійович</t>
  </si>
  <si>
    <t>Кас`ян Андрій Андрійович</t>
  </si>
  <si>
    <t>Кіор Микола Миколайович</t>
  </si>
  <si>
    <t>Кіцул Гліб Олександрович</t>
  </si>
  <si>
    <t>Кононенко Максим Костянтинович</t>
  </si>
  <si>
    <t>Кравцова Дар`я Сергіївна</t>
  </si>
  <si>
    <t>Крепких Ольга Владиславівна</t>
  </si>
  <si>
    <t>Кузьміна Дар`я Орестівна</t>
  </si>
  <si>
    <t>Кузьміна Марія Орестівна</t>
  </si>
  <si>
    <t>Кульчицька Марія Сергіївна</t>
  </si>
  <si>
    <t>Лунгул Олексій Валерійович</t>
  </si>
  <si>
    <t>Мазур Ельвіра Владиславівна</t>
  </si>
  <si>
    <t>Михайліченко Мілєна Ігорівна</t>
  </si>
  <si>
    <t>Моісєєва Діана Олександрівна</t>
  </si>
  <si>
    <t>Пасхал Верджинія Ігорівна</t>
  </si>
  <si>
    <t>Пінчуков Сергій Олексійович</t>
  </si>
  <si>
    <t>Попович Олексій Антонович</t>
  </si>
  <si>
    <t>Савченко Стефанія Андріївна</t>
  </si>
  <si>
    <t>Фучеджи Андрій Вадимович</t>
  </si>
  <si>
    <t>Чувпило Владислав Олександрович</t>
  </si>
  <si>
    <t>Штанько Юрій Миколайович</t>
  </si>
  <si>
    <t>Тетяна НАГОВСЬКА</t>
  </si>
  <si>
    <t>Успішності студентів спеціальності 101 «Екологія»</t>
  </si>
  <si>
    <t>Гайдученко Катерина Дмитрівна</t>
  </si>
  <si>
    <t>Демовський Владислав Миколайович</t>
  </si>
  <si>
    <t>Зубак Віталій Серафимович</t>
  </si>
  <si>
    <t>Іванов Олександр Іванович</t>
  </si>
  <si>
    <t>Кольчак Артем Анатолійович</t>
  </si>
  <si>
    <t>Куняєв Олег Юрійович</t>
  </si>
  <si>
    <t>Лопатухіна Вікторія Анатоліївна</t>
  </si>
  <si>
    <t>Мокану Михайло Миколайович</t>
  </si>
  <si>
    <t>Нецеля Віра Петрівна</t>
  </si>
  <si>
    <t>Рачкован Олександр Сергійович</t>
  </si>
  <si>
    <t>Самойлова Софія Сергіївна</t>
  </si>
  <si>
    <t>Шаргородська Алла Сергіївна</t>
  </si>
  <si>
    <t>Штєфан Даніїл Ігорович</t>
  </si>
  <si>
    <t>Греков Петро Іванович</t>
  </si>
  <si>
    <t>Драган Сергій Сергійович</t>
  </si>
  <si>
    <t>н/а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</si>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</sst>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0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5" borderId="1" xfId="5" applyFont="1" applyFill="1" applyAlignment="1">
      <alignment horizontal="center" vertical="center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Font="1" applyFill="1" applyBorder="1" applyAlignment="1">
      <alignment horizontal="center" vertical="center" wrapText="1"/>
    </xf>
    <xf numFmtId="0" fontId="3" fillId="7" borderId="2" xfId="5" applyFont="1" applyFill="1" applyBorder="1" applyAlignment="1">
      <alignment horizontal="left" vertical="center" wrapText="1"/>
    </xf>
    <xf numFmtId="0" fontId="3" fillId="7" borderId="2" xfId="5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  <xf numFmtId="0" fontId="4" fillId="0" borderId="2" xfId="5" applyFont="1" applyBorder="1" applyAlignment="1">
      <alignment horizontal="center" vertical="center" textRotation="90" wrapText="1"/>
    </xf>
    <xf numFmtId="2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6" borderId="2" xfId="5" applyNumberFormat="1" applyFont="1" applyFill="1" applyBorder="1" applyAlignment="1" applyProtection="1">
      <alignment horizontal="center" vertical="center"/>
      <protection locked="0"/>
    </xf>
    <xf numFmtId="0" fontId="3" fillId="4" borderId="7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4" borderId="3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3" fillId="4" borderId="5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75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48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3" ht="12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5" customFormat="1" ht="35.1" customHeight="1" x14ac:dyDescent="0.3">
      <c r="A3" s="34"/>
      <c r="B3" s="29"/>
      <c r="C3" s="37" t="s">
        <v>27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29"/>
      <c r="W3" s="36"/>
    </row>
    <row r="4" spans="1:23" s="5" customFormat="1" ht="15" customHeight="1" x14ac:dyDescent="0.25">
      <c r="A4" s="34"/>
      <c r="B4" s="29"/>
      <c r="C4" s="29" t="s">
        <v>0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6"/>
    </row>
    <row r="5" spans="1:23" s="6" customFormat="1" ht="15" customHeight="1" x14ac:dyDescent="0.25">
      <c r="A5" s="34"/>
      <c r="B5" s="29"/>
      <c r="C5" s="39" t="s">
        <v>24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29"/>
      <c r="W5" s="36"/>
    </row>
    <row r="6" spans="1:23" s="5" customFormat="1" ht="15" customHeight="1" x14ac:dyDescent="0.25">
      <c r="A6" s="34"/>
      <c r="B6" s="29"/>
      <c r="C6" s="29" t="s">
        <v>35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6"/>
    </row>
    <row r="7" spans="1:23" s="5" customFormat="1" ht="15" customHeight="1" x14ac:dyDescent="0.25">
      <c r="A7" s="34"/>
      <c r="B7" s="29"/>
      <c r="C7" s="29" t="s">
        <v>37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36"/>
    </row>
    <row r="8" spans="1:23" s="5" customFormat="1" ht="15" customHeight="1" x14ac:dyDescent="0.25">
      <c r="A8" s="34"/>
      <c r="B8" s="29"/>
      <c r="C8" s="29" t="s">
        <v>36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36"/>
    </row>
    <row r="9" spans="1:23" ht="15" customHeight="1" x14ac:dyDescent="0.25">
      <c r="A9" s="34"/>
      <c r="B9" s="29"/>
      <c r="C9" s="30" t="s">
        <v>1</v>
      </c>
      <c r="D9" s="32" t="s">
        <v>2</v>
      </c>
      <c r="E9" s="32" t="s">
        <v>3</v>
      </c>
      <c r="F9" s="8"/>
      <c r="G9" s="31" t="s">
        <v>26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29"/>
      <c r="W9" s="36"/>
    </row>
    <row r="10" spans="1:23" ht="125.1" customHeight="1" x14ac:dyDescent="0.25">
      <c r="A10" s="34"/>
      <c r="B10" s="29"/>
      <c r="C10" s="31"/>
      <c r="D10" s="31"/>
      <c r="E10" s="31"/>
      <c r="F10" s="16" t="s">
        <v>33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29</v>
      </c>
      <c r="M10" s="16" t="s">
        <v>30</v>
      </c>
      <c r="N10" s="16" t="s">
        <v>7</v>
      </c>
      <c r="O10" s="16" t="s">
        <v>38</v>
      </c>
      <c r="P10" s="16" t="s">
        <v>39</v>
      </c>
      <c r="Q10" s="16" t="s">
        <v>40</v>
      </c>
      <c r="R10" s="16" t="s">
        <v>8</v>
      </c>
      <c r="S10" s="16" t="s">
        <v>31</v>
      </c>
      <c r="T10" s="16" t="s">
        <v>32</v>
      </c>
      <c r="U10" s="7" t="s">
        <v>9</v>
      </c>
      <c r="V10" s="29"/>
      <c r="W10" s="36"/>
    </row>
    <row r="11" spans="1:23" ht="15" customHeight="1" x14ac:dyDescent="0.25">
      <c r="A11" s="34"/>
      <c r="B11" s="29"/>
      <c r="C11" s="8" t="s">
        <v>11</v>
      </c>
      <c r="D11" s="8">
        <v>1</v>
      </c>
      <c r="E11" s="9" t="s">
        <v>41</v>
      </c>
      <c r="F11" s="10">
        <v>4</v>
      </c>
      <c r="G11" s="10">
        <v>5</v>
      </c>
      <c r="H11" s="10">
        <v>5</v>
      </c>
      <c r="I11" s="10">
        <v>4</v>
      </c>
      <c r="J11" s="10">
        <v>4</v>
      </c>
      <c r="K11" s="10">
        <v>4</v>
      </c>
      <c r="L11" s="10">
        <v>4</v>
      </c>
      <c r="M11" s="10">
        <v>4</v>
      </c>
      <c r="N11" s="10">
        <v>4</v>
      </c>
      <c r="O11" s="10">
        <v>4</v>
      </c>
      <c r="P11" s="10">
        <v>4</v>
      </c>
      <c r="Q11" s="10">
        <v>4</v>
      </c>
      <c r="R11" s="10">
        <v>4</v>
      </c>
      <c r="S11" s="10">
        <v>4</v>
      </c>
      <c r="T11" s="10">
        <v>5</v>
      </c>
      <c r="U11" s="2">
        <f>IF(COUNTIF(F11:T11,"=*")&gt;0,"-",IF(COUNTIF(F11:T11,"&lt;4")&gt;0,"-",(IFERROR(AVERAGE(F11:T11),""))))</f>
        <v>4.2</v>
      </c>
      <c r="V11" s="29"/>
      <c r="W11" s="36"/>
    </row>
    <row r="12" spans="1:23" ht="15" customHeight="1" x14ac:dyDescent="0.25">
      <c r="A12" s="34"/>
      <c r="B12" s="29"/>
      <c r="C12" s="8" t="s">
        <v>11</v>
      </c>
      <c r="D12" s="8">
        <v>2</v>
      </c>
      <c r="E12" s="9" t="s">
        <v>42</v>
      </c>
      <c r="F12" s="10">
        <v>11</v>
      </c>
      <c r="G12" s="10">
        <v>10</v>
      </c>
      <c r="H12" s="10">
        <v>11</v>
      </c>
      <c r="I12" s="10">
        <v>11</v>
      </c>
      <c r="J12" s="10">
        <v>10</v>
      </c>
      <c r="K12" s="10">
        <v>10</v>
      </c>
      <c r="L12" s="10">
        <v>10</v>
      </c>
      <c r="M12" s="10">
        <v>10</v>
      </c>
      <c r="N12" s="10">
        <v>10</v>
      </c>
      <c r="O12" s="10">
        <v>9</v>
      </c>
      <c r="P12" s="10">
        <v>10</v>
      </c>
      <c r="Q12" s="10">
        <v>10</v>
      </c>
      <c r="R12" s="10">
        <v>10</v>
      </c>
      <c r="S12" s="10">
        <v>11</v>
      </c>
      <c r="T12" s="10">
        <v>10</v>
      </c>
      <c r="U12" s="2">
        <f t="shared" ref="U12:U35" si="0">IF(COUNTIF(F12:T12,"=*")&gt;0,"-",IF(COUNTIF(F12:T12,"&lt;4")&gt;0,"-",(IFERROR(AVERAGE(F12:T12),""))))</f>
        <v>10.199999999999999</v>
      </c>
      <c r="V12" s="29"/>
      <c r="W12" s="36"/>
    </row>
    <row r="13" spans="1:23" ht="15" customHeight="1" x14ac:dyDescent="0.25">
      <c r="A13" s="34"/>
      <c r="B13" s="29"/>
      <c r="C13" s="8" t="s">
        <v>11</v>
      </c>
      <c r="D13" s="8">
        <v>3</v>
      </c>
      <c r="E13" s="9" t="s">
        <v>43</v>
      </c>
      <c r="F13" s="10">
        <v>4</v>
      </c>
      <c r="G13" s="10">
        <v>5</v>
      </c>
      <c r="H13" s="10">
        <v>4</v>
      </c>
      <c r="I13" s="10">
        <v>4</v>
      </c>
      <c r="J13" s="10">
        <v>5</v>
      </c>
      <c r="K13" s="10" t="s">
        <v>83</v>
      </c>
      <c r="L13" s="10">
        <v>5</v>
      </c>
      <c r="M13" s="10">
        <v>4</v>
      </c>
      <c r="N13" s="10" t="s">
        <v>83</v>
      </c>
      <c r="O13" s="10" t="s">
        <v>83</v>
      </c>
      <c r="P13" s="10">
        <v>4</v>
      </c>
      <c r="Q13" s="10">
        <v>4</v>
      </c>
      <c r="R13" s="10" t="s">
        <v>83</v>
      </c>
      <c r="S13" s="10" t="s">
        <v>83</v>
      </c>
      <c r="T13" s="10">
        <v>4</v>
      </c>
      <c r="U13" s="2" t="str">
        <f t="shared" si="0"/>
        <v>-</v>
      </c>
      <c r="V13" s="29"/>
      <c r="W13" s="36"/>
    </row>
    <row r="14" spans="1:23" ht="15" customHeight="1" x14ac:dyDescent="0.25">
      <c r="A14" s="34"/>
      <c r="B14" s="29"/>
      <c r="C14" s="8" t="s">
        <v>11</v>
      </c>
      <c r="D14" s="8">
        <v>4</v>
      </c>
      <c r="E14" s="9" t="s">
        <v>44</v>
      </c>
      <c r="F14" s="10">
        <v>9</v>
      </c>
      <c r="G14" s="10">
        <v>10</v>
      </c>
      <c r="H14" s="10">
        <v>10</v>
      </c>
      <c r="I14" s="10">
        <v>9</v>
      </c>
      <c r="J14" s="10">
        <v>10</v>
      </c>
      <c r="K14" s="10">
        <v>4</v>
      </c>
      <c r="L14" s="10">
        <v>11</v>
      </c>
      <c r="M14" s="10">
        <v>8</v>
      </c>
      <c r="N14" s="10">
        <v>7</v>
      </c>
      <c r="O14" s="10">
        <v>6</v>
      </c>
      <c r="P14" s="10">
        <v>4</v>
      </c>
      <c r="Q14" s="10">
        <v>4</v>
      </c>
      <c r="R14" s="10">
        <v>7</v>
      </c>
      <c r="S14" s="10">
        <v>7</v>
      </c>
      <c r="T14" s="10">
        <v>7</v>
      </c>
      <c r="U14" s="2">
        <f t="shared" si="0"/>
        <v>7.5333333333333332</v>
      </c>
      <c r="V14" s="29"/>
      <c r="W14" s="36"/>
    </row>
    <row r="15" spans="1:23" ht="15" customHeight="1" x14ac:dyDescent="0.25">
      <c r="A15" s="34"/>
      <c r="B15" s="29"/>
      <c r="C15" s="8" t="s">
        <v>11</v>
      </c>
      <c r="D15" s="8">
        <v>5</v>
      </c>
      <c r="E15" s="9" t="s">
        <v>45</v>
      </c>
      <c r="F15" s="10">
        <v>9</v>
      </c>
      <c r="G15" s="10">
        <v>10</v>
      </c>
      <c r="H15" s="10">
        <v>10</v>
      </c>
      <c r="I15" s="10">
        <v>9</v>
      </c>
      <c r="J15" s="10">
        <v>9</v>
      </c>
      <c r="K15" s="10">
        <v>8</v>
      </c>
      <c r="L15" s="10">
        <v>9</v>
      </c>
      <c r="M15" s="10">
        <v>7</v>
      </c>
      <c r="N15" s="10">
        <v>9</v>
      </c>
      <c r="O15" s="10">
        <v>6</v>
      </c>
      <c r="P15" s="10">
        <v>7</v>
      </c>
      <c r="Q15" s="10">
        <v>7</v>
      </c>
      <c r="R15" s="10">
        <v>7</v>
      </c>
      <c r="S15" s="10">
        <v>10</v>
      </c>
      <c r="T15" s="10">
        <v>6</v>
      </c>
      <c r="U15" s="2">
        <f t="shared" si="0"/>
        <v>8.1999999999999993</v>
      </c>
      <c r="V15" s="29"/>
      <c r="W15" s="36"/>
    </row>
    <row r="16" spans="1:23" ht="15" customHeight="1" x14ac:dyDescent="0.25">
      <c r="A16" s="34"/>
      <c r="B16" s="29"/>
      <c r="C16" s="8" t="s">
        <v>11</v>
      </c>
      <c r="D16" s="8">
        <v>6</v>
      </c>
      <c r="E16" s="9" t="s">
        <v>46</v>
      </c>
      <c r="F16" s="10">
        <v>10</v>
      </c>
      <c r="G16" s="10">
        <v>9</v>
      </c>
      <c r="H16" s="10">
        <v>10</v>
      </c>
      <c r="I16" s="10">
        <v>10</v>
      </c>
      <c r="J16" s="10">
        <v>8</v>
      </c>
      <c r="K16" s="10">
        <v>8</v>
      </c>
      <c r="L16" s="10">
        <v>9</v>
      </c>
      <c r="M16" s="10">
        <v>6</v>
      </c>
      <c r="N16" s="10">
        <v>6</v>
      </c>
      <c r="O16" s="10">
        <v>6</v>
      </c>
      <c r="P16" s="10">
        <v>5</v>
      </c>
      <c r="Q16" s="10">
        <v>5</v>
      </c>
      <c r="R16" s="10">
        <v>7</v>
      </c>
      <c r="S16" s="10">
        <v>10</v>
      </c>
      <c r="T16" s="10">
        <v>8</v>
      </c>
      <c r="U16" s="2">
        <f t="shared" si="0"/>
        <v>7.8</v>
      </c>
      <c r="V16" s="29"/>
      <c r="W16" s="36"/>
    </row>
    <row r="17" spans="1:23" ht="15" customHeight="1" x14ac:dyDescent="0.25">
      <c r="A17" s="34"/>
      <c r="B17" s="29"/>
      <c r="C17" s="8" t="s">
        <v>11</v>
      </c>
      <c r="D17" s="8">
        <v>7</v>
      </c>
      <c r="E17" s="9" t="s">
        <v>47</v>
      </c>
      <c r="F17" s="10">
        <v>9</v>
      </c>
      <c r="G17" s="10">
        <v>9</v>
      </c>
      <c r="H17" s="10">
        <v>9</v>
      </c>
      <c r="I17" s="10">
        <v>9</v>
      </c>
      <c r="J17" s="10">
        <v>9</v>
      </c>
      <c r="K17" s="10">
        <v>7</v>
      </c>
      <c r="L17" s="10">
        <v>9</v>
      </c>
      <c r="M17" s="10">
        <v>5</v>
      </c>
      <c r="N17" s="10">
        <v>7</v>
      </c>
      <c r="O17" s="10">
        <v>7</v>
      </c>
      <c r="P17" s="10">
        <v>4</v>
      </c>
      <c r="Q17" s="10">
        <v>4</v>
      </c>
      <c r="R17" s="10">
        <v>8</v>
      </c>
      <c r="S17" s="10">
        <v>10</v>
      </c>
      <c r="T17" s="10">
        <v>8</v>
      </c>
      <c r="U17" s="2">
        <f t="shared" si="0"/>
        <v>7.6</v>
      </c>
      <c r="V17" s="29"/>
      <c r="W17" s="36"/>
    </row>
    <row r="18" spans="1:23" ht="15" customHeight="1" x14ac:dyDescent="0.25">
      <c r="A18" s="34"/>
      <c r="B18" s="29"/>
      <c r="C18" s="8" t="s">
        <v>11</v>
      </c>
      <c r="D18" s="8">
        <v>8</v>
      </c>
      <c r="E18" s="9" t="s">
        <v>48</v>
      </c>
      <c r="F18" s="10">
        <v>9</v>
      </c>
      <c r="G18" s="10">
        <v>8</v>
      </c>
      <c r="H18" s="10">
        <v>9</v>
      </c>
      <c r="I18" s="10">
        <v>9</v>
      </c>
      <c r="J18" s="10">
        <v>8</v>
      </c>
      <c r="K18" s="10" t="s">
        <v>83</v>
      </c>
      <c r="L18" s="10">
        <v>9</v>
      </c>
      <c r="M18" s="10" t="s">
        <v>83</v>
      </c>
      <c r="N18" s="10">
        <v>5</v>
      </c>
      <c r="O18" s="10">
        <v>4</v>
      </c>
      <c r="P18" s="10">
        <v>4</v>
      </c>
      <c r="Q18" s="10">
        <v>4</v>
      </c>
      <c r="R18" s="10">
        <v>2</v>
      </c>
      <c r="S18" s="10">
        <v>5</v>
      </c>
      <c r="T18" s="10">
        <v>5</v>
      </c>
      <c r="U18" s="2" t="str">
        <f t="shared" si="0"/>
        <v>-</v>
      </c>
      <c r="V18" s="29"/>
      <c r="W18" s="36"/>
    </row>
    <row r="19" spans="1:23" ht="15" customHeight="1" x14ac:dyDescent="0.25">
      <c r="A19" s="34"/>
      <c r="B19" s="29"/>
      <c r="C19" s="8" t="s">
        <v>11</v>
      </c>
      <c r="D19" s="8">
        <v>9</v>
      </c>
      <c r="E19" s="9" t="s">
        <v>49</v>
      </c>
      <c r="F19" s="10">
        <v>8</v>
      </c>
      <c r="G19" s="10">
        <v>8</v>
      </c>
      <c r="H19" s="10">
        <v>8</v>
      </c>
      <c r="I19" s="10">
        <v>8</v>
      </c>
      <c r="J19" s="10">
        <v>10</v>
      </c>
      <c r="K19" s="10">
        <v>4</v>
      </c>
      <c r="L19" s="10">
        <v>10</v>
      </c>
      <c r="M19" s="10">
        <v>4</v>
      </c>
      <c r="N19" s="10">
        <v>6</v>
      </c>
      <c r="O19" s="10">
        <v>4</v>
      </c>
      <c r="P19" s="10">
        <v>4</v>
      </c>
      <c r="Q19" s="10">
        <v>4</v>
      </c>
      <c r="R19" s="10">
        <v>4</v>
      </c>
      <c r="S19" s="10">
        <v>4</v>
      </c>
      <c r="T19" s="10">
        <v>5</v>
      </c>
      <c r="U19" s="2">
        <f t="shared" si="0"/>
        <v>6.0666666666666664</v>
      </c>
      <c r="V19" s="29"/>
      <c r="W19" s="36"/>
    </row>
    <row r="20" spans="1:23" ht="15" customHeight="1" x14ac:dyDescent="0.25">
      <c r="A20" s="34"/>
      <c r="B20" s="29"/>
      <c r="C20" s="8" t="s">
        <v>11</v>
      </c>
      <c r="D20" s="8">
        <v>10</v>
      </c>
      <c r="E20" s="9" t="s">
        <v>50</v>
      </c>
      <c r="F20" s="10">
        <v>10</v>
      </c>
      <c r="G20" s="10">
        <v>9</v>
      </c>
      <c r="H20" s="10">
        <v>10</v>
      </c>
      <c r="I20" s="10">
        <v>10</v>
      </c>
      <c r="J20" s="10">
        <v>9</v>
      </c>
      <c r="K20" s="10">
        <v>4</v>
      </c>
      <c r="L20" s="10">
        <v>9</v>
      </c>
      <c r="M20" s="10">
        <v>8</v>
      </c>
      <c r="N20" s="10">
        <v>6</v>
      </c>
      <c r="O20" s="10">
        <v>4</v>
      </c>
      <c r="P20" s="10">
        <v>4</v>
      </c>
      <c r="Q20" s="10">
        <v>4</v>
      </c>
      <c r="R20" s="10">
        <v>7</v>
      </c>
      <c r="S20" s="10">
        <v>7</v>
      </c>
      <c r="T20" s="10">
        <v>6</v>
      </c>
      <c r="U20" s="2">
        <f t="shared" si="0"/>
        <v>7.1333333333333337</v>
      </c>
      <c r="V20" s="29"/>
      <c r="W20" s="36"/>
    </row>
    <row r="21" spans="1:23" ht="15" customHeight="1" x14ac:dyDescent="0.25">
      <c r="A21" s="34"/>
      <c r="B21" s="29"/>
      <c r="C21" s="8" t="s">
        <v>10</v>
      </c>
      <c r="D21" s="8">
        <v>11</v>
      </c>
      <c r="E21" s="9" t="s">
        <v>51</v>
      </c>
      <c r="F21" s="10">
        <v>8</v>
      </c>
      <c r="G21" s="10">
        <v>8</v>
      </c>
      <c r="H21" s="10">
        <v>8</v>
      </c>
      <c r="I21" s="10">
        <v>8</v>
      </c>
      <c r="J21" s="10">
        <v>9</v>
      </c>
      <c r="K21" s="10" t="s">
        <v>83</v>
      </c>
      <c r="L21" s="10">
        <v>9</v>
      </c>
      <c r="M21" s="10">
        <v>4</v>
      </c>
      <c r="N21" s="10">
        <v>8</v>
      </c>
      <c r="O21" s="10">
        <v>4</v>
      </c>
      <c r="P21" s="10">
        <v>4</v>
      </c>
      <c r="Q21" s="10">
        <v>4</v>
      </c>
      <c r="R21" s="10">
        <v>4</v>
      </c>
      <c r="S21" s="10">
        <v>4</v>
      </c>
      <c r="T21" s="10">
        <v>5</v>
      </c>
      <c r="U21" s="2" t="str">
        <f t="shared" si="0"/>
        <v>-</v>
      </c>
      <c r="V21" s="29"/>
      <c r="W21" s="36"/>
    </row>
    <row r="22" spans="1:23" ht="15" customHeight="1" x14ac:dyDescent="0.25">
      <c r="A22" s="34"/>
      <c r="B22" s="29"/>
      <c r="C22" s="8" t="s">
        <v>11</v>
      </c>
      <c r="D22" s="8">
        <v>12</v>
      </c>
      <c r="E22" s="9" t="s">
        <v>52</v>
      </c>
      <c r="F22" s="10">
        <v>10</v>
      </c>
      <c r="G22" s="10">
        <v>10</v>
      </c>
      <c r="H22" s="10">
        <v>11</v>
      </c>
      <c r="I22" s="10">
        <v>10</v>
      </c>
      <c r="J22" s="10">
        <v>10</v>
      </c>
      <c r="K22" s="10">
        <v>11</v>
      </c>
      <c r="L22" s="10">
        <v>9</v>
      </c>
      <c r="M22" s="10">
        <v>11</v>
      </c>
      <c r="N22" s="10">
        <v>9</v>
      </c>
      <c r="O22" s="10">
        <v>9</v>
      </c>
      <c r="P22" s="10">
        <v>9</v>
      </c>
      <c r="Q22" s="10">
        <v>9</v>
      </c>
      <c r="R22" s="10">
        <v>8</v>
      </c>
      <c r="S22" s="10">
        <v>9</v>
      </c>
      <c r="T22" s="10">
        <v>9</v>
      </c>
      <c r="U22" s="2">
        <f t="shared" si="0"/>
        <v>9.6</v>
      </c>
      <c r="V22" s="29"/>
      <c r="W22" s="36"/>
    </row>
    <row r="23" spans="1:23" ht="15" customHeight="1" x14ac:dyDescent="0.25">
      <c r="A23" s="34"/>
      <c r="B23" s="29"/>
      <c r="C23" s="8" t="s">
        <v>11</v>
      </c>
      <c r="D23" s="8">
        <v>13</v>
      </c>
      <c r="E23" s="9" t="s">
        <v>53</v>
      </c>
      <c r="F23" s="10">
        <v>10</v>
      </c>
      <c r="G23" s="10">
        <v>10</v>
      </c>
      <c r="H23" s="10">
        <v>11</v>
      </c>
      <c r="I23" s="10">
        <v>10</v>
      </c>
      <c r="J23" s="10">
        <v>10</v>
      </c>
      <c r="K23" s="10">
        <v>11</v>
      </c>
      <c r="L23" s="10">
        <v>9</v>
      </c>
      <c r="M23" s="10">
        <v>11</v>
      </c>
      <c r="N23" s="10">
        <v>9</v>
      </c>
      <c r="O23" s="10">
        <v>9</v>
      </c>
      <c r="P23" s="10">
        <v>9</v>
      </c>
      <c r="Q23" s="10">
        <v>9</v>
      </c>
      <c r="R23" s="10">
        <v>8</v>
      </c>
      <c r="S23" s="10">
        <v>9</v>
      </c>
      <c r="T23" s="10">
        <v>9</v>
      </c>
      <c r="U23" s="2">
        <f t="shared" si="0"/>
        <v>9.6</v>
      </c>
      <c r="V23" s="29"/>
      <c r="W23" s="36"/>
    </row>
    <row r="24" spans="1:23" ht="15" customHeight="1" x14ac:dyDescent="0.25">
      <c r="A24" s="34"/>
      <c r="B24" s="29"/>
      <c r="C24" s="8" t="s">
        <v>11</v>
      </c>
      <c r="D24" s="8">
        <v>14</v>
      </c>
      <c r="E24" s="9" t="s">
        <v>54</v>
      </c>
      <c r="F24" s="10">
        <v>9</v>
      </c>
      <c r="G24" s="10">
        <v>9</v>
      </c>
      <c r="H24" s="10">
        <v>9</v>
      </c>
      <c r="I24" s="10">
        <v>9</v>
      </c>
      <c r="J24" s="10">
        <v>9</v>
      </c>
      <c r="K24" s="10" t="s">
        <v>83</v>
      </c>
      <c r="L24" s="10">
        <v>7</v>
      </c>
      <c r="M24" s="10">
        <v>8</v>
      </c>
      <c r="N24" s="10">
        <v>7</v>
      </c>
      <c r="O24" s="10">
        <v>4</v>
      </c>
      <c r="P24" s="10">
        <v>4</v>
      </c>
      <c r="Q24" s="10">
        <v>4</v>
      </c>
      <c r="R24" s="10">
        <v>5</v>
      </c>
      <c r="S24" s="10">
        <v>5</v>
      </c>
      <c r="T24" s="10">
        <v>8</v>
      </c>
      <c r="U24" s="2" t="str">
        <f t="shared" si="0"/>
        <v>-</v>
      </c>
      <c r="V24" s="29"/>
      <c r="W24" s="36"/>
    </row>
    <row r="25" spans="1:23" ht="15" customHeight="1" x14ac:dyDescent="0.25">
      <c r="A25" s="34"/>
      <c r="B25" s="29"/>
      <c r="C25" s="8" t="s">
        <v>11</v>
      </c>
      <c r="D25" s="8">
        <v>15</v>
      </c>
      <c r="E25" s="9" t="s">
        <v>55</v>
      </c>
      <c r="F25" s="10">
        <v>8</v>
      </c>
      <c r="G25" s="10">
        <v>6</v>
      </c>
      <c r="H25" s="10">
        <v>5</v>
      </c>
      <c r="I25" s="10">
        <v>8</v>
      </c>
      <c r="J25" s="10">
        <v>5</v>
      </c>
      <c r="K25" s="10">
        <v>4</v>
      </c>
      <c r="L25" s="10">
        <v>6</v>
      </c>
      <c r="M25" s="10">
        <v>8</v>
      </c>
      <c r="N25" s="10">
        <v>4</v>
      </c>
      <c r="O25" s="10">
        <v>7</v>
      </c>
      <c r="P25" s="10">
        <v>7</v>
      </c>
      <c r="Q25" s="10">
        <v>7</v>
      </c>
      <c r="R25" s="10">
        <v>7</v>
      </c>
      <c r="S25" s="10">
        <v>5</v>
      </c>
      <c r="T25" s="10">
        <v>7</v>
      </c>
      <c r="U25" s="2">
        <f t="shared" si="0"/>
        <v>6.2666666666666666</v>
      </c>
      <c r="V25" s="29"/>
      <c r="W25" s="36"/>
    </row>
    <row r="26" spans="1:23" ht="15" customHeight="1" x14ac:dyDescent="0.25">
      <c r="A26" s="34"/>
      <c r="B26" s="29"/>
      <c r="C26" s="8" t="s">
        <v>11</v>
      </c>
      <c r="D26" s="8">
        <v>16</v>
      </c>
      <c r="E26" s="9" t="s">
        <v>56</v>
      </c>
      <c r="F26" s="10">
        <v>11</v>
      </c>
      <c r="G26" s="10">
        <v>11</v>
      </c>
      <c r="H26" s="10">
        <v>11</v>
      </c>
      <c r="I26" s="10">
        <v>11</v>
      </c>
      <c r="J26" s="10">
        <v>10</v>
      </c>
      <c r="K26" s="10">
        <v>12</v>
      </c>
      <c r="L26" s="10">
        <v>11</v>
      </c>
      <c r="M26" s="10">
        <v>12</v>
      </c>
      <c r="N26" s="10">
        <v>11</v>
      </c>
      <c r="O26" s="10">
        <v>10</v>
      </c>
      <c r="P26" s="10">
        <v>11</v>
      </c>
      <c r="Q26" s="10">
        <v>11</v>
      </c>
      <c r="R26" s="10">
        <v>10</v>
      </c>
      <c r="S26" s="10">
        <v>11</v>
      </c>
      <c r="T26" s="10">
        <v>10</v>
      </c>
      <c r="U26" s="2">
        <f t="shared" si="0"/>
        <v>10.866666666666667</v>
      </c>
      <c r="V26" s="29"/>
      <c r="W26" s="36"/>
    </row>
    <row r="27" spans="1:23" ht="15" customHeight="1" x14ac:dyDescent="0.25">
      <c r="A27" s="34"/>
      <c r="B27" s="29"/>
      <c r="C27" s="8" t="s">
        <v>11</v>
      </c>
      <c r="D27" s="8">
        <v>17</v>
      </c>
      <c r="E27" s="9" t="s">
        <v>57</v>
      </c>
      <c r="F27" s="10">
        <v>11</v>
      </c>
      <c r="G27" s="10">
        <v>8</v>
      </c>
      <c r="H27" s="10">
        <v>10</v>
      </c>
      <c r="I27" s="10">
        <v>11</v>
      </c>
      <c r="J27" s="10">
        <v>10</v>
      </c>
      <c r="K27" s="10">
        <v>9</v>
      </c>
      <c r="L27" s="10">
        <v>9</v>
      </c>
      <c r="M27" s="10">
        <v>8</v>
      </c>
      <c r="N27" s="10">
        <v>7</v>
      </c>
      <c r="O27" s="10">
        <v>4</v>
      </c>
      <c r="P27" s="10">
        <v>9</v>
      </c>
      <c r="Q27" s="10">
        <v>9</v>
      </c>
      <c r="R27" s="10">
        <v>7</v>
      </c>
      <c r="S27" s="10">
        <v>10</v>
      </c>
      <c r="T27" s="10">
        <v>8</v>
      </c>
      <c r="U27" s="2">
        <f t="shared" si="0"/>
        <v>8.6666666666666661</v>
      </c>
      <c r="V27" s="29"/>
      <c r="W27" s="36"/>
    </row>
    <row r="28" spans="1:23" ht="15" customHeight="1" x14ac:dyDescent="0.25">
      <c r="A28" s="34"/>
      <c r="B28" s="29"/>
      <c r="C28" s="8" t="s">
        <v>11</v>
      </c>
      <c r="D28" s="8">
        <v>18</v>
      </c>
      <c r="E28" s="9" t="s">
        <v>58</v>
      </c>
      <c r="F28" s="10">
        <v>8</v>
      </c>
      <c r="G28" s="10">
        <v>7</v>
      </c>
      <c r="H28" s="10">
        <v>7</v>
      </c>
      <c r="I28" s="10">
        <v>8</v>
      </c>
      <c r="J28" s="10">
        <v>8</v>
      </c>
      <c r="K28" s="10">
        <v>4</v>
      </c>
      <c r="L28" s="10">
        <v>9</v>
      </c>
      <c r="M28" s="10">
        <v>4</v>
      </c>
      <c r="N28" s="10">
        <v>8</v>
      </c>
      <c r="O28" s="10">
        <v>4</v>
      </c>
      <c r="P28" s="10">
        <v>4</v>
      </c>
      <c r="Q28" s="10">
        <v>4</v>
      </c>
      <c r="R28" s="10">
        <v>4</v>
      </c>
      <c r="S28" s="10">
        <v>4</v>
      </c>
      <c r="T28" s="10">
        <v>4</v>
      </c>
      <c r="U28" s="2">
        <f t="shared" si="0"/>
        <v>5.8</v>
      </c>
      <c r="V28" s="29"/>
      <c r="W28" s="36"/>
    </row>
    <row r="29" spans="1:23" ht="15" customHeight="1" x14ac:dyDescent="0.25">
      <c r="A29" s="34"/>
      <c r="B29" s="29"/>
      <c r="C29" s="8" t="s">
        <v>10</v>
      </c>
      <c r="D29" s="8">
        <v>19</v>
      </c>
      <c r="E29" s="9" t="s">
        <v>59</v>
      </c>
      <c r="F29" s="10">
        <v>8</v>
      </c>
      <c r="G29" s="10">
        <v>8</v>
      </c>
      <c r="H29" s="10">
        <v>7</v>
      </c>
      <c r="I29" s="10">
        <v>8</v>
      </c>
      <c r="J29" s="10">
        <v>6</v>
      </c>
      <c r="K29" s="10">
        <v>5</v>
      </c>
      <c r="L29" s="10">
        <v>8</v>
      </c>
      <c r="M29" s="10">
        <v>8</v>
      </c>
      <c r="N29" s="10">
        <v>5</v>
      </c>
      <c r="O29" s="10">
        <v>4</v>
      </c>
      <c r="P29" s="10">
        <v>4</v>
      </c>
      <c r="Q29" s="10">
        <v>4</v>
      </c>
      <c r="R29" s="10">
        <v>5</v>
      </c>
      <c r="S29" s="10">
        <v>5</v>
      </c>
      <c r="T29" s="10">
        <v>7</v>
      </c>
      <c r="U29" s="2">
        <f t="shared" si="0"/>
        <v>6.1333333333333337</v>
      </c>
      <c r="V29" s="29"/>
      <c r="W29" s="36"/>
    </row>
    <row r="30" spans="1:23" ht="15" customHeight="1" x14ac:dyDescent="0.25">
      <c r="A30" s="34"/>
      <c r="B30" s="29"/>
      <c r="C30" s="8" t="s">
        <v>10</v>
      </c>
      <c r="D30" s="8">
        <v>20</v>
      </c>
      <c r="E30" s="9" t="s">
        <v>60</v>
      </c>
      <c r="F30" s="10">
        <v>4</v>
      </c>
      <c r="G30" s="10">
        <v>6</v>
      </c>
      <c r="H30" s="10">
        <v>7</v>
      </c>
      <c r="I30" s="10">
        <v>4</v>
      </c>
      <c r="J30" s="10">
        <v>4</v>
      </c>
      <c r="K30" s="10">
        <v>4</v>
      </c>
      <c r="L30" s="10">
        <v>7</v>
      </c>
      <c r="M30" s="10">
        <v>5</v>
      </c>
      <c r="N30" s="10">
        <v>6</v>
      </c>
      <c r="O30" s="10">
        <v>4</v>
      </c>
      <c r="P30" s="10">
        <v>4</v>
      </c>
      <c r="Q30" s="10">
        <v>4</v>
      </c>
      <c r="R30" s="10">
        <v>4</v>
      </c>
      <c r="S30" s="10">
        <v>8</v>
      </c>
      <c r="T30" s="10">
        <v>4</v>
      </c>
      <c r="U30" s="2">
        <f t="shared" si="0"/>
        <v>5</v>
      </c>
      <c r="V30" s="29"/>
      <c r="W30" s="36"/>
    </row>
    <row r="31" spans="1:23" ht="15" customHeight="1" x14ac:dyDescent="0.25">
      <c r="A31" s="34"/>
      <c r="B31" s="29"/>
      <c r="C31" s="8" t="s">
        <v>11</v>
      </c>
      <c r="D31" s="8">
        <v>21</v>
      </c>
      <c r="E31" s="9" t="s">
        <v>61</v>
      </c>
      <c r="F31" s="10">
        <v>10</v>
      </c>
      <c r="G31" s="10">
        <v>10</v>
      </c>
      <c r="H31" s="10">
        <v>10</v>
      </c>
      <c r="I31" s="10">
        <v>10</v>
      </c>
      <c r="J31" s="10">
        <v>10</v>
      </c>
      <c r="K31" s="10">
        <v>10</v>
      </c>
      <c r="L31" s="10">
        <v>10</v>
      </c>
      <c r="M31" s="10">
        <v>10</v>
      </c>
      <c r="N31" s="10">
        <v>9</v>
      </c>
      <c r="O31" s="10">
        <v>6</v>
      </c>
      <c r="P31" s="10">
        <v>11</v>
      </c>
      <c r="Q31" s="10">
        <v>11</v>
      </c>
      <c r="R31" s="10">
        <v>10</v>
      </c>
      <c r="S31" s="10">
        <v>11</v>
      </c>
      <c r="T31" s="10">
        <v>9</v>
      </c>
      <c r="U31" s="2">
        <f t="shared" si="0"/>
        <v>9.8000000000000007</v>
      </c>
      <c r="V31" s="29"/>
      <c r="W31" s="36"/>
    </row>
    <row r="32" spans="1:23" ht="15" customHeight="1" x14ac:dyDescent="0.25">
      <c r="A32" s="34"/>
      <c r="B32" s="29"/>
      <c r="C32" s="8" t="s">
        <v>11</v>
      </c>
      <c r="D32" s="8">
        <v>22</v>
      </c>
      <c r="E32" s="9" t="s">
        <v>62</v>
      </c>
      <c r="F32" s="10">
        <v>8</v>
      </c>
      <c r="G32" s="10">
        <v>6</v>
      </c>
      <c r="H32" s="10">
        <v>7</v>
      </c>
      <c r="I32" s="10">
        <v>8</v>
      </c>
      <c r="J32" s="10">
        <v>8</v>
      </c>
      <c r="K32" s="10" t="s">
        <v>83</v>
      </c>
      <c r="L32" s="10">
        <v>6</v>
      </c>
      <c r="M32" s="10">
        <v>4</v>
      </c>
      <c r="N32" s="10">
        <v>8</v>
      </c>
      <c r="O32" s="10">
        <v>4</v>
      </c>
      <c r="P32" s="10">
        <v>4</v>
      </c>
      <c r="Q32" s="10">
        <v>4</v>
      </c>
      <c r="R32" s="10">
        <v>4</v>
      </c>
      <c r="S32" s="10">
        <v>4</v>
      </c>
      <c r="T32" s="10">
        <v>6</v>
      </c>
      <c r="U32" s="2" t="str">
        <f t="shared" si="0"/>
        <v>-</v>
      </c>
      <c r="V32" s="29"/>
      <c r="W32" s="36"/>
    </row>
    <row r="33" spans="1:23" ht="15" customHeight="1" x14ac:dyDescent="0.25">
      <c r="A33" s="34"/>
      <c r="B33" s="29"/>
      <c r="C33" s="8" t="s">
        <v>11</v>
      </c>
      <c r="D33" s="8">
        <v>23</v>
      </c>
      <c r="E33" s="9" t="s">
        <v>63</v>
      </c>
      <c r="F33" s="10">
        <v>10</v>
      </c>
      <c r="G33" s="10">
        <v>8</v>
      </c>
      <c r="H33" s="10">
        <v>9</v>
      </c>
      <c r="I33" s="10">
        <v>10</v>
      </c>
      <c r="J33" s="10">
        <v>6</v>
      </c>
      <c r="K33" s="10">
        <v>5</v>
      </c>
      <c r="L33" s="10">
        <v>7</v>
      </c>
      <c r="M33" s="10">
        <v>10</v>
      </c>
      <c r="N33" s="10">
        <v>6</v>
      </c>
      <c r="O33" s="10">
        <v>4</v>
      </c>
      <c r="P33" s="10">
        <v>4</v>
      </c>
      <c r="Q33" s="10">
        <v>4</v>
      </c>
      <c r="R33" s="10">
        <v>5</v>
      </c>
      <c r="S33" s="10">
        <v>5</v>
      </c>
      <c r="T33" s="10">
        <v>8</v>
      </c>
      <c r="U33" s="2">
        <f t="shared" si="0"/>
        <v>6.7333333333333334</v>
      </c>
      <c r="V33" s="29"/>
      <c r="W33" s="36"/>
    </row>
    <row r="34" spans="1:23" ht="15" customHeight="1" x14ac:dyDescent="0.25">
      <c r="A34" s="34"/>
      <c r="B34" s="29"/>
      <c r="C34" s="8" t="s">
        <v>11</v>
      </c>
      <c r="D34" s="8">
        <v>24</v>
      </c>
      <c r="E34" s="9" t="s">
        <v>64</v>
      </c>
      <c r="F34" s="10">
        <v>6</v>
      </c>
      <c r="G34" s="10">
        <v>5</v>
      </c>
      <c r="H34" s="10">
        <v>7</v>
      </c>
      <c r="I34" s="10">
        <v>6</v>
      </c>
      <c r="J34" s="10">
        <v>5</v>
      </c>
      <c r="K34" s="10" t="s">
        <v>83</v>
      </c>
      <c r="L34" s="10">
        <v>7</v>
      </c>
      <c r="M34" s="10">
        <v>4</v>
      </c>
      <c r="N34" s="10">
        <v>7</v>
      </c>
      <c r="O34" s="10">
        <v>4</v>
      </c>
      <c r="P34" s="10">
        <v>4</v>
      </c>
      <c r="Q34" s="10">
        <v>4</v>
      </c>
      <c r="R34" s="10">
        <v>4</v>
      </c>
      <c r="S34" s="10">
        <v>6</v>
      </c>
      <c r="T34" s="10">
        <v>6</v>
      </c>
      <c r="U34" s="2" t="str">
        <f t="shared" si="0"/>
        <v>-</v>
      </c>
      <c r="V34" s="29"/>
      <c r="W34" s="36"/>
    </row>
    <row r="35" spans="1:23" ht="15" customHeight="1" x14ac:dyDescent="0.25">
      <c r="A35" s="34"/>
      <c r="B35" s="29"/>
      <c r="C35" s="8" t="s">
        <v>10</v>
      </c>
      <c r="D35" s="8">
        <v>25</v>
      </c>
      <c r="E35" s="9" t="s">
        <v>65</v>
      </c>
      <c r="F35" s="10">
        <v>4</v>
      </c>
      <c r="G35" s="10">
        <v>5</v>
      </c>
      <c r="H35" s="10">
        <v>5</v>
      </c>
      <c r="I35" s="10">
        <v>4</v>
      </c>
      <c r="J35" s="10">
        <v>4</v>
      </c>
      <c r="K35" s="10">
        <v>4</v>
      </c>
      <c r="L35" s="10">
        <v>5</v>
      </c>
      <c r="M35" s="10">
        <v>8</v>
      </c>
      <c r="N35" s="10">
        <v>4</v>
      </c>
      <c r="O35" s="10">
        <v>7</v>
      </c>
      <c r="P35" s="10">
        <v>7</v>
      </c>
      <c r="Q35" s="10">
        <v>7</v>
      </c>
      <c r="R35" s="10">
        <v>7</v>
      </c>
      <c r="S35" s="10">
        <v>4</v>
      </c>
      <c r="T35" s="10">
        <v>7</v>
      </c>
      <c r="U35" s="2">
        <f t="shared" si="0"/>
        <v>5.4666666666666668</v>
      </c>
      <c r="V35" s="29"/>
      <c r="W35" s="36"/>
    </row>
    <row r="36" spans="1:23" ht="15" customHeight="1" x14ac:dyDescent="0.25">
      <c r="A36" s="34"/>
      <c r="B36" s="29"/>
      <c r="C36" s="11"/>
      <c r="D36" s="11"/>
      <c r="E36" s="9" t="s">
        <v>12</v>
      </c>
      <c r="F36" s="3">
        <f>IF(SUM(F11:F35)=0,"",SUM(F11:F35)/$D35)</f>
        <v>8.32</v>
      </c>
      <c r="G36" s="3">
        <f t="shared" ref="G36:T36" si="1">IF(SUM(G11:G35)=0,"",SUM(G11:G35)/$D35)</f>
        <v>8</v>
      </c>
      <c r="H36" s="3">
        <f t="shared" si="1"/>
        <v>8.4</v>
      </c>
      <c r="I36" s="3">
        <f t="shared" si="1"/>
        <v>8.32</v>
      </c>
      <c r="J36" s="3">
        <f t="shared" si="1"/>
        <v>7.84</v>
      </c>
      <c r="K36" s="3">
        <f t="shared" si="1"/>
        <v>5.12</v>
      </c>
      <c r="L36" s="3">
        <f t="shared" si="1"/>
        <v>8.16</v>
      </c>
      <c r="M36" s="3">
        <f t="shared" si="1"/>
        <v>6.84</v>
      </c>
      <c r="N36" s="3">
        <f t="shared" si="1"/>
        <v>6.72</v>
      </c>
      <c r="O36" s="3">
        <f t="shared" si="1"/>
        <v>5.36</v>
      </c>
      <c r="P36" s="3">
        <f t="shared" si="1"/>
        <v>5.8</v>
      </c>
      <c r="Q36" s="3">
        <f t="shared" si="1"/>
        <v>5.8</v>
      </c>
      <c r="R36" s="3">
        <f t="shared" si="1"/>
        <v>5.92</v>
      </c>
      <c r="S36" s="3">
        <f t="shared" si="1"/>
        <v>6.72</v>
      </c>
      <c r="T36" s="3">
        <f t="shared" si="1"/>
        <v>6.84</v>
      </c>
      <c r="U36" s="2">
        <f>IFERROR(AVERAGE(F36:T36),"")</f>
        <v>6.944</v>
      </c>
      <c r="V36" s="29"/>
      <c r="W36" s="36"/>
    </row>
    <row r="37" spans="1:23" ht="15" customHeight="1" x14ac:dyDescent="0.25">
      <c r="A37" s="34"/>
      <c r="B37" s="29"/>
      <c r="C37" s="11"/>
      <c r="D37" s="11"/>
      <c r="E37" s="9" t="s">
        <v>13</v>
      </c>
      <c r="F37" s="12">
        <f>IF(SUM(F11:F35)=0,"",IF(COUNTIF(F11:F35,"&gt;=4")=0,0,COUNTIF(F11:F35,"&gt;=4")/$D35*100))</f>
        <v>100</v>
      </c>
      <c r="G37" s="12">
        <f t="shared" ref="G37:T37" si="2">IF(SUM(G11:G35)=0,"",IF(COUNTIF(G11:G35,"&gt;=4")=0,0,COUNTIF(G11:G35,"&gt;=4")/$D35*100))</f>
        <v>100</v>
      </c>
      <c r="H37" s="12">
        <f t="shared" si="2"/>
        <v>100</v>
      </c>
      <c r="I37" s="12">
        <f t="shared" si="2"/>
        <v>100</v>
      </c>
      <c r="J37" s="12">
        <f t="shared" si="2"/>
        <v>100</v>
      </c>
      <c r="K37" s="12">
        <f t="shared" si="2"/>
        <v>76</v>
      </c>
      <c r="L37" s="12">
        <f t="shared" si="2"/>
        <v>100</v>
      </c>
      <c r="M37" s="12">
        <f t="shared" si="2"/>
        <v>96</v>
      </c>
      <c r="N37" s="12">
        <f t="shared" si="2"/>
        <v>96</v>
      </c>
      <c r="O37" s="12">
        <f t="shared" si="2"/>
        <v>96</v>
      </c>
      <c r="P37" s="12">
        <f t="shared" si="2"/>
        <v>100</v>
      </c>
      <c r="Q37" s="12">
        <f t="shared" si="2"/>
        <v>100</v>
      </c>
      <c r="R37" s="12">
        <f t="shared" si="2"/>
        <v>92</v>
      </c>
      <c r="S37" s="12">
        <f t="shared" si="2"/>
        <v>96</v>
      </c>
      <c r="T37" s="12">
        <f t="shared" si="2"/>
        <v>100</v>
      </c>
      <c r="U37" s="13"/>
      <c r="V37" s="29"/>
      <c r="W37" s="36"/>
    </row>
    <row r="38" spans="1:23" ht="15" customHeight="1" x14ac:dyDescent="0.25">
      <c r="A38" s="34"/>
      <c r="B38" s="29"/>
      <c r="C38" s="11"/>
      <c r="D38" s="11"/>
      <c r="E38" s="9" t="s">
        <v>14</v>
      </c>
      <c r="F38" s="12">
        <f>IF(SUM(F11:F35)=0,"",IF(COUNTIF(F11:F35,"&gt;=7")=0,0,COUNTIF(F11:F35,"&gt;=7")/$D35*100))</f>
        <v>80</v>
      </c>
      <c r="G38" s="12">
        <f t="shared" ref="G38:T38" si="3">IF(SUM(G11:G35)=0,"",IF(COUNTIF(G11:G35,"&gt;=7")=0,0,COUNTIF(G11:G35,"&gt;=7")/$D35*100))</f>
        <v>72</v>
      </c>
      <c r="H38" s="12">
        <f t="shared" si="3"/>
        <v>84</v>
      </c>
      <c r="I38" s="12">
        <f t="shared" si="3"/>
        <v>80</v>
      </c>
      <c r="J38" s="12">
        <f t="shared" si="3"/>
        <v>68</v>
      </c>
      <c r="K38" s="12">
        <f t="shared" si="3"/>
        <v>36</v>
      </c>
      <c r="L38" s="12">
        <f t="shared" si="3"/>
        <v>80</v>
      </c>
      <c r="M38" s="12">
        <f t="shared" si="3"/>
        <v>56.000000000000007</v>
      </c>
      <c r="N38" s="12">
        <f t="shared" si="3"/>
        <v>56.000000000000007</v>
      </c>
      <c r="O38" s="12">
        <f t="shared" si="3"/>
        <v>28.000000000000004</v>
      </c>
      <c r="P38" s="12">
        <f t="shared" si="3"/>
        <v>36</v>
      </c>
      <c r="Q38" s="12">
        <f t="shared" si="3"/>
        <v>36</v>
      </c>
      <c r="R38" s="12">
        <f t="shared" si="3"/>
        <v>52</v>
      </c>
      <c r="S38" s="12">
        <f t="shared" si="3"/>
        <v>48</v>
      </c>
      <c r="T38" s="12">
        <f t="shared" si="3"/>
        <v>56.000000000000007</v>
      </c>
      <c r="U38" s="11"/>
      <c r="V38" s="29"/>
      <c r="W38" s="36"/>
    </row>
    <row r="39" spans="1:23" ht="15" customHeight="1" x14ac:dyDescent="0.25">
      <c r="A39" s="34"/>
      <c r="B39" s="29"/>
      <c r="C39" s="11"/>
      <c r="D39" s="11"/>
      <c r="E39" s="9" t="s">
        <v>15</v>
      </c>
      <c r="F39" s="3">
        <f>IFERROR(AVERAGE(F37:T37),"")</f>
        <v>96.8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29"/>
      <c r="W39" s="36"/>
    </row>
    <row r="40" spans="1:23" ht="15" customHeight="1" x14ac:dyDescent="0.25">
      <c r="A40" s="34"/>
      <c r="B40" s="29"/>
      <c r="C40" s="11"/>
      <c r="D40" s="11"/>
      <c r="E40" s="9" t="s">
        <v>16</v>
      </c>
      <c r="F40" s="3">
        <f>IFERROR(AVERAGE(F38:T38),"")</f>
        <v>57.866666666666667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29"/>
      <c r="W40" s="36"/>
    </row>
    <row r="41" spans="1:23" ht="15" customHeight="1" x14ac:dyDescent="0.25">
      <c r="A41" s="34"/>
      <c r="B41" s="29"/>
      <c r="C41" s="11"/>
      <c r="D41" s="11"/>
      <c r="E41" s="9" t="s">
        <v>17</v>
      </c>
      <c r="F41" s="14">
        <f>IF(COUNTIF(C11:C35,"=Б")=0,IF(COUNTIF(C11:C35,"=К")=0,"",0),COUNTIF(C11:C35,"=Б"))</f>
        <v>21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29"/>
      <c r="W41" s="36"/>
    </row>
    <row r="42" spans="1:23" ht="15" customHeight="1" x14ac:dyDescent="0.25">
      <c r="A42" s="34"/>
      <c r="B42" s="29"/>
      <c r="C42" s="11"/>
      <c r="D42" s="11"/>
      <c r="E42" s="9" t="s">
        <v>18</v>
      </c>
      <c r="F42" s="14">
        <f>IF(COUNTIF(C11:C35,"=К")=0,IF(COUNTIF(C11:C35,"=Б")=0,"",0),COUNTIF(C11:C35,"=К"))</f>
        <v>4</v>
      </c>
      <c r="G42" s="11"/>
      <c r="H42" s="15" t="s">
        <v>19</v>
      </c>
      <c r="I42" s="11"/>
      <c r="J42" s="11"/>
      <c r="K42" s="11"/>
      <c r="L42" s="11"/>
      <c r="M42" s="11"/>
      <c r="N42" s="11"/>
      <c r="O42" s="1" t="s">
        <v>66</v>
      </c>
      <c r="P42" s="1"/>
      <c r="Q42" s="11"/>
      <c r="R42" s="11"/>
      <c r="S42" s="11"/>
      <c r="T42" s="11"/>
      <c r="U42" s="11"/>
      <c r="V42" s="29"/>
      <c r="W42" s="36"/>
    </row>
    <row r="43" spans="1:23" ht="15" customHeight="1" x14ac:dyDescent="0.25">
      <c r="A43" s="34"/>
      <c r="B43" s="29"/>
      <c r="C43" s="11"/>
      <c r="D43" s="11"/>
      <c r="E43" s="9" t="s">
        <v>20</v>
      </c>
      <c r="F43" s="14">
        <v>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29"/>
      <c r="W43" s="36"/>
    </row>
    <row r="44" spans="1:23" ht="15" customHeight="1" x14ac:dyDescent="0.25">
      <c r="A44" s="34"/>
      <c r="B44" s="29"/>
      <c r="C44" s="11"/>
      <c r="D44" s="11"/>
      <c r="E44" s="9" t="s">
        <v>21</v>
      </c>
      <c r="F44" s="14">
        <v>8</v>
      </c>
      <c r="G44" s="11"/>
      <c r="H44" s="15" t="s">
        <v>22</v>
      </c>
      <c r="I44" s="11"/>
      <c r="J44" s="11"/>
      <c r="K44" s="11"/>
      <c r="L44" s="11"/>
      <c r="M44" s="11"/>
      <c r="N44" s="11"/>
      <c r="O44" s="15" t="s">
        <v>23</v>
      </c>
      <c r="P44" s="15"/>
      <c r="Q44" s="11"/>
      <c r="R44" s="11"/>
      <c r="S44" s="11"/>
      <c r="T44" s="11"/>
      <c r="U44" s="11"/>
      <c r="V44" s="29"/>
      <c r="W44" s="36"/>
    </row>
    <row r="45" spans="1:23" ht="12" customHeight="1" thickBot="1" x14ac:dyDescent="0.3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6"/>
    </row>
    <row r="46" spans="1:23" ht="12" customHeight="1" x14ac:dyDescent="0.25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3" ht="0" hidden="1" customHeight="1" x14ac:dyDescent="0.25"/>
    <row r="48" spans="1:23" ht="0" hidden="1" customHeight="1" x14ac:dyDescent="0.25"/>
  </sheetData>
  <sheetProtection selectLockedCells="1"/>
  <sortState ref="E11:E36">
    <sortCondition ref="E11"/>
  </sortState>
  <mergeCells count="18">
    <mergeCell ref="B1:V1"/>
    <mergeCell ref="A2:A45"/>
    <mergeCell ref="B2:V2"/>
    <mergeCell ref="W2:W45"/>
    <mergeCell ref="B3:B44"/>
    <mergeCell ref="C3:U3"/>
    <mergeCell ref="V3:V44"/>
    <mergeCell ref="C4:U4"/>
    <mergeCell ref="C5:U5"/>
    <mergeCell ref="C6:U6"/>
    <mergeCell ref="B45:V45"/>
    <mergeCell ref="B46:V46"/>
    <mergeCell ref="C7:U7"/>
    <mergeCell ref="C8:U8"/>
    <mergeCell ref="C9:C10"/>
    <mergeCell ref="D9:D10"/>
    <mergeCell ref="E9:E10"/>
    <mergeCell ref="G9:U9"/>
  </mergeCells>
  <conditionalFormatting sqref="C13 E13">
    <cfRule type="expression" dxfId="74" priority="15">
      <formula>$V$13&lt;&gt;""</formula>
    </cfRule>
  </conditionalFormatting>
  <conditionalFormatting sqref="C14 E14">
    <cfRule type="expression" dxfId="73" priority="16">
      <formula>$V$14&lt;&gt;""</formula>
    </cfRule>
  </conditionalFormatting>
  <conditionalFormatting sqref="C15 E15">
    <cfRule type="expression" dxfId="72" priority="17">
      <formula>$V$15&lt;&gt;""</formula>
    </cfRule>
  </conditionalFormatting>
  <conditionalFormatting sqref="C16 E16">
    <cfRule type="expression" dxfId="71" priority="18">
      <formula>$V$16&lt;&gt;""</formula>
    </cfRule>
  </conditionalFormatting>
  <conditionalFormatting sqref="C17 E17">
    <cfRule type="expression" dxfId="70" priority="19">
      <formula>$V$17&lt;&gt;""</formula>
    </cfRule>
  </conditionalFormatting>
  <conditionalFormatting sqref="C18 E18">
    <cfRule type="expression" dxfId="69" priority="20">
      <formula>$V$18&lt;&gt;""</formula>
    </cfRule>
  </conditionalFormatting>
  <conditionalFormatting sqref="C19 E19">
    <cfRule type="expression" dxfId="68" priority="21">
      <formula>$V$19&lt;&gt;""</formula>
    </cfRule>
  </conditionalFormatting>
  <conditionalFormatting sqref="C20 E20">
    <cfRule type="expression" dxfId="67" priority="22">
      <formula>$V$20&lt;&gt;""</formula>
    </cfRule>
  </conditionalFormatting>
  <conditionalFormatting sqref="C21 E21">
    <cfRule type="expression" dxfId="66" priority="23">
      <formula>$V$21&lt;&gt;""</formula>
    </cfRule>
  </conditionalFormatting>
  <conditionalFormatting sqref="C22 E22">
    <cfRule type="expression" dxfId="65" priority="24">
      <formula>$V$22&lt;&gt;""</formula>
    </cfRule>
  </conditionalFormatting>
  <conditionalFormatting sqref="C23 E23">
    <cfRule type="expression" dxfId="64" priority="25">
      <formula>$V$23&lt;&gt;""</formula>
    </cfRule>
  </conditionalFormatting>
  <conditionalFormatting sqref="C24 E24">
    <cfRule type="expression" dxfId="63" priority="26">
      <formula>$V$24&lt;&gt;""</formula>
    </cfRule>
  </conditionalFormatting>
  <conditionalFormatting sqref="C25 E25">
    <cfRule type="expression" dxfId="62" priority="27">
      <formula>$V$25&lt;&gt;""</formula>
    </cfRule>
  </conditionalFormatting>
  <conditionalFormatting sqref="C26 E26">
    <cfRule type="expression" dxfId="61" priority="29">
      <formula>$V$26&lt;&gt;""</formula>
    </cfRule>
  </conditionalFormatting>
  <conditionalFormatting sqref="C27 E27">
    <cfRule type="expression" dxfId="60" priority="30">
      <formula>$V$27&lt;&gt;""</formula>
    </cfRule>
  </conditionalFormatting>
  <conditionalFormatting sqref="C28 E28">
    <cfRule type="expression" dxfId="59" priority="31">
      <formula>$V$28&lt;&gt;""</formula>
    </cfRule>
  </conditionalFormatting>
  <conditionalFormatting sqref="C29 E29">
    <cfRule type="expression" dxfId="58" priority="32">
      <formula>$V$29&lt;&gt;""</formula>
    </cfRule>
  </conditionalFormatting>
  <conditionalFormatting sqref="C30 E30">
    <cfRule type="expression" dxfId="57" priority="33">
      <formula>$V$30&lt;&gt;""</formula>
    </cfRule>
  </conditionalFormatting>
  <conditionalFormatting sqref="C31 E31">
    <cfRule type="expression" dxfId="56" priority="34">
      <formula>$V$31&lt;&gt;""</formula>
    </cfRule>
  </conditionalFormatting>
  <conditionalFormatting sqref="C32 E32">
    <cfRule type="expression" dxfId="55" priority="35">
      <formula>$V$32&lt;&gt;""</formula>
    </cfRule>
  </conditionalFormatting>
  <conditionalFormatting sqref="C33 E33">
    <cfRule type="expression" dxfId="54" priority="36">
      <formula>$V$33&lt;&gt;""</formula>
    </cfRule>
  </conditionalFormatting>
  <conditionalFormatting sqref="C34:C35 E34:E35">
    <cfRule type="expression" dxfId="53" priority="37">
      <formula>$V$34&lt;&gt;""</formula>
    </cfRule>
  </conditionalFormatting>
  <conditionalFormatting sqref="D13 D15 D17 D19 D21 D23 D25 D27 D29 D31 D33 D35 C11:T11 F12:T35">
    <cfRule type="expression" dxfId="52" priority="13">
      <formula>$V$11&lt;&gt;""</formula>
    </cfRule>
  </conditionalFormatting>
  <conditionalFormatting sqref="C12:E12 D14 D16 D18 D20 D22 D24 D26 D28 D30 D32 D34">
    <cfRule type="expression" dxfId="51" priority="14">
      <formula>$V$12&lt;&gt;""</formula>
    </cfRule>
  </conditionalFormatting>
  <conditionalFormatting sqref="U11:U35">
    <cfRule type="expression" dxfId="50" priority="50">
      <formula>$V$35&lt;&gt;""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34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1" width="6.7109375" style="4" customWidth="1"/>
    <col min="22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4" ht="12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5" customFormat="1" ht="35.1" customHeight="1" x14ac:dyDescent="0.3">
      <c r="A3" s="34"/>
      <c r="B3" s="29"/>
      <c r="C3" s="37" t="s">
        <v>27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29"/>
      <c r="X3" s="36"/>
    </row>
    <row r="4" spans="1:24" s="5" customFormat="1" ht="15" customHeight="1" x14ac:dyDescent="0.25">
      <c r="A4" s="34"/>
      <c r="B4" s="29"/>
      <c r="C4" s="29" t="s">
        <v>0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6"/>
    </row>
    <row r="5" spans="1:24" s="6" customFormat="1" ht="15" customHeight="1" x14ac:dyDescent="0.25">
      <c r="A5" s="34"/>
      <c r="B5" s="29"/>
      <c r="C5" s="39" t="s">
        <v>84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29"/>
      <c r="X5" s="36"/>
    </row>
    <row r="6" spans="1:24" s="5" customFormat="1" ht="15" customHeight="1" x14ac:dyDescent="0.25">
      <c r="A6" s="34"/>
      <c r="B6" s="29"/>
      <c r="C6" s="29" t="s">
        <v>35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36"/>
    </row>
    <row r="7" spans="1:24" s="5" customFormat="1" ht="15" customHeight="1" x14ac:dyDescent="0.25">
      <c r="A7" s="34"/>
      <c r="B7" s="29"/>
      <c r="C7" s="29" t="s">
        <v>37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36"/>
    </row>
    <row r="8" spans="1:24" s="5" customFormat="1" ht="15" customHeight="1" x14ac:dyDescent="0.25">
      <c r="A8" s="34"/>
      <c r="B8" s="29"/>
      <c r="C8" s="29" t="s">
        <v>36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36"/>
    </row>
    <row r="9" spans="1:24" ht="15" customHeight="1" x14ac:dyDescent="0.25">
      <c r="A9" s="34"/>
      <c r="B9" s="29"/>
      <c r="C9" s="30" t="s">
        <v>1</v>
      </c>
      <c r="D9" s="32" t="s">
        <v>2</v>
      </c>
      <c r="E9" s="32" t="s">
        <v>3</v>
      </c>
      <c r="F9" s="18"/>
      <c r="G9" s="31" t="s">
        <v>26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29"/>
      <c r="X9" s="36"/>
    </row>
    <row r="10" spans="1:24" ht="125.1" customHeight="1" x14ac:dyDescent="0.25">
      <c r="A10" s="34"/>
      <c r="B10" s="29"/>
      <c r="C10" s="31"/>
      <c r="D10" s="31"/>
      <c r="E10" s="31"/>
      <c r="F10" s="16" t="s">
        <v>33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29</v>
      </c>
      <c r="M10" s="16" t="s">
        <v>30</v>
      </c>
      <c r="N10" s="16" t="s">
        <v>7</v>
      </c>
      <c r="O10" s="16" t="s">
        <v>38</v>
      </c>
      <c r="P10" s="16" t="s">
        <v>39</v>
      </c>
      <c r="Q10" s="16" t="s">
        <v>40</v>
      </c>
      <c r="R10" s="16" t="s">
        <v>8</v>
      </c>
      <c r="S10" s="16" t="s">
        <v>31</v>
      </c>
      <c r="T10" s="16" t="s">
        <v>32</v>
      </c>
      <c r="U10" s="25" t="s">
        <v>9</v>
      </c>
      <c r="V10" s="7" t="s">
        <v>85</v>
      </c>
      <c r="W10" s="29"/>
      <c r="X10" s="36"/>
    </row>
    <row r="11" spans="1:24" ht="15" customHeight="1" x14ac:dyDescent="0.25">
      <c r="A11" s="34"/>
      <c r="B11" s="29"/>
      <c r="C11" s="21" t="s">
        <v>11</v>
      </c>
      <c r="D11" s="21">
        <v>1</v>
      </c>
      <c r="E11" s="22" t="s">
        <v>56</v>
      </c>
      <c r="F11" s="23">
        <v>11</v>
      </c>
      <c r="G11" s="23">
        <v>11</v>
      </c>
      <c r="H11" s="23">
        <v>11</v>
      </c>
      <c r="I11" s="23">
        <v>11</v>
      </c>
      <c r="J11" s="23">
        <v>10</v>
      </c>
      <c r="K11" s="23">
        <v>12</v>
      </c>
      <c r="L11" s="23">
        <v>11</v>
      </c>
      <c r="M11" s="23">
        <v>12</v>
      </c>
      <c r="N11" s="23">
        <v>11</v>
      </c>
      <c r="O11" s="23">
        <v>10</v>
      </c>
      <c r="P11" s="23">
        <v>11</v>
      </c>
      <c r="Q11" s="23">
        <v>11</v>
      </c>
      <c r="R11" s="23">
        <v>10</v>
      </c>
      <c r="S11" s="23">
        <v>11</v>
      </c>
      <c r="T11" s="23">
        <v>10</v>
      </c>
      <c r="U11" s="26">
        <f t="shared" ref="U11:U26" si="0">IF(COUNTIF(F11:T11,"=*")&gt;0,"-",IF(COUNTIF(F11:T11,"&lt;4")&gt;0,"-",(IFERROR(AVERAGE(F11:T11),""))))</f>
        <v>10.866666666666667</v>
      </c>
      <c r="V11" s="24">
        <f t="shared" ref="V11:V26" si="1">U11/12*90</f>
        <v>81.5</v>
      </c>
      <c r="W11" s="29"/>
      <c r="X11" s="36"/>
    </row>
    <row r="12" spans="1:24" ht="15" customHeight="1" x14ac:dyDescent="0.25">
      <c r="A12" s="34"/>
      <c r="B12" s="29"/>
      <c r="C12" s="21" t="s">
        <v>11</v>
      </c>
      <c r="D12" s="21">
        <v>2</v>
      </c>
      <c r="E12" s="22" t="s">
        <v>42</v>
      </c>
      <c r="F12" s="23">
        <v>11</v>
      </c>
      <c r="G12" s="23">
        <v>10</v>
      </c>
      <c r="H12" s="23">
        <v>11</v>
      </c>
      <c r="I12" s="23">
        <v>11</v>
      </c>
      <c r="J12" s="23">
        <v>10</v>
      </c>
      <c r="K12" s="23">
        <v>10</v>
      </c>
      <c r="L12" s="23">
        <v>10</v>
      </c>
      <c r="M12" s="23">
        <v>10</v>
      </c>
      <c r="N12" s="23">
        <v>10</v>
      </c>
      <c r="O12" s="23">
        <v>9</v>
      </c>
      <c r="P12" s="23">
        <v>10</v>
      </c>
      <c r="Q12" s="23">
        <v>10</v>
      </c>
      <c r="R12" s="23">
        <v>10</v>
      </c>
      <c r="S12" s="23">
        <v>11</v>
      </c>
      <c r="T12" s="23">
        <v>10</v>
      </c>
      <c r="U12" s="26">
        <f t="shared" si="0"/>
        <v>10.199999999999999</v>
      </c>
      <c r="V12" s="24">
        <f t="shared" si="1"/>
        <v>76.5</v>
      </c>
      <c r="W12" s="29"/>
      <c r="X12" s="36"/>
    </row>
    <row r="13" spans="1:24" ht="15" customHeight="1" x14ac:dyDescent="0.25">
      <c r="A13" s="34"/>
      <c r="B13" s="29"/>
      <c r="C13" s="21" t="s">
        <v>11</v>
      </c>
      <c r="D13" s="21">
        <v>3</v>
      </c>
      <c r="E13" s="22" t="s">
        <v>61</v>
      </c>
      <c r="F13" s="23">
        <v>10</v>
      </c>
      <c r="G13" s="23">
        <v>10</v>
      </c>
      <c r="H13" s="23">
        <v>10</v>
      </c>
      <c r="I13" s="23">
        <v>10</v>
      </c>
      <c r="J13" s="23">
        <v>10</v>
      </c>
      <c r="K13" s="23">
        <v>10</v>
      </c>
      <c r="L13" s="23">
        <v>10</v>
      </c>
      <c r="M13" s="23">
        <v>10</v>
      </c>
      <c r="N13" s="23">
        <v>9</v>
      </c>
      <c r="O13" s="23">
        <v>6</v>
      </c>
      <c r="P13" s="23">
        <v>11</v>
      </c>
      <c r="Q13" s="23">
        <v>11</v>
      </c>
      <c r="R13" s="23">
        <v>10</v>
      </c>
      <c r="S13" s="23">
        <v>11</v>
      </c>
      <c r="T13" s="23">
        <v>9</v>
      </c>
      <c r="U13" s="26">
        <f t="shared" si="0"/>
        <v>9.8000000000000007</v>
      </c>
      <c r="V13" s="24">
        <f t="shared" si="1"/>
        <v>73.500000000000014</v>
      </c>
      <c r="W13" s="29"/>
      <c r="X13" s="36"/>
    </row>
    <row r="14" spans="1:24" ht="15" customHeight="1" x14ac:dyDescent="0.25">
      <c r="A14" s="34"/>
      <c r="B14" s="29"/>
      <c r="C14" s="21" t="s">
        <v>11</v>
      </c>
      <c r="D14" s="21">
        <v>4</v>
      </c>
      <c r="E14" s="22" t="s">
        <v>52</v>
      </c>
      <c r="F14" s="23">
        <v>10</v>
      </c>
      <c r="G14" s="23">
        <v>10</v>
      </c>
      <c r="H14" s="23">
        <v>11</v>
      </c>
      <c r="I14" s="23">
        <v>10</v>
      </c>
      <c r="J14" s="23">
        <v>10</v>
      </c>
      <c r="K14" s="23">
        <v>11</v>
      </c>
      <c r="L14" s="23">
        <v>9</v>
      </c>
      <c r="M14" s="23">
        <v>11</v>
      </c>
      <c r="N14" s="23">
        <v>9</v>
      </c>
      <c r="O14" s="23">
        <v>9</v>
      </c>
      <c r="P14" s="23">
        <v>9</v>
      </c>
      <c r="Q14" s="23">
        <v>9</v>
      </c>
      <c r="R14" s="23">
        <v>8</v>
      </c>
      <c r="S14" s="23">
        <v>9</v>
      </c>
      <c r="T14" s="23">
        <v>9</v>
      </c>
      <c r="U14" s="26">
        <f t="shared" si="0"/>
        <v>9.6</v>
      </c>
      <c r="V14" s="24">
        <f t="shared" si="1"/>
        <v>72</v>
      </c>
      <c r="W14" s="29"/>
      <c r="X14" s="36"/>
    </row>
    <row r="15" spans="1:24" ht="15" customHeight="1" x14ac:dyDescent="0.25">
      <c r="A15" s="34"/>
      <c r="B15" s="29"/>
      <c r="C15" s="21" t="s">
        <v>11</v>
      </c>
      <c r="D15" s="21">
        <v>5</v>
      </c>
      <c r="E15" s="22" t="s">
        <v>53</v>
      </c>
      <c r="F15" s="23">
        <v>10</v>
      </c>
      <c r="G15" s="23">
        <v>10</v>
      </c>
      <c r="H15" s="23">
        <v>11</v>
      </c>
      <c r="I15" s="23">
        <v>10</v>
      </c>
      <c r="J15" s="23">
        <v>10</v>
      </c>
      <c r="K15" s="23">
        <v>11</v>
      </c>
      <c r="L15" s="23">
        <v>9</v>
      </c>
      <c r="M15" s="23">
        <v>11</v>
      </c>
      <c r="N15" s="23">
        <v>9</v>
      </c>
      <c r="O15" s="23">
        <v>9</v>
      </c>
      <c r="P15" s="23">
        <v>9</v>
      </c>
      <c r="Q15" s="23">
        <v>9</v>
      </c>
      <c r="R15" s="23">
        <v>8</v>
      </c>
      <c r="S15" s="23">
        <v>9</v>
      </c>
      <c r="T15" s="23">
        <v>9</v>
      </c>
      <c r="U15" s="26">
        <f t="shared" si="0"/>
        <v>9.6</v>
      </c>
      <c r="V15" s="24">
        <f t="shared" si="1"/>
        <v>72</v>
      </c>
      <c r="W15" s="29"/>
      <c r="X15" s="36"/>
    </row>
    <row r="16" spans="1:24" ht="15" customHeight="1" x14ac:dyDescent="0.25">
      <c r="A16" s="34"/>
      <c r="B16" s="29"/>
      <c r="C16" s="21" t="s">
        <v>11</v>
      </c>
      <c r="D16" s="21">
        <v>6</v>
      </c>
      <c r="E16" s="22" t="s">
        <v>57</v>
      </c>
      <c r="F16" s="23">
        <v>11</v>
      </c>
      <c r="G16" s="23">
        <v>8</v>
      </c>
      <c r="H16" s="23">
        <v>10</v>
      </c>
      <c r="I16" s="23">
        <v>11</v>
      </c>
      <c r="J16" s="23">
        <v>10</v>
      </c>
      <c r="K16" s="23">
        <v>9</v>
      </c>
      <c r="L16" s="23">
        <v>9</v>
      </c>
      <c r="M16" s="23">
        <v>8</v>
      </c>
      <c r="N16" s="23">
        <v>7</v>
      </c>
      <c r="O16" s="23">
        <v>4</v>
      </c>
      <c r="P16" s="23">
        <v>9</v>
      </c>
      <c r="Q16" s="23">
        <v>9</v>
      </c>
      <c r="R16" s="23">
        <v>7</v>
      </c>
      <c r="S16" s="23">
        <v>10</v>
      </c>
      <c r="T16" s="23">
        <v>8</v>
      </c>
      <c r="U16" s="26">
        <f t="shared" si="0"/>
        <v>8.6666666666666661</v>
      </c>
      <c r="V16" s="24">
        <f t="shared" si="1"/>
        <v>65</v>
      </c>
      <c r="W16" s="29"/>
      <c r="X16" s="36"/>
    </row>
    <row r="17" spans="1:24" ht="15" customHeight="1" x14ac:dyDescent="0.25">
      <c r="A17" s="34"/>
      <c r="B17" s="29"/>
      <c r="C17" s="21" t="s">
        <v>11</v>
      </c>
      <c r="D17" s="21">
        <v>7</v>
      </c>
      <c r="E17" s="22" t="s">
        <v>45</v>
      </c>
      <c r="F17" s="23">
        <v>9</v>
      </c>
      <c r="G17" s="23">
        <v>10</v>
      </c>
      <c r="H17" s="23">
        <v>10</v>
      </c>
      <c r="I17" s="23">
        <v>9</v>
      </c>
      <c r="J17" s="23">
        <v>9</v>
      </c>
      <c r="K17" s="23">
        <v>8</v>
      </c>
      <c r="L17" s="23">
        <v>9</v>
      </c>
      <c r="M17" s="23">
        <v>7</v>
      </c>
      <c r="N17" s="23">
        <v>9</v>
      </c>
      <c r="O17" s="23">
        <v>6</v>
      </c>
      <c r="P17" s="23">
        <v>7</v>
      </c>
      <c r="Q17" s="23">
        <v>7</v>
      </c>
      <c r="R17" s="23">
        <v>7</v>
      </c>
      <c r="S17" s="23">
        <v>10</v>
      </c>
      <c r="T17" s="23">
        <v>6</v>
      </c>
      <c r="U17" s="26">
        <f t="shared" si="0"/>
        <v>8.1999999999999993</v>
      </c>
      <c r="V17" s="24">
        <f t="shared" si="1"/>
        <v>61.499999999999993</v>
      </c>
      <c r="W17" s="29"/>
      <c r="X17" s="36"/>
    </row>
    <row r="18" spans="1:24" ht="15" customHeight="1" x14ac:dyDescent="0.25">
      <c r="A18" s="34"/>
      <c r="B18" s="29"/>
      <c r="C18" s="21" t="s">
        <v>11</v>
      </c>
      <c r="D18" s="21">
        <v>8</v>
      </c>
      <c r="E18" s="22" t="s">
        <v>46</v>
      </c>
      <c r="F18" s="23">
        <v>10</v>
      </c>
      <c r="G18" s="23">
        <v>9</v>
      </c>
      <c r="H18" s="23">
        <v>10</v>
      </c>
      <c r="I18" s="23">
        <v>10</v>
      </c>
      <c r="J18" s="23">
        <v>8</v>
      </c>
      <c r="K18" s="23">
        <v>8</v>
      </c>
      <c r="L18" s="23">
        <v>9</v>
      </c>
      <c r="M18" s="23">
        <v>6</v>
      </c>
      <c r="N18" s="23">
        <v>6</v>
      </c>
      <c r="O18" s="23">
        <v>6</v>
      </c>
      <c r="P18" s="23">
        <v>5</v>
      </c>
      <c r="Q18" s="23">
        <v>5</v>
      </c>
      <c r="R18" s="23">
        <v>7</v>
      </c>
      <c r="S18" s="23">
        <v>10</v>
      </c>
      <c r="T18" s="23">
        <v>8</v>
      </c>
      <c r="U18" s="26">
        <f t="shared" si="0"/>
        <v>7.8</v>
      </c>
      <c r="V18" s="24">
        <f t="shared" si="1"/>
        <v>58.5</v>
      </c>
      <c r="W18" s="29"/>
      <c r="X18" s="36"/>
    </row>
    <row r="19" spans="1:24" ht="15" customHeight="1" x14ac:dyDescent="0.25">
      <c r="A19" s="34"/>
      <c r="B19" s="29"/>
      <c r="C19" s="18" t="s">
        <v>11</v>
      </c>
      <c r="D19" s="18">
        <v>9</v>
      </c>
      <c r="E19" s="9" t="s">
        <v>47</v>
      </c>
      <c r="F19" s="10">
        <v>9</v>
      </c>
      <c r="G19" s="10">
        <v>9</v>
      </c>
      <c r="H19" s="10">
        <v>9</v>
      </c>
      <c r="I19" s="10">
        <v>9</v>
      </c>
      <c r="J19" s="10">
        <v>9</v>
      </c>
      <c r="K19" s="10">
        <v>7</v>
      </c>
      <c r="L19" s="10">
        <v>9</v>
      </c>
      <c r="M19" s="10">
        <v>5</v>
      </c>
      <c r="N19" s="10">
        <v>7</v>
      </c>
      <c r="O19" s="10">
        <v>7</v>
      </c>
      <c r="P19" s="10">
        <v>4</v>
      </c>
      <c r="Q19" s="10">
        <v>4</v>
      </c>
      <c r="R19" s="10">
        <v>8</v>
      </c>
      <c r="S19" s="10">
        <v>10</v>
      </c>
      <c r="T19" s="10">
        <v>8</v>
      </c>
      <c r="U19" s="27">
        <f t="shared" si="0"/>
        <v>7.6</v>
      </c>
      <c r="V19" s="20">
        <f t="shared" si="1"/>
        <v>57</v>
      </c>
      <c r="W19" s="29"/>
      <c r="X19" s="36"/>
    </row>
    <row r="20" spans="1:24" ht="15" customHeight="1" x14ac:dyDescent="0.25">
      <c r="A20" s="34"/>
      <c r="B20" s="29"/>
      <c r="C20" s="18" t="s">
        <v>11</v>
      </c>
      <c r="D20" s="18">
        <v>10</v>
      </c>
      <c r="E20" s="9" t="s">
        <v>44</v>
      </c>
      <c r="F20" s="10">
        <v>9</v>
      </c>
      <c r="G20" s="10">
        <v>10</v>
      </c>
      <c r="H20" s="10">
        <v>10</v>
      </c>
      <c r="I20" s="10">
        <v>9</v>
      </c>
      <c r="J20" s="10">
        <v>10</v>
      </c>
      <c r="K20" s="10">
        <v>4</v>
      </c>
      <c r="L20" s="10">
        <v>11</v>
      </c>
      <c r="M20" s="10">
        <v>8</v>
      </c>
      <c r="N20" s="10">
        <v>7</v>
      </c>
      <c r="O20" s="10">
        <v>6</v>
      </c>
      <c r="P20" s="10">
        <v>4</v>
      </c>
      <c r="Q20" s="10">
        <v>4</v>
      </c>
      <c r="R20" s="10">
        <v>7</v>
      </c>
      <c r="S20" s="10">
        <v>7</v>
      </c>
      <c r="T20" s="10">
        <v>7</v>
      </c>
      <c r="U20" s="27">
        <f t="shared" si="0"/>
        <v>7.5333333333333332</v>
      </c>
      <c r="V20" s="20">
        <f t="shared" si="1"/>
        <v>56.5</v>
      </c>
      <c r="W20" s="29"/>
      <c r="X20" s="36"/>
    </row>
    <row r="21" spans="1:24" ht="15" customHeight="1" x14ac:dyDescent="0.25">
      <c r="A21" s="34"/>
      <c r="B21" s="29"/>
      <c r="C21" s="18" t="s">
        <v>11</v>
      </c>
      <c r="D21" s="18">
        <v>11</v>
      </c>
      <c r="E21" s="9" t="s">
        <v>50</v>
      </c>
      <c r="F21" s="10">
        <v>10</v>
      </c>
      <c r="G21" s="10">
        <v>9</v>
      </c>
      <c r="H21" s="10">
        <v>10</v>
      </c>
      <c r="I21" s="10">
        <v>10</v>
      </c>
      <c r="J21" s="10">
        <v>9</v>
      </c>
      <c r="K21" s="10">
        <v>4</v>
      </c>
      <c r="L21" s="10">
        <v>9</v>
      </c>
      <c r="M21" s="10">
        <v>8</v>
      </c>
      <c r="N21" s="10">
        <v>6</v>
      </c>
      <c r="O21" s="10">
        <v>4</v>
      </c>
      <c r="P21" s="10">
        <v>4</v>
      </c>
      <c r="Q21" s="10">
        <v>4</v>
      </c>
      <c r="R21" s="10">
        <v>7</v>
      </c>
      <c r="S21" s="10">
        <v>7</v>
      </c>
      <c r="T21" s="10">
        <v>6</v>
      </c>
      <c r="U21" s="27">
        <f t="shared" si="0"/>
        <v>7.1333333333333337</v>
      </c>
      <c r="V21" s="20">
        <f t="shared" si="1"/>
        <v>53.5</v>
      </c>
      <c r="W21" s="29"/>
      <c r="X21" s="36"/>
    </row>
    <row r="22" spans="1:24" ht="15" customHeight="1" x14ac:dyDescent="0.25">
      <c r="A22" s="34"/>
      <c r="B22" s="29"/>
      <c r="C22" s="18" t="s">
        <v>11</v>
      </c>
      <c r="D22" s="18">
        <v>12</v>
      </c>
      <c r="E22" s="9" t="s">
        <v>63</v>
      </c>
      <c r="F22" s="10">
        <v>10</v>
      </c>
      <c r="G22" s="10">
        <v>8</v>
      </c>
      <c r="H22" s="10">
        <v>9</v>
      </c>
      <c r="I22" s="10">
        <v>10</v>
      </c>
      <c r="J22" s="10">
        <v>6</v>
      </c>
      <c r="K22" s="10">
        <v>5</v>
      </c>
      <c r="L22" s="10">
        <v>7</v>
      </c>
      <c r="M22" s="10">
        <v>10</v>
      </c>
      <c r="N22" s="10">
        <v>6</v>
      </c>
      <c r="O22" s="10">
        <v>4</v>
      </c>
      <c r="P22" s="10">
        <v>4</v>
      </c>
      <c r="Q22" s="10">
        <v>4</v>
      </c>
      <c r="R22" s="10">
        <v>5</v>
      </c>
      <c r="S22" s="10">
        <v>5</v>
      </c>
      <c r="T22" s="10">
        <v>8</v>
      </c>
      <c r="U22" s="27">
        <f t="shared" si="0"/>
        <v>6.7333333333333334</v>
      </c>
      <c r="V22" s="20">
        <f t="shared" si="1"/>
        <v>50.5</v>
      </c>
      <c r="W22" s="29"/>
      <c r="X22" s="36"/>
    </row>
    <row r="23" spans="1:24" ht="15" customHeight="1" x14ac:dyDescent="0.25">
      <c r="A23" s="34"/>
      <c r="B23" s="29"/>
      <c r="C23" s="18" t="s">
        <v>11</v>
      </c>
      <c r="D23" s="18">
        <v>13</v>
      </c>
      <c r="E23" s="9" t="s">
        <v>55</v>
      </c>
      <c r="F23" s="10">
        <v>8</v>
      </c>
      <c r="G23" s="10">
        <v>6</v>
      </c>
      <c r="H23" s="10">
        <v>5</v>
      </c>
      <c r="I23" s="10">
        <v>8</v>
      </c>
      <c r="J23" s="10">
        <v>5</v>
      </c>
      <c r="K23" s="10">
        <v>4</v>
      </c>
      <c r="L23" s="10">
        <v>6</v>
      </c>
      <c r="M23" s="10">
        <v>8</v>
      </c>
      <c r="N23" s="10">
        <v>4</v>
      </c>
      <c r="O23" s="10">
        <v>7</v>
      </c>
      <c r="P23" s="10">
        <v>7</v>
      </c>
      <c r="Q23" s="10">
        <v>7</v>
      </c>
      <c r="R23" s="10">
        <v>7</v>
      </c>
      <c r="S23" s="10">
        <v>5</v>
      </c>
      <c r="T23" s="10">
        <v>7</v>
      </c>
      <c r="U23" s="27">
        <f t="shared" si="0"/>
        <v>6.2666666666666666</v>
      </c>
      <c r="V23" s="20">
        <f t="shared" si="1"/>
        <v>47</v>
      </c>
      <c r="W23" s="29"/>
      <c r="X23" s="36"/>
    </row>
    <row r="24" spans="1:24" ht="15" customHeight="1" x14ac:dyDescent="0.25">
      <c r="A24" s="34"/>
      <c r="B24" s="29"/>
      <c r="C24" s="18" t="s">
        <v>11</v>
      </c>
      <c r="D24" s="18">
        <v>14</v>
      </c>
      <c r="E24" s="9" t="s">
        <v>49</v>
      </c>
      <c r="F24" s="10">
        <v>8</v>
      </c>
      <c r="G24" s="10">
        <v>8</v>
      </c>
      <c r="H24" s="10">
        <v>8</v>
      </c>
      <c r="I24" s="10">
        <v>8</v>
      </c>
      <c r="J24" s="10">
        <v>10</v>
      </c>
      <c r="K24" s="10">
        <v>4</v>
      </c>
      <c r="L24" s="10">
        <v>10</v>
      </c>
      <c r="M24" s="10">
        <v>4</v>
      </c>
      <c r="N24" s="10">
        <v>6</v>
      </c>
      <c r="O24" s="10">
        <v>4</v>
      </c>
      <c r="P24" s="10">
        <v>4</v>
      </c>
      <c r="Q24" s="10">
        <v>4</v>
      </c>
      <c r="R24" s="10">
        <v>4</v>
      </c>
      <c r="S24" s="10">
        <v>4</v>
      </c>
      <c r="T24" s="10">
        <v>5</v>
      </c>
      <c r="U24" s="27">
        <f t="shared" si="0"/>
        <v>6.0666666666666664</v>
      </c>
      <c r="V24" s="20">
        <f t="shared" si="1"/>
        <v>45.5</v>
      </c>
      <c r="W24" s="29"/>
      <c r="X24" s="36"/>
    </row>
    <row r="25" spans="1:24" ht="15" customHeight="1" x14ac:dyDescent="0.25">
      <c r="A25" s="34"/>
      <c r="B25" s="29"/>
      <c r="C25" s="18" t="s">
        <v>11</v>
      </c>
      <c r="D25" s="18">
        <v>15</v>
      </c>
      <c r="E25" s="9" t="s">
        <v>58</v>
      </c>
      <c r="F25" s="10">
        <v>8</v>
      </c>
      <c r="G25" s="10">
        <v>7</v>
      </c>
      <c r="H25" s="10">
        <v>7</v>
      </c>
      <c r="I25" s="10">
        <v>8</v>
      </c>
      <c r="J25" s="10">
        <v>8</v>
      </c>
      <c r="K25" s="10">
        <v>4</v>
      </c>
      <c r="L25" s="10">
        <v>9</v>
      </c>
      <c r="M25" s="10">
        <v>4</v>
      </c>
      <c r="N25" s="10">
        <v>8</v>
      </c>
      <c r="O25" s="10">
        <v>4</v>
      </c>
      <c r="P25" s="10">
        <v>4</v>
      </c>
      <c r="Q25" s="10">
        <v>4</v>
      </c>
      <c r="R25" s="10">
        <v>4</v>
      </c>
      <c r="S25" s="10">
        <v>4</v>
      </c>
      <c r="T25" s="10">
        <v>4</v>
      </c>
      <c r="U25" s="27">
        <f t="shared" si="0"/>
        <v>5.8</v>
      </c>
      <c r="V25" s="20">
        <f t="shared" si="1"/>
        <v>43.5</v>
      </c>
      <c r="W25" s="29"/>
      <c r="X25" s="36"/>
    </row>
    <row r="26" spans="1:24" ht="15" customHeight="1" x14ac:dyDescent="0.25">
      <c r="A26" s="34"/>
      <c r="B26" s="29"/>
      <c r="C26" s="18" t="s">
        <v>11</v>
      </c>
      <c r="D26" s="18">
        <v>16</v>
      </c>
      <c r="E26" s="9" t="s">
        <v>41</v>
      </c>
      <c r="F26" s="10">
        <v>4</v>
      </c>
      <c r="G26" s="10">
        <v>5</v>
      </c>
      <c r="H26" s="10">
        <v>5</v>
      </c>
      <c r="I26" s="10">
        <v>4</v>
      </c>
      <c r="J26" s="10">
        <v>4</v>
      </c>
      <c r="K26" s="10">
        <v>4</v>
      </c>
      <c r="L26" s="10">
        <v>4</v>
      </c>
      <c r="M26" s="10">
        <v>4</v>
      </c>
      <c r="N26" s="10">
        <v>4</v>
      </c>
      <c r="O26" s="10">
        <v>4</v>
      </c>
      <c r="P26" s="10">
        <v>4</v>
      </c>
      <c r="Q26" s="10">
        <v>4</v>
      </c>
      <c r="R26" s="10">
        <v>4</v>
      </c>
      <c r="S26" s="10">
        <v>4</v>
      </c>
      <c r="T26" s="10">
        <v>5</v>
      </c>
      <c r="U26" s="27">
        <f t="shared" si="0"/>
        <v>4.2</v>
      </c>
      <c r="V26" s="20">
        <f t="shared" si="1"/>
        <v>31.500000000000004</v>
      </c>
      <c r="W26" s="29"/>
      <c r="X26" s="36"/>
    </row>
    <row r="27" spans="1:24" ht="15" customHeight="1" x14ac:dyDescent="0.25">
      <c r="A27" s="34"/>
      <c r="B27" s="29"/>
      <c r="C27" s="19"/>
      <c r="D27" s="19"/>
      <c r="E27" s="9" t="s">
        <v>17</v>
      </c>
      <c r="F27" s="17">
        <f>'Зведена 076'!F41</f>
        <v>21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29"/>
      <c r="X27" s="36"/>
    </row>
    <row r="28" spans="1:24" ht="15" customHeight="1" x14ac:dyDescent="0.25">
      <c r="A28" s="34"/>
      <c r="B28" s="29"/>
      <c r="C28" s="19"/>
      <c r="D28" s="19"/>
      <c r="E28" s="9" t="s">
        <v>18</v>
      </c>
      <c r="F28" s="17">
        <f>'Зведена 076'!F42</f>
        <v>4</v>
      </c>
      <c r="G28" s="19"/>
      <c r="H28" s="15" t="s">
        <v>19</v>
      </c>
      <c r="I28" s="19"/>
      <c r="J28" s="19"/>
      <c r="K28" s="19"/>
      <c r="L28" s="19"/>
      <c r="M28" s="19"/>
      <c r="N28" s="19"/>
      <c r="O28" s="1" t="s">
        <v>66</v>
      </c>
      <c r="P28" s="1"/>
      <c r="Q28" s="19"/>
      <c r="R28" s="19"/>
      <c r="S28" s="19"/>
      <c r="T28" s="19"/>
      <c r="U28" s="19"/>
      <c r="V28" s="19"/>
      <c r="W28" s="29"/>
      <c r="X28" s="36"/>
    </row>
    <row r="29" spans="1:24" ht="15" customHeight="1" x14ac:dyDescent="0.25">
      <c r="A29" s="34"/>
      <c r="B29" s="29"/>
      <c r="C29" s="19"/>
      <c r="D29" s="19"/>
      <c r="E29" s="9" t="s">
        <v>20</v>
      </c>
      <c r="F29" s="17">
        <f>'Зведена 076'!F43</f>
        <v>6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29"/>
      <c r="X29" s="36"/>
    </row>
    <row r="30" spans="1:24" ht="15" customHeight="1" x14ac:dyDescent="0.25">
      <c r="A30" s="34"/>
      <c r="B30" s="29"/>
      <c r="C30" s="19"/>
      <c r="D30" s="19"/>
      <c r="E30" s="9" t="s">
        <v>21</v>
      </c>
      <c r="F30" s="17">
        <f>'Зведена 076'!F44</f>
        <v>8</v>
      </c>
      <c r="G30" s="19"/>
      <c r="H30" s="15" t="s">
        <v>22</v>
      </c>
      <c r="I30" s="19"/>
      <c r="J30" s="19"/>
      <c r="K30" s="19"/>
      <c r="L30" s="19"/>
      <c r="M30" s="19"/>
      <c r="N30" s="19"/>
      <c r="O30" s="15" t="s">
        <v>23</v>
      </c>
      <c r="P30" s="15"/>
      <c r="Q30" s="19"/>
      <c r="R30" s="19"/>
      <c r="S30" s="19"/>
      <c r="T30" s="19"/>
      <c r="U30" s="19"/>
      <c r="V30" s="19"/>
      <c r="W30" s="29"/>
      <c r="X30" s="36"/>
    </row>
    <row r="31" spans="1:24" ht="12" customHeight="1" thickBot="1" x14ac:dyDescent="0.3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6"/>
    </row>
    <row r="32" spans="1:24" ht="12" customHeight="1" x14ac:dyDescent="0.25"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</row>
    <row r="33" ht="0" hidden="1" customHeight="1" x14ac:dyDescent="0.25"/>
    <row r="34" ht="0" hidden="1" customHeight="1" x14ac:dyDescent="0.25"/>
  </sheetData>
  <sheetProtection selectLockedCells="1"/>
  <sortState ref="C11:V26">
    <sortCondition descending="1" ref="U11:U26"/>
  </sortState>
  <mergeCells count="18">
    <mergeCell ref="B1:W1"/>
    <mergeCell ref="A2:A31"/>
    <mergeCell ref="B2:W2"/>
    <mergeCell ref="X2:X31"/>
    <mergeCell ref="B3:B30"/>
    <mergeCell ref="C3:V3"/>
    <mergeCell ref="W3:W30"/>
    <mergeCell ref="C4:V4"/>
    <mergeCell ref="C5:V5"/>
    <mergeCell ref="C6:V6"/>
    <mergeCell ref="B31:W31"/>
    <mergeCell ref="B32:W32"/>
    <mergeCell ref="C7:V7"/>
    <mergeCell ref="C8:V8"/>
    <mergeCell ref="C9:C10"/>
    <mergeCell ref="D9:D10"/>
    <mergeCell ref="E9:E10"/>
    <mergeCell ref="G9:V9"/>
  </mergeCells>
  <conditionalFormatting sqref="E13">
    <cfRule type="expression" dxfId="49" priority="3">
      <formula>$W$13&lt;&gt;""</formula>
    </cfRule>
  </conditionalFormatting>
  <conditionalFormatting sqref="C13">
    <cfRule type="expression" dxfId="48" priority="4">
      <formula>$W$13&lt;&gt;""</formula>
    </cfRule>
  </conditionalFormatting>
  <conditionalFormatting sqref="C14 E14">
    <cfRule type="expression" dxfId="47" priority="5">
      <formula>$W$14&lt;&gt;""</formula>
    </cfRule>
  </conditionalFormatting>
  <conditionalFormatting sqref="C15 E15">
    <cfRule type="expression" dxfId="46" priority="6">
      <formula>$W$15&lt;&gt;""</formula>
    </cfRule>
  </conditionalFormatting>
  <conditionalFormatting sqref="C16 E16">
    <cfRule type="expression" dxfId="45" priority="7">
      <formula>$W$16&lt;&gt;""</formula>
    </cfRule>
  </conditionalFormatting>
  <conditionalFormatting sqref="E17">
    <cfRule type="expression" dxfId="44" priority="8">
      <formula>$W$17&lt;&gt;""</formula>
    </cfRule>
  </conditionalFormatting>
  <conditionalFormatting sqref="C17">
    <cfRule type="expression" dxfId="43" priority="9">
      <formula>$W$17&lt;&gt;""</formula>
    </cfRule>
  </conditionalFormatting>
  <conditionalFormatting sqref="C18 E18">
    <cfRule type="expression" dxfId="42" priority="10">
      <formula>$W$18&lt;&gt;""</formula>
    </cfRule>
  </conditionalFormatting>
  <conditionalFormatting sqref="E19">
    <cfRule type="expression" dxfId="41" priority="11">
      <formula>$W$19&lt;&gt;""</formula>
    </cfRule>
  </conditionalFormatting>
  <conditionalFormatting sqref="C19">
    <cfRule type="expression" dxfId="40" priority="12">
      <formula>$W$19&lt;&gt;""</formula>
    </cfRule>
  </conditionalFormatting>
  <conditionalFormatting sqref="C20 E20">
    <cfRule type="expression" dxfId="39" priority="13">
      <formula>$W$20&lt;&gt;""</formula>
    </cfRule>
  </conditionalFormatting>
  <conditionalFormatting sqref="E21">
    <cfRule type="expression" dxfId="38" priority="14">
      <formula>$W$21&lt;&gt;""</formula>
    </cfRule>
  </conditionalFormatting>
  <conditionalFormatting sqref="C21">
    <cfRule type="expression" dxfId="37" priority="15">
      <formula>$W$21&lt;&gt;""</formula>
    </cfRule>
  </conditionalFormatting>
  <conditionalFormatting sqref="C22 E22">
    <cfRule type="expression" dxfId="36" priority="16">
      <formula>$W$22&lt;&gt;""</formula>
    </cfRule>
  </conditionalFormatting>
  <conditionalFormatting sqref="C23 E23">
    <cfRule type="expression" dxfId="35" priority="17">
      <formula>$W$23&lt;&gt;""</formula>
    </cfRule>
  </conditionalFormatting>
  <conditionalFormatting sqref="C24 E24">
    <cfRule type="expression" dxfId="34" priority="18">
      <formula>$W$24&lt;&gt;""</formula>
    </cfRule>
  </conditionalFormatting>
  <conditionalFormatting sqref="E25">
    <cfRule type="expression" dxfId="33" priority="20">
      <formula>$W$25&lt;&gt;""</formula>
    </cfRule>
  </conditionalFormatting>
  <conditionalFormatting sqref="C25">
    <cfRule type="expression" dxfId="32" priority="21">
      <formula>$W$25&lt;&gt;""</formula>
    </cfRule>
  </conditionalFormatting>
  <conditionalFormatting sqref="E26">
    <cfRule type="expression" dxfId="31" priority="22">
      <formula>$W$26&lt;&gt;""</formula>
    </cfRule>
  </conditionalFormatting>
  <conditionalFormatting sqref="C26">
    <cfRule type="expression" dxfId="30" priority="23">
      <formula>$W$26&lt;&gt;""</formula>
    </cfRule>
  </conditionalFormatting>
  <conditionalFormatting sqref="C11:U11 F12:U26 D13 D15 D17 D19 D21 D23 D25">
    <cfRule type="expression" dxfId="29" priority="1">
      <formula>$W$11&lt;&gt;""</formula>
    </cfRule>
  </conditionalFormatting>
  <conditionalFormatting sqref="C12:E12 D14 D16 D18 D20 D22 D24 D26">
    <cfRule type="expression" dxfId="28" priority="2">
      <formula>$W$12&lt;&gt;""</formula>
    </cfRule>
  </conditionalFormatting>
  <conditionalFormatting sqref="V11:V26">
    <cfRule type="expression" dxfId="27" priority="53">
      <formula>#REF!&lt;&gt;""</formula>
    </cfRule>
  </conditionalFormatting>
  <printOptions horizontalCentered="1"/>
  <pageMargins left="0" right="0" top="0" bottom="0" header="0" footer="0"/>
  <pageSetup paperSize="9" scale="8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8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3" ht="12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5" customFormat="1" ht="35.1" customHeight="1" x14ac:dyDescent="0.3">
      <c r="A3" s="34"/>
      <c r="B3" s="29"/>
      <c r="C3" s="37" t="s">
        <v>27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29"/>
      <c r="W3" s="36"/>
    </row>
    <row r="4" spans="1:23" s="5" customFormat="1" ht="15" customHeight="1" x14ac:dyDescent="0.25">
      <c r="A4" s="34"/>
      <c r="B4" s="29"/>
      <c r="C4" s="29" t="s">
        <v>0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6"/>
    </row>
    <row r="5" spans="1:23" s="6" customFormat="1" ht="15" customHeight="1" x14ac:dyDescent="0.25">
      <c r="A5" s="34"/>
      <c r="B5" s="29"/>
      <c r="C5" s="39" t="s">
        <v>24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29"/>
      <c r="W5" s="36"/>
    </row>
    <row r="6" spans="1:23" s="5" customFormat="1" ht="15" customHeight="1" x14ac:dyDescent="0.25">
      <c r="A6" s="34"/>
      <c r="B6" s="29"/>
      <c r="C6" s="29" t="s">
        <v>67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6"/>
    </row>
    <row r="7" spans="1:23" s="5" customFormat="1" ht="15" customHeight="1" x14ac:dyDescent="0.25">
      <c r="A7" s="34"/>
      <c r="B7" s="29"/>
      <c r="C7" s="29" t="s">
        <v>37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36"/>
    </row>
    <row r="8" spans="1:23" s="5" customFormat="1" ht="15" customHeight="1" x14ac:dyDescent="0.25">
      <c r="A8" s="34"/>
      <c r="B8" s="29"/>
      <c r="C8" s="29" t="s">
        <v>36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36"/>
    </row>
    <row r="9" spans="1:23" ht="15" customHeight="1" x14ac:dyDescent="0.25">
      <c r="A9" s="34"/>
      <c r="B9" s="29"/>
      <c r="C9" s="30" t="s">
        <v>1</v>
      </c>
      <c r="D9" s="32" t="s">
        <v>2</v>
      </c>
      <c r="E9" s="32" t="s">
        <v>3</v>
      </c>
      <c r="F9" s="8"/>
      <c r="G9" s="31" t="s">
        <v>26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29"/>
      <c r="W9" s="36"/>
    </row>
    <row r="10" spans="1:23" ht="125.1" customHeight="1" x14ac:dyDescent="0.25">
      <c r="A10" s="34"/>
      <c r="B10" s="29"/>
      <c r="C10" s="31"/>
      <c r="D10" s="31"/>
      <c r="E10" s="31"/>
      <c r="F10" s="16" t="s">
        <v>33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29</v>
      </c>
      <c r="M10" s="16" t="s">
        <v>30</v>
      </c>
      <c r="N10" s="16" t="s">
        <v>7</v>
      </c>
      <c r="O10" s="16" t="s">
        <v>38</v>
      </c>
      <c r="P10" s="16" t="s">
        <v>39</v>
      </c>
      <c r="Q10" s="16" t="s">
        <v>40</v>
      </c>
      <c r="R10" s="16" t="s">
        <v>8</v>
      </c>
      <c r="S10" s="16" t="s">
        <v>31</v>
      </c>
      <c r="T10" s="16" t="s">
        <v>32</v>
      </c>
      <c r="U10" s="7" t="s">
        <v>9</v>
      </c>
      <c r="V10" s="29"/>
      <c r="W10" s="36"/>
    </row>
    <row r="11" spans="1:23" ht="15" customHeight="1" x14ac:dyDescent="0.25">
      <c r="A11" s="34"/>
      <c r="B11" s="29"/>
      <c r="C11" s="8" t="s">
        <v>11</v>
      </c>
      <c r="D11" s="8">
        <v>1</v>
      </c>
      <c r="E11" s="9" t="s">
        <v>68</v>
      </c>
      <c r="F11" s="10">
        <v>9</v>
      </c>
      <c r="G11" s="10">
        <v>9</v>
      </c>
      <c r="H11" s="10">
        <v>10</v>
      </c>
      <c r="I11" s="10">
        <v>9</v>
      </c>
      <c r="J11" s="10">
        <v>8</v>
      </c>
      <c r="K11" s="10">
        <v>5</v>
      </c>
      <c r="L11" s="10">
        <v>8</v>
      </c>
      <c r="M11" s="10">
        <v>8</v>
      </c>
      <c r="N11" s="10">
        <v>8</v>
      </c>
      <c r="O11" s="10">
        <v>7</v>
      </c>
      <c r="P11" s="10">
        <v>8</v>
      </c>
      <c r="Q11" s="10">
        <v>8</v>
      </c>
      <c r="R11" s="10">
        <v>7</v>
      </c>
      <c r="S11" s="10">
        <v>7</v>
      </c>
      <c r="T11" s="10">
        <v>7</v>
      </c>
      <c r="U11" s="2">
        <f>IF(COUNTIF(F11:T11,"=*")&gt;0,"-",IF(COUNTIF(F11:T11,"&lt;4")&gt;0,"-",(IFERROR(AVERAGE(F11:T11),""))))</f>
        <v>7.8666666666666663</v>
      </c>
      <c r="V11" s="29"/>
      <c r="W11" s="36"/>
    </row>
    <row r="12" spans="1:23" ht="15" customHeight="1" x14ac:dyDescent="0.25">
      <c r="A12" s="34"/>
      <c r="B12" s="29"/>
      <c r="C12" s="8" t="s">
        <v>11</v>
      </c>
      <c r="D12" s="8">
        <v>2</v>
      </c>
      <c r="E12" s="9" t="s">
        <v>69</v>
      </c>
      <c r="F12" s="10">
        <v>8</v>
      </c>
      <c r="G12" s="10">
        <v>5</v>
      </c>
      <c r="H12" s="10">
        <v>7</v>
      </c>
      <c r="I12" s="10">
        <v>8</v>
      </c>
      <c r="J12" s="10">
        <v>7</v>
      </c>
      <c r="K12" s="10">
        <v>6</v>
      </c>
      <c r="L12" s="10">
        <v>7</v>
      </c>
      <c r="M12" s="10">
        <v>7</v>
      </c>
      <c r="N12" s="10">
        <v>5</v>
      </c>
      <c r="O12" s="10">
        <v>4</v>
      </c>
      <c r="P12" s="10">
        <v>4</v>
      </c>
      <c r="Q12" s="10">
        <v>4</v>
      </c>
      <c r="R12" s="10">
        <v>4</v>
      </c>
      <c r="S12" s="10">
        <v>4</v>
      </c>
      <c r="T12" s="10">
        <v>7</v>
      </c>
      <c r="U12" s="2">
        <f t="shared" ref="U12:U23" si="0">IF(COUNTIF(F12:T12,"=*")&gt;0,"-",IF(COUNTIF(F12:T12,"&lt;4")&gt;0,"-",(IFERROR(AVERAGE(F12:T12),""))))</f>
        <v>5.8</v>
      </c>
      <c r="V12" s="29"/>
      <c r="W12" s="36"/>
    </row>
    <row r="13" spans="1:23" ht="15" customHeight="1" x14ac:dyDescent="0.25">
      <c r="A13" s="34"/>
      <c r="B13" s="29"/>
      <c r="C13" s="8" t="s">
        <v>10</v>
      </c>
      <c r="D13" s="8">
        <v>3</v>
      </c>
      <c r="E13" s="9" t="s">
        <v>70</v>
      </c>
      <c r="F13" s="10">
        <v>4</v>
      </c>
      <c r="G13" s="10">
        <v>5</v>
      </c>
      <c r="H13" s="10">
        <v>5</v>
      </c>
      <c r="I13" s="10">
        <v>4</v>
      </c>
      <c r="J13" s="10">
        <v>5</v>
      </c>
      <c r="K13" s="10">
        <v>4</v>
      </c>
      <c r="L13" s="10">
        <v>5</v>
      </c>
      <c r="M13" s="10">
        <v>6</v>
      </c>
      <c r="N13" s="10">
        <v>4</v>
      </c>
      <c r="O13" s="10">
        <v>7</v>
      </c>
      <c r="P13" s="10">
        <v>7</v>
      </c>
      <c r="Q13" s="10">
        <v>7</v>
      </c>
      <c r="R13" s="10">
        <v>4</v>
      </c>
      <c r="S13" s="10">
        <v>4</v>
      </c>
      <c r="T13" s="10">
        <v>7</v>
      </c>
      <c r="U13" s="2">
        <f t="shared" si="0"/>
        <v>5.2</v>
      </c>
      <c r="V13" s="29"/>
      <c r="W13" s="36"/>
    </row>
    <row r="14" spans="1:23" ht="15" customHeight="1" x14ac:dyDescent="0.25">
      <c r="A14" s="34"/>
      <c r="B14" s="29"/>
      <c r="C14" s="8" t="s">
        <v>10</v>
      </c>
      <c r="D14" s="8">
        <v>4</v>
      </c>
      <c r="E14" s="9" t="s">
        <v>71</v>
      </c>
      <c r="F14" s="10">
        <v>4</v>
      </c>
      <c r="G14" s="10">
        <v>5</v>
      </c>
      <c r="H14" s="10">
        <v>5</v>
      </c>
      <c r="I14" s="10">
        <v>4</v>
      </c>
      <c r="J14" s="10">
        <v>5</v>
      </c>
      <c r="K14" s="10">
        <v>4</v>
      </c>
      <c r="L14" s="10">
        <v>5</v>
      </c>
      <c r="M14" s="10">
        <v>8</v>
      </c>
      <c r="N14" s="10">
        <v>4</v>
      </c>
      <c r="O14" s="10">
        <v>7</v>
      </c>
      <c r="P14" s="10">
        <v>7</v>
      </c>
      <c r="Q14" s="10">
        <v>7</v>
      </c>
      <c r="R14" s="10">
        <v>7</v>
      </c>
      <c r="S14" s="10">
        <v>4</v>
      </c>
      <c r="T14" s="10">
        <v>7</v>
      </c>
      <c r="U14" s="2">
        <f t="shared" si="0"/>
        <v>5.5333333333333332</v>
      </c>
      <c r="V14" s="29"/>
      <c r="W14" s="36"/>
    </row>
    <row r="15" spans="1:23" ht="15" customHeight="1" x14ac:dyDescent="0.25">
      <c r="A15" s="34"/>
      <c r="B15" s="29"/>
      <c r="C15" s="8" t="s">
        <v>11</v>
      </c>
      <c r="D15" s="8">
        <v>5</v>
      </c>
      <c r="E15" s="9" t="s">
        <v>72</v>
      </c>
      <c r="F15" s="10">
        <v>4</v>
      </c>
      <c r="G15" s="10">
        <v>6</v>
      </c>
      <c r="H15" s="10">
        <v>4</v>
      </c>
      <c r="I15" s="10">
        <v>4</v>
      </c>
      <c r="J15" s="10">
        <v>5</v>
      </c>
      <c r="K15" s="10" t="s">
        <v>83</v>
      </c>
      <c r="L15" s="10">
        <v>5</v>
      </c>
      <c r="M15" s="10" t="s">
        <v>83</v>
      </c>
      <c r="N15" s="10" t="s">
        <v>83</v>
      </c>
      <c r="O15" s="10" t="s">
        <v>83</v>
      </c>
      <c r="P15" s="10">
        <v>4</v>
      </c>
      <c r="Q15" s="10">
        <v>4</v>
      </c>
      <c r="R15" s="10" t="s">
        <v>83</v>
      </c>
      <c r="S15" s="10">
        <v>4</v>
      </c>
      <c r="T15" s="10" t="s">
        <v>83</v>
      </c>
      <c r="U15" s="2" t="str">
        <f t="shared" si="0"/>
        <v>-</v>
      </c>
      <c r="V15" s="29"/>
      <c r="W15" s="36"/>
    </row>
    <row r="16" spans="1:23" ht="15" customHeight="1" x14ac:dyDescent="0.25">
      <c r="A16" s="34"/>
      <c r="B16" s="29"/>
      <c r="C16" s="8" t="s">
        <v>10</v>
      </c>
      <c r="D16" s="8">
        <v>6</v>
      </c>
      <c r="E16" s="9" t="s">
        <v>73</v>
      </c>
      <c r="F16" s="10">
        <v>4</v>
      </c>
      <c r="G16" s="10">
        <v>5</v>
      </c>
      <c r="H16" s="10">
        <v>5</v>
      </c>
      <c r="I16" s="10">
        <v>4</v>
      </c>
      <c r="J16" s="10">
        <v>5</v>
      </c>
      <c r="K16" s="10">
        <v>4</v>
      </c>
      <c r="L16" s="10">
        <v>5</v>
      </c>
      <c r="M16" s="10">
        <v>8</v>
      </c>
      <c r="N16" s="10">
        <v>4</v>
      </c>
      <c r="O16" s="10">
        <v>7</v>
      </c>
      <c r="P16" s="10">
        <v>7</v>
      </c>
      <c r="Q16" s="10">
        <v>7</v>
      </c>
      <c r="R16" s="10">
        <v>4</v>
      </c>
      <c r="S16" s="10">
        <v>4</v>
      </c>
      <c r="T16" s="10">
        <v>7</v>
      </c>
      <c r="U16" s="2">
        <f t="shared" si="0"/>
        <v>5.333333333333333</v>
      </c>
      <c r="V16" s="29"/>
      <c r="W16" s="36"/>
    </row>
    <row r="17" spans="1:23" ht="15" customHeight="1" x14ac:dyDescent="0.25">
      <c r="A17" s="34"/>
      <c r="B17" s="29"/>
      <c r="C17" s="8" t="s">
        <v>11</v>
      </c>
      <c r="D17" s="8">
        <v>7</v>
      </c>
      <c r="E17" s="9" t="s">
        <v>74</v>
      </c>
      <c r="F17" s="10">
        <v>11</v>
      </c>
      <c r="G17" s="10">
        <v>10</v>
      </c>
      <c r="H17" s="10">
        <v>10</v>
      </c>
      <c r="I17" s="10">
        <v>11</v>
      </c>
      <c r="J17" s="10">
        <v>9</v>
      </c>
      <c r="K17" s="10">
        <v>10</v>
      </c>
      <c r="L17" s="10">
        <v>10</v>
      </c>
      <c r="M17" s="10">
        <v>10</v>
      </c>
      <c r="N17" s="10">
        <v>10</v>
      </c>
      <c r="O17" s="10">
        <v>7</v>
      </c>
      <c r="P17" s="10">
        <v>11</v>
      </c>
      <c r="Q17" s="10">
        <v>11</v>
      </c>
      <c r="R17" s="10">
        <v>8</v>
      </c>
      <c r="S17" s="10">
        <v>10</v>
      </c>
      <c r="T17" s="10">
        <v>9</v>
      </c>
      <c r="U17" s="2">
        <f t="shared" si="0"/>
        <v>9.8000000000000007</v>
      </c>
      <c r="V17" s="29"/>
      <c r="W17" s="36"/>
    </row>
    <row r="18" spans="1:23" ht="15" customHeight="1" x14ac:dyDescent="0.25">
      <c r="A18" s="34"/>
      <c r="B18" s="29"/>
      <c r="C18" s="8" t="s">
        <v>11</v>
      </c>
      <c r="D18" s="8">
        <v>8</v>
      </c>
      <c r="E18" s="9" t="s">
        <v>75</v>
      </c>
      <c r="F18" s="10">
        <v>4</v>
      </c>
      <c r="G18" s="10">
        <v>6</v>
      </c>
      <c r="H18" s="10">
        <v>5</v>
      </c>
      <c r="I18" s="10">
        <v>4</v>
      </c>
      <c r="J18" s="10">
        <v>5</v>
      </c>
      <c r="K18" s="10">
        <v>4</v>
      </c>
      <c r="L18" s="10">
        <v>5</v>
      </c>
      <c r="M18" s="10">
        <v>8</v>
      </c>
      <c r="N18" s="10">
        <v>4</v>
      </c>
      <c r="O18" s="10">
        <v>7</v>
      </c>
      <c r="P18" s="10">
        <v>7</v>
      </c>
      <c r="Q18" s="10">
        <v>7</v>
      </c>
      <c r="R18" s="10">
        <v>4</v>
      </c>
      <c r="S18" s="10">
        <v>4</v>
      </c>
      <c r="T18" s="10">
        <v>6</v>
      </c>
      <c r="U18" s="2">
        <f t="shared" si="0"/>
        <v>5.333333333333333</v>
      </c>
      <c r="V18" s="29"/>
      <c r="W18" s="36"/>
    </row>
    <row r="19" spans="1:23" ht="15" customHeight="1" x14ac:dyDescent="0.25">
      <c r="A19" s="34"/>
      <c r="B19" s="29"/>
      <c r="C19" s="8" t="s">
        <v>11</v>
      </c>
      <c r="D19" s="8">
        <v>9</v>
      </c>
      <c r="E19" s="9" t="s">
        <v>76</v>
      </c>
      <c r="F19" s="10">
        <v>8</v>
      </c>
      <c r="G19" s="10">
        <v>8</v>
      </c>
      <c r="H19" s="10">
        <v>7</v>
      </c>
      <c r="I19" s="10">
        <v>8</v>
      </c>
      <c r="J19" s="10">
        <v>9</v>
      </c>
      <c r="K19" s="10">
        <v>7</v>
      </c>
      <c r="L19" s="10">
        <v>7</v>
      </c>
      <c r="M19" s="10">
        <v>7</v>
      </c>
      <c r="N19" s="10">
        <v>8</v>
      </c>
      <c r="O19" s="10">
        <v>4</v>
      </c>
      <c r="P19" s="10">
        <v>4</v>
      </c>
      <c r="Q19" s="10">
        <v>4</v>
      </c>
      <c r="R19" s="10">
        <v>4</v>
      </c>
      <c r="S19" s="10">
        <v>5</v>
      </c>
      <c r="T19" s="10">
        <v>7</v>
      </c>
      <c r="U19" s="2">
        <f t="shared" si="0"/>
        <v>6.4666666666666668</v>
      </c>
      <c r="V19" s="29"/>
      <c r="W19" s="36"/>
    </row>
    <row r="20" spans="1:23" ht="15" customHeight="1" x14ac:dyDescent="0.25">
      <c r="A20" s="34"/>
      <c r="B20" s="29"/>
      <c r="C20" s="8" t="s">
        <v>11</v>
      </c>
      <c r="D20" s="8">
        <v>10</v>
      </c>
      <c r="E20" s="9" t="s">
        <v>77</v>
      </c>
      <c r="F20" s="10">
        <v>4</v>
      </c>
      <c r="G20" s="10">
        <v>6</v>
      </c>
      <c r="H20" s="10">
        <v>5</v>
      </c>
      <c r="I20" s="10">
        <v>4</v>
      </c>
      <c r="J20" s="10">
        <v>5</v>
      </c>
      <c r="K20" s="10">
        <v>4</v>
      </c>
      <c r="L20" s="10">
        <v>5</v>
      </c>
      <c r="M20" s="10">
        <v>8</v>
      </c>
      <c r="N20" s="10">
        <v>4</v>
      </c>
      <c r="O20" s="10">
        <v>7</v>
      </c>
      <c r="P20" s="10">
        <v>7</v>
      </c>
      <c r="Q20" s="10">
        <v>7</v>
      </c>
      <c r="R20" s="10">
        <v>7</v>
      </c>
      <c r="S20" s="10">
        <v>4</v>
      </c>
      <c r="T20" s="10">
        <v>7</v>
      </c>
      <c r="U20" s="2">
        <f t="shared" si="0"/>
        <v>5.6</v>
      </c>
      <c r="V20" s="29"/>
      <c r="W20" s="36"/>
    </row>
    <row r="21" spans="1:23" ht="15" customHeight="1" x14ac:dyDescent="0.25">
      <c r="A21" s="34"/>
      <c r="B21" s="29"/>
      <c r="C21" s="8" t="s">
        <v>11</v>
      </c>
      <c r="D21" s="8">
        <v>11</v>
      </c>
      <c r="E21" s="9" t="s">
        <v>78</v>
      </c>
      <c r="F21" s="10">
        <v>8</v>
      </c>
      <c r="G21" s="10">
        <v>8</v>
      </c>
      <c r="H21" s="10">
        <v>9</v>
      </c>
      <c r="I21" s="10">
        <v>8</v>
      </c>
      <c r="J21" s="10">
        <v>10</v>
      </c>
      <c r="K21" s="10">
        <v>7</v>
      </c>
      <c r="L21" s="10">
        <v>11</v>
      </c>
      <c r="M21" s="10">
        <v>8</v>
      </c>
      <c r="N21" s="10">
        <v>5</v>
      </c>
      <c r="O21" s="10">
        <v>4</v>
      </c>
      <c r="P21" s="10">
        <v>7</v>
      </c>
      <c r="Q21" s="10">
        <v>7</v>
      </c>
      <c r="R21" s="10">
        <v>6</v>
      </c>
      <c r="S21" s="10">
        <v>5</v>
      </c>
      <c r="T21" s="10">
        <v>5</v>
      </c>
      <c r="U21" s="2">
        <f t="shared" si="0"/>
        <v>7.2</v>
      </c>
      <c r="V21" s="29"/>
      <c r="W21" s="36"/>
    </row>
    <row r="22" spans="1:23" ht="15" customHeight="1" x14ac:dyDescent="0.25">
      <c r="A22" s="34"/>
      <c r="B22" s="29"/>
      <c r="C22" s="8" t="s">
        <v>11</v>
      </c>
      <c r="D22" s="8">
        <v>12</v>
      </c>
      <c r="E22" s="9" t="s">
        <v>79</v>
      </c>
      <c r="F22" s="10">
        <v>7</v>
      </c>
      <c r="G22" s="10">
        <v>6</v>
      </c>
      <c r="H22" s="10">
        <v>6</v>
      </c>
      <c r="I22" s="10">
        <v>7</v>
      </c>
      <c r="J22" s="10">
        <v>5</v>
      </c>
      <c r="K22" s="10" t="s">
        <v>83</v>
      </c>
      <c r="L22" s="10">
        <v>5</v>
      </c>
      <c r="M22" s="10" t="s">
        <v>83</v>
      </c>
      <c r="N22" s="10">
        <v>6</v>
      </c>
      <c r="O22" s="10">
        <v>4</v>
      </c>
      <c r="P22" s="10">
        <v>4</v>
      </c>
      <c r="Q22" s="10">
        <v>4</v>
      </c>
      <c r="R22" s="10">
        <v>4</v>
      </c>
      <c r="S22" s="10">
        <v>4</v>
      </c>
      <c r="T22" s="10">
        <v>2</v>
      </c>
      <c r="U22" s="2" t="str">
        <f t="shared" si="0"/>
        <v>-</v>
      </c>
      <c r="V22" s="29"/>
      <c r="W22" s="36"/>
    </row>
    <row r="23" spans="1:23" ht="15" customHeight="1" x14ac:dyDescent="0.25">
      <c r="A23" s="34"/>
      <c r="B23" s="29"/>
      <c r="C23" s="8" t="s">
        <v>11</v>
      </c>
      <c r="D23" s="8">
        <v>13</v>
      </c>
      <c r="E23" s="9" t="s">
        <v>80</v>
      </c>
      <c r="F23" s="10">
        <v>8</v>
      </c>
      <c r="G23" s="10">
        <v>8</v>
      </c>
      <c r="H23" s="10">
        <v>6</v>
      </c>
      <c r="I23" s="10">
        <v>8</v>
      </c>
      <c r="J23" s="10">
        <v>5</v>
      </c>
      <c r="K23" s="10" t="s">
        <v>83</v>
      </c>
      <c r="L23" s="10">
        <v>6</v>
      </c>
      <c r="M23" s="10">
        <v>6</v>
      </c>
      <c r="N23" s="10">
        <v>7</v>
      </c>
      <c r="O23" s="10">
        <v>4</v>
      </c>
      <c r="P23" s="10">
        <v>4</v>
      </c>
      <c r="Q23" s="10">
        <v>4</v>
      </c>
      <c r="R23" s="10">
        <v>4</v>
      </c>
      <c r="S23" s="10">
        <v>4</v>
      </c>
      <c r="T23" s="10">
        <v>4</v>
      </c>
      <c r="U23" s="2" t="str">
        <f t="shared" si="0"/>
        <v>-</v>
      </c>
      <c r="V23" s="29"/>
      <c r="W23" s="36"/>
    </row>
    <row r="24" spans="1:23" ht="15" customHeight="1" x14ac:dyDescent="0.25">
      <c r="A24" s="34"/>
      <c r="B24" s="29"/>
      <c r="C24" s="11"/>
      <c r="D24" s="11"/>
      <c r="E24" s="9" t="s">
        <v>12</v>
      </c>
      <c r="F24" s="3">
        <f>IF(SUM(F11:F23)=0,"",SUM(F11:F23)/$D23)</f>
        <v>6.384615384615385</v>
      </c>
      <c r="G24" s="3">
        <f t="shared" ref="G24:T24" si="1">IF(SUM(G11:G23)=0,"",SUM(G11:G23)/$D23)</f>
        <v>6.6923076923076925</v>
      </c>
      <c r="H24" s="3">
        <f t="shared" si="1"/>
        <v>6.4615384615384617</v>
      </c>
      <c r="I24" s="3">
        <f t="shared" si="1"/>
        <v>6.384615384615385</v>
      </c>
      <c r="J24" s="3">
        <f t="shared" si="1"/>
        <v>6.384615384615385</v>
      </c>
      <c r="K24" s="3">
        <f t="shared" si="1"/>
        <v>4.2307692307692308</v>
      </c>
      <c r="L24" s="3">
        <f t="shared" si="1"/>
        <v>6.4615384615384617</v>
      </c>
      <c r="M24" s="3">
        <f t="shared" si="1"/>
        <v>6.4615384615384617</v>
      </c>
      <c r="N24" s="3">
        <f t="shared" si="1"/>
        <v>5.3076923076923075</v>
      </c>
      <c r="O24" s="3">
        <f t="shared" si="1"/>
        <v>5.3076923076923075</v>
      </c>
      <c r="P24" s="3">
        <f t="shared" si="1"/>
        <v>6.2307692307692308</v>
      </c>
      <c r="Q24" s="3">
        <f t="shared" si="1"/>
        <v>6.2307692307692308</v>
      </c>
      <c r="R24" s="3">
        <f t="shared" si="1"/>
        <v>4.8461538461538458</v>
      </c>
      <c r="S24" s="3">
        <f t="shared" si="1"/>
        <v>4.8461538461538458</v>
      </c>
      <c r="T24" s="3">
        <f t="shared" si="1"/>
        <v>5.7692307692307692</v>
      </c>
      <c r="U24" s="2">
        <f>IFERROR(AVERAGE(F24:T24),"")</f>
        <v>5.8666666666666654</v>
      </c>
      <c r="V24" s="29"/>
      <c r="W24" s="36"/>
    </row>
    <row r="25" spans="1:23" ht="15" customHeight="1" x14ac:dyDescent="0.25">
      <c r="A25" s="34"/>
      <c r="B25" s="29"/>
      <c r="C25" s="11"/>
      <c r="D25" s="11"/>
      <c r="E25" s="9" t="s">
        <v>13</v>
      </c>
      <c r="F25" s="12">
        <f>IF(SUM(F11:F23)=0,"",IF(COUNTIF(F11:F23,"&gt;=4")=0,0,COUNTIF(F11:F23,"&gt;=4")/$D23*100))</f>
        <v>100</v>
      </c>
      <c r="G25" s="12">
        <f t="shared" ref="G25:T25" si="2">IF(SUM(G11:G23)=0,"",IF(COUNTIF(G11:G23,"&gt;=4")=0,0,COUNTIF(G11:G23,"&gt;=4")/$D23*100))</f>
        <v>100</v>
      </c>
      <c r="H25" s="12">
        <f t="shared" si="2"/>
        <v>100</v>
      </c>
      <c r="I25" s="12">
        <f t="shared" si="2"/>
        <v>100</v>
      </c>
      <c r="J25" s="12">
        <f t="shared" si="2"/>
        <v>100</v>
      </c>
      <c r="K25" s="12">
        <f t="shared" si="2"/>
        <v>76.923076923076934</v>
      </c>
      <c r="L25" s="12">
        <f t="shared" si="2"/>
        <v>100</v>
      </c>
      <c r="M25" s="12">
        <f t="shared" si="2"/>
        <v>84.615384615384613</v>
      </c>
      <c r="N25" s="12">
        <f t="shared" si="2"/>
        <v>92.307692307692307</v>
      </c>
      <c r="O25" s="12">
        <f t="shared" si="2"/>
        <v>92.307692307692307</v>
      </c>
      <c r="P25" s="12">
        <f t="shared" si="2"/>
        <v>100</v>
      </c>
      <c r="Q25" s="12">
        <f t="shared" si="2"/>
        <v>100</v>
      </c>
      <c r="R25" s="12">
        <f t="shared" si="2"/>
        <v>92.307692307692307</v>
      </c>
      <c r="S25" s="12">
        <f t="shared" si="2"/>
        <v>100</v>
      </c>
      <c r="T25" s="12">
        <f t="shared" si="2"/>
        <v>84.615384615384613</v>
      </c>
      <c r="U25" s="13"/>
      <c r="V25" s="29"/>
      <c r="W25" s="36"/>
    </row>
    <row r="26" spans="1:23" ht="15" customHeight="1" x14ac:dyDescent="0.25">
      <c r="A26" s="34"/>
      <c r="B26" s="29"/>
      <c r="C26" s="11"/>
      <c r="D26" s="11"/>
      <c r="E26" s="9" t="s">
        <v>14</v>
      </c>
      <c r="F26" s="12">
        <f>IF(SUM(F11:F23)=0,"",IF(COUNTIF(F11:F23,"&gt;=7")=0,0,COUNTIF(F11:F23,"&gt;=7")/$D23*100))</f>
        <v>53.846153846153847</v>
      </c>
      <c r="G26" s="12">
        <f t="shared" ref="G26:T26" si="3">IF(SUM(G11:G23)=0,"",IF(COUNTIF(G11:G23,"&gt;=7")=0,0,COUNTIF(G11:G23,"&gt;=7")/$D23*100))</f>
        <v>38.461538461538467</v>
      </c>
      <c r="H26" s="12">
        <f t="shared" si="3"/>
        <v>38.461538461538467</v>
      </c>
      <c r="I26" s="12">
        <f t="shared" si="3"/>
        <v>53.846153846153847</v>
      </c>
      <c r="J26" s="12">
        <f t="shared" si="3"/>
        <v>38.461538461538467</v>
      </c>
      <c r="K26" s="12">
        <f t="shared" si="3"/>
        <v>23.076923076923077</v>
      </c>
      <c r="L26" s="12">
        <f t="shared" si="3"/>
        <v>38.461538461538467</v>
      </c>
      <c r="M26" s="12">
        <f t="shared" si="3"/>
        <v>69.230769230769226</v>
      </c>
      <c r="N26" s="12">
        <f t="shared" si="3"/>
        <v>30.76923076923077</v>
      </c>
      <c r="O26" s="12">
        <f t="shared" si="3"/>
        <v>53.846153846153847</v>
      </c>
      <c r="P26" s="12">
        <f t="shared" si="3"/>
        <v>61.53846153846154</v>
      </c>
      <c r="Q26" s="12">
        <f t="shared" si="3"/>
        <v>61.53846153846154</v>
      </c>
      <c r="R26" s="12">
        <f t="shared" si="3"/>
        <v>30.76923076923077</v>
      </c>
      <c r="S26" s="12">
        <f t="shared" si="3"/>
        <v>15.384615384615385</v>
      </c>
      <c r="T26" s="12">
        <f t="shared" si="3"/>
        <v>61.53846153846154</v>
      </c>
      <c r="U26" s="11"/>
      <c r="V26" s="29"/>
      <c r="W26" s="36"/>
    </row>
    <row r="27" spans="1:23" ht="15" customHeight="1" x14ac:dyDescent="0.25">
      <c r="A27" s="34"/>
      <c r="B27" s="29"/>
      <c r="C27" s="11"/>
      <c r="D27" s="11"/>
      <c r="E27" s="9" t="s">
        <v>15</v>
      </c>
      <c r="F27" s="3">
        <f>IFERROR(AVERAGE(F25:T25),"")</f>
        <v>94.871794871794876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29"/>
      <c r="W27" s="36"/>
    </row>
    <row r="28" spans="1:23" ht="15" customHeight="1" x14ac:dyDescent="0.25">
      <c r="A28" s="34"/>
      <c r="B28" s="29"/>
      <c r="C28" s="11"/>
      <c r="D28" s="11"/>
      <c r="E28" s="9" t="s">
        <v>16</v>
      </c>
      <c r="F28" s="3">
        <f>IFERROR(AVERAGE(F26:T26),"")</f>
        <v>44.615384615384613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29"/>
      <c r="W28" s="36"/>
    </row>
    <row r="29" spans="1:23" ht="15" customHeight="1" x14ac:dyDescent="0.25">
      <c r="A29" s="34"/>
      <c r="B29" s="29"/>
      <c r="C29" s="11"/>
      <c r="D29" s="11"/>
      <c r="E29" s="9" t="s">
        <v>17</v>
      </c>
      <c r="F29" s="14">
        <f>IF(COUNTIF(C11:C23,"=Б")=0,IF(COUNTIF(C11:C23,"=К")=0,"",0),COUNTIF(C11:C23,"=Б"))</f>
        <v>10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29"/>
      <c r="W29" s="36"/>
    </row>
    <row r="30" spans="1:23" ht="15" customHeight="1" x14ac:dyDescent="0.25">
      <c r="A30" s="34"/>
      <c r="B30" s="29"/>
      <c r="C30" s="11"/>
      <c r="D30" s="11"/>
      <c r="E30" s="9" t="s">
        <v>18</v>
      </c>
      <c r="F30" s="14">
        <f>IF(COUNTIF(C11:C23,"=К")=0,IF(COUNTIF(C11:C23,"=Б")=0,"",0),COUNTIF(C11:C23,"=К"))</f>
        <v>3</v>
      </c>
      <c r="G30" s="11"/>
      <c r="H30" s="15" t="s">
        <v>19</v>
      </c>
      <c r="I30" s="11"/>
      <c r="J30" s="11"/>
      <c r="K30" s="11"/>
      <c r="L30" s="11"/>
      <c r="M30" s="11"/>
      <c r="N30" s="11"/>
      <c r="O30" s="1" t="s">
        <v>66</v>
      </c>
      <c r="P30" s="1"/>
      <c r="Q30" s="11"/>
      <c r="R30" s="11"/>
      <c r="S30" s="11"/>
      <c r="T30" s="11"/>
      <c r="U30" s="11"/>
      <c r="V30" s="29"/>
      <c r="W30" s="36"/>
    </row>
    <row r="31" spans="1:23" ht="15" customHeight="1" x14ac:dyDescent="0.25">
      <c r="A31" s="34"/>
      <c r="B31" s="29"/>
      <c r="C31" s="11"/>
      <c r="D31" s="11"/>
      <c r="E31" s="9" t="s">
        <v>20</v>
      </c>
      <c r="F31" s="14">
        <v>0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29"/>
      <c r="W31" s="36"/>
    </row>
    <row r="32" spans="1:23" ht="15" customHeight="1" x14ac:dyDescent="0.25">
      <c r="A32" s="34"/>
      <c r="B32" s="29"/>
      <c r="C32" s="11"/>
      <c r="D32" s="11"/>
      <c r="E32" s="9" t="s">
        <v>21</v>
      </c>
      <c r="F32" s="14">
        <v>4</v>
      </c>
      <c r="G32" s="11"/>
      <c r="H32" s="15" t="s">
        <v>22</v>
      </c>
      <c r="I32" s="11"/>
      <c r="J32" s="11"/>
      <c r="K32" s="11"/>
      <c r="L32" s="11"/>
      <c r="M32" s="11"/>
      <c r="N32" s="11"/>
      <c r="O32" s="15" t="s">
        <v>23</v>
      </c>
      <c r="P32" s="15"/>
      <c r="Q32" s="11"/>
      <c r="R32" s="11"/>
      <c r="S32" s="11"/>
      <c r="T32" s="11"/>
      <c r="U32" s="11"/>
      <c r="V32" s="29"/>
      <c r="W32" s="36"/>
    </row>
    <row r="33" spans="1:23" ht="12" customHeight="1" thickBot="1" x14ac:dyDescent="0.3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6"/>
    </row>
    <row r="34" spans="1:23" ht="12" customHeight="1" x14ac:dyDescent="0.25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3" ht="0" hidden="1" customHeight="1" x14ac:dyDescent="0.25"/>
    <row r="36" spans="1:23" ht="0" hidden="1" customHeight="1" x14ac:dyDescent="0.25"/>
    <row r="37" spans="1:23" ht="0" hidden="1" customHeight="1" x14ac:dyDescent="0.25"/>
    <row r="38" spans="1:23" ht="0" hidden="1" customHeight="1" x14ac:dyDescent="0.25"/>
    <row r="39" spans="1:23" ht="0" hidden="1" customHeight="1" x14ac:dyDescent="0.25"/>
    <row r="40" spans="1:23" ht="0" hidden="1" customHeight="1" x14ac:dyDescent="0.25"/>
    <row r="41" spans="1:23" ht="0" hidden="1" customHeight="1" x14ac:dyDescent="0.25"/>
    <row r="42" spans="1:23" ht="0" hidden="1" customHeight="1" x14ac:dyDescent="0.25"/>
    <row r="43" spans="1:23" ht="0" hidden="1" customHeight="1" x14ac:dyDescent="0.25"/>
    <row r="44" spans="1:23" ht="0" hidden="1" customHeight="1" x14ac:dyDescent="0.25"/>
    <row r="45" spans="1:23" ht="0" hidden="1" customHeight="1" x14ac:dyDescent="0.25"/>
    <row r="46" spans="1:23" ht="0" hidden="1" customHeight="1" x14ac:dyDescent="0.25"/>
    <row r="47" spans="1:23" ht="0" hidden="1" customHeight="1" x14ac:dyDescent="0.25"/>
    <row r="48" spans="1:23" ht="0" hidden="1" customHeight="1" x14ac:dyDescent="0.25"/>
  </sheetData>
  <sheetProtection selectLockedCells="1"/>
  <mergeCells count="18">
    <mergeCell ref="B1:V1"/>
    <mergeCell ref="A2:A33"/>
    <mergeCell ref="B2:V2"/>
    <mergeCell ref="W2:W33"/>
    <mergeCell ref="B3:B32"/>
    <mergeCell ref="C3:U3"/>
    <mergeCell ref="V3:V32"/>
    <mergeCell ref="C4:U4"/>
    <mergeCell ref="C5:U5"/>
    <mergeCell ref="C6:U6"/>
    <mergeCell ref="B33:V33"/>
    <mergeCell ref="B34:V34"/>
    <mergeCell ref="C7:U7"/>
    <mergeCell ref="C8:U8"/>
    <mergeCell ref="C9:C10"/>
    <mergeCell ref="D9:D10"/>
    <mergeCell ref="E9:E10"/>
    <mergeCell ref="G9:U9"/>
  </mergeCells>
  <conditionalFormatting sqref="C13 E13">
    <cfRule type="expression" dxfId="26" priority="13">
      <formula>$V$13&lt;&gt;""</formula>
    </cfRule>
  </conditionalFormatting>
  <conditionalFormatting sqref="C14 E14">
    <cfRule type="expression" dxfId="25" priority="14">
      <formula>$V$14&lt;&gt;""</formula>
    </cfRule>
  </conditionalFormatting>
  <conditionalFormatting sqref="C15 E15">
    <cfRule type="expression" dxfId="24" priority="15">
      <formula>$V$15&lt;&gt;""</formula>
    </cfRule>
  </conditionalFormatting>
  <conditionalFormatting sqref="C16 E16">
    <cfRule type="expression" dxfId="23" priority="16">
      <formula>$V$16&lt;&gt;""</formula>
    </cfRule>
  </conditionalFormatting>
  <conditionalFormatting sqref="C17 E17">
    <cfRule type="expression" dxfId="22" priority="17">
      <formula>$V$17&lt;&gt;""</formula>
    </cfRule>
  </conditionalFormatting>
  <conditionalFormatting sqref="C18 E18">
    <cfRule type="expression" dxfId="21" priority="18">
      <formula>$V$18&lt;&gt;""</formula>
    </cfRule>
  </conditionalFormatting>
  <conditionalFormatting sqref="C19 E19">
    <cfRule type="expression" dxfId="20" priority="19">
      <formula>$V$19&lt;&gt;""</formula>
    </cfRule>
  </conditionalFormatting>
  <conditionalFormatting sqref="C20 E20">
    <cfRule type="expression" dxfId="19" priority="20">
      <formula>$V$20&lt;&gt;""</formula>
    </cfRule>
  </conditionalFormatting>
  <conditionalFormatting sqref="C21 E21">
    <cfRule type="expression" dxfId="18" priority="21">
      <formula>$V$21&lt;&gt;""</formula>
    </cfRule>
  </conditionalFormatting>
  <conditionalFormatting sqref="C22 E22">
    <cfRule type="expression" dxfId="17" priority="22">
      <formula>$V$22&lt;&gt;""</formula>
    </cfRule>
  </conditionalFormatting>
  <conditionalFormatting sqref="E23 C23">
    <cfRule type="expression" dxfId="16" priority="23">
      <formula>#REF!&lt;&gt;""</formula>
    </cfRule>
  </conditionalFormatting>
  <conditionalFormatting sqref="D13 D15 D17 D19 D21 D23 C11:T11 F12:T23">
    <cfRule type="expression" dxfId="15" priority="11">
      <formula>$V$11&lt;&gt;""</formula>
    </cfRule>
  </conditionalFormatting>
  <conditionalFormatting sqref="C12:E12 D14 D16 D18 D20 D22">
    <cfRule type="expression" dxfId="14" priority="12">
      <formula>$V$12&lt;&gt;""</formula>
    </cfRule>
  </conditionalFormatting>
  <conditionalFormatting sqref="U11:U23">
    <cfRule type="expression" dxfId="13" priority="52">
      <formula>$V$23&lt;&gt;""</formula>
    </cfRule>
  </conditionalFormatting>
  <printOptions horizontalCentered="1"/>
  <pageMargins left="0" right="0" top="0" bottom="0" header="0" footer="0"/>
  <pageSetup paperSize="9"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37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1" width="6.7109375" style="4" customWidth="1"/>
    <col min="22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4" ht="12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5" customFormat="1" ht="35.1" customHeight="1" x14ac:dyDescent="0.3">
      <c r="A3" s="34"/>
      <c r="B3" s="29"/>
      <c r="C3" s="37" t="s">
        <v>27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29"/>
      <c r="X3" s="36"/>
    </row>
    <row r="4" spans="1:24" s="5" customFormat="1" ht="15" customHeight="1" x14ac:dyDescent="0.25">
      <c r="A4" s="34"/>
      <c r="B4" s="29"/>
      <c r="C4" s="29" t="s">
        <v>0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6"/>
    </row>
    <row r="5" spans="1:24" s="6" customFormat="1" ht="15" customHeight="1" x14ac:dyDescent="0.25">
      <c r="A5" s="34"/>
      <c r="B5" s="29"/>
      <c r="C5" s="39" t="s">
        <v>84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29"/>
      <c r="X5" s="36"/>
    </row>
    <row r="6" spans="1:24" s="5" customFormat="1" ht="15" customHeight="1" x14ac:dyDescent="0.25">
      <c r="A6" s="34"/>
      <c r="B6" s="29"/>
      <c r="C6" s="29" t="s">
        <v>67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36"/>
    </row>
    <row r="7" spans="1:24" s="5" customFormat="1" ht="15" customHeight="1" x14ac:dyDescent="0.25">
      <c r="A7" s="34"/>
      <c r="B7" s="29"/>
      <c r="C7" s="29" t="s">
        <v>37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36"/>
    </row>
    <row r="8" spans="1:24" s="5" customFormat="1" ht="15" customHeight="1" x14ac:dyDescent="0.25">
      <c r="A8" s="34"/>
      <c r="B8" s="29"/>
      <c r="C8" s="29" t="s">
        <v>36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36"/>
    </row>
    <row r="9" spans="1:24" ht="15" customHeight="1" x14ac:dyDescent="0.25">
      <c r="A9" s="34"/>
      <c r="B9" s="29"/>
      <c r="C9" s="30" t="s">
        <v>1</v>
      </c>
      <c r="D9" s="32" t="s">
        <v>2</v>
      </c>
      <c r="E9" s="32" t="s">
        <v>3</v>
      </c>
      <c r="F9" s="18"/>
      <c r="G9" s="31" t="s">
        <v>26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29"/>
      <c r="X9" s="36"/>
    </row>
    <row r="10" spans="1:24" ht="125.1" customHeight="1" x14ac:dyDescent="0.25">
      <c r="A10" s="34"/>
      <c r="B10" s="29"/>
      <c r="C10" s="31"/>
      <c r="D10" s="31"/>
      <c r="E10" s="31"/>
      <c r="F10" s="16" t="s">
        <v>33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29</v>
      </c>
      <c r="M10" s="16" t="s">
        <v>30</v>
      </c>
      <c r="N10" s="16" t="s">
        <v>7</v>
      </c>
      <c r="O10" s="16" t="s">
        <v>38</v>
      </c>
      <c r="P10" s="16" t="s">
        <v>39</v>
      </c>
      <c r="Q10" s="16" t="s">
        <v>40</v>
      </c>
      <c r="R10" s="16" t="s">
        <v>8</v>
      </c>
      <c r="S10" s="16" t="s">
        <v>31</v>
      </c>
      <c r="T10" s="16" t="s">
        <v>32</v>
      </c>
      <c r="U10" s="25" t="s">
        <v>9</v>
      </c>
      <c r="V10" s="7" t="s">
        <v>85</v>
      </c>
      <c r="W10" s="29"/>
      <c r="X10" s="36"/>
    </row>
    <row r="11" spans="1:24" ht="15" customHeight="1" x14ac:dyDescent="0.25">
      <c r="A11" s="34"/>
      <c r="B11" s="29"/>
      <c r="C11" s="21" t="s">
        <v>11</v>
      </c>
      <c r="D11" s="21">
        <v>1</v>
      </c>
      <c r="E11" s="22" t="s">
        <v>74</v>
      </c>
      <c r="F11" s="23">
        <v>11</v>
      </c>
      <c r="G11" s="23">
        <v>10</v>
      </c>
      <c r="H11" s="23">
        <v>10</v>
      </c>
      <c r="I11" s="23">
        <v>11</v>
      </c>
      <c r="J11" s="23">
        <v>9</v>
      </c>
      <c r="K11" s="23">
        <v>10</v>
      </c>
      <c r="L11" s="23">
        <v>10</v>
      </c>
      <c r="M11" s="23">
        <v>10</v>
      </c>
      <c r="N11" s="23">
        <v>10</v>
      </c>
      <c r="O11" s="23">
        <v>7</v>
      </c>
      <c r="P11" s="23">
        <v>11</v>
      </c>
      <c r="Q11" s="23">
        <v>11</v>
      </c>
      <c r="R11" s="23">
        <v>8</v>
      </c>
      <c r="S11" s="23">
        <v>10</v>
      </c>
      <c r="T11" s="23">
        <v>9</v>
      </c>
      <c r="U11" s="26">
        <f t="shared" ref="U11:U17" si="0">IF(COUNTIF(F11:T11,"=*")&gt;0,"-",IF(COUNTIF(F11:T11,"&lt;4")&gt;0,"-",(IFERROR(AVERAGE(F11:T11),""))))</f>
        <v>9.8000000000000007</v>
      </c>
      <c r="V11" s="24">
        <f t="shared" ref="V11:V17" si="1">U11/12*90</f>
        <v>73.500000000000014</v>
      </c>
      <c r="W11" s="29"/>
      <c r="X11" s="36"/>
    </row>
    <row r="12" spans="1:24" ht="15" customHeight="1" x14ac:dyDescent="0.25">
      <c r="A12" s="34"/>
      <c r="B12" s="29"/>
      <c r="C12" s="21" t="s">
        <v>11</v>
      </c>
      <c r="D12" s="21">
        <v>2</v>
      </c>
      <c r="E12" s="22" t="s">
        <v>68</v>
      </c>
      <c r="F12" s="23">
        <v>9</v>
      </c>
      <c r="G12" s="23">
        <v>9</v>
      </c>
      <c r="H12" s="23">
        <v>10</v>
      </c>
      <c r="I12" s="23">
        <v>9</v>
      </c>
      <c r="J12" s="23">
        <v>8</v>
      </c>
      <c r="K12" s="23">
        <v>5</v>
      </c>
      <c r="L12" s="23">
        <v>8</v>
      </c>
      <c r="M12" s="23">
        <v>8</v>
      </c>
      <c r="N12" s="23">
        <v>8</v>
      </c>
      <c r="O12" s="23">
        <v>7</v>
      </c>
      <c r="P12" s="23">
        <v>8</v>
      </c>
      <c r="Q12" s="23">
        <v>8</v>
      </c>
      <c r="R12" s="23">
        <v>7</v>
      </c>
      <c r="S12" s="23">
        <v>7</v>
      </c>
      <c r="T12" s="23">
        <v>7</v>
      </c>
      <c r="U12" s="26">
        <f t="shared" si="0"/>
        <v>7.8666666666666663</v>
      </c>
      <c r="V12" s="24">
        <f t="shared" si="1"/>
        <v>59</v>
      </c>
      <c r="W12" s="29"/>
      <c r="X12" s="36"/>
    </row>
    <row r="13" spans="1:24" ht="15" customHeight="1" x14ac:dyDescent="0.25">
      <c r="A13" s="34"/>
      <c r="B13" s="29"/>
      <c r="C13" s="21" t="s">
        <v>11</v>
      </c>
      <c r="D13" s="21">
        <v>3</v>
      </c>
      <c r="E13" s="22" t="s">
        <v>78</v>
      </c>
      <c r="F13" s="23">
        <v>8</v>
      </c>
      <c r="G13" s="23">
        <v>8</v>
      </c>
      <c r="H13" s="23">
        <v>9</v>
      </c>
      <c r="I13" s="23">
        <v>8</v>
      </c>
      <c r="J13" s="23">
        <v>10</v>
      </c>
      <c r="K13" s="23">
        <v>7</v>
      </c>
      <c r="L13" s="23">
        <v>11</v>
      </c>
      <c r="M13" s="23">
        <v>8</v>
      </c>
      <c r="N13" s="23">
        <v>5</v>
      </c>
      <c r="O13" s="23">
        <v>4</v>
      </c>
      <c r="P13" s="23">
        <v>7</v>
      </c>
      <c r="Q13" s="23">
        <v>7</v>
      </c>
      <c r="R13" s="23">
        <v>6</v>
      </c>
      <c r="S13" s="23">
        <v>5</v>
      </c>
      <c r="T13" s="23">
        <v>5</v>
      </c>
      <c r="U13" s="26">
        <f t="shared" si="0"/>
        <v>7.2</v>
      </c>
      <c r="V13" s="24">
        <f t="shared" si="1"/>
        <v>54</v>
      </c>
      <c r="W13" s="29"/>
      <c r="X13" s="36"/>
    </row>
    <row r="14" spans="1:24" ht="15" customHeight="1" x14ac:dyDescent="0.25">
      <c r="A14" s="34"/>
      <c r="B14" s="29"/>
      <c r="C14" s="21" t="s">
        <v>11</v>
      </c>
      <c r="D14" s="21">
        <v>4</v>
      </c>
      <c r="E14" s="22" t="s">
        <v>76</v>
      </c>
      <c r="F14" s="23">
        <v>8</v>
      </c>
      <c r="G14" s="23">
        <v>8</v>
      </c>
      <c r="H14" s="23">
        <v>7</v>
      </c>
      <c r="I14" s="23">
        <v>8</v>
      </c>
      <c r="J14" s="23">
        <v>9</v>
      </c>
      <c r="K14" s="23">
        <v>7</v>
      </c>
      <c r="L14" s="23">
        <v>7</v>
      </c>
      <c r="M14" s="23">
        <v>7</v>
      </c>
      <c r="N14" s="23">
        <v>8</v>
      </c>
      <c r="O14" s="23">
        <v>4</v>
      </c>
      <c r="P14" s="23">
        <v>4</v>
      </c>
      <c r="Q14" s="23">
        <v>4</v>
      </c>
      <c r="R14" s="23">
        <v>4</v>
      </c>
      <c r="S14" s="23">
        <v>5</v>
      </c>
      <c r="T14" s="23">
        <v>7</v>
      </c>
      <c r="U14" s="26">
        <f t="shared" si="0"/>
        <v>6.4666666666666668</v>
      </c>
      <c r="V14" s="24">
        <f t="shared" si="1"/>
        <v>48.5</v>
      </c>
      <c r="W14" s="29"/>
      <c r="X14" s="36"/>
    </row>
    <row r="15" spans="1:24" ht="15" customHeight="1" x14ac:dyDescent="0.25">
      <c r="A15" s="34"/>
      <c r="B15" s="29"/>
      <c r="C15" s="18" t="s">
        <v>11</v>
      </c>
      <c r="D15" s="18">
        <v>5</v>
      </c>
      <c r="E15" s="9" t="s">
        <v>69</v>
      </c>
      <c r="F15" s="10">
        <v>8</v>
      </c>
      <c r="G15" s="10">
        <v>5</v>
      </c>
      <c r="H15" s="10">
        <v>7</v>
      </c>
      <c r="I15" s="10">
        <v>8</v>
      </c>
      <c r="J15" s="10">
        <v>7</v>
      </c>
      <c r="K15" s="10">
        <v>6</v>
      </c>
      <c r="L15" s="10">
        <v>7</v>
      </c>
      <c r="M15" s="10">
        <v>7</v>
      </c>
      <c r="N15" s="10">
        <v>5</v>
      </c>
      <c r="O15" s="10">
        <v>4</v>
      </c>
      <c r="P15" s="10">
        <v>4</v>
      </c>
      <c r="Q15" s="10">
        <v>4</v>
      </c>
      <c r="R15" s="10">
        <v>4</v>
      </c>
      <c r="S15" s="10">
        <v>4</v>
      </c>
      <c r="T15" s="10">
        <v>7</v>
      </c>
      <c r="U15" s="27">
        <f t="shared" si="0"/>
        <v>5.8</v>
      </c>
      <c r="V15" s="20">
        <f t="shared" si="1"/>
        <v>43.5</v>
      </c>
      <c r="W15" s="29"/>
      <c r="X15" s="36"/>
    </row>
    <row r="16" spans="1:24" ht="15" customHeight="1" x14ac:dyDescent="0.25">
      <c r="A16" s="34"/>
      <c r="B16" s="29"/>
      <c r="C16" s="18" t="s">
        <v>11</v>
      </c>
      <c r="D16" s="18">
        <v>6</v>
      </c>
      <c r="E16" s="9" t="s">
        <v>77</v>
      </c>
      <c r="F16" s="10">
        <v>4</v>
      </c>
      <c r="G16" s="10">
        <v>6</v>
      </c>
      <c r="H16" s="10">
        <v>5</v>
      </c>
      <c r="I16" s="10">
        <v>4</v>
      </c>
      <c r="J16" s="10">
        <v>5</v>
      </c>
      <c r="K16" s="10">
        <v>4</v>
      </c>
      <c r="L16" s="10">
        <v>5</v>
      </c>
      <c r="M16" s="10">
        <v>8</v>
      </c>
      <c r="N16" s="10">
        <v>4</v>
      </c>
      <c r="O16" s="10">
        <v>7</v>
      </c>
      <c r="P16" s="10">
        <v>7</v>
      </c>
      <c r="Q16" s="10">
        <v>7</v>
      </c>
      <c r="R16" s="10">
        <v>7</v>
      </c>
      <c r="S16" s="10">
        <v>4</v>
      </c>
      <c r="T16" s="10">
        <v>7</v>
      </c>
      <c r="U16" s="27">
        <f t="shared" si="0"/>
        <v>5.6</v>
      </c>
      <c r="V16" s="20">
        <f t="shared" si="1"/>
        <v>41.999999999999993</v>
      </c>
      <c r="W16" s="29"/>
      <c r="X16" s="36"/>
    </row>
    <row r="17" spans="1:24" ht="15" customHeight="1" x14ac:dyDescent="0.25">
      <c r="A17" s="34"/>
      <c r="B17" s="29"/>
      <c r="C17" s="18" t="s">
        <v>11</v>
      </c>
      <c r="D17" s="18">
        <v>7</v>
      </c>
      <c r="E17" s="9" t="s">
        <v>75</v>
      </c>
      <c r="F17" s="10">
        <v>4</v>
      </c>
      <c r="G17" s="10">
        <v>6</v>
      </c>
      <c r="H17" s="10">
        <v>5</v>
      </c>
      <c r="I17" s="10">
        <v>4</v>
      </c>
      <c r="J17" s="10">
        <v>5</v>
      </c>
      <c r="K17" s="10">
        <v>4</v>
      </c>
      <c r="L17" s="10">
        <v>5</v>
      </c>
      <c r="M17" s="10">
        <v>8</v>
      </c>
      <c r="N17" s="10">
        <v>4</v>
      </c>
      <c r="O17" s="10">
        <v>7</v>
      </c>
      <c r="P17" s="10">
        <v>7</v>
      </c>
      <c r="Q17" s="10">
        <v>7</v>
      </c>
      <c r="R17" s="10">
        <v>4</v>
      </c>
      <c r="S17" s="10">
        <v>4</v>
      </c>
      <c r="T17" s="10">
        <v>6</v>
      </c>
      <c r="U17" s="27">
        <f t="shared" si="0"/>
        <v>5.333333333333333</v>
      </c>
      <c r="V17" s="20">
        <f t="shared" si="1"/>
        <v>40</v>
      </c>
      <c r="W17" s="29"/>
      <c r="X17" s="36"/>
    </row>
    <row r="18" spans="1:24" ht="15" customHeight="1" x14ac:dyDescent="0.25">
      <c r="A18" s="34"/>
      <c r="B18" s="29"/>
      <c r="C18" s="19"/>
      <c r="D18" s="19"/>
      <c r="E18" s="9" t="s">
        <v>17</v>
      </c>
      <c r="F18" s="17">
        <f>'Зведена 101'!F29</f>
        <v>10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29"/>
      <c r="X18" s="36"/>
    </row>
    <row r="19" spans="1:24" ht="15" customHeight="1" x14ac:dyDescent="0.25">
      <c r="A19" s="34"/>
      <c r="B19" s="29"/>
      <c r="C19" s="19"/>
      <c r="D19" s="19"/>
      <c r="E19" s="9" t="s">
        <v>18</v>
      </c>
      <c r="F19" s="17">
        <f>'Зведена 101'!F30</f>
        <v>3</v>
      </c>
      <c r="G19" s="19"/>
      <c r="H19" s="15" t="s">
        <v>19</v>
      </c>
      <c r="I19" s="19"/>
      <c r="J19" s="19"/>
      <c r="K19" s="19"/>
      <c r="L19" s="19"/>
      <c r="M19" s="19"/>
      <c r="N19" s="19"/>
      <c r="O19" s="1" t="s">
        <v>66</v>
      </c>
      <c r="P19" s="1"/>
      <c r="Q19" s="19"/>
      <c r="R19" s="19"/>
      <c r="S19" s="19"/>
      <c r="T19" s="19"/>
      <c r="U19" s="19"/>
      <c r="V19" s="19"/>
      <c r="W19" s="29"/>
      <c r="X19" s="36"/>
    </row>
    <row r="20" spans="1:24" ht="15" customHeight="1" x14ac:dyDescent="0.25">
      <c r="A20" s="34"/>
      <c r="B20" s="29"/>
      <c r="C20" s="19"/>
      <c r="D20" s="19"/>
      <c r="E20" s="9" t="s">
        <v>20</v>
      </c>
      <c r="F20" s="17">
        <f>'Зведена 101'!F31</f>
        <v>0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29"/>
      <c r="X20" s="36"/>
    </row>
    <row r="21" spans="1:24" ht="15" customHeight="1" x14ac:dyDescent="0.25">
      <c r="A21" s="34"/>
      <c r="B21" s="29"/>
      <c r="C21" s="19"/>
      <c r="D21" s="19"/>
      <c r="E21" s="9" t="s">
        <v>21</v>
      </c>
      <c r="F21" s="17">
        <f>'Зведена 101'!F32</f>
        <v>4</v>
      </c>
      <c r="G21" s="19"/>
      <c r="H21" s="15" t="s">
        <v>22</v>
      </c>
      <c r="I21" s="19"/>
      <c r="J21" s="19"/>
      <c r="K21" s="19"/>
      <c r="L21" s="19"/>
      <c r="M21" s="19"/>
      <c r="N21" s="19"/>
      <c r="O21" s="15" t="s">
        <v>23</v>
      </c>
      <c r="P21" s="15"/>
      <c r="Q21" s="19"/>
      <c r="R21" s="19"/>
      <c r="S21" s="19"/>
      <c r="T21" s="19"/>
      <c r="U21" s="19"/>
      <c r="V21" s="19"/>
      <c r="W21" s="29"/>
      <c r="X21" s="36"/>
    </row>
    <row r="22" spans="1:24" ht="12" customHeight="1" thickBo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6"/>
    </row>
    <row r="23" spans="1:24" ht="12" customHeight="1" x14ac:dyDescent="0.25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spans="1:24" ht="0" hidden="1" customHeight="1" x14ac:dyDescent="0.25"/>
    <row r="25" spans="1:24" ht="0" hidden="1" customHeight="1" x14ac:dyDescent="0.25"/>
    <row r="26" spans="1:24" ht="0" hidden="1" customHeight="1" x14ac:dyDescent="0.25"/>
    <row r="27" spans="1:24" ht="0" hidden="1" customHeight="1" x14ac:dyDescent="0.25"/>
    <row r="28" spans="1:24" ht="0" hidden="1" customHeight="1" x14ac:dyDescent="0.25"/>
    <row r="29" spans="1:24" ht="0" hidden="1" customHeight="1" x14ac:dyDescent="0.25"/>
    <row r="30" spans="1:24" ht="0" hidden="1" customHeight="1" x14ac:dyDescent="0.25"/>
    <row r="31" spans="1:24" ht="0" hidden="1" customHeight="1" x14ac:dyDescent="0.25"/>
    <row r="32" spans="1:24" ht="0" hidden="1" customHeight="1" x14ac:dyDescent="0.25"/>
    <row r="33" ht="0" hidden="1" customHeight="1" x14ac:dyDescent="0.25"/>
    <row r="34" ht="0" hidden="1" customHeight="1" x14ac:dyDescent="0.25"/>
    <row r="35" ht="0" hidden="1" customHeight="1" x14ac:dyDescent="0.25"/>
    <row r="36" ht="0" hidden="1" customHeight="1" x14ac:dyDescent="0.25"/>
    <row r="37" ht="0" hidden="1" customHeight="1" x14ac:dyDescent="0.25"/>
  </sheetData>
  <sheetProtection selectLockedCells="1"/>
  <sortState ref="C11:V17">
    <sortCondition descending="1" ref="U11:U17"/>
  </sortState>
  <mergeCells count="18">
    <mergeCell ref="B1:W1"/>
    <mergeCell ref="A2:A22"/>
    <mergeCell ref="B2:W2"/>
    <mergeCell ref="X2:X22"/>
    <mergeCell ref="B3:B21"/>
    <mergeCell ref="C3:V3"/>
    <mergeCell ref="W3:W21"/>
    <mergeCell ref="C4:V4"/>
    <mergeCell ref="C5:V5"/>
    <mergeCell ref="C6:V6"/>
    <mergeCell ref="B22:W22"/>
    <mergeCell ref="B23:W23"/>
    <mergeCell ref="C7:V7"/>
    <mergeCell ref="C8:V8"/>
    <mergeCell ref="C9:C10"/>
    <mergeCell ref="D9:D10"/>
    <mergeCell ref="E9:E10"/>
    <mergeCell ref="G9:V9"/>
  </mergeCells>
  <conditionalFormatting sqref="E13">
    <cfRule type="expression" dxfId="12" priority="6">
      <formula>$W$13&lt;&gt;""</formula>
    </cfRule>
  </conditionalFormatting>
  <conditionalFormatting sqref="C13">
    <cfRule type="expression" dxfId="11" priority="7">
      <formula>$W$13&lt;&gt;""</formula>
    </cfRule>
  </conditionalFormatting>
  <conditionalFormatting sqref="C14 E14">
    <cfRule type="expression" dxfId="10" priority="8">
      <formula>$W$14&lt;&gt;""</formula>
    </cfRule>
  </conditionalFormatting>
  <conditionalFormatting sqref="C15 E15">
    <cfRule type="expression" dxfId="9" priority="9">
      <formula>$W$15&lt;&gt;""</formula>
    </cfRule>
  </conditionalFormatting>
  <conditionalFormatting sqref="C16 E16">
    <cfRule type="expression" dxfId="8" priority="10">
      <formula>$W$16&lt;&gt;""</formula>
    </cfRule>
  </conditionalFormatting>
  <conditionalFormatting sqref="C17 E17">
    <cfRule type="expression" dxfId="7" priority="11">
      <formula>$W$17&lt;&gt;""</formula>
    </cfRule>
  </conditionalFormatting>
  <conditionalFormatting sqref="C11:U11 F12:U17 D13 D15 D17">
    <cfRule type="expression" dxfId="6" priority="1">
      <formula>$W$11&lt;&gt;""</formula>
    </cfRule>
  </conditionalFormatting>
  <conditionalFormatting sqref="C12:E12 D14 D16">
    <cfRule type="expression" dxfId="5" priority="2">
      <formula>$W$12&lt;&gt;""</formula>
    </cfRule>
  </conditionalFormatting>
  <conditionalFormatting sqref="V11:V17">
    <cfRule type="expression" dxfId="4" priority="54">
      <formula>#REF!&lt;&gt;""</formula>
    </cfRule>
  </conditionalFormatting>
  <printOptions horizontalCentered="1"/>
  <pageMargins left="0" right="0" top="0" bottom="0" header="0" footer="0"/>
  <pageSetup paperSize="9" scale="8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8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3" ht="12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5" customFormat="1" ht="35.1" customHeight="1" x14ac:dyDescent="0.3">
      <c r="A3" s="34"/>
      <c r="B3" s="29"/>
      <c r="C3" s="37" t="s">
        <v>27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29"/>
      <c r="W3" s="36"/>
    </row>
    <row r="4" spans="1:23" s="5" customFormat="1" ht="15" customHeight="1" x14ac:dyDescent="0.25">
      <c r="A4" s="34"/>
      <c r="B4" s="29"/>
      <c r="C4" s="29" t="s">
        <v>0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6"/>
    </row>
    <row r="5" spans="1:23" s="6" customFormat="1" ht="15" customHeight="1" x14ac:dyDescent="0.25">
      <c r="A5" s="34"/>
      <c r="B5" s="29"/>
      <c r="C5" s="39" t="s">
        <v>24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29"/>
      <c r="W5" s="36"/>
    </row>
    <row r="6" spans="1:23" s="5" customFormat="1" ht="15" customHeight="1" x14ac:dyDescent="0.25">
      <c r="A6" s="34"/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6"/>
    </row>
    <row r="7" spans="1:23" s="5" customFormat="1" ht="15" customHeight="1" x14ac:dyDescent="0.25">
      <c r="A7" s="34"/>
      <c r="B7" s="29"/>
      <c r="C7" s="29" t="s">
        <v>37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36"/>
    </row>
    <row r="8" spans="1:23" s="5" customFormat="1" ht="15" customHeight="1" x14ac:dyDescent="0.25">
      <c r="A8" s="34"/>
      <c r="B8" s="29"/>
      <c r="C8" s="29" t="s">
        <v>36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36"/>
    </row>
    <row r="9" spans="1:23" ht="15" customHeight="1" x14ac:dyDescent="0.25">
      <c r="A9" s="34"/>
      <c r="B9" s="29"/>
      <c r="C9" s="30" t="s">
        <v>1</v>
      </c>
      <c r="D9" s="32" t="s">
        <v>2</v>
      </c>
      <c r="E9" s="32" t="s">
        <v>3</v>
      </c>
      <c r="F9" s="8"/>
      <c r="G9" s="31" t="s">
        <v>26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29"/>
      <c r="W9" s="36"/>
    </row>
    <row r="10" spans="1:23" ht="125.1" customHeight="1" x14ac:dyDescent="0.25">
      <c r="A10" s="34"/>
      <c r="B10" s="29"/>
      <c r="C10" s="31"/>
      <c r="D10" s="31"/>
      <c r="E10" s="31"/>
      <c r="F10" s="16" t="s">
        <v>33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29</v>
      </c>
      <c r="M10" s="16" t="s">
        <v>30</v>
      </c>
      <c r="N10" s="16" t="s">
        <v>7</v>
      </c>
      <c r="O10" s="16" t="s">
        <v>38</v>
      </c>
      <c r="P10" s="16" t="s">
        <v>39</v>
      </c>
      <c r="Q10" s="16" t="s">
        <v>40</v>
      </c>
      <c r="R10" s="16" t="s">
        <v>8</v>
      </c>
      <c r="S10" s="16" t="s">
        <v>31</v>
      </c>
      <c r="T10" s="16" t="s">
        <v>32</v>
      </c>
      <c r="U10" s="7" t="s">
        <v>9</v>
      </c>
      <c r="V10" s="29"/>
      <c r="W10" s="36"/>
    </row>
    <row r="11" spans="1:23" ht="15" customHeight="1" x14ac:dyDescent="0.25">
      <c r="A11" s="34"/>
      <c r="B11" s="29"/>
      <c r="C11" s="8" t="s">
        <v>10</v>
      </c>
      <c r="D11" s="8">
        <v>1</v>
      </c>
      <c r="E11" s="9" t="s">
        <v>81</v>
      </c>
      <c r="F11" s="10">
        <v>4</v>
      </c>
      <c r="G11" s="10">
        <v>5</v>
      </c>
      <c r="H11" s="10">
        <v>5</v>
      </c>
      <c r="I11" s="10">
        <v>4</v>
      </c>
      <c r="J11" s="10">
        <v>5</v>
      </c>
      <c r="K11" s="10">
        <v>4</v>
      </c>
      <c r="L11" s="10">
        <v>5</v>
      </c>
      <c r="M11" s="10">
        <v>8</v>
      </c>
      <c r="N11" s="10">
        <v>4</v>
      </c>
      <c r="O11" s="10">
        <v>7</v>
      </c>
      <c r="P11" s="10">
        <v>7</v>
      </c>
      <c r="Q11" s="10">
        <v>7</v>
      </c>
      <c r="R11" s="10">
        <v>4</v>
      </c>
      <c r="S11" s="10">
        <v>4</v>
      </c>
      <c r="T11" s="10">
        <v>7</v>
      </c>
      <c r="U11" s="2">
        <f>IF(COUNTIF(F11:T11,"=*")&gt;0,"-",IF(COUNTIF(F11:T11,"&lt;4")&gt;0,"-",(IFERROR(AVERAGE(F11:T11),""))))</f>
        <v>5.333333333333333</v>
      </c>
      <c r="V11" s="29"/>
      <c r="W11" s="36"/>
    </row>
    <row r="12" spans="1:23" ht="15" customHeight="1" x14ac:dyDescent="0.25">
      <c r="A12" s="34"/>
      <c r="B12" s="29"/>
      <c r="C12" s="8" t="s">
        <v>10</v>
      </c>
      <c r="D12" s="8">
        <v>2</v>
      </c>
      <c r="E12" s="9" t="s">
        <v>82</v>
      </c>
      <c r="F12" s="10">
        <v>8</v>
      </c>
      <c r="G12" s="10">
        <v>5</v>
      </c>
      <c r="H12" s="10">
        <v>5</v>
      </c>
      <c r="I12" s="10">
        <v>8</v>
      </c>
      <c r="J12" s="10">
        <v>5</v>
      </c>
      <c r="K12" s="10">
        <v>4</v>
      </c>
      <c r="L12" s="10">
        <v>5</v>
      </c>
      <c r="M12" s="10">
        <v>8</v>
      </c>
      <c r="N12" s="10">
        <v>4</v>
      </c>
      <c r="O12" s="10">
        <v>7</v>
      </c>
      <c r="P12" s="10">
        <v>7</v>
      </c>
      <c r="Q12" s="10">
        <v>7</v>
      </c>
      <c r="R12" s="10">
        <v>4</v>
      </c>
      <c r="S12" s="10">
        <v>4</v>
      </c>
      <c r="T12" s="10">
        <v>7</v>
      </c>
      <c r="U12" s="2">
        <f t="shared" ref="U12" si="0">IF(COUNTIF(F12:T12,"=*")&gt;0,"-",IF(COUNTIF(F12:T12,"&lt;4")&gt;0,"-",(IFERROR(AVERAGE(F12:T12),""))))</f>
        <v>5.8666666666666663</v>
      </c>
      <c r="V12" s="29"/>
      <c r="W12" s="36"/>
    </row>
    <row r="13" spans="1:23" ht="15" customHeight="1" x14ac:dyDescent="0.25">
      <c r="A13" s="34"/>
      <c r="B13" s="29"/>
      <c r="C13" s="11"/>
      <c r="D13" s="11"/>
      <c r="E13" s="9" t="s">
        <v>12</v>
      </c>
      <c r="F13" s="3">
        <f>IF(SUM(F11:F12)=0,"",SUM(F11:F12)/$D12)</f>
        <v>6</v>
      </c>
      <c r="G13" s="3">
        <f>IF(SUM(G11:G12)=0,"",SUM(G11:G12)/D12)</f>
        <v>5</v>
      </c>
      <c r="H13" s="3">
        <f>IF(SUM(H11:H12)=0,"",SUM(H11:H12)/D12)</f>
        <v>5</v>
      </c>
      <c r="I13" s="3">
        <f>IF(SUM(I11:I12)=0,"",SUM(I11:I12)/D12)</f>
        <v>6</v>
      </c>
      <c r="J13" s="3">
        <f>IF(SUM(J11:J12)=0,"",SUM(J11:J12)/D12)</f>
        <v>5</v>
      </c>
      <c r="K13" s="3">
        <f>IF(SUM(K11:K12)=0,"",SUM(K11:K12)/D12)</f>
        <v>4</v>
      </c>
      <c r="L13" s="3">
        <f>IF(SUM(L11:L12)=0,"",SUM(L11:L12)/D12)</f>
        <v>5</v>
      </c>
      <c r="M13" s="3">
        <f>IF(SUM(M11:M12)=0,"",SUM(M11:M12)/D12)</f>
        <v>8</v>
      </c>
      <c r="N13" s="3">
        <f>IF(SUM(N11:N12)=0,"",SUM(N11:N12)/D12)</f>
        <v>4</v>
      </c>
      <c r="O13" s="3">
        <f>IF(SUM(O11:O12)=0,"",SUM(O11:O12)/D12)</f>
        <v>7</v>
      </c>
      <c r="P13" s="3">
        <f>IF(SUM(P11:P12)=0,"",SUM(P11:P12)/D12)</f>
        <v>7</v>
      </c>
      <c r="Q13" s="3">
        <f>IF(SUM(Q11:Q12)=0,"",SUM(Q11:Q12)/D12)</f>
        <v>7</v>
      </c>
      <c r="R13" s="3">
        <f>IF(SUM(R11:R12)=0,"",SUM(R11:R12)/D12)</f>
        <v>4</v>
      </c>
      <c r="S13" s="3">
        <f>IF(SUM(S11:S12)=0,"",SUM(S11:S12)/D12)</f>
        <v>4</v>
      </c>
      <c r="T13" s="3">
        <f>IF(SUM(T11:T12)=0,"",SUM(T11:T12)/D12)</f>
        <v>7</v>
      </c>
      <c r="U13" s="2">
        <f>IFERROR(AVERAGE(F13:T13),"")</f>
        <v>5.6</v>
      </c>
      <c r="V13" s="29"/>
      <c r="W13" s="36"/>
    </row>
    <row r="14" spans="1:23" ht="15" customHeight="1" x14ac:dyDescent="0.25">
      <c r="A14" s="34"/>
      <c r="B14" s="29"/>
      <c r="C14" s="11"/>
      <c r="D14" s="11"/>
      <c r="E14" s="9" t="s">
        <v>13</v>
      </c>
      <c r="F14" s="12">
        <f>IF(SUM(F11:F12)=0,"",IF(COUNTIF(F11:F12,"&gt;=4")=0,0,COUNTIF(F11:F12,"&gt;=4")/$D12*100))</f>
        <v>100</v>
      </c>
      <c r="G14" s="12">
        <f>IF(SUM(G11:G12)=0,"",IF(COUNTIF(G11:G12,"&gt;=4")=0,0,COUNTIF(G11:G12,"&gt;=4")/D12*100))</f>
        <v>100</v>
      </c>
      <c r="H14" s="12">
        <f>IF(SUM(H11:H12)=0,"",IF(COUNTIF(H11:H12,"&gt;=4")=0,0,COUNTIF(H11:H12,"&gt;=4")/D12*100))</f>
        <v>100</v>
      </c>
      <c r="I14" s="12">
        <f>IF(SUM(I11:I12)=0,"",IF(COUNTIF(I11:I12,"&gt;=4")=0,0,COUNTIF(I11:I12,"&gt;=4")/D12*100))</f>
        <v>100</v>
      </c>
      <c r="J14" s="12">
        <f>IF(SUM(J11:J12)=0,"",IF(COUNTIF(J11:J12,"&gt;=4")=0,0,COUNTIF(J11:J12,"&gt;=4")/D12*100))</f>
        <v>100</v>
      </c>
      <c r="K14" s="12">
        <f>IF(SUM(K11:K12)=0,"",IF(COUNTIF(K11:K12,"&gt;=4")=0,0,COUNTIF(K11:K12,"&gt;=4")/D12*100))</f>
        <v>100</v>
      </c>
      <c r="L14" s="12">
        <f>IF(SUM(L11:L12)=0,"",IF(COUNTIF(L11:L12,"&gt;=4")=0,0,COUNTIF(L11:L12,"&gt;=4")/D12*100))</f>
        <v>100</v>
      </c>
      <c r="M14" s="12">
        <f>IF(SUM(M11:M12)=0,"",IF(COUNTIF(M11:M12,"&gt;=4")=0,0,COUNTIF(M11:M12,"&gt;=4")/D12*100))</f>
        <v>100</v>
      </c>
      <c r="N14" s="12">
        <f>IF(SUM(N11:N12)=0,"",IF(COUNTIF(N11:N12,"&gt;=4")=0,0,COUNTIF(N11:N12,"&gt;=4")/D12*100))</f>
        <v>100</v>
      </c>
      <c r="O14" s="12">
        <f>IF(SUM(O11:O12)=0,"",IF(COUNTIF(O11:O12,"&gt;=4")=0,0,COUNTIF(O11:O12,"&gt;=4")/D12*100))</f>
        <v>100</v>
      </c>
      <c r="P14" s="12">
        <f>IF(SUM(P11:P12)=0,"",IF(COUNTIF(P11:P12,"&gt;=4")=0,0,COUNTIF(P11:P12,"&gt;=4")/D12*100))</f>
        <v>100</v>
      </c>
      <c r="Q14" s="12">
        <f>IF(SUM(Q11:Q12)=0,"",IF(COUNTIF(Q11:Q12,"&gt;=4")=0,0,COUNTIF(Q11:Q12,"&gt;=4")/D12*100))</f>
        <v>100</v>
      </c>
      <c r="R14" s="12">
        <f>IF(SUM(R11:R12)=0,"",IF(COUNTIF(R11:R12,"&gt;=4")=0,0,COUNTIF(R11:R12,"&gt;=4")/D12*100))</f>
        <v>100</v>
      </c>
      <c r="S14" s="12">
        <f>IF(SUM(S11:S12)=0,"",IF(COUNTIF(S11:S12,"&gt;=4")=0,0,COUNTIF(S11:S12,"&gt;=4")/D12*100))</f>
        <v>100</v>
      </c>
      <c r="T14" s="12">
        <f>IF(SUM(T11:T12)=0,"",IF(COUNTIF(T11:T12,"&gt;=4")=0,0,COUNTIF(T11:T12,"&gt;=4")/D12*100))</f>
        <v>100</v>
      </c>
      <c r="U14" s="13"/>
      <c r="V14" s="29"/>
      <c r="W14" s="36"/>
    </row>
    <row r="15" spans="1:23" ht="15" customHeight="1" x14ac:dyDescent="0.25">
      <c r="A15" s="34"/>
      <c r="B15" s="29"/>
      <c r="C15" s="11"/>
      <c r="D15" s="11"/>
      <c r="E15" s="9" t="s">
        <v>14</v>
      </c>
      <c r="F15" s="12">
        <f>IF(SUM(F11:F12)=0,"",IF(COUNTIF(F11:F12,"&gt;=7")=0,0,COUNTIF(F11:F12,"&gt;=7")/$D12*100))</f>
        <v>50</v>
      </c>
      <c r="G15" s="12">
        <f>IF(SUM(G11:G12)=0,"",IF(COUNTIF(G11:G12,"&gt;=7")=0,0,COUNTIF(G11:G12,"&gt;=7")/D12*100))</f>
        <v>0</v>
      </c>
      <c r="H15" s="12">
        <f>IF(SUM(H11:H12)=0,"",IF(COUNTIF(H11:H12,"&gt;=7")=0,0,COUNTIF(H11:H12,"&gt;=7")/D12*100))</f>
        <v>0</v>
      </c>
      <c r="I15" s="12">
        <f>IF(SUM(I11:I12)=0,"",IF(COUNTIF(I11:I12,"&gt;=7")=0,0,COUNTIF(I11:I12,"&gt;=7")/D12*100))</f>
        <v>50</v>
      </c>
      <c r="J15" s="12">
        <f>IF(SUM(J11:J12)=0,"",IF(COUNTIF(J11:J12,"&gt;=7")=0,0,COUNTIF(J11:J12,"&gt;=7")/D12*100))</f>
        <v>0</v>
      </c>
      <c r="K15" s="12">
        <f>IF(SUM(K11:K12)=0,"",IF(COUNTIF(K11:K12,"&gt;=7")=0,0,COUNTIF(K11:K12,"&gt;=7")/D12*100))</f>
        <v>0</v>
      </c>
      <c r="L15" s="12">
        <f>IF(SUM(L11:L12)=0,"",IF(COUNTIF(L11:L12,"&gt;=7")=0,0,COUNTIF(L11:L12,"&gt;=7")/D12*100))</f>
        <v>0</v>
      </c>
      <c r="M15" s="12">
        <f>IF(SUM(M11:M12)=0,"",IF(COUNTIF(M11:M12,"&gt;=7")=0,0,COUNTIF(M11:M12,"&gt;=7")/D12*100))</f>
        <v>100</v>
      </c>
      <c r="N15" s="12">
        <f>IF(SUM(N11:N12)=0,"",IF(COUNTIF(N11:N12,"&gt;=7")=0,0,COUNTIF(N11:N12,"&gt;=7")/D12*100))</f>
        <v>0</v>
      </c>
      <c r="O15" s="12">
        <f>IF(SUM(O11:O12)=0,"",IF(COUNTIF(O11:O12,"&gt;=7")=0,0,COUNTIF(O11:O12,"&gt;=7")/D12*100))</f>
        <v>100</v>
      </c>
      <c r="P15" s="12">
        <f>IF(SUM(P11:P12)=0,"",IF(COUNTIF(P11:P12,"&gt;=7")=0,0,COUNTIF(P11:P12,"&gt;=7")/D12*100))</f>
        <v>100</v>
      </c>
      <c r="Q15" s="12">
        <f>IF(SUM(Q11:Q12)=0,"",IF(COUNTIF(Q11:Q12,"&gt;=7")=0,0,COUNTIF(Q11:Q12,"&gt;=7")/D12*100))</f>
        <v>100</v>
      </c>
      <c r="R15" s="12">
        <f>IF(SUM(R11:R12)=0,"",IF(COUNTIF(R11:R12,"&gt;=7")=0,0,COUNTIF(R11:R12,"&gt;=7")/D12*100))</f>
        <v>0</v>
      </c>
      <c r="S15" s="12">
        <f>IF(SUM(S11:S12)=0,"",IF(COUNTIF(S11:S12,"&gt;=7")=0,0,COUNTIF(S11:S12,"&gt;=7")/D12*100))</f>
        <v>0</v>
      </c>
      <c r="T15" s="12">
        <f>IF(SUM(T11:T12)=0,"",IF(COUNTIF(T11:T12,"&gt;=7")=0,0,COUNTIF(T11:T12,"&gt;=7")/D12*100))</f>
        <v>100</v>
      </c>
      <c r="U15" s="11"/>
      <c r="V15" s="29"/>
      <c r="W15" s="36"/>
    </row>
    <row r="16" spans="1:23" ht="15" customHeight="1" x14ac:dyDescent="0.25">
      <c r="A16" s="34"/>
      <c r="B16" s="29"/>
      <c r="C16" s="11"/>
      <c r="D16" s="11"/>
      <c r="E16" s="9" t="s">
        <v>15</v>
      </c>
      <c r="F16" s="3">
        <f>IFERROR(AVERAGE(F14:T14),"")</f>
        <v>100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29"/>
      <c r="W16" s="36"/>
    </row>
    <row r="17" spans="1:23" ht="15" customHeight="1" x14ac:dyDescent="0.25">
      <c r="A17" s="34"/>
      <c r="B17" s="29"/>
      <c r="C17" s="11"/>
      <c r="D17" s="11"/>
      <c r="E17" s="9" t="s">
        <v>16</v>
      </c>
      <c r="F17" s="3">
        <f>IFERROR(AVERAGE(F15:T15),"")</f>
        <v>40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29"/>
      <c r="W17" s="36"/>
    </row>
    <row r="18" spans="1:23" ht="15" customHeight="1" x14ac:dyDescent="0.25">
      <c r="A18" s="34"/>
      <c r="B18" s="29"/>
      <c r="C18" s="11"/>
      <c r="D18" s="11"/>
      <c r="E18" s="9" t="s">
        <v>17</v>
      </c>
      <c r="F18" s="14">
        <f>IF(COUNTIF(C11:C12,"=Б")=0,IF(COUNTIF(C11:C12,"=К")=0,"",0),COUNTIF(C11:C12,"=Б"))</f>
        <v>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29"/>
      <c r="W18" s="36"/>
    </row>
    <row r="19" spans="1:23" ht="15" customHeight="1" x14ac:dyDescent="0.25">
      <c r="A19" s="34"/>
      <c r="B19" s="29"/>
      <c r="C19" s="11"/>
      <c r="D19" s="11"/>
      <c r="E19" s="9" t="s">
        <v>18</v>
      </c>
      <c r="F19" s="14">
        <f>IF(COUNTIF(C11:C12,"=К")=0,IF(COUNTIF(C11:C12,"=Б")=0,"",0),COUNTIF(C11:C12,"=К"))</f>
        <v>2</v>
      </c>
      <c r="G19" s="11"/>
      <c r="H19" s="15" t="s">
        <v>19</v>
      </c>
      <c r="I19" s="11"/>
      <c r="J19" s="11"/>
      <c r="K19" s="11"/>
      <c r="L19" s="11"/>
      <c r="M19" s="11"/>
      <c r="N19" s="11"/>
      <c r="O19" s="1" t="s">
        <v>66</v>
      </c>
      <c r="P19" s="1"/>
      <c r="Q19" s="11"/>
      <c r="R19" s="11"/>
      <c r="S19" s="11"/>
      <c r="T19" s="11"/>
      <c r="U19" s="11"/>
      <c r="V19" s="29"/>
      <c r="W19" s="36"/>
    </row>
    <row r="20" spans="1:23" ht="15" customHeight="1" x14ac:dyDescent="0.25">
      <c r="A20" s="34"/>
      <c r="B20" s="29"/>
      <c r="C20" s="11"/>
      <c r="D20" s="11"/>
      <c r="E20" s="9" t="s">
        <v>20</v>
      </c>
      <c r="F20" s="1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29"/>
      <c r="W20" s="36"/>
    </row>
    <row r="21" spans="1:23" ht="15" customHeight="1" x14ac:dyDescent="0.25">
      <c r="A21" s="34"/>
      <c r="B21" s="29"/>
      <c r="C21" s="11"/>
      <c r="D21" s="11"/>
      <c r="E21" s="9" t="s">
        <v>21</v>
      </c>
      <c r="F21" s="14"/>
      <c r="G21" s="11"/>
      <c r="H21" s="15" t="s">
        <v>22</v>
      </c>
      <c r="I21" s="11"/>
      <c r="J21" s="11"/>
      <c r="K21" s="11"/>
      <c r="L21" s="11"/>
      <c r="M21" s="11"/>
      <c r="N21" s="11"/>
      <c r="O21" s="15" t="s">
        <v>23</v>
      </c>
      <c r="P21" s="15"/>
      <c r="Q21" s="11"/>
      <c r="R21" s="11"/>
      <c r="S21" s="11"/>
      <c r="T21" s="11"/>
      <c r="U21" s="11"/>
      <c r="V21" s="29"/>
      <c r="W21" s="36"/>
    </row>
    <row r="22" spans="1:23" ht="12" customHeight="1" thickBo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6"/>
    </row>
    <row r="23" spans="1:23" ht="12" customHeight="1" x14ac:dyDescent="0.25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3" ht="0" hidden="1" customHeight="1" x14ac:dyDescent="0.25"/>
    <row r="25" spans="1:23" ht="0" hidden="1" customHeight="1" x14ac:dyDescent="0.25"/>
    <row r="26" spans="1:23" ht="0" hidden="1" customHeight="1" x14ac:dyDescent="0.25"/>
    <row r="27" spans="1:23" ht="0" hidden="1" customHeight="1" x14ac:dyDescent="0.25"/>
    <row r="28" spans="1:23" ht="0" hidden="1" customHeight="1" x14ac:dyDescent="0.25"/>
    <row r="29" spans="1:23" ht="0" hidden="1" customHeight="1" x14ac:dyDescent="0.25"/>
    <row r="30" spans="1:23" ht="0" hidden="1" customHeight="1" x14ac:dyDescent="0.25"/>
    <row r="31" spans="1:23" ht="0" hidden="1" customHeight="1" x14ac:dyDescent="0.25"/>
    <row r="32" spans="1:23" ht="0" hidden="1" customHeight="1" x14ac:dyDescent="0.25"/>
    <row r="33" ht="0" hidden="1" customHeight="1" x14ac:dyDescent="0.25"/>
    <row r="34" ht="0" hidden="1" customHeight="1" x14ac:dyDescent="0.25"/>
    <row r="35" ht="0" hidden="1" customHeight="1" x14ac:dyDescent="0.25"/>
    <row r="36" ht="0" hidden="1" customHeight="1" x14ac:dyDescent="0.25"/>
    <row r="37" ht="0" hidden="1" customHeight="1" x14ac:dyDescent="0.25"/>
    <row r="38" ht="0" hidden="1" customHeight="1" x14ac:dyDescent="0.25"/>
    <row r="39" ht="0" hidden="1" customHeight="1" x14ac:dyDescent="0.25"/>
    <row r="40" ht="0" hidden="1" customHeight="1" x14ac:dyDescent="0.25"/>
    <row r="41" ht="0" hidden="1" customHeight="1" x14ac:dyDescent="0.25"/>
    <row r="42" ht="0" hidden="1" customHeight="1" x14ac:dyDescent="0.25"/>
    <row r="43" ht="0" hidden="1" customHeight="1" x14ac:dyDescent="0.25"/>
    <row r="44" ht="0" hidden="1" customHeight="1" x14ac:dyDescent="0.25"/>
    <row r="45" ht="0" hidden="1" customHeight="1" x14ac:dyDescent="0.25"/>
    <row r="46" ht="0" hidden="1" customHeight="1" x14ac:dyDescent="0.25"/>
    <row r="47" ht="0" hidden="1" customHeight="1" x14ac:dyDescent="0.25"/>
    <row r="48" ht="0" hidden="1" customHeight="1" x14ac:dyDescent="0.25"/>
  </sheetData>
  <sheetProtection selectLockedCells="1"/>
  <mergeCells count="18">
    <mergeCell ref="B1:V1"/>
    <mergeCell ref="A2:A22"/>
    <mergeCell ref="B2:V2"/>
    <mergeCell ref="W2:W22"/>
    <mergeCell ref="B3:B21"/>
    <mergeCell ref="C3:U3"/>
    <mergeCell ref="V3:V21"/>
    <mergeCell ref="C4:U4"/>
    <mergeCell ref="C5:U5"/>
    <mergeCell ref="C6:U6"/>
    <mergeCell ref="B22:V22"/>
    <mergeCell ref="B23:V23"/>
    <mergeCell ref="C7:U7"/>
    <mergeCell ref="C8:U8"/>
    <mergeCell ref="C9:C10"/>
    <mergeCell ref="D9:D10"/>
    <mergeCell ref="E9:E10"/>
    <mergeCell ref="G9:U9"/>
  </mergeCells>
  <conditionalFormatting sqref="C12">
    <cfRule type="expression" dxfId="3" priority="35">
      <formula>#REF!&lt;&gt;""</formula>
    </cfRule>
  </conditionalFormatting>
  <conditionalFormatting sqref="D12 C11:T11 F12:T12">
    <cfRule type="expression" dxfId="2" priority="12">
      <formula>$V$11&lt;&gt;""</formula>
    </cfRule>
  </conditionalFormatting>
  <conditionalFormatting sqref="U11:U12">
    <cfRule type="expression" dxfId="1" priority="13">
      <formula>$V$12&lt;&gt;""</formula>
    </cfRule>
  </conditionalFormatting>
  <conditionalFormatting sqref="E12">
    <cfRule type="expression" dxfId="0" priority="1">
      <formula>#REF!&lt;&gt;""</formula>
    </cfRule>
  </conditionalFormatting>
  <printOptions horizontalCentered="1"/>
  <pageMargins left="0" right="0" top="0" bottom="0" header="0" footer="0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Зведена 076</vt:lpstr>
      <vt:lpstr>Рейтингова 076</vt:lpstr>
      <vt:lpstr>Зведена 101</vt:lpstr>
      <vt:lpstr>Рейтингова 101</vt:lpstr>
      <vt:lpstr>Зведена 185</vt:lpstr>
      <vt:lpstr>'Зведена 076'!Область_печати</vt:lpstr>
      <vt:lpstr>'Зведена 101'!Область_печати</vt:lpstr>
      <vt:lpstr>'Зведена 185'!Область_печати</vt:lpstr>
      <vt:lpstr>'Рейтингова 076'!Область_печати</vt:lpstr>
      <vt:lpstr>'Рейтингова 101'!Область_печати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2025-06-23T11:42:28Z</cp:lastPrinted>
  <dcterms:created xsi:type="dcterms:W3CDTF">2006-09-28T05:33:49Z</dcterms:created>
  <dcterms:modified xsi:type="dcterms:W3CDTF">2025-06-25T09:18:05Z</dcterms:modified>
  <cp:category/>
  <cp:contentStatus/>
</cp:coreProperties>
</file>