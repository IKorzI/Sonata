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3"/>
  </bookViews>
  <sheets>
    <sheet name="Зведена 141" sheetId="38" r:id="rId1"/>
    <sheet name="Рейтингова 141" sheetId="46" r:id="rId2"/>
    <sheet name="Зведена 161" sheetId="44" r:id="rId3"/>
    <sheet name="Рейтингова 161" sheetId="47" r:id="rId4"/>
    <sheet name="Зведена 241" sheetId="45" r:id="rId5"/>
  </sheets>
  <definedNames>
    <definedName name="A1048577" localSheetId="0">#REF!</definedName>
    <definedName name="A1048577" localSheetId="2">#REF!</definedName>
    <definedName name="A1048577" localSheetId="4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141'!$B$2:$V$45</definedName>
    <definedName name="_xlnm.Print_Area" localSheetId="2">'Зведена 161'!$B$2:$V$30</definedName>
    <definedName name="_xlnm.Print_Area" localSheetId="4">'Зведена 241'!$B$2:$V$25</definedName>
    <definedName name="_xlnm.Print_Area" localSheetId="1">'Рейтингова 141'!$B$2:$W$28</definedName>
    <definedName name="_xlnm.Print_Area" localSheetId="3">'Рейтингова 161'!$B$2:$W$23</definedName>
    <definedName name="Ф80" localSheetId="0">#REF!</definedName>
    <definedName name="Ф80" localSheetId="2">#REF!</definedName>
    <definedName name="Ф80" localSheetId="4">#REF!</definedName>
    <definedName name="Ф80" localSheetId="1">#REF!</definedName>
    <definedName name="Ф80" localSheetId="3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V12" i="47" l="1"/>
  <c r="U12" i="47"/>
  <c r="U18" i="47" l="1"/>
  <c r="V18" i="47" s="1"/>
  <c r="U16" i="47"/>
  <c r="V16" i="47" s="1"/>
  <c r="U12" i="46" l="1"/>
  <c r="V12" i="46" s="1"/>
  <c r="U11" i="47" l="1"/>
  <c r="V11" i="47" s="1"/>
  <c r="U14" i="47"/>
  <c r="V14" i="47" s="1"/>
  <c r="U13" i="47"/>
  <c r="V13" i="47" s="1"/>
  <c r="U15" i="47"/>
  <c r="V15" i="47" s="1"/>
  <c r="U17" i="47"/>
  <c r="V17" i="47" s="1"/>
  <c r="F22" i="47"/>
  <c r="F21" i="47"/>
  <c r="F20" i="47"/>
  <c r="F19" i="47"/>
  <c r="U13" i="46"/>
  <c r="V13" i="46" s="1"/>
  <c r="U16" i="46"/>
  <c r="V16" i="46" s="1"/>
  <c r="U22" i="46"/>
  <c r="V22" i="46" s="1"/>
  <c r="U11" i="46"/>
  <c r="V11" i="46" s="1"/>
  <c r="U18" i="46"/>
  <c r="V18" i="46" s="1"/>
  <c r="U15" i="46"/>
  <c r="V15" i="46" s="1"/>
  <c r="U19" i="46"/>
  <c r="V19" i="46" s="1"/>
  <c r="U23" i="46"/>
  <c r="V23" i="46" s="1"/>
  <c r="U17" i="46"/>
  <c r="V17" i="46" s="1"/>
  <c r="U14" i="46"/>
  <c r="V14" i="46" s="1"/>
  <c r="U21" i="46"/>
  <c r="V21" i="46" s="1"/>
  <c r="U20" i="46"/>
  <c r="V20" i="46" s="1"/>
  <c r="F27" i="46"/>
  <c r="F26" i="46"/>
  <c r="F25" i="46"/>
  <c r="F24" i="46"/>
  <c r="P37" i="38" l="1"/>
  <c r="P36" i="38"/>
  <c r="I16" i="45" l="1"/>
  <c r="S16" i="45"/>
  <c r="I17" i="45"/>
  <c r="S17" i="45"/>
  <c r="I18" i="45"/>
  <c r="S18" i="45"/>
  <c r="F18" i="45"/>
  <c r="F17" i="45"/>
  <c r="F16" i="45"/>
  <c r="I21" i="44"/>
  <c r="R21" i="44"/>
  <c r="S21" i="44"/>
  <c r="T21" i="44"/>
  <c r="I22" i="44"/>
  <c r="R22" i="44"/>
  <c r="S22" i="44"/>
  <c r="T22" i="44"/>
  <c r="I23" i="44"/>
  <c r="R23" i="44"/>
  <c r="S23" i="44"/>
  <c r="T23" i="44"/>
  <c r="F23" i="44"/>
  <c r="F22" i="44"/>
  <c r="F21" i="44"/>
  <c r="S36" i="38"/>
  <c r="S37" i="38"/>
  <c r="S38" i="38"/>
  <c r="F38" i="38"/>
  <c r="F37" i="38"/>
  <c r="F36" i="38"/>
  <c r="M16" i="45" l="1"/>
  <c r="M18" i="45"/>
  <c r="M17" i="45"/>
  <c r="M21" i="44"/>
  <c r="M23" i="44"/>
  <c r="M22" i="44"/>
  <c r="M36" i="38"/>
  <c r="M37" i="38"/>
  <c r="M38" i="38"/>
  <c r="T16" i="45"/>
  <c r="T17" i="45"/>
  <c r="T18" i="45"/>
  <c r="T36" i="38"/>
  <c r="T38" i="38"/>
  <c r="T37" i="38"/>
  <c r="N21" i="44"/>
  <c r="N22" i="44"/>
  <c r="N23" i="44"/>
  <c r="N17" i="45"/>
  <c r="N16" i="45"/>
  <c r="N18" i="45"/>
  <c r="N36" i="38"/>
  <c r="N37" i="38"/>
  <c r="N38" i="38"/>
  <c r="L17" i="45"/>
  <c r="L18" i="45"/>
  <c r="L16" i="45"/>
  <c r="L21" i="44"/>
  <c r="L23" i="44"/>
  <c r="L22" i="44"/>
  <c r="L37" i="38"/>
  <c r="L36" i="38"/>
  <c r="L38" i="38"/>
  <c r="J17" i="45"/>
  <c r="J16" i="45"/>
  <c r="J18" i="45"/>
  <c r="J22" i="44"/>
  <c r="J23" i="44"/>
  <c r="J21" i="44"/>
  <c r="O16" i="45"/>
  <c r="O17" i="45"/>
  <c r="O18" i="45"/>
  <c r="O22" i="44"/>
  <c r="O21" i="44"/>
  <c r="O23" i="44"/>
  <c r="O36" i="38"/>
  <c r="O37" i="38"/>
  <c r="O38" i="38"/>
  <c r="K16" i="45"/>
  <c r="K18" i="45"/>
  <c r="K17" i="45"/>
  <c r="K21" i="44"/>
  <c r="K22" i="44"/>
  <c r="K23" i="44"/>
  <c r="K36" i="38"/>
  <c r="K38" i="38"/>
  <c r="K37" i="38"/>
  <c r="Q21" i="44"/>
  <c r="Q23" i="44"/>
  <c r="Q22" i="44"/>
  <c r="Q16" i="45"/>
  <c r="Q17" i="45"/>
  <c r="Q18" i="45"/>
  <c r="P17" i="45"/>
  <c r="P16" i="45"/>
  <c r="P18" i="45"/>
  <c r="P22" i="44"/>
  <c r="P21" i="44"/>
  <c r="P23" i="44"/>
  <c r="R17" i="45"/>
  <c r="R18" i="45"/>
  <c r="R16" i="45"/>
  <c r="R37" i="38"/>
  <c r="R38" i="38"/>
  <c r="R36" i="38"/>
  <c r="H16" i="45"/>
  <c r="H18" i="45"/>
  <c r="H17" i="45"/>
  <c r="H21" i="44"/>
  <c r="H23" i="44"/>
  <c r="H22" i="44"/>
  <c r="G16" i="45"/>
  <c r="G18" i="45"/>
  <c r="G17" i="45"/>
  <c r="G22" i="44"/>
  <c r="G23" i="44"/>
  <c r="G21" i="44"/>
  <c r="I37" i="38"/>
  <c r="I36" i="38"/>
  <c r="I38" i="38"/>
  <c r="J37" i="38"/>
  <c r="J38" i="38"/>
  <c r="J36" i="38"/>
  <c r="P38" i="38"/>
  <c r="Q36" i="38"/>
  <c r="Q37" i="38"/>
  <c r="Q38" i="38"/>
  <c r="G37" i="38"/>
  <c r="G36" i="38"/>
  <c r="G38" i="38"/>
  <c r="H37" i="38"/>
  <c r="H38" i="38"/>
  <c r="H36" i="38"/>
  <c r="F22" i="45"/>
  <c r="F21" i="45"/>
  <c r="U15" i="45"/>
  <c r="U14" i="45"/>
  <c r="U13" i="45"/>
  <c r="U12" i="45"/>
  <c r="U11" i="45"/>
  <c r="F27" i="44"/>
  <c r="F26" i="44"/>
  <c r="U20" i="44"/>
  <c r="U19" i="44"/>
  <c r="U18" i="44"/>
  <c r="U17" i="44"/>
  <c r="U16" i="44"/>
  <c r="U15" i="44"/>
  <c r="U14" i="44"/>
  <c r="U13" i="44"/>
  <c r="U12" i="44"/>
  <c r="U11" i="44"/>
  <c r="U16" i="45" l="1"/>
  <c r="F19" i="45"/>
  <c r="F20" i="45"/>
  <c r="F24" i="44"/>
  <c r="U21" i="44"/>
  <c r="F25" i="44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11" i="38"/>
  <c r="F42" i="38" l="1"/>
  <c r="F41" i="38"/>
  <c r="F40" i="38" l="1"/>
  <c r="U36" i="38"/>
  <c r="F39" i="38"/>
</calcChain>
</file>

<file path=xl/sharedStrings.xml><?xml version="1.0" encoding="utf-8"?>
<sst xmlns="http://schemas.openxmlformats.org/spreadsheetml/2006/main" count="342" uniqueCount="86">
  <si>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</si>
  <si>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</si>
  <si>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</si>
  <si>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</si>
  <si>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</si>
  <si>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</si>
  <si>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</si>
  <si>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</si>
  <si>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</si>
  <si>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</si>
  <si>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</si>
  <si>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</si>
  <si>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</si>
  <si>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</si>
  <si>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</si>
  <si>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</si>
  <si>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</si>
  <si>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</si>
  <si>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</si>
  <si>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</si>
  <si>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</si>
  <si>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</si>
  <si>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</si>
  <si>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</si>
  <si>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</si>
  <si>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</si>
  <si>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</si>
  <si>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</si>
  <si>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</si>
  <si>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</si>
  <si>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</si>
  <si>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</si>
  <si>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За IІ семестр 2024-2025 н.р.</t>
  </si>
  <si>
    <t>Іноземна мова
Нічик Н.О.</t>
  </si>
  <si>
    <t>Математика
Ромчук В.В.</t>
  </si>
  <si>
    <t>Українська література
Юрченко О.Б.</t>
  </si>
  <si>
    <t>Українська мова
Юрченко О.Б.</t>
  </si>
  <si>
    <t>Фізична культура
Галеніна І.С.</t>
  </si>
  <si>
    <t>Ірина ГАЛЕНІНА</t>
  </si>
  <si>
    <t>Успішності студентів спеціальності 141 «Електроенергетика, електротехніка та електромеханіка»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</si>
  <si>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</si>
  <si>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</si>
  <si>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</si>
  <si>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</si>
  <si>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</si>
  <si>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</si>
  <si>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</si>
  <si>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</si>
  <si>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</si>
  <si>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</si>
  <si>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</si>
  <si>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</si>
  <si>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</si>
  <si>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</si>
  <si>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</si>
  <si>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</si>
  <si>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</si>
  <si>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</si>
  <si>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</si>
  <si>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</si>
  <si>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</si>
  <si>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</si>
  <si>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</si>
  <si>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</si>
  <si>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</si>
  <si>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Успішності студентів спеціальності 161 «Хімічні технології та інженерія»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</si>
  <si>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</si>
  <si>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</si>
  <si>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</si>
  <si>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</si>
  <si>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</si>
  <si>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</si>
  <si>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</si>
  <si>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</si>
  <si>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</si>
  <si>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</si>
  <si>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Успішності студентів спеціальності 241 «Готельно-ресторанна справа»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</si>
  <si>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</si>
  <si>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</si>
  <si>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</si>
  <si>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</si>
  <si>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</si>
  <si>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Група 24-4 курс І</t>
  </si>
  <si>
    <t>н/а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</si>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</sst>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6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1" xfId="5" applyFont="1" applyFill="1" applyAlignment="1">
      <alignment horizontal="center" vertical="center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Font="1" applyFill="1" applyBorder="1" applyAlignment="1">
      <alignment horizontal="center" vertical="center" wrapText="1"/>
    </xf>
    <xf numFmtId="0" fontId="3" fillId="7" borderId="2" xfId="5" applyFont="1" applyFill="1" applyBorder="1" applyAlignment="1">
      <alignment horizontal="left" vertical="center" wrapText="1"/>
    </xf>
    <xf numFmtId="0" fontId="3" fillId="7" borderId="2" xfId="5" applyFont="1" applyFill="1" applyBorder="1" applyAlignment="1" applyProtection="1">
      <alignment horizontal="center" vertical="center"/>
      <protection locked="0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center" vertical="center" wrapText="1"/>
    </xf>
    <xf numFmtId="2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2" fontId="3" fillId="5" borderId="2" xfId="5" applyNumberFormat="1" applyFont="1" applyFill="1" applyBorder="1" applyAlignment="1" applyProtection="1">
      <alignment horizontal="center" vertical="center"/>
      <protection locked="0"/>
    </xf>
    <xf numFmtId="2" fontId="3" fillId="5" borderId="2" xfId="5" applyNumberFormat="1" applyFont="1" applyFill="1" applyBorder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96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6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24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3" t="s">
        <v>39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40"/>
    </row>
    <row r="7" spans="1:23" s="5" customFormat="1" ht="15" customHeight="1" x14ac:dyDescent="0.25">
      <c r="A7" s="38"/>
      <c r="B7" s="33"/>
      <c r="C7" s="33" t="s">
        <v>32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40"/>
    </row>
    <row r="8" spans="1:23" s="5" customFormat="1" ht="15" customHeight="1" x14ac:dyDescent="0.25">
      <c r="A8" s="38"/>
      <c r="B8" s="33"/>
      <c r="C8" s="33" t="s">
        <v>82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8"/>
      <c r="G9" s="35" t="s">
        <v>26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33</v>
      </c>
      <c r="M10" s="16" t="s">
        <v>29</v>
      </c>
      <c r="N10" s="16" t="s">
        <v>7</v>
      </c>
      <c r="O10" s="16" t="s">
        <v>34</v>
      </c>
      <c r="P10" s="16" t="s">
        <v>35</v>
      </c>
      <c r="Q10" s="16" t="s">
        <v>36</v>
      </c>
      <c r="R10" s="16" t="s">
        <v>8</v>
      </c>
      <c r="S10" s="16" t="s">
        <v>37</v>
      </c>
      <c r="T10" s="16" t="s">
        <v>30</v>
      </c>
      <c r="U10" s="7" t="s">
        <v>9</v>
      </c>
      <c r="V10" s="33"/>
      <c r="W10" s="40"/>
    </row>
    <row r="11" spans="1:23" ht="15" customHeight="1" x14ac:dyDescent="0.25">
      <c r="A11" s="38"/>
      <c r="B11" s="33"/>
      <c r="C11" s="8" t="s">
        <v>10</v>
      </c>
      <c r="D11" s="8">
        <v>1</v>
      </c>
      <c r="E11" s="9" t="s">
        <v>40</v>
      </c>
      <c r="F11" s="10">
        <v>5</v>
      </c>
      <c r="G11" s="10">
        <v>6</v>
      </c>
      <c r="H11" s="10">
        <v>5</v>
      </c>
      <c r="I11" s="10">
        <v>5</v>
      </c>
      <c r="J11" s="10">
        <v>6</v>
      </c>
      <c r="K11" s="10">
        <v>4</v>
      </c>
      <c r="L11" s="10">
        <v>4</v>
      </c>
      <c r="M11" s="10" t="s">
        <v>83</v>
      </c>
      <c r="N11" s="10" t="s">
        <v>83</v>
      </c>
      <c r="O11" s="10" t="s">
        <v>83</v>
      </c>
      <c r="P11" s="21">
        <v>4</v>
      </c>
      <c r="Q11" s="21">
        <v>4</v>
      </c>
      <c r="R11" s="10">
        <v>4</v>
      </c>
      <c r="S11" s="10">
        <v>4</v>
      </c>
      <c r="T11" s="10" t="s">
        <v>83</v>
      </c>
      <c r="U11" s="2" t="str">
        <f>IF(COUNTIF(F11:T11,"=*")&gt;0,"-",IF(COUNTIF(F11:T11,"&lt;4")&gt;0,"-",(IFERROR(AVERAGE(F11:T11),""))))</f>
        <v>-</v>
      </c>
      <c r="V11" s="33"/>
      <c r="W11" s="40"/>
    </row>
    <row r="12" spans="1:23" ht="15" customHeight="1" x14ac:dyDescent="0.25">
      <c r="A12" s="38"/>
      <c r="B12" s="33"/>
      <c r="C12" s="8" t="s">
        <v>11</v>
      </c>
      <c r="D12" s="8">
        <v>2</v>
      </c>
      <c r="E12" s="9" t="s">
        <v>41</v>
      </c>
      <c r="F12" s="10">
        <v>10</v>
      </c>
      <c r="G12" s="10">
        <v>11</v>
      </c>
      <c r="H12" s="10">
        <v>10</v>
      </c>
      <c r="I12" s="10">
        <v>11</v>
      </c>
      <c r="J12" s="10">
        <v>10</v>
      </c>
      <c r="K12" s="10">
        <v>11</v>
      </c>
      <c r="L12" s="10">
        <v>10</v>
      </c>
      <c r="M12" s="10">
        <v>10</v>
      </c>
      <c r="N12" s="10">
        <v>10</v>
      </c>
      <c r="O12" s="10">
        <v>10</v>
      </c>
      <c r="P12" s="21">
        <v>10</v>
      </c>
      <c r="Q12" s="21">
        <v>10</v>
      </c>
      <c r="R12" s="10">
        <v>10</v>
      </c>
      <c r="S12" s="10">
        <v>11</v>
      </c>
      <c r="T12" s="10">
        <v>10</v>
      </c>
      <c r="U12" s="2">
        <f t="shared" ref="U12:U35" si="0">IF(COUNTIF(F12:T12,"=*")&gt;0,"-",IF(COUNTIF(F12:T12,"&lt;4")&gt;0,"-",(IFERROR(AVERAGE(F12:T12),""))))</f>
        <v>10.266666666666667</v>
      </c>
      <c r="V12" s="33"/>
      <c r="W12" s="40"/>
    </row>
    <row r="13" spans="1:23" ht="15" customHeight="1" x14ac:dyDescent="0.25">
      <c r="A13" s="38"/>
      <c r="B13" s="33"/>
      <c r="C13" s="8" t="s">
        <v>10</v>
      </c>
      <c r="D13" s="8">
        <v>3</v>
      </c>
      <c r="E13" s="9" t="s">
        <v>42</v>
      </c>
      <c r="F13" s="10">
        <v>8</v>
      </c>
      <c r="G13" s="10">
        <v>7</v>
      </c>
      <c r="H13" s="10">
        <v>6</v>
      </c>
      <c r="I13" s="10">
        <v>8</v>
      </c>
      <c r="J13" s="10">
        <v>5</v>
      </c>
      <c r="K13" s="10">
        <v>4</v>
      </c>
      <c r="L13" s="10">
        <v>4</v>
      </c>
      <c r="M13" s="10">
        <v>8</v>
      </c>
      <c r="N13" s="10">
        <v>7</v>
      </c>
      <c r="O13" s="10">
        <v>6</v>
      </c>
      <c r="P13" s="21">
        <v>7</v>
      </c>
      <c r="Q13" s="21">
        <v>7</v>
      </c>
      <c r="R13" s="10">
        <v>7</v>
      </c>
      <c r="S13" s="10">
        <v>7</v>
      </c>
      <c r="T13" s="10">
        <v>7</v>
      </c>
      <c r="U13" s="2">
        <f t="shared" si="0"/>
        <v>6.5333333333333332</v>
      </c>
      <c r="V13" s="33"/>
      <c r="W13" s="40"/>
    </row>
    <row r="14" spans="1:23" ht="15" customHeight="1" x14ac:dyDescent="0.25">
      <c r="A14" s="38"/>
      <c r="B14" s="33"/>
      <c r="C14" s="8" t="s">
        <v>10</v>
      </c>
      <c r="D14" s="8">
        <v>4</v>
      </c>
      <c r="E14" s="9" t="s">
        <v>43</v>
      </c>
      <c r="F14" s="10">
        <v>7</v>
      </c>
      <c r="G14" s="10">
        <v>7</v>
      </c>
      <c r="H14" s="10">
        <v>9</v>
      </c>
      <c r="I14" s="10">
        <v>7</v>
      </c>
      <c r="J14" s="10">
        <v>8</v>
      </c>
      <c r="K14" s="10">
        <v>5</v>
      </c>
      <c r="L14" s="10">
        <v>4</v>
      </c>
      <c r="M14" s="10">
        <v>6</v>
      </c>
      <c r="N14" s="10">
        <v>4</v>
      </c>
      <c r="O14" s="10">
        <v>4</v>
      </c>
      <c r="P14" s="21">
        <v>4</v>
      </c>
      <c r="Q14" s="21">
        <v>4</v>
      </c>
      <c r="R14" s="10">
        <v>4</v>
      </c>
      <c r="S14" s="10">
        <v>8</v>
      </c>
      <c r="T14" s="10">
        <v>4</v>
      </c>
      <c r="U14" s="2">
        <f t="shared" si="0"/>
        <v>5.666666666666667</v>
      </c>
      <c r="V14" s="33"/>
      <c r="W14" s="40"/>
    </row>
    <row r="15" spans="1:23" ht="15" customHeight="1" x14ac:dyDescent="0.25">
      <c r="A15" s="38"/>
      <c r="B15" s="33"/>
      <c r="C15" s="8" t="s">
        <v>11</v>
      </c>
      <c r="D15" s="8">
        <v>5</v>
      </c>
      <c r="E15" s="9" t="s">
        <v>44</v>
      </c>
      <c r="F15" s="10">
        <v>10</v>
      </c>
      <c r="G15" s="10">
        <v>11</v>
      </c>
      <c r="H15" s="10">
        <v>10</v>
      </c>
      <c r="I15" s="10">
        <v>11</v>
      </c>
      <c r="J15" s="10">
        <v>10</v>
      </c>
      <c r="K15" s="10">
        <v>11</v>
      </c>
      <c r="L15" s="10">
        <v>10</v>
      </c>
      <c r="M15" s="10">
        <v>10</v>
      </c>
      <c r="N15" s="10">
        <v>10</v>
      </c>
      <c r="O15" s="10">
        <v>10</v>
      </c>
      <c r="P15" s="21">
        <v>10</v>
      </c>
      <c r="Q15" s="21">
        <v>10</v>
      </c>
      <c r="R15" s="10">
        <v>10</v>
      </c>
      <c r="S15" s="10">
        <v>11</v>
      </c>
      <c r="T15" s="10">
        <v>10</v>
      </c>
      <c r="U15" s="2">
        <f t="shared" si="0"/>
        <v>10.266666666666667</v>
      </c>
      <c r="V15" s="33"/>
      <c r="W15" s="40"/>
    </row>
    <row r="16" spans="1:23" ht="15" customHeight="1" x14ac:dyDescent="0.25">
      <c r="A16" s="38"/>
      <c r="B16" s="33"/>
      <c r="C16" s="8" t="s">
        <v>10</v>
      </c>
      <c r="D16" s="8">
        <v>6</v>
      </c>
      <c r="E16" s="9" t="s">
        <v>45</v>
      </c>
      <c r="F16" s="10">
        <v>8</v>
      </c>
      <c r="G16" s="10">
        <v>10</v>
      </c>
      <c r="H16" s="10">
        <v>8</v>
      </c>
      <c r="I16" s="10">
        <v>9</v>
      </c>
      <c r="J16" s="10">
        <v>6</v>
      </c>
      <c r="K16" s="10">
        <v>7</v>
      </c>
      <c r="L16" s="10">
        <v>4</v>
      </c>
      <c r="M16" s="10">
        <v>4</v>
      </c>
      <c r="N16" s="10">
        <v>7</v>
      </c>
      <c r="O16" s="10">
        <v>6</v>
      </c>
      <c r="P16" s="21">
        <v>8</v>
      </c>
      <c r="Q16" s="21">
        <v>7</v>
      </c>
      <c r="R16" s="10">
        <v>6</v>
      </c>
      <c r="S16" s="10">
        <v>7</v>
      </c>
      <c r="T16" s="10">
        <v>6</v>
      </c>
      <c r="U16" s="2">
        <f t="shared" si="0"/>
        <v>6.8666666666666663</v>
      </c>
      <c r="V16" s="33"/>
      <c r="W16" s="40"/>
    </row>
    <row r="17" spans="1:23" ht="15" customHeight="1" x14ac:dyDescent="0.25">
      <c r="A17" s="38"/>
      <c r="B17" s="33"/>
      <c r="C17" s="8" t="s">
        <v>10</v>
      </c>
      <c r="D17" s="8">
        <v>7</v>
      </c>
      <c r="E17" s="9" t="s">
        <v>46</v>
      </c>
      <c r="F17" s="10">
        <v>7</v>
      </c>
      <c r="G17" s="10">
        <v>6</v>
      </c>
      <c r="H17" s="10">
        <v>9</v>
      </c>
      <c r="I17" s="10">
        <v>7</v>
      </c>
      <c r="J17" s="10">
        <v>9</v>
      </c>
      <c r="K17" s="10" t="s">
        <v>83</v>
      </c>
      <c r="L17" s="10">
        <v>5</v>
      </c>
      <c r="M17" s="10">
        <v>6</v>
      </c>
      <c r="N17" s="10" t="s">
        <v>83</v>
      </c>
      <c r="O17" s="10">
        <v>5</v>
      </c>
      <c r="P17" s="21">
        <v>4</v>
      </c>
      <c r="Q17" s="21">
        <v>4</v>
      </c>
      <c r="R17" s="10">
        <v>4</v>
      </c>
      <c r="S17" s="10">
        <v>8</v>
      </c>
      <c r="T17" s="10">
        <v>4</v>
      </c>
      <c r="U17" s="2" t="str">
        <f t="shared" si="0"/>
        <v>-</v>
      </c>
      <c r="V17" s="33"/>
      <c r="W17" s="40"/>
    </row>
    <row r="18" spans="1:23" ht="15" customHeight="1" x14ac:dyDescent="0.25">
      <c r="A18" s="38"/>
      <c r="B18" s="33"/>
      <c r="C18" s="8" t="s">
        <v>11</v>
      </c>
      <c r="D18" s="8">
        <v>8</v>
      </c>
      <c r="E18" s="9" t="s">
        <v>47</v>
      </c>
      <c r="F18" s="10">
        <v>10</v>
      </c>
      <c r="G18" s="10">
        <v>11</v>
      </c>
      <c r="H18" s="10">
        <v>10</v>
      </c>
      <c r="I18" s="10">
        <v>11</v>
      </c>
      <c r="J18" s="10">
        <v>10</v>
      </c>
      <c r="K18" s="10">
        <v>9</v>
      </c>
      <c r="L18" s="10">
        <v>9</v>
      </c>
      <c r="M18" s="10">
        <v>10</v>
      </c>
      <c r="N18" s="10">
        <v>7</v>
      </c>
      <c r="O18" s="10">
        <v>7</v>
      </c>
      <c r="P18" s="21">
        <v>11</v>
      </c>
      <c r="Q18" s="21">
        <v>8</v>
      </c>
      <c r="R18" s="10">
        <v>9</v>
      </c>
      <c r="S18" s="10">
        <v>10</v>
      </c>
      <c r="T18" s="10">
        <v>8</v>
      </c>
      <c r="U18" s="2">
        <f t="shared" si="0"/>
        <v>9.3333333333333339</v>
      </c>
      <c r="V18" s="33"/>
      <c r="W18" s="40"/>
    </row>
    <row r="19" spans="1:23" ht="15" customHeight="1" x14ac:dyDescent="0.25">
      <c r="A19" s="38"/>
      <c r="B19" s="33"/>
      <c r="C19" s="8" t="s">
        <v>11</v>
      </c>
      <c r="D19" s="8">
        <v>9</v>
      </c>
      <c r="E19" s="9" t="s">
        <v>48</v>
      </c>
      <c r="F19" s="10">
        <v>6</v>
      </c>
      <c r="G19" s="10">
        <v>8</v>
      </c>
      <c r="H19" s="10">
        <v>9</v>
      </c>
      <c r="I19" s="10">
        <v>6</v>
      </c>
      <c r="J19" s="10">
        <v>7</v>
      </c>
      <c r="K19" s="10">
        <v>8</v>
      </c>
      <c r="L19" s="10">
        <v>7</v>
      </c>
      <c r="M19" s="10">
        <v>8</v>
      </c>
      <c r="N19" s="10">
        <v>7</v>
      </c>
      <c r="O19" s="10">
        <v>4</v>
      </c>
      <c r="P19" s="21">
        <v>4</v>
      </c>
      <c r="Q19" s="21">
        <v>4</v>
      </c>
      <c r="R19" s="10">
        <v>4</v>
      </c>
      <c r="S19" s="10">
        <v>9</v>
      </c>
      <c r="T19" s="10">
        <v>4</v>
      </c>
      <c r="U19" s="2">
        <f t="shared" si="0"/>
        <v>6.333333333333333</v>
      </c>
      <c r="V19" s="33"/>
      <c r="W19" s="40"/>
    </row>
    <row r="20" spans="1:23" ht="15" customHeight="1" x14ac:dyDescent="0.25">
      <c r="A20" s="38"/>
      <c r="B20" s="33"/>
      <c r="C20" s="8" t="s">
        <v>11</v>
      </c>
      <c r="D20" s="8">
        <v>10</v>
      </c>
      <c r="E20" s="9" t="s">
        <v>49</v>
      </c>
      <c r="F20" s="10">
        <v>10</v>
      </c>
      <c r="G20" s="10">
        <v>11</v>
      </c>
      <c r="H20" s="10">
        <v>11</v>
      </c>
      <c r="I20" s="10">
        <v>10</v>
      </c>
      <c r="J20" s="10">
        <v>10</v>
      </c>
      <c r="K20" s="10">
        <v>10</v>
      </c>
      <c r="L20" s="10">
        <v>11</v>
      </c>
      <c r="M20" s="10">
        <v>11</v>
      </c>
      <c r="N20" s="10">
        <v>10</v>
      </c>
      <c r="O20" s="10">
        <v>10</v>
      </c>
      <c r="P20" s="21">
        <v>11</v>
      </c>
      <c r="Q20" s="21">
        <v>10</v>
      </c>
      <c r="R20" s="10">
        <v>11</v>
      </c>
      <c r="S20" s="10">
        <v>11</v>
      </c>
      <c r="T20" s="10">
        <v>10</v>
      </c>
      <c r="U20" s="2">
        <f t="shared" si="0"/>
        <v>10.466666666666667</v>
      </c>
      <c r="V20" s="33"/>
      <c r="W20" s="40"/>
    </row>
    <row r="21" spans="1:23" ht="15" customHeight="1" x14ac:dyDescent="0.25">
      <c r="A21" s="38"/>
      <c r="B21" s="33"/>
      <c r="C21" s="8" t="s">
        <v>10</v>
      </c>
      <c r="D21" s="8">
        <v>11</v>
      </c>
      <c r="E21" s="9" t="s">
        <v>50</v>
      </c>
      <c r="F21" s="10">
        <v>4</v>
      </c>
      <c r="G21" s="10">
        <v>6</v>
      </c>
      <c r="H21" s="10">
        <v>5</v>
      </c>
      <c r="I21" s="10">
        <v>4</v>
      </c>
      <c r="J21" s="10">
        <v>5</v>
      </c>
      <c r="K21" s="10">
        <v>4</v>
      </c>
      <c r="L21" s="10">
        <v>4</v>
      </c>
      <c r="M21" s="10">
        <v>8</v>
      </c>
      <c r="N21" s="10">
        <v>4</v>
      </c>
      <c r="O21" s="10">
        <v>6</v>
      </c>
      <c r="P21" s="21">
        <v>7</v>
      </c>
      <c r="Q21" s="21">
        <v>7</v>
      </c>
      <c r="R21" s="10">
        <v>4</v>
      </c>
      <c r="S21" s="10">
        <v>4</v>
      </c>
      <c r="T21" s="10">
        <v>7</v>
      </c>
      <c r="U21" s="2">
        <f t="shared" si="0"/>
        <v>5.2666666666666666</v>
      </c>
      <c r="V21" s="33"/>
      <c r="W21" s="40"/>
    </row>
    <row r="22" spans="1:23" ht="15" customHeight="1" x14ac:dyDescent="0.25">
      <c r="A22" s="38"/>
      <c r="B22" s="33"/>
      <c r="C22" s="8" t="s">
        <v>11</v>
      </c>
      <c r="D22" s="8">
        <v>12</v>
      </c>
      <c r="E22" s="9" t="s">
        <v>51</v>
      </c>
      <c r="F22" s="10">
        <v>9</v>
      </c>
      <c r="G22" s="10">
        <v>10</v>
      </c>
      <c r="H22" s="10">
        <v>10</v>
      </c>
      <c r="I22" s="10">
        <v>9</v>
      </c>
      <c r="J22" s="10">
        <v>9</v>
      </c>
      <c r="K22" s="10">
        <v>9</v>
      </c>
      <c r="L22" s="10">
        <v>8</v>
      </c>
      <c r="M22" s="10">
        <v>9</v>
      </c>
      <c r="N22" s="10">
        <v>8</v>
      </c>
      <c r="O22" s="10">
        <v>8</v>
      </c>
      <c r="P22" s="21">
        <v>9</v>
      </c>
      <c r="Q22" s="21">
        <v>8</v>
      </c>
      <c r="R22" s="10">
        <v>9</v>
      </c>
      <c r="S22" s="10">
        <v>10</v>
      </c>
      <c r="T22" s="10">
        <v>8</v>
      </c>
      <c r="U22" s="2">
        <f t="shared" si="0"/>
        <v>8.8666666666666671</v>
      </c>
      <c r="V22" s="33"/>
      <c r="W22" s="40"/>
    </row>
    <row r="23" spans="1:23" ht="15" customHeight="1" x14ac:dyDescent="0.25">
      <c r="A23" s="38"/>
      <c r="B23" s="33"/>
      <c r="C23" s="8" t="s">
        <v>10</v>
      </c>
      <c r="D23" s="8">
        <v>13</v>
      </c>
      <c r="E23" s="9" t="s">
        <v>52</v>
      </c>
      <c r="F23" s="10">
        <v>4</v>
      </c>
      <c r="G23" s="10">
        <v>5</v>
      </c>
      <c r="H23" s="10">
        <v>5</v>
      </c>
      <c r="I23" s="10">
        <v>4</v>
      </c>
      <c r="J23" s="10">
        <v>5</v>
      </c>
      <c r="K23" s="10" t="s">
        <v>83</v>
      </c>
      <c r="L23" s="10">
        <v>4</v>
      </c>
      <c r="M23" s="10" t="s">
        <v>83</v>
      </c>
      <c r="N23" s="10">
        <v>4</v>
      </c>
      <c r="O23" s="10">
        <v>7</v>
      </c>
      <c r="P23" s="21">
        <v>7</v>
      </c>
      <c r="Q23" s="21">
        <v>7</v>
      </c>
      <c r="R23" s="10" t="s">
        <v>83</v>
      </c>
      <c r="S23" s="10">
        <v>5</v>
      </c>
      <c r="T23" s="10" t="s">
        <v>83</v>
      </c>
      <c r="U23" s="2" t="str">
        <f t="shared" si="0"/>
        <v>-</v>
      </c>
      <c r="V23" s="33"/>
      <c r="W23" s="40"/>
    </row>
    <row r="24" spans="1:23" ht="15" customHeight="1" x14ac:dyDescent="0.25">
      <c r="A24" s="38"/>
      <c r="B24" s="33"/>
      <c r="C24" s="8" t="s">
        <v>11</v>
      </c>
      <c r="D24" s="8">
        <v>14</v>
      </c>
      <c r="E24" s="9" t="s">
        <v>53</v>
      </c>
      <c r="F24" s="10">
        <v>10</v>
      </c>
      <c r="G24" s="10">
        <v>10</v>
      </c>
      <c r="H24" s="10">
        <v>10</v>
      </c>
      <c r="I24" s="10">
        <v>11</v>
      </c>
      <c r="J24" s="10">
        <v>10</v>
      </c>
      <c r="K24" s="10">
        <v>8</v>
      </c>
      <c r="L24" s="10">
        <v>9</v>
      </c>
      <c r="M24" s="10">
        <v>10</v>
      </c>
      <c r="N24" s="10">
        <v>10</v>
      </c>
      <c r="O24" s="10">
        <v>9</v>
      </c>
      <c r="P24" s="21">
        <v>9</v>
      </c>
      <c r="Q24" s="21">
        <v>9</v>
      </c>
      <c r="R24" s="10">
        <v>8</v>
      </c>
      <c r="S24" s="10">
        <v>11</v>
      </c>
      <c r="T24" s="10">
        <v>9</v>
      </c>
      <c r="U24" s="2">
        <f t="shared" si="0"/>
        <v>9.5333333333333332</v>
      </c>
      <c r="V24" s="33"/>
      <c r="W24" s="40"/>
    </row>
    <row r="25" spans="1:23" ht="15" customHeight="1" x14ac:dyDescent="0.25">
      <c r="A25" s="38"/>
      <c r="B25" s="33"/>
      <c r="C25" s="8" t="s">
        <v>11</v>
      </c>
      <c r="D25" s="8">
        <v>15</v>
      </c>
      <c r="E25" s="9" t="s">
        <v>54</v>
      </c>
      <c r="F25" s="10">
        <v>4</v>
      </c>
      <c r="G25" s="10">
        <v>5</v>
      </c>
      <c r="H25" s="10">
        <v>5</v>
      </c>
      <c r="I25" s="10">
        <v>4</v>
      </c>
      <c r="J25" s="10">
        <v>5</v>
      </c>
      <c r="K25" s="10" t="s">
        <v>83</v>
      </c>
      <c r="L25" s="10">
        <v>4</v>
      </c>
      <c r="M25" s="10" t="s">
        <v>83</v>
      </c>
      <c r="N25" s="10" t="s">
        <v>83</v>
      </c>
      <c r="O25" s="10" t="s">
        <v>83</v>
      </c>
      <c r="P25" s="21">
        <v>4</v>
      </c>
      <c r="Q25" s="21">
        <v>4</v>
      </c>
      <c r="R25" s="10" t="s">
        <v>83</v>
      </c>
      <c r="S25" s="10">
        <v>4</v>
      </c>
      <c r="T25" s="10" t="s">
        <v>83</v>
      </c>
      <c r="U25" s="2" t="str">
        <f t="shared" si="0"/>
        <v>-</v>
      </c>
      <c r="V25" s="33"/>
      <c r="W25" s="40"/>
    </row>
    <row r="26" spans="1:23" ht="15" customHeight="1" x14ac:dyDescent="0.25">
      <c r="A26" s="38"/>
      <c r="B26" s="33"/>
      <c r="C26" s="8" t="s">
        <v>11</v>
      </c>
      <c r="D26" s="8">
        <v>16</v>
      </c>
      <c r="E26" s="9" t="s">
        <v>55</v>
      </c>
      <c r="F26" s="10">
        <v>9</v>
      </c>
      <c r="G26" s="10">
        <v>9</v>
      </c>
      <c r="H26" s="10">
        <v>10</v>
      </c>
      <c r="I26" s="10">
        <v>9</v>
      </c>
      <c r="J26" s="10">
        <v>8</v>
      </c>
      <c r="K26" s="10">
        <v>7</v>
      </c>
      <c r="L26" s="10">
        <v>7</v>
      </c>
      <c r="M26" s="10">
        <v>8</v>
      </c>
      <c r="N26" s="10">
        <v>6</v>
      </c>
      <c r="O26" s="10">
        <v>7</v>
      </c>
      <c r="P26" s="21">
        <v>6</v>
      </c>
      <c r="Q26" s="21">
        <v>7</v>
      </c>
      <c r="R26" s="10">
        <v>8</v>
      </c>
      <c r="S26" s="10">
        <v>7</v>
      </c>
      <c r="T26" s="10">
        <v>7</v>
      </c>
      <c r="U26" s="2">
        <f t="shared" si="0"/>
        <v>7.666666666666667</v>
      </c>
      <c r="V26" s="33"/>
      <c r="W26" s="40"/>
    </row>
    <row r="27" spans="1:23" ht="15" customHeight="1" x14ac:dyDescent="0.25">
      <c r="A27" s="38"/>
      <c r="B27" s="33"/>
      <c r="C27" s="8" t="s">
        <v>11</v>
      </c>
      <c r="D27" s="8">
        <v>17</v>
      </c>
      <c r="E27" s="9" t="s">
        <v>56</v>
      </c>
      <c r="F27" s="10">
        <v>8</v>
      </c>
      <c r="G27" s="10">
        <v>7</v>
      </c>
      <c r="H27" s="10">
        <v>9</v>
      </c>
      <c r="I27" s="10">
        <v>8</v>
      </c>
      <c r="J27" s="10">
        <v>5</v>
      </c>
      <c r="K27" s="10">
        <v>4</v>
      </c>
      <c r="L27" s="10">
        <v>7</v>
      </c>
      <c r="M27" s="10">
        <v>6</v>
      </c>
      <c r="N27" s="10">
        <v>4</v>
      </c>
      <c r="O27" s="10">
        <v>6</v>
      </c>
      <c r="P27" s="21">
        <v>4</v>
      </c>
      <c r="Q27" s="21">
        <v>4</v>
      </c>
      <c r="R27" s="10">
        <v>5</v>
      </c>
      <c r="S27" s="10">
        <v>8</v>
      </c>
      <c r="T27" s="10">
        <v>5</v>
      </c>
      <c r="U27" s="2">
        <f t="shared" si="0"/>
        <v>6</v>
      </c>
      <c r="V27" s="33"/>
      <c r="W27" s="40"/>
    </row>
    <row r="28" spans="1:23" ht="15" customHeight="1" x14ac:dyDescent="0.25">
      <c r="A28" s="38"/>
      <c r="B28" s="33"/>
      <c r="C28" s="8" t="s">
        <v>10</v>
      </c>
      <c r="D28" s="8">
        <v>18</v>
      </c>
      <c r="E28" s="9" t="s">
        <v>57</v>
      </c>
      <c r="F28" s="10">
        <v>4</v>
      </c>
      <c r="G28" s="10">
        <v>5</v>
      </c>
      <c r="H28" s="10">
        <v>5</v>
      </c>
      <c r="I28" s="10">
        <v>4</v>
      </c>
      <c r="J28" s="10">
        <v>5</v>
      </c>
      <c r="K28" s="10">
        <v>4</v>
      </c>
      <c r="L28" s="10">
        <v>4</v>
      </c>
      <c r="M28" s="10">
        <v>8</v>
      </c>
      <c r="N28" s="10">
        <v>4</v>
      </c>
      <c r="O28" s="10">
        <v>7</v>
      </c>
      <c r="P28" s="21">
        <v>7</v>
      </c>
      <c r="Q28" s="21">
        <v>7</v>
      </c>
      <c r="R28" s="10">
        <v>7</v>
      </c>
      <c r="S28" s="10">
        <v>7</v>
      </c>
      <c r="T28" s="10">
        <v>7</v>
      </c>
      <c r="U28" s="2">
        <f t="shared" si="0"/>
        <v>5.666666666666667</v>
      </c>
      <c r="V28" s="33"/>
      <c r="W28" s="40"/>
    </row>
    <row r="29" spans="1:23" ht="15" customHeight="1" x14ac:dyDescent="0.25">
      <c r="A29" s="38"/>
      <c r="B29" s="33"/>
      <c r="C29" s="8" t="s">
        <v>11</v>
      </c>
      <c r="D29" s="8">
        <v>19</v>
      </c>
      <c r="E29" s="9" t="s">
        <v>58</v>
      </c>
      <c r="F29" s="10">
        <v>10</v>
      </c>
      <c r="G29" s="10">
        <v>9</v>
      </c>
      <c r="H29" s="10">
        <v>9</v>
      </c>
      <c r="I29" s="10">
        <v>10</v>
      </c>
      <c r="J29" s="10">
        <v>9</v>
      </c>
      <c r="K29" s="10">
        <v>10</v>
      </c>
      <c r="L29" s="10">
        <v>10</v>
      </c>
      <c r="M29" s="10">
        <v>8</v>
      </c>
      <c r="N29" s="10">
        <v>8</v>
      </c>
      <c r="O29" s="10">
        <v>6</v>
      </c>
      <c r="P29" s="21">
        <v>10</v>
      </c>
      <c r="Q29" s="21">
        <v>9</v>
      </c>
      <c r="R29" s="10">
        <v>9</v>
      </c>
      <c r="S29" s="10">
        <v>10</v>
      </c>
      <c r="T29" s="10">
        <v>8</v>
      </c>
      <c r="U29" s="2">
        <f t="shared" si="0"/>
        <v>9</v>
      </c>
      <c r="V29" s="33"/>
      <c r="W29" s="40"/>
    </row>
    <row r="30" spans="1:23" ht="15" customHeight="1" x14ac:dyDescent="0.25">
      <c r="A30" s="38"/>
      <c r="B30" s="33"/>
      <c r="C30" s="8" t="s">
        <v>11</v>
      </c>
      <c r="D30" s="8">
        <v>20</v>
      </c>
      <c r="E30" s="9" t="s">
        <v>59</v>
      </c>
      <c r="F30" s="10">
        <v>10</v>
      </c>
      <c r="G30" s="10">
        <v>11</v>
      </c>
      <c r="H30" s="10">
        <v>10</v>
      </c>
      <c r="I30" s="10">
        <v>10</v>
      </c>
      <c r="J30" s="10">
        <v>9</v>
      </c>
      <c r="K30" s="10">
        <v>10</v>
      </c>
      <c r="L30" s="10">
        <v>10</v>
      </c>
      <c r="M30" s="10">
        <v>11</v>
      </c>
      <c r="N30" s="10">
        <v>10</v>
      </c>
      <c r="O30" s="10">
        <v>10</v>
      </c>
      <c r="P30" s="21">
        <v>11</v>
      </c>
      <c r="Q30" s="21">
        <v>10</v>
      </c>
      <c r="R30" s="10">
        <v>10</v>
      </c>
      <c r="S30" s="10">
        <v>10</v>
      </c>
      <c r="T30" s="10">
        <v>10</v>
      </c>
      <c r="U30" s="2">
        <f t="shared" si="0"/>
        <v>10.133333333333333</v>
      </c>
      <c r="V30" s="33"/>
      <c r="W30" s="40"/>
    </row>
    <row r="31" spans="1:23" ht="15" customHeight="1" x14ac:dyDescent="0.25">
      <c r="A31" s="38"/>
      <c r="B31" s="33"/>
      <c r="C31" s="8" t="s">
        <v>11</v>
      </c>
      <c r="D31" s="8">
        <v>21</v>
      </c>
      <c r="E31" s="9" t="s">
        <v>60</v>
      </c>
      <c r="F31" s="10">
        <v>8</v>
      </c>
      <c r="G31" s="10">
        <v>8</v>
      </c>
      <c r="H31" s="10">
        <v>10</v>
      </c>
      <c r="I31" s="10">
        <v>8</v>
      </c>
      <c r="J31" s="10">
        <v>9</v>
      </c>
      <c r="K31" s="10">
        <v>6</v>
      </c>
      <c r="L31" s="10">
        <v>4</v>
      </c>
      <c r="M31" s="10">
        <v>10</v>
      </c>
      <c r="N31" s="10">
        <v>6</v>
      </c>
      <c r="O31" s="10">
        <v>4</v>
      </c>
      <c r="P31" s="21">
        <v>6</v>
      </c>
      <c r="Q31" s="21">
        <v>4</v>
      </c>
      <c r="R31" s="10">
        <v>5</v>
      </c>
      <c r="S31" s="10">
        <v>10</v>
      </c>
      <c r="T31" s="10">
        <v>6</v>
      </c>
      <c r="U31" s="2">
        <f t="shared" si="0"/>
        <v>6.9333333333333336</v>
      </c>
      <c r="V31" s="33"/>
      <c r="W31" s="40"/>
    </row>
    <row r="32" spans="1:23" ht="15" customHeight="1" x14ac:dyDescent="0.25">
      <c r="A32" s="38"/>
      <c r="B32" s="33"/>
      <c r="C32" s="8" t="s">
        <v>10</v>
      </c>
      <c r="D32" s="8">
        <v>22</v>
      </c>
      <c r="E32" s="9" t="s">
        <v>61</v>
      </c>
      <c r="F32" s="10">
        <v>8</v>
      </c>
      <c r="G32" s="10">
        <v>5</v>
      </c>
      <c r="H32" s="10">
        <v>5</v>
      </c>
      <c r="I32" s="10">
        <v>8</v>
      </c>
      <c r="J32" s="10">
        <v>5</v>
      </c>
      <c r="K32" s="10">
        <v>7</v>
      </c>
      <c r="L32" s="10">
        <v>4</v>
      </c>
      <c r="M32" s="10">
        <v>7</v>
      </c>
      <c r="N32" s="10">
        <v>4</v>
      </c>
      <c r="O32" s="10">
        <v>7</v>
      </c>
      <c r="P32" s="21">
        <v>7</v>
      </c>
      <c r="Q32" s="21">
        <v>7</v>
      </c>
      <c r="R32" s="10">
        <v>4</v>
      </c>
      <c r="S32" s="10">
        <v>6</v>
      </c>
      <c r="T32" s="10">
        <v>7</v>
      </c>
      <c r="U32" s="2">
        <f t="shared" si="0"/>
        <v>6.0666666666666664</v>
      </c>
      <c r="V32" s="33"/>
      <c r="W32" s="40"/>
    </row>
    <row r="33" spans="1:23" ht="15" customHeight="1" x14ac:dyDescent="0.25">
      <c r="A33" s="38"/>
      <c r="B33" s="33"/>
      <c r="C33" s="8" t="s">
        <v>11</v>
      </c>
      <c r="D33" s="8">
        <v>23</v>
      </c>
      <c r="E33" s="9" t="s">
        <v>62</v>
      </c>
      <c r="F33" s="10">
        <v>8</v>
      </c>
      <c r="G33" s="10">
        <v>9</v>
      </c>
      <c r="H33" s="10">
        <v>8</v>
      </c>
      <c r="I33" s="10">
        <v>8</v>
      </c>
      <c r="J33" s="10">
        <v>8</v>
      </c>
      <c r="K33" s="10">
        <v>7</v>
      </c>
      <c r="L33" s="10">
        <v>7</v>
      </c>
      <c r="M33" s="10">
        <v>7</v>
      </c>
      <c r="N33" s="10">
        <v>7</v>
      </c>
      <c r="O33" s="10">
        <v>6</v>
      </c>
      <c r="P33" s="21">
        <v>8</v>
      </c>
      <c r="Q33" s="21">
        <v>7</v>
      </c>
      <c r="R33" s="10">
        <v>4</v>
      </c>
      <c r="S33" s="10">
        <v>9</v>
      </c>
      <c r="T33" s="10">
        <v>5</v>
      </c>
      <c r="U33" s="2">
        <f t="shared" si="0"/>
        <v>7.2</v>
      </c>
      <c r="V33" s="33"/>
      <c r="W33" s="40"/>
    </row>
    <row r="34" spans="1:23" ht="15" customHeight="1" x14ac:dyDescent="0.25">
      <c r="A34" s="38"/>
      <c r="B34" s="33"/>
      <c r="C34" s="8" t="s">
        <v>10</v>
      </c>
      <c r="D34" s="8">
        <v>24</v>
      </c>
      <c r="E34" s="9" t="s">
        <v>63</v>
      </c>
      <c r="F34" s="10">
        <v>6</v>
      </c>
      <c r="G34" s="10">
        <v>8</v>
      </c>
      <c r="H34" s="10">
        <v>8</v>
      </c>
      <c r="I34" s="10">
        <v>7</v>
      </c>
      <c r="J34" s="10">
        <v>8</v>
      </c>
      <c r="K34" s="10">
        <v>5</v>
      </c>
      <c r="L34" s="10">
        <v>6</v>
      </c>
      <c r="M34" s="10">
        <v>7</v>
      </c>
      <c r="N34" s="10">
        <v>8</v>
      </c>
      <c r="O34" s="10">
        <v>4</v>
      </c>
      <c r="P34" s="21">
        <v>5</v>
      </c>
      <c r="Q34" s="21">
        <v>5</v>
      </c>
      <c r="R34" s="10">
        <v>4</v>
      </c>
      <c r="S34" s="10">
        <v>9</v>
      </c>
      <c r="T34" s="10">
        <v>6</v>
      </c>
      <c r="U34" s="2">
        <f t="shared" si="0"/>
        <v>6.4</v>
      </c>
      <c r="V34" s="33"/>
      <c r="W34" s="40"/>
    </row>
    <row r="35" spans="1:23" ht="15" customHeight="1" x14ac:dyDescent="0.25">
      <c r="A35" s="38"/>
      <c r="B35" s="33"/>
      <c r="C35" s="8" t="s">
        <v>11</v>
      </c>
      <c r="D35" s="8">
        <v>25</v>
      </c>
      <c r="E35" s="9" t="s">
        <v>64</v>
      </c>
      <c r="F35" s="10">
        <v>4</v>
      </c>
      <c r="G35" s="10">
        <v>5</v>
      </c>
      <c r="H35" s="10">
        <v>5</v>
      </c>
      <c r="I35" s="10">
        <v>4</v>
      </c>
      <c r="J35" s="10">
        <v>5</v>
      </c>
      <c r="K35" s="10" t="s">
        <v>83</v>
      </c>
      <c r="L35" s="10">
        <v>4</v>
      </c>
      <c r="M35" s="10" t="s">
        <v>83</v>
      </c>
      <c r="N35" s="10" t="s">
        <v>83</v>
      </c>
      <c r="O35" s="10" t="s">
        <v>83</v>
      </c>
      <c r="P35" s="21">
        <v>4</v>
      </c>
      <c r="Q35" s="21">
        <v>4</v>
      </c>
      <c r="R35" s="10" t="s">
        <v>83</v>
      </c>
      <c r="S35" s="10">
        <v>4</v>
      </c>
      <c r="T35" s="10" t="s">
        <v>83</v>
      </c>
      <c r="U35" s="2" t="str">
        <f t="shared" si="0"/>
        <v>-</v>
      </c>
      <c r="V35" s="33"/>
      <c r="W35" s="40"/>
    </row>
    <row r="36" spans="1:23" ht="15" customHeight="1" x14ac:dyDescent="0.25">
      <c r="A36" s="38"/>
      <c r="B36" s="33"/>
      <c r="C36" s="11"/>
      <c r="D36" s="11"/>
      <c r="E36" s="9" t="s">
        <v>12</v>
      </c>
      <c r="F36" s="3">
        <f>IF(SUM(F11:F35)=0,"",SUM(F11:F35)/$D35)</f>
        <v>7.48</v>
      </c>
      <c r="G36" s="3">
        <f t="shared" ref="G36:T36" si="1">IF(SUM(G11:G35)=0,"",SUM(G11:G35)/$D35)</f>
        <v>8</v>
      </c>
      <c r="H36" s="3">
        <f t="shared" si="1"/>
        <v>8.0399999999999991</v>
      </c>
      <c r="I36" s="3">
        <f t="shared" si="1"/>
        <v>7.72</v>
      </c>
      <c r="J36" s="3">
        <f t="shared" si="1"/>
        <v>7.44</v>
      </c>
      <c r="K36" s="3">
        <f t="shared" si="1"/>
        <v>6</v>
      </c>
      <c r="L36" s="3">
        <f t="shared" si="1"/>
        <v>6.4</v>
      </c>
      <c r="M36" s="3">
        <f t="shared" si="1"/>
        <v>6.88</v>
      </c>
      <c r="N36" s="3">
        <f t="shared" si="1"/>
        <v>5.8</v>
      </c>
      <c r="O36" s="3">
        <f t="shared" si="1"/>
        <v>5.96</v>
      </c>
      <c r="P36" s="3">
        <f>IF(SUM(P11:P35)=0,"",SUM(P11:P35)/$D35)</f>
        <v>7.08</v>
      </c>
      <c r="Q36" s="3">
        <f t="shared" si="1"/>
        <v>6.68</v>
      </c>
      <c r="R36" s="3">
        <f t="shared" si="1"/>
        <v>5.84</v>
      </c>
      <c r="S36" s="3">
        <f t="shared" si="1"/>
        <v>8</v>
      </c>
      <c r="T36" s="3">
        <f t="shared" si="1"/>
        <v>5.92</v>
      </c>
      <c r="U36" s="2">
        <f>IFERROR(AVERAGE(F36:T36),"")</f>
        <v>6.8826666666666663</v>
      </c>
      <c r="V36" s="33"/>
      <c r="W36" s="40"/>
    </row>
    <row r="37" spans="1:23" ht="15" customHeight="1" x14ac:dyDescent="0.25">
      <c r="A37" s="38"/>
      <c r="B37" s="33"/>
      <c r="C37" s="11"/>
      <c r="D37" s="11"/>
      <c r="E37" s="9" t="s">
        <v>13</v>
      </c>
      <c r="F37" s="12">
        <f>IF(SUM(F11:F35)=0,"",IF(COUNTIF(F11:F35,"&gt;=4")=0,0,COUNTIF(F11:F35,"&gt;=4")/$D35*100))</f>
        <v>100</v>
      </c>
      <c r="G37" s="12">
        <f t="shared" ref="G37:T37" si="2">IF(SUM(G11:G35)=0,"",IF(COUNTIF(G11:G35,"&gt;=4")=0,0,COUNTIF(G11:G35,"&gt;=4")/$D35*100))</f>
        <v>100</v>
      </c>
      <c r="H37" s="12">
        <f t="shared" si="2"/>
        <v>100</v>
      </c>
      <c r="I37" s="12">
        <f t="shared" si="2"/>
        <v>100</v>
      </c>
      <c r="J37" s="12">
        <f t="shared" si="2"/>
        <v>100</v>
      </c>
      <c r="K37" s="12">
        <f t="shared" si="2"/>
        <v>84</v>
      </c>
      <c r="L37" s="12">
        <f t="shared" si="2"/>
        <v>100</v>
      </c>
      <c r="M37" s="12">
        <f t="shared" si="2"/>
        <v>84</v>
      </c>
      <c r="N37" s="12">
        <f t="shared" si="2"/>
        <v>84</v>
      </c>
      <c r="O37" s="12">
        <f t="shared" si="2"/>
        <v>88</v>
      </c>
      <c r="P37" s="12">
        <f>IF(SUM(P11:P35)=0,"",IF(COUNTIF(P11:P35,"&gt;=4")=0,0,COUNTIF(P11:P35,"&gt;=4")/$D35*100))</f>
        <v>100</v>
      </c>
      <c r="Q37" s="12">
        <f t="shared" si="2"/>
        <v>100</v>
      </c>
      <c r="R37" s="12">
        <f t="shared" si="2"/>
        <v>88</v>
      </c>
      <c r="S37" s="12">
        <f t="shared" si="2"/>
        <v>100</v>
      </c>
      <c r="T37" s="12">
        <f t="shared" si="2"/>
        <v>84</v>
      </c>
      <c r="U37" s="13"/>
      <c r="V37" s="33"/>
      <c r="W37" s="40"/>
    </row>
    <row r="38" spans="1:23" ht="15" customHeight="1" x14ac:dyDescent="0.25">
      <c r="A38" s="38"/>
      <c r="B38" s="33"/>
      <c r="C38" s="11"/>
      <c r="D38" s="11"/>
      <c r="E38" s="9" t="s">
        <v>14</v>
      </c>
      <c r="F38" s="12">
        <f>IF(SUM(F11:F35)=0,"",IF(COUNTIF(F11:F35,"&gt;=7")=0,0,COUNTIF(F11:F35,"&gt;=7")/$D35*100))</f>
        <v>68</v>
      </c>
      <c r="G38" s="12">
        <f t="shared" ref="G38:T38" si="3">IF(SUM(G11:G35)=0,"",IF(COUNTIF(G11:G35,"&gt;=7")=0,0,COUNTIF(G11:G35,"&gt;=7")/$D35*100))</f>
        <v>68</v>
      </c>
      <c r="H38" s="12">
        <f t="shared" si="3"/>
        <v>68</v>
      </c>
      <c r="I38" s="12">
        <f t="shared" si="3"/>
        <v>72</v>
      </c>
      <c r="J38" s="12">
        <f t="shared" si="3"/>
        <v>60</v>
      </c>
      <c r="K38" s="12">
        <f t="shared" si="3"/>
        <v>52</v>
      </c>
      <c r="L38" s="12">
        <f t="shared" si="3"/>
        <v>48</v>
      </c>
      <c r="M38" s="12">
        <f t="shared" si="3"/>
        <v>68</v>
      </c>
      <c r="N38" s="12">
        <f t="shared" si="3"/>
        <v>52</v>
      </c>
      <c r="O38" s="12">
        <f t="shared" si="3"/>
        <v>44</v>
      </c>
      <c r="P38" s="12">
        <f t="shared" si="3"/>
        <v>60</v>
      </c>
      <c r="Q38" s="12">
        <f t="shared" si="3"/>
        <v>64</v>
      </c>
      <c r="R38" s="12">
        <f t="shared" si="3"/>
        <v>44</v>
      </c>
      <c r="S38" s="12">
        <f t="shared" si="3"/>
        <v>76</v>
      </c>
      <c r="T38" s="12">
        <f t="shared" si="3"/>
        <v>52</v>
      </c>
      <c r="U38" s="11"/>
      <c r="V38" s="33"/>
      <c r="W38" s="40"/>
    </row>
    <row r="39" spans="1:23" ht="15" customHeight="1" x14ac:dyDescent="0.25">
      <c r="A39" s="38"/>
      <c r="B39" s="33"/>
      <c r="C39" s="11"/>
      <c r="D39" s="11"/>
      <c r="E39" s="9" t="s">
        <v>15</v>
      </c>
      <c r="F39" s="3">
        <f>IFERROR(AVERAGE(F37:T37),"")</f>
        <v>94.13333333333334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33"/>
      <c r="W39" s="40"/>
    </row>
    <row r="40" spans="1:23" ht="15" customHeight="1" x14ac:dyDescent="0.25">
      <c r="A40" s="38"/>
      <c r="B40" s="33"/>
      <c r="C40" s="11"/>
      <c r="D40" s="11"/>
      <c r="E40" s="9" t="s">
        <v>16</v>
      </c>
      <c r="F40" s="3">
        <f>IFERROR(AVERAGE(F38:T38),"")</f>
        <v>59.733333333333334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33"/>
      <c r="W40" s="40"/>
    </row>
    <row r="41" spans="1:23" ht="15" customHeight="1" x14ac:dyDescent="0.25">
      <c r="A41" s="38"/>
      <c r="B41" s="33"/>
      <c r="C41" s="11"/>
      <c r="D41" s="11"/>
      <c r="E41" s="9" t="s">
        <v>17</v>
      </c>
      <c r="F41" s="14">
        <f>IF(COUNTIF(C11:C35,"=Б")=0,IF(COUNTIF(C11:C35,"=К")=0,"",0),COUNTIF(C11:C35,"=Б"))</f>
        <v>15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33"/>
      <c r="W41" s="40"/>
    </row>
    <row r="42" spans="1:23" ht="15" customHeight="1" x14ac:dyDescent="0.25">
      <c r="A42" s="38"/>
      <c r="B42" s="33"/>
      <c r="C42" s="11"/>
      <c r="D42" s="11"/>
      <c r="E42" s="9" t="s">
        <v>18</v>
      </c>
      <c r="F42" s="14">
        <f>IF(COUNTIF(C11:C35,"=К")=0,IF(COUNTIF(C11:C35,"=Б")=0,"",0),COUNTIF(C11:C35,"=К"))</f>
        <v>10</v>
      </c>
      <c r="G42" s="11"/>
      <c r="H42" s="15" t="s">
        <v>19</v>
      </c>
      <c r="I42" s="11"/>
      <c r="J42" s="11"/>
      <c r="K42" s="11"/>
      <c r="L42" s="11"/>
      <c r="M42" s="11"/>
      <c r="N42" s="11"/>
      <c r="O42" s="17" t="s">
        <v>38</v>
      </c>
      <c r="P42" s="1"/>
      <c r="Q42" s="11"/>
      <c r="R42" s="11"/>
      <c r="S42" s="11"/>
      <c r="T42" s="11"/>
      <c r="U42" s="11"/>
      <c r="V42" s="33"/>
      <c r="W42" s="40"/>
    </row>
    <row r="43" spans="1:23" ht="15" customHeight="1" x14ac:dyDescent="0.25">
      <c r="A43" s="38"/>
      <c r="B43" s="33"/>
      <c r="C43" s="11"/>
      <c r="D43" s="11"/>
      <c r="E43" s="9" t="s">
        <v>20</v>
      </c>
      <c r="F43" s="14">
        <v>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33"/>
      <c r="W43" s="40"/>
    </row>
    <row r="44" spans="1:23" ht="15" customHeight="1" x14ac:dyDescent="0.25">
      <c r="A44" s="38"/>
      <c r="B44" s="33"/>
      <c r="C44" s="11"/>
      <c r="D44" s="11"/>
      <c r="E44" s="9" t="s">
        <v>21</v>
      </c>
      <c r="F44" s="14">
        <v>6</v>
      </c>
      <c r="G44" s="11"/>
      <c r="H44" s="15" t="s">
        <v>22</v>
      </c>
      <c r="I44" s="11"/>
      <c r="J44" s="11"/>
      <c r="K44" s="11"/>
      <c r="L44" s="11"/>
      <c r="M44" s="11"/>
      <c r="N44" s="11"/>
      <c r="O44" s="15" t="s">
        <v>23</v>
      </c>
      <c r="P44" s="15"/>
      <c r="Q44" s="11"/>
      <c r="R44" s="11"/>
      <c r="S44" s="11"/>
      <c r="T44" s="11"/>
      <c r="U44" s="11"/>
      <c r="V44" s="33"/>
      <c r="W44" s="40"/>
    </row>
    <row r="45" spans="1:23" ht="12" customHeight="1" thickBot="1" x14ac:dyDescent="0.3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40"/>
    </row>
    <row r="46" spans="1:23" ht="12" customHeight="1" x14ac:dyDescent="0.25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</sheetData>
  <sheetProtection selectLockedCells="1"/>
  <sortState ref="E11:E36">
    <sortCondition ref="E11"/>
  </sortState>
  <mergeCells count="18">
    <mergeCell ref="B1:V1"/>
    <mergeCell ref="A2:A45"/>
    <mergeCell ref="B2:V2"/>
    <mergeCell ref="W2:W45"/>
    <mergeCell ref="B3:B44"/>
    <mergeCell ref="C3:U3"/>
    <mergeCell ref="V3:V44"/>
    <mergeCell ref="C4:U4"/>
    <mergeCell ref="C5:U5"/>
    <mergeCell ref="C6:U6"/>
    <mergeCell ref="B45:V45"/>
    <mergeCell ref="B46:V46"/>
    <mergeCell ref="C7:U7"/>
    <mergeCell ref="C8:U8"/>
    <mergeCell ref="C9:C10"/>
    <mergeCell ref="D9:D10"/>
    <mergeCell ref="E9:E10"/>
    <mergeCell ref="G9:U9"/>
  </mergeCells>
  <conditionalFormatting sqref="C13 E13">
    <cfRule type="expression" dxfId="95" priority="15">
      <formula>$V$13&lt;&gt;""</formula>
    </cfRule>
  </conditionalFormatting>
  <conditionalFormatting sqref="C14 E14">
    <cfRule type="expression" dxfId="94" priority="16">
      <formula>$V$14&lt;&gt;""</formula>
    </cfRule>
  </conditionalFormatting>
  <conditionalFormatting sqref="C15 E15">
    <cfRule type="expression" dxfId="93" priority="17">
      <formula>$V$15&lt;&gt;""</formula>
    </cfRule>
  </conditionalFormatting>
  <conditionalFormatting sqref="C16 E16">
    <cfRule type="expression" dxfId="92" priority="18">
      <formula>$V$16&lt;&gt;""</formula>
    </cfRule>
  </conditionalFormatting>
  <conditionalFormatting sqref="C17 E17">
    <cfRule type="expression" dxfId="91" priority="19">
      <formula>$V$17&lt;&gt;""</formula>
    </cfRule>
  </conditionalFormatting>
  <conditionalFormatting sqref="C18 E18">
    <cfRule type="expression" dxfId="90" priority="20">
      <formula>$V$18&lt;&gt;""</formula>
    </cfRule>
  </conditionalFormatting>
  <conditionalFormatting sqref="C19 E19">
    <cfRule type="expression" dxfId="89" priority="21">
      <formula>$V$19&lt;&gt;""</formula>
    </cfRule>
  </conditionalFormatting>
  <conditionalFormatting sqref="C20 E20">
    <cfRule type="expression" dxfId="88" priority="22">
      <formula>$V$20&lt;&gt;""</formula>
    </cfRule>
  </conditionalFormatting>
  <conditionalFormatting sqref="C21 E21">
    <cfRule type="expression" dxfId="87" priority="23">
      <formula>$V$21&lt;&gt;""</formula>
    </cfRule>
  </conditionalFormatting>
  <conditionalFormatting sqref="C22 E22">
    <cfRule type="expression" dxfId="86" priority="24">
      <formula>$V$22&lt;&gt;""</formula>
    </cfRule>
  </conditionalFormatting>
  <conditionalFormatting sqref="C23 E23">
    <cfRule type="expression" dxfId="85" priority="25">
      <formula>$V$23&lt;&gt;""</formula>
    </cfRule>
  </conditionalFormatting>
  <conditionalFormatting sqref="C24 E24">
    <cfRule type="expression" dxfId="84" priority="26">
      <formula>$V$24&lt;&gt;""</formula>
    </cfRule>
  </conditionalFormatting>
  <conditionalFormatting sqref="C25 E25">
    <cfRule type="expression" dxfId="83" priority="27">
      <formula>$V$25&lt;&gt;""</formula>
    </cfRule>
  </conditionalFormatting>
  <conditionalFormatting sqref="C26 E26">
    <cfRule type="expression" dxfId="82" priority="29">
      <formula>$V$26&lt;&gt;""</formula>
    </cfRule>
  </conditionalFormatting>
  <conditionalFormatting sqref="C27 E27">
    <cfRule type="expression" dxfId="81" priority="30">
      <formula>$V$27&lt;&gt;""</formula>
    </cfRule>
  </conditionalFormatting>
  <conditionalFormatting sqref="C28 E28">
    <cfRule type="expression" dxfId="80" priority="31">
      <formula>$V$28&lt;&gt;""</formula>
    </cfRule>
  </conditionalFormatting>
  <conditionalFormatting sqref="C29 E29">
    <cfRule type="expression" dxfId="79" priority="32">
      <formula>$V$29&lt;&gt;""</formula>
    </cfRule>
  </conditionalFormatting>
  <conditionalFormatting sqref="C30 E30">
    <cfRule type="expression" dxfId="78" priority="33">
      <formula>$V$30&lt;&gt;""</formula>
    </cfRule>
  </conditionalFormatting>
  <conditionalFormatting sqref="C31 E31">
    <cfRule type="expression" dxfId="77" priority="34">
      <formula>$V$31&lt;&gt;""</formula>
    </cfRule>
  </conditionalFormatting>
  <conditionalFormatting sqref="C32 E32">
    <cfRule type="expression" dxfId="76" priority="35">
      <formula>$V$32&lt;&gt;""</formula>
    </cfRule>
  </conditionalFormatting>
  <conditionalFormatting sqref="C33 E33">
    <cfRule type="expression" dxfId="75" priority="36">
      <formula>$V$33&lt;&gt;""</formula>
    </cfRule>
  </conditionalFormatting>
  <conditionalFormatting sqref="D13 D15 D17 D19 D21 D23 D25 D27 D29 D31 D33 D35 C11:T11 F12:T35">
    <cfRule type="expression" dxfId="74" priority="13">
      <formula>$V$11&lt;&gt;""</formula>
    </cfRule>
  </conditionalFormatting>
  <conditionalFormatting sqref="C12:E12 D14 D16 D18 D20 D22 D24 D26 D28 D30 D32 D34">
    <cfRule type="expression" dxfId="73" priority="14">
      <formula>$V$12&lt;&gt;""</formula>
    </cfRule>
  </conditionalFormatting>
  <conditionalFormatting sqref="C34:C35 E34:E35">
    <cfRule type="expression" dxfId="72" priority="37">
      <formula>$V$34&lt;&gt;""</formula>
    </cfRule>
  </conditionalFormatting>
  <conditionalFormatting sqref="U11:U35">
    <cfRule type="expression" dxfId="71" priority="50">
      <formula>$V$35&lt;&gt;""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9"/>
  <sheetViews>
    <sheetView zoomScaleNormal="100" workbookViewId="0">
      <selection activeCell="U10" sqref="U10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4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40"/>
    </row>
    <row r="3" spans="1:24" s="5" customFormat="1" ht="35.1" customHeight="1" x14ac:dyDescent="0.3">
      <c r="A3" s="38"/>
      <c r="B3" s="33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33"/>
      <c r="X3" s="40"/>
    </row>
    <row r="4" spans="1:24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40"/>
    </row>
    <row r="5" spans="1:24" s="6" customFormat="1" ht="15" customHeight="1" x14ac:dyDescent="0.25">
      <c r="A5" s="38"/>
      <c r="B5" s="33"/>
      <c r="C5" s="43" t="s">
        <v>84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33"/>
      <c r="X5" s="40"/>
    </row>
    <row r="6" spans="1:24" s="5" customFormat="1" ht="15" customHeight="1" x14ac:dyDescent="0.25">
      <c r="A6" s="38"/>
      <c r="B6" s="33"/>
      <c r="C6" s="33" t="s">
        <v>39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40"/>
    </row>
    <row r="7" spans="1:24" s="5" customFormat="1" ht="15" customHeight="1" x14ac:dyDescent="0.25">
      <c r="A7" s="38"/>
      <c r="B7" s="33"/>
      <c r="C7" s="33" t="s">
        <v>32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40"/>
    </row>
    <row r="8" spans="1:24" s="5" customFormat="1" ht="15" customHeight="1" x14ac:dyDescent="0.25">
      <c r="A8" s="38"/>
      <c r="B8" s="33"/>
      <c r="C8" s="33" t="s">
        <v>82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0"/>
    </row>
    <row r="9" spans="1:24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19"/>
      <c r="G9" s="35" t="s">
        <v>26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3"/>
      <c r="X9" s="40"/>
    </row>
    <row r="10" spans="1:24" ht="125.1" customHeight="1" x14ac:dyDescent="0.25">
      <c r="A10" s="38"/>
      <c r="B10" s="33"/>
      <c r="C10" s="35"/>
      <c r="D10" s="35"/>
      <c r="E10" s="3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33</v>
      </c>
      <c r="M10" s="16" t="s">
        <v>29</v>
      </c>
      <c r="N10" s="16" t="s">
        <v>7</v>
      </c>
      <c r="O10" s="16" t="s">
        <v>34</v>
      </c>
      <c r="P10" s="16" t="s">
        <v>35</v>
      </c>
      <c r="Q10" s="16" t="s">
        <v>36</v>
      </c>
      <c r="R10" s="16" t="s">
        <v>8</v>
      </c>
      <c r="S10" s="16" t="s">
        <v>37</v>
      </c>
      <c r="T10" s="16" t="s">
        <v>30</v>
      </c>
      <c r="U10" s="7" t="s">
        <v>9</v>
      </c>
      <c r="V10" s="7" t="s">
        <v>85</v>
      </c>
      <c r="W10" s="33"/>
      <c r="X10" s="40"/>
    </row>
    <row r="11" spans="1:24" ht="15" customHeight="1" x14ac:dyDescent="0.25">
      <c r="A11" s="38"/>
      <c r="B11" s="33"/>
      <c r="C11" s="23" t="s">
        <v>11</v>
      </c>
      <c r="D11" s="23">
        <v>1</v>
      </c>
      <c r="E11" s="24" t="s">
        <v>49</v>
      </c>
      <c r="F11" s="25">
        <v>10</v>
      </c>
      <c r="G11" s="25">
        <v>11</v>
      </c>
      <c r="H11" s="25">
        <v>11</v>
      </c>
      <c r="I11" s="25">
        <v>10</v>
      </c>
      <c r="J11" s="25">
        <v>10</v>
      </c>
      <c r="K11" s="25">
        <v>10</v>
      </c>
      <c r="L11" s="25">
        <v>11</v>
      </c>
      <c r="M11" s="25">
        <v>11</v>
      </c>
      <c r="N11" s="25">
        <v>10</v>
      </c>
      <c r="O11" s="25">
        <v>10</v>
      </c>
      <c r="P11" s="26">
        <v>11</v>
      </c>
      <c r="Q11" s="26">
        <v>10</v>
      </c>
      <c r="R11" s="25">
        <v>11</v>
      </c>
      <c r="S11" s="25">
        <v>11</v>
      </c>
      <c r="T11" s="25">
        <v>10</v>
      </c>
      <c r="U11" s="30">
        <f t="shared" ref="U11:U23" si="0">IF(COUNTIF(F11:T11,"=*")&gt;0,"-",IF(COUNTIF(F11:T11,"&lt;4")&gt;0,"-",(IFERROR(AVERAGE(F11:T11),""))))</f>
        <v>10.466666666666667</v>
      </c>
      <c r="V11" s="27">
        <f t="shared" ref="V11:V23" si="1">U11/12*90</f>
        <v>78.5</v>
      </c>
      <c r="W11" s="33"/>
      <c r="X11" s="40"/>
    </row>
    <row r="12" spans="1:24" ht="15" customHeight="1" x14ac:dyDescent="0.25">
      <c r="A12" s="38"/>
      <c r="B12" s="33"/>
      <c r="C12" s="23" t="s">
        <v>11</v>
      </c>
      <c r="D12" s="23">
        <v>2</v>
      </c>
      <c r="E12" s="24" t="s">
        <v>41</v>
      </c>
      <c r="F12" s="25">
        <v>10</v>
      </c>
      <c r="G12" s="25">
        <v>11</v>
      </c>
      <c r="H12" s="25">
        <v>10</v>
      </c>
      <c r="I12" s="25">
        <v>11</v>
      </c>
      <c r="J12" s="25">
        <v>10</v>
      </c>
      <c r="K12" s="25">
        <v>11</v>
      </c>
      <c r="L12" s="25">
        <v>10</v>
      </c>
      <c r="M12" s="25">
        <v>10</v>
      </c>
      <c r="N12" s="25">
        <v>10</v>
      </c>
      <c r="O12" s="25">
        <v>10</v>
      </c>
      <c r="P12" s="26">
        <v>10</v>
      </c>
      <c r="Q12" s="26">
        <v>10</v>
      </c>
      <c r="R12" s="25">
        <v>10</v>
      </c>
      <c r="S12" s="25">
        <v>11</v>
      </c>
      <c r="T12" s="25">
        <v>10</v>
      </c>
      <c r="U12" s="30">
        <f t="shared" ref="U12" si="2">IF(COUNTIF(F12:T12,"=*")&gt;0,"-",IF(COUNTIF(F12:T12,"&lt;4")&gt;0,"-",(IFERROR(AVERAGE(F12:T12),""))))</f>
        <v>10.266666666666667</v>
      </c>
      <c r="V12" s="27">
        <f t="shared" si="1"/>
        <v>77</v>
      </c>
      <c r="W12" s="33"/>
      <c r="X12" s="40"/>
    </row>
    <row r="13" spans="1:24" ht="15" customHeight="1" x14ac:dyDescent="0.25">
      <c r="A13" s="38"/>
      <c r="B13" s="33"/>
      <c r="C13" s="23" t="s">
        <v>11</v>
      </c>
      <c r="D13" s="23">
        <v>3</v>
      </c>
      <c r="E13" s="24" t="s">
        <v>44</v>
      </c>
      <c r="F13" s="25">
        <v>10</v>
      </c>
      <c r="G13" s="25">
        <v>11</v>
      </c>
      <c r="H13" s="25">
        <v>10</v>
      </c>
      <c r="I13" s="25">
        <v>11</v>
      </c>
      <c r="J13" s="25">
        <v>10</v>
      </c>
      <c r="K13" s="25">
        <v>11</v>
      </c>
      <c r="L13" s="25">
        <v>10</v>
      </c>
      <c r="M13" s="25">
        <v>10</v>
      </c>
      <c r="N13" s="25">
        <v>10</v>
      </c>
      <c r="O13" s="25">
        <v>10</v>
      </c>
      <c r="P13" s="26">
        <v>10</v>
      </c>
      <c r="Q13" s="26">
        <v>10</v>
      </c>
      <c r="R13" s="25">
        <v>10</v>
      </c>
      <c r="S13" s="25">
        <v>11</v>
      </c>
      <c r="T13" s="25">
        <v>10</v>
      </c>
      <c r="U13" s="30">
        <f t="shared" si="0"/>
        <v>10.266666666666667</v>
      </c>
      <c r="V13" s="27">
        <f t="shared" si="1"/>
        <v>77</v>
      </c>
      <c r="W13" s="33"/>
      <c r="X13" s="40"/>
    </row>
    <row r="14" spans="1:24" ht="15" customHeight="1" x14ac:dyDescent="0.25">
      <c r="A14" s="38"/>
      <c r="B14" s="33"/>
      <c r="C14" s="23" t="s">
        <v>11</v>
      </c>
      <c r="D14" s="23">
        <v>4</v>
      </c>
      <c r="E14" s="24" t="s">
        <v>59</v>
      </c>
      <c r="F14" s="25">
        <v>10</v>
      </c>
      <c r="G14" s="25">
        <v>11</v>
      </c>
      <c r="H14" s="25">
        <v>10</v>
      </c>
      <c r="I14" s="25">
        <v>10</v>
      </c>
      <c r="J14" s="25">
        <v>9</v>
      </c>
      <c r="K14" s="25">
        <v>10</v>
      </c>
      <c r="L14" s="25">
        <v>10</v>
      </c>
      <c r="M14" s="25">
        <v>11</v>
      </c>
      <c r="N14" s="25">
        <v>10</v>
      </c>
      <c r="O14" s="25">
        <v>10</v>
      </c>
      <c r="P14" s="26">
        <v>11</v>
      </c>
      <c r="Q14" s="26">
        <v>10</v>
      </c>
      <c r="R14" s="25">
        <v>10</v>
      </c>
      <c r="S14" s="25">
        <v>10</v>
      </c>
      <c r="T14" s="25">
        <v>10</v>
      </c>
      <c r="U14" s="30">
        <f t="shared" si="0"/>
        <v>10.133333333333333</v>
      </c>
      <c r="V14" s="27">
        <f t="shared" si="1"/>
        <v>76</v>
      </c>
      <c r="W14" s="33"/>
      <c r="X14" s="40"/>
    </row>
    <row r="15" spans="1:24" ht="15" customHeight="1" x14ac:dyDescent="0.25">
      <c r="A15" s="38"/>
      <c r="B15" s="33"/>
      <c r="C15" s="23" t="s">
        <v>11</v>
      </c>
      <c r="D15" s="23">
        <v>5</v>
      </c>
      <c r="E15" s="24" t="s">
        <v>53</v>
      </c>
      <c r="F15" s="25">
        <v>10</v>
      </c>
      <c r="G15" s="25">
        <v>10</v>
      </c>
      <c r="H15" s="25">
        <v>10</v>
      </c>
      <c r="I15" s="25">
        <v>11</v>
      </c>
      <c r="J15" s="25">
        <v>10</v>
      </c>
      <c r="K15" s="25">
        <v>8</v>
      </c>
      <c r="L15" s="25">
        <v>9</v>
      </c>
      <c r="M15" s="25">
        <v>10</v>
      </c>
      <c r="N15" s="25">
        <v>10</v>
      </c>
      <c r="O15" s="25">
        <v>9</v>
      </c>
      <c r="P15" s="26">
        <v>9</v>
      </c>
      <c r="Q15" s="26">
        <v>9</v>
      </c>
      <c r="R15" s="25">
        <v>8</v>
      </c>
      <c r="S15" s="25">
        <v>11</v>
      </c>
      <c r="T15" s="25">
        <v>9</v>
      </c>
      <c r="U15" s="30">
        <f t="shared" si="0"/>
        <v>9.5333333333333332</v>
      </c>
      <c r="V15" s="27">
        <f t="shared" si="1"/>
        <v>71.5</v>
      </c>
      <c r="W15" s="33"/>
      <c r="X15" s="40"/>
    </row>
    <row r="16" spans="1:24" ht="15" customHeight="1" x14ac:dyDescent="0.25">
      <c r="A16" s="38"/>
      <c r="B16" s="33"/>
      <c r="C16" s="23" t="s">
        <v>11</v>
      </c>
      <c r="D16" s="23">
        <v>6</v>
      </c>
      <c r="E16" s="24" t="s">
        <v>47</v>
      </c>
      <c r="F16" s="25">
        <v>10</v>
      </c>
      <c r="G16" s="25">
        <v>11</v>
      </c>
      <c r="H16" s="25">
        <v>10</v>
      </c>
      <c r="I16" s="25">
        <v>11</v>
      </c>
      <c r="J16" s="25">
        <v>10</v>
      </c>
      <c r="K16" s="25">
        <v>9</v>
      </c>
      <c r="L16" s="25">
        <v>9</v>
      </c>
      <c r="M16" s="25">
        <v>10</v>
      </c>
      <c r="N16" s="25">
        <v>7</v>
      </c>
      <c r="O16" s="25">
        <v>7</v>
      </c>
      <c r="P16" s="26">
        <v>11</v>
      </c>
      <c r="Q16" s="26">
        <v>8</v>
      </c>
      <c r="R16" s="25">
        <v>9</v>
      </c>
      <c r="S16" s="25">
        <v>10</v>
      </c>
      <c r="T16" s="25">
        <v>8</v>
      </c>
      <c r="U16" s="30">
        <f t="shared" si="0"/>
        <v>9.3333333333333339</v>
      </c>
      <c r="V16" s="27">
        <f t="shared" si="1"/>
        <v>70</v>
      </c>
      <c r="W16" s="33"/>
      <c r="X16" s="40"/>
    </row>
    <row r="17" spans="1:24" ht="15" customHeight="1" x14ac:dyDescent="0.25">
      <c r="A17" s="38"/>
      <c r="B17" s="33"/>
      <c r="C17" s="19" t="s">
        <v>11</v>
      </c>
      <c r="D17" s="19">
        <v>7</v>
      </c>
      <c r="E17" s="9" t="s">
        <v>58</v>
      </c>
      <c r="F17" s="10">
        <v>10</v>
      </c>
      <c r="G17" s="10">
        <v>9</v>
      </c>
      <c r="H17" s="10">
        <v>9</v>
      </c>
      <c r="I17" s="10">
        <v>10</v>
      </c>
      <c r="J17" s="10">
        <v>9</v>
      </c>
      <c r="K17" s="10">
        <v>10</v>
      </c>
      <c r="L17" s="10">
        <v>10</v>
      </c>
      <c r="M17" s="10">
        <v>8</v>
      </c>
      <c r="N17" s="10">
        <v>8</v>
      </c>
      <c r="O17" s="10">
        <v>6</v>
      </c>
      <c r="P17" s="21">
        <v>10</v>
      </c>
      <c r="Q17" s="21">
        <v>9</v>
      </c>
      <c r="R17" s="10">
        <v>9</v>
      </c>
      <c r="S17" s="10">
        <v>10</v>
      </c>
      <c r="T17" s="10">
        <v>8</v>
      </c>
      <c r="U17" s="31">
        <f t="shared" si="0"/>
        <v>9</v>
      </c>
      <c r="V17" s="22">
        <f t="shared" si="1"/>
        <v>67.5</v>
      </c>
      <c r="W17" s="33"/>
      <c r="X17" s="40"/>
    </row>
    <row r="18" spans="1:24" ht="15" customHeight="1" x14ac:dyDescent="0.25">
      <c r="A18" s="38"/>
      <c r="B18" s="33"/>
      <c r="C18" s="19" t="s">
        <v>11</v>
      </c>
      <c r="D18" s="19">
        <v>8</v>
      </c>
      <c r="E18" s="9" t="s">
        <v>51</v>
      </c>
      <c r="F18" s="10">
        <v>9</v>
      </c>
      <c r="G18" s="10">
        <v>10</v>
      </c>
      <c r="H18" s="10">
        <v>10</v>
      </c>
      <c r="I18" s="10">
        <v>9</v>
      </c>
      <c r="J18" s="10">
        <v>9</v>
      </c>
      <c r="K18" s="10">
        <v>9</v>
      </c>
      <c r="L18" s="10">
        <v>8</v>
      </c>
      <c r="M18" s="10">
        <v>9</v>
      </c>
      <c r="N18" s="10">
        <v>8</v>
      </c>
      <c r="O18" s="10">
        <v>8</v>
      </c>
      <c r="P18" s="21">
        <v>9</v>
      </c>
      <c r="Q18" s="21">
        <v>8</v>
      </c>
      <c r="R18" s="10">
        <v>9</v>
      </c>
      <c r="S18" s="10">
        <v>10</v>
      </c>
      <c r="T18" s="10">
        <v>8</v>
      </c>
      <c r="U18" s="31">
        <f t="shared" si="0"/>
        <v>8.8666666666666671</v>
      </c>
      <c r="V18" s="22">
        <f t="shared" si="1"/>
        <v>66.5</v>
      </c>
      <c r="W18" s="33"/>
      <c r="X18" s="40"/>
    </row>
    <row r="19" spans="1:24" ht="15" customHeight="1" x14ac:dyDescent="0.25">
      <c r="A19" s="38"/>
      <c r="B19" s="33"/>
      <c r="C19" s="19" t="s">
        <v>11</v>
      </c>
      <c r="D19" s="19">
        <v>9</v>
      </c>
      <c r="E19" s="9" t="s">
        <v>55</v>
      </c>
      <c r="F19" s="10">
        <v>9</v>
      </c>
      <c r="G19" s="10">
        <v>9</v>
      </c>
      <c r="H19" s="10">
        <v>10</v>
      </c>
      <c r="I19" s="10">
        <v>9</v>
      </c>
      <c r="J19" s="10">
        <v>8</v>
      </c>
      <c r="K19" s="10">
        <v>7</v>
      </c>
      <c r="L19" s="10">
        <v>7</v>
      </c>
      <c r="M19" s="10">
        <v>8</v>
      </c>
      <c r="N19" s="10">
        <v>6</v>
      </c>
      <c r="O19" s="10">
        <v>7</v>
      </c>
      <c r="P19" s="21">
        <v>6</v>
      </c>
      <c r="Q19" s="21">
        <v>7</v>
      </c>
      <c r="R19" s="10">
        <v>8</v>
      </c>
      <c r="S19" s="10">
        <v>7</v>
      </c>
      <c r="T19" s="10">
        <v>7</v>
      </c>
      <c r="U19" s="31">
        <f t="shared" si="0"/>
        <v>7.666666666666667</v>
      </c>
      <c r="V19" s="22">
        <f t="shared" si="1"/>
        <v>57.500000000000007</v>
      </c>
      <c r="W19" s="33"/>
      <c r="X19" s="40"/>
    </row>
    <row r="20" spans="1:24" ht="15" customHeight="1" x14ac:dyDescent="0.25">
      <c r="A20" s="38"/>
      <c r="B20" s="33"/>
      <c r="C20" s="19" t="s">
        <v>11</v>
      </c>
      <c r="D20" s="19">
        <v>10</v>
      </c>
      <c r="E20" s="9" t="s">
        <v>62</v>
      </c>
      <c r="F20" s="10">
        <v>8</v>
      </c>
      <c r="G20" s="10">
        <v>9</v>
      </c>
      <c r="H20" s="10">
        <v>8</v>
      </c>
      <c r="I20" s="10">
        <v>8</v>
      </c>
      <c r="J20" s="10">
        <v>8</v>
      </c>
      <c r="K20" s="10">
        <v>7</v>
      </c>
      <c r="L20" s="10">
        <v>7</v>
      </c>
      <c r="M20" s="10">
        <v>7</v>
      </c>
      <c r="N20" s="10">
        <v>7</v>
      </c>
      <c r="O20" s="10">
        <v>6</v>
      </c>
      <c r="P20" s="21">
        <v>8</v>
      </c>
      <c r="Q20" s="21">
        <v>7</v>
      </c>
      <c r="R20" s="10">
        <v>4</v>
      </c>
      <c r="S20" s="10">
        <v>9</v>
      </c>
      <c r="T20" s="10">
        <v>5</v>
      </c>
      <c r="U20" s="31">
        <f t="shared" si="0"/>
        <v>7.2</v>
      </c>
      <c r="V20" s="22">
        <f t="shared" si="1"/>
        <v>54</v>
      </c>
      <c r="W20" s="33"/>
      <c r="X20" s="40"/>
    </row>
    <row r="21" spans="1:24" ht="15" customHeight="1" x14ac:dyDescent="0.25">
      <c r="A21" s="38"/>
      <c r="B21" s="33"/>
      <c r="C21" s="19" t="s">
        <v>11</v>
      </c>
      <c r="D21" s="19">
        <v>11</v>
      </c>
      <c r="E21" s="9" t="s">
        <v>60</v>
      </c>
      <c r="F21" s="10">
        <v>8</v>
      </c>
      <c r="G21" s="10">
        <v>8</v>
      </c>
      <c r="H21" s="10">
        <v>10</v>
      </c>
      <c r="I21" s="10">
        <v>8</v>
      </c>
      <c r="J21" s="10">
        <v>9</v>
      </c>
      <c r="K21" s="10">
        <v>6</v>
      </c>
      <c r="L21" s="10">
        <v>4</v>
      </c>
      <c r="M21" s="10">
        <v>10</v>
      </c>
      <c r="N21" s="10">
        <v>6</v>
      </c>
      <c r="O21" s="10">
        <v>4</v>
      </c>
      <c r="P21" s="21">
        <v>6</v>
      </c>
      <c r="Q21" s="21">
        <v>4</v>
      </c>
      <c r="R21" s="10">
        <v>5</v>
      </c>
      <c r="S21" s="10">
        <v>10</v>
      </c>
      <c r="T21" s="10">
        <v>6</v>
      </c>
      <c r="U21" s="31">
        <f t="shared" si="0"/>
        <v>6.9333333333333336</v>
      </c>
      <c r="V21" s="22">
        <f t="shared" si="1"/>
        <v>52.000000000000007</v>
      </c>
      <c r="W21" s="33"/>
      <c r="X21" s="40"/>
    </row>
    <row r="22" spans="1:24" ht="15" customHeight="1" x14ac:dyDescent="0.25">
      <c r="A22" s="38"/>
      <c r="B22" s="33"/>
      <c r="C22" s="19" t="s">
        <v>11</v>
      </c>
      <c r="D22" s="19">
        <v>12</v>
      </c>
      <c r="E22" s="9" t="s">
        <v>48</v>
      </c>
      <c r="F22" s="10">
        <v>6</v>
      </c>
      <c r="G22" s="10">
        <v>8</v>
      </c>
      <c r="H22" s="10">
        <v>9</v>
      </c>
      <c r="I22" s="10">
        <v>6</v>
      </c>
      <c r="J22" s="10">
        <v>7</v>
      </c>
      <c r="K22" s="10">
        <v>8</v>
      </c>
      <c r="L22" s="10">
        <v>7</v>
      </c>
      <c r="M22" s="10">
        <v>8</v>
      </c>
      <c r="N22" s="10">
        <v>7</v>
      </c>
      <c r="O22" s="10">
        <v>4</v>
      </c>
      <c r="P22" s="21">
        <v>4</v>
      </c>
      <c r="Q22" s="21">
        <v>4</v>
      </c>
      <c r="R22" s="10">
        <v>4</v>
      </c>
      <c r="S22" s="10">
        <v>9</v>
      </c>
      <c r="T22" s="10">
        <v>4</v>
      </c>
      <c r="U22" s="31">
        <f t="shared" si="0"/>
        <v>6.333333333333333</v>
      </c>
      <c r="V22" s="22">
        <f t="shared" si="1"/>
        <v>47.5</v>
      </c>
      <c r="W22" s="33"/>
      <c r="X22" s="40"/>
    </row>
    <row r="23" spans="1:24" ht="15" customHeight="1" x14ac:dyDescent="0.25">
      <c r="A23" s="38"/>
      <c r="B23" s="33"/>
      <c r="C23" s="19" t="s">
        <v>11</v>
      </c>
      <c r="D23" s="19">
        <v>13</v>
      </c>
      <c r="E23" s="9" t="s">
        <v>56</v>
      </c>
      <c r="F23" s="10">
        <v>8</v>
      </c>
      <c r="G23" s="10">
        <v>7</v>
      </c>
      <c r="H23" s="10">
        <v>9</v>
      </c>
      <c r="I23" s="10">
        <v>8</v>
      </c>
      <c r="J23" s="10">
        <v>5</v>
      </c>
      <c r="K23" s="10">
        <v>4</v>
      </c>
      <c r="L23" s="10">
        <v>7</v>
      </c>
      <c r="M23" s="10">
        <v>6</v>
      </c>
      <c r="N23" s="10">
        <v>4</v>
      </c>
      <c r="O23" s="10">
        <v>6</v>
      </c>
      <c r="P23" s="21">
        <v>4</v>
      </c>
      <c r="Q23" s="21">
        <v>4</v>
      </c>
      <c r="R23" s="10">
        <v>5</v>
      </c>
      <c r="S23" s="10">
        <v>8</v>
      </c>
      <c r="T23" s="10">
        <v>5</v>
      </c>
      <c r="U23" s="31">
        <f t="shared" si="0"/>
        <v>6</v>
      </c>
      <c r="V23" s="22">
        <f t="shared" si="1"/>
        <v>45</v>
      </c>
      <c r="W23" s="33"/>
      <c r="X23" s="40"/>
    </row>
    <row r="24" spans="1:24" ht="15" customHeight="1" x14ac:dyDescent="0.25">
      <c r="A24" s="38"/>
      <c r="B24" s="33"/>
      <c r="C24" s="20"/>
      <c r="D24" s="20"/>
      <c r="E24" s="9" t="s">
        <v>17</v>
      </c>
      <c r="F24" s="18">
        <f>'Зведена 141'!F41</f>
        <v>15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33"/>
      <c r="X24" s="40"/>
    </row>
    <row r="25" spans="1:24" ht="15" customHeight="1" x14ac:dyDescent="0.25">
      <c r="A25" s="38"/>
      <c r="B25" s="33"/>
      <c r="C25" s="20"/>
      <c r="D25" s="20"/>
      <c r="E25" s="9" t="s">
        <v>18</v>
      </c>
      <c r="F25" s="18">
        <f>'Зведена 141'!F42</f>
        <v>10</v>
      </c>
      <c r="G25" s="20"/>
      <c r="H25" s="15" t="s">
        <v>19</v>
      </c>
      <c r="I25" s="20"/>
      <c r="J25" s="20"/>
      <c r="K25" s="20"/>
      <c r="L25" s="20"/>
      <c r="M25" s="20"/>
      <c r="N25" s="20"/>
      <c r="O25" s="17" t="s">
        <v>38</v>
      </c>
      <c r="P25" s="1"/>
      <c r="Q25" s="20"/>
      <c r="R25" s="20"/>
      <c r="S25" s="20"/>
      <c r="T25" s="20"/>
      <c r="U25" s="20"/>
      <c r="V25" s="20"/>
      <c r="W25" s="33"/>
      <c r="X25" s="40"/>
    </row>
    <row r="26" spans="1:24" ht="15" customHeight="1" x14ac:dyDescent="0.25">
      <c r="A26" s="38"/>
      <c r="B26" s="33"/>
      <c r="C26" s="20"/>
      <c r="D26" s="20"/>
      <c r="E26" s="9" t="s">
        <v>20</v>
      </c>
      <c r="F26" s="18">
        <f>'Зведена 141'!F43</f>
        <v>1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33"/>
      <c r="X26" s="40"/>
    </row>
    <row r="27" spans="1:24" ht="15" customHeight="1" x14ac:dyDescent="0.25">
      <c r="A27" s="38"/>
      <c r="B27" s="33"/>
      <c r="C27" s="20"/>
      <c r="D27" s="20"/>
      <c r="E27" s="9" t="s">
        <v>21</v>
      </c>
      <c r="F27" s="18">
        <f>'Зведена 141'!F44</f>
        <v>6</v>
      </c>
      <c r="G27" s="20"/>
      <c r="H27" s="15" t="s">
        <v>22</v>
      </c>
      <c r="I27" s="20"/>
      <c r="J27" s="20"/>
      <c r="K27" s="20"/>
      <c r="L27" s="20"/>
      <c r="M27" s="20"/>
      <c r="N27" s="20"/>
      <c r="O27" s="15" t="s">
        <v>23</v>
      </c>
      <c r="P27" s="15"/>
      <c r="Q27" s="20"/>
      <c r="R27" s="20"/>
      <c r="S27" s="20"/>
      <c r="T27" s="20"/>
      <c r="U27" s="20"/>
      <c r="V27" s="20"/>
      <c r="W27" s="33"/>
      <c r="X27" s="40"/>
    </row>
    <row r="28" spans="1:24" ht="12" customHeight="1" thickBot="1" x14ac:dyDescent="0.3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40"/>
    </row>
    <row r="29" spans="1:24" ht="12" customHeight="1" x14ac:dyDescent="0.25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</sheetData>
  <sheetProtection selectLockedCells="1"/>
  <sortState ref="C11:V23">
    <sortCondition descending="1" ref="U11:U23"/>
  </sortState>
  <mergeCells count="18">
    <mergeCell ref="B1:W1"/>
    <mergeCell ref="A2:A28"/>
    <mergeCell ref="B2:W2"/>
    <mergeCell ref="X2:X28"/>
    <mergeCell ref="B3:B27"/>
    <mergeCell ref="C3:V3"/>
    <mergeCell ref="W3:W27"/>
    <mergeCell ref="C4:V4"/>
    <mergeCell ref="C5:V5"/>
    <mergeCell ref="C6:V6"/>
    <mergeCell ref="B28:W28"/>
    <mergeCell ref="B29:W29"/>
    <mergeCell ref="C7:V7"/>
    <mergeCell ref="C8:V8"/>
    <mergeCell ref="C9:C10"/>
    <mergeCell ref="D9:D10"/>
    <mergeCell ref="E9:E10"/>
    <mergeCell ref="G9:V9"/>
  </mergeCells>
  <conditionalFormatting sqref="E13">
    <cfRule type="expression" dxfId="70" priority="9">
      <formula>$W$13&lt;&gt;""</formula>
    </cfRule>
  </conditionalFormatting>
  <conditionalFormatting sqref="C13">
    <cfRule type="expression" dxfId="69" priority="10">
      <formula>$W$13&lt;&gt;""</formula>
    </cfRule>
  </conditionalFormatting>
  <conditionalFormatting sqref="E14">
    <cfRule type="expression" dxfId="68" priority="12">
      <formula>$W$14&lt;&gt;""</formula>
    </cfRule>
  </conditionalFormatting>
  <conditionalFormatting sqref="C14">
    <cfRule type="expression" dxfId="67" priority="14">
      <formula>$W$14&lt;&gt;""</formula>
    </cfRule>
  </conditionalFormatting>
  <conditionalFormatting sqref="C15 E15">
    <cfRule type="expression" dxfId="66" priority="15">
      <formula>$W$15&lt;&gt;""</formula>
    </cfRule>
  </conditionalFormatting>
  <conditionalFormatting sqref="E16">
    <cfRule type="expression" dxfId="65" priority="16">
      <formula>$W$16&lt;&gt;""</formula>
    </cfRule>
  </conditionalFormatting>
  <conditionalFormatting sqref="C16">
    <cfRule type="expression" dxfId="64" priority="17">
      <formula>$W$16&lt;&gt;""</formula>
    </cfRule>
  </conditionalFormatting>
  <conditionalFormatting sqref="E17">
    <cfRule type="expression" dxfId="63" priority="18">
      <formula>$W$17&lt;&gt;""</formula>
    </cfRule>
  </conditionalFormatting>
  <conditionalFormatting sqref="C17">
    <cfRule type="expression" dxfId="62" priority="19">
      <formula>$W$17&lt;&gt;""</formula>
    </cfRule>
  </conditionalFormatting>
  <conditionalFormatting sqref="E18">
    <cfRule type="expression" dxfId="61" priority="20">
      <formula>$W$18&lt;&gt;""</formula>
    </cfRule>
  </conditionalFormatting>
  <conditionalFormatting sqref="C18">
    <cfRule type="expression" dxfId="60" priority="21">
      <formula>$W$18&lt;&gt;""</formula>
    </cfRule>
  </conditionalFormatting>
  <conditionalFormatting sqref="C19 E19">
    <cfRule type="expression" dxfId="59" priority="22">
      <formula>$W$19&lt;&gt;""</formula>
    </cfRule>
  </conditionalFormatting>
  <conditionalFormatting sqref="E20">
    <cfRule type="expression" dxfId="58" priority="23">
      <formula>$W$20&lt;&gt;""</formula>
    </cfRule>
  </conditionalFormatting>
  <conditionalFormatting sqref="C20">
    <cfRule type="expression" dxfId="57" priority="24">
      <formula>$W$20&lt;&gt;""</formula>
    </cfRule>
  </conditionalFormatting>
  <conditionalFormatting sqref="C21 E21">
    <cfRule type="expression" dxfId="56" priority="25">
      <formula>$W$21&lt;&gt;""</formula>
    </cfRule>
  </conditionalFormatting>
  <conditionalFormatting sqref="C22 E22">
    <cfRule type="expression" dxfId="55" priority="26">
      <formula>$W$22&lt;&gt;""</formula>
    </cfRule>
  </conditionalFormatting>
  <conditionalFormatting sqref="E23">
    <cfRule type="expression" dxfId="54" priority="27">
      <formula>$W$23&lt;&gt;""</formula>
    </cfRule>
  </conditionalFormatting>
  <conditionalFormatting sqref="C23">
    <cfRule type="expression" dxfId="53" priority="28">
      <formula>$W$23&lt;&gt;""</formula>
    </cfRule>
  </conditionalFormatting>
  <conditionalFormatting sqref="F11:U11 D13:D14 D16 D18 D20 D22 F13:V23">
    <cfRule type="expression" dxfId="52" priority="6">
      <formula>#REF!&lt;&gt;""</formula>
    </cfRule>
  </conditionalFormatting>
  <conditionalFormatting sqref="C11:E11 D15 D17 D19 D21 D23">
    <cfRule type="expression" dxfId="51" priority="7">
      <formula>$W$11&lt;&gt;""</formula>
    </cfRule>
  </conditionalFormatting>
  <conditionalFormatting sqref="V11">
    <cfRule type="expression" dxfId="50" priority="60">
      <formula>#REF!&lt;&gt;""</formula>
    </cfRule>
  </conditionalFormatting>
  <conditionalFormatting sqref="F12:U12">
    <cfRule type="expression" dxfId="49" priority="1">
      <formula>#REF!&lt;&gt;""</formula>
    </cfRule>
  </conditionalFormatting>
  <conditionalFormatting sqref="D12">
    <cfRule type="expression" dxfId="48" priority="2">
      <formula>$W$11&lt;&gt;""</formula>
    </cfRule>
  </conditionalFormatting>
  <conditionalFormatting sqref="V12">
    <cfRule type="expression" dxfId="47" priority="5">
      <formula>#REF!&lt;&gt;""</formula>
    </cfRule>
  </conditionalFormatting>
  <conditionalFormatting sqref="E12 C12">
    <cfRule type="expression" dxfId="46" priority="9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1"/>
  <sheetViews>
    <sheetView topLeftCell="A4" zoomScaleNormal="100" workbookViewId="0">
      <selection activeCell="E12" sqref="E12:T12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24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3" t="s">
        <v>65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40"/>
    </row>
    <row r="7" spans="1:23" s="5" customFormat="1" ht="15" customHeight="1" x14ac:dyDescent="0.25">
      <c r="A7" s="38"/>
      <c r="B7" s="33"/>
      <c r="C7" s="33" t="s">
        <v>32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40"/>
    </row>
    <row r="8" spans="1:23" s="5" customFormat="1" ht="15" customHeight="1" x14ac:dyDescent="0.25">
      <c r="A8" s="38"/>
      <c r="B8" s="33"/>
      <c r="C8" s="33" t="s">
        <v>82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8"/>
      <c r="G9" s="35" t="s">
        <v>26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33</v>
      </c>
      <c r="M10" s="16" t="s">
        <v>29</v>
      </c>
      <c r="N10" s="16" t="s">
        <v>7</v>
      </c>
      <c r="O10" s="16" t="s">
        <v>34</v>
      </c>
      <c r="P10" s="16" t="s">
        <v>35</v>
      </c>
      <c r="Q10" s="16" t="s">
        <v>36</v>
      </c>
      <c r="R10" s="16" t="s">
        <v>8</v>
      </c>
      <c r="S10" s="16" t="s">
        <v>37</v>
      </c>
      <c r="T10" s="16" t="s">
        <v>30</v>
      </c>
      <c r="U10" s="7" t="s">
        <v>9</v>
      </c>
      <c r="V10" s="33"/>
      <c r="W10" s="40"/>
    </row>
    <row r="11" spans="1:23" ht="15" customHeight="1" x14ac:dyDescent="0.25">
      <c r="A11" s="38"/>
      <c r="B11" s="33"/>
      <c r="C11" s="8" t="s">
        <v>11</v>
      </c>
      <c r="D11" s="8">
        <v>1</v>
      </c>
      <c r="E11" s="9" t="s">
        <v>66</v>
      </c>
      <c r="F11" s="10">
        <v>9</v>
      </c>
      <c r="G11" s="10">
        <v>8</v>
      </c>
      <c r="H11" s="10">
        <v>9</v>
      </c>
      <c r="I11" s="10">
        <v>9</v>
      </c>
      <c r="J11" s="10">
        <v>9</v>
      </c>
      <c r="K11" s="10">
        <v>4</v>
      </c>
      <c r="L11" s="10">
        <v>4</v>
      </c>
      <c r="M11" s="10">
        <v>4</v>
      </c>
      <c r="N11" s="10">
        <v>5</v>
      </c>
      <c r="O11" s="10">
        <v>4</v>
      </c>
      <c r="P11" s="21">
        <v>4</v>
      </c>
      <c r="Q11" s="21">
        <v>4</v>
      </c>
      <c r="R11" s="10">
        <v>4</v>
      </c>
      <c r="S11" s="10">
        <v>5</v>
      </c>
      <c r="T11" s="10">
        <v>6</v>
      </c>
      <c r="U11" s="2">
        <f>IF(COUNTIF(F11:T11,"=*")&gt;0,"-",IF(COUNTIF(F11:T11,"&lt;4")&gt;0,"-",(IFERROR(AVERAGE(F11:T11),""))))</f>
        <v>5.8666666666666663</v>
      </c>
      <c r="V11" s="33"/>
      <c r="W11" s="40"/>
    </row>
    <row r="12" spans="1:23" ht="15" customHeight="1" x14ac:dyDescent="0.25">
      <c r="A12" s="38"/>
      <c r="B12" s="33"/>
      <c r="C12" s="8" t="s">
        <v>11</v>
      </c>
      <c r="D12" s="8">
        <v>2</v>
      </c>
      <c r="E12" s="9" t="s">
        <v>67</v>
      </c>
      <c r="F12" s="10">
        <v>8</v>
      </c>
      <c r="G12" s="10">
        <v>9</v>
      </c>
      <c r="H12" s="10">
        <v>10</v>
      </c>
      <c r="I12" s="10">
        <v>8</v>
      </c>
      <c r="J12" s="10">
        <v>9</v>
      </c>
      <c r="K12" s="10">
        <v>4</v>
      </c>
      <c r="L12" s="10">
        <v>8</v>
      </c>
      <c r="M12" s="10">
        <v>7</v>
      </c>
      <c r="N12" s="10">
        <v>6</v>
      </c>
      <c r="O12" s="10">
        <v>6</v>
      </c>
      <c r="P12" s="21">
        <v>7</v>
      </c>
      <c r="Q12" s="21">
        <v>7</v>
      </c>
      <c r="R12" s="10">
        <v>4</v>
      </c>
      <c r="S12" s="10">
        <v>10</v>
      </c>
      <c r="T12" s="10">
        <v>5</v>
      </c>
      <c r="U12" s="2">
        <f t="shared" ref="U12:U20" si="0">IF(COUNTIF(F12:T12,"=*")&gt;0,"-",IF(COUNTIF(F12:T12,"&lt;4")&gt;0,"-",(IFERROR(AVERAGE(F12:T12),""))))</f>
        <v>7.2</v>
      </c>
      <c r="V12" s="33"/>
      <c r="W12" s="40"/>
    </row>
    <row r="13" spans="1:23" ht="15" customHeight="1" x14ac:dyDescent="0.25">
      <c r="A13" s="38"/>
      <c r="B13" s="33"/>
      <c r="C13" s="8" t="s">
        <v>11</v>
      </c>
      <c r="D13" s="8">
        <v>3</v>
      </c>
      <c r="E13" s="9" t="s">
        <v>68</v>
      </c>
      <c r="F13" s="10">
        <v>9</v>
      </c>
      <c r="G13" s="10">
        <v>10</v>
      </c>
      <c r="H13" s="10">
        <v>9</v>
      </c>
      <c r="I13" s="10">
        <v>9</v>
      </c>
      <c r="J13" s="10">
        <v>8</v>
      </c>
      <c r="K13" s="10" t="s">
        <v>83</v>
      </c>
      <c r="L13" s="10">
        <v>9</v>
      </c>
      <c r="M13" s="10">
        <v>8</v>
      </c>
      <c r="N13" s="10">
        <v>7</v>
      </c>
      <c r="O13" s="10">
        <v>6</v>
      </c>
      <c r="P13" s="21">
        <v>7</v>
      </c>
      <c r="Q13" s="21">
        <v>5</v>
      </c>
      <c r="R13" s="10">
        <v>6</v>
      </c>
      <c r="S13" s="10">
        <v>10</v>
      </c>
      <c r="T13" s="10">
        <v>7</v>
      </c>
      <c r="U13" s="2" t="str">
        <f t="shared" si="0"/>
        <v>-</v>
      </c>
      <c r="V13" s="33"/>
      <c r="W13" s="40"/>
    </row>
    <row r="14" spans="1:23" ht="15" customHeight="1" x14ac:dyDescent="0.25">
      <c r="A14" s="38"/>
      <c r="B14" s="33"/>
      <c r="C14" s="8" t="s">
        <v>11</v>
      </c>
      <c r="D14" s="8">
        <v>4</v>
      </c>
      <c r="E14" s="9" t="s">
        <v>69</v>
      </c>
      <c r="F14" s="10">
        <v>4</v>
      </c>
      <c r="G14" s="10">
        <v>4</v>
      </c>
      <c r="H14" s="10">
        <v>5</v>
      </c>
      <c r="I14" s="10">
        <v>4</v>
      </c>
      <c r="J14" s="10">
        <v>4</v>
      </c>
      <c r="K14" s="10">
        <v>4</v>
      </c>
      <c r="L14" s="10">
        <v>4</v>
      </c>
      <c r="M14" s="10">
        <v>4</v>
      </c>
      <c r="N14" s="10">
        <v>5</v>
      </c>
      <c r="O14" s="10">
        <v>4</v>
      </c>
      <c r="P14" s="21">
        <v>4</v>
      </c>
      <c r="Q14" s="21">
        <v>4</v>
      </c>
      <c r="R14" s="10">
        <v>4</v>
      </c>
      <c r="S14" s="10">
        <v>4</v>
      </c>
      <c r="T14" s="10">
        <v>4</v>
      </c>
      <c r="U14" s="2">
        <f t="shared" si="0"/>
        <v>4.1333333333333337</v>
      </c>
      <c r="V14" s="33"/>
      <c r="W14" s="40"/>
    </row>
    <row r="15" spans="1:23" ht="15" customHeight="1" x14ac:dyDescent="0.25">
      <c r="A15" s="38"/>
      <c r="B15" s="33"/>
      <c r="C15" s="8" t="s">
        <v>11</v>
      </c>
      <c r="D15" s="8">
        <v>5</v>
      </c>
      <c r="E15" s="9" t="s">
        <v>70</v>
      </c>
      <c r="F15" s="10">
        <v>8</v>
      </c>
      <c r="G15" s="10">
        <v>7</v>
      </c>
      <c r="H15" s="10">
        <v>7</v>
      </c>
      <c r="I15" s="10">
        <v>8</v>
      </c>
      <c r="J15" s="10">
        <v>7</v>
      </c>
      <c r="K15" s="10">
        <v>4</v>
      </c>
      <c r="L15" s="10">
        <v>4</v>
      </c>
      <c r="M15" s="10">
        <v>10</v>
      </c>
      <c r="N15" s="10">
        <v>7</v>
      </c>
      <c r="O15" s="10">
        <v>7</v>
      </c>
      <c r="P15" s="21">
        <v>7</v>
      </c>
      <c r="Q15" s="21">
        <v>7</v>
      </c>
      <c r="R15" s="10">
        <v>4</v>
      </c>
      <c r="S15" s="10">
        <v>8</v>
      </c>
      <c r="T15" s="10">
        <v>7</v>
      </c>
      <c r="U15" s="2">
        <f t="shared" si="0"/>
        <v>6.8</v>
      </c>
      <c r="V15" s="33"/>
      <c r="W15" s="40"/>
    </row>
    <row r="16" spans="1:23" ht="15" customHeight="1" x14ac:dyDescent="0.25">
      <c r="A16" s="38"/>
      <c r="B16" s="33"/>
      <c r="C16" s="8" t="s">
        <v>11</v>
      </c>
      <c r="D16" s="8">
        <v>6</v>
      </c>
      <c r="E16" s="9" t="s">
        <v>71</v>
      </c>
      <c r="F16" s="10">
        <v>5</v>
      </c>
      <c r="G16" s="10">
        <v>7</v>
      </c>
      <c r="H16" s="10">
        <v>7</v>
      </c>
      <c r="I16" s="10">
        <v>5</v>
      </c>
      <c r="J16" s="10">
        <v>9</v>
      </c>
      <c r="K16" s="10" t="s">
        <v>83</v>
      </c>
      <c r="L16" s="10">
        <v>4</v>
      </c>
      <c r="M16" s="10">
        <v>4</v>
      </c>
      <c r="N16" s="10">
        <v>4</v>
      </c>
      <c r="O16" s="10">
        <v>6</v>
      </c>
      <c r="P16" s="21">
        <v>4</v>
      </c>
      <c r="Q16" s="21">
        <v>4</v>
      </c>
      <c r="R16" s="10">
        <v>4</v>
      </c>
      <c r="S16" s="10">
        <v>7</v>
      </c>
      <c r="T16" s="10">
        <v>4</v>
      </c>
      <c r="U16" s="2" t="str">
        <f t="shared" si="0"/>
        <v>-</v>
      </c>
      <c r="V16" s="33"/>
      <c r="W16" s="40"/>
    </row>
    <row r="17" spans="1:23" ht="15" customHeight="1" x14ac:dyDescent="0.25">
      <c r="A17" s="38"/>
      <c r="B17" s="33"/>
      <c r="C17" s="8" t="s">
        <v>11</v>
      </c>
      <c r="D17" s="8">
        <v>7</v>
      </c>
      <c r="E17" s="9" t="s">
        <v>72</v>
      </c>
      <c r="F17" s="10">
        <v>8</v>
      </c>
      <c r="G17" s="10">
        <v>10</v>
      </c>
      <c r="H17" s="10">
        <v>5</v>
      </c>
      <c r="I17" s="10">
        <v>8</v>
      </c>
      <c r="J17" s="10">
        <v>8</v>
      </c>
      <c r="K17" s="10">
        <v>4</v>
      </c>
      <c r="L17" s="10">
        <v>4</v>
      </c>
      <c r="M17" s="10">
        <v>6</v>
      </c>
      <c r="N17" s="10">
        <v>7</v>
      </c>
      <c r="O17" s="10">
        <v>6</v>
      </c>
      <c r="P17" s="21">
        <v>6</v>
      </c>
      <c r="Q17" s="21">
        <v>8</v>
      </c>
      <c r="R17" s="10">
        <v>5</v>
      </c>
      <c r="S17" s="10">
        <v>8</v>
      </c>
      <c r="T17" s="10">
        <v>5</v>
      </c>
      <c r="U17" s="2">
        <f t="shared" si="0"/>
        <v>6.5333333333333332</v>
      </c>
      <c r="V17" s="33"/>
      <c r="W17" s="40"/>
    </row>
    <row r="18" spans="1:23" ht="15" customHeight="1" x14ac:dyDescent="0.25">
      <c r="A18" s="38"/>
      <c r="B18" s="33"/>
      <c r="C18" s="8" t="s">
        <v>11</v>
      </c>
      <c r="D18" s="8">
        <v>8</v>
      </c>
      <c r="E18" s="9" t="s">
        <v>73</v>
      </c>
      <c r="F18" s="10">
        <v>7</v>
      </c>
      <c r="G18" s="10">
        <v>7</v>
      </c>
      <c r="H18" s="10">
        <v>9</v>
      </c>
      <c r="I18" s="10">
        <v>8</v>
      </c>
      <c r="J18" s="10">
        <v>10</v>
      </c>
      <c r="K18" s="10">
        <v>7</v>
      </c>
      <c r="L18" s="10">
        <v>4</v>
      </c>
      <c r="M18" s="10">
        <v>7</v>
      </c>
      <c r="N18" s="10">
        <v>5</v>
      </c>
      <c r="O18" s="10">
        <v>7</v>
      </c>
      <c r="P18" s="21">
        <v>7</v>
      </c>
      <c r="Q18" s="21">
        <v>7</v>
      </c>
      <c r="R18" s="10">
        <v>4</v>
      </c>
      <c r="S18" s="10">
        <v>8</v>
      </c>
      <c r="T18" s="10">
        <v>5</v>
      </c>
      <c r="U18" s="2">
        <f t="shared" si="0"/>
        <v>6.8</v>
      </c>
      <c r="V18" s="33"/>
      <c r="W18" s="40"/>
    </row>
    <row r="19" spans="1:23" ht="15" customHeight="1" x14ac:dyDescent="0.25">
      <c r="A19" s="38"/>
      <c r="B19" s="33"/>
      <c r="C19" s="8" t="s">
        <v>11</v>
      </c>
      <c r="D19" s="8">
        <v>9</v>
      </c>
      <c r="E19" s="9" t="s">
        <v>74</v>
      </c>
      <c r="F19" s="10">
        <v>8</v>
      </c>
      <c r="G19" s="10">
        <v>6</v>
      </c>
      <c r="H19" s="10">
        <v>7</v>
      </c>
      <c r="I19" s="10">
        <v>8</v>
      </c>
      <c r="J19" s="10">
        <v>5</v>
      </c>
      <c r="K19" s="10">
        <v>4</v>
      </c>
      <c r="L19" s="10">
        <v>4</v>
      </c>
      <c r="M19" s="10">
        <v>8</v>
      </c>
      <c r="N19" s="10">
        <v>4</v>
      </c>
      <c r="O19" s="10">
        <v>7</v>
      </c>
      <c r="P19" s="21">
        <v>7</v>
      </c>
      <c r="Q19" s="21">
        <v>7</v>
      </c>
      <c r="R19" s="10">
        <v>7</v>
      </c>
      <c r="S19" s="10">
        <v>6</v>
      </c>
      <c r="T19" s="10">
        <v>7</v>
      </c>
      <c r="U19" s="2">
        <f t="shared" si="0"/>
        <v>6.333333333333333</v>
      </c>
      <c r="V19" s="33"/>
      <c r="W19" s="40"/>
    </row>
    <row r="20" spans="1:23" ht="15" customHeight="1" x14ac:dyDescent="0.25">
      <c r="A20" s="38"/>
      <c r="B20" s="33"/>
      <c r="C20" s="8" t="s">
        <v>11</v>
      </c>
      <c r="D20" s="8">
        <v>10</v>
      </c>
      <c r="E20" s="9" t="s">
        <v>75</v>
      </c>
      <c r="F20" s="10">
        <v>4</v>
      </c>
      <c r="G20" s="10">
        <v>6</v>
      </c>
      <c r="H20" s="10">
        <v>5</v>
      </c>
      <c r="I20" s="10">
        <v>4</v>
      </c>
      <c r="J20" s="10">
        <v>5</v>
      </c>
      <c r="K20" s="10">
        <v>4</v>
      </c>
      <c r="L20" s="10">
        <v>4</v>
      </c>
      <c r="M20" s="10">
        <v>8</v>
      </c>
      <c r="N20" s="10">
        <v>4</v>
      </c>
      <c r="O20" s="10">
        <v>7</v>
      </c>
      <c r="P20" s="21">
        <v>7</v>
      </c>
      <c r="Q20" s="21">
        <v>7</v>
      </c>
      <c r="R20" s="10">
        <v>7</v>
      </c>
      <c r="S20" s="10">
        <v>6</v>
      </c>
      <c r="T20" s="10">
        <v>7</v>
      </c>
      <c r="U20" s="2">
        <f t="shared" si="0"/>
        <v>5.666666666666667</v>
      </c>
      <c r="V20" s="33"/>
      <c r="W20" s="40"/>
    </row>
    <row r="21" spans="1:23" ht="15" customHeight="1" x14ac:dyDescent="0.25">
      <c r="A21" s="38"/>
      <c r="B21" s="33"/>
      <c r="C21" s="11"/>
      <c r="D21" s="11"/>
      <c r="E21" s="9" t="s">
        <v>12</v>
      </c>
      <c r="F21" s="3">
        <f>IF(SUM(F11:F20)=0,"",SUM(F11:F20)/$D20)</f>
        <v>7</v>
      </c>
      <c r="G21" s="3">
        <f t="shared" ref="G21:T21" si="1">IF(SUM(G11:G20)=0,"",SUM(G11:G20)/$D20)</f>
        <v>7.4</v>
      </c>
      <c r="H21" s="3">
        <f t="shared" si="1"/>
        <v>7.3</v>
      </c>
      <c r="I21" s="3">
        <f t="shared" si="1"/>
        <v>7.1</v>
      </c>
      <c r="J21" s="3">
        <f t="shared" si="1"/>
        <v>7.4</v>
      </c>
      <c r="K21" s="3">
        <f t="shared" si="1"/>
        <v>3.5</v>
      </c>
      <c r="L21" s="3">
        <f t="shared" si="1"/>
        <v>4.9000000000000004</v>
      </c>
      <c r="M21" s="3">
        <f t="shared" si="1"/>
        <v>6.6</v>
      </c>
      <c r="N21" s="3">
        <f t="shared" si="1"/>
        <v>5.4</v>
      </c>
      <c r="O21" s="3">
        <f t="shared" si="1"/>
        <v>6</v>
      </c>
      <c r="P21" s="3">
        <f t="shared" si="1"/>
        <v>6</v>
      </c>
      <c r="Q21" s="3">
        <f t="shared" si="1"/>
        <v>6</v>
      </c>
      <c r="R21" s="3">
        <f t="shared" si="1"/>
        <v>4.9000000000000004</v>
      </c>
      <c r="S21" s="3">
        <f t="shared" si="1"/>
        <v>7.2</v>
      </c>
      <c r="T21" s="3">
        <f t="shared" si="1"/>
        <v>5.7</v>
      </c>
      <c r="U21" s="2">
        <f>IFERROR(AVERAGE(F21:T21),"")</f>
        <v>6.16</v>
      </c>
      <c r="V21" s="33"/>
      <c r="W21" s="40"/>
    </row>
    <row r="22" spans="1:23" ht="15" customHeight="1" x14ac:dyDescent="0.25">
      <c r="A22" s="38"/>
      <c r="B22" s="33"/>
      <c r="C22" s="11"/>
      <c r="D22" s="11"/>
      <c r="E22" s="9" t="s">
        <v>13</v>
      </c>
      <c r="F22" s="12">
        <f>IF(SUM(F11:F20)=0,"",IF(COUNTIF(F11:F20,"&gt;=4")=0,0,COUNTIF(F11:F20,"&gt;=4")/$D20*100))</f>
        <v>100</v>
      </c>
      <c r="G22" s="12">
        <f t="shared" ref="G22:T22" si="2">IF(SUM(G11:G20)=0,"",IF(COUNTIF(G11:G20,"&gt;=4")=0,0,COUNTIF(G11:G20,"&gt;=4")/$D20*100))</f>
        <v>100</v>
      </c>
      <c r="H22" s="12">
        <f t="shared" si="2"/>
        <v>100</v>
      </c>
      <c r="I22" s="12">
        <f t="shared" si="2"/>
        <v>100</v>
      </c>
      <c r="J22" s="12">
        <f t="shared" si="2"/>
        <v>100</v>
      </c>
      <c r="K22" s="12">
        <f t="shared" si="2"/>
        <v>80</v>
      </c>
      <c r="L22" s="12">
        <f t="shared" si="2"/>
        <v>100</v>
      </c>
      <c r="M22" s="12">
        <f t="shared" si="2"/>
        <v>100</v>
      </c>
      <c r="N22" s="12">
        <f t="shared" si="2"/>
        <v>100</v>
      </c>
      <c r="O22" s="12">
        <f t="shared" si="2"/>
        <v>100</v>
      </c>
      <c r="P22" s="12">
        <f t="shared" si="2"/>
        <v>100</v>
      </c>
      <c r="Q22" s="12">
        <f t="shared" si="2"/>
        <v>100</v>
      </c>
      <c r="R22" s="12">
        <f t="shared" si="2"/>
        <v>100</v>
      </c>
      <c r="S22" s="12">
        <f t="shared" si="2"/>
        <v>100</v>
      </c>
      <c r="T22" s="12">
        <f t="shared" si="2"/>
        <v>100</v>
      </c>
      <c r="U22" s="13"/>
      <c r="V22" s="33"/>
      <c r="W22" s="40"/>
    </row>
    <row r="23" spans="1:23" ht="15" customHeight="1" x14ac:dyDescent="0.25">
      <c r="A23" s="38"/>
      <c r="B23" s="33"/>
      <c r="C23" s="11"/>
      <c r="D23" s="11"/>
      <c r="E23" s="9" t="s">
        <v>14</v>
      </c>
      <c r="F23" s="12">
        <f>IF(SUM(F11:F20)=0,"",IF(COUNTIF(F11:F20,"&gt;=7")=0,0,COUNTIF(F11:F20,"&gt;=7")/$D20*100))</f>
        <v>70</v>
      </c>
      <c r="G23" s="12">
        <f t="shared" ref="G23:T23" si="3">IF(SUM(G11:G20)=0,"",IF(COUNTIF(G11:G20,"&gt;=7")=0,0,COUNTIF(G11:G20,"&gt;=7")/$D20*100))</f>
        <v>70</v>
      </c>
      <c r="H23" s="12">
        <f t="shared" si="3"/>
        <v>70</v>
      </c>
      <c r="I23" s="12">
        <f t="shared" si="3"/>
        <v>70</v>
      </c>
      <c r="J23" s="12">
        <f t="shared" si="3"/>
        <v>70</v>
      </c>
      <c r="K23" s="12">
        <f t="shared" si="3"/>
        <v>10</v>
      </c>
      <c r="L23" s="12">
        <f t="shared" si="3"/>
        <v>20</v>
      </c>
      <c r="M23" s="12">
        <f t="shared" si="3"/>
        <v>60</v>
      </c>
      <c r="N23" s="12">
        <f t="shared" si="3"/>
        <v>30</v>
      </c>
      <c r="O23" s="12">
        <f t="shared" si="3"/>
        <v>40</v>
      </c>
      <c r="P23" s="12">
        <f t="shared" si="3"/>
        <v>60</v>
      </c>
      <c r="Q23" s="12">
        <f t="shared" si="3"/>
        <v>60</v>
      </c>
      <c r="R23" s="12">
        <f t="shared" si="3"/>
        <v>20</v>
      </c>
      <c r="S23" s="12">
        <f t="shared" si="3"/>
        <v>60</v>
      </c>
      <c r="T23" s="12">
        <f t="shared" si="3"/>
        <v>40</v>
      </c>
      <c r="U23" s="11"/>
      <c r="V23" s="33"/>
      <c r="W23" s="40"/>
    </row>
    <row r="24" spans="1:23" ht="15" customHeight="1" x14ac:dyDescent="0.25">
      <c r="A24" s="38"/>
      <c r="B24" s="33"/>
      <c r="C24" s="11"/>
      <c r="D24" s="11"/>
      <c r="E24" s="9" t="s">
        <v>15</v>
      </c>
      <c r="F24" s="3">
        <f>IFERROR(AVERAGE(F22:T22),"")</f>
        <v>98.666666666666671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33"/>
      <c r="W24" s="40"/>
    </row>
    <row r="25" spans="1:23" ht="15" customHeight="1" x14ac:dyDescent="0.25">
      <c r="A25" s="38"/>
      <c r="B25" s="33"/>
      <c r="C25" s="11"/>
      <c r="D25" s="11"/>
      <c r="E25" s="9" t="s">
        <v>16</v>
      </c>
      <c r="F25" s="3">
        <f>IFERROR(AVERAGE(F23:T23),"")</f>
        <v>50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33"/>
      <c r="W25" s="40"/>
    </row>
    <row r="26" spans="1:23" ht="15" customHeight="1" x14ac:dyDescent="0.25">
      <c r="A26" s="38"/>
      <c r="B26" s="33"/>
      <c r="C26" s="11"/>
      <c r="D26" s="11"/>
      <c r="E26" s="9" t="s">
        <v>17</v>
      </c>
      <c r="F26" s="14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33"/>
      <c r="W26" s="40"/>
    </row>
    <row r="27" spans="1:23" ht="15" customHeight="1" x14ac:dyDescent="0.25">
      <c r="A27" s="38"/>
      <c r="B27" s="33"/>
      <c r="C27" s="11"/>
      <c r="D27" s="11"/>
      <c r="E27" s="9" t="s">
        <v>18</v>
      </c>
      <c r="F27" s="14">
        <f>IF(COUNTIF(C11:C20,"=К")=0,IF(COUNTIF(C11:C20,"=Б")=0,"",0),COUNTIF(C11:C20,"=К"))</f>
        <v>0</v>
      </c>
      <c r="G27" s="11"/>
      <c r="H27" s="15" t="s">
        <v>19</v>
      </c>
      <c r="I27" s="11"/>
      <c r="J27" s="11"/>
      <c r="K27" s="11"/>
      <c r="L27" s="11"/>
      <c r="M27" s="11"/>
      <c r="N27" s="11"/>
      <c r="O27" s="17" t="s">
        <v>38</v>
      </c>
      <c r="P27" s="1"/>
      <c r="Q27" s="11"/>
      <c r="R27" s="11"/>
      <c r="S27" s="11"/>
      <c r="T27" s="11"/>
      <c r="U27" s="11"/>
      <c r="V27" s="33"/>
      <c r="W27" s="40"/>
    </row>
    <row r="28" spans="1:23" ht="15" customHeight="1" x14ac:dyDescent="0.25">
      <c r="A28" s="38"/>
      <c r="B28" s="33"/>
      <c r="C28" s="11"/>
      <c r="D28" s="11"/>
      <c r="E28" s="9" t="s">
        <v>20</v>
      </c>
      <c r="F28" s="14">
        <v>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33"/>
      <c r="W28" s="40"/>
    </row>
    <row r="29" spans="1:23" ht="15" customHeight="1" x14ac:dyDescent="0.25">
      <c r="A29" s="38"/>
      <c r="B29" s="33"/>
      <c r="C29" s="11"/>
      <c r="D29" s="11"/>
      <c r="E29" s="9" t="s">
        <v>21</v>
      </c>
      <c r="F29" s="14">
        <v>4</v>
      </c>
      <c r="G29" s="11"/>
      <c r="H29" s="15" t="s">
        <v>22</v>
      </c>
      <c r="I29" s="11"/>
      <c r="J29" s="11"/>
      <c r="K29" s="11"/>
      <c r="L29" s="11"/>
      <c r="M29" s="11"/>
      <c r="N29" s="11"/>
      <c r="O29" s="15" t="s">
        <v>23</v>
      </c>
      <c r="P29" s="15"/>
      <c r="Q29" s="11"/>
      <c r="R29" s="11"/>
      <c r="S29" s="11"/>
      <c r="T29" s="11"/>
      <c r="U29" s="11"/>
      <c r="V29" s="33"/>
      <c r="W29" s="40"/>
    </row>
    <row r="30" spans="1:23" ht="12" customHeight="1" thickBot="1" x14ac:dyDescent="0.3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40"/>
    </row>
    <row r="31" spans="1:23" ht="12" customHeight="1" x14ac:dyDescent="0.25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</row>
  </sheetData>
  <sheetProtection selectLockedCells="1"/>
  <mergeCells count="18">
    <mergeCell ref="B31:V31"/>
    <mergeCell ref="C7:U7"/>
    <mergeCell ref="C8:U8"/>
    <mergeCell ref="C9:C10"/>
    <mergeCell ref="D9:D10"/>
    <mergeCell ref="E9:E10"/>
    <mergeCell ref="G9:U9"/>
    <mergeCell ref="B1:V1"/>
    <mergeCell ref="A2:A30"/>
    <mergeCell ref="B2:V2"/>
    <mergeCell ref="W2:W30"/>
    <mergeCell ref="B3:B29"/>
    <mergeCell ref="C3:U3"/>
    <mergeCell ref="V3:V29"/>
    <mergeCell ref="C4:U4"/>
    <mergeCell ref="C5:U5"/>
    <mergeCell ref="C6:U6"/>
    <mergeCell ref="B30:V30"/>
  </mergeCells>
  <conditionalFormatting sqref="C13 E13">
    <cfRule type="expression" dxfId="45" priority="13">
      <formula>$V$13&lt;&gt;""</formula>
    </cfRule>
  </conditionalFormatting>
  <conditionalFormatting sqref="C14 E14">
    <cfRule type="expression" dxfId="44" priority="14">
      <formula>$V$14&lt;&gt;""</formula>
    </cfRule>
  </conditionalFormatting>
  <conditionalFormatting sqref="C15 E15">
    <cfRule type="expression" dxfId="43" priority="15">
      <formula>$V$15&lt;&gt;""</formula>
    </cfRule>
  </conditionalFormatting>
  <conditionalFormatting sqref="C16 E16">
    <cfRule type="expression" dxfId="42" priority="16">
      <formula>$V$16&lt;&gt;""</formula>
    </cfRule>
  </conditionalFormatting>
  <conditionalFormatting sqref="C17 E17">
    <cfRule type="expression" dxfId="41" priority="17">
      <formula>$V$17&lt;&gt;""</formula>
    </cfRule>
  </conditionalFormatting>
  <conditionalFormatting sqref="C18 E18">
    <cfRule type="expression" dxfId="40" priority="18">
      <formula>$V$18&lt;&gt;""</formula>
    </cfRule>
  </conditionalFormatting>
  <conditionalFormatting sqref="C19 E19">
    <cfRule type="expression" dxfId="39" priority="19">
      <formula>$V$19&lt;&gt;""</formula>
    </cfRule>
  </conditionalFormatting>
  <conditionalFormatting sqref="C20">
    <cfRule type="expression" dxfId="38" priority="20">
      <formula>#REF!&lt;&gt;""</formula>
    </cfRule>
  </conditionalFormatting>
  <conditionalFormatting sqref="D13 D15 D17 D19 C11:T11 F12:T20">
    <cfRule type="expression" dxfId="37" priority="11">
      <formula>$V$11&lt;&gt;""</formula>
    </cfRule>
  </conditionalFormatting>
  <conditionalFormatting sqref="C12:E12 D14 D16 D18 D20">
    <cfRule type="expression" dxfId="36" priority="12">
      <formula>$V$12&lt;&gt;""</formula>
    </cfRule>
  </conditionalFormatting>
  <conditionalFormatting sqref="E20">
    <cfRule type="expression" dxfId="35" priority="10">
      <formula>#REF!&lt;&gt;""</formula>
    </cfRule>
  </conditionalFormatting>
  <conditionalFormatting sqref="U11:U20">
    <cfRule type="expression" dxfId="34" priority="52">
      <formula>$V$20&lt;&gt;""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4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4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40"/>
    </row>
    <row r="3" spans="1:24" s="5" customFormat="1" ht="35.1" customHeight="1" x14ac:dyDescent="0.3">
      <c r="A3" s="38"/>
      <c r="B3" s="33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33"/>
      <c r="X3" s="40"/>
    </row>
    <row r="4" spans="1:24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40"/>
    </row>
    <row r="5" spans="1:24" s="6" customFormat="1" ht="15" customHeight="1" x14ac:dyDescent="0.25">
      <c r="A5" s="38"/>
      <c r="B5" s="33"/>
      <c r="C5" s="43" t="s">
        <v>84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33"/>
      <c r="X5" s="40"/>
    </row>
    <row r="6" spans="1:24" s="5" customFormat="1" ht="15" customHeight="1" x14ac:dyDescent="0.25">
      <c r="A6" s="38"/>
      <c r="B6" s="33"/>
      <c r="C6" s="33" t="s">
        <v>65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40"/>
    </row>
    <row r="7" spans="1:24" s="5" customFormat="1" ht="15" customHeight="1" x14ac:dyDescent="0.25">
      <c r="A7" s="38"/>
      <c r="B7" s="33"/>
      <c r="C7" s="33" t="s">
        <v>32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40"/>
    </row>
    <row r="8" spans="1:24" s="5" customFormat="1" ht="15" customHeight="1" x14ac:dyDescent="0.25">
      <c r="A8" s="38"/>
      <c r="B8" s="33"/>
      <c r="C8" s="33" t="s">
        <v>82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0"/>
    </row>
    <row r="9" spans="1:24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19"/>
      <c r="G9" s="35" t="s">
        <v>26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3"/>
      <c r="X9" s="40"/>
    </row>
    <row r="10" spans="1:24" ht="125.1" customHeight="1" x14ac:dyDescent="0.25">
      <c r="A10" s="38"/>
      <c r="B10" s="33"/>
      <c r="C10" s="35"/>
      <c r="D10" s="35"/>
      <c r="E10" s="3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33</v>
      </c>
      <c r="M10" s="16" t="s">
        <v>29</v>
      </c>
      <c r="N10" s="16" t="s">
        <v>7</v>
      </c>
      <c r="O10" s="16" t="s">
        <v>34</v>
      </c>
      <c r="P10" s="16" t="s">
        <v>35</v>
      </c>
      <c r="Q10" s="16" t="s">
        <v>36</v>
      </c>
      <c r="R10" s="16" t="s">
        <v>8</v>
      </c>
      <c r="S10" s="16" t="s">
        <v>37</v>
      </c>
      <c r="T10" s="16" t="s">
        <v>30</v>
      </c>
      <c r="U10" s="7" t="s">
        <v>9</v>
      </c>
      <c r="V10" s="7" t="s">
        <v>85</v>
      </c>
      <c r="W10" s="33"/>
      <c r="X10" s="40"/>
    </row>
    <row r="11" spans="1:24" ht="15" customHeight="1" x14ac:dyDescent="0.25">
      <c r="A11" s="38"/>
      <c r="B11" s="33"/>
      <c r="C11" s="23" t="s">
        <v>11</v>
      </c>
      <c r="D11" s="23">
        <v>1</v>
      </c>
      <c r="E11" s="24" t="s">
        <v>67</v>
      </c>
      <c r="F11" s="25">
        <v>8</v>
      </c>
      <c r="G11" s="25">
        <v>9</v>
      </c>
      <c r="H11" s="25">
        <v>10</v>
      </c>
      <c r="I11" s="25">
        <v>8</v>
      </c>
      <c r="J11" s="25">
        <v>9</v>
      </c>
      <c r="K11" s="25">
        <v>4</v>
      </c>
      <c r="L11" s="25">
        <v>8</v>
      </c>
      <c r="M11" s="25">
        <v>7</v>
      </c>
      <c r="N11" s="25">
        <v>6</v>
      </c>
      <c r="O11" s="25">
        <v>6</v>
      </c>
      <c r="P11" s="26">
        <v>7</v>
      </c>
      <c r="Q11" s="26">
        <v>7</v>
      </c>
      <c r="R11" s="25">
        <v>4</v>
      </c>
      <c r="S11" s="25">
        <v>10</v>
      </c>
      <c r="T11" s="25">
        <v>5</v>
      </c>
      <c r="U11" s="30">
        <f t="shared" ref="U11:U18" si="0">IF(COUNTIF(F11:T11,"=*")&gt;0,"-",IF(COUNTIF(F11:T11,"&lt;4")&gt;0,"-",(IFERROR(AVERAGE(F11:T11),""))))</f>
        <v>7.2</v>
      </c>
      <c r="V11" s="27">
        <f t="shared" ref="V11:V18" si="1">U11/12*90</f>
        <v>54</v>
      </c>
      <c r="W11" s="33"/>
      <c r="X11" s="40"/>
    </row>
    <row r="12" spans="1:24" ht="15" customHeight="1" x14ac:dyDescent="0.25">
      <c r="A12" s="38"/>
      <c r="B12" s="33"/>
      <c r="C12" s="23" t="s">
        <v>11</v>
      </c>
      <c r="D12" s="23">
        <v>2</v>
      </c>
      <c r="E12" s="24" t="s">
        <v>70</v>
      </c>
      <c r="F12" s="25">
        <v>8</v>
      </c>
      <c r="G12" s="25">
        <v>7</v>
      </c>
      <c r="H12" s="25">
        <v>7</v>
      </c>
      <c r="I12" s="25">
        <v>8</v>
      </c>
      <c r="J12" s="25">
        <v>7</v>
      </c>
      <c r="K12" s="25">
        <v>4</v>
      </c>
      <c r="L12" s="25">
        <v>4</v>
      </c>
      <c r="M12" s="25">
        <v>10</v>
      </c>
      <c r="N12" s="25">
        <v>7</v>
      </c>
      <c r="O12" s="25">
        <v>7</v>
      </c>
      <c r="P12" s="26">
        <v>7</v>
      </c>
      <c r="Q12" s="26">
        <v>7</v>
      </c>
      <c r="R12" s="25">
        <v>4</v>
      </c>
      <c r="S12" s="25">
        <v>8</v>
      </c>
      <c r="T12" s="25">
        <v>7</v>
      </c>
      <c r="U12" s="30">
        <f t="shared" ref="U12" si="2">IF(COUNTIF(F12:T12,"=*")&gt;0,"-",IF(COUNTIF(F12:T12,"&lt;4")&gt;0,"-",(IFERROR(AVERAGE(F12:T12),""))))</f>
        <v>6.8</v>
      </c>
      <c r="V12" s="27">
        <f t="shared" ref="V12" si="3">U12/12*90</f>
        <v>51</v>
      </c>
      <c r="W12" s="33"/>
      <c r="X12" s="40"/>
    </row>
    <row r="13" spans="1:24" ht="15" customHeight="1" x14ac:dyDescent="0.25">
      <c r="A13" s="38"/>
      <c r="B13" s="33"/>
      <c r="C13" s="23" t="s">
        <v>11</v>
      </c>
      <c r="D13" s="23">
        <v>3</v>
      </c>
      <c r="E13" s="24" t="s">
        <v>73</v>
      </c>
      <c r="F13" s="25">
        <v>7</v>
      </c>
      <c r="G13" s="25">
        <v>7</v>
      </c>
      <c r="H13" s="25">
        <v>9</v>
      </c>
      <c r="I13" s="25">
        <v>8</v>
      </c>
      <c r="J13" s="25">
        <v>10</v>
      </c>
      <c r="K13" s="25">
        <v>7</v>
      </c>
      <c r="L13" s="25">
        <v>4</v>
      </c>
      <c r="M13" s="25">
        <v>7</v>
      </c>
      <c r="N13" s="25">
        <v>5</v>
      </c>
      <c r="O13" s="25">
        <v>7</v>
      </c>
      <c r="P13" s="26">
        <v>7</v>
      </c>
      <c r="Q13" s="26">
        <v>7</v>
      </c>
      <c r="R13" s="25">
        <v>4</v>
      </c>
      <c r="S13" s="25">
        <v>8</v>
      </c>
      <c r="T13" s="25">
        <v>5</v>
      </c>
      <c r="U13" s="30">
        <f t="shared" si="0"/>
        <v>6.8</v>
      </c>
      <c r="V13" s="27">
        <f t="shared" si="1"/>
        <v>51</v>
      </c>
      <c r="W13" s="33"/>
      <c r="X13" s="40"/>
    </row>
    <row r="14" spans="1:24" ht="15" customHeight="1" x14ac:dyDescent="0.25">
      <c r="A14" s="38"/>
      <c r="B14" s="33"/>
      <c r="C14" s="23" t="s">
        <v>11</v>
      </c>
      <c r="D14" s="23">
        <v>4</v>
      </c>
      <c r="E14" s="24" t="s">
        <v>72</v>
      </c>
      <c r="F14" s="25">
        <v>8</v>
      </c>
      <c r="G14" s="25">
        <v>10</v>
      </c>
      <c r="H14" s="25">
        <v>5</v>
      </c>
      <c r="I14" s="25">
        <v>8</v>
      </c>
      <c r="J14" s="25">
        <v>8</v>
      </c>
      <c r="K14" s="25">
        <v>4</v>
      </c>
      <c r="L14" s="25">
        <v>4</v>
      </c>
      <c r="M14" s="25">
        <v>6</v>
      </c>
      <c r="N14" s="25">
        <v>7</v>
      </c>
      <c r="O14" s="25">
        <v>6</v>
      </c>
      <c r="P14" s="26">
        <v>6</v>
      </c>
      <c r="Q14" s="26">
        <v>8</v>
      </c>
      <c r="R14" s="25">
        <v>5</v>
      </c>
      <c r="S14" s="25">
        <v>8</v>
      </c>
      <c r="T14" s="25">
        <v>5</v>
      </c>
      <c r="U14" s="30">
        <f t="shared" si="0"/>
        <v>6.5333333333333332</v>
      </c>
      <c r="V14" s="27">
        <f t="shared" si="1"/>
        <v>48.999999999999993</v>
      </c>
      <c r="W14" s="33"/>
      <c r="X14" s="40"/>
    </row>
    <row r="15" spans="1:24" ht="15" customHeight="1" x14ac:dyDescent="0.25">
      <c r="A15" s="38"/>
      <c r="B15" s="33"/>
      <c r="C15" s="29" t="s">
        <v>11</v>
      </c>
      <c r="D15" s="29">
        <v>5</v>
      </c>
      <c r="E15" s="9" t="s">
        <v>74</v>
      </c>
      <c r="F15" s="10">
        <v>8</v>
      </c>
      <c r="G15" s="10">
        <v>6</v>
      </c>
      <c r="H15" s="10">
        <v>7</v>
      </c>
      <c r="I15" s="10">
        <v>8</v>
      </c>
      <c r="J15" s="10">
        <v>5</v>
      </c>
      <c r="K15" s="10">
        <v>4</v>
      </c>
      <c r="L15" s="10">
        <v>4</v>
      </c>
      <c r="M15" s="10">
        <v>8</v>
      </c>
      <c r="N15" s="10">
        <v>4</v>
      </c>
      <c r="O15" s="10">
        <v>7</v>
      </c>
      <c r="P15" s="21">
        <v>7</v>
      </c>
      <c r="Q15" s="21">
        <v>7</v>
      </c>
      <c r="R15" s="10">
        <v>7</v>
      </c>
      <c r="S15" s="10">
        <v>6</v>
      </c>
      <c r="T15" s="10">
        <v>7</v>
      </c>
      <c r="U15" s="44">
        <f t="shared" si="0"/>
        <v>6.333333333333333</v>
      </c>
      <c r="V15" s="45">
        <f t="shared" si="1"/>
        <v>47.5</v>
      </c>
      <c r="W15" s="33"/>
      <c r="X15" s="40"/>
    </row>
    <row r="16" spans="1:24" ht="15" customHeight="1" x14ac:dyDescent="0.25">
      <c r="A16" s="38"/>
      <c r="B16" s="33"/>
      <c r="C16" s="28" t="s">
        <v>11</v>
      </c>
      <c r="D16" s="28">
        <v>6</v>
      </c>
      <c r="E16" s="9" t="s">
        <v>66</v>
      </c>
      <c r="F16" s="10">
        <v>9</v>
      </c>
      <c r="G16" s="10">
        <v>8</v>
      </c>
      <c r="H16" s="10">
        <v>9</v>
      </c>
      <c r="I16" s="10">
        <v>9</v>
      </c>
      <c r="J16" s="10">
        <v>9</v>
      </c>
      <c r="K16" s="10">
        <v>4</v>
      </c>
      <c r="L16" s="10">
        <v>4</v>
      </c>
      <c r="M16" s="10">
        <v>4</v>
      </c>
      <c r="N16" s="10">
        <v>5</v>
      </c>
      <c r="O16" s="10">
        <v>4</v>
      </c>
      <c r="P16" s="21">
        <v>4</v>
      </c>
      <c r="Q16" s="21">
        <v>4</v>
      </c>
      <c r="R16" s="10">
        <v>4</v>
      </c>
      <c r="S16" s="10">
        <v>5</v>
      </c>
      <c r="T16" s="10">
        <v>6</v>
      </c>
      <c r="U16" s="31">
        <f t="shared" ref="U16" si="4">IF(COUNTIF(F16:T16,"=*")&gt;0,"-",IF(COUNTIF(F16:T16,"&lt;4")&gt;0,"-",(IFERROR(AVERAGE(F16:T16),""))))</f>
        <v>5.8666666666666663</v>
      </c>
      <c r="V16" s="22">
        <f t="shared" ref="V16" si="5">U16/12*90</f>
        <v>44</v>
      </c>
      <c r="W16" s="33"/>
      <c r="X16" s="40"/>
    </row>
    <row r="17" spans="1:24" ht="15" customHeight="1" x14ac:dyDescent="0.25">
      <c r="A17" s="38"/>
      <c r="B17" s="33"/>
      <c r="C17" s="19" t="s">
        <v>11</v>
      </c>
      <c r="D17" s="19">
        <v>7</v>
      </c>
      <c r="E17" s="9" t="s">
        <v>75</v>
      </c>
      <c r="F17" s="10">
        <v>4</v>
      </c>
      <c r="G17" s="10">
        <v>6</v>
      </c>
      <c r="H17" s="10">
        <v>5</v>
      </c>
      <c r="I17" s="10">
        <v>4</v>
      </c>
      <c r="J17" s="10">
        <v>5</v>
      </c>
      <c r="K17" s="10">
        <v>4</v>
      </c>
      <c r="L17" s="10">
        <v>4</v>
      </c>
      <c r="M17" s="10">
        <v>8</v>
      </c>
      <c r="N17" s="10">
        <v>4</v>
      </c>
      <c r="O17" s="10">
        <v>7</v>
      </c>
      <c r="P17" s="21">
        <v>7</v>
      </c>
      <c r="Q17" s="21">
        <v>7</v>
      </c>
      <c r="R17" s="10">
        <v>7</v>
      </c>
      <c r="S17" s="10">
        <v>6</v>
      </c>
      <c r="T17" s="10">
        <v>7</v>
      </c>
      <c r="U17" s="31">
        <f t="shared" si="0"/>
        <v>5.666666666666667</v>
      </c>
      <c r="V17" s="22">
        <f t="shared" si="1"/>
        <v>42.500000000000007</v>
      </c>
      <c r="W17" s="33"/>
      <c r="X17" s="40"/>
    </row>
    <row r="18" spans="1:24" ht="15" customHeight="1" x14ac:dyDescent="0.25">
      <c r="A18" s="38"/>
      <c r="B18" s="33"/>
      <c r="C18" s="19" t="s">
        <v>11</v>
      </c>
      <c r="D18" s="28">
        <v>8</v>
      </c>
      <c r="E18" s="9" t="s">
        <v>69</v>
      </c>
      <c r="F18" s="10">
        <v>4</v>
      </c>
      <c r="G18" s="10">
        <v>4</v>
      </c>
      <c r="H18" s="10">
        <v>5</v>
      </c>
      <c r="I18" s="10">
        <v>4</v>
      </c>
      <c r="J18" s="10">
        <v>4</v>
      </c>
      <c r="K18" s="10">
        <v>4</v>
      </c>
      <c r="L18" s="10">
        <v>4</v>
      </c>
      <c r="M18" s="10">
        <v>4</v>
      </c>
      <c r="N18" s="10">
        <v>5</v>
      </c>
      <c r="O18" s="10">
        <v>4</v>
      </c>
      <c r="P18" s="21">
        <v>4</v>
      </c>
      <c r="Q18" s="21">
        <v>4</v>
      </c>
      <c r="R18" s="10">
        <v>4</v>
      </c>
      <c r="S18" s="10">
        <v>4</v>
      </c>
      <c r="T18" s="10">
        <v>4</v>
      </c>
      <c r="U18" s="31">
        <f t="shared" si="0"/>
        <v>4.1333333333333337</v>
      </c>
      <c r="V18" s="22">
        <f t="shared" si="1"/>
        <v>31.000000000000004</v>
      </c>
      <c r="W18" s="33"/>
      <c r="X18" s="40"/>
    </row>
    <row r="19" spans="1:24" ht="15" customHeight="1" x14ac:dyDescent="0.25">
      <c r="A19" s="38"/>
      <c r="B19" s="33"/>
      <c r="C19" s="20"/>
      <c r="D19" s="20"/>
      <c r="E19" s="9" t="s">
        <v>17</v>
      </c>
      <c r="F19" s="18">
        <f>'Зведена 161'!F26</f>
        <v>10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33"/>
      <c r="X19" s="40"/>
    </row>
    <row r="20" spans="1:24" ht="15" customHeight="1" x14ac:dyDescent="0.25">
      <c r="A20" s="38"/>
      <c r="B20" s="33"/>
      <c r="C20" s="20"/>
      <c r="D20" s="20"/>
      <c r="E20" s="9" t="s">
        <v>18</v>
      </c>
      <c r="F20" s="18">
        <f>'Зведена 161'!F27</f>
        <v>0</v>
      </c>
      <c r="G20" s="20"/>
      <c r="H20" s="15" t="s">
        <v>19</v>
      </c>
      <c r="I20" s="20"/>
      <c r="J20" s="20"/>
      <c r="K20" s="20"/>
      <c r="L20" s="20"/>
      <c r="M20" s="20"/>
      <c r="N20" s="20"/>
      <c r="O20" s="17" t="s">
        <v>38</v>
      </c>
      <c r="P20" s="1"/>
      <c r="Q20" s="20"/>
      <c r="R20" s="20"/>
      <c r="S20" s="20"/>
      <c r="T20" s="20"/>
      <c r="U20" s="20"/>
      <c r="V20" s="20"/>
      <c r="W20" s="33"/>
      <c r="X20" s="40"/>
    </row>
    <row r="21" spans="1:24" ht="15" customHeight="1" x14ac:dyDescent="0.25">
      <c r="A21" s="38"/>
      <c r="B21" s="33"/>
      <c r="C21" s="20"/>
      <c r="D21" s="20"/>
      <c r="E21" s="9" t="s">
        <v>20</v>
      </c>
      <c r="F21" s="18">
        <f>'Зведена 161'!F28</f>
        <v>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33"/>
      <c r="X21" s="40"/>
    </row>
    <row r="22" spans="1:24" ht="15" customHeight="1" x14ac:dyDescent="0.25">
      <c r="A22" s="38"/>
      <c r="B22" s="33"/>
      <c r="C22" s="20"/>
      <c r="D22" s="20"/>
      <c r="E22" s="9" t="s">
        <v>21</v>
      </c>
      <c r="F22" s="18">
        <f>'Зведена 161'!F29</f>
        <v>4</v>
      </c>
      <c r="G22" s="20"/>
      <c r="H22" s="15" t="s">
        <v>22</v>
      </c>
      <c r="I22" s="20"/>
      <c r="J22" s="20"/>
      <c r="K22" s="20"/>
      <c r="L22" s="20"/>
      <c r="M22" s="20"/>
      <c r="N22" s="20"/>
      <c r="O22" s="15" t="s">
        <v>23</v>
      </c>
      <c r="P22" s="15"/>
      <c r="Q22" s="20"/>
      <c r="R22" s="20"/>
      <c r="S22" s="20"/>
      <c r="T22" s="20"/>
      <c r="U22" s="20"/>
      <c r="V22" s="20"/>
      <c r="W22" s="33"/>
      <c r="X22" s="40"/>
    </row>
    <row r="23" spans="1:24" ht="12" customHeight="1" thickBot="1" x14ac:dyDescent="0.3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40"/>
    </row>
    <row r="24" spans="1:24" ht="12" customHeight="1" x14ac:dyDescent="0.2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</sheetData>
  <sheetProtection selectLockedCells="1"/>
  <sortState ref="C11:V16">
    <sortCondition descending="1" ref="U11:U16"/>
  </sortState>
  <mergeCells count="18">
    <mergeCell ref="B1:W1"/>
    <mergeCell ref="A2:A23"/>
    <mergeCell ref="B2:W2"/>
    <mergeCell ref="X2:X23"/>
    <mergeCell ref="B3:B22"/>
    <mergeCell ref="C3:V3"/>
    <mergeCell ref="W3:W22"/>
    <mergeCell ref="C4:V4"/>
    <mergeCell ref="C5:V5"/>
    <mergeCell ref="C6:V6"/>
    <mergeCell ref="B23:W23"/>
    <mergeCell ref="B24:W24"/>
    <mergeCell ref="C7:V7"/>
    <mergeCell ref="C8:V8"/>
    <mergeCell ref="C9:C10"/>
    <mergeCell ref="D9:D10"/>
    <mergeCell ref="E9:E10"/>
    <mergeCell ref="G9:V9"/>
  </mergeCells>
  <conditionalFormatting sqref="E11">
    <cfRule type="expression" dxfId="33" priority="19">
      <formula>$W$11&lt;&gt;""</formula>
    </cfRule>
  </conditionalFormatting>
  <conditionalFormatting sqref="C11">
    <cfRule type="expression" dxfId="32" priority="20">
      <formula>$W$11&lt;&gt;""</formula>
    </cfRule>
  </conditionalFormatting>
  <conditionalFormatting sqref="C13 E13">
    <cfRule type="expression" dxfId="31" priority="21">
      <formula>$W$13&lt;&gt;""</formula>
    </cfRule>
  </conditionalFormatting>
  <conditionalFormatting sqref="E14">
    <cfRule type="expression" dxfId="30" priority="22">
      <formula>$W$14&lt;&gt;""</formula>
    </cfRule>
  </conditionalFormatting>
  <conditionalFormatting sqref="C14">
    <cfRule type="expression" dxfId="29" priority="23">
      <formula>$W$14&lt;&gt;""</formula>
    </cfRule>
  </conditionalFormatting>
  <conditionalFormatting sqref="C15 E15">
    <cfRule type="expression" dxfId="28" priority="24">
      <formula>$W$15&lt;&gt;""</formula>
    </cfRule>
  </conditionalFormatting>
  <conditionalFormatting sqref="C17 E17">
    <cfRule type="expression" dxfId="27" priority="25">
      <formula>$W$17&lt;&gt;""</formula>
    </cfRule>
  </conditionalFormatting>
  <conditionalFormatting sqref="C18">
    <cfRule type="expression" dxfId="26" priority="26">
      <formula>#REF!&lt;&gt;""</formula>
    </cfRule>
  </conditionalFormatting>
  <conditionalFormatting sqref="D13 F11:U11 D15 U18 F17:U17 F13:U15">
    <cfRule type="expression" dxfId="25" priority="17">
      <formula>#REF!&lt;&gt;""</formula>
    </cfRule>
  </conditionalFormatting>
  <conditionalFormatting sqref="D11 D14 D17">
    <cfRule type="expression" dxfId="24" priority="18">
      <formula>#REF!&lt;&gt;""</formula>
    </cfRule>
  </conditionalFormatting>
  <conditionalFormatting sqref="V11 V17:V18 V13:V15">
    <cfRule type="expression" dxfId="23" priority="96">
      <formula>$W$18&lt;&gt;""</formula>
    </cfRule>
  </conditionalFormatting>
  <conditionalFormatting sqref="C16">
    <cfRule type="expression" dxfId="22" priority="10">
      <formula>#REF!&lt;&gt;""</formula>
    </cfRule>
  </conditionalFormatting>
  <conditionalFormatting sqref="D16 F16:U16">
    <cfRule type="expression" dxfId="21" priority="9">
      <formula>#REF!&lt;&gt;""</formula>
    </cfRule>
  </conditionalFormatting>
  <conditionalFormatting sqref="E16">
    <cfRule type="expression" dxfId="20" priority="8">
      <formula>#REF!&lt;&gt;""</formula>
    </cfRule>
  </conditionalFormatting>
  <conditionalFormatting sqref="V16">
    <cfRule type="expression" dxfId="19" priority="11">
      <formula>$W$18&lt;&gt;""</formula>
    </cfRule>
  </conditionalFormatting>
  <conditionalFormatting sqref="D18 F18:T18">
    <cfRule type="expression" dxfId="18" priority="7">
      <formula>#REF!&lt;&gt;""</formula>
    </cfRule>
  </conditionalFormatting>
  <conditionalFormatting sqref="E18">
    <cfRule type="expression" dxfId="17" priority="6">
      <formula>#REF!&lt;&gt;""</formula>
    </cfRule>
  </conditionalFormatting>
  <conditionalFormatting sqref="E12">
    <cfRule type="expression" dxfId="9" priority="3">
      <formula>$W$11&lt;&gt;""</formula>
    </cfRule>
  </conditionalFormatting>
  <conditionalFormatting sqref="C12">
    <cfRule type="expression" dxfId="7" priority="4">
      <formula>$W$11&lt;&gt;""</formula>
    </cfRule>
  </conditionalFormatting>
  <conditionalFormatting sqref="F12:U12">
    <cfRule type="expression" dxfId="5" priority="1">
      <formula>#REF!&lt;&gt;""</formula>
    </cfRule>
  </conditionalFormatting>
  <conditionalFormatting sqref="D12">
    <cfRule type="expression" dxfId="3" priority="2">
      <formula>#REF!&lt;&gt;""</formula>
    </cfRule>
  </conditionalFormatting>
  <conditionalFormatting sqref="V12">
    <cfRule type="expression" dxfId="1" priority="5">
      <formula>$W$18&lt;&gt;""</formula>
    </cfRule>
  </conditionalFormatting>
  <printOptions horizontalCentered="1"/>
  <pageMargins left="0" right="0" top="0" bottom="0" header="0" footer="0"/>
  <pageSetup paperSize="9" scale="8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6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35.1" customHeight="1" x14ac:dyDescent="0.3">
      <c r="A3" s="38"/>
      <c r="B3" s="33"/>
      <c r="C3" s="41" t="s">
        <v>27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24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3" t="s">
        <v>76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40"/>
    </row>
    <row r="7" spans="1:23" s="5" customFormat="1" ht="15" customHeight="1" x14ac:dyDescent="0.25">
      <c r="A7" s="38"/>
      <c r="B7" s="33"/>
      <c r="C7" s="33" t="s">
        <v>32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40"/>
    </row>
    <row r="8" spans="1:23" s="5" customFormat="1" ht="15" customHeight="1" x14ac:dyDescent="0.25">
      <c r="A8" s="38"/>
      <c r="B8" s="33"/>
      <c r="C8" s="33" t="s">
        <v>82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8"/>
      <c r="G9" s="35" t="s">
        <v>26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33</v>
      </c>
      <c r="M10" s="16" t="s">
        <v>29</v>
      </c>
      <c r="N10" s="16" t="s">
        <v>7</v>
      </c>
      <c r="O10" s="16" t="s">
        <v>34</v>
      </c>
      <c r="P10" s="16" t="s">
        <v>35</v>
      </c>
      <c r="Q10" s="16" t="s">
        <v>36</v>
      </c>
      <c r="R10" s="16" t="s">
        <v>8</v>
      </c>
      <c r="S10" s="16" t="s">
        <v>37</v>
      </c>
      <c r="T10" s="16" t="s">
        <v>30</v>
      </c>
      <c r="U10" s="7" t="s">
        <v>9</v>
      </c>
      <c r="V10" s="33"/>
      <c r="W10" s="40"/>
    </row>
    <row r="11" spans="1:23" ht="15" customHeight="1" x14ac:dyDescent="0.25">
      <c r="A11" s="38"/>
      <c r="B11" s="33"/>
      <c r="C11" s="8" t="s">
        <v>10</v>
      </c>
      <c r="D11" s="8">
        <v>1</v>
      </c>
      <c r="E11" s="9" t="s">
        <v>77</v>
      </c>
      <c r="F11" s="10">
        <v>4</v>
      </c>
      <c r="G11" s="10">
        <v>6</v>
      </c>
      <c r="H11" s="10">
        <v>5</v>
      </c>
      <c r="I11" s="10">
        <v>4</v>
      </c>
      <c r="J11" s="10">
        <v>5</v>
      </c>
      <c r="K11" s="10" t="s">
        <v>83</v>
      </c>
      <c r="L11" s="10">
        <v>4</v>
      </c>
      <c r="M11" s="10" t="s">
        <v>83</v>
      </c>
      <c r="N11" s="10" t="s">
        <v>83</v>
      </c>
      <c r="O11" s="10" t="s">
        <v>83</v>
      </c>
      <c r="P11" s="21">
        <v>4</v>
      </c>
      <c r="Q11" s="21">
        <v>4</v>
      </c>
      <c r="R11" s="10" t="s">
        <v>83</v>
      </c>
      <c r="S11" s="10">
        <v>4</v>
      </c>
      <c r="T11" s="10" t="s">
        <v>83</v>
      </c>
      <c r="U11" s="2" t="str">
        <f>IF(COUNTIF(F11:T11,"=*")&gt;0,"-",IF(COUNTIF(F11:T11,"&lt;4")&gt;0,"-",(IFERROR(AVERAGE(F11:T11),""))))</f>
        <v>-</v>
      </c>
      <c r="V11" s="33"/>
      <c r="W11" s="40"/>
    </row>
    <row r="12" spans="1:23" ht="15" customHeight="1" x14ac:dyDescent="0.25">
      <c r="A12" s="38"/>
      <c r="B12" s="33"/>
      <c r="C12" s="8" t="s">
        <v>10</v>
      </c>
      <c r="D12" s="8">
        <v>2</v>
      </c>
      <c r="E12" s="9" t="s">
        <v>78</v>
      </c>
      <c r="F12" s="10">
        <v>4</v>
      </c>
      <c r="G12" s="10">
        <v>5</v>
      </c>
      <c r="H12" s="10">
        <v>5</v>
      </c>
      <c r="I12" s="10">
        <v>4</v>
      </c>
      <c r="J12" s="10">
        <v>5</v>
      </c>
      <c r="K12" s="10">
        <v>4</v>
      </c>
      <c r="L12" s="10">
        <v>4</v>
      </c>
      <c r="M12" s="10">
        <v>7</v>
      </c>
      <c r="N12" s="10">
        <v>4</v>
      </c>
      <c r="O12" s="10">
        <v>7</v>
      </c>
      <c r="P12" s="21">
        <v>7</v>
      </c>
      <c r="Q12" s="21">
        <v>7</v>
      </c>
      <c r="R12" s="10">
        <v>4</v>
      </c>
      <c r="S12" s="10">
        <v>5</v>
      </c>
      <c r="T12" s="10">
        <v>7</v>
      </c>
      <c r="U12" s="2">
        <f t="shared" ref="U12:U15" si="0">IF(COUNTIF(F12:T12,"=*")&gt;0,"-",IF(COUNTIF(F12:T12,"&lt;4")&gt;0,"-",(IFERROR(AVERAGE(F12:T12),""))))</f>
        <v>5.2666666666666666</v>
      </c>
      <c r="V12" s="33"/>
      <c r="W12" s="40"/>
    </row>
    <row r="13" spans="1:23" ht="15" customHeight="1" x14ac:dyDescent="0.25">
      <c r="A13" s="38"/>
      <c r="B13" s="33"/>
      <c r="C13" s="8" t="s">
        <v>10</v>
      </c>
      <c r="D13" s="8">
        <v>3</v>
      </c>
      <c r="E13" s="9" t="s">
        <v>79</v>
      </c>
      <c r="F13" s="10">
        <v>4</v>
      </c>
      <c r="G13" s="10">
        <v>6</v>
      </c>
      <c r="H13" s="10">
        <v>5</v>
      </c>
      <c r="I13" s="10">
        <v>4</v>
      </c>
      <c r="J13" s="10">
        <v>5</v>
      </c>
      <c r="K13" s="10">
        <v>4</v>
      </c>
      <c r="L13" s="10">
        <v>4</v>
      </c>
      <c r="M13" s="10">
        <v>8</v>
      </c>
      <c r="N13" s="10">
        <v>4</v>
      </c>
      <c r="O13" s="10">
        <v>7</v>
      </c>
      <c r="P13" s="21">
        <v>7</v>
      </c>
      <c r="Q13" s="21">
        <v>7</v>
      </c>
      <c r="R13" s="10">
        <v>4</v>
      </c>
      <c r="S13" s="10">
        <v>6</v>
      </c>
      <c r="T13" s="10">
        <v>7</v>
      </c>
      <c r="U13" s="2">
        <f t="shared" si="0"/>
        <v>5.4666666666666668</v>
      </c>
      <c r="V13" s="33"/>
      <c r="W13" s="40"/>
    </row>
    <row r="14" spans="1:23" ht="15" customHeight="1" x14ac:dyDescent="0.25">
      <c r="A14" s="38"/>
      <c r="B14" s="33"/>
      <c r="C14" s="8" t="s">
        <v>10</v>
      </c>
      <c r="D14" s="8">
        <v>4</v>
      </c>
      <c r="E14" s="9" t="s">
        <v>80</v>
      </c>
      <c r="F14" s="10">
        <v>4</v>
      </c>
      <c r="G14" s="10">
        <v>5</v>
      </c>
      <c r="H14" s="10">
        <v>5</v>
      </c>
      <c r="I14" s="10">
        <v>4</v>
      </c>
      <c r="J14" s="10">
        <v>4</v>
      </c>
      <c r="K14" s="10">
        <v>4</v>
      </c>
      <c r="L14" s="10">
        <v>4</v>
      </c>
      <c r="M14" s="10">
        <v>8</v>
      </c>
      <c r="N14" s="10">
        <v>4</v>
      </c>
      <c r="O14" s="10">
        <v>7</v>
      </c>
      <c r="P14" s="21">
        <v>7</v>
      </c>
      <c r="Q14" s="21">
        <v>7</v>
      </c>
      <c r="R14" s="10">
        <v>7</v>
      </c>
      <c r="S14" s="10">
        <v>5</v>
      </c>
      <c r="T14" s="10">
        <v>7</v>
      </c>
      <c r="U14" s="2">
        <f t="shared" si="0"/>
        <v>5.4666666666666668</v>
      </c>
      <c r="V14" s="33"/>
      <c r="W14" s="40"/>
    </row>
    <row r="15" spans="1:23" ht="15" customHeight="1" x14ac:dyDescent="0.25">
      <c r="A15" s="38"/>
      <c r="B15" s="33"/>
      <c r="C15" s="8" t="s">
        <v>10</v>
      </c>
      <c r="D15" s="8">
        <v>5</v>
      </c>
      <c r="E15" s="9" t="s">
        <v>81</v>
      </c>
      <c r="F15" s="10">
        <v>7</v>
      </c>
      <c r="G15" s="10">
        <v>6</v>
      </c>
      <c r="H15" s="10">
        <v>8</v>
      </c>
      <c r="I15" s="10">
        <v>6</v>
      </c>
      <c r="J15" s="10">
        <v>9</v>
      </c>
      <c r="K15" s="10" t="s">
        <v>83</v>
      </c>
      <c r="L15" s="10">
        <v>4</v>
      </c>
      <c r="M15" s="10" t="s">
        <v>83</v>
      </c>
      <c r="N15" s="10">
        <v>5</v>
      </c>
      <c r="O15" s="10">
        <v>4</v>
      </c>
      <c r="P15" s="21">
        <v>4</v>
      </c>
      <c r="Q15" s="21">
        <v>4</v>
      </c>
      <c r="R15" s="10" t="s">
        <v>83</v>
      </c>
      <c r="S15" s="10">
        <v>4</v>
      </c>
      <c r="T15" s="10">
        <v>2</v>
      </c>
      <c r="U15" s="2" t="str">
        <f t="shared" si="0"/>
        <v>-</v>
      </c>
      <c r="V15" s="33"/>
      <c r="W15" s="40"/>
    </row>
    <row r="16" spans="1:23" ht="15" customHeight="1" x14ac:dyDescent="0.25">
      <c r="A16" s="38"/>
      <c r="B16" s="33"/>
      <c r="C16" s="11"/>
      <c r="D16" s="11"/>
      <c r="E16" s="9" t="s">
        <v>12</v>
      </c>
      <c r="F16" s="3">
        <f>IF(SUM(F11:F15)=0,"",SUM(F11:F15)/$D15)</f>
        <v>4.5999999999999996</v>
      </c>
      <c r="G16" s="3">
        <f t="shared" ref="G16:T16" si="1">IF(SUM(G11:G15)=0,"",SUM(G11:G15)/$D15)</f>
        <v>5.6</v>
      </c>
      <c r="H16" s="3">
        <f t="shared" si="1"/>
        <v>5.6</v>
      </c>
      <c r="I16" s="3">
        <f t="shared" si="1"/>
        <v>4.4000000000000004</v>
      </c>
      <c r="J16" s="3">
        <f t="shared" si="1"/>
        <v>5.6</v>
      </c>
      <c r="K16" s="3">
        <f t="shared" si="1"/>
        <v>2.4</v>
      </c>
      <c r="L16" s="3">
        <f t="shared" si="1"/>
        <v>4</v>
      </c>
      <c r="M16" s="3">
        <f t="shared" si="1"/>
        <v>4.5999999999999996</v>
      </c>
      <c r="N16" s="3">
        <f t="shared" si="1"/>
        <v>3.4</v>
      </c>
      <c r="O16" s="3">
        <f t="shared" si="1"/>
        <v>5</v>
      </c>
      <c r="P16" s="3">
        <f t="shared" si="1"/>
        <v>5.8</v>
      </c>
      <c r="Q16" s="3">
        <f t="shared" si="1"/>
        <v>5.8</v>
      </c>
      <c r="R16" s="3">
        <f t="shared" si="1"/>
        <v>3</v>
      </c>
      <c r="S16" s="3">
        <f t="shared" si="1"/>
        <v>4.8</v>
      </c>
      <c r="T16" s="3">
        <f t="shared" si="1"/>
        <v>4.5999999999999996</v>
      </c>
      <c r="U16" s="2">
        <f>IFERROR(AVERAGE(F16:T16),"")</f>
        <v>4.6133333333333324</v>
      </c>
      <c r="V16" s="33"/>
      <c r="W16" s="40"/>
    </row>
    <row r="17" spans="1:23" ht="15" customHeight="1" x14ac:dyDescent="0.25">
      <c r="A17" s="38"/>
      <c r="B17" s="33"/>
      <c r="C17" s="11"/>
      <c r="D17" s="11"/>
      <c r="E17" s="9" t="s">
        <v>13</v>
      </c>
      <c r="F17" s="12">
        <f>IF(SUM(F11:F15)=0,"",IF(COUNTIF(F11:F15,"&gt;=4")=0,0,COUNTIF(F11:F15,"&gt;=4")/$D15*100))</f>
        <v>100</v>
      </c>
      <c r="G17" s="12">
        <f t="shared" ref="G17:T17" si="2">IF(SUM(G11:G15)=0,"",IF(COUNTIF(G11:G15,"&gt;=4")=0,0,COUNTIF(G11:G15,"&gt;=4")/$D15*100))</f>
        <v>100</v>
      </c>
      <c r="H17" s="12">
        <f t="shared" si="2"/>
        <v>100</v>
      </c>
      <c r="I17" s="12">
        <f t="shared" si="2"/>
        <v>100</v>
      </c>
      <c r="J17" s="12">
        <f t="shared" si="2"/>
        <v>100</v>
      </c>
      <c r="K17" s="12">
        <f t="shared" si="2"/>
        <v>60</v>
      </c>
      <c r="L17" s="12">
        <f t="shared" si="2"/>
        <v>100</v>
      </c>
      <c r="M17" s="12">
        <f t="shared" si="2"/>
        <v>60</v>
      </c>
      <c r="N17" s="12">
        <f t="shared" si="2"/>
        <v>80</v>
      </c>
      <c r="O17" s="12">
        <f t="shared" si="2"/>
        <v>80</v>
      </c>
      <c r="P17" s="12">
        <f t="shared" si="2"/>
        <v>100</v>
      </c>
      <c r="Q17" s="12">
        <f t="shared" si="2"/>
        <v>100</v>
      </c>
      <c r="R17" s="12">
        <f t="shared" si="2"/>
        <v>60</v>
      </c>
      <c r="S17" s="12">
        <f t="shared" si="2"/>
        <v>100</v>
      </c>
      <c r="T17" s="12">
        <f t="shared" si="2"/>
        <v>60</v>
      </c>
      <c r="U17" s="13"/>
      <c r="V17" s="33"/>
      <c r="W17" s="40"/>
    </row>
    <row r="18" spans="1:23" ht="15" customHeight="1" x14ac:dyDescent="0.25">
      <c r="A18" s="38"/>
      <c r="B18" s="33"/>
      <c r="C18" s="11"/>
      <c r="D18" s="11"/>
      <c r="E18" s="9" t="s">
        <v>14</v>
      </c>
      <c r="F18" s="12">
        <f>IF(SUM(F11:F15)=0,"",IF(COUNTIF(F11:F15,"&gt;=7")=0,0,COUNTIF(F11:F15,"&gt;=7")/$D15*100))</f>
        <v>20</v>
      </c>
      <c r="G18" s="12">
        <f t="shared" ref="G18:T18" si="3">IF(SUM(G11:G15)=0,"",IF(COUNTIF(G11:G15,"&gt;=7")=0,0,COUNTIF(G11:G15,"&gt;=7")/$D15*100))</f>
        <v>0</v>
      </c>
      <c r="H18" s="12">
        <f t="shared" si="3"/>
        <v>20</v>
      </c>
      <c r="I18" s="12">
        <f t="shared" si="3"/>
        <v>0</v>
      </c>
      <c r="J18" s="12">
        <f t="shared" si="3"/>
        <v>20</v>
      </c>
      <c r="K18" s="12">
        <f t="shared" si="3"/>
        <v>0</v>
      </c>
      <c r="L18" s="12">
        <f t="shared" si="3"/>
        <v>0</v>
      </c>
      <c r="M18" s="12">
        <f t="shared" si="3"/>
        <v>60</v>
      </c>
      <c r="N18" s="12">
        <f t="shared" si="3"/>
        <v>0</v>
      </c>
      <c r="O18" s="12">
        <f t="shared" si="3"/>
        <v>60</v>
      </c>
      <c r="P18" s="12">
        <f t="shared" si="3"/>
        <v>60</v>
      </c>
      <c r="Q18" s="12">
        <f t="shared" si="3"/>
        <v>60</v>
      </c>
      <c r="R18" s="12">
        <f t="shared" si="3"/>
        <v>20</v>
      </c>
      <c r="S18" s="12">
        <f t="shared" si="3"/>
        <v>0</v>
      </c>
      <c r="T18" s="12">
        <f t="shared" si="3"/>
        <v>60</v>
      </c>
      <c r="U18" s="11"/>
      <c r="V18" s="33"/>
      <c r="W18" s="40"/>
    </row>
    <row r="19" spans="1:23" ht="15" customHeight="1" x14ac:dyDescent="0.25">
      <c r="A19" s="38"/>
      <c r="B19" s="33"/>
      <c r="C19" s="11"/>
      <c r="D19" s="11"/>
      <c r="E19" s="9" t="s">
        <v>15</v>
      </c>
      <c r="F19" s="3">
        <f>IFERROR(AVERAGE(F17:T17),"")</f>
        <v>86.666666666666671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33"/>
      <c r="W19" s="40"/>
    </row>
    <row r="20" spans="1:23" ht="15" customHeight="1" x14ac:dyDescent="0.25">
      <c r="A20" s="38"/>
      <c r="B20" s="33"/>
      <c r="C20" s="11"/>
      <c r="D20" s="11"/>
      <c r="E20" s="9" t="s">
        <v>16</v>
      </c>
      <c r="F20" s="3">
        <f>IFERROR(AVERAGE(F18:T18),"")</f>
        <v>25.333333333333332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33"/>
      <c r="W20" s="40"/>
    </row>
    <row r="21" spans="1:23" ht="15" customHeight="1" x14ac:dyDescent="0.25">
      <c r="A21" s="38"/>
      <c r="B21" s="33"/>
      <c r="C21" s="11"/>
      <c r="D21" s="11"/>
      <c r="E21" s="9" t="s">
        <v>17</v>
      </c>
      <c r="F21" s="14">
        <f>IF(COUNTIF(C11:C15,"=Б")=0,IF(COUNTIF(C11:C15,"=К")=0,"",0),COUNTIF(C11:C15,"=Б"))</f>
        <v>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33"/>
      <c r="W21" s="40"/>
    </row>
    <row r="22" spans="1:23" ht="15" customHeight="1" x14ac:dyDescent="0.25">
      <c r="A22" s="38"/>
      <c r="B22" s="33"/>
      <c r="C22" s="11"/>
      <c r="D22" s="11"/>
      <c r="E22" s="9" t="s">
        <v>18</v>
      </c>
      <c r="F22" s="14">
        <f>IF(COUNTIF(C11:C15,"=К")=0,IF(COUNTIF(C11:C15,"=Б")=0,"",0),COUNTIF(C11:C15,"=К"))</f>
        <v>5</v>
      </c>
      <c r="G22" s="11"/>
      <c r="H22" s="15" t="s">
        <v>19</v>
      </c>
      <c r="I22" s="11"/>
      <c r="J22" s="11"/>
      <c r="K22" s="11"/>
      <c r="L22" s="11"/>
      <c r="M22" s="11"/>
      <c r="N22" s="11"/>
      <c r="O22" s="17" t="s">
        <v>38</v>
      </c>
      <c r="P22" s="1"/>
      <c r="Q22" s="11"/>
      <c r="R22" s="11"/>
      <c r="S22" s="11"/>
      <c r="T22" s="11"/>
      <c r="U22" s="11"/>
      <c r="V22" s="33"/>
      <c r="W22" s="40"/>
    </row>
    <row r="23" spans="1:23" ht="15" customHeight="1" x14ac:dyDescent="0.25">
      <c r="A23" s="38"/>
      <c r="B23" s="33"/>
      <c r="C23" s="11"/>
      <c r="D23" s="11"/>
      <c r="E23" s="9" t="s">
        <v>20</v>
      </c>
      <c r="F23" s="14">
        <v>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33"/>
      <c r="W23" s="40"/>
    </row>
    <row r="24" spans="1:23" ht="15" customHeight="1" x14ac:dyDescent="0.25">
      <c r="A24" s="38"/>
      <c r="B24" s="33"/>
      <c r="C24" s="11"/>
      <c r="D24" s="11"/>
      <c r="E24" s="9" t="s">
        <v>21</v>
      </c>
      <c r="F24" s="14"/>
      <c r="G24" s="11"/>
      <c r="H24" s="15" t="s">
        <v>22</v>
      </c>
      <c r="I24" s="11"/>
      <c r="J24" s="11"/>
      <c r="K24" s="11"/>
      <c r="L24" s="11"/>
      <c r="M24" s="11"/>
      <c r="N24" s="11"/>
      <c r="O24" s="15" t="s">
        <v>23</v>
      </c>
      <c r="P24" s="15"/>
      <c r="Q24" s="11"/>
      <c r="R24" s="11"/>
      <c r="S24" s="11"/>
      <c r="T24" s="11"/>
      <c r="U24" s="11"/>
      <c r="V24" s="33"/>
      <c r="W24" s="40"/>
    </row>
    <row r="25" spans="1:23" ht="12" customHeight="1" thickBot="1" x14ac:dyDescent="0.3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40"/>
    </row>
    <row r="26" spans="1:23" ht="12" customHeight="1" x14ac:dyDescent="0.2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</sheetData>
  <sheetProtection selectLockedCells="1"/>
  <mergeCells count="18">
    <mergeCell ref="B26:V26"/>
    <mergeCell ref="C7:U7"/>
    <mergeCell ref="C8:U8"/>
    <mergeCell ref="C9:C10"/>
    <mergeCell ref="D9:D10"/>
    <mergeCell ref="E9:E10"/>
    <mergeCell ref="G9:U9"/>
    <mergeCell ref="B1:V1"/>
    <mergeCell ref="A2:A25"/>
    <mergeCell ref="B2:V2"/>
    <mergeCell ref="W2:W25"/>
    <mergeCell ref="B3:B24"/>
    <mergeCell ref="C3:U3"/>
    <mergeCell ref="V3:V24"/>
    <mergeCell ref="C4:U4"/>
    <mergeCell ref="C5:U5"/>
    <mergeCell ref="C6:U6"/>
    <mergeCell ref="B25:V25"/>
  </mergeCells>
  <conditionalFormatting sqref="C13 E13">
    <cfRule type="expression" dxfId="16" priority="13">
      <formula>$V$13&lt;&gt;""</formula>
    </cfRule>
  </conditionalFormatting>
  <conditionalFormatting sqref="C14 E14">
    <cfRule type="expression" dxfId="15" priority="14">
      <formula>$V$14&lt;&gt;""</formula>
    </cfRule>
  </conditionalFormatting>
  <conditionalFormatting sqref="C15">
    <cfRule type="expression" dxfId="14" priority="15">
      <formula>#REF!&lt;&gt;""</formula>
    </cfRule>
  </conditionalFormatting>
  <conditionalFormatting sqref="D13 D15 C11:T11 F12:T15">
    <cfRule type="expression" dxfId="13" priority="11">
      <formula>$V$11&lt;&gt;""</formula>
    </cfRule>
  </conditionalFormatting>
  <conditionalFormatting sqref="C12:E12 D14">
    <cfRule type="expression" dxfId="12" priority="12">
      <formula>$V$12&lt;&gt;""</formula>
    </cfRule>
  </conditionalFormatting>
  <conditionalFormatting sqref="E15">
    <cfRule type="expression" dxfId="11" priority="10">
      <formula>#REF!&lt;&gt;""</formula>
    </cfRule>
  </conditionalFormatting>
  <conditionalFormatting sqref="U11:U15">
    <cfRule type="expression" dxfId="10" priority="54">
      <formula>$V$15&lt;&gt;""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141</vt:lpstr>
      <vt:lpstr>Рейтингова 141</vt:lpstr>
      <vt:lpstr>Зведена 161</vt:lpstr>
      <vt:lpstr>Рейтингова 161</vt:lpstr>
      <vt:lpstr>Зведена 241</vt:lpstr>
      <vt:lpstr>'Зведена 141'!Область_печати</vt:lpstr>
      <vt:lpstr>'Зведена 161'!Область_печати</vt:lpstr>
      <vt:lpstr>'Зведена 241'!Область_печати</vt:lpstr>
      <vt:lpstr>'Рейтингова 141'!Область_печати</vt:lpstr>
      <vt:lpstr>'Рейтингова 161'!Область_печати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2025-06-24T10:31:52Z</cp:lastPrinted>
  <dcterms:created xsi:type="dcterms:W3CDTF">2006-09-28T05:33:49Z</dcterms:created>
  <dcterms:modified xsi:type="dcterms:W3CDTF">2025-06-26T07:41:11Z</dcterms:modified>
  <cp:category/>
  <cp:contentStatus/>
</cp:coreProperties>
</file>