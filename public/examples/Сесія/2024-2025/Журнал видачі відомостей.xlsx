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05" yWindow="0" windowWidth="19410" windowHeight="11760"/>
  </bookViews>
  <sheets>
    <sheet name="Титульна (І)" sheetId="21" r:id="rId1"/>
    <sheet name="Титульна (ІІ)" sheetId="13" r:id="rId2"/>
    <sheet name="Титульна (рік)" sheetId="20" r:id="rId3"/>
    <sheet name="24-2" sheetId="15" r:id="rId4"/>
    <sheet name="24-1" sheetId="14" r:id="rId5"/>
    <sheet name="24-3" sheetId="16" r:id="rId6"/>
    <sheet name="24-4" sheetId="17" r:id="rId7"/>
    <sheet name="24-5" sheetId="18" r:id="rId8"/>
    <sheet name="24-6" sheetId="19" r:id="rId9"/>
  </sheets>
  <definedNames>
    <definedName name="_xlnm.Print_Area" localSheetId="4">'24-1'!$A$1:$H$17</definedName>
    <definedName name="_xlnm.Print_Area" localSheetId="3">'24-2'!$A$1:$H$17</definedName>
    <definedName name="_xlnm.Print_Area" localSheetId="5">'24-3'!$A$1:$H$17</definedName>
    <definedName name="_xlnm.Print_Area" localSheetId="6">'24-4'!$A$1:$H$17</definedName>
    <definedName name="_xlnm.Print_Area" localSheetId="7">'24-5'!$A$1:$H$17</definedName>
    <definedName name="_xlnm.Print_Area" localSheetId="8">'24-6'!$A$1:$H$17</definedName>
    <definedName name="_xlnm.Print_Area" localSheetId="0">'Титульна (І)'!$A$1:$P$27</definedName>
    <definedName name="_xlnm.Print_Area" localSheetId="1">'Титульна (ІІ)'!$A$1:$P$27</definedName>
    <definedName name="_xlnm.Print_Area" localSheetId="2">'Титульна (рік)'!$A$1:$P$27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4" l="1"/>
  <c r="B3" i="15" l="1"/>
  <c r="B5" i="14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4" i="15" l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3" i="16" l="1"/>
  <c r="B4" i="16" s="1"/>
  <c r="B5" i="16" s="1"/>
  <c r="B6" i="16" s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3" i="17" l="1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3" i="18" l="1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4" i="19" l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3" i="19"/>
</calcChain>
</file>

<file path=xl/sharedStrings.xml><?xml version="1.0" encoding="utf-8"?>
<sst xmlns="http://schemas.openxmlformats.org/spreadsheetml/2006/main" count="264" uniqueCount="57">
  <si>
    <t>№ відомостей</t>
  </si>
  <si>
    <t>Дата видачі відомостей</t>
  </si>
  <si>
    <t>Назва предмету</t>
  </si>
  <si>
    <t>Підпис</t>
  </si>
  <si>
    <t>Дата здачі відомості</t>
  </si>
  <si>
    <t>П.І.Б. викладача</t>
  </si>
  <si>
    <t>Фізика</t>
  </si>
  <si>
    <t>Хімія</t>
  </si>
  <si>
    <t>Українська мова</t>
  </si>
  <si>
    <t>Українська література</t>
  </si>
  <si>
    <t>Зарубіжна література</t>
  </si>
  <si>
    <t>Інформатика</t>
  </si>
  <si>
    <t>Біологія</t>
  </si>
  <si>
    <t>Історія України</t>
  </si>
  <si>
    <t>Географія</t>
  </si>
  <si>
    <t>Іноземна мова</t>
  </si>
  <si>
    <t>Математика</t>
  </si>
  <si>
    <t>Калюта Н.М.</t>
  </si>
  <si>
    <t>Мельничук С.А.</t>
  </si>
  <si>
    <t>Наговська Т.С.</t>
  </si>
  <si>
    <t>Галеніна І.С.</t>
  </si>
  <si>
    <t>Богданенко О.В.</t>
  </si>
  <si>
    <t>Ромчук В.В.</t>
  </si>
  <si>
    <t>Левчук Т.Г.</t>
  </si>
  <si>
    <t>Земляна Т.М.</t>
  </si>
  <si>
    <t>Нічик Н.О.</t>
  </si>
  <si>
    <t>Фізична культура</t>
  </si>
  <si>
    <t>№
з/п</t>
  </si>
  <si>
    <t>Міністерство освіти і науки України</t>
  </si>
  <si>
    <t xml:space="preserve">інженерії та інфраструктури сервісу </t>
  </si>
  <si>
    <t>Журнал</t>
  </si>
  <si>
    <t>реєстрації залікових відомостей</t>
  </si>
  <si>
    <t xml:space="preserve">відділення Повної загальної середньої освіти </t>
  </si>
  <si>
    <t>Одеського національного технологічного університету»</t>
  </si>
  <si>
    <t>Кулатов В.М.</t>
  </si>
  <si>
    <t>Захист України</t>
  </si>
  <si>
    <t>Бондаренко О.С.</t>
  </si>
  <si>
    <t>Астрономія</t>
  </si>
  <si>
    <t>рік</t>
  </si>
  <si>
    <t>Сербулова Ю.А.</t>
  </si>
  <si>
    <t>Юрченко О.Б.</t>
  </si>
  <si>
    <t>Антропова Л.І.</t>
  </si>
  <si>
    <t>Лазар В.І.</t>
  </si>
  <si>
    <t>Всесвітня Історія</t>
  </si>
  <si>
    <t>Бєльдюгіна С.С.</t>
  </si>
  <si>
    <t>Возіян О.Г.</t>
  </si>
  <si>
    <t>Сахно Н.О.</t>
  </si>
  <si>
    <t>24-1</t>
  </si>
  <si>
    <t>24-2</t>
  </si>
  <si>
    <t>24-3</t>
  </si>
  <si>
    <t>24-4</t>
  </si>
  <si>
    <t>24-5</t>
  </si>
  <si>
    <t>24-6</t>
  </si>
  <si>
    <t>2024 – 2025н.р.</t>
  </si>
  <si>
    <t>ІІ семестр</t>
  </si>
  <si>
    <t xml:space="preserve">«Фаховий коледж нафтогазових технологій, </t>
  </si>
  <si>
    <t>Відокремлений структурний підрозділ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</si>
</sst>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2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48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11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28"/>
  <sheetViews>
    <sheetView tabSelected="1" workbookViewId="0">
      <selection sqref="A1:P1"/>
    </sheetView>
  </sheetViews>
  <sheetFormatPr defaultRowHeight="20.100000000000001" customHeight="1" x14ac:dyDescent="0.25"/>
  <cols>
    <col min="1" max="16384" width="9.140625" style="4"/>
  </cols>
  <sheetData>
    <row r="1" spans="1:16" ht="20.100000000000001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0.100000000000001" customHeight="1" x14ac:dyDescent="0.25">
      <c r="A2" s="7" t="s">
        <v>28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20.100000000000001" customHeight="1" x14ac:dyDescent="0.25">
      <c r="A3" s="7" t="s">
        <v>56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20.100000000000001" customHeight="1" x14ac:dyDescent="0.25">
      <c r="A4" s="7" t="s">
        <v>55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20.100000000000001" customHeight="1" x14ac:dyDescent="0.25">
      <c r="A5" s="7" t="s">
        <v>29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20.100000000000001" customHeight="1" x14ac:dyDescent="0.25">
      <c r="A6" s="7" t="s">
        <v>33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20.100000000000001" customHeight="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ht="20.100000000000001" customHeight="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ht="20.100000000000001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20.100000000000001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20.100000000000001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ht="60" customHeight="1" x14ac:dyDescent="0.25">
      <c r="A12" s="10" t="s">
        <v>30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35.1" customHeight="1" x14ac:dyDescent="0.25">
      <c r="A13" s="11" t="s">
        <v>31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ht="27.95" customHeight="1" x14ac:dyDescent="0.25">
      <c r="A14" s="9" t="s">
        <v>32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ht="20.100000000000001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7.95" customHeight="1" x14ac:dyDescent="0.25">
      <c r="A16" s="9" t="s">
        <v>38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ht="20.100000000000001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20.100000000000001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ht="20.100000000000001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20.100000000000001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20.100000000000001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ht="20.100000000000001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ht="20.100000000000001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ht="20.100000000000001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20.100000000000001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ht="20.100000000000001" customHeight="1" x14ac:dyDescent="0.25">
      <c r="A26" s="7" t="s">
        <v>53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ht="20.100000000000001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ht="20.100000000000001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</sheetData>
  <mergeCells count="27">
    <mergeCell ref="A27:P27"/>
    <mergeCell ref="A28:P28"/>
    <mergeCell ref="A3:P3"/>
    <mergeCell ref="A21:P21"/>
    <mergeCell ref="A22:P22"/>
    <mergeCell ref="A23:P23"/>
    <mergeCell ref="A24:P24"/>
    <mergeCell ref="A25:P25"/>
    <mergeCell ref="A26:P26"/>
    <mergeCell ref="A15:P15"/>
    <mergeCell ref="A16:P16"/>
    <mergeCell ref="A17:P17"/>
    <mergeCell ref="A18:P18"/>
    <mergeCell ref="A19:P19"/>
    <mergeCell ref="A20:P20"/>
    <mergeCell ref="A8:P8"/>
    <mergeCell ref="A10:P10"/>
    <mergeCell ref="A11:P11"/>
    <mergeCell ref="A12:P12"/>
    <mergeCell ref="A13:P13"/>
    <mergeCell ref="A14:P14"/>
    <mergeCell ref="A1:P1"/>
    <mergeCell ref="A2:P2"/>
    <mergeCell ref="A4:P4"/>
    <mergeCell ref="A5:P5"/>
    <mergeCell ref="A6:P6"/>
    <mergeCell ref="A7:P7"/>
  </mergeCells>
  <printOptions horizontalCentered="1" verticalCentered="1"/>
  <pageMargins left="0" right="0" top="0" bottom="0" header="0" footer="0"/>
  <pageSetup paperSize="9" scale="96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28"/>
  <sheetViews>
    <sheetView workbookViewId="0">
      <selection sqref="A1:P1"/>
    </sheetView>
  </sheetViews>
  <sheetFormatPr defaultRowHeight="20.100000000000001" customHeight="1" x14ac:dyDescent="0.25"/>
  <cols>
    <col min="1" max="16384" width="9.140625" style="4"/>
  </cols>
  <sheetData>
    <row r="1" spans="1:16" ht="20.100000000000001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0.100000000000001" customHeight="1" x14ac:dyDescent="0.25">
      <c r="A2" s="7" t="s">
        <v>28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20.100000000000001" customHeight="1" x14ac:dyDescent="0.25">
      <c r="A3" s="7" t="s">
        <v>56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20.100000000000001" customHeight="1" x14ac:dyDescent="0.25">
      <c r="A4" s="7" t="s">
        <v>55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20.100000000000001" customHeight="1" x14ac:dyDescent="0.25">
      <c r="A5" s="7" t="s">
        <v>29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20.100000000000001" customHeight="1" x14ac:dyDescent="0.25">
      <c r="A6" s="7" t="s">
        <v>33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20.100000000000001" customHeight="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ht="20.100000000000001" customHeight="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ht="20.100000000000001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20.100000000000001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20.100000000000001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ht="60" customHeight="1" x14ac:dyDescent="0.25">
      <c r="A12" s="10" t="s">
        <v>30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35.1" customHeight="1" x14ac:dyDescent="0.25">
      <c r="A13" s="11" t="s">
        <v>31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ht="27.95" customHeight="1" x14ac:dyDescent="0.25">
      <c r="A14" s="9" t="s">
        <v>32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ht="20.100000000000001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7.95" customHeight="1" x14ac:dyDescent="0.25">
      <c r="A16" s="9" t="s">
        <v>54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ht="20.100000000000001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20.100000000000001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ht="20.100000000000001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20.100000000000001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20.100000000000001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ht="20.100000000000001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ht="20.100000000000001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ht="20.100000000000001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20.100000000000001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ht="20.100000000000001" customHeight="1" x14ac:dyDescent="0.25">
      <c r="A26" s="7" t="s">
        <v>53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ht="20.100000000000001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ht="20.100000000000001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</sheetData>
  <mergeCells count="27">
    <mergeCell ref="A3:P3"/>
    <mergeCell ref="A1:P1"/>
    <mergeCell ref="A22:P22"/>
    <mergeCell ref="A28:P28"/>
    <mergeCell ref="A27:P27"/>
    <mergeCell ref="A16:P16"/>
    <mergeCell ref="A17:P17"/>
    <mergeCell ref="A19:P19"/>
    <mergeCell ref="A18:P18"/>
    <mergeCell ref="A20:P20"/>
    <mergeCell ref="A21:P21"/>
    <mergeCell ref="A6:P6"/>
    <mergeCell ref="A12:P12"/>
    <mergeCell ref="A13:P13"/>
    <mergeCell ref="A14:P14"/>
    <mergeCell ref="A7:P7"/>
    <mergeCell ref="A2:P2"/>
    <mergeCell ref="A4:P4"/>
    <mergeCell ref="A5:P5"/>
    <mergeCell ref="A26:P26"/>
    <mergeCell ref="A8:P8"/>
    <mergeCell ref="A10:P10"/>
    <mergeCell ref="A11:P11"/>
    <mergeCell ref="A15:P15"/>
    <mergeCell ref="A23:P23"/>
    <mergeCell ref="A24:P24"/>
    <mergeCell ref="A25:P25"/>
  </mergeCells>
  <printOptions horizontalCentered="1" verticalCentered="1"/>
  <pageMargins left="0" right="0" top="0" bottom="0" header="0" footer="0"/>
  <pageSetup paperSize="9" scale="96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P28"/>
  <sheetViews>
    <sheetView workbookViewId="0">
      <selection sqref="A1:P1"/>
    </sheetView>
  </sheetViews>
  <sheetFormatPr defaultRowHeight="20.100000000000001" customHeight="1" x14ac:dyDescent="0.25"/>
  <cols>
    <col min="1" max="16384" width="9.140625" style="4"/>
  </cols>
  <sheetData>
    <row r="1" spans="1:16" ht="20.100000000000001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0.100000000000001" customHeight="1" x14ac:dyDescent="0.25">
      <c r="A2" s="7" t="s">
        <v>28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20.100000000000001" customHeight="1" x14ac:dyDescent="0.25">
      <c r="A3" s="7" t="s">
        <v>56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20.100000000000001" customHeight="1" x14ac:dyDescent="0.25">
      <c r="A4" s="7" t="s">
        <v>55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20.100000000000001" customHeight="1" x14ac:dyDescent="0.25">
      <c r="A5" s="7" t="s">
        <v>29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20.100000000000001" customHeight="1" x14ac:dyDescent="0.25">
      <c r="A6" s="7" t="s">
        <v>33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20.100000000000001" customHeight="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ht="20.100000000000001" customHeight="1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ht="20.100000000000001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20.100000000000001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20.100000000000001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ht="60" customHeight="1" x14ac:dyDescent="0.25">
      <c r="A12" s="10" t="s">
        <v>30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35.1" customHeight="1" x14ac:dyDescent="0.25">
      <c r="A13" s="11" t="s">
        <v>31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ht="27.95" customHeight="1" x14ac:dyDescent="0.25">
      <c r="A14" s="9" t="s">
        <v>32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ht="20.100000000000001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7.95" customHeight="1" x14ac:dyDescent="0.25">
      <c r="A16" s="9" t="s">
        <v>38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ht="20.100000000000001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20.100000000000001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ht="20.100000000000001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20.100000000000001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20.100000000000001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ht="20.100000000000001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ht="20.100000000000001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ht="20.100000000000001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20.100000000000001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ht="20.100000000000001" customHeight="1" x14ac:dyDescent="0.25">
      <c r="A26" s="7" t="s">
        <v>53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ht="20.100000000000001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ht="20.100000000000001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</sheetData>
  <mergeCells count="27">
    <mergeCell ref="A27:P27"/>
    <mergeCell ref="A28:P28"/>
    <mergeCell ref="A3:P3"/>
    <mergeCell ref="A21:P21"/>
    <mergeCell ref="A22:P22"/>
    <mergeCell ref="A23:P23"/>
    <mergeCell ref="A24:P24"/>
    <mergeCell ref="A25:P25"/>
    <mergeCell ref="A26:P26"/>
    <mergeCell ref="A15:P15"/>
    <mergeCell ref="A16:P16"/>
    <mergeCell ref="A17:P17"/>
    <mergeCell ref="A18:P18"/>
    <mergeCell ref="A19:P19"/>
    <mergeCell ref="A20:P20"/>
    <mergeCell ref="A8:P8"/>
    <mergeCell ref="A10:P10"/>
    <mergeCell ref="A11:P11"/>
    <mergeCell ref="A12:P12"/>
    <mergeCell ref="A13:P13"/>
    <mergeCell ref="A14:P14"/>
    <mergeCell ref="A1:P1"/>
    <mergeCell ref="A2:P2"/>
    <mergeCell ref="A4:P4"/>
    <mergeCell ref="A5:P5"/>
    <mergeCell ref="A6:P6"/>
    <mergeCell ref="A7:P7"/>
  </mergeCells>
  <printOptions horizontalCentered="1" verticalCentered="1"/>
  <pageMargins left="0" right="0" top="0" bottom="0" header="0" footer="0"/>
  <pageSetup paperSize="9" scale="96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48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27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'24-1'!B17+1</f>
        <v>100</v>
      </c>
      <c r="C3" s="2"/>
      <c r="D3" s="3" t="s">
        <v>37</v>
      </c>
      <c r="E3" s="3" t="s">
        <v>19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101</v>
      </c>
      <c r="C4" s="2"/>
      <c r="D4" s="3" t="s">
        <v>12</v>
      </c>
      <c r="E4" s="3" t="s">
        <v>21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102</v>
      </c>
      <c r="C5" s="2"/>
      <c r="D5" s="3" t="s">
        <v>43</v>
      </c>
      <c r="E5" s="3" t="s">
        <v>18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103</v>
      </c>
      <c r="C6" s="2"/>
      <c r="D6" s="3" t="s">
        <v>14</v>
      </c>
      <c r="E6" s="3" t="s">
        <v>19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104</v>
      </c>
      <c r="C7" s="2"/>
      <c r="D7" s="3" t="s">
        <v>10</v>
      </c>
      <c r="E7" s="3" t="s">
        <v>39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105</v>
      </c>
      <c r="C8" s="2"/>
      <c r="D8" s="3" t="s">
        <v>35</v>
      </c>
      <c r="E8" s="3" t="s">
        <v>42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106</v>
      </c>
      <c r="C9" s="2"/>
      <c r="D9" s="3" t="s">
        <v>15</v>
      </c>
      <c r="E9" s="3" t="s">
        <v>39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107</v>
      </c>
      <c r="C10" s="2"/>
      <c r="D10" s="3" t="s">
        <v>11</v>
      </c>
      <c r="E10" s="3" t="s">
        <v>44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108</v>
      </c>
      <c r="C11" s="2"/>
      <c r="D11" s="3" t="s">
        <v>13</v>
      </c>
      <c r="E11" s="3" t="s">
        <v>23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109</v>
      </c>
      <c r="C12" s="2"/>
      <c r="D12" s="3" t="s">
        <v>16</v>
      </c>
      <c r="E12" s="3" t="s">
        <v>24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110</v>
      </c>
      <c r="C13" s="2"/>
      <c r="D13" s="3" t="s">
        <v>9</v>
      </c>
      <c r="E13" s="3" t="s">
        <v>40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111</v>
      </c>
      <c r="C14" s="2"/>
      <c r="D14" s="3" t="s">
        <v>8</v>
      </c>
      <c r="E14" s="3" t="s">
        <v>40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112</v>
      </c>
      <c r="C15" s="2"/>
      <c r="D15" s="3" t="s">
        <v>6</v>
      </c>
      <c r="E15" s="3" t="s">
        <v>17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113</v>
      </c>
      <c r="C16" s="2"/>
      <c r="D16" s="3" t="s">
        <v>26</v>
      </c>
      <c r="E16" s="3" t="s">
        <v>45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114</v>
      </c>
      <c r="C17" s="2"/>
      <c r="D17" s="3" t="s">
        <v>7</v>
      </c>
      <c r="E17" s="3" t="s">
        <v>46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47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27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v>85</v>
      </c>
      <c r="C3" s="2"/>
      <c r="D3" s="3" t="s">
        <v>37</v>
      </c>
      <c r="E3" s="3" t="s">
        <v>19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86</v>
      </c>
      <c r="C4" s="2"/>
      <c r="D4" s="3" t="s">
        <v>12</v>
      </c>
      <c r="E4" s="3" t="s">
        <v>21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87</v>
      </c>
      <c r="C5" s="2"/>
      <c r="D5" s="3" t="s">
        <v>43</v>
      </c>
      <c r="E5" s="3" t="s">
        <v>18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88</v>
      </c>
      <c r="C6" s="2"/>
      <c r="D6" s="3" t="s">
        <v>14</v>
      </c>
      <c r="E6" s="3" t="s">
        <v>19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89</v>
      </c>
      <c r="C7" s="2"/>
      <c r="D7" s="3" t="s">
        <v>10</v>
      </c>
      <c r="E7" s="3" t="s">
        <v>39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90</v>
      </c>
      <c r="C8" s="2"/>
      <c r="D8" s="3" t="s">
        <v>35</v>
      </c>
      <c r="E8" s="3" t="s">
        <v>42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91</v>
      </c>
      <c r="C9" s="2"/>
      <c r="D9" s="3" t="s">
        <v>15</v>
      </c>
      <c r="E9" s="3" t="s">
        <v>39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92</v>
      </c>
      <c r="C10" s="2"/>
      <c r="D10" s="3" t="s">
        <v>11</v>
      </c>
      <c r="E10" s="3" t="s">
        <v>44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93</v>
      </c>
      <c r="C11" s="2"/>
      <c r="D11" s="3" t="s">
        <v>13</v>
      </c>
      <c r="E11" s="3" t="s">
        <v>23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94</v>
      </c>
      <c r="C12" s="2"/>
      <c r="D12" s="3" t="s">
        <v>16</v>
      </c>
      <c r="E12" s="3" t="s">
        <v>36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95</v>
      </c>
      <c r="C13" s="2"/>
      <c r="D13" s="3" t="s">
        <v>9</v>
      </c>
      <c r="E13" s="3" t="s">
        <v>41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96</v>
      </c>
      <c r="C14" s="2"/>
      <c r="D14" s="3" t="s">
        <v>8</v>
      </c>
      <c r="E14" s="3" t="s">
        <v>41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97</v>
      </c>
      <c r="C15" s="2"/>
      <c r="D15" s="3" t="s">
        <v>6</v>
      </c>
      <c r="E15" s="3" t="s">
        <v>17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98</v>
      </c>
      <c r="C16" s="2"/>
      <c r="D16" s="3" t="s">
        <v>26</v>
      </c>
      <c r="E16" s="3" t="s">
        <v>45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99</v>
      </c>
      <c r="C17" s="2"/>
      <c r="D17" s="3" t="s">
        <v>7</v>
      </c>
      <c r="E17" s="3" t="s">
        <v>46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49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27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'24-2'!B17+1</f>
        <v>115</v>
      </c>
      <c r="C3" s="2"/>
      <c r="D3" s="3" t="s">
        <v>37</v>
      </c>
      <c r="E3" s="3" t="s">
        <v>19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116</v>
      </c>
      <c r="C4" s="2"/>
      <c r="D4" s="3" t="s">
        <v>12</v>
      </c>
      <c r="E4" s="3" t="s">
        <v>21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117</v>
      </c>
      <c r="C5" s="2"/>
      <c r="D5" s="3" t="s">
        <v>43</v>
      </c>
      <c r="E5" s="3" t="s">
        <v>18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118</v>
      </c>
      <c r="C6" s="2"/>
      <c r="D6" s="3" t="s">
        <v>14</v>
      </c>
      <c r="E6" s="3" t="s">
        <v>19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119</v>
      </c>
      <c r="C7" s="2"/>
      <c r="D7" s="3" t="s">
        <v>10</v>
      </c>
      <c r="E7" s="3" t="s">
        <v>39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120</v>
      </c>
      <c r="C8" s="2"/>
      <c r="D8" s="3" t="s">
        <v>35</v>
      </c>
      <c r="E8" s="3" t="s">
        <v>42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121</v>
      </c>
      <c r="C9" s="2"/>
      <c r="D9" s="3" t="s">
        <v>15</v>
      </c>
      <c r="E9" s="3" t="s">
        <v>25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122</v>
      </c>
      <c r="C10" s="2"/>
      <c r="D10" s="3" t="s">
        <v>11</v>
      </c>
      <c r="E10" s="3" t="s">
        <v>44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123</v>
      </c>
      <c r="C11" s="2"/>
      <c r="D11" s="3" t="s">
        <v>13</v>
      </c>
      <c r="E11" s="3" t="s">
        <v>23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124</v>
      </c>
      <c r="C12" s="2"/>
      <c r="D12" s="3" t="s">
        <v>16</v>
      </c>
      <c r="E12" s="3" t="s">
        <v>22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125</v>
      </c>
      <c r="C13" s="2"/>
      <c r="D13" s="3" t="s">
        <v>9</v>
      </c>
      <c r="E13" s="3" t="s">
        <v>41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126</v>
      </c>
      <c r="C14" s="2"/>
      <c r="D14" s="3" t="s">
        <v>8</v>
      </c>
      <c r="E14" s="3" t="s">
        <v>41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127</v>
      </c>
      <c r="C15" s="2"/>
      <c r="D15" s="3" t="s">
        <v>6</v>
      </c>
      <c r="E15" s="3" t="s">
        <v>17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128</v>
      </c>
      <c r="C16" s="2"/>
      <c r="D16" s="3" t="s">
        <v>26</v>
      </c>
      <c r="E16" s="3" t="s">
        <v>20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129</v>
      </c>
      <c r="C17" s="2"/>
      <c r="D17" s="3" t="s">
        <v>7</v>
      </c>
      <c r="E17" s="3" t="s">
        <v>46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50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27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'24-3'!B17+1</f>
        <v>130</v>
      </c>
      <c r="C3" s="2"/>
      <c r="D3" s="3" t="s">
        <v>37</v>
      </c>
      <c r="E3" s="3" t="s">
        <v>19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131</v>
      </c>
      <c r="C4" s="2"/>
      <c r="D4" s="3" t="s">
        <v>12</v>
      </c>
      <c r="E4" s="3" t="s">
        <v>21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132</v>
      </c>
      <c r="C5" s="2"/>
      <c r="D5" s="3" t="s">
        <v>43</v>
      </c>
      <c r="E5" s="3" t="s">
        <v>18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133</v>
      </c>
      <c r="C6" s="2"/>
      <c r="D6" s="3" t="s">
        <v>14</v>
      </c>
      <c r="E6" s="3" t="s">
        <v>19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134</v>
      </c>
      <c r="C7" s="2"/>
      <c r="D7" s="3" t="s">
        <v>10</v>
      </c>
      <c r="E7" s="3" t="s">
        <v>39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135</v>
      </c>
      <c r="C8" s="2"/>
      <c r="D8" s="3" t="s">
        <v>35</v>
      </c>
      <c r="E8" s="3" t="s">
        <v>42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136</v>
      </c>
      <c r="C9" s="2"/>
      <c r="D9" s="3" t="s">
        <v>15</v>
      </c>
      <c r="E9" s="3" t="s">
        <v>25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137</v>
      </c>
      <c r="C10" s="2"/>
      <c r="D10" s="3" t="s">
        <v>11</v>
      </c>
      <c r="E10" s="3" t="s">
        <v>44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138</v>
      </c>
      <c r="C11" s="2"/>
      <c r="D11" s="3" t="s">
        <v>13</v>
      </c>
      <c r="E11" s="3" t="s">
        <v>23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139</v>
      </c>
      <c r="C12" s="2"/>
      <c r="D12" s="3" t="s">
        <v>16</v>
      </c>
      <c r="E12" s="3" t="s">
        <v>22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140</v>
      </c>
      <c r="C13" s="2"/>
      <c r="D13" s="3" t="s">
        <v>9</v>
      </c>
      <c r="E13" s="3" t="s">
        <v>40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141</v>
      </c>
      <c r="C14" s="2"/>
      <c r="D14" s="3" t="s">
        <v>8</v>
      </c>
      <c r="E14" s="3" t="s">
        <v>40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142</v>
      </c>
      <c r="C15" s="2"/>
      <c r="D15" s="3" t="s">
        <v>6</v>
      </c>
      <c r="E15" s="3" t="s">
        <v>17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143</v>
      </c>
      <c r="C16" s="2"/>
      <c r="D16" s="3" t="s">
        <v>26</v>
      </c>
      <c r="E16" s="3" t="s">
        <v>20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144</v>
      </c>
      <c r="C17" s="2"/>
      <c r="D17" s="3" t="s">
        <v>7</v>
      </c>
      <c r="E17" s="3" t="s">
        <v>46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51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27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'24-4'!B17+1</f>
        <v>145</v>
      </c>
      <c r="C3" s="2"/>
      <c r="D3" s="3" t="s">
        <v>37</v>
      </c>
      <c r="E3" s="3" t="s">
        <v>19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146</v>
      </c>
      <c r="C4" s="2"/>
      <c r="D4" s="3" t="s">
        <v>12</v>
      </c>
      <c r="E4" s="3" t="s">
        <v>21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147</v>
      </c>
      <c r="C5" s="2"/>
      <c r="D5" s="3" t="s">
        <v>43</v>
      </c>
      <c r="E5" s="3" t="s">
        <v>18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148</v>
      </c>
      <c r="C6" s="2"/>
      <c r="D6" s="3" t="s">
        <v>14</v>
      </c>
      <c r="E6" s="3" t="s">
        <v>19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149</v>
      </c>
      <c r="C7" s="2"/>
      <c r="D7" s="3" t="s">
        <v>10</v>
      </c>
      <c r="E7" s="3" t="s">
        <v>39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150</v>
      </c>
      <c r="C8" s="2"/>
      <c r="D8" s="3" t="s">
        <v>35</v>
      </c>
      <c r="E8" s="3" t="s">
        <v>42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151</v>
      </c>
      <c r="C9" s="2"/>
      <c r="D9" s="3" t="s">
        <v>15</v>
      </c>
      <c r="E9" s="3" t="s">
        <v>25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152</v>
      </c>
      <c r="C10" s="2"/>
      <c r="D10" s="3" t="s">
        <v>11</v>
      </c>
      <c r="E10" s="3" t="s">
        <v>44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153</v>
      </c>
      <c r="C11" s="2"/>
      <c r="D11" s="3" t="s">
        <v>13</v>
      </c>
      <c r="E11" s="3" t="s">
        <v>23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154</v>
      </c>
      <c r="C12" s="2"/>
      <c r="D12" s="3" t="s">
        <v>16</v>
      </c>
      <c r="E12" s="3" t="s">
        <v>24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155</v>
      </c>
      <c r="C13" s="2"/>
      <c r="D13" s="3" t="s">
        <v>9</v>
      </c>
      <c r="E13" s="3" t="s">
        <v>41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156</v>
      </c>
      <c r="C14" s="2"/>
      <c r="D14" s="3" t="s">
        <v>8</v>
      </c>
      <c r="E14" s="3" t="s">
        <v>41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157</v>
      </c>
      <c r="C15" s="2"/>
      <c r="D15" s="3" t="s">
        <v>6</v>
      </c>
      <c r="E15" s="3" t="s">
        <v>17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158</v>
      </c>
      <c r="C16" s="2"/>
      <c r="D16" s="3" t="s">
        <v>26</v>
      </c>
      <c r="E16" s="3" t="s">
        <v>20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159</v>
      </c>
      <c r="C17" s="2"/>
      <c r="D17" s="3" t="s">
        <v>7</v>
      </c>
      <c r="E17" s="3" t="s">
        <v>46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17"/>
  <sheetViews>
    <sheetView workbookViewId="0">
      <selection sqref="A1:H1"/>
    </sheetView>
  </sheetViews>
  <sheetFormatPr defaultRowHeight="18.75" x14ac:dyDescent="0.3"/>
  <cols>
    <col min="1" max="1" width="7.7109375" style="1" customWidth="1"/>
    <col min="2" max="2" width="15.7109375" style="1" customWidth="1"/>
    <col min="3" max="3" width="17.7109375" style="1" customWidth="1"/>
    <col min="4" max="4" width="30.7109375" style="1" customWidth="1"/>
    <col min="5" max="5" width="25.7109375" style="1" customWidth="1"/>
    <col min="6" max="6" width="12.7109375" style="1" customWidth="1"/>
    <col min="7" max="7" width="17.7109375" style="1" customWidth="1"/>
    <col min="8" max="8" width="12.7109375" style="1" customWidth="1"/>
    <col min="9" max="16384" width="9.140625" style="1"/>
  </cols>
  <sheetData>
    <row r="1" spans="1:8" ht="74.25" customHeight="1" x14ac:dyDescent="0.3">
      <c r="A1" s="12" t="s">
        <v>52</v>
      </c>
      <c r="B1" s="12"/>
      <c r="C1" s="12"/>
      <c r="D1" s="12"/>
      <c r="E1" s="12"/>
      <c r="F1" s="12"/>
      <c r="G1" s="12"/>
      <c r="H1" s="12"/>
    </row>
    <row r="2" spans="1:8" ht="50.1" customHeight="1" x14ac:dyDescent="0.3">
      <c r="A2" s="2" t="s">
        <v>27</v>
      </c>
      <c r="B2" s="2" t="s">
        <v>0</v>
      </c>
      <c r="C2" s="2" t="s">
        <v>1</v>
      </c>
      <c r="D2" s="2" t="s">
        <v>2</v>
      </c>
      <c r="E2" s="2" t="s">
        <v>5</v>
      </c>
      <c r="F2" s="2" t="s">
        <v>3</v>
      </c>
      <c r="G2" s="2" t="s">
        <v>4</v>
      </c>
      <c r="H2" s="2" t="s">
        <v>3</v>
      </c>
    </row>
    <row r="3" spans="1:8" ht="21.95" customHeight="1" x14ac:dyDescent="0.3">
      <c r="A3" s="2">
        <v>1</v>
      </c>
      <c r="B3" s="2">
        <f>'24-5'!B17+1</f>
        <v>160</v>
      </c>
      <c r="C3" s="2"/>
      <c r="D3" s="3" t="s">
        <v>37</v>
      </c>
      <c r="E3" s="3" t="s">
        <v>19</v>
      </c>
      <c r="F3" s="2"/>
      <c r="G3" s="2"/>
      <c r="H3" s="2"/>
    </row>
    <row r="4" spans="1:8" ht="21.95" customHeight="1" x14ac:dyDescent="0.3">
      <c r="A4" s="2">
        <v>2</v>
      </c>
      <c r="B4" s="2">
        <f>B3+1</f>
        <v>161</v>
      </c>
      <c r="C4" s="2"/>
      <c r="D4" s="3" t="s">
        <v>12</v>
      </c>
      <c r="E4" s="3" t="s">
        <v>21</v>
      </c>
      <c r="F4" s="2"/>
      <c r="G4" s="2"/>
      <c r="H4" s="2"/>
    </row>
    <row r="5" spans="1:8" ht="21.95" customHeight="1" x14ac:dyDescent="0.3">
      <c r="A5" s="2">
        <v>3</v>
      </c>
      <c r="B5" s="2">
        <f t="shared" ref="B5:B17" si="0">B4+1</f>
        <v>162</v>
      </c>
      <c r="C5" s="2"/>
      <c r="D5" s="3" t="s">
        <v>43</v>
      </c>
      <c r="E5" s="3" t="s">
        <v>18</v>
      </c>
      <c r="F5" s="2"/>
      <c r="G5" s="2"/>
      <c r="H5" s="2"/>
    </row>
    <row r="6" spans="1:8" ht="21.95" customHeight="1" x14ac:dyDescent="0.3">
      <c r="A6" s="2">
        <v>4</v>
      </c>
      <c r="B6" s="2">
        <f t="shared" si="0"/>
        <v>163</v>
      </c>
      <c r="C6" s="2"/>
      <c r="D6" s="3" t="s">
        <v>14</v>
      </c>
      <c r="E6" s="3" t="s">
        <v>19</v>
      </c>
      <c r="F6" s="2"/>
      <c r="G6" s="2"/>
      <c r="H6" s="2"/>
    </row>
    <row r="7" spans="1:8" ht="21.95" customHeight="1" x14ac:dyDescent="0.3">
      <c r="A7" s="2">
        <v>5</v>
      </c>
      <c r="B7" s="2">
        <f t="shared" si="0"/>
        <v>164</v>
      </c>
      <c r="C7" s="2"/>
      <c r="D7" s="3" t="s">
        <v>10</v>
      </c>
      <c r="E7" s="3" t="s">
        <v>39</v>
      </c>
      <c r="F7" s="2"/>
      <c r="G7" s="2"/>
      <c r="H7" s="2"/>
    </row>
    <row r="8" spans="1:8" ht="21.95" customHeight="1" x14ac:dyDescent="0.3">
      <c r="A8" s="2">
        <v>6</v>
      </c>
      <c r="B8" s="2">
        <f t="shared" si="0"/>
        <v>165</v>
      </c>
      <c r="C8" s="2"/>
      <c r="D8" s="3" t="s">
        <v>35</v>
      </c>
      <c r="E8" s="3" t="s">
        <v>42</v>
      </c>
      <c r="F8" s="2"/>
      <c r="G8" s="2"/>
      <c r="H8" s="2"/>
    </row>
    <row r="9" spans="1:8" ht="21.95" customHeight="1" x14ac:dyDescent="0.3">
      <c r="A9" s="2">
        <v>7</v>
      </c>
      <c r="B9" s="2">
        <f t="shared" si="0"/>
        <v>166</v>
      </c>
      <c r="C9" s="2"/>
      <c r="D9" s="3" t="s">
        <v>15</v>
      </c>
      <c r="E9" s="3" t="s">
        <v>25</v>
      </c>
      <c r="F9" s="2"/>
      <c r="G9" s="2"/>
      <c r="H9" s="2"/>
    </row>
    <row r="10" spans="1:8" ht="21.95" customHeight="1" x14ac:dyDescent="0.3">
      <c r="A10" s="2">
        <v>8</v>
      </c>
      <c r="B10" s="2">
        <f t="shared" si="0"/>
        <v>167</v>
      </c>
      <c r="C10" s="2"/>
      <c r="D10" s="3" t="s">
        <v>11</v>
      </c>
      <c r="E10" s="3" t="s">
        <v>44</v>
      </c>
      <c r="F10" s="2"/>
      <c r="G10" s="2"/>
      <c r="H10" s="2"/>
    </row>
    <row r="11" spans="1:8" ht="21.95" customHeight="1" x14ac:dyDescent="0.3">
      <c r="A11" s="2">
        <v>9</v>
      </c>
      <c r="B11" s="2">
        <f t="shared" si="0"/>
        <v>168</v>
      </c>
      <c r="C11" s="2"/>
      <c r="D11" s="3" t="s">
        <v>13</v>
      </c>
      <c r="E11" s="3" t="s">
        <v>23</v>
      </c>
      <c r="F11" s="2"/>
      <c r="G11" s="2"/>
      <c r="H11" s="2"/>
    </row>
    <row r="12" spans="1:8" ht="21.95" customHeight="1" x14ac:dyDescent="0.3">
      <c r="A12" s="2">
        <v>10</v>
      </c>
      <c r="B12" s="2">
        <f t="shared" si="0"/>
        <v>169</v>
      </c>
      <c r="C12" s="2"/>
      <c r="D12" s="3" t="s">
        <v>16</v>
      </c>
      <c r="E12" s="3" t="s">
        <v>22</v>
      </c>
      <c r="F12" s="2"/>
      <c r="G12" s="2"/>
      <c r="H12" s="2"/>
    </row>
    <row r="13" spans="1:8" ht="21.95" customHeight="1" x14ac:dyDescent="0.3">
      <c r="A13" s="2">
        <v>11</v>
      </c>
      <c r="B13" s="2">
        <f t="shared" si="0"/>
        <v>170</v>
      </c>
      <c r="C13" s="2"/>
      <c r="D13" s="3" t="s">
        <v>9</v>
      </c>
      <c r="E13" s="3" t="s">
        <v>40</v>
      </c>
      <c r="F13" s="2"/>
      <c r="G13" s="2"/>
      <c r="H13" s="2"/>
    </row>
    <row r="14" spans="1:8" ht="21.95" customHeight="1" x14ac:dyDescent="0.3">
      <c r="A14" s="2">
        <v>12</v>
      </c>
      <c r="B14" s="2">
        <f t="shared" si="0"/>
        <v>171</v>
      </c>
      <c r="C14" s="2"/>
      <c r="D14" s="3" t="s">
        <v>8</v>
      </c>
      <c r="E14" s="3" t="s">
        <v>40</v>
      </c>
      <c r="F14" s="2"/>
      <c r="G14" s="2"/>
      <c r="H14" s="2"/>
    </row>
    <row r="15" spans="1:8" ht="21.95" customHeight="1" x14ac:dyDescent="0.3">
      <c r="A15" s="2">
        <v>13</v>
      </c>
      <c r="B15" s="2">
        <f t="shared" si="0"/>
        <v>172</v>
      </c>
      <c r="C15" s="2"/>
      <c r="D15" s="3" t="s">
        <v>6</v>
      </c>
      <c r="E15" s="3" t="s">
        <v>17</v>
      </c>
      <c r="F15" s="2"/>
      <c r="G15" s="2"/>
      <c r="H15" s="2"/>
    </row>
    <row r="16" spans="1:8" ht="21.95" customHeight="1" x14ac:dyDescent="0.3">
      <c r="A16" s="2">
        <v>14</v>
      </c>
      <c r="B16" s="2">
        <f t="shared" si="0"/>
        <v>173</v>
      </c>
      <c r="C16" s="2"/>
      <c r="D16" s="3" t="s">
        <v>26</v>
      </c>
      <c r="E16" s="3" t="s">
        <v>34</v>
      </c>
      <c r="F16" s="2"/>
      <c r="G16" s="2"/>
      <c r="H16" s="2"/>
    </row>
    <row r="17" spans="1:8" ht="21.95" customHeight="1" x14ac:dyDescent="0.3">
      <c r="A17" s="2">
        <v>15</v>
      </c>
      <c r="B17" s="2">
        <f t="shared" si="0"/>
        <v>174</v>
      </c>
      <c r="C17" s="2"/>
      <c r="D17" s="3" t="s">
        <v>7</v>
      </c>
      <c r="E17" s="3" t="s">
        <v>46</v>
      </c>
      <c r="F17" s="2"/>
      <c r="G17" s="2"/>
      <c r="H17" s="2"/>
    </row>
  </sheetData>
  <mergeCells count="1">
    <mergeCell ref="A1:H1"/>
  </mergeCells>
  <printOptions horizontalCentered="1"/>
  <pageMargins left="0" right="0" top="0" bottom="0" header="0" footer="0"/>
  <pageSetup paperSize="9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Титульна (І)</vt:lpstr>
      <vt:lpstr>Титульна (ІІ)</vt:lpstr>
      <vt:lpstr>Титульна (рік)</vt:lpstr>
      <vt:lpstr>24-2</vt:lpstr>
      <vt:lpstr>24-1</vt:lpstr>
      <vt:lpstr>24-3</vt:lpstr>
      <vt:lpstr>24-4</vt:lpstr>
      <vt:lpstr>24-5</vt:lpstr>
      <vt:lpstr>24-6</vt:lpstr>
      <vt:lpstr>'24-1'!Область_печати</vt:lpstr>
      <vt:lpstr>'24-2'!Область_печати</vt:lpstr>
      <vt:lpstr>'24-3'!Область_печати</vt:lpstr>
      <vt:lpstr>'24-4'!Область_печати</vt:lpstr>
      <vt:lpstr>'24-5'!Область_печати</vt:lpstr>
      <vt:lpstr>'24-6'!Область_печати</vt:lpstr>
      <vt:lpstr>'Титульна (І)'!Область_печати</vt:lpstr>
      <vt:lpstr>'Титульна (ІІ)'!Область_печати</vt:lpstr>
      <vt:lpstr>'Титульна (рік)'!Область_печати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2025-06-03T07:24:57Z</dcterms:modified>
</cp:coreProperties>
</file>