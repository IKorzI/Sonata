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/>
  <bookViews>
    <workbookView xWindow="-120" yWindow="-120" windowWidth="20736" windowHeight="11760" activeTab="1"/>
  </bookViews>
  <sheets>
    <sheet name="Зведена 181" sheetId="40" r:id="rId1"/>
    <sheet name="Зведена 241" sheetId="41" r:id="rId2"/>
  </sheets>
  <definedNames>
    <definedName name="A1048577" localSheetId="0">#REF!</definedName>
    <definedName name="A1048577" localSheetId="1">#REF!</definedName>
    <definedName name="A1048577">#REF!</definedName>
    <definedName name="_xlnm.Print_Area" localSheetId="0">'Зведена 181'!$B$2:$V$36</definedName>
    <definedName name="_xlnm.Print_Area" localSheetId="1">'Зведена 241'!$B$2:$V$46</definedName>
    <definedName name="Ф80" localSheetId="0">#REF!</definedName>
    <definedName name="Ф80" localSheetId="1">#REF!</definedName>
    <definedName name="Ф80">#REF!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T13" i="41" l="1"/>
  <c r="T14" i="41"/>
  <c r="T15" i="41"/>
  <c r="T17" i="41"/>
  <c r="T18" i="41"/>
  <c r="T19" i="41"/>
  <c r="T20" i="41"/>
  <c r="T21" i="41"/>
  <c r="T23" i="41"/>
  <c r="T24" i="41"/>
  <c r="T25" i="41"/>
  <c r="T28" i="41"/>
  <c r="T29" i="41"/>
  <c r="T31" i="41"/>
  <c r="T35" i="41"/>
  <c r="T12" i="41"/>
  <c r="T12" i="40"/>
  <c r="T13" i="40"/>
  <c r="T14" i="40"/>
  <c r="T16" i="40"/>
  <c r="T17" i="40"/>
  <c r="T18" i="40"/>
  <c r="T19" i="40"/>
  <c r="T20" i="40"/>
  <c r="T21" i="40"/>
  <c r="T24" i="40"/>
  <c r="T25" i="40"/>
  <c r="T26" i="40"/>
  <c r="U30" i="41" l="1"/>
  <c r="U31" i="41"/>
  <c r="U13" i="41"/>
  <c r="U14" i="41"/>
  <c r="U15" i="41"/>
  <c r="U16" i="41"/>
  <c r="U17" i="41"/>
  <c r="U18" i="41"/>
  <c r="U19" i="41"/>
  <c r="U20" i="41"/>
  <c r="U21" i="41"/>
  <c r="U22" i="41"/>
  <c r="U23" i="41"/>
  <c r="U24" i="41"/>
  <c r="U25" i="41"/>
  <c r="U26" i="41"/>
  <c r="U27" i="41"/>
  <c r="U28" i="41"/>
  <c r="U29" i="41"/>
  <c r="U32" i="41"/>
  <c r="U26" i="40"/>
  <c r="U13" i="40"/>
  <c r="U14" i="40"/>
  <c r="U15" i="40"/>
  <c r="U16" i="40"/>
  <c r="U17" i="40"/>
  <c r="U18" i="40"/>
  <c r="U19" i="40"/>
  <c r="U20" i="40"/>
  <c r="U21" i="40"/>
  <c r="U22" i="40"/>
  <c r="U23" i="40"/>
  <c r="U24" i="40"/>
  <c r="U25" i="40"/>
  <c r="F43" i="41"/>
  <c r="F42" i="41"/>
  <c r="U36" i="41"/>
  <c r="U35" i="41"/>
  <c r="U34" i="41"/>
  <c r="U33" i="41"/>
  <c r="U12" i="41"/>
  <c r="D12" i="41"/>
  <c r="D13" i="41" s="1"/>
  <c r="D14" i="41" s="1"/>
  <c r="D15" i="41" s="1"/>
  <c r="U37" i="41" l="1"/>
  <c r="F45" i="41" s="1"/>
  <c r="D16" i="41"/>
  <c r="D17" i="41" s="1"/>
  <c r="D18" i="41" s="1"/>
  <c r="D19" i="41" s="1"/>
  <c r="D20" i="41" s="1"/>
  <c r="D21" i="41" s="1"/>
  <c r="D22" i="41" s="1"/>
  <c r="D23" i="41" s="1"/>
  <c r="D24" i="41" s="1"/>
  <c r="D25" i="41" s="1"/>
  <c r="D26" i="41" s="1"/>
  <c r="D27" i="41" s="1"/>
  <c r="D28" i="41" s="1"/>
  <c r="D29" i="41" s="1"/>
  <c r="K29" i="40"/>
  <c r="F33" i="40"/>
  <c r="F32" i="40"/>
  <c r="D30" i="41" l="1"/>
  <c r="D31" i="41" s="1"/>
  <c r="D32" i="41" s="1"/>
  <c r="D33" i="41" s="1"/>
  <c r="D34" i="41" s="1"/>
  <c r="D35" i="41" s="1"/>
  <c r="D36" i="41" s="1"/>
  <c r="J38" i="41" l="1"/>
  <c r="J39" i="41"/>
  <c r="J37" i="41"/>
  <c r="L37" i="41"/>
  <c r="L39" i="41"/>
  <c r="L38" i="41"/>
  <c r="R38" i="41"/>
  <c r="R39" i="41"/>
  <c r="R37" i="41"/>
  <c r="K38" i="41"/>
  <c r="K39" i="41"/>
  <c r="K37" i="41"/>
  <c r="G38" i="41"/>
  <c r="G39" i="41"/>
  <c r="G37" i="41"/>
  <c r="M39" i="41"/>
  <c r="M38" i="41"/>
  <c r="M37" i="41"/>
  <c r="N39" i="41"/>
  <c r="N37" i="41"/>
  <c r="N38" i="41"/>
  <c r="Q39" i="41"/>
  <c r="Q38" i="41"/>
  <c r="Q37" i="41"/>
  <c r="I39" i="41"/>
  <c r="I37" i="41"/>
  <c r="I38" i="41"/>
  <c r="H39" i="41"/>
  <c r="H38" i="41"/>
  <c r="H37" i="41"/>
  <c r="S39" i="41"/>
  <c r="S38" i="41"/>
  <c r="S37" i="41"/>
  <c r="O39" i="41"/>
  <c r="P39" i="41"/>
  <c r="P38" i="41"/>
  <c r="P37" i="41"/>
  <c r="O38" i="41"/>
  <c r="O37" i="41"/>
  <c r="F39" i="41"/>
  <c r="F38" i="41"/>
  <c r="F37" i="41"/>
  <c r="U12" i="40"/>
  <c r="D12" i="40"/>
  <c r="D13" i="40" s="1"/>
  <c r="D14" i="40" s="1"/>
  <c r="D15" i="40" s="1"/>
  <c r="D16" i="40" s="1"/>
  <c r="D17" i="40" s="1"/>
  <c r="D18" i="40" s="1"/>
  <c r="D19" i="40" s="1"/>
  <c r="D20" i="40" s="1"/>
  <c r="D21" i="40" s="1"/>
  <c r="D22" i="40" s="1"/>
  <c r="D23" i="40" s="1"/>
  <c r="D24" i="40" s="1"/>
  <c r="D25" i="40" s="1"/>
  <c r="T37" i="41" l="1"/>
  <c r="F41" i="41"/>
  <c r="F40" i="41"/>
  <c r="D26" i="40"/>
  <c r="J29" i="40" s="1"/>
  <c r="U27" i="40"/>
  <c r="J28" i="40" l="1"/>
  <c r="J27" i="40"/>
  <c r="L29" i="40"/>
  <c r="L28" i="40"/>
  <c r="L27" i="40"/>
  <c r="R29" i="40"/>
  <c r="R27" i="40"/>
  <c r="R28" i="40"/>
  <c r="K28" i="40"/>
  <c r="K27" i="40"/>
  <c r="G29" i="40"/>
  <c r="G27" i="40"/>
  <c r="G28" i="40"/>
  <c r="M29" i="40"/>
  <c r="M28" i="40"/>
  <c r="M27" i="40"/>
  <c r="Q29" i="40"/>
  <c r="N28" i="40"/>
  <c r="N29" i="40"/>
  <c r="N27" i="40"/>
  <c r="Q28" i="40"/>
  <c r="Q27" i="40"/>
  <c r="I28" i="40"/>
  <c r="I29" i="40"/>
  <c r="I27" i="40"/>
  <c r="H29" i="40"/>
  <c r="H28" i="40"/>
  <c r="H27" i="40"/>
  <c r="P29" i="40"/>
  <c r="S29" i="40"/>
  <c r="S27" i="40"/>
  <c r="S28" i="40"/>
  <c r="O29" i="40"/>
  <c r="P28" i="40"/>
  <c r="P27" i="40"/>
  <c r="O27" i="40"/>
  <c r="O28" i="40"/>
  <c r="F29" i="40"/>
  <c r="F28" i="40"/>
  <c r="F27" i="40"/>
  <c r="F35" i="40"/>
  <c r="F30" i="40" l="1"/>
  <c r="T27" i="40"/>
  <c r="F31" i="40"/>
</calcChain>
</file>

<file path=xl/sharedStrings.xml><?xml version="1.0" encoding="utf-8"?>
<sst xmlns="http://schemas.openxmlformats.org/spreadsheetml/2006/main" count="230" uniqueCount="101">
  <si>
    <t>ОДЕСЬКОГО НАЦІОНАЛЬНОГО ТЕХНОЛОГІЧНОГО УНІВЕРСИТЕТУ»</t>
  </si>
  <si>
    <t>Б/К</t>
  </si>
  <si>
    <t>№
п/п</t>
  </si>
  <si>
    <t>Прізвище, ім’я, по батькові</t>
  </si>
  <si>
    <t>Біологія
Богданенко О.В.</t>
  </si>
  <si>
    <t>Всесвітня історія
Мельничук С.А.</t>
  </si>
  <si>
    <t>Географія
Наговська Т.С.</t>
  </si>
  <si>
    <t>Історія України
Левчук Т.Г.</t>
  </si>
  <si>
    <t>Середній бал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</si>
  <si>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</si>
  <si>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</si>
  <si>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</si>
  <si>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</si>
  <si>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</si>
  <si>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</si>
  <si>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</si>
  <si>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Класний керівник</t>
  </si>
  <si>
    <t>Кількість соціального контингенту</t>
  </si>
  <si>
    <t>Вийшли на стипендію</t>
  </si>
  <si>
    <t>Маргарита БРІТІКОВА</t>
  </si>
  <si>
    <t>ЗВЕДЕНА ВІДОМІСТЬ</t>
  </si>
  <si>
    <t>Зарубіжна література
Сербулова Ю.А.</t>
  </si>
  <si>
    <t>Іноземна мова
Нічик Н.О.</t>
  </si>
  <si>
    <t>Підсумкові оцінки дисциплін</t>
  </si>
  <si>
    <t>ВІДОКРЕМЛЕНИЙ СТРУКТУРНИЙ ПІДРОЗДІЛ «ФАХОВИЙ КОЛЕДЖ НАФТОГАЗОВИХ ТЕХНОЛОГІЙ,
ІНЖЕНЕРІЇ ТА ІНФРАСТРУКТУРИ СЕРВІСУ</t>
  </si>
  <si>
    <t>Столбец18</t>
  </si>
  <si>
    <t>'Б/К</t>
  </si>
  <si>
    <t>0</t>
  </si>
  <si>
    <t>"Б" и "-"</t>
  </si>
  <si>
    <t>Фізика
Калюта Н.М.</t>
  </si>
  <si>
    <t>Захист України
Лазар В.І.</t>
  </si>
  <si>
    <t>Фізична культура
Кулатов В.М.</t>
  </si>
  <si>
    <t>1</t>
  </si>
  <si>
    <t>2</t>
  </si>
  <si>
    <t>3</t>
  </si>
  <si>
    <t>5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</si>
  <si>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</si>
  <si>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</si>
  <si>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</si>
  <si>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</si>
  <si>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</si>
  <si>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</si>
  <si>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</si>
  <si>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</si>
  <si>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</si>
  <si>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</si>
  <si>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Успішності студентів спеціальності 181 «Технологія приготування їжі»</t>
  </si>
  <si>
    <t>За I семестр 2024-2025 н.р.</t>
  </si>
  <si>
    <t>Група 24-6 курс І</t>
  </si>
  <si>
    <t>Успішності студентів спеціальності 241 «Готельно-ресторанна справа»</t>
  </si>
  <si>
    <t>Інформатика
Бєльдюгіна С.С.</t>
  </si>
  <si>
    <t>Математика
Ромчук В.В.</t>
  </si>
  <si>
    <t>Українська література
Юрченко О.Б.</t>
  </si>
  <si>
    <t>Українська мова
Юрченко О.Б.</t>
  </si>
  <si>
    <t>Хімія
Сахно Н.О.</t>
  </si>
  <si>
    <t>Яна ГУСАК-ШКЛОВСЬКА</t>
  </si>
  <si>
    <t>Завідувачка відділення ПЗСО</t>
  </si>
  <si>
    <t>Бернацький Георгій Євгенович</t>
  </si>
  <si>
    <t>Білоусова Ангеліна Сергіївна</t>
  </si>
  <si>
    <t>Богаченко Анна Вадимівна</t>
  </si>
  <si>
    <t>Богуш Надія Олексіївна</t>
  </si>
  <si>
    <t>Бойченко Богдан Миколайович</t>
  </si>
  <si>
    <t>Вєлікова Катерина Сергіївна</t>
  </si>
  <si>
    <t>Галицька Ольга Русланівна</t>
  </si>
  <si>
    <t>Гонтарчук Анастасія Русланівна</t>
  </si>
  <si>
    <t>Градінар Анастасія Володимирівна</t>
  </si>
  <si>
    <t>Грідіна Міланія Сергіївна</t>
  </si>
  <si>
    <t>Демченко Іван Олегович</t>
  </si>
  <si>
    <t>Дончило Дар'я Валеріївна</t>
  </si>
  <si>
    <t>Дуняк Валерія Миколаївна</t>
  </si>
  <si>
    <t>Зеленчук Юлія Олегівна</t>
  </si>
  <si>
    <t>Кузнєцова Катерина Сергіївна</t>
  </si>
  <si>
    <t>Левенко Єлизавета Олегівна</t>
  </si>
  <si>
    <t>Ліщенюк Діана Євгеніївна</t>
  </si>
  <si>
    <t>Макаренко Анастасія Олександрівна</t>
  </si>
  <si>
    <t>Михайлова Валерія Олександрівна</t>
  </si>
  <si>
    <t>Оковита Марія Сергіївна</t>
  </si>
  <si>
    <t>Паламарчук Данііл Ігорович</t>
  </si>
  <si>
    <t>Погосян Мілісса Мартіросівна</t>
  </si>
  <si>
    <t>Федорович Владислава Артемівна</t>
  </si>
  <si>
    <t>Чернишова Юлія В`ячеславівна</t>
  </si>
  <si>
    <t>Якименко Валерія Сергіївна</t>
  </si>
  <si>
    <t>К</t>
  </si>
  <si>
    <t>Барбарош Софія Дмитрівна</t>
  </si>
  <si>
    <t>Богусевич Денис Олексійович</t>
  </si>
  <si>
    <t>Зіскант Ігор Михайлович</t>
  </si>
  <si>
    <t>Зорєнко Максим Валерійович</t>
  </si>
  <si>
    <t>Іваніна Олександр Іванович</t>
  </si>
  <si>
    <t>Ізвеков Артем Ігорович</t>
  </si>
  <si>
    <t>Казимов Наміг Самед огли</t>
  </si>
  <si>
    <t>Лагутін Денис Георгійович</t>
  </si>
  <si>
    <t>Нікуліна Софія Русланівна</t>
  </si>
  <si>
    <t>Нофенко Андрій Володимирович</t>
  </si>
  <si>
    <t>Подугольников Ярослав Дмитрович</t>
  </si>
  <si>
    <t>Савченко Аліса Василівна</t>
  </si>
  <si>
    <t>Топал Мілена Борисівна</t>
  </si>
  <si>
    <t>Урсу Ангеліна В`чеславівна</t>
  </si>
  <si>
    <t>Харчук Іван Миколайович</t>
  </si>
  <si>
    <t>н/а</t>
  </si>
  <si>
    <t>-</t>
  </si>
  <si>
    <t xml:space="preserve">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</si>
</sst>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4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</font>
    <font>
      <sz val="14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thin">
        <color indexed="64"/>
      </bottom>
      <diagonal/>
    </border>
    <border>
      <left/>
      <right style="mediumDashed">
        <color indexed="64"/>
      </right>
      <top/>
      <bottom style="thin">
        <color indexed="64"/>
      </bottom>
      <diagonal/>
    </border>
    <border>
      <left/>
      <right style="mediumDashed">
        <color indexed="64"/>
      </right>
      <top style="thin">
        <color indexed="64"/>
      </top>
      <bottom style="thin">
        <color indexed="64"/>
      </bottom>
      <diagonal/>
    </border>
  </borders>
  <cellStyleXfs count="29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  <xf numFmtId="0" fontId="13" fillId="0" borderId="1"/>
  </cellStyleXfs>
  <cellXfs count="56">
    <xf numFmtId="0" fontId="0" fillId="0" borderId="0" xfId="0"/>
    <xf numFmtId="0" fontId="3" fillId="4" borderId="1" xfId="5" applyFont="1" applyFill="1" applyAlignment="1">
      <alignment horizontal="center" vertical="center"/>
    </xf>
    <xf numFmtId="0" fontId="5" fillId="4" borderId="1" xfId="5" applyFont="1" applyFill="1" applyAlignment="1">
      <alignment horizontal="center" vertical="center"/>
    </xf>
    <xf numFmtId="0" fontId="6" fillId="4" borderId="1" xfId="5" applyFont="1" applyFill="1" applyAlignment="1">
      <alignment horizontal="center" vertical="center"/>
    </xf>
    <xf numFmtId="0" fontId="4" fillId="5" borderId="2" xfId="5" applyFont="1" applyFill="1" applyBorder="1" applyAlignment="1">
      <alignment horizontal="center" vertical="center" textRotation="90" wrapText="1"/>
    </xf>
    <xf numFmtId="0" fontId="3" fillId="5" borderId="2" xfId="5" applyFont="1" applyFill="1" applyBorder="1" applyAlignment="1">
      <alignment horizontal="left" vertical="center" wrapText="1"/>
    </xf>
    <xf numFmtId="0" fontId="3" fillId="5" borderId="2" xfId="5" applyFont="1" applyFill="1" applyBorder="1" applyAlignment="1" applyProtection="1">
      <alignment horizontal="center" vertical="center"/>
      <protection locked="0"/>
    </xf>
    <xf numFmtId="0" fontId="3" fillId="5" borderId="1" xfId="5" applyFont="1" applyFill="1" applyAlignment="1">
      <alignment horizontal="center" vertical="center"/>
    </xf>
    <xf numFmtId="0" fontId="3" fillId="5" borderId="1" xfId="5" applyFont="1" applyFill="1" applyAlignment="1" applyProtection="1">
      <alignment horizontal="center" vertical="center"/>
      <protection locked="0"/>
    </xf>
    <xf numFmtId="0" fontId="5" fillId="5" borderId="1" xfId="5" applyFont="1" applyFill="1" applyAlignment="1">
      <alignment horizontal="center" vertical="center"/>
    </xf>
    <xf numFmtId="0" fontId="5" fillId="5" borderId="1" xfId="5" applyFont="1" applyFill="1" applyAlignment="1">
      <alignment horizontal="center"/>
    </xf>
    <xf numFmtId="0" fontId="6" fillId="5" borderId="1" xfId="5" applyFont="1" applyFill="1" applyAlignment="1">
      <alignment horizontal="center" vertical="center"/>
    </xf>
    <xf numFmtId="0" fontId="3" fillId="5" borderId="2" xfId="5" applyFont="1" applyFill="1" applyBorder="1" applyAlignment="1">
      <alignment horizontal="center" vertical="center"/>
    </xf>
    <xf numFmtId="0" fontId="3" fillId="4" borderId="5" xfId="5" applyFont="1" applyFill="1" applyBorder="1" applyAlignment="1">
      <alignment vertical="center"/>
    </xf>
    <xf numFmtId="0" fontId="3" fillId="5" borderId="8" xfId="5" applyFont="1" applyFill="1" applyBorder="1" applyAlignment="1">
      <alignment horizontal="center" vertical="center" wrapText="1"/>
    </xf>
    <xf numFmtId="0" fontId="3" fillId="5" borderId="9" xfId="5" applyFont="1" applyFill="1" applyBorder="1" applyAlignment="1">
      <alignment horizontal="center" vertical="center"/>
    </xf>
    <xf numFmtId="0" fontId="3" fillId="5" borderId="8" xfId="5" applyFont="1" applyFill="1" applyBorder="1" applyAlignment="1">
      <alignment horizontal="center" vertical="center"/>
    </xf>
    <xf numFmtId="0" fontId="3" fillId="0" borderId="8" xfId="5" applyFont="1" applyBorder="1" applyAlignment="1">
      <alignment horizontal="center" textRotation="90" wrapText="1"/>
    </xf>
    <xf numFmtId="0" fontId="3" fillId="5" borderId="2" xfId="5" applyFont="1" applyFill="1" applyBorder="1" applyAlignment="1">
      <alignment horizontal="center" vertical="center" textRotation="90" wrapText="1"/>
    </xf>
    <xf numFmtId="2" fontId="3" fillId="2" borderId="2" xfId="5" applyNumberFormat="1" applyFont="1" applyFill="1" applyBorder="1" applyAlignment="1">
      <alignment horizontal="center" vertical="center"/>
    </xf>
    <xf numFmtId="0" fontId="4" fillId="5" borderId="1" xfId="5" applyFont="1" applyFill="1" applyAlignment="1">
      <alignment horizontal="center" vertical="center" textRotation="90" wrapText="1"/>
    </xf>
    <xf numFmtId="0" fontId="3" fillId="4" borderId="10" xfId="5" applyFont="1" applyFill="1" applyBorder="1" applyAlignment="1">
      <alignment horizontal="center" vertical="center"/>
    </xf>
    <xf numFmtId="0" fontId="3" fillId="4" borderId="11" xfId="5" applyFont="1" applyFill="1" applyBorder="1" applyAlignment="1" applyProtection="1">
      <alignment horizontal="center" vertical="center"/>
      <protection locked="0"/>
    </xf>
    <xf numFmtId="0" fontId="3" fillId="4" borderId="12" xfId="5" applyFont="1" applyFill="1" applyBorder="1" applyAlignment="1" applyProtection="1">
      <alignment horizontal="center" vertical="center"/>
      <protection locked="0"/>
    </xf>
    <xf numFmtId="1" fontId="3" fillId="4" borderId="1" xfId="5" applyNumberFormat="1" applyFont="1" applyFill="1" applyAlignment="1">
      <alignment horizontal="center" vertical="center"/>
    </xf>
    <xf numFmtId="0" fontId="9" fillId="0" borderId="1" xfId="5" applyFont="1" applyAlignment="1">
      <alignment horizontal="left" vertical="center"/>
    </xf>
    <xf numFmtId="0" fontId="9" fillId="5" borderId="1" xfId="5" applyFont="1" applyFill="1" applyAlignment="1">
      <alignment horizontal="left" vertical="center"/>
    </xf>
    <xf numFmtId="164" fontId="3" fillId="2" borderId="2" xfId="5" applyNumberFormat="1" applyFont="1" applyFill="1" applyBorder="1" applyAlignment="1">
      <alignment horizontal="center" vertical="center"/>
    </xf>
    <xf numFmtId="164" fontId="3" fillId="3" borderId="6" xfId="5" applyNumberFormat="1" applyFont="1" applyFill="1" applyBorder="1" applyAlignment="1">
      <alignment horizontal="center" vertical="center"/>
    </xf>
    <xf numFmtId="0" fontId="10" fillId="5" borderId="2" xfId="5" applyFont="1" applyFill="1" applyBorder="1" applyAlignment="1" applyProtection="1">
      <alignment horizontal="center" vertical="center"/>
      <protection locked="0"/>
    </xf>
    <xf numFmtId="0" fontId="3" fillId="5" borderId="2" xfId="5" applyFont="1" applyFill="1" applyBorder="1" applyAlignment="1" applyProtection="1">
      <alignment horizontal="left" vertical="center" wrapText="1"/>
      <protection locked="0"/>
    </xf>
    <xf numFmtId="0" fontId="3" fillId="5" borderId="6" xfId="5" applyFont="1" applyFill="1" applyBorder="1" applyAlignment="1" applyProtection="1">
      <alignment horizontal="center" vertical="center" wrapText="1"/>
      <protection locked="0"/>
    </xf>
    <xf numFmtId="0" fontId="3" fillId="5" borderId="2" xfId="5" applyFont="1" applyFill="1" applyBorder="1" applyAlignment="1" applyProtection="1">
      <alignment horizontal="center" vertical="center" wrapText="1"/>
      <protection locked="0"/>
    </xf>
    <xf numFmtId="2" fontId="3" fillId="2" borderId="2" xfId="5" applyNumberFormat="1" applyFont="1" applyFill="1" applyBorder="1" applyAlignment="1" applyProtection="1">
      <alignment horizontal="center" vertical="center"/>
      <protection locked="0"/>
    </xf>
    <xf numFmtId="0" fontId="3" fillId="5" borderId="1" xfId="5" applyFont="1" applyFill="1" applyAlignment="1">
      <alignment horizontal="center" vertical="center"/>
    </xf>
    <xf numFmtId="0" fontId="5" fillId="5" borderId="1" xfId="5" applyFont="1" applyFill="1" applyAlignment="1">
      <alignment horizontal="center" vertical="center"/>
    </xf>
    <xf numFmtId="0" fontId="3" fillId="5" borderId="1" xfId="5" applyFont="1" applyFill="1" applyAlignment="1">
      <alignment horizontal="center" vertical="center"/>
    </xf>
    <xf numFmtId="0" fontId="5" fillId="5" borderId="1" xfId="5" applyFont="1" applyFill="1" applyAlignment="1">
      <alignment horizontal="center"/>
    </xf>
    <xf numFmtId="0" fontId="6" fillId="5" borderId="1" xfId="5" applyFont="1" applyFill="1" applyAlignment="1">
      <alignment horizontal="center" vertical="center"/>
    </xf>
    <xf numFmtId="0" fontId="3" fillId="5" borderId="2" xfId="5" applyFont="1" applyFill="1" applyBorder="1" applyAlignment="1">
      <alignment horizontal="center" vertical="center"/>
    </xf>
    <xf numFmtId="0" fontId="12" fillId="0" borderId="2" xfId="5" applyFont="1" applyBorder="1" applyAlignment="1" applyProtection="1">
      <alignment horizontal="center" textRotation="90" wrapText="1"/>
      <protection locked="0"/>
    </xf>
    <xf numFmtId="0" fontId="11" fillId="5" borderId="1" xfId="5" applyFont="1" applyFill="1" applyAlignment="1">
      <alignment horizontal="left" vertical="center"/>
    </xf>
    <xf numFmtId="0" fontId="12" fillId="5" borderId="1" xfId="5" applyFont="1" applyFill="1" applyAlignment="1">
      <alignment horizontal="center" vertical="center"/>
    </xf>
    <xf numFmtId="0" fontId="11" fillId="5" borderId="1" xfId="5" applyFont="1" applyFill="1" applyAlignment="1" applyProtection="1">
      <alignment horizontal="left" vertical="center"/>
      <protection locked="0"/>
    </xf>
    <xf numFmtId="0" fontId="3" fillId="4" borderId="4" xfId="5" applyFont="1" applyFill="1" applyBorder="1" applyAlignment="1">
      <alignment horizontal="center" vertical="center"/>
    </xf>
    <xf numFmtId="0" fontId="3" fillId="5" borderId="1" xfId="5" applyFont="1" applyFill="1" applyAlignment="1">
      <alignment horizontal="center" vertical="center"/>
    </xf>
    <xf numFmtId="0" fontId="5" fillId="5" borderId="1" xfId="5" applyFont="1" applyFill="1" applyAlignment="1">
      <alignment horizontal="center" vertical="center"/>
    </xf>
    <xf numFmtId="0" fontId="5" fillId="5" borderId="1" xfId="5" applyFont="1" applyFill="1" applyAlignment="1">
      <alignment horizontal="center" wrapText="1"/>
    </xf>
    <xf numFmtId="0" fontId="5" fillId="5" borderId="1" xfId="5" applyFont="1" applyFill="1" applyAlignment="1">
      <alignment horizontal="center"/>
    </xf>
    <xf numFmtId="0" fontId="6" fillId="5" borderId="1" xfId="5" applyFont="1" applyFill="1" applyAlignment="1">
      <alignment horizontal="center" vertical="center"/>
    </xf>
    <xf numFmtId="0" fontId="11" fillId="5" borderId="1" xfId="5" applyFont="1" applyFill="1" applyAlignment="1" applyProtection="1">
      <alignment horizontal="center" vertical="center"/>
      <protection locked="0"/>
    </xf>
    <xf numFmtId="0" fontId="3" fillId="5" borderId="2" xfId="5" quotePrefix="1" applyFont="1" applyFill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 wrapText="1"/>
    </xf>
    <xf numFmtId="0" fontId="3" fillId="4" borderId="7" xfId="5" applyFont="1" applyFill="1" applyBorder="1" applyAlignment="1">
      <alignment horizontal="center" vertical="center"/>
    </xf>
    <xf numFmtId="0" fontId="3" fillId="4" borderId="3" xfId="5" applyFont="1" applyFill="1" applyBorder="1" applyAlignment="1">
      <alignment horizontal="center" vertical="center"/>
    </xf>
  </cellXfs>
  <cellStyles count="29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12" xfId="22"/>
    <cellStyle name="Обычный 13" xfId="23"/>
    <cellStyle name="Обычный 14" xfId="24"/>
    <cellStyle name="Обычный 15" xfId="25"/>
    <cellStyle name="Обычный 16" xfId="28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2 5" xfId="26"/>
    <cellStyle name="Обычный 2 6" xfId="27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5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mediumDashed">
          <color indexed="64"/>
        </left>
        <right style="mediumDashed">
          <color indexed="64"/>
        </right>
        <top style="thin">
          <color indexed="64"/>
        </top>
        <bottom style="thin">
          <color indexed="64"/>
        </bottom>
        <vertic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2" formatCode="0.00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protection locked="0" hidden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bottom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mediumDashed">
          <color indexed="64"/>
        </left>
        <right style="mediumDashed">
          <color indexed="64"/>
        </right>
        <top style="thin">
          <color indexed="64"/>
        </top>
        <bottom style="thin">
          <color indexed="64"/>
        </bottom>
        <vertic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2" formatCode="0.00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bottom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6" name="Таблица6" displayName="Таблица6" ref="C11:U26" totalsRowShown="0" headerRowDxfId="51" dataDxfId="49" headerRowBorderDxfId="50" tableBorderDxfId="48" totalsRowBorderDxfId="47" headerRowCellStyle="Обычный 11 2" dataCellStyle="Обычный 11 2">
  <autoFilter ref="C11:U26"/>
  <tableColumns count="19">
    <tableColumn id="1" name="'Б/К" dataDxfId="46" dataCellStyle="Обычный 11 2"/>
    <tableColumn id="2" name="0" dataDxfId="45" dataCellStyle="Обычный 11 2">
      <calculatedColumnFormula>OFFSET(D12,-1,0)+1</calculatedColumnFormula>
    </tableColumn>
    <tableColumn id="3" name="Прізвище, ім’я, по батькові" dataDxfId="44" dataCellStyle="Обычный 11 2"/>
    <tableColumn id="4" name="1" dataDxfId="43" dataCellStyle="Обычный 11 2"/>
    <tableColumn id="6" name="2" dataDxfId="42" dataCellStyle="Обычный 11 2"/>
    <tableColumn id="7" name="3" dataDxfId="41" dataCellStyle="Обычный 11 2"/>
    <tableColumn id="8" name="4" dataDxfId="40" dataCellStyle="Обычный 11 2"/>
    <tableColumn id="9" name="5" dataDxfId="39" dataCellStyle="Обычный 11 2"/>
    <tableColumn id="11" name="6" dataDxfId="38" dataCellStyle="Обычный 11 2"/>
    <tableColumn id="12" name="7" dataDxfId="37" dataCellStyle="Обычный 11 2"/>
    <tableColumn id="13" name="8" dataDxfId="36" dataCellStyle="Обычный 11 2"/>
    <tableColumn id="23" name="9" dataDxfId="35" dataCellStyle="Обычный 11 2"/>
    <tableColumn id="22" name="10" dataDxfId="34" dataCellStyle="Обычный 11 2"/>
    <tableColumn id="21" name="11" dataDxfId="33" dataCellStyle="Обычный 11 2"/>
    <tableColumn id="19" name="12" dataDxfId="32" dataCellStyle="Обычный 11 2"/>
    <tableColumn id="17" name="13" dataDxfId="31" dataCellStyle="Обычный 11 2"/>
    <tableColumn id="14" name="14" dataDxfId="30" dataCellStyle="Обычный 11 2"/>
    <tableColumn id="18" name="Столбец18" dataDxfId="29" dataCellStyle="Обычный 11 2">
      <calculatedColumnFormula>AVERAGE(Таблица6[[#This Row],[1]:[14]])</calculatedColumnFormula>
    </tableColumn>
    <tableColumn id="20" name="&quot;Б&quot; и &quot;-&quot;" dataDxfId="28" dataCellStyle="Обычный 11 2">
      <calculatedColumnFormula>IF(Таблица6[[#This Row],[''Б/К]]="Б",IF(Таблица6[[#This Row],[Столбец18]]="-","-",""),"")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1" name="Таблица62" displayName="Таблица62" ref="C11:U36" totalsRowShown="0" headerRowDxfId="23" dataDxfId="21" headerRowBorderDxfId="22" tableBorderDxfId="20" totalsRowBorderDxfId="19" headerRowCellStyle="Обычный 11 2" dataCellStyle="Обычный 11 2">
  <autoFilter ref="C11:U36"/>
  <tableColumns count="19">
    <tableColumn id="1" name="'Б/К" dataDxfId="18" dataCellStyle="Обычный 11 2"/>
    <tableColumn id="2" name="0" dataDxfId="17" dataCellStyle="Обычный 11 2">
      <calculatedColumnFormula>OFFSET(D12,-1,0)+1</calculatedColumnFormula>
    </tableColumn>
    <tableColumn id="3" name="Прізвище, ім’я, по батькові" dataDxfId="16" dataCellStyle="Обычный 11 2"/>
    <tableColumn id="4" name="1" dataDxfId="15" dataCellStyle="Обычный 11 2"/>
    <tableColumn id="6" name="2" dataDxfId="14" dataCellStyle="Обычный 11 2"/>
    <tableColumn id="7" name="3" dataDxfId="13" dataCellStyle="Обычный 11 2"/>
    <tableColumn id="8" name="4" dataDxfId="12" dataCellStyle="Обычный 11 2"/>
    <tableColumn id="9" name="5" dataDxfId="11" dataCellStyle="Обычный 11 2"/>
    <tableColumn id="11" name="6" dataDxfId="10" dataCellStyle="Обычный 11 2"/>
    <tableColumn id="12" name="7" dataDxfId="9" dataCellStyle="Обычный 11 2"/>
    <tableColumn id="13" name="8" dataDxfId="8" dataCellStyle="Обычный 11 2"/>
    <tableColumn id="23" name="9" dataDxfId="7" dataCellStyle="Обычный 11 2"/>
    <tableColumn id="22" name="10" dataDxfId="6" dataCellStyle="Обычный 11 2"/>
    <tableColumn id="21" name="11" dataDxfId="5" dataCellStyle="Обычный 11 2"/>
    <tableColumn id="19" name="12" dataDxfId="4" dataCellStyle="Обычный 11 2"/>
    <tableColumn id="17" name="13" dataDxfId="3" dataCellStyle="Обычный 11 2"/>
    <tableColumn id="14" name="14" dataDxfId="2" dataCellStyle="Обычный 11 2"/>
    <tableColumn id="18" name="Столбец18" dataDxfId="1" dataCellStyle="Обычный 11 2">
      <calculatedColumnFormula>AVERAGE(Таблица62[[#This Row],[1]:[14]])</calculatedColumnFormula>
    </tableColumn>
    <tableColumn id="20" name="&quot;Б&quot; и &quot;-&quot;" dataDxfId="0" dataCellStyle="Обычный 11 2">
      <calculatedColumnFormula>IF(Таблица62[[#This Row],[''Б/К]]="Б",IF(Таблица62[[#This Row],[Столбец18]]="-","-",""),"")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Q37"/>
  <sheetViews>
    <sheetView zoomScaleNormal="100" workbookViewId="0"/>
  </sheetViews>
  <sheetFormatPr defaultColWidth="0" defaultRowHeight="0" customHeight="1" zeroHeight="1" x14ac:dyDescent="0.3"/>
  <cols>
    <col min="1" max="2" width="2.6640625" style="1" customWidth="1"/>
    <col min="3" max="3" width="4.109375" style="1" customWidth="1"/>
    <col min="4" max="4" width="6.5546875" style="1" customWidth="1"/>
    <col min="5" max="5" width="40.44140625" style="1" customWidth="1"/>
    <col min="6" max="19" width="6.6640625" style="1" customWidth="1"/>
    <col min="20" max="20" width="11.33203125" style="1" customWidth="1"/>
    <col min="21" max="21" width="11.33203125" style="1" hidden="1" customWidth="1"/>
    <col min="22" max="23" width="2.6640625" style="1" customWidth="1"/>
    <col min="24" max="29" width="14.44140625" style="1" hidden="1" customWidth="1"/>
    <col min="30" max="30" width="14.88671875" style="1" hidden="1" customWidth="1"/>
    <col min="31" max="44" width="3.6640625" style="1" hidden="1" customWidth="1"/>
    <col min="45" max="69" width="5.6640625" style="1" hidden="1" customWidth="1"/>
    <col min="70" max="16384" width="14.44140625" style="1" hidden="1"/>
  </cols>
  <sheetData>
    <row r="1" spans="1:23" ht="12" customHeight="1" thickBot="1" x14ac:dyDescent="0.35">
      <c r="A1" s="1" t="s">
        <v>100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</row>
    <row r="2" spans="1:23" ht="12" customHeight="1" x14ac:dyDescent="0.3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13"/>
    </row>
    <row r="3" spans="1:23" s="2" customFormat="1" ht="35.1" customHeight="1" x14ac:dyDescent="0.35">
      <c r="A3" s="44"/>
      <c r="B3" s="46"/>
      <c r="C3" s="47" t="s">
        <v>24</v>
      </c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10"/>
      <c r="V3" s="46"/>
      <c r="W3" s="13"/>
    </row>
    <row r="4" spans="1:23" s="2" customFormat="1" ht="15" customHeight="1" x14ac:dyDescent="0.3">
      <c r="A4" s="44"/>
      <c r="B4" s="46"/>
      <c r="C4" s="46" t="s">
        <v>0</v>
      </c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9"/>
      <c r="V4" s="46"/>
      <c r="W4" s="13"/>
    </row>
    <row r="5" spans="1:23" s="3" customFormat="1" ht="15" customHeight="1" x14ac:dyDescent="0.3">
      <c r="A5" s="44"/>
      <c r="B5" s="46"/>
      <c r="C5" s="49" t="s">
        <v>20</v>
      </c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11"/>
      <c r="V5" s="46"/>
      <c r="W5" s="13"/>
    </row>
    <row r="6" spans="1:23" s="2" customFormat="1" ht="15" customHeight="1" x14ac:dyDescent="0.3">
      <c r="A6" s="44"/>
      <c r="B6" s="46"/>
      <c r="C6" s="50" t="s">
        <v>46</v>
      </c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9"/>
      <c r="V6" s="46"/>
      <c r="W6" s="13"/>
    </row>
    <row r="7" spans="1:23" s="2" customFormat="1" ht="15" customHeight="1" x14ac:dyDescent="0.3">
      <c r="A7" s="44"/>
      <c r="B7" s="46"/>
      <c r="C7" s="50" t="s">
        <v>47</v>
      </c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9"/>
      <c r="V7" s="46"/>
      <c r="W7" s="13"/>
    </row>
    <row r="8" spans="1:23" s="2" customFormat="1" ht="15" customHeight="1" x14ac:dyDescent="0.3">
      <c r="A8" s="44"/>
      <c r="B8" s="46"/>
      <c r="C8" s="50" t="s">
        <v>48</v>
      </c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9"/>
      <c r="V8" s="46"/>
      <c r="W8" s="13"/>
    </row>
    <row r="9" spans="1:23" ht="15" customHeight="1" x14ac:dyDescent="0.3">
      <c r="A9" s="44"/>
      <c r="B9" s="46"/>
      <c r="C9" s="51" t="s">
        <v>1</v>
      </c>
      <c r="D9" s="53" t="s">
        <v>2</v>
      </c>
      <c r="E9" s="53" t="s">
        <v>3</v>
      </c>
      <c r="F9" s="52" t="s">
        <v>23</v>
      </c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7"/>
      <c r="V9" s="46"/>
      <c r="W9" s="13"/>
    </row>
    <row r="10" spans="1:23" ht="125.1" customHeight="1" x14ac:dyDescent="0.3">
      <c r="A10" s="44"/>
      <c r="B10" s="46"/>
      <c r="C10" s="52"/>
      <c r="D10" s="52"/>
      <c r="E10" s="52"/>
      <c r="F10" s="40" t="s">
        <v>4</v>
      </c>
      <c r="G10" s="40" t="s">
        <v>5</v>
      </c>
      <c r="H10" s="40" t="s">
        <v>6</v>
      </c>
      <c r="I10" s="40" t="s">
        <v>21</v>
      </c>
      <c r="J10" s="40" t="s">
        <v>30</v>
      </c>
      <c r="K10" s="40" t="s">
        <v>22</v>
      </c>
      <c r="L10" s="40" t="s">
        <v>50</v>
      </c>
      <c r="M10" s="40" t="s">
        <v>7</v>
      </c>
      <c r="N10" s="40" t="s">
        <v>51</v>
      </c>
      <c r="O10" s="40" t="s">
        <v>52</v>
      </c>
      <c r="P10" s="40" t="s">
        <v>53</v>
      </c>
      <c r="Q10" s="40" t="s">
        <v>29</v>
      </c>
      <c r="R10" s="40" t="s">
        <v>31</v>
      </c>
      <c r="S10" s="40" t="s">
        <v>54</v>
      </c>
      <c r="T10" s="4" t="s">
        <v>8</v>
      </c>
      <c r="U10" s="20"/>
      <c r="V10" s="46"/>
      <c r="W10" s="13"/>
    </row>
    <row r="11" spans="1:23" ht="50.1" hidden="1" customHeight="1" x14ac:dyDescent="0.3">
      <c r="A11" s="44"/>
      <c r="B11" s="46"/>
      <c r="C11" s="15" t="s">
        <v>26</v>
      </c>
      <c r="D11" s="14" t="s">
        <v>27</v>
      </c>
      <c r="E11" s="16" t="s">
        <v>3</v>
      </c>
      <c r="F11" s="17" t="s">
        <v>32</v>
      </c>
      <c r="G11" s="17" t="s">
        <v>33</v>
      </c>
      <c r="H11" s="17" t="s">
        <v>34</v>
      </c>
      <c r="I11" s="17" t="s">
        <v>36</v>
      </c>
      <c r="J11" s="17" t="s">
        <v>35</v>
      </c>
      <c r="K11" s="17" t="s">
        <v>37</v>
      </c>
      <c r="L11" s="17" t="s">
        <v>38</v>
      </c>
      <c r="M11" s="17" t="s">
        <v>39</v>
      </c>
      <c r="N11" s="17" t="s">
        <v>40</v>
      </c>
      <c r="O11" s="17" t="s">
        <v>41</v>
      </c>
      <c r="P11" s="17" t="s">
        <v>42</v>
      </c>
      <c r="Q11" s="17" t="s">
        <v>43</v>
      </c>
      <c r="R11" s="17" t="s">
        <v>44</v>
      </c>
      <c r="S11" s="17" t="s">
        <v>45</v>
      </c>
      <c r="T11" s="18" t="s">
        <v>25</v>
      </c>
      <c r="U11" s="21" t="s">
        <v>28</v>
      </c>
      <c r="V11" s="46"/>
      <c r="W11" s="13"/>
    </row>
    <row r="12" spans="1:23" ht="15" customHeight="1" x14ac:dyDescent="0.3">
      <c r="A12" s="44"/>
      <c r="B12" s="46"/>
      <c r="C12" s="31" t="s">
        <v>82</v>
      </c>
      <c r="D12" s="32">
        <f ca="1">OFFSET(D12,-1,0)+1</f>
        <v>1</v>
      </c>
      <c r="E12" s="30" t="s">
        <v>83</v>
      </c>
      <c r="F12" s="6">
        <v>9</v>
      </c>
      <c r="G12" s="6">
        <v>8</v>
      </c>
      <c r="H12" s="6">
        <v>8</v>
      </c>
      <c r="I12" s="6">
        <v>10</v>
      </c>
      <c r="J12" s="6">
        <v>4</v>
      </c>
      <c r="K12" s="6">
        <v>4</v>
      </c>
      <c r="L12" s="6">
        <v>7</v>
      </c>
      <c r="M12" s="6">
        <v>8</v>
      </c>
      <c r="N12" s="6">
        <v>7</v>
      </c>
      <c r="O12" s="6">
        <v>5</v>
      </c>
      <c r="P12" s="6">
        <v>4</v>
      </c>
      <c r="Q12" s="6">
        <v>4</v>
      </c>
      <c r="R12" s="6">
        <v>8</v>
      </c>
      <c r="S12" s="6">
        <v>7</v>
      </c>
      <c r="T12" s="33">
        <f>AVERAGE(Таблица6[[#This Row],[1]:[14]])</f>
        <v>6.6428571428571432</v>
      </c>
      <c r="U12" s="22" t="str">
        <f>IF(Таблица6[[#This Row],[''Б/К]]="Б",IF(Таблица6[[#This Row],[Столбец18]]="-","-",""),"")</f>
        <v/>
      </c>
      <c r="V12" s="46"/>
      <c r="W12" s="13"/>
    </row>
    <row r="13" spans="1:23" ht="15" customHeight="1" x14ac:dyDescent="0.3">
      <c r="A13" s="44"/>
      <c r="B13" s="46"/>
      <c r="C13" s="31" t="s">
        <v>82</v>
      </c>
      <c r="D13" s="32">
        <f t="shared" ref="D13:D15" ca="1" si="0">OFFSET(D13,-1,0)+1</f>
        <v>2</v>
      </c>
      <c r="E13" s="30" t="s">
        <v>84</v>
      </c>
      <c r="F13" s="6">
        <v>6</v>
      </c>
      <c r="G13" s="6">
        <v>8</v>
      </c>
      <c r="H13" s="6">
        <v>8</v>
      </c>
      <c r="I13" s="6">
        <v>5</v>
      </c>
      <c r="J13" s="6">
        <v>2</v>
      </c>
      <c r="K13" s="6">
        <v>4</v>
      </c>
      <c r="L13" s="6">
        <v>7</v>
      </c>
      <c r="M13" s="6">
        <v>6</v>
      </c>
      <c r="N13" s="6">
        <v>5</v>
      </c>
      <c r="O13" s="6">
        <v>6</v>
      </c>
      <c r="P13" s="6">
        <v>5</v>
      </c>
      <c r="Q13" s="6">
        <v>4</v>
      </c>
      <c r="R13" s="6">
        <v>10</v>
      </c>
      <c r="S13" s="6">
        <v>6</v>
      </c>
      <c r="T13" s="33">
        <f>AVERAGE(Таблица6[[#This Row],[1]:[14]])</f>
        <v>5.8571428571428568</v>
      </c>
      <c r="U13" s="22" t="str">
        <f>IF(Таблица6[[#This Row],[''Б/К]]="Б",IF(Таблица6[[#This Row],[Столбец18]]="-","-",""),"")</f>
        <v/>
      </c>
      <c r="V13" s="46"/>
      <c r="W13" s="13"/>
    </row>
    <row r="14" spans="1:23" ht="15" customHeight="1" x14ac:dyDescent="0.3">
      <c r="A14" s="44"/>
      <c r="B14" s="46"/>
      <c r="C14" s="31" t="s">
        <v>82</v>
      </c>
      <c r="D14" s="32">
        <f t="shared" ca="1" si="0"/>
        <v>3</v>
      </c>
      <c r="E14" s="30" t="s">
        <v>85</v>
      </c>
      <c r="F14" s="6">
        <v>6</v>
      </c>
      <c r="G14" s="6">
        <v>5</v>
      </c>
      <c r="H14" s="6">
        <v>4</v>
      </c>
      <c r="I14" s="6">
        <v>5</v>
      </c>
      <c r="J14" s="6">
        <v>4</v>
      </c>
      <c r="K14" s="6">
        <v>4</v>
      </c>
      <c r="L14" s="6">
        <v>6</v>
      </c>
      <c r="M14" s="6">
        <v>4</v>
      </c>
      <c r="N14" s="6">
        <v>4</v>
      </c>
      <c r="O14" s="6">
        <v>4</v>
      </c>
      <c r="P14" s="6">
        <v>4</v>
      </c>
      <c r="Q14" s="6">
        <v>7</v>
      </c>
      <c r="R14" s="6">
        <v>4</v>
      </c>
      <c r="S14" s="6">
        <v>6</v>
      </c>
      <c r="T14" s="33">
        <f>AVERAGE(Таблица6[[#This Row],[1]:[14]])</f>
        <v>4.7857142857142856</v>
      </c>
      <c r="U14" s="22" t="str">
        <f>IF(Таблица6[[#This Row],[''Б/К]]="Б",IF(Таблица6[[#This Row],[Столбец18]]="-","-",""),"")</f>
        <v/>
      </c>
      <c r="V14" s="46"/>
      <c r="W14" s="13"/>
    </row>
    <row r="15" spans="1:23" ht="15" customHeight="1" x14ac:dyDescent="0.3">
      <c r="A15" s="44"/>
      <c r="B15" s="46"/>
      <c r="C15" s="31" t="s">
        <v>82</v>
      </c>
      <c r="D15" s="32">
        <f t="shared" ca="1" si="0"/>
        <v>4</v>
      </c>
      <c r="E15" s="30" t="s">
        <v>86</v>
      </c>
      <c r="F15" s="6">
        <v>7</v>
      </c>
      <c r="G15" s="6">
        <v>7</v>
      </c>
      <c r="H15" s="6">
        <v>6</v>
      </c>
      <c r="I15" s="6">
        <v>6</v>
      </c>
      <c r="J15" s="6" t="s">
        <v>98</v>
      </c>
      <c r="K15" s="6">
        <v>4</v>
      </c>
      <c r="L15" s="6">
        <v>7</v>
      </c>
      <c r="M15" s="6">
        <v>5</v>
      </c>
      <c r="N15" s="6">
        <v>6</v>
      </c>
      <c r="O15" s="6">
        <v>4</v>
      </c>
      <c r="P15" s="6">
        <v>6</v>
      </c>
      <c r="Q15" s="6">
        <v>4</v>
      </c>
      <c r="R15" s="6">
        <v>10</v>
      </c>
      <c r="S15" s="6">
        <v>5</v>
      </c>
      <c r="T15" s="33" t="s">
        <v>99</v>
      </c>
      <c r="U15" s="22" t="str">
        <f>IF(Таблица6[[#This Row],[''Б/К]]="Б",IF(Таблица6[[#This Row],[Столбец18]]="-","-",""),"")</f>
        <v/>
      </c>
      <c r="V15" s="46"/>
      <c r="W15" s="13"/>
    </row>
    <row r="16" spans="1:23" ht="15" customHeight="1" x14ac:dyDescent="0.3">
      <c r="A16" s="44"/>
      <c r="B16" s="46"/>
      <c r="C16" s="31" t="s">
        <v>82</v>
      </c>
      <c r="D16" s="32">
        <f t="shared" ref="D16:D18" ca="1" si="1">OFFSET(D16,-1,0)+1</f>
        <v>5</v>
      </c>
      <c r="E16" s="30" t="s">
        <v>87</v>
      </c>
      <c r="F16" s="6">
        <v>6</v>
      </c>
      <c r="G16" s="6">
        <v>9</v>
      </c>
      <c r="H16" s="6">
        <v>6</v>
      </c>
      <c r="I16" s="6">
        <v>7</v>
      </c>
      <c r="J16" s="6">
        <v>7</v>
      </c>
      <c r="K16" s="6">
        <v>4</v>
      </c>
      <c r="L16" s="6">
        <v>8</v>
      </c>
      <c r="M16" s="6">
        <v>7</v>
      </c>
      <c r="N16" s="6">
        <v>4</v>
      </c>
      <c r="O16" s="6">
        <v>4</v>
      </c>
      <c r="P16" s="6">
        <v>6</v>
      </c>
      <c r="Q16" s="6">
        <v>3</v>
      </c>
      <c r="R16" s="6">
        <v>10</v>
      </c>
      <c r="S16" s="6">
        <v>5</v>
      </c>
      <c r="T16" s="33">
        <f>AVERAGE(Таблица6[[#This Row],[1]:[14]])</f>
        <v>6.1428571428571432</v>
      </c>
      <c r="U16" s="22" t="str">
        <f>IF(Таблица6[[#This Row],[''Б/К]]="Б",IF(Таблица6[[#This Row],[Столбец18]]="-","-",""),"")</f>
        <v/>
      </c>
      <c r="V16" s="46"/>
      <c r="W16" s="13"/>
    </row>
    <row r="17" spans="1:23" ht="15" customHeight="1" x14ac:dyDescent="0.3">
      <c r="A17" s="44"/>
      <c r="B17" s="46"/>
      <c r="C17" s="31" t="s">
        <v>82</v>
      </c>
      <c r="D17" s="32">
        <f t="shared" ca="1" si="1"/>
        <v>6</v>
      </c>
      <c r="E17" s="30" t="s">
        <v>88</v>
      </c>
      <c r="F17" s="6">
        <v>6</v>
      </c>
      <c r="G17" s="6">
        <v>6</v>
      </c>
      <c r="H17" s="6">
        <v>6</v>
      </c>
      <c r="I17" s="6">
        <v>6</v>
      </c>
      <c r="J17" s="6" t="s">
        <v>98</v>
      </c>
      <c r="K17" s="6">
        <v>4</v>
      </c>
      <c r="L17" s="6">
        <v>4</v>
      </c>
      <c r="M17" s="6">
        <v>6</v>
      </c>
      <c r="N17" s="6">
        <v>4</v>
      </c>
      <c r="O17" s="6">
        <v>4</v>
      </c>
      <c r="P17" s="6">
        <v>4</v>
      </c>
      <c r="Q17" s="6">
        <v>4</v>
      </c>
      <c r="R17" s="6">
        <v>7</v>
      </c>
      <c r="S17" s="6">
        <v>4</v>
      </c>
      <c r="T17" s="33">
        <f>AVERAGE(Таблица6[[#This Row],[1]:[14]])</f>
        <v>5</v>
      </c>
      <c r="U17" s="22" t="str">
        <f>IF(Таблица6[[#This Row],[''Б/К]]="Б",IF(Таблица6[[#This Row],[Столбец18]]="-","-",""),"")</f>
        <v/>
      </c>
      <c r="V17" s="46"/>
      <c r="W17" s="13"/>
    </row>
    <row r="18" spans="1:23" ht="15" customHeight="1" x14ac:dyDescent="0.3">
      <c r="A18" s="44"/>
      <c r="B18" s="46"/>
      <c r="C18" s="31" t="s">
        <v>82</v>
      </c>
      <c r="D18" s="32">
        <f t="shared" ca="1" si="1"/>
        <v>7</v>
      </c>
      <c r="E18" s="30" t="s">
        <v>89</v>
      </c>
      <c r="F18" s="6">
        <v>6</v>
      </c>
      <c r="G18" s="6">
        <v>5</v>
      </c>
      <c r="H18" s="6">
        <v>4</v>
      </c>
      <c r="I18" s="6">
        <v>5</v>
      </c>
      <c r="J18" s="6">
        <v>4</v>
      </c>
      <c r="K18" s="6">
        <v>4</v>
      </c>
      <c r="L18" s="6">
        <v>5</v>
      </c>
      <c r="M18" s="6">
        <v>4</v>
      </c>
      <c r="N18" s="6">
        <v>7</v>
      </c>
      <c r="O18" s="6">
        <v>4</v>
      </c>
      <c r="P18" s="6">
        <v>4</v>
      </c>
      <c r="Q18" s="6">
        <v>7</v>
      </c>
      <c r="R18" s="6">
        <v>4</v>
      </c>
      <c r="S18" s="6">
        <v>7</v>
      </c>
      <c r="T18" s="33">
        <f>AVERAGE(Таблица6[[#This Row],[1]:[14]])</f>
        <v>5</v>
      </c>
      <c r="U18" s="22" t="str">
        <f>IF(Таблица6[[#This Row],[''Б/К]]="Б",IF(Таблица6[[#This Row],[Столбец18]]="-","-",""),"")</f>
        <v/>
      </c>
      <c r="V18" s="46"/>
      <c r="W18" s="13"/>
    </row>
    <row r="19" spans="1:23" ht="15" customHeight="1" x14ac:dyDescent="0.3">
      <c r="A19" s="44"/>
      <c r="B19" s="46"/>
      <c r="C19" s="31" t="s">
        <v>82</v>
      </c>
      <c r="D19" s="32">
        <f t="shared" ref="D19:D21" ca="1" si="2">OFFSET(D19,-1,0)+1</f>
        <v>8</v>
      </c>
      <c r="E19" s="30" t="s">
        <v>90</v>
      </c>
      <c r="F19" s="6">
        <v>9</v>
      </c>
      <c r="G19" s="6">
        <v>5</v>
      </c>
      <c r="H19" s="6">
        <v>10</v>
      </c>
      <c r="I19" s="6">
        <v>5</v>
      </c>
      <c r="J19" s="6">
        <v>4</v>
      </c>
      <c r="K19" s="6">
        <v>4</v>
      </c>
      <c r="L19" s="6">
        <v>7</v>
      </c>
      <c r="M19" s="6">
        <v>8</v>
      </c>
      <c r="N19" s="6">
        <v>7</v>
      </c>
      <c r="O19" s="6">
        <v>4</v>
      </c>
      <c r="P19" s="6">
        <v>4</v>
      </c>
      <c r="Q19" s="6">
        <v>7</v>
      </c>
      <c r="R19" s="6">
        <v>8</v>
      </c>
      <c r="S19" s="6">
        <v>7</v>
      </c>
      <c r="T19" s="33">
        <f>AVERAGE(Таблица6[[#This Row],[1]:[14]])</f>
        <v>6.3571428571428568</v>
      </c>
      <c r="U19" s="22" t="str">
        <f>IF(Таблица6[[#This Row],[''Б/К]]="Б",IF(Таблица6[[#This Row],[Столбец18]]="-","-",""),"")</f>
        <v/>
      </c>
      <c r="V19" s="46"/>
      <c r="W19" s="13"/>
    </row>
    <row r="20" spans="1:23" ht="15" customHeight="1" x14ac:dyDescent="0.3">
      <c r="A20" s="44"/>
      <c r="B20" s="46"/>
      <c r="C20" s="31" t="s">
        <v>82</v>
      </c>
      <c r="D20" s="32">
        <f t="shared" ca="1" si="2"/>
        <v>9</v>
      </c>
      <c r="E20" s="30" t="s">
        <v>91</v>
      </c>
      <c r="F20" s="6">
        <v>8</v>
      </c>
      <c r="G20" s="6">
        <v>8</v>
      </c>
      <c r="H20" s="6">
        <v>8</v>
      </c>
      <c r="I20" s="6">
        <v>5</v>
      </c>
      <c r="J20" s="6">
        <v>4</v>
      </c>
      <c r="K20" s="6">
        <v>4</v>
      </c>
      <c r="L20" s="6">
        <v>4</v>
      </c>
      <c r="M20" s="6">
        <v>8</v>
      </c>
      <c r="N20" s="6">
        <v>5</v>
      </c>
      <c r="O20" s="6">
        <v>5</v>
      </c>
      <c r="P20" s="6">
        <v>6</v>
      </c>
      <c r="Q20" s="6">
        <v>5</v>
      </c>
      <c r="R20" s="6">
        <v>10</v>
      </c>
      <c r="S20" s="6">
        <v>6</v>
      </c>
      <c r="T20" s="33">
        <f>AVERAGE(Таблица6[[#This Row],[1]:[14]])</f>
        <v>6.1428571428571432</v>
      </c>
      <c r="U20" s="22" t="str">
        <f>IF(Таблица6[[#This Row],[''Б/К]]="Б",IF(Таблица6[[#This Row],[Столбец18]]="-","-",""),"")</f>
        <v/>
      </c>
      <c r="V20" s="46"/>
      <c r="W20" s="13"/>
    </row>
    <row r="21" spans="1:23" ht="15" customHeight="1" x14ac:dyDescent="0.3">
      <c r="A21" s="44"/>
      <c r="B21" s="46"/>
      <c r="C21" s="31" t="s">
        <v>82</v>
      </c>
      <c r="D21" s="32">
        <f t="shared" ca="1" si="2"/>
        <v>10</v>
      </c>
      <c r="E21" s="30" t="s">
        <v>92</v>
      </c>
      <c r="F21" s="6">
        <v>8</v>
      </c>
      <c r="G21" s="6">
        <v>8</v>
      </c>
      <c r="H21" s="6">
        <v>5</v>
      </c>
      <c r="I21" s="6">
        <v>6</v>
      </c>
      <c r="J21" s="6">
        <v>4</v>
      </c>
      <c r="K21" s="6">
        <v>6</v>
      </c>
      <c r="L21" s="6">
        <v>7</v>
      </c>
      <c r="M21" s="6">
        <v>7</v>
      </c>
      <c r="N21" s="6">
        <v>5</v>
      </c>
      <c r="O21" s="6">
        <v>5</v>
      </c>
      <c r="P21" s="6">
        <v>4</v>
      </c>
      <c r="Q21" s="6">
        <v>4</v>
      </c>
      <c r="R21" s="6">
        <v>8</v>
      </c>
      <c r="S21" s="6">
        <v>5</v>
      </c>
      <c r="T21" s="33">
        <f>AVERAGE(Таблица6[[#This Row],[1]:[14]])</f>
        <v>5.8571428571428568</v>
      </c>
      <c r="U21" s="22" t="str">
        <f>IF(Таблица6[[#This Row],[''Б/К]]="Б",IF(Таблица6[[#This Row],[Столбец18]]="-","-",""),"")</f>
        <v/>
      </c>
      <c r="V21" s="46"/>
      <c r="W21" s="13"/>
    </row>
    <row r="22" spans="1:23" ht="15" customHeight="1" x14ac:dyDescent="0.3">
      <c r="A22" s="44"/>
      <c r="B22" s="46"/>
      <c r="C22" s="31" t="s">
        <v>82</v>
      </c>
      <c r="D22" s="32">
        <f t="shared" ref="D22:D24" ca="1" si="3">OFFSET(D22,-1,0)+1</f>
        <v>11</v>
      </c>
      <c r="E22" s="30" t="s">
        <v>93</v>
      </c>
      <c r="F22" s="6">
        <v>7</v>
      </c>
      <c r="G22" s="6">
        <v>6</v>
      </c>
      <c r="H22" s="6">
        <v>7</v>
      </c>
      <c r="I22" s="6">
        <v>5</v>
      </c>
      <c r="J22" s="6" t="s">
        <v>98</v>
      </c>
      <c r="K22" s="6">
        <v>5</v>
      </c>
      <c r="L22" s="6" t="s">
        <v>98</v>
      </c>
      <c r="M22" s="6" t="s">
        <v>98</v>
      </c>
      <c r="N22" s="6">
        <v>4</v>
      </c>
      <c r="O22" s="6">
        <v>4</v>
      </c>
      <c r="P22" s="6">
        <v>4</v>
      </c>
      <c r="Q22" s="6">
        <v>2</v>
      </c>
      <c r="R22" s="6">
        <v>10</v>
      </c>
      <c r="S22" s="6">
        <v>4</v>
      </c>
      <c r="T22" s="33" t="s">
        <v>99</v>
      </c>
      <c r="U22" s="22" t="str">
        <f>IF(Таблица6[[#This Row],[''Б/К]]="Б",IF(Таблица6[[#This Row],[Столбец18]]="-","-",""),"")</f>
        <v/>
      </c>
      <c r="V22" s="46"/>
      <c r="W22" s="13"/>
    </row>
    <row r="23" spans="1:23" ht="15" customHeight="1" x14ac:dyDescent="0.3">
      <c r="A23" s="44"/>
      <c r="B23" s="46"/>
      <c r="C23" s="31" t="s">
        <v>82</v>
      </c>
      <c r="D23" s="32">
        <f t="shared" ca="1" si="3"/>
        <v>12</v>
      </c>
      <c r="E23" s="30" t="s">
        <v>94</v>
      </c>
      <c r="F23" s="6">
        <v>8</v>
      </c>
      <c r="G23" s="6">
        <v>8</v>
      </c>
      <c r="H23" s="6">
        <v>5</v>
      </c>
      <c r="I23" s="6">
        <v>5</v>
      </c>
      <c r="J23" s="6" t="s">
        <v>98</v>
      </c>
      <c r="K23" s="6">
        <v>4</v>
      </c>
      <c r="L23" s="6" t="s">
        <v>98</v>
      </c>
      <c r="M23" s="6">
        <v>7</v>
      </c>
      <c r="N23" s="6">
        <v>4</v>
      </c>
      <c r="O23" s="6">
        <v>4</v>
      </c>
      <c r="P23" s="6">
        <v>4</v>
      </c>
      <c r="Q23" s="6" t="s">
        <v>98</v>
      </c>
      <c r="R23" s="6">
        <v>6</v>
      </c>
      <c r="S23" s="6">
        <v>4</v>
      </c>
      <c r="T23" s="33" t="s">
        <v>99</v>
      </c>
      <c r="U23" s="22" t="str">
        <f>IF(Таблица6[[#This Row],[''Б/К]]="Б",IF(Таблица6[[#This Row],[Столбец18]]="-","-",""),"")</f>
        <v/>
      </c>
      <c r="V23" s="46"/>
      <c r="W23" s="13"/>
    </row>
    <row r="24" spans="1:23" ht="15" customHeight="1" x14ac:dyDescent="0.3">
      <c r="A24" s="44"/>
      <c r="B24" s="46"/>
      <c r="C24" s="31" t="s">
        <v>82</v>
      </c>
      <c r="D24" s="32">
        <f t="shared" ca="1" si="3"/>
        <v>13</v>
      </c>
      <c r="E24" s="30" t="s">
        <v>95</v>
      </c>
      <c r="F24" s="6">
        <v>9</v>
      </c>
      <c r="G24" s="6">
        <v>5</v>
      </c>
      <c r="H24" s="6">
        <v>9</v>
      </c>
      <c r="I24" s="6">
        <v>5</v>
      </c>
      <c r="J24" s="6">
        <v>4</v>
      </c>
      <c r="K24" s="6">
        <v>5</v>
      </c>
      <c r="L24" s="6">
        <v>4</v>
      </c>
      <c r="M24" s="6">
        <v>6</v>
      </c>
      <c r="N24" s="6">
        <v>4</v>
      </c>
      <c r="O24" s="6">
        <v>4</v>
      </c>
      <c r="P24" s="6">
        <v>4</v>
      </c>
      <c r="Q24" s="6">
        <v>4</v>
      </c>
      <c r="R24" s="6">
        <v>8</v>
      </c>
      <c r="S24" s="6">
        <v>7</v>
      </c>
      <c r="T24" s="33">
        <f>AVERAGE(Таблица6[[#This Row],[1]:[14]])</f>
        <v>5.5714285714285712</v>
      </c>
      <c r="U24" s="22" t="str">
        <f>IF(Таблица6[[#This Row],[''Б/К]]="Б",IF(Таблица6[[#This Row],[Столбец18]]="-","-",""),"")</f>
        <v/>
      </c>
      <c r="V24" s="46"/>
      <c r="W24" s="13"/>
    </row>
    <row r="25" spans="1:23" ht="15" customHeight="1" x14ac:dyDescent="0.3">
      <c r="A25" s="44"/>
      <c r="B25" s="46"/>
      <c r="C25" s="31" t="s">
        <v>82</v>
      </c>
      <c r="D25" s="32">
        <f t="shared" ref="D25" ca="1" si="4">OFFSET(D25,-1,0)+1</f>
        <v>14</v>
      </c>
      <c r="E25" s="30" t="s">
        <v>96</v>
      </c>
      <c r="F25" s="6">
        <v>9</v>
      </c>
      <c r="G25" s="6">
        <v>8</v>
      </c>
      <c r="H25" s="6">
        <v>9</v>
      </c>
      <c r="I25" s="6">
        <v>10</v>
      </c>
      <c r="J25" s="6">
        <v>9</v>
      </c>
      <c r="K25" s="6">
        <v>6</v>
      </c>
      <c r="L25" s="6">
        <v>8</v>
      </c>
      <c r="M25" s="6">
        <v>8</v>
      </c>
      <c r="N25" s="6">
        <v>7</v>
      </c>
      <c r="O25" s="6">
        <v>8</v>
      </c>
      <c r="P25" s="6">
        <v>9</v>
      </c>
      <c r="Q25" s="6">
        <v>7</v>
      </c>
      <c r="R25" s="6">
        <v>10</v>
      </c>
      <c r="S25" s="6">
        <v>7</v>
      </c>
      <c r="T25" s="33">
        <f>AVERAGE(Таблица6[[#This Row],[1]:[14]])</f>
        <v>8.2142857142857135</v>
      </c>
      <c r="U25" s="22" t="str">
        <f>IF(Таблица6[[#This Row],[''Б/К]]="Б",IF(Таблица6[[#This Row],[Столбец18]]="-","-",""),"")</f>
        <v/>
      </c>
      <c r="V25" s="46"/>
      <c r="W25" s="13"/>
    </row>
    <row r="26" spans="1:23" ht="15" customHeight="1" x14ac:dyDescent="0.3">
      <c r="A26" s="44"/>
      <c r="B26" s="46"/>
      <c r="C26" s="31" t="s">
        <v>82</v>
      </c>
      <c r="D26" s="32">
        <f t="shared" ref="D26" ca="1" si="5">OFFSET(D26,-1,0)+1</f>
        <v>15</v>
      </c>
      <c r="E26" s="30" t="s">
        <v>97</v>
      </c>
      <c r="F26" s="6">
        <v>10</v>
      </c>
      <c r="G26" s="6">
        <v>9</v>
      </c>
      <c r="H26" s="6">
        <v>9</v>
      </c>
      <c r="I26" s="6">
        <v>7</v>
      </c>
      <c r="J26" s="6">
        <v>10</v>
      </c>
      <c r="K26" s="6">
        <v>6</v>
      </c>
      <c r="L26" s="6">
        <v>11</v>
      </c>
      <c r="M26" s="6">
        <v>8</v>
      </c>
      <c r="N26" s="6">
        <v>5</v>
      </c>
      <c r="O26" s="6">
        <v>8</v>
      </c>
      <c r="P26" s="6">
        <v>6</v>
      </c>
      <c r="Q26" s="6">
        <v>8</v>
      </c>
      <c r="R26" s="6">
        <v>10</v>
      </c>
      <c r="S26" s="6">
        <v>7</v>
      </c>
      <c r="T26" s="33">
        <f>AVERAGE(Таблица6[[#This Row],[1]:[14]])</f>
        <v>8.1428571428571423</v>
      </c>
      <c r="U26" s="22" t="str">
        <f>IF(Таблица6[[#This Row],[''Б/К]]="Б",IF(Таблица6[[#This Row],[Столбец18]]="-","-",""),"")</f>
        <v/>
      </c>
      <c r="V26" s="46"/>
      <c r="W26" s="13"/>
    </row>
    <row r="27" spans="1:23" ht="15" customHeight="1" x14ac:dyDescent="0.3">
      <c r="A27" s="44"/>
      <c r="B27" s="46"/>
      <c r="C27" s="7"/>
      <c r="D27" s="7"/>
      <c r="E27" s="5" t="s">
        <v>9</v>
      </c>
      <c r="F27" s="27">
        <f ca="1">IF(SUM(OFFSET(Таблица6[[#Headers],[1]],1,0):OFFSET(F27, -1, 0))=0,"",SUM(OFFSET(Таблица6[[#Headers],[1]],1,0):OFFSET(F27, -1, 0))/OFFSET($D27, -1, 0))</f>
        <v>7.6</v>
      </c>
      <c r="G27" s="27">
        <f ca="1">IF(SUM(OFFSET(Таблица6[[#Headers],[2]],1,0):OFFSET(G27, -1, 0))=0,"",SUM(OFFSET(Таблица6[[#Headers],[2]],1,0):OFFSET(G27, -1, 0))/OFFSET($D27, -1, 0))</f>
        <v>7</v>
      </c>
      <c r="H27" s="27">
        <f ca="1">IF(SUM(OFFSET(Таблица6[[#Headers],[3]],1,0):OFFSET(H27, -1, 0))=0,"",SUM(OFFSET(Таблица6[[#Headers],[3]],1,0):OFFSET(H27, -1, 0))/OFFSET($D27, -1, 0))</f>
        <v>6.9333333333333336</v>
      </c>
      <c r="I27" s="27">
        <f ca="1">IF(SUM(OFFSET(Таблица6[[#Headers],[4]],1,0):OFFSET(I27, -1, 0))=0,"",SUM(OFFSET(Таблица6[[#Headers],[4]],1,0):OFFSET(I27, -1, 0))/OFFSET($D27, -1, 0))</f>
        <v>6.1333333333333337</v>
      </c>
      <c r="J27" s="27">
        <f ca="1">IF(SUM(OFFSET(Таблица6[[#Headers],[5]],1,0):OFFSET(J27, -1, 0))=0,"",SUM(OFFSET(Таблица6[[#Headers],[5]],1,0):OFFSET(J27, -1, 0))/OFFSET($D27, -1, 0))</f>
        <v>3.7333333333333334</v>
      </c>
      <c r="K27" s="27">
        <f ca="1">IF(SUM(OFFSET(Таблица6[[#Headers],[6]],1,0):OFFSET(K27, -1, 0))=0,"",SUM(OFFSET(Таблица6[[#Headers],[6]],1,0):OFFSET(K27, -1, 0))/OFFSET($D27, -1, 0))</f>
        <v>4.5333333333333332</v>
      </c>
      <c r="L27" s="27">
        <f ca="1">IF(SUM(OFFSET(Таблица6[[#Headers],[7]],1,0):OFFSET(L27, -1, 0))=0,"",SUM(OFFSET(Таблица6[[#Headers],[7]],1,0):OFFSET(L27, -1, 0))/OFFSET($D27, -1, 0))</f>
        <v>5.666666666666667</v>
      </c>
      <c r="M27" s="27">
        <f ca="1">IF(SUM(OFFSET(Таблица6[[#Headers],[8]],1,0):OFFSET(M27, -1, 0))=0,"",SUM(OFFSET(Таблица6[[#Headers],[8]],1,0):OFFSET(M27, -1, 0))/OFFSET($D27, -1, 0))</f>
        <v>6.1333333333333337</v>
      </c>
      <c r="N27" s="27">
        <f ca="1">IF(SUM(OFFSET(Таблица6[[#Headers],[9]],1,0):OFFSET(N27, -1, 0))=0,"",SUM(OFFSET(Таблица6[[#Headers],[9]],1,0):OFFSET(N27, -1, 0))/OFFSET($D27, -1, 0))</f>
        <v>5.2</v>
      </c>
      <c r="O27" s="27">
        <f ca="1">IF(SUM(OFFSET(Таблица6[[#Headers],[10]],1,0):OFFSET(O27, -1, 0))=0,"",SUM(OFFSET(Таблица6[[#Headers],[10]],1,0):OFFSET(O27, -1, 0))/OFFSET($D27, -1, 0))</f>
        <v>4.8666666666666663</v>
      </c>
      <c r="P27" s="27">
        <f ca="1">IF(SUM(OFFSET(Таблица6[[#Headers],[11]],1,0):OFFSET(P27, -1, 0))=0,"",SUM(OFFSET(Таблица6[[#Headers],[11]],1,0):OFFSET(P27, -1, 0))/OFFSET($D27, -1, 0))</f>
        <v>4.9333333333333336</v>
      </c>
      <c r="Q27" s="27">
        <f ca="1">IF(SUM(OFFSET(Таблица6[[#Headers],[12]],1,0):OFFSET(Q27, -1, 0))=0,"",SUM(OFFSET(Таблица6[[#Headers],[12]],1,0):OFFSET(Q27, -1, 0))/OFFSET($D27, -1, 0))</f>
        <v>4.666666666666667</v>
      </c>
      <c r="R27" s="27">
        <f ca="1">IF(SUM(OFFSET(Таблица6[[#Headers],[13]],1,0):OFFSET(R27, -1, 0))=0,"",SUM(OFFSET(Таблица6[[#Headers],[13]],1,0):OFFSET(R27, -1, 0))/OFFSET($D27, -1, 0))</f>
        <v>8.1999999999999993</v>
      </c>
      <c r="S27" s="27">
        <f ca="1">IF(SUM(OFFSET(Таблица6[[#Headers],[14]],1,0):OFFSET(S27, -1, 0))=0,"",SUM(OFFSET(Таблица6[[#Headers],[14]],1,0):OFFSET(S27, -1, 0))/OFFSET($D27, -1, 0))</f>
        <v>5.8</v>
      </c>
      <c r="T27" s="19">
        <f ca="1">IFERROR(AVERAGE(F27:S27),"")</f>
        <v>5.8142857142857149</v>
      </c>
      <c r="U27" s="24">
        <f ca="1">COUNTIF(OFFSET(Таблица6[[#Headers],["Б" и "-"]],1,0):OFFSET(U27,-1,0),"-")</f>
        <v>0</v>
      </c>
      <c r="V27" s="46"/>
      <c r="W27" s="13"/>
    </row>
    <row r="28" spans="1:23" ht="15" customHeight="1" x14ac:dyDescent="0.3">
      <c r="A28" s="44"/>
      <c r="B28" s="46"/>
      <c r="C28" s="7"/>
      <c r="D28" s="7"/>
      <c r="E28" s="5" t="s">
        <v>10</v>
      </c>
      <c r="F28" s="28">
        <f ca="1">IF(SUM(OFFSET(Таблица6[[#Headers],[1]],1,0):OFFSET(F27, -1, 0))=0,"",IF(COUNTIF(OFFSET(Таблица6[[#Headers],[1]],1,0):OFFSET(F27, -1, 0),"&gt;=4")=0,0,COUNTIF(OFFSET(Таблица6[[#Headers],[1]],1,0):OFFSET(F27, -1, 0),"&gt;=4")/OFFSET($D27, -1, 0)*100))</f>
        <v>100</v>
      </c>
      <c r="G28" s="28">
        <f ca="1">IF(SUM(OFFSET(Таблица6[[#Headers],[2]],1,0):OFFSET(G27, -1, 0))=0,"",IF(COUNTIF(OFFSET(Таблица6[[#Headers],[2]],1,0):OFFSET(G27, -1, 0),"&gt;=4")=0,0,COUNTIF(OFFSET(Таблица6[[#Headers],[2]],1,0):OFFSET(G27, -1, 0),"&gt;=4")/OFFSET($D27, -1, 0)*100))</f>
        <v>100</v>
      </c>
      <c r="H28" s="28">
        <f ca="1">IF(SUM(OFFSET(Таблица6[[#Headers],[3]],1,0):OFFSET(H27, -1, 0))=0,"",IF(COUNTIF(OFFSET(Таблица6[[#Headers],[3]],1,0):OFFSET(H27, -1, 0),"&gt;=4")=0,0,COUNTIF(OFFSET(Таблица6[[#Headers],[3]],1,0):OFFSET(H27, -1, 0),"&gt;=4")/OFFSET($D27, -1, 0)*100))</f>
        <v>100</v>
      </c>
      <c r="I28" s="28">
        <f ca="1">IF(SUM(OFFSET(Таблица6[[#Headers],[4]],1,0):OFFSET(I27, -1, 0))=0,"",IF(COUNTIF(OFFSET(Таблица6[[#Headers],[4]],1,0):OFFSET(I27, -1, 0),"&gt;=4")=0,0,COUNTIF(OFFSET(Таблица6[[#Headers],[4]],1,0):OFFSET(I27, -1, 0),"&gt;=4")/OFFSET($D27, -1, 0)*100))</f>
        <v>100</v>
      </c>
      <c r="J28" s="28">
        <f ca="1">IF(SUM(OFFSET(Таблица6[[#Headers],[5]],1,0):OFFSET(J27, -1, 0))=0,"",IF(COUNTIF(OFFSET(Таблица6[[#Headers],[5]],1,0):OFFSET(J27, -1, 0),"&gt;=4")=0,0,COUNTIF(OFFSET(Таблица6[[#Headers],[5]],1,0):OFFSET(J27, -1, 0),"&gt;=4")/OFFSET($D27, -1, 0)*100))</f>
        <v>66.666666666666657</v>
      </c>
      <c r="K28" s="28">
        <f ca="1">IF(SUM(OFFSET(Таблица6[[#Headers],[6]],1,0):OFFSET(K27, -1, 0))=0,"",IF(COUNTIF(OFFSET(Таблица6[[#Headers],[6]],1,0):OFFSET(K27, -1, 0),"&gt;=4")=0,0,COUNTIF(OFFSET(Таблица6[[#Headers],[6]],1,0):OFFSET(K27, -1, 0),"&gt;=4")/OFFSET($D27, -1, 0)*100))</f>
        <v>100</v>
      </c>
      <c r="L28" s="28">
        <f ca="1">IF(SUM(OFFSET(Таблица6[[#Headers],[7]],1,0):OFFSET(L27, -1, 0))=0,"",IF(COUNTIF(OFFSET(Таблица6[[#Headers],[7]],1,0):OFFSET(L27, -1, 0),"&gt;=4")=0,0,COUNTIF(OFFSET(Таблица6[[#Headers],[7]],1,0):OFFSET(L27, -1, 0),"&gt;=4")/OFFSET($D27, -1, 0)*100))</f>
        <v>86.666666666666671</v>
      </c>
      <c r="M28" s="28">
        <f ca="1">IF(SUM(OFFSET(Таблица6[[#Headers],[8]],1,0):OFFSET(M27, -1, 0))=0,"",IF(COUNTIF(OFFSET(Таблица6[[#Headers],[8]],1,0):OFFSET(M27, -1, 0),"&gt;=4")=0,0,COUNTIF(OFFSET(Таблица6[[#Headers],[8]],1,0):OFFSET(M27, -1, 0),"&gt;=4")/OFFSET($D27, -1, 0)*100))</f>
        <v>93.333333333333329</v>
      </c>
      <c r="N28" s="28">
        <f ca="1">IF(SUM(OFFSET(Таблица6[[#Headers],[9]],1,0):OFFSET(N27, -1, 0))=0,"",IF(COUNTIF(OFFSET(Таблица6[[#Headers],[9]],1,0):OFFSET(N27, -1, 0),"&gt;=4")=0,0,COUNTIF(OFFSET(Таблица6[[#Headers],[9]],1,0):OFFSET(N27, -1, 0),"&gt;=4")/OFFSET($D27, -1, 0)*100))</f>
        <v>100</v>
      </c>
      <c r="O28" s="28">
        <f ca="1">IF(SUM(OFFSET(Таблица6[[#Headers],[10]],1,0):OFFSET(O27, -1, 0))=0,"",IF(COUNTIF(OFFSET(Таблица6[[#Headers],[10]],1,0):OFFSET(O27, -1, 0),"&gt;=4")=0,0,COUNTIF(OFFSET(Таблица6[[#Headers],[10]],1,0):OFFSET(O27, -1, 0),"&gt;=4")/OFFSET($D27, -1, 0)*100))</f>
        <v>100</v>
      </c>
      <c r="P28" s="28">
        <f ca="1">IF(SUM(OFFSET(Таблица6[[#Headers],[11]],1,0):OFFSET(P27, -1, 0))=0,"",IF(COUNTIF(OFFSET(Таблица6[[#Headers],[11]],1,0):OFFSET(P27, -1, 0),"&gt;=4")=0,0,COUNTIF(OFFSET(Таблица6[[#Headers],[11]],1,0):OFFSET(P27, -1, 0),"&gt;=4")/OFFSET($D27, -1, 0)*100))</f>
        <v>100</v>
      </c>
      <c r="Q28" s="28">
        <f ca="1">IF(SUM(OFFSET(Таблица6[[#Headers],[12]],1,0):OFFSET(Q27, -1, 0))=0,"",IF(COUNTIF(OFFSET(Таблица6[[#Headers],[12]],1,0):OFFSET(Q27, -1, 0),"&gt;=4")=0,0,COUNTIF(OFFSET(Таблица6[[#Headers],[12]],1,0):OFFSET(Q27, -1, 0),"&gt;=4")/OFFSET($D27, -1, 0)*100))</f>
        <v>80</v>
      </c>
      <c r="R28" s="28">
        <f ca="1">IF(SUM(OFFSET(Таблица6[[#Headers],[13]],1,0):OFFSET(R27, -1, 0))=0,"",IF(COUNTIF(OFFSET(Таблица6[[#Headers],[13]],1,0):OFFSET(R27, -1, 0),"&gt;=4")=0,0,COUNTIF(OFFSET(Таблица6[[#Headers],[13]],1,0):OFFSET(R27, -1, 0),"&gt;=4")/OFFSET($D27, -1, 0)*100))</f>
        <v>100</v>
      </c>
      <c r="S28" s="28">
        <f ca="1">IF(SUM(OFFSET(Таблица6[[#Headers],[14]],1,0):OFFSET(S27, -1, 0))=0,"",IF(COUNTIF(OFFSET(Таблица6[[#Headers],[14]],1,0):OFFSET(S27, -1, 0),"&gt;=4")=0,0,COUNTIF(OFFSET(Таблица6[[#Headers],[14]],1,0):OFFSET(S27, -1, 0),"&gt;=4")/OFFSET($D27, -1, 0)*100))</f>
        <v>100</v>
      </c>
      <c r="T28" s="8"/>
      <c r="U28" s="8"/>
      <c r="V28" s="46"/>
      <c r="W28" s="13"/>
    </row>
    <row r="29" spans="1:23" ht="15" customHeight="1" x14ac:dyDescent="0.3">
      <c r="A29" s="44"/>
      <c r="B29" s="46"/>
      <c r="C29" s="7"/>
      <c r="D29" s="7"/>
      <c r="E29" s="5" t="s">
        <v>11</v>
      </c>
      <c r="F29" s="28">
        <f ca="1">IF(SUM(OFFSET(Таблица6[[#Headers],[1]],1,0):OFFSET(F27, -1, 0))=0,"",IF(COUNTIF(OFFSET(Таблица6[[#Headers],[1]],1,0):OFFSET(F27, -1, 0),"&gt;=7")=0,0,COUNTIF(OFFSET(Таблица6[[#Headers],[1]],1,0):OFFSET(F27, -1, 0),"&gt;=7")/OFFSET($D27, -1, 0)*100))</f>
        <v>66.666666666666657</v>
      </c>
      <c r="G29" s="28">
        <f ca="1">IF(SUM(OFFSET(Таблица6[[#Headers],[2]],1,0):OFFSET(G27, -1, 0))=0,"",IF(COUNTIF(OFFSET(Таблица6[[#Headers],[2]],1,0):OFFSET(G27, -1, 0),"&gt;=7")=0,0,COUNTIF(OFFSET(Таблица6[[#Headers],[2]],1,0):OFFSET(G27, -1, 0),"&gt;=7")/OFFSET($D27, -1, 0)*100))</f>
        <v>60</v>
      </c>
      <c r="H29" s="28">
        <f ca="1">IF(SUM(OFFSET(Таблица6[[#Headers],[3]],1,0):OFFSET(H27, -1, 0))=0,"",IF(COUNTIF(OFFSET(Таблица6[[#Headers],[3]],1,0):OFFSET(H27, -1, 0),"&gt;=7")=0,0,COUNTIF(OFFSET(Таблица6[[#Headers],[3]],1,0):OFFSET(H27, -1, 0),"&gt;=7")/OFFSET($D27, -1, 0)*100))</f>
        <v>53.333333333333336</v>
      </c>
      <c r="I29" s="28">
        <f ca="1">IF(SUM(OFFSET(Таблица6[[#Headers],[4]],1,0):OFFSET(I27, -1, 0))=0,"",IF(COUNTIF(OFFSET(Таблица6[[#Headers],[4]],1,0):OFFSET(I27, -1, 0),"&gt;=7")=0,0,COUNTIF(OFFSET(Таблица6[[#Headers],[4]],1,0):OFFSET(I27, -1, 0),"&gt;=7")/OFFSET($D27, -1, 0)*100))</f>
        <v>26.666666666666668</v>
      </c>
      <c r="J29" s="28">
        <f ca="1">IF(SUM(OFFSET(Таблица6[[#Headers],[5]],1,0):OFFSET(J27, -1, 0))=0,"",IF(COUNTIF(OFFSET(Таблица6[[#Headers],[5]],1,0):OFFSET(J27, -1, 0),"&gt;=7")=0,0,COUNTIF(OFFSET(Таблица6[[#Headers],[5]],1,0):OFFSET(J27, -1, 0),"&gt;=7")/OFFSET($D27, -1, 0)*100))</f>
        <v>20</v>
      </c>
      <c r="K29" s="28">
        <f ca="1">IF(SUM(OFFSET(Таблица6[[#Headers],[6]],1,0):OFFSET(K27, -1, 0))=0,"",IF(COUNTIF(OFFSET(Таблица6[[#Headers],[6]],1,0):OFFSET(K27, -1, 0),"&gt;=7")=0,0,COUNTIF(OFFSET(Таблица6[[#Headers],[6]],1,0):OFFSET(K27, -1, 0),"&gt;=7")/OFFSET($D27, -1, 0)*100))</f>
        <v>0</v>
      </c>
      <c r="L29" s="28">
        <f ca="1">IF(SUM(OFFSET(Таблица6[[#Headers],[7]],1,0):OFFSET(L27, -1, 0))=0,"",IF(COUNTIF(OFFSET(Таблица6[[#Headers],[7]],1,0):OFFSET(L27, -1, 0),"&gt;=7")=0,0,COUNTIF(OFFSET(Таблица6[[#Headers],[7]],1,0):OFFSET(L27, -1, 0),"&gt;=7")/OFFSET($D27, -1, 0)*100))</f>
        <v>53.333333333333336</v>
      </c>
      <c r="M29" s="28">
        <f ca="1">IF(SUM(OFFSET(Таблица6[[#Headers],[8]],1,0):OFFSET(M27, -1, 0))=0,"",IF(COUNTIF(OFFSET(Таблица6[[#Headers],[8]],1,0):OFFSET(M27, -1, 0),"&gt;=7")=0,0,COUNTIF(OFFSET(Таблица6[[#Headers],[8]],1,0):OFFSET(M27, -1, 0),"&gt;=7")/OFFSET($D27, -1, 0)*100))</f>
        <v>53.333333333333336</v>
      </c>
      <c r="N29" s="28">
        <f ca="1">IF(SUM(OFFSET(Таблица6[[#Headers],[9]],1,0):OFFSET(N27, -1, 0))=0,"",IF(COUNTIF(OFFSET(Таблица6[[#Headers],[9]],1,0):OFFSET(N27, -1, 0),"&gt;=7")=0,0,COUNTIF(OFFSET(Таблица6[[#Headers],[9]],1,0):OFFSET(N27, -1, 0),"&gt;=7")/OFFSET($D27, -1, 0)*100))</f>
        <v>26.666666666666668</v>
      </c>
      <c r="O29" s="28">
        <f ca="1">IF(SUM(OFFSET(Таблица6[[#Headers],[10]],1,0):OFFSET(O27, -1, 0))=0,"",IF(COUNTIF(OFFSET(Таблица6[[#Headers],[10]],1,0):OFFSET(O27, -1, 0),"&gt;=7")=0,0,COUNTIF(OFFSET(Таблица6[[#Headers],[10]],1,0):OFFSET(O27, -1, 0),"&gt;=7")/OFFSET($D27, -1, 0)*100))</f>
        <v>13.333333333333334</v>
      </c>
      <c r="P29" s="28">
        <f ca="1">IF(SUM(OFFSET(Таблица6[[#Headers],[11]],1,0):OFFSET(P27, -1, 0))=0,"",IF(COUNTIF(OFFSET(Таблица6[[#Headers],[11]],1,0):OFFSET(P27, -1, 0),"&gt;=7")=0,0,COUNTIF(OFFSET(Таблица6[[#Headers],[11]],1,0):OFFSET(P27, -1, 0),"&gt;=7")/OFFSET($D27, -1, 0)*100))</f>
        <v>6.666666666666667</v>
      </c>
      <c r="Q29" s="28">
        <f ca="1">IF(SUM(OFFSET(Таблица6[[#Headers],[12]],1,0):OFFSET(Q27, -1, 0))=0,"",IF(COUNTIF(OFFSET(Таблица6[[#Headers],[12]],1,0):OFFSET(Q27, -1, 0),"&gt;=7")=0,0,COUNTIF(OFFSET(Таблица6[[#Headers],[12]],1,0):OFFSET(Q27, -1, 0),"&gt;=7")/OFFSET($D27, -1, 0)*100))</f>
        <v>33.333333333333329</v>
      </c>
      <c r="R29" s="28">
        <f ca="1">IF(SUM(OFFSET(Таблица6[[#Headers],[13]],1,0):OFFSET(R27, -1, 0))=0,"",IF(COUNTIF(OFFSET(Таблица6[[#Headers],[13]],1,0):OFFSET(R27, -1, 0),"&gt;=7")=0,0,COUNTIF(OFFSET(Таблица6[[#Headers],[13]],1,0):OFFSET(R27, -1, 0),"&gt;=7")/OFFSET($D27, -1, 0)*100))</f>
        <v>80</v>
      </c>
      <c r="S29" s="28">
        <f ca="1">IF(SUM(OFFSET(Таблица6[[#Headers],[14]],1,0):OFFSET(S27, -1, 0))=0,"",IF(COUNTIF(OFFSET(Таблица6[[#Headers],[14]],1,0):OFFSET(S27, -1, 0),"&gt;=7")=0,0,COUNTIF(OFFSET(Таблица6[[#Headers],[14]],1,0):OFFSET(S27, -1, 0),"&gt;=7")/OFFSET($D27, -1, 0)*100))</f>
        <v>40</v>
      </c>
      <c r="T29" s="7"/>
      <c r="U29" s="7"/>
      <c r="V29" s="46"/>
      <c r="W29" s="13"/>
    </row>
    <row r="30" spans="1:23" ht="15" customHeight="1" x14ac:dyDescent="0.3">
      <c r="A30" s="44"/>
      <c r="B30" s="46"/>
      <c r="C30" s="7"/>
      <c r="D30" s="7"/>
      <c r="E30" s="5" t="s">
        <v>12</v>
      </c>
      <c r="F30" s="27">
        <f ca="1">IF(COUNT(F28:S28)&lt;14,"",AVERAGE(F28:S28))</f>
        <v>94.761904761904745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46"/>
      <c r="W30" s="13"/>
    </row>
    <row r="31" spans="1:23" ht="15" customHeight="1" x14ac:dyDescent="0.3">
      <c r="A31" s="44"/>
      <c r="B31" s="46"/>
      <c r="C31" s="7"/>
      <c r="D31" s="7"/>
      <c r="E31" s="5" t="s">
        <v>13</v>
      </c>
      <c r="F31" s="27">
        <f ca="1">IF(COUNT(F29:S29)&lt;14,"",AVERAGE(F29:S29))</f>
        <v>38.095238095238088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46"/>
      <c r="W31" s="13"/>
    </row>
    <row r="32" spans="1:23" ht="15" customHeight="1" x14ac:dyDescent="0.3">
      <c r="A32" s="44"/>
      <c r="B32" s="46"/>
      <c r="C32" s="7"/>
      <c r="D32" s="7"/>
      <c r="E32" s="5" t="s">
        <v>14</v>
      </c>
      <c r="F32" s="12">
        <f ca="1">IF(COUNTIF(OFFSET(Таблица6[[#Headers],[''Б/К]],1,0):OFFSET($C27, -1, 0),"=Б")=0,IF(COUNTIF(OFFSET(Таблица6[[#Headers],[''Б/К]],1,0):OFFSET($C27, -1, 0),"=К")=0,"",0),COUNTIF(OFFSET(Таблица6[[#Headers],[''Б/К]],1,0):OFFSET($C27, -1, 0),"=Б"))</f>
        <v>0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46"/>
      <c r="W32" s="13"/>
    </row>
    <row r="33" spans="1:23" ht="15" customHeight="1" x14ac:dyDescent="0.3">
      <c r="A33" s="44"/>
      <c r="B33" s="46"/>
      <c r="C33" s="7"/>
      <c r="D33" s="7"/>
      <c r="E33" s="5" t="s">
        <v>15</v>
      </c>
      <c r="F33" s="12">
        <f ca="1">IF(COUNTIF(OFFSET(Таблица6[[#Headers],[''Б/К]],1,0):OFFSET($C27, -1, 0),"=К")=0,IF(COUNTIF(OFFSET(Таблица6[[#Headers],[''Б/К]],1,0):OFFSET($C27, -1, 0),"=Б")=0,"",0),COUNTIF(OFFSET(Таблица6[[#Headers],[''Б/К]],1,0):OFFSET($C27, -1, 0),"=К"))</f>
        <v>15</v>
      </c>
      <c r="G33" s="34"/>
      <c r="H33" s="41" t="s">
        <v>16</v>
      </c>
      <c r="I33" s="42"/>
      <c r="J33" s="42"/>
      <c r="K33" s="42"/>
      <c r="L33" s="42"/>
      <c r="M33" s="42"/>
      <c r="N33" s="41"/>
      <c r="O33" s="43" t="s">
        <v>55</v>
      </c>
      <c r="P33" s="25"/>
      <c r="Q33" s="26"/>
      <c r="R33" s="25"/>
      <c r="S33" s="7"/>
      <c r="T33" s="7"/>
      <c r="U33" s="7"/>
      <c r="V33" s="46"/>
      <c r="W33" s="13"/>
    </row>
    <row r="34" spans="1:23" ht="15" customHeight="1" x14ac:dyDescent="0.3">
      <c r="A34" s="44"/>
      <c r="B34" s="46"/>
      <c r="C34" s="7"/>
      <c r="D34" s="7"/>
      <c r="E34" s="5" t="s">
        <v>17</v>
      </c>
      <c r="F34" s="29">
        <v>0</v>
      </c>
      <c r="G34" s="34"/>
      <c r="H34" s="36"/>
      <c r="I34" s="36"/>
      <c r="J34" s="36"/>
      <c r="K34" s="36"/>
      <c r="L34" s="36"/>
      <c r="M34" s="36"/>
      <c r="N34" s="36"/>
      <c r="O34" s="36"/>
      <c r="P34" s="7"/>
      <c r="Q34" s="7"/>
      <c r="R34" s="7"/>
      <c r="S34" s="7"/>
      <c r="T34" s="7"/>
      <c r="U34" s="7"/>
      <c r="V34" s="46"/>
      <c r="W34" s="13"/>
    </row>
    <row r="35" spans="1:23" ht="15" customHeight="1" x14ac:dyDescent="0.3">
      <c r="A35" s="44"/>
      <c r="B35" s="46"/>
      <c r="C35" s="7"/>
      <c r="D35" s="7"/>
      <c r="E35" s="5" t="s">
        <v>18</v>
      </c>
      <c r="F35" s="12">
        <f ca="1">IF(F32="","",IF(ROUNDDOWN(F32/100*40,0)&lt;F32-U27,ROUNDDOWN(F32/100*40,0),F32-U27))</f>
        <v>0</v>
      </c>
      <c r="G35" s="34"/>
      <c r="H35" s="43" t="s">
        <v>56</v>
      </c>
      <c r="I35" s="42"/>
      <c r="J35" s="42"/>
      <c r="K35" s="42"/>
      <c r="L35" s="42"/>
      <c r="M35" s="42"/>
      <c r="N35" s="41"/>
      <c r="O35" s="43" t="s">
        <v>19</v>
      </c>
      <c r="P35" s="26"/>
      <c r="Q35" s="26"/>
      <c r="R35" s="26"/>
      <c r="S35" s="7"/>
      <c r="T35" s="7"/>
      <c r="U35" s="7"/>
      <c r="V35" s="46"/>
      <c r="W35" s="13"/>
    </row>
    <row r="36" spans="1:23" ht="12" customHeight="1" thickBot="1" x14ac:dyDescent="0.35">
      <c r="A36" s="44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13"/>
    </row>
    <row r="37" spans="1:23" ht="12" customHeight="1" x14ac:dyDescent="0.3"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</row>
  </sheetData>
  <sheetProtection formatCells="0" insertColumns="0" insertRows="0" deleteColumns="0" deleteRows="0" sort="0"/>
  <mergeCells count="17">
    <mergeCell ref="B37:V37"/>
    <mergeCell ref="V3:V35"/>
    <mergeCell ref="B1:V1"/>
    <mergeCell ref="A2:A36"/>
    <mergeCell ref="B2:V2"/>
    <mergeCell ref="B3:B35"/>
    <mergeCell ref="C3:T3"/>
    <mergeCell ref="C4:T4"/>
    <mergeCell ref="C5:T5"/>
    <mergeCell ref="C6:T6"/>
    <mergeCell ref="C7:T7"/>
    <mergeCell ref="C8:T8"/>
    <mergeCell ref="C9:C10"/>
    <mergeCell ref="D9:D10"/>
    <mergeCell ref="E9:E10"/>
    <mergeCell ref="F9:T9"/>
    <mergeCell ref="B36:V36"/>
  </mergeCells>
  <phoneticPr fontId="8" type="noConversion"/>
  <conditionalFormatting sqref="C12:S26">
    <cfRule type="expression" dxfId="53" priority="3">
      <formula>$V$12&lt;&gt;""</formula>
    </cfRule>
  </conditionalFormatting>
  <conditionalFormatting sqref="T12:U26">
    <cfRule type="expression" dxfId="52" priority="38">
      <formula>#REF!&lt;&gt;""</formula>
    </cfRule>
  </conditionalFormatting>
  <printOptions horizontalCentered="1"/>
  <pageMargins left="0" right="0" top="0" bottom="0" header="0" footer="0"/>
  <pageSetup paperSize="9" scale="87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Q47"/>
  <sheetViews>
    <sheetView tabSelected="1" zoomScaleNormal="100" workbookViewId="0"/>
  </sheetViews>
  <sheetFormatPr defaultColWidth="0" defaultRowHeight="0" customHeight="1" zeroHeight="1" x14ac:dyDescent="0.3"/>
  <cols>
    <col min="1" max="2" width="2.6640625" style="1" customWidth="1"/>
    <col min="3" max="3" width="4.109375" style="1" customWidth="1"/>
    <col min="4" max="4" width="6.5546875" style="1" customWidth="1"/>
    <col min="5" max="5" width="40.44140625" style="1" customWidth="1"/>
    <col min="6" max="19" width="6.6640625" style="1" customWidth="1"/>
    <col min="20" max="20" width="11.33203125" style="1" customWidth="1"/>
    <col min="21" max="21" width="11.33203125" style="1" hidden="1" customWidth="1"/>
    <col min="22" max="23" width="2.6640625" style="1" customWidth="1"/>
    <col min="24" max="29" width="14.44140625" style="1" hidden="1" customWidth="1"/>
    <col min="30" max="30" width="14.88671875" style="1" hidden="1" customWidth="1"/>
    <col min="31" max="44" width="3.6640625" style="1" hidden="1" customWidth="1"/>
    <col min="45" max="69" width="5.6640625" style="1" hidden="1" customWidth="1"/>
    <col min="70" max="16384" width="14.44140625" style="1" hidden="1"/>
  </cols>
  <sheetData>
    <row r="1" spans="1:23" ht="12" customHeight="1" thickBot="1" x14ac:dyDescent="0.35"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</row>
    <row r="2" spans="1:23" ht="12" customHeight="1" x14ac:dyDescent="0.3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13"/>
    </row>
    <row r="3" spans="1:23" s="2" customFormat="1" ht="35.1" customHeight="1" x14ac:dyDescent="0.35">
      <c r="A3" s="44"/>
      <c r="B3" s="46"/>
      <c r="C3" s="47" t="s">
        <v>24</v>
      </c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37"/>
      <c r="V3" s="46"/>
      <c r="W3" s="13"/>
    </row>
    <row r="4" spans="1:23" s="2" customFormat="1" ht="15" customHeight="1" x14ac:dyDescent="0.3">
      <c r="A4" s="44"/>
      <c r="B4" s="46"/>
      <c r="C4" s="46" t="s">
        <v>0</v>
      </c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35"/>
      <c r="V4" s="46"/>
      <c r="W4" s="13"/>
    </row>
    <row r="5" spans="1:23" s="3" customFormat="1" ht="15" customHeight="1" x14ac:dyDescent="0.3">
      <c r="A5" s="44"/>
      <c r="B5" s="46"/>
      <c r="C5" s="49" t="s">
        <v>20</v>
      </c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38"/>
      <c r="V5" s="46"/>
      <c r="W5" s="13"/>
    </row>
    <row r="6" spans="1:23" s="2" customFormat="1" ht="15" customHeight="1" x14ac:dyDescent="0.3">
      <c r="A6" s="44"/>
      <c r="B6" s="46"/>
      <c r="C6" s="50" t="s">
        <v>49</v>
      </c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35"/>
      <c r="V6" s="46"/>
      <c r="W6" s="13"/>
    </row>
    <row r="7" spans="1:23" s="2" customFormat="1" ht="15" customHeight="1" x14ac:dyDescent="0.3">
      <c r="A7" s="44"/>
      <c r="B7" s="46"/>
      <c r="C7" s="50" t="s">
        <v>47</v>
      </c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35"/>
      <c r="V7" s="46"/>
      <c r="W7" s="13"/>
    </row>
    <row r="8" spans="1:23" s="2" customFormat="1" ht="15" customHeight="1" x14ac:dyDescent="0.3">
      <c r="A8" s="44"/>
      <c r="B8" s="46"/>
      <c r="C8" s="50" t="s">
        <v>48</v>
      </c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35"/>
      <c r="V8" s="46"/>
      <c r="W8" s="13"/>
    </row>
    <row r="9" spans="1:23" ht="15" customHeight="1" x14ac:dyDescent="0.3">
      <c r="A9" s="44"/>
      <c r="B9" s="46"/>
      <c r="C9" s="51" t="s">
        <v>1</v>
      </c>
      <c r="D9" s="53" t="s">
        <v>2</v>
      </c>
      <c r="E9" s="53" t="s">
        <v>3</v>
      </c>
      <c r="F9" s="52" t="s">
        <v>23</v>
      </c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36"/>
      <c r="V9" s="46"/>
      <c r="W9" s="13"/>
    </row>
    <row r="10" spans="1:23" ht="125.1" customHeight="1" x14ac:dyDescent="0.3">
      <c r="A10" s="44"/>
      <c r="B10" s="46"/>
      <c r="C10" s="52"/>
      <c r="D10" s="52"/>
      <c r="E10" s="52"/>
      <c r="F10" s="40" t="s">
        <v>4</v>
      </c>
      <c r="G10" s="40" t="s">
        <v>5</v>
      </c>
      <c r="H10" s="40" t="s">
        <v>6</v>
      </c>
      <c r="I10" s="40" t="s">
        <v>21</v>
      </c>
      <c r="J10" s="40" t="s">
        <v>30</v>
      </c>
      <c r="K10" s="40" t="s">
        <v>22</v>
      </c>
      <c r="L10" s="40" t="s">
        <v>50</v>
      </c>
      <c r="M10" s="40" t="s">
        <v>7</v>
      </c>
      <c r="N10" s="40" t="s">
        <v>51</v>
      </c>
      <c r="O10" s="40" t="s">
        <v>52</v>
      </c>
      <c r="P10" s="40" t="s">
        <v>53</v>
      </c>
      <c r="Q10" s="40" t="s">
        <v>29</v>
      </c>
      <c r="R10" s="40" t="s">
        <v>31</v>
      </c>
      <c r="S10" s="40" t="s">
        <v>54</v>
      </c>
      <c r="T10" s="4" t="s">
        <v>8</v>
      </c>
      <c r="U10" s="20"/>
      <c r="V10" s="46"/>
      <c r="W10" s="13"/>
    </row>
    <row r="11" spans="1:23" ht="50.1" hidden="1" customHeight="1" x14ac:dyDescent="0.3">
      <c r="A11" s="44"/>
      <c r="B11" s="46"/>
      <c r="C11" s="15" t="s">
        <v>26</v>
      </c>
      <c r="D11" s="14" t="s">
        <v>27</v>
      </c>
      <c r="E11" s="16" t="s">
        <v>3</v>
      </c>
      <c r="F11" s="17" t="s">
        <v>32</v>
      </c>
      <c r="G11" s="17" t="s">
        <v>33</v>
      </c>
      <c r="H11" s="17" t="s">
        <v>34</v>
      </c>
      <c r="I11" s="17" t="s">
        <v>36</v>
      </c>
      <c r="J11" s="17" t="s">
        <v>35</v>
      </c>
      <c r="K11" s="17" t="s">
        <v>37</v>
      </c>
      <c r="L11" s="17" t="s">
        <v>38</v>
      </c>
      <c r="M11" s="17" t="s">
        <v>39</v>
      </c>
      <c r="N11" s="17" t="s">
        <v>40</v>
      </c>
      <c r="O11" s="17" t="s">
        <v>41</v>
      </c>
      <c r="P11" s="17" t="s">
        <v>42</v>
      </c>
      <c r="Q11" s="17" t="s">
        <v>43</v>
      </c>
      <c r="R11" s="17" t="s">
        <v>44</v>
      </c>
      <c r="S11" s="17" t="s">
        <v>45</v>
      </c>
      <c r="T11" s="18" t="s">
        <v>25</v>
      </c>
      <c r="U11" s="21" t="s">
        <v>28</v>
      </c>
      <c r="V11" s="46"/>
      <c r="W11" s="13"/>
    </row>
    <row r="12" spans="1:23" ht="15" customHeight="1" x14ac:dyDescent="0.3">
      <c r="A12" s="44"/>
      <c r="B12" s="46"/>
      <c r="C12" s="31" t="s">
        <v>82</v>
      </c>
      <c r="D12" s="32">
        <f ca="1">OFFSET(D12,-1,0)+1</f>
        <v>1</v>
      </c>
      <c r="E12" s="30" t="s">
        <v>57</v>
      </c>
      <c r="F12" s="6">
        <v>10</v>
      </c>
      <c r="G12" s="6">
        <v>10</v>
      </c>
      <c r="H12" s="6">
        <v>10</v>
      </c>
      <c r="I12" s="6">
        <v>11</v>
      </c>
      <c r="J12" s="6">
        <v>10</v>
      </c>
      <c r="K12" s="6">
        <v>7</v>
      </c>
      <c r="L12" s="6">
        <v>11</v>
      </c>
      <c r="M12" s="6">
        <v>9</v>
      </c>
      <c r="N12" s="6">
        <v>7</v>
      </c>
      <c r="O12" s="6">
        <v>5</v>
      </c>
      <c r="P12" s="6">
        <v>8</v>
      </c>
      <c r="Q12" s="6">
        <v>9</v>
      </c>
      <c r="R12" s="6">
        <v>10</v>
      </c>
      <c r="S12" s="6">
        <v>8</v>
      </c>
      <c r="T12" s="33">
        <f>AVERAGE(Таблица62[[#This Row],[1]:[14]])</f>
        <v>8.9285714285714288</v>
      </c>
      <c r="U12" s="22" t="str">
        <f>IF(Таблица62[[#This Row],[''Б/К]]="Б",IF(Таблица62[[#This Row],[Столбец18]]="-","-",""),"")</f>
        <v/>
      </c>
      <c r="V12" s="46"/>
      <c r="W12" s="13"/>
    </row>
    <row r="13" spans="1:23" ht="15" customHeight="1" x14ac:dyDescent="0.3">
      <c r="A13" s="44"/>
      <c r="B13" s="46"/>
      <c r="C13" s="31" t="s">
        <v>82</v>
      </c>
      <c r="D13" s="32">
        <f t="shared" ref="D13:D15" ca="1" si="0">OFFSET(D13,-1,0)+1</f>
        <v>2</v>
      </c>
      <c r="E13" s="30" t="s">
        <v>58</v>
      </c>
      <c r="F13" s="6">
        <v>9</v>
      </c>
      <c r="G13" s="6">
        <v>8</v>
      </c>
      <c r="H13" s="6">
        <v>9</v>
      </c>
      <c r="I13" s="6">
        <v>10</v>
      </c>
      <c r="J13" s="6">
        <v>10</v>
      </c>
      <c r="K13" s="6">
        <v>10</v>
      </c>
      <c r="L13" s="6">
        <v>8</v>
      </c>
      <c r="M13" s="6">
        <v>8</v>
      </c>
      <c r="N13" s="6">
        <v>7</v>
      </c>
      <c r="O13" s="6">
        <v>9</v>
      </c>
      <c r="P13" s="6">
        <v>7</v>
      </c>
      <c r="Q13" s="6">
        <v>7</v>
      </c>
      <c r="R13" s="6">
        <v>9</v>
      </c>
      <c r="S13" s="6">
        <v>6</v>
      </c>
      <c r="T13" s="33">
        <f>AVERAGE(Таблица62[[#This Row],[1]:[14]])</f>
        <v>8.3571428571428577</v>
      </c>
      <c r="U13" s="22" t="str">
        <f>IF(Таблица62[[#This Row],[''Б/К]]="Б",IF(Таблица62[[#This Row],[Столбец18]]="-","-",""),"")</f>
        <v/>
      </c>
      <c r="V13" s="46"/>
      <c r="W13" s="13"/>
    </row>
    <row r="14" spans="1:23" ht="15" customHeight="1" x14ac:dyDescent="0.3">
      <c r="A14" s="44"/>
      <c r="B14" s="46"/>
      <c r="C14" s="31" t="s">
        <v>82</v>
      </c>
      <c r="D14" s="32">
        <f t="shared" ca="1" si="0"/>
        <v>3</v>
      </c>
      <c r="E14" s="30" t="s">
        <v>59</v>
      </c>
      <c r="F14" s="6">
        <v>10</v>
      </c>
      <c r="G14" s="6">
        <v>9</v>
      </c>
      <c r="H14" s="6">
        <v>9</v>
      </c>
      <c r="I14" s="6">
        <v>10</v>
      </c>
      <c r="J14" s="6">
        <v>11</v>
      </c>
      <c r="K14" s="6">
        <v>10</v>
      </c>
      <c r="L14" s="6">
        <v>9</v>
      </c>
      <c r="M14" s="6">
        <v>7</v>
      </c>
      <c r="N14" s="6">
        <v>7</v>
      </c>
      <c r="O14" s="6">
        <v>9</v>
      </c>
      <c r="P14" s="6">
        <v>7</v>
      </c>
      <c r="Q14" s="6">
        <v>7</v>
      </c>
      <c r="R14" s="6">
        <v>10</v>
      </c>
      <c r="S14" s="6">
        <v>8</v>
      </c>
      <c r="T14" s="33">
        <f>AVERAGE(Таблица62[[#This Row],[1]:[14]])</f>
        <v>8.7857142857142865</v>
      </c>
      <c r="U14" s="22" t="str">
        <f>IF(Таблица62[[#This Row],[''Б/К]]="Б",IF(Таблица62[[#This Row],[Столбец18]]="-","-",""),"")</f>
        <v/>
      </c>
      <c r="V14" s="46"/>
      <c r="W14" s="13"/>
    </row>
    <row r="15" spans="1:23" ht="15" customHeight="1" x14ac:dyDescent="0.3">
      <c r="A15" s="44"/>
      <c r="B15" s="46"/>
      <c r="C15" s="31" t="s">
        <v>82</v>
      </c>
      <c r="D15" s="32">
        <f t="shared" ca="1" si="0"/>
        <v>4</v>
      </c>
      <c r="E15" s="30" t="s">
        <v>60</v>
      </c>
      <c r="F15" s="6">
        <v>9</v>
      </c>
      <c r="G15" s="6">
        <v>10</v>
      </c>
      <c r="H15" s="6">
        <v>9</v>
      </c>
      <c r="I15" s="6">
        <v>10</v>
      </c>
      <c r="J15" s="6">
        <v>10</v>
      </c>
      <c r="K15" s="6">
        <v>4</v>
      </c>
      <c r="L15" s="6">
        <v>7</v>
      </c>
      <c r="M15" s="6">
        <v>9</v>
      </c>
      <c r="N15" s="6">
        <v>7</v>
      </c>
      <c r="O15" s="6">
        <v>7</v>
      </c>
      <c r="P15" s="6">
        <v>8</v>
      </c>
      <c r="Q15" s="6">
        <v>8</v>
      </c>
      <c r="R15" s="6">
        <v>9</v>
      </c>
      <c r="S15" s="6">
        <v>6</v>
      </c>
      <c r="T15" s="33">
        <f>AVERAGE(Таблица62[[#This Row],[1]:[14]])</f>
        <v>8.0714285714285712</v>
      </c>
      <c r="U15" s="22" t="str">
        <f>IF(Таблица62[[#This Row],[''Б/К]]="Б",IF(Таблица62[[#This Row],[Столбец18]]="-","-",""),"")</f>
        <v/>
      </c>
      <c r="V15" s="46"/>
      <c r="W15" s="13"/>
    </row>
    <row r="16" spans="1:23" ht="15" customHeight="1" x14ac:dyDescent="0.3">
      <c r="A16" s="44"/>
      <c r="B16" s="46"/>
      <c r="C16" s="31" t="s">
        <v>82</v>
      </c>
      <c r="D16" s="32">
        <f t="shared" ref="D16:D18" ca="1" si="1">OFFSET(D16,-1,0)+1</f>
        <v>5</v>
      </c>
      <c r="E16" s="30" t="s">
        <v>61</v>
      </c>
      <c r="F16" s="6">
        <v>7</v>
      </c>
      <c r="G16" s="6">
        <v>9</v>
      </c>
      <c r="H16" s="6">
        <v>5</v>
      </c>
      <c r="I16" s="6">
        <v>5</v>
      </c>
      <c r="J16" s="6" t="s">
        <v>98</v>
      </c>
      <c r="K16" s="6">
        <v>7</v>
      </c>
      <c r="L16" s="6">
        <v>7</v>
      </c>
      <c r="M16" s="6">
        <v>5</v>
      </c>
      <c r="N16" s="6">
        <v>4</v>
      </c>
      <c r="O16" s="6">
        <v>5</v>
      </c>
      <c r="P16" s="6">
        <v>4</v>
      </c>
      <c r="Q16" s="6">
        <v>2</v>
      </c>
      <c r="R16" s="6">
        <v>6</v>
      </c>
      <c r="S16" s="6" t="s">
        <v>98</v>
      </c>
      <c r="T16" s="33" t="s">
        <v>99</v>
      </c>
      <c r="U16" s="22" t="str">
        <f>IF(Таблица62[[#This Row],[''Б/К]]="Б",IF(Таблица62[[#This Row],[Столбец18]]="-","-",""),"")</f>
        <v/>
      </c>
      <c r="V16" s="46"/>
      <c r="W16" s="13"/>
    </row>
    <row r="17" spans="1:23" ht="15" customHeight="1" x14ac:dyDescent="0.3">
      <c r="A17" s="44"/>
      <c r="B17" s="46"/>
      <c r="C17" s="31" t="s">
        <v>82</v>
      </c>
      <c r="D17" s="32">
        <f t="shared" ca="1" si="1"/>
        <v>6</v>
      </c>
      <c r="E17" s="30" t="s">
        <v>62</v>
      </c>
      <c r="F17" s="6">
        <v>10</v>
      </c>
      <c r="G17" s="6">
        <v>9</v>
      </c>
      <c r="H17" s="6">
        <v>9</v>
      </c>
      <c r="I17" s="6">
        <v>10</v>
      </c>
      <c r="J17" s="6">
        <v>10</v>
      </c>
      <c r="K17" s="6">
        <v>10</v>
      </c>
      <c r="L17" s="6">
        <v>6</v>
      </c>
      <c r="M17" s="6">
        <v>7</v>
      </c>
      <c r="N17" s="6">
        <v>4</v>
      </c>
      <c r="O17" s="6">
        <v>7</v>
      </c>
      <c r="P17" s="6">
        <v>8</v>
      </c>
      <c r="Q17" s="6">
        <v>6</v>
      </c>
      <c r="R17" s="6">
        <v>10</v>
      </c>
      <c r="S17" s="6">
        <v>7</v>
      </c>
      <c r="T17" s="33">
        <f>AVERAGE(Таблица62[[#This Row],[1]:[14]])</f>
        <v>8.0714285714285712</v>
      </c>
      <c r="U17" s="22" t="str">
        <f>IF(Таблица62[[#This Row],[''Б/К]]="Б",IF(Таблица62[[#This Row],[Столбец18]]="-","-",""),"")</f>
        <v/>
      </c>
      <c r="V17" s="46"/>
      <c r="W17" s="13"/>
    </row>
    <row r="18" spans="1:23" ht="15" customHeight="1" x14ac:dyDescent="0.3">
      <c r="A18" s="44"/>
      <c r="B18" s="46"/>
      <c r="C18" s="31" t="s">
        <v>82</v>
      </c>
      <c r="D18" s="32">
        <f t="shared" ca="1" si="1"/>
        <v>7</v>
      </c>
      <c r="E18" s="30" t="s">
        <v>63</v>
      </c>
      <c r="F18" s="6">
        <v>9</v>
      </c>
      <c r="G18" s="6">
        <v>8</v>
      </c>
      <c r="H18" s="6">
        <v>7</v>
      </c>
      <c r="I18" s="6">
        <v>9</v>
      </c>
      <c r="J18" s="6" t="s">
        <v>98</v>
      </c>
      <c r="K18" s="6">
        <v>4</v>
      </c>
      <c r="L18" s="6">
        <v>5</v>
      </c>
      <c r="M18" s="6">
        <v>7</v>
      </c>
      <c r="N18" s="6">
        <v>5</v>
      </c>
      <c r="O18" s="6">
        <v>5</v>
      </c>
      <c r="P18" s="6">
        <v>6</v>
      </c>
      <c r="Q18" s="6">
        <v>4</v>
      </c>
      <c r="R18" s="6">
        <v>10</v>
      </c>
      <c r="S18" s="6">
        <v>5</v>
      </c>
      <c r="T18" s="33">
        <f>AVERAGE(Таблица62[[#This Row],[1]:[14]])</f>
        <v>6.4615384615384617</v>
      </c>
      <c r="U18" s="22" t="str">
        <f>IF(Таблица62[[#This Row],[''Б/К]]="Б",IF(Таблица62[[#This Row],[Столбец18]]="-","-",""),"")</f>
        <v/>
      </c>
      <c r="V18" s="46"/>
      <c r="W18" s="13"/>
    </row>
    <row r="19" spans="1:23" ht="15" customHeight="1" x14ac:dyDescent="0.3">
      <c r="A19" s="44"/>
      <c r="B19" s="46"/>
      <c r="C19" s="31" t="s">
        <v>82</v>
      </c>
      <c r="D19" s="32">
        <f t="shared" ref="D19:D21" ca="1" si="2">OFFSET(D19,-1,0)+1</f>
        <v>8</v>
      </c>
      <c r="E19" s="30" t="s">
        <v>64</v>
      </c>
      <c r="F19" s="6">
        <v>10</v>
      </c>
      <c r="G19" s="6">
        <v>10</v>
      </c>
      <c r="H19" s="6">
        <v>9</v>
      </c>
      <c r="I19" s="6">
        <v>11</v>
      </c>
      <c r="J19" s="6">
        <v>10</v>
      </c>
      <c r="K19" s="6">
        <v>8</v>
      </c>
      <c r="L19" s="6">
        <v>10</v>
      </c>
      <c r="M19" s="6">
        <v>8</v>
      </c>
      <c r="N19" s="6">
        <v>8</v>
      </c>
      <c r="O19" s="6">
        <v>9</v>
      </c>
      <c r="P19" s="6">
        <v>9</v>
      </c>
      <c r="Q19" s="6">
        <v>9</v>
      </c>
      <c r="R19" s="6">
        <v>7</v>
      </c>
      <c r="S19" s="6">
        <v>7</v>
      </c>
      <c r="T19" s="33">
        <f>AVERAGE(Таблица62[[#This Row],[1]:[14]])</f>
        <v>8.9285714285714288</v>
      </c>
      <c r="U19" s="22" t="str">
        <f>IF(Таблица62[[#This Row],[''Б/К]]="Б",IF(Таблица62[[#This Row],[Столбец18]]="-","-",""),"")</f>
        <v/>
      </c>
      <c r="V19" s="46"/>
      <c r="W19" s="13"/>
    </row>
    <row r="20" spans="1:23" ht="15" customHeight="1" x14ac:dyDescent="0.3">
      <c r="A20" s="44"/>
      <c r="B20" s="46"/>
      <c r="C20" s="31" t="s">
        <v>82</v>
      </c>
      <c r="D20" s="32">
        <f t="shared" ca="1" si="2"/>
        <v>9</v>
      </c>
      <c r="E20" s="30" t="s">
        <v>65</v>
      </c>
      <c r="F20" s="6">
        <v>9</v>
      </c>
      <c r="G20" s="6">
        <v>8</v>
      </c>
      <c r="H20" s="6">
        <v>8</v>
      </c>
      <c r="I20" s="6">
        <v>9</v>
      </c>
      <c r="J20" s="6">
        <v>10</v>
      </c>
      <c r="K20" s="6">
        <v>11</v>
      </c>
      <c r="L20" s="6">
        <v>10</v>
      </c>
      <c r="M20" s="6">
        <v>7</v>
      </c>
      <c r="N20" s="6">
        <v>7</v>
      </c>
      <c r="O20" s="6">
        <v>9</v>
      </c>
      <c r="P20" s="6">
        <v>8</v>
      </c>
      <c r="Q20" s="6">
        <v>8</v>
      </c>
      <c r="R20" s="6">
        <v>10</v>
      </c>
      <c r="S20" s="6">
        <v>6</v>
      </c>
      <c r="T20" s="33">
        <f>AVERAGE(Таблица62[[#This Row],[1]:[14]])</f>
        <v>8.5714285714285712</v>
      </c>
      <c r="U20" s="22" t="str">
        <f>IF(Таблица62[[#This Row],[''Б/К]]="Б",IF(Таблица62[[#This Row],[Столбец18]]="-","-",""),"")</f>
        <v/>
      </c>
      <c r="V20" s="46"/>
      <c r="W20" s="13"/>
    </row>
    <row r="21" spans="1:23" ht="15" customHeight="1" x14ac:dyDescent="0.3">
      <c r="A21" s="44"/>
      <c r="B21" s="46"/>
      <c r="C21" s="31" t="s">
        <v>82</v>
      </c>
      <c r="D21" s="32">
        <f t="shared" ca="1" si="2"/>
        <v>10</v>
      </c>
      <c r="E21" s="30" t="s">
        <v>66</v>
      </c>
      <c r="F21" s="6">
        <v>9</v>
      </c>
      <c r="G21" s="6">
        <v>9</v>
      </c>
      <c r="H21" s="6">
        <v>9</v>
      </c>
      <c r="I21" s="6">
        <v>9</v>
      </c>
      <c r="J21" s="6">
        <v>9</v>
      </c>
      <c r="K21" s="6">
        <v>11</v>
      </c>
      <c r="L21" s="6">
        <v>9</v>
      </c>
      <c r="M21" s="6">
        <v>9</v>
      </c>
      <c r="N21" s="6">
        <v>4</v>
      </c>
      <c r="O21" s="6">
        <v>8</v>
      </c>
      <c r="P21" s="6">
        <v>7</v>
      </c>
      <c r="Q21" s="6">
        <v>4</v>
      </c>
      <c r="R21" s="6">
        <v>10</v>
      </c>
      <c r="S21" s="6">
        <v>8</v>
      </c>
      <c r="T21" s="33">
        <f>AVERAGE(Таблица62[[#This Row],[1]:[14]])</f>
        <v>8.2142857142857135</v>
      </c>
      <c r="U21" s="22" t="str">
        <f>IF(Таблица62[[#This Row],[''Б/К]]="Б",IF(Таблица62[[#This Row],[Столбец18]]="-","-",""),"")</f>
        <v/>
      </c>
      <c r="V21" s="46"/>
      <c r="W21" s="13"/>
    </row>
    <row r="22" spans="1:23" ht="15" customHeight="1" x14ac:dyDescent="0.3">
      <c r="A22" s="44"/>
      <c r="B22" s="46"/>
      <c r="C22" s="31" t="s">
        <v>82</v>
      </c>
      <c r="D22" s="32">
        <f t="shared" ref="D22:D24" ca="1" si="3">OFFSET(D22,-1,0)+1</f>
        <v>11</v>
      </c>
      <c r="E22" s="30" t="s">
        <v>67</v>
      </c>
      <c r="F22" s="6">
        <v>6</v>
      </c>
      <c r="G22" s="6">
        <v>6</v>
      </c>
      <c r="H22" s="6">
        <v>4</v>
      </c>
      <c r="I22" s="6">
        <v>4</v>
      </c>
      <c r="J22" s="6">
        <v>4</v>
      </c>
      <c r="K22" s="6">
        <v>4</v>
      </c>
      <c r="L22" s="6">
        <v>6</v>
      </c>
      <c r="M22" s="6" t="s">
        <v>98</v>
      </c>
      <c r="N22" s="6">
        <v>4</v>
      </c>
      <c r="O22" s="6">
        <v>4</v>
      </c>
      <c r="P22" s="6">
        <v>6</v>
      </c>
      <c r="Q22" s="6">
        <v>5</v>
      </c>
      <c r="R22" s="6">
        <v>4</v>
      </c>
      <c r="S22" s="6">
        <v>3</v>
      </c>
      <c r="T22" s="33" t="s">
        <v>99</v>
      </c>
      <c r="U22" s="22" t="str">
        <f>IF(Таблица62[[#This Row],[''Б/К]]="Б",IF(Таблица62[[#This Row],[Столбец18]]="-","-",""),"")</f>
        <v/>
      </c>
      <c r="V22" s="46"/>
      <c r="W22" s="13"/>
    </row>
    <row r="23" spans="1:23" ht="15" customHeight="1" x14ac:dyDescent="0.3">
      <c r="A23" s="44"/>
      <c r="B23" s="46"/>
      <c r="C23" s="31" t="s">
        <v>82</v>
      </c>
      <c r="D23" s="32">
        <f t="shared" ca="1" si="3"/>
        <v>12</v>
      </c>
      <c r="E23" s="30" t="s">
        <v>68</v>
      </c>
      <c r="F23" s="6">
        <v>10</v>
      </c>
      <c r="G23" s="6">
        <v>9</v>
      </c>
      <c r="H23" s="6">
        <v>10</v>
      </c>
      <c r="I23" s="6">
        <v>10</v>
      </c>
      <c r="J23" s="6">
        <v>5</v>
      </c>
      <c r="K23" s="6">
        <v>11</v>
      </c>
      <c r="L23" s="6">
        <v>8</v>
      </c>
      <c r="M23" s="6">
        <v>8</v>
      </c>
      <c r="N23" s="6">
        <v>7</v>
      </c>
      <c r="O23" s="6">
        <v>9</v>
      </c>
      <c r="P23" s="6">
        <v>8</v>
      </c>
      <c r="Q23" s="6">
        <v>9</v>
      </c>
      <c r="R23" s="6">
        <v>6</v>
      </c>
      <c r="S23" s="6">
        <v>7</v>
      </c>
      <c r="T23" s="33">
        <f>AVERAGE(Таблица62[[#This Row],[1]:[14]])</f>
        <v>8.3571428571428577</v>
      </c>
      <c r="U23" s="22" t="str">
        <f>IF(Таблица62[[#This Row],[''Б/К]]="Б",IF(Таблица62[[#This Row],[Столбец18]]="-","-",""),"")</f>
        <v/>
      </c>
      <c r="V23" s="46"/>
      <c r="W23" s="13"/>
    </row>
    <row r="24" spans="1:23" ht="15" customHeight="1" x14ac:dyDescent="0.3">
      <c r="A24" s="44"/>
      <c r="B24" s="46"/>
      <c r="C24" s="31" t="s">
        <v>82</v>
      </c>
      <c r="D24" s="32">
        <f t="shared" ca="1" si="3"/>
        <v>13</v>
      </c>
      <c r="E24" s="30" t="s">
        <v>69</v>
      </c>
      <c r="F24" s="6">
        <v>6</v>
      </c>
      <c r="G24" s="6">
        <v>7</v>
      </c>
      <c r="H24" s="6">
        <v>8</v>
      </c>
      <c r="I24" s="6">
        <v>10</v>
      </c>
      <c r="J24" s="6">
        <v>4</v>
      </c>
      <c r="K24" s="6">
        <v>4</v>
      </c>
      <c r="L24" s="6">
        <v>6</v>
      </c>
      <c r="M24" s="6">
        <v>7</v>
      </c>
      <c r="N24" s="6">
        <v>7</v>
      </c>
      <c r="O24" s="6">
        <v>6</v>
      </c>
      <c r="P24" s="6">
        <v>4</v>
      </c>
      <c r="Q24" s="6">
        <v>4</v>
      </c>
      <c r="R24" s="6">
        <v>8</v>
      </c>
      <c r="S24" s="6">
        <v>6</v>
      </c>
      <c r="T24" s="33">
        <f>AVERAGE(Таблица62[[#This Row],[1]:[14]])</f>
        <v>6.2142857142857144</v>
      </c>
      <c r="U24" s="22" t="str">
        <f>IF(Таблица62[[#This Row],[''Б/К]]="Б",IF(Таблица62[[#This Row],[Столбец18]]="-","-",""),"")</f>
        <v/>
      </c>
      <c r="V24" s="46"/>
      <c r="W24" s="13"/>
    </row>
    <row r="25" spans="1:23" ht="15" customHeight="1" x14ac:dyDescent="0.3">
      <c r="A25" s="44"/>
      <c r="B25" s="46"/>
      <c r="C25" s="31" t="s">
        <v>82</v>
      </c>
      <c r="D25" s="32">
        <f t="shared" ref="D25:D27" ca="1" si="4">OFFSET(D25,-1,0)+1</f>
        <v>14</v>
      </c>
      <c r="E25" s="30" t="s">
        <v>70</v>
      </c>
      <c r="F25" s="6">
        <v>6</v>
      </c>
      <c r="G25" s="6">
        <v>8</v>
      </c>
      <c r="H25" s="6">
        <v>6</v>
      </c>
      <c r="I25" s="6">
        <v>9</v>
      </c>
      <c r="J25" s="6">
        <v>5</v>
      </c>
      <c r="K25" s="6">
        <v>6</v>
      </c>
      <c r="L25" s="6">
        <v>5</v>
      </c>
      <c r="M25" s="6">
        <v>7</v>
      </c>
      <c r="N25" s="6">
        <v>6</v>
      </c>
      <c r="O25" s="6">
        <v>5</v>
      </c>
      <c r="P25" s="6">
        <v>6</v>
      </c>
      <c r="Q25" s="6">
        <v>6</v>
      </c>
      <c r="R25" s="6">
        <v>4</v>
      </c>
      <c r="S25" s="6">
        <v>6</v>
      </c>
      <c r="T25" s="33">
        <f>AVERAGE(Таблица62[[#This Row],[1]:[14]])</f>
        <v>6.0714285714285712</v>
      </c>
      <c r="U25" s="22" t="str">
        <f>IF(Таблица62[[#This Row],[''Б/К]]="Б",IF(Таблица62[[#This Row],[Столбец18]]="-","-",""),"")</f>
        <v/>
      </c>
      <c r="V25" s="46"/>
      <c r="W25" s="13"/>
    </row>
    <row r="26" spans="1:23" ht="15" customHeight="1" x14ac:dyDescent="0.3">
      <c r="A26" s="44"/>
      <c r="B26" s="46"/>
      <c r="C26" s="31" t="s">
        <v>82</v>
      </c>
      <c r="D26" s="32">
        <f t="shared" ca="1" si="4"/>
        <v>15</v>
      </c>
      <c r="E26" s="30" t="s">
        <v>71</v>
      </c>
      <c r="F26" s="6">
        <v>8</v>
      </c>
      <c r="G26" s="6">
        <v>5</v>
      </c>
      <c r="H26" s="6">
        <v>5</v>
      </c>
      <c r="I26" s="6">
        <v>5</v>
      </c>
      <c r="J26" s="6" t="s">
        <v>98</v>
      </c>
      <c r="K26" s="6">
        <v>4</v>
      </c>
      <c r="L26" s="6">
        <v>6</v>
      </c>
      <c r="M26" s="6">
        <v>6</v>
      </c>
      <c r="N26" s="6">
        <v>5</v>
      </c>
      <c r="O26" s="6">
        <v>4</v>
      </c>
      <c r="P26" s="6">
        <v>4</v>
      </c>
      <c r="Q26" s="6" t="s">
        <v>98</v>
      </c>
      <c r="R26" s="6">
        <v>4</v>
      </c>
      <c r="S26" s="6" t="s">
        <v>98</v>
      </c>
      <c r="T26" s="33" t="s">
        <v>99</v>
      </c>
      <c r="U26" s="22" t="str">
        <f>IF(Таблица62[[#This Row],[''Б/К]]="Б",IF(Таблица62[[#This Row],[Столбец18]]="-","-",""),"")</f>
        <v/>
      </c>
      <c r="V26" s="46"/>
      <c r="W26" s="13"/>
    </row>
    <row r="27" spans="1:23" ht="15" customHeight="1" x14ac:dyDescent="0.3">
      <c r="A27" s="44"/>
      <c r="B27" s="46"/>
      <c r="C27" s="31" t="s">
        <v>82</v>
      </c>
      <c r="D27" s="32">
        <f t="shared" ca="1" si="4"/>
        <v>16</v>
      </c>
      <c r="E27" s="30" t="s">
        <v>72</v>
      </c>
      <c r="F27" s="6">
        <v>6</v>
      </c>
      <c r="G27" s="6">
        <v>5</v>
      </c>
      <c r="H27" s="6">
        <v>4</v>
      </c>
      <c r="I27" s="6">
        <v>4</v>
      </c>
      <c r="J27" s="6" t="s">
        <v>98</v>
      </c>
      <c r="K27" s="6">
        <v>4</v>
      </c>
      <c r="L27" s="6">
        <v>4</v>
      </c>
      <c r="M27" s="6">
        <v>7</v>
      </c>
      <c r="N27" s="6">
        <v>4</v>
      </c>
      <c r="O27" s="6">
        <v>4</v>
      </c>
      <c r="P27" s="6">
        <v>4</v>
      </c>
      <c r="Q27" s="6" t="s">
        <v>98</v>
      </c>
      <c r="R27" s="6">
        <v>4</v>
      </c>
      <c r="S27" s="6">
        <v>4</v>
      </c>
      <c r="T27" s="33" t="s">
        <v>99</v>
      </c>
      <c r="U27" s="22" t="str">
        <f>IF(Таблица62[[#This Row],[''Б/К]]="Б",IF(Таблица62[[#This Row],[Столбец18]]="-","-",""),"")</f>
        <v/>
      </c>
      <c r="V27" s="46"/>
      <c r="W27" s="13"/>
    </row>
    <row r="28" spans="1:23" ht="15" customHeight="1" x14ac:dyDescent="0.3">
      <c r="A28" s="44"/>
      <c r="B28" s="46"/>
      <c r="C28" s="31" t="s">
        <v>82</v>
      </c>
      <c r="D28" s="32">
        <f t="shared" ref="D28:D32" ca="1" si="5">OFFSET(D28,-1,0)+1</f>
        <v>17</v>
      </c>
      <c r="E28" s="30" t="s">
        <v>73</v>
      </c>
      <c r="F28" s="6">
        <v>9</v>
      </c>
      <c r="G28" s="6">
        <v>9</v>
      </c>
      <c r="H28" s="6">
        <v>9</v>
      </c>
      <c r="I28" s="6">
        <v>9</v>
      </c>
      <c r="J28" s="6">
        <v>4</v>
      </c>
      <c r="K28" s="6">
        <v>4</v>
      </c>
      <c r="L28" s="6">
        <v>6</v>
      </c>
      <c r="M28" s="6">
        <v>6</v>
      </c>
      <c r="N28" s="6">
        <v>4</v>
      </c>
      <c r="O28" s="6">
        <v>4</v>
      </c>
      <c r="P28" s="6">
        <v>5</v>
      </c>
      <c r="Q28" s="6">
        <v>4</v>
      </c>
      <c r="R28" s="6">
        <v>10</v>
      </c>
      <c r="S28" s="6">
        <v>4</v>
      </c>
      <c r="T28" s="33">
        <f>AVERAGE(Таблица62[[#This Row],[1]:[14]])</f>
        <v>6.2142857142857144</v>
      </c>
      <c r="U28" s="22" t="str">
        <f>IF(Таблица62[[#This Row],[''Б/К]]="Б",IF(Таблица62[[#This Row],[Столбец18]]="-","-",""),"")</f>
        <v/>
      </c>
      <c r="V28" s="46"/>
      <c r="W28" s="13"/>
    </row>
    <row r="29" spans="1:23" ht="15" customHeight="1" x14ac:dyDescent="0.3">
      <c r="A29" s="44"/>
      <c r="B29" s="46"/>
      <c r="C29" s="31" t="s">
        <v>82</v>
      </c>
      <c r="D29" s="32">
        <f t="shared" ca="1" si="5"/>
        <v>18</v>
      </c>
      <c r="E29" s="30" t="s">
        <v>74</v>
      </c>
      <c r="F29" s="6">
        <v>8</v>
      </c>
      <c r="G29" s="6">
        <v>10</v>
      </c>
      <c r="H29" s="6">
        <v>10</v>
      </c>
      <c r="I29" s="6">
        <v>10</v>
      </c>
      <c r="J29" s="6">
        <v>9</v>
      </c>
      <c r="K29" s="6">
        <v>7</v>
      </c>
      <c r="L29" s="6">
        <v>10</v>
      </c>
      <c r="M29" s="6">
        <v>8</v>
      </c>
      <c r="N29" s="6">
        <v>5</v>
      </c>
      <c r="O29" s="6">
        <v>8</v>
      </c>
      <c r="P29" s="6">
        <v>8</v>
      </c>
      <c r="Q29" s="6">
        <v>8</v>
      </c>
      <c r="R29" s="6">
        <v>10</v>
      </c>
      <c r="S29" s="6">
        <v>7</v>
      </c>
      <c r="T29" s="33">
        <f>AVERAGE(Таблица62[[#This Row],[1]:[14]])</f>
        <v>8.4285714285714288</v>
      </c>
      <c r="U29" s="22" t="str">
        <f>IF(Таблица62[[#This Row],[''Б/К]]="Б",IF(Таблица62[[#This Row],[Столбец18]]="-","-",""),"")</f>
        <v/>
      </c>
      <c r="V29" s="46"/>
      <c r="W29" s="13"/>
    </row>
    <row r="30" spans="1:23" ht="15" customHeight="1" x14ac:dyDescent="0.3">
      <c r="A30" s="44"/>
      <c r="B30" s="46"/>
      <c r="C30" s="31" t="s">
        <v>82</v>
      </c>
      <c r="D30" s="32">
        <f t="shared" ref="D30:D31" ca="1" si="6">OFFSET(D30,-1,0)+1</f>
        <v>19</v>
      </c>
      <c r="E30" s="30" t="s">
        <v>75</v>
      </c>
      <c r="F30" s="6">
        <v>8</v>
      </c>
      <c r="G30" s="6">
        <v>10</v>
      </c>
      <c r="H30" s="6">
        <v>8</v>
      </c>
      <c r="I30" s="6">
        <v>8</v>
      </c>
      <c r="J30" s="6" t="s">
        <v>98</v>
      </c>
      <c r="K30" s="6">
        <v>4</v>
      </c>
      <c r="L30" s="6">
        <v>8</v>
      </c>
      <c r="M30" s="6">
        <v>8</v>
      </c>
      <c r="N30" s="6">
        <v>4</v>
      </c>
      <c r="O30" s="6">
        <v>5</v>
      </c>
      <c r="P30" s="6">
        <v>6</v>
      </c>
      <c r="Q30" s="6">
        <v>6</v>
      </c>
      <c r="R30" s="6">
        <v>10</v>
      </c>
      <c r="S30" s="6">
        <v>8</v>
      </c>
      <c r="T30" s="33" t="s">
        <v>99</v>
      </c>
      <c r="U30" s="22" t="str">
        <f>IF(Таблица62[[#This Row],[''Б/К]]="Б",IF(Таблица62[[#This Row],[Столбец18]]="-","-",""),"")</f>
        <v/>
      </c>
      <c r="V30" s="46"/>
      <c r="W30" s="13"/>
    </row>
    <row r="31" spans="1:23" ht="15" customHeight="1" x14ac:dyDescent="0.3">
      <c r="A31" s="44"/>
      <c r="B31" s="46"/>
      <c r="C31" s="31" t="s">
        <v>82</v>
      </c>
      <c r="D31" s="32">
        <f t="shared" ca="1" si="6"/>
        <v>20</v>
      </c>
      <c r="E31" s="30" t="s">
        <v>76</v>
      </c>
      <c r="F31" s="6">
        <v>10</v>
      </c>
      <c r="G31" s="6">
        <v>9</v>
      </c>
      <c r="H31" s="6">
        <v>10</v>
      </c>
      <c r="I31" s="6">
        <v>10</v>
      </c>
      <c r="J31" s="6">
        <v>6</v>
      </c>
      <c r="K31" s="6">
        <v>8</v>
      </c>
      <c r="L31" s="6">
        <v>9</v>
      </c>
      <c r="M31" s="6">
        <v>8</v>
      </c>
      <c r="N31" s="6">
        <v>8</v>
      </c>
      <c r="O31" s="6">
        <v>8</v>
      </c>
      <c r="P31" s="6">
        <v>7</v>
      </c>
      <c r="Q31" s="6">
        <v>8</v>
      </c>
      <c r="R31" s="6">
        <v>10</v>
      </c>
      <c r="S31" s="6">
        <v>6</v>
      </c>
      <c r="T31" s="33">
        <f>AVERAGE(Таблица62[[#This Row],[1]:[14]])</f>
        <v>8.3571428571428577</v>
      </c>
      <c r="U31" s="22" t="str">
        <f>IF(Таблица62[[#This Row],[''Б/К]]="Б",IF(Таблица62[[#This Row],[Столбец18]]="-","-",""),"")</f>
        <v/>
      </c>
      <c r="V31" s="46"/>
      <c r="W31" s="13"/>
    </row>
    <row r="32" spans="1:23" ht="15" customHeight="1" x14ac:dyDescent="0.3">
      <c r="A32" s="44"/>
      <c r="B32" s="46"/>
      <c r="C32" s="31" t="s">
        <v>82</v>
      </c>
      <c r="D32" s="32">
        <f t="shared" ca="1" si="5"/>
        <v>21</v>
      </c>
      <c r="E32" s="30" t="s">
        <v>77</v>
      </c>
      <c r="F32" s="6">
        <v>6</v>
      </c>
      <c r="G32" s="6">
        <v>6</v>
      </c>
      <c r="H32" s="6">
        <v>7</v>
      </c>
      <c r="I32" s="6">
        <v>5</v>
      </c>
      <c r="J32" s="6" t="s">
        <v>98</v>
      </c>
      <c r="K32" s="6">
        <v>7</v>
      </c>
      <c r="L32" s="6">
        <v>7</v>
      </c>
      <c r="M32" s="6">
        <v>6</v>
      </c>
      <c r="N32" s="6">
        <v>6</v>
      </c>
      <c r="O32" s="6">
        <v>4</v>
      </c>
      <c r="P32" s="6">
        <v>6</v>
      </c>
      <c r="Q32" s="6">
        <v>4</v>
      </c>
      <c r="R32" s="6">
        <v>6</v>
      </c>
      <c r="S32" s="6">
        <v>4</v>
      </c>
      <c r="T32" s="33" t="s">
        <v>99</v>
      </c>
      <c r="U32" s="22" t="str">
        <f>IF(Таблица62[[#This Row],[''Б/К]]="Б",IF(Таблица62[[#This Row],[Столбец18]]="-","-",""),"")</f>
        <v/>
      </c>
      <c r="V32" s="46"/>
      <c r="W32" s="13"/>
    </row>
    <row r="33" spans="1:23" ht="15" customHeight="1" x14ac:dyDescent="0.3">
      <c r="A33" s="44"/>
      <c r="B33" s="46"/>
      <c r="C33" s="31" t="s">
        <v>82</v>
      </c>
      <c r="D33" s="32">
        <f t="shared" ref="D33:D36" ca="1" si="7">OFFSET(D33,-1,0)+1</f>
        <v>22</v>
      </c>
      <c r="E33" s="30" t="s">
        <v>78</v>
      </c>
      <c r="F33" s="6">
        <v>8</v>
      </c>
      <c r="G33" s="6">
        <v>9</v>
      </c>
      <c r="H33" s="6">
        <v>7</v>
      </c>
      <c r="I33" s="6">
        <v>8</v>
      </c>
      <c r="J33" s="6" t="s">
        <v>98</v>
      </c>
      <c r="K33" s="6">
        <v>8</v>
      </c>
      <c r="L33" s="6">
        <v>8</v>
      </c>
      <c r="M33" s="6">
        <v>6</v>
      </c>
      <c r="N33" s="6">
        <v>5</v>
      </c>
      <c r="O33" s="6">
        <v>5</v>
      </c>
      <c r="P33" s="6">
        <v>5</v>
      </c>
      <c r="Q33" s="6">
        <v>4</v>
      </c>
      <c r="R33" s="6">
        <v>8</v>
      </c>
      <c r="S33" s="6" t="s">
        <v>98</v>
      </c>
      <c r="T33" s="33" t="s">
        <v>99</v>
      </c>
      <c r="U33" s="23" t="str">
        <f>IF(Таблица62[[#This Row],[''Б/К]]="Б",IF(Таблица62[[#This Row],[Столбец18]]="-","-",""),"")</f>
        <v/>
      </c>
      <c r="V33" s="46"/>
      <c r="W33" s="13"/>
    </row>
    <row r="34" spans="1:23" ht="15" customHeight="1" x14ac:dyDescent="0.3">
      <c r="A34" s="44"/>
      <c r="B34" s="46"/>
      <c r="C34" s="31" t="s">
        <v>82</v>
      </c>
      <c r="D34" s="32">
        <f t="shared" ca="1" si="7"/>
        <v>23</v>
      </c>
      <c r="E34" s="30" t="s">
        <v>79</v>
      </c>
      <c r="F34" s="6">
        <v>7</v>
      </c>
      <c r="G34" s="6">
        <v>8</v>
      </c>
      <c r="H34" s="6">
        <v>5</v>
      </c>
      <c r="I34" s="6">
        <v>5</v>
      </c>
      <c r="J34" s="6">
        <v>2</v>
      </c>
      <c r="K34" s="6">
        <v>7</v>
      </c>
      <c r="L34" s="6" t="s">
        <v>98</v>
      </c>
      <c r="M34" s="6">
        <v>8</v>
      </c>
      <c r="N34" s="6">
        <v>5</v>
      </c>
      <c r="O34" s="6">
        <v>4</v>
      </c>
      <c r="P34" s="6">
        <v>5</v>
      </c>
      <c r="Q34" s="6">
        <v>4</v>
      </c>
      <c r="R34" s="6">
        <v>4</v>
      </c>
      <c r="S34" s="6">
        <v>3</v>
      </c>
      <c r="T34" s="33" t="s">
        <v>99</v>
      </c>
      <c r="U34" s="23" t="str">
        <f>IF(Таблица62[[#This Row],[''Б/К]]="Б",IF(Таблица62[[#This Row],[Столбец18]]="-","-",""),"")</f>
        <v/>
      </c>
      <c r="V34" s="46"/>
      <c r="W34" s="13"/>
    </row>
    <row r="35" spans="1:23" ht="15" customHeight="1" x14ac:dyDescent="0.3">
      <c r="A35" s="44"/>
      <c r="B35" s="46"/>
      <c r="C35" s="31" t="s">
        <v>82</v>
      </c>
      <c r="D35" s="32">
        <f t="shared" ca="1" si="7"/>
        <v>24</v>
      </c>
      <c r="E35" s="30" t="s">
        <v>80</v>
      </c>
      <c r="F35" s="6">
        <v>10</v>
      </c>
      <c r="G35" s="6">
        <v>6</v>
      </c>
      <c r="H35" s="6">
        <v>9</v>
      </c>
      <c r="I35" s="6">
        <v>6</v>
      </c>
      <c r="J35" s="6">
        <v>10</v>
      </c>
      <c r="K35" s="6">
        <v>10</v>
      </c>
      <c r="L35" s="6">
        <v>6</v>
      </c>
      <c r="M35" s="6">
        <v>8</v>
      </c>
      <c r="N35" s="6">
        <v>7</v>
      </c>
      <c r="O35" s="6">
        <v>6</v>
      </c>
      <c r="P35" s="6">
        <v>8</v>
      </c>
      <c r="Q35" s="6">
        <v>7</v>
      </c>
      <c r="R35" s="6">
        <v>10</v>
      </c>
      <c r="S35" s="6">
        <v>6</v>
      </c>
      <c r="T35" s="33">
        <f>AVERAGE(Таблица62[[#This Row],[1]:[14]])</f>
        <v>7.7857142857142856</v>
      </c>
      <c r="U35" s="23" t="str">
        <f>IF(Таблица62[[#This Row],[''Б/К]]="Б",IF(Таблица62[[#This Row],[Столбец18]]="-","-",""),"")</f>
        <v/>
      </c>
      <c r="V35" s="46"/>
      <c r="W35" s="13"/>
    </row>
    <row r="36" spans="1:23" ht="15" customHeight="1" x14ac:dyDescent="0.3">
      <c r="A36" s="44"/>
      <c r="B36" s="46"/>
      <c r="C36" s="31" t="s">
        <v>82</v>
      </c>
      <c r="D36" s="32">
        <f t="shared" ca="1" si="7"/>
        <v>25</v>
      </c>
      <c r="E36" s="30" t="s">
        <v>81</v>
      </c>
      <c r="F36" s="6">
        <v>8</v>
      </c>
      <c r="G36" s="6">
        <v>8</v>
      </c>
      <c r="H36" s="6">
        <v>7</v>
      </c>
      <c r="I36" s="6">
        <v>10</v>
      </c>
      <c r="J36" s="6">
        <v>4</v>
      </c>
      <c r="K36" s="6">
        <v>7</v>
      </c>
      <c r="L36" s="6" t="s">
        <v>98</v>
      </c>
      <c r="M36" s="6">
        <v>7</v>
      </c>
      <c r="N36" s="6">
        <v>4</v>
      </c>
      <c r="O36" s="6">
        <v>4</v>
      </c>
      <c r="P36" s="6">
        <v>4</v>
      </c>
      <c r="Q36" s="6">
        <v>2</v>
      </c>
      <c r="R36" s="6">
        <v>10</v>
      </c>
      <c r="S36" s="6">
        <v>6</v>
      </c>
      <c r="T36" s="33" t="s">
        <v>99</v>
      </c>
      <c r="U36" s="23" t="str">
        <f>IF(Таблица62[[#This Row],[''Б/К]]="Б",IF(Таблица62[[#This Row],[Столбец18]]="-","-",""),"")</f>
        <v/>
      </c>
      <c r="V36" s="46"/>
      <c r="W36" s="13"/>
    </row>
    <row r="37" spans="1:23" ht="15" customHeight="1" x14ac:dyDescent="0.3">
      <c r="A37" s="44"/>
      <c r="B37" s="46"/>
      <c r="C37" s="36"/>
      <c r="D37" s="36"/>
      <c r="E37" s="5" t="s">
        <v>9</v>
      </c>
      <c r="F37" s="27">
        <f ca="1">IF(SUM(OFFSET(Таблица62[[#Headers],[1]],1,0):OFFSET(F37, -1, 0))=0,"",SUM(OFFSET(Таблица62[[#Headers],[1]],1,0):OFFSET(F37, -1, 0))/OFFSET($D37, -1, 0))</f>
        <v>8.32</v>
      </c>
      <c r="G37" s="27">
        <f ca="1">IF(SUM(OFFSET(Таблица62[[#Headers],[2]],1,0):OFFSET(G37, -1, 0))=0,"",SUM(OFFSET(Таблица62[[#Headers],[2]],1,0):OFFSET(G37, -1, 0))/OFFSET($D37, -1, 0))</f>
        <v>8.1999999999999993</v>
      </c>
      <c r="H37" s="27">
        <f ca="1">IF(SUM(OFFSET(Таблица62[[#Headers],[3]],1,0):OFFSET(H37, -1, 0))=0,"",SUM(OFFSET(Таблица62[[#Headers],[3]],1,0):OFFSET(H37, -1, 0))/OFFSET($D37, -1, 0))</f>
        <v>7.72</v>
      </c>
      <c r="I37" s="27">
        <f ca="1">IF(SUM(OFFSET(Таблица62[[#Headers],[4]],1,0):OFFSET(I37, -1, 0))=0,"",SUM(OFFSET(Таблица62[[#Headers],[4]],1,0):OFFSET(I37, -1, 0))/OFFSET($D37, -1, 0))</f>
        <v>8.2799999999999994</v>
      </c>
      <c r="J37" s="27">
        <f ca="1">IF(SUM(OFFSET(Таблица62[[#Headers],[5]],1,0):OFFSET(J37, -1, 0))=0,"",SUM(OFFSET(Таблица62[[#Headers],[5]],1,0):OFFSET(J37, -1, 0))/OFFSET($D37, -1, 0))</f>
        <v>5.32</v>
      </c>
      <c r="K37" s="27">
        <f ca="1">IF(SUM(OFFSET(Таблица62[[#Headers],[6]],1,0):OFFSET(K37, -1, 0))=0,"",SUM(OFFSET(Таблица62[[#Headers],[6]],1,0):OFFSET(K37, -1, 0))/OFFSET($D37, -1, 0))</f>
        <v>7.08</v>
      </c>
      <c r="L37" s="27">
        <f ca="1">IF(SUM(OFFSET(Таблица62[[#Headers],[7]],1,0):OFFSET(L37, -1, 0))=0,"",SUM(OFFSET(Таблица62[[#Headers],[7]],1,0):OFFSET(L37, -1, 0))/OFFSET($D37, -1, 0))</f>
        <v>6.84</v>
      </c>
      <c r="M37" s="27">
        <f ca="1">IF(SUM(OFFSET(Таблица62[[#Headers],[8]],1,0):OFFSET(M37, -1, 0))=0,"",SUM(OFFSET(Таблица62[[#Headers],[8]],1,0):OFFSET(M37, -1, 0))/OFFSET($D37, -1, 0))</f>
        <v>7.04</v>
      </c>
      <c r="N37" s="27">
        <f ca="1">IF(SUM(OFFSET(Таблица62[[#Headers],[9]],1,0):OFFSET(N37, -1, 0))=0,"",SUM(OFFSET(Таблица62[[#Headers],[9]],1,0):OFFSET(N37, -1, 0))/OFFSET($D37, -1, 0))</f>
        <v>5.64</v>
      </c>
      <c r="O37" s="27">
        <f ca="1">IF(SUM(OFFSET(Таблица62[[#Headers],[10]],1,0):OFFSET(O37, -1, 0))=0,"",SUM(OFFSET(Таблица62[[#Headers],[10]],1,0):OFFSET(O37, -1, 0))/OFFSET($D37, -1, 0))</f>
        <v>6.12</v>
      </c>
      <c r="P37" s="27">
        <f ca="1">IF(SUM(OFFSET(Таблица62[[#Headers],[11]],1,0):OFFSET(P37, -1, 0))=0,"",SUM(OFFSET(Таблица62[[#Headers],[11]],1,0):OFFSET(P37, -1, 0))/OFFSET($D37, -1, 0))</f>
        <v>6.32</v>
      </c>
      <c r="Q37" s="27">
        <f ca="1">IF(SUM(OFFSET(Таблица62[[#Headers],[12]],1,0):OFFSET(Q37, -1, 0))=0,"",SUM(OFFSET(Таблица62[[#Headers],[12]],1,0):OFFSET(Q37, -1, 0))/OFFSET($D37, -1, 0))</f>
        <v>5.4</v>
      </c>
      <c r="R37" s="27">
        <f ca="1">IF(SUM(OFFSET(Таблица62[[#Headers],[13]],1,0):OFFSET(R37, -1, 0))=0,"",SUM(OFFSET(Таблица62[[#Headers],[13]],1,0):OFFSET(R37, -1, 0))/OFFSET($D37, -1, 0))</f>
        <v>7.96</v>
      </c>
      <c r="S37" s="27">
        <f ca="1">IF(SUM(OFFSET(Таблица62[[#Headers],[14]],1,0):OFFSET(S37, -1, 0))=0,"",SUM(OFFSET(Таблица62[[#Headers],[14]],1,0):OFFSET(S37, -1, 0))/OFFSET($D37, -1, 0))</f>
        <v>5.24</v>
      </c>
      <c r="T37" s="19">
        <f ca="1">IFERROR(AVERAGE(F37:S37),"")</f>
        <v>6.8199999999999994</v>
      </c>
      <c r="U37" s="24">
        <f ca="1">COUNTIF(OFFSET(Таблица62[[#Headers],["Б" и "-"]],1,0):OFFSET(U37,-1,0),"-")</f>
        <v>0</v>
      </c>
      <c r="V37" s="46"/>
      <c r="W37" s="13"/>
    </row>
    <row r="38" spans="1:23" ht="15" customHeight="1" x14ac:dyDescent="0.3">
      <c r="A38" s="44"/>
      <c r="B38" s="46"/>
      <c r="C38" s="36"/>
      <c r="D38" s="36"/>
      <c r="E38" s="5" t="s">
        <v>10</v>
      </c>
      <c r="F38" s="28">
        <f ca="1">IF(SUM(OFFSET(Таблица62[[#Headers],[1]],1,0):OFFSET(F37, -1, 0))=0,"",IF(COUNTIF(OFFSET(Таблица62[[#Headers],[1]],1,0):OFFSET(F37, -1, 0),"&gt;=4")=0,0,COUNTIF(OFFSET(Таблица62[[#Headers],[1]],1,0):OFFSET(F37, -1, 0),"&gt;=4")/OFFSET($D37, -1, 0)*100))</f>
        <v>100</v>
      </c>
      <c r="G38" s="28">
        <f ca="1">IF(SUM(OFFSET(Таблица62[[#Headers],[2]],1,0):OFFSET(G37, -1, 0))=0,"",IF(COUNTIF(OFFSET(Таблица62[[#Headers],[2]],1,0):OFFSET(G37, -1, 0),"&gt;=4")=0,0,COUNTIF(OFFSET(Таблица62[[#Headers],[2]],1,0):OFFSET(G37, -1, 0),"&gt;=4")/OFFSET($D37, -1, 0)*100))</f>
        <v>100</v>
      </c>
      <c r="H38" s="28">
        <f ca="1">IF(SUM(OFFSET(Таблица62[[#Headers],[3]],1,0):OFFSET(H37, -1, 0))=0,"",IF(COUNTIF(OFFSET(Таблица62[[#Headers],[3]],1,0):OFFSET(H37, -1, 0),"&gt;=4")=0,0,COUNTIF(OFFSET(Таблица62[[#Headers],[3]],1,0):OFFSET(H37, -1, 0),"&gt;=4")/OFFSET($D37, -1, 0)*100))</f>
        <v>100</v>
      </c>
      <c r="I38" s="28">
        <f ca="1">IF(SUM(OFFSET(Таблица62[[#Headers],[4]],1,0):OFFSET(I37, -1, 0))=0,"",IF(COUNTIF(OFFSET(Таблица62[[#Headers],[4]],1,0):OFFSET(I37, -1, 0),"&gt;=4")=0,0,COUNTIF(OFFSET(Таблица62[[#Headers],[4]],1,0):OFFSET(I37, -1, 0),"&gt;=4")/OFFSET($D37, -1, 0)*100))</f>
        <v>100</v>
      </c>
      <c r="J38" s="28">
        <f ca="1">IF(SUM(OFFSET(Таблица62[[#Headers],[5]],1,0):OFFSET(J37, -1, 0))=0,"",IF(COUNTIF(OFFSET(Таблица62[[#Headers],[5]],1,0):OFFSET(J37, -1, 0),"&gt;=4")=0,0,COUNTIF(OFFSET(Таблица62[[#Headers],[5]],1,0):OFFSET(J37, -1, 0),"&gt;=4")/OFFSET($D37, -1, 0)*100))</f>
        <v>68</v>
      </c>
      <c r="K38" s="28">
        <f ca="1">IF(SUM(OFFSET(Таблица62[[#Headers],[6]],1,0):OFFSET(K37, -1, 0))=0,"",IF(COUNTIF(OFFSET(Таблица62[[#Headers],[6]],1,0):OFFSET(K37, -1, 0),"&gt;=4")=0,0,COUNTIF(OFFSET(Таблица62[[#Headers],[6]],1,0):OFFSET(K37, -1, 0),"&gt;=4")/OFFSET($D37, -1, 0)*100))</f>
        <v>100</v>
      </c>
      <c r="L38" s="28">
        <f ca="1">IF(SUM(OFFSET(Таблица62[[#Headers],[7]],1,0):OFFSET(L37, -1, 0))=0,"",IF(COUNTIF(OFFSET(Таблица62[[#Headers],[7]],1,0):OFFSET(L37, -1, 0),"&gt;=4")=0,0,COUNTIF(OFFSET(Таблица62[[#Headers],[7]],1,0):OFFSET(L37, -1, 0),"&gt;=4")/OFFSET($D37, -1, 0)*100))</f>
        <v>92</v>
      </c>
      <c r="M38" s="28">
        <f ca="1">IF(SUM(OFFSET(Таблица62[[#Headers],[8]],1,0):OFFSET(M37, -1, 0))=0,"",IF(COUNTIF(OFFSET(Таблица62[[#Headers],[8]],1,0):OFFSET(M37, -1, 0),"&gt;=4")=0,0,COUNTIF(OFFSET(Таблица62[[#Headers],[8]],1,0):OFFSET(M37, -1, 0),"&gt;=4")/OFFSET($D37, -1, 0)*100))</f>
        <v>96</v>
      </c>
      <c r="N38" s="28">
        <f ca="1">IF(SUM(OFFSET(Таблица62[[#Headers],[9]],1,0):OFFSET(N37, -1, 0))=0,"",IF(COUNTIF(OFFSET(Таблица62[[#Headers],[9]],1,0):OFFSET(N37, -1, 0),"&gt;=4")=0,0,COUNTIF(OFFSET(Таблица62[[#Headers],[9]],1,0):OFFSET(N37, -1, 0),"&gt;=4")/OFFSET($D37, -1, 0)*100))</f>
        <v>100</v>
      </c>
      <c r="O38" s="28">
        <f ca="1">IF(SUM(OFFSET(Таблица62[[#Headers],[10]],1,0):OFFSET(O37, -1, 0))=0,"",IF(COUNTIF(OFFSET(Таблица62[[#Headers],[10]],1,0):OFFSET(O37, -1, 0),"&gt;=4")=0,0,COUNTIF(OFFSET(Таблица62[[#Headers],[10]],1,0):OFFSET(O37, -1, 0),"&gt;=4")/OFFSET($D37, -1, 0)*100))</f>
        <v>100</v>
      </c>
      <c r="P38" s="28">
        <f ca="1">IF(SUM(OFFSET(Таблица62[[#Headers],[11]],1,0):OFFSET(P37, -1, 0))=0,"",IF(COUNTIF(OFFSET(Таблица62[[#Headers],[11]],1,0):OFFSET(P37, -1, 0),"&gt;=4")=0,0,COUNTIF(OFFSET(Таблица62[[#Headers],[11]],1,0):OFFSET(P37, -1, 0),"&gt;=4")/OFFSET($D37, -1, 0)*100))</f>
        <v>100</v>
      </c>
      <c r="Q38" s="28">
        <f ca="1">IF(SUM(OFFSET(Таблица62[[#Headers],[12]],1,0):OFFSET(Q37, -1, 0))=0,"",IF(COUNTIF(OFFSET(Таблица62[[#Headers],[12]],1,0):OFFSET(Q37, -1, 0),"&gt;=4")=0,0,COUNTIF(OFFSET(Таблица62[[#Headers],[12]],1,0):OFFSET(Q37, -1, 0),"&gt;=4")/OFFSET($D37, -1, 0)*100))</f>
        <v>84</v>
      </c>
      <c r="R38" s="28">
        <f ca="1">IF(SUM(OFFSET(Таблица62[[#Headers],[13]],1,0):OFFSET(R37, -1, 0))=0,"",IF(COUNTIF(OFFSET(Таблица62[[#Headers],[13]],1,0):OFFSET(R37, -1, 0),"&gt;=4")=0,0,COUNTIF(OFFSET(Таблица62[[#Headers],[13]],1,0):OFFSET(R37, -1, 0),"&gt;=4")/OFFSET($D37, -1, 0)*100))</f>
        <v>100</v>
      </c>
      <c r="S38" s="28">
        <f ca="1">IF(SUM(OFFSET(Таблица62[[#Headers],[14]],1,0):OFFSET(S37, -1, 0))=0,"",IF(COUNTIF(OFFSET(Таблица62[[#Headers],[14]],1,0):OFFSET(S37, -1, 0),"&gt;=4")=0,0,COUNTIF(OFFSET(Таблица62[[#Headers],[14]],1,0):OFFSET(S37, -1, 0),"&gt;=4")/OFFSET($D37, -1, 0)*100))</f>
        <v>80</v>
      </c>
      <c r="T38" s="8"/>
      <c r="U38" s="8"/>
      <c r="V38" s="46"/>
      <c r="W38" s="13"/>
    </row>
    <row r="39" spans="1:23" ht="15" customHeight="1" x14ac:dyDescent="0.3">
      <c r="A39" s="44"/>
      <c r="B39" s="46"/>
      <c r="C39" s="36"/>
      <c r="D39" s="36"/>
      <c r="E39" s="5" t="s">
        <v>11</v>
      </c>
      <c r="F39" s="28">
        <f ca="1">IF(SUM(OFFSET(Таблица62[[#Headers],[1]],1,0):OFFSET(F37, -1, 0))=0,"",IF(COUNTIF(OFFSET(Таблица62[[#Headers],[1]],1,0):OFFSET(F37, -1, 0),"&gt;=7")=0,0,COUNTIF(OFFSET(Таблица62[[#Headers],[1]],1,0):OFFSET(F37, -1, 0),"&gt;=7")/OFFSET($D37, -1, 0)*100))</f>
        <v>80</v>
      </c>
      <c r="G39" s="28">
        <f ca="1">IF(SUM(OFFSET(Таблица62[[#Headers],[2]],1,0):OFFSET(G37, -1, 0))=0,"",IF(COUNTIF(OFFSET(Таблица62[[#Headers],[2]],1,0):OFFSET(G37, -1, 0),"&gt;=7")=0,0,COUNTIF(OFFSET(Таблица62[[#Headers],[2]],1,0):OFFSET(G37, -1, 0),"&gt;=7")/OFFSET($D37, -1, 0)*100))</f>
        <v>80</v>
      </c>
      <c r="H39" s="28">
        <f ca="1">IF(SUM(OFFSET(Таблица62[[#Headers],[3]],1,0):OFFSET(H37, -1, 0))=0,"",IF(COUNTIF(OFFSET(Таблица62[[#Headers],[3]],1,0):OFFSET(H37, -1, 0),"&gt;=7")=0,0,COUNTIF(OFFSET(Таблица62[[#Headers],[3]],1,0):OFFSET(H37, -1, 0),"&gt;=7")/OFFSET($D37, -1, 0)*100))</f>
        <v>76</v>
      </c>
      <c r="I39" s="28">
        <f ca="1">IF(SUM(OFFSET(Таблица62[[#Headers],[4]],1,0):OFFSET(I37, -1, 0))=0,"",IF(COUNTIF(OFFSET(Таблица62[[#Headers],[4]],1,0):OFFSET(I37, -1, 0),"&gt;=7")=0,0,COUNTIF(OFFSET(Таблица62[[#Headers],[4]],1,0):OFFSET(I37, -1, 0),"&gt;=7")/OFFSET($D37, -1, 0)*100))</f>
        <v>72</v>
      </c>
      <c r="J39" s="28">
        <f ca="1">IF(SUM(OFFSET(Таблица62[[#Headers],[5]],1,0):OFFSET(J37, -1, 0))=0,"",IF(COUNTIF(OFFSET(Таблица62[[#Headers],[5]],1,0):OFFSET(J37, -1, 0),"&gt;=7")=0,0,COUNTIF(OFFSET(Таблица62[[#Headers],[5]],1,0):OFFSET(J37, -1, 0),"&gt;=7")/OFFSET($D37, -1, 0)*100))</f>
        <v>40</v>
      </c>
      <c r="K39" s="28">
        <f ca="1">IF(SUM(OFFSET(Таблица62[[#Headers],[6]],1,0):OFFSET(K37, -1, 0))=0,"",IF(COUNTIF(OFFSET(Таблица62[[#Headers],[6]],1,0):OFFSET(K37, -1, 0),"&gt;=7")=0,0,COUNTIF(OFFSET(Таблица62[[#Headers],[6]],1,0):OFFSET(K37, -1, 0),"&gt;=7")/OFFSET($D37, -1, 0)*100))</f>
        <v>64</v>
      </c>
      <c r="L39" s="28">
        <f ca="1">IF(SUM(OFFSET(Таблица62[[#Headers],[7]],1,0):OFFSET(L37, -1, 0))=0,"",IF(COUNTIF(OFFSET(Таблица62[[#Headers],[7]],1,0):OFFSET(L37, -1, 0),"&gt;=7")=0,0,COUNTIF(OFFSET(Таблица62[[#Headers],[7]],1,0):OFFSET(L37, -1, 0),"&gt;=7")/OFFSET($D37, -1, 0)*100))</f>
        <v>56.000000000000007</v>
      </c>
      <c r="M39" s="28">
        <f ca="1">IF(SUM(OFFSET(Таблица62[[#Headers],[8]],1,0):OFFSET(M37, -1, 0))=0,"",IF(COUNTIF(OFFSET(Таблица62[[#Headers],[8]],1,0):OFFSET(M37, -1, 0),"&gt;=7")=0,0,COUNTIF(OFFSET(Таблица62[[#Headers],[8]],1,0):OFFSET(M37, -1, 0),"&gt;=7")/OFFSET($D37, -1, 0)*100))</f>
        <v>76</v>
      </c>
      <c r="N39" s="28">
        <f ca="1">IF(SUM(OFFSET(Таблица62[[#Headers],[9]],1,0):OFFSET(N37, -1, 0))=0,"",IF(COUNTIF(OFFSET(Таблица62[[#Headers],[9]],1,0):OFFSET(N37, -1, 0),"&gt;=7")=0,0,COUNTIF(OFFSET(Таблица62[[#Headers],[9]],1,0):OFFSET(N37, -1, 0),"&gt;=7")/OFFSET($D37, -1, 0)*100))</f>
        <v>40</v>
      </c>
      <c r="O39" s="28">
        <f ca="1">IF(SUM(OFFSET(Таблица62[[#Headers],[10]],1,0):OFFSET(O37, -1, 0))=0,"",IF(COUNTIF(OFFSET(Таблица62[[#Headers],[10]],1,0):OFFSET(O37, -1, 0),"&gt;=7")=0,0,COUNTIF(OFFSET(Таблица62[[#Headers],[10]],1,0):OFFSET(O37, -1, 0),"&gt;=7")/OFFSET($D37, -1, 0)*100))</f>
        <v>40</v>
      </c>
      <c r="P39" s="28">
        <f ca="1">IF(SUM(OFFSET(Таблица62[[#Headers],[11]],1,0):OFFSET(P37, -1, 0))=0,"",IF(COUNTIF(OFFSET(Таблица62[[#Headers],[11]],1,0):OFFSET(P37, -1, 0),"&gt;=7")=0,0,COUNTIF(OFFSET(Таблица62[[#Headers],[11]],1,0):OFFSET(P37, -1, 0),"&gt;=7")/OFFSET($D37, -1, 0)*100))</f>
        <v>48</v>
      </c>
      <c r="Q39" s="28">
        <f ca="1">IF(SUM(OFFSET(Таблица62[[#Headers],[12]],1,0):OFFSET(Q37, -1, 0))=0,"",IF(COUNTIF(OFFSET(Таблица62[[#Headers],[12]],1,0):OFFSET(Q37, -1, 0),"&gt;=7")=0,0,COUNTIF(OFFSET(Таблица62[[#Headers],[12]],1,0):OFFSET(Q37, -1, 0),"&gt;=7")/OFFSET($D37, -1, 0)*100))</f>
        <v>40</v>
      </c>
      <c r="R39" s="28">
        <f ca="1">IF(SUM(OFFSET(Таблица62[[#Headers],[13]],1,0):OFFSET(R37, -1, 0))=0,"",IF(COUNTIF(OFFSET(Таблица62[[#Headers],[13]],1,0):OFFSET(R37, -1, 0),"&gt;=7")=0,0,COUNTIF(OFFSET(Таблица62[[#Headers],[13]],1,0):OFFSET(R37, -1, 0),"&gt;=7")/OFFSET($D37, -1, 0)*100))</f>
        <v>68</v>
      </c>
      <c r="S39" s="28">
        <f ca="1">IF(SUM(OFFSET(Таблица62[[#Headers],[14]],1,0):OFFSET(S37, -1, 0))=0,"",IF(COUNTIF(OFFSET(Таблица62[[#Headers],[14]],1,0):OFFSET(S37, -1, 0),"&gt;=7")=0,0,COUNTIF(OFFSET(Таблица62[[#Headers],[14]],1,0):OFFSET(S37, -1, 0),"&gt;=7")/OFFSET($D37, -1, 0)*100))</f>
        <v>32</v>
      </c>
      <c r="T39" s="36"/>
      <c r="U39" s="36"/>
      <c r="V39" s="46"/>
      <c r="W39" s="13"/>
    </row>
    <row r="40" spans="1:23" ht="15" customHeight="1" x14ac:dyDescent="0.3">
      <c r="A40" s="44"/>
      <c r="B40" s="46"/>
      <c r="C40" s="36"/>
      <c r="D40" s="36"/>
      <c r="E40" s="5" t="s">
        <v>12</v>
      </c>
      <c r="F40" s="27">
        <f ca="1">IF(COUNT(F38:S38)&lt;14,"",AVERAGE(F38:S38))</f>
        <v>94.285714285714292</v>
      </c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46"/>
      <c r="W40" s="13"/>
    </row>
    <row r="41" spans="1:23" ht="15" customHeight="1" x14ac:dyDescent="0.3">
      <c r="A41" s="44"/>
      <c r="B41" s="46"/>
      <c r="C41" s="36"/>
      <c r="D41" s="36"/>
      <c r="E41" s="5" t="s">
        <v>13</v>
      </c>
      <c r="F41" s="27">
        <f ca="1">IF(COUNT(F39:S39)&lt;14,"",AVERAGE(F39:S39))</f>
        <v>58</v>
      </c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46"/>
      <c r="W41" s="13"/>
    </row>
    <row r="42" spans="1:23" ht="15" customHeight="1" x14ac:dyDescent="0.3">
      <c r="A42" s="44"/>
      <c r="B42" s="46"/>
      <c r="C42" s="36"/>
      <c r="D42" s="36"/>
      <c r="E42" s="5" t="s">
        <v>14</v>
      </c>
      <c r="F42" s="39">
        <f ca="1">IF(COUNTIF(OFFSET(Таблица62[[#Headers],[''Б/К]],1,0):OFFSET($C37, -1, 0),"=Б")=0,IF(COUNTIF(OFFSET(Таблица62[[#Headers],[''Б/К]],1,0):OFFSET($C37, -1, 0),"=К")=0,"",0),COUNTIF(OFFSET(Таблица62[[#Headers],[''Б/К]],1,0):OFFSET($C37, -1, 0),"=Б"))</f>
        <v>0</v>
      </c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46"/>
      <c r="W42" s="13"/>
    </row>
    <row r="43" spans="1:23" ht="15" customHeight="1" x14ac:dyDescent="0.3">
      <c r="A43" s="44"/>
      <c r="B43" s="46"/>
      <c r="C43" s="36"/>
      <c r="D43" s="36"/>
      <c r="E43" s="5" t="s">
        <v>15</v>
      </c>
      <c r="F43" s="39">
        <f ca="1">IF(COUNTIF(OFFSET(Таблица62[[#Headers],[''Б/К]],1,0):OFFSET($C37, -1, 0),"=К")=0,IF(COUNTIF(OFFSET(Таблица62[[#Headers],[''Б/К]],1,0):OFFSET($C37, -1, 0),"=Б")=0,"",0),COUNTIF(OFFSET(Таблица62[[#Headers],[''Б/К]],1,0):OFFSET($C37, -1, 0),"=К"))</f>
        <v>25</v>
      </c>
      <c r="G43" s="36"/>
      <c r="H43" s="41" t="s">
        <v>16</v>
      </c>
      <c r="I43" s="42"/>
      <c r="J43" s="42"/>
      <c r="K43" s="42"/>
      <c r="L43" s="42"/>
      <c r="M43" s="42"/>
      <c r="N43" s="41"/>
      <c r="O43" s="43" t="s">
        <v>55</v>
      </c>
      <c r="P43" s="25"/>
      <c r="Q43" s="26"/>
      <c r="R43" s="25"/>
      <c r="S43" s="36"/>
      <c r="T43" s="36"/>
      <c r="U43" s="36"/>
      <c r="V43" s="46"/>
      <c r="W43" s="13"/>
    </row>
    <row r="44" spans="1:23" ht="15" customHeight="1" x14ac:dyDescent="0.3">
      <c r="A44" s="44"/>
      <c r="B44" s="46"/>
      <c r="C44" s="36"/>
      <c r="D44" s="36"/>
      <c r="E44" s="5" t="s">
        <v>17</v>
      </c>
      <c r="F44" s="29">
        <v>0</v>
      </c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46"/>
      <c r="W44" s="13"/>
    </row>
    <row r="45" spans="1:23" ht="15" customHeight="1" x14ac:dyDescent="0.3">
      <c r="A45" s="44"/>
      <c r="B45" s="46"/>
      <c r="C45" s="36"/>
      <c r="D45" s="36"/>
      <c r="E45" s="5" t="s">
        <v>18</v>
      </c>
      <c r="F45" s="39">
        <f ca="1">IF(F42="","",IF(ROUNDDOWN(F42/100*40,0)&lt;F42-U37,ROUNDDOWN(F42/100*40,0),F42-U37))</f>
        <v>0</v>
      </c>
      <c r="G45" s="36"/>
      <c r="H45" s="43" t="s">
        <v>56</v>
      </c>
      <c r="I45" s="42"/>
      <c r="J45" s="42"/>
      <c r="K45" s="42"/>
      <c r="L45" s="42"/>
      <c r="M45" s="42"/>
      <c r="N45" s="41"/>
      <c r="O45" s="43" t="s">
        <v>19</v>
      </c>
      <c r="P45" s="26"/>
      <c r="Q45" s="26"/>
      <c r="R45" s="26"/>
      <c r="S45" s="36"/>
      <c r="T45" s="36"/>
      <c r="U45" s="36"/>
      <c r="V45" s="46"/>
      <c r="W45" s="13"/>
    </row>
    <row r="46" spans="1:23" ht="12" customHeight="1" thickBot="1" x14ac:dyDescent="0.35">
      <c r="A46" s="44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13"/>
    </row>
    <row r="47" spans="1:23" ht="12" customHeight="1" x14ac:dyDescent="0.3"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</row>
  </sheetData>
  <sheetProtection formatCells="0" insertColumns="0" insertRows="0" deleteColumns="0" deleteRows="0" sort="0"/>
  <mergeCells count="17">
    <mergeCell ref="B47:V47"/>
    <mergeCell ref="C8:T8"/>
    <mergeCell ref="C9:C10"/>
    <mergeCell ref="D9:D10"/>
    <mergeCell ref="E9:E10"/>
    <mergeCell ref="F9:T9"/>
    <mergeCell ref="B46:V46"/>
    <mergeCell ref="B1:V1"/>
    <mergeCell ref="A2:A46"/>
    <mergeCell ref="B2:V2"/>
    <mergeCell ref="B3:B45"/>
    <mergeCell ref="C3:T3"/>
    <mergeCell ref="V3:V45"/>
    <mergeCell ref="C4:T4"/>
    <mergeCell ref="C5:T5"/>
    <mergeCell ref="C6:T6"/>
    <mergeCell ref="C7:T7"/>
  </mergeCells>
  <conditionalFormatting sqref="C33 E33:S33">
    <cfRule type="expression" dxfId="27" priority="2">
      <formula>$V$33&lt;&gt;""</formula>
    </cfRule>
  </conditionalFormatting>
  <conditionalFormatting sqref="C34:C36 E34:S36">
    <cfRule type="expression" dxfId="26" priority="3">
      <formula>$V$34&lt;&gt;""</formula>
    </cfRule>
  </conditionalFormatting>
  <conditionalFormatting sqref="D33:D36 C12:S32">
    <cfRule type="expression" dxfId="25" priority="1">
      <formula>$V$12&lt;&gt;""</formula>
    </cfRule>
  </conditionalFormatting>
  <conditionalFormatting sqref="T12:U36">
    <cfRule type="expression" dxfId="24" priority="4">
      <formula>#REF!&lt;&gt;""</formula>
    </cfRule>
  </conditionalFormatting>
  <printOptions horizontalCentered="1"/>
  <pageMargins left="0" right="0" top="0" bottom="0" header="0" footer="0"/>
  <pageSetup paperSize="9" scale="87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Зведена 181</vt:lpstr>
      <vt:lpstr>Зведена 241</vt:lpstr>
      <vt:lpstr>'Зведена 181'!Область_печати</vt:lpstr>
      <vt:lpstr>'Зведена 241'!Область_печати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37063</dc:creator>
  <cp:lastModifiedBy>MARGARITA</cp:lastModifiedBy>
  <cp:revision/>
  <cp:lastPrinted>2024-12-04T12:45:21Z</cp:lastPrinted>
  <dcterms:created xsi:type="dcterms:W3CDTF">2006-09-28T05:33:49Z</dcterms:created>
  <dcterms:modified xsi:type="dcterms:W3CDTF">2024-12-30T08:08:53Z</dcterms:modified>
</cp:coreProperties>
</file>