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/>
  </bookViews>
  <sheets>
    <sheet name="Зведена 076" sheetId="40" r:id="rId1"/>
    <sheet name="Рейтингова 076" sheetId="44" r:id="rId2"/>
    <sheet name="Зведена 101" sheetId="41" r:id="rId3"/>
    <sheet name="Рейтингова 101" sheetId="45" r:id="rId4"/>
    <sheet name="Зведена 185" sheetId="42" r:id="rId5"/>
  </sheets>
  <definedNames>
    <definedName name="A1048577" localSheetId="0">#REF!</definedName>
    <definedName name="A1048577" localSheetId="2">#REF!</definedName>
    <definedName name="A1048577" localSheetId="4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076'!$B$2:$V$46</definedName>
    <definedName name="_xlnm.Print_Area" localSheetId="2">'Зведена 101'!$B$2:$V$34</definedName>
    <definedName name="_xlnm.Print_Area" localSheetId="4">'Зведена 185'!$B$2:$V$23</definedName>
    <definedName name="_xlnm.Print_Area" localSheetId="1">'Рейтингова 076'!$B$2:$W$32</definedName>
    <definedName name="_xlnm.Print_Area" localSheetId="3">'Рейтингова 101'!$B$2:$W$22</definedName>
    <definedName name="Ф80" localSheetId="0">#REF!</definedName>
    <definedName name="Ф80" localSheetId="2">#REF!</definedName>
    <definedName name="Ф80" localSheetId="4">#REF!</definedName>
    <definedName name="Ф80" localSheetId="1">#REF!</definedName>
    <definedName name="Ф80" localSheetId="3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4" i="45" l="1"/>
  <c r="U14" i="45" s="1"/>
  <c r="V14" i="45" s="1"/>
  <c r="F30" i="44" l="1"/>
  <c r="F20" i="45"/>
  <c r="T16" i="45" l="1"/>
  <c r="T17" i="45"/>
  <c r="T13" i="45"/>
  <c r="T15" i="45"/>
  <c r="T12" i="45"/>
  <c r="T17" i="44"/>
  <c r="U17" i="44" s="1"/>
  <c r="V17" i="44" s="1"/>
  <c r="T18" i="44"/>
  <c r="U18" i="44" s="1"/>
  <c r="V18" i="44" s="1"/>
  <c r="T23" i="44"/>
  <c r="U23" i="44" s="1"/>
  <c r="V23" i="44" s="1"/>
  <c r="T25" i="44"/>
  <c r="U25" i="44" s="1"/>
  <c r="V25" i="44" s="1"/>
  <c r="T15" i="44"/>
  <c r="U15" i="44" s="1"/>
  <c r="V15" i="44" s="1"/>
  <c r="T20" i="44"/>
  <c r="U20" i="44" s="1"/>
  <c r="V20" i="44" s="1"/>
  <c r="T13" i="44"/>
  <c r="U13" i="44" s="1"/>
  <c r="V13" i="44" s="1"/>
  <c r="T24" i="44"/>
  <c r="U24" i="44" s="1"/>
  <c r="V24" i="44" s="1"/>
  <c r="T16" i="44"/>
  <c r="U16" i="44" s="1"/>
  <c r="V16" i="44" s="1"/>
  <c r="T12" i="44"/>
  <c r="U12" i="44" s="1"/>
  <c r="V12" i="44" s="1"/>
  <c r="T14" i="44"/>
  <c r="U14" i="44" s="1"/>
  <c r="V14" i="44" s="1"/>
  <c r="T27" i="44"/>
  <c r="U27" i="44" s="1"/>
  <c r="V27" i="44" s="1"/>
  <c r="T26" i="44"/>
  <c r="U26" i="44" s="1"/>
  <c r="V26" i="44" s="1"/>
  <c r="T19" i="44"/>
  <c r="U19" i="44" s="1"/>
  <c r="V19" i="44" s="1"/>
  <c r="T21" i="44"/>
  <c r="U21" i="44" s="1"/>
  <c r="V21" i="44" s="1"/>
  <c r="T22" i="44"/>
  <c r="U22" i="44" s="1"/>
  <c r="V22" i="44" s="1"/>
  <c r="U12" i="45" l="1"/>
  <c r="V12" i="45" s="1"/>
  <c r="U15" i="45"/>
  <c r="V15" i="45" s="1"/>
  <c r="U13" i="45"/>
  <c r="V13" i="45" s="1"/>
  <c r="U17" i="45"/>
  <c r="V17" i="45" s="1"/>
  <c r="U16" i="45"/>
  <c r="V16" i="45" s="1"/>
  <c r="T14" i="41"/>
  <c r="T15" i="41"/>
  <c r="U14" i="41"/>
  <c r="U15" i="41"/>
  <c r="T13" i="41"/>
  <c r="U13" i="41" s="1"/>
  <c r="T16" i="41"/>
  <c r="U16" i="41" s="1"/>
  <c r="T17" i="41"/>
  <c r="U17" i="41"/>
  <c r="T18" i="41"/>
  <c r="U18" i="41" s="1"/>
  <c r="T19" i="41"/>
  <c r="U19" i="41" s="1"/>
  <c r="T20" i="41"/>
  <c r="U20" i="41" s="1"/>
  <c r="T32" i="40"/>
  <c r="U32" i="40" s="1"/>
  <c r="T33" i="40"/>
  <c r="U33" i="40" s="1"/>
  <c r="T22" i="40"/>
  <c r="T23" i="40"/>
  <c r="U23" i="40" s="1"/>
  <c r="T24" i="40"/>
  <c r="U24" i="40" s="1"/>
  <c r="T25" i="40"/>
  <c r="U25" i="40" s="1"/>
  <c r="T26" i="40"/>
  <c r="U26" i="40" s="1"/>
  <c r="T27" i="40"/>
  <c r="U27" i="40" s="1"/>
  <c r="U22" i="40"/>
  <c r="T13" i="40"/>
  <c r="U13" i="40" s="1"/>
  <c r="T14" i="40"/>
  <c r="U14" i="40" s="1"/>
  <c r="T15" i="40"/>
  <c r="U15" i="40" s="1"/>
  <c r="T16" i="40"/>
  <c r="U16" i="40" s="1"/>
  <c r="T17" i="40"/>
  <c r="U17" i="40" s="1"/>
  <c r="T18" i="40"/>
  <c r="U18" i="40" s="1"/>
  <c r="T19" i="40"/>
  <c r="U19" i="40" s="1"/>
  <c r="T20" i="40"/>
  <c r="U20" i="40" s="1"/>
  <c r="T21" i="40"/>
  <c r="U21" i="40" s="1"/>
  <c r="T28" i="40"/>
  <c r="U28" i="40" s="1"/>
  <c r="T29" i="40"/>
  <c r="U29" i="40" s="1"/>
  <c r="T30" i="40"/>
  <c r="U30" i="40"/>
  <c r="F20" i="42"/>
  <c r="F19" i="42"/>
  <c r="S16" i="42"/>
  <c r="R16" i="42"/>
  <c r="P16" i="42"/>
  <c r="O16" i="42"/>
  <c r="M16" i="42"/>
  <c r="L16" i="42"/>
  <c r="K16" i="42"/>
  <c r="J16" i="42"/>
  <c r="I16" i="42"/>
  <c r="H16" i="42"/>
  <c r="G16" i="42"/>
  <c r="F16" i="42"/>
  <c r="U13" i="42"/>
  <c r="T13" i="42"/>
  <c r="U12" i="42"/>
  <c r="T12" i="42"/>
  <c r="D12" i="42"/>
  <c r="D13" i="42" s="1"/>
  <c r="F15" i="42" s="1"/>
  <c r="F31" i="41"/>
  <c r="F19" i="45" s="1"/>
  <c r="F30" i="41"/>
  <c r="F18" i="45" s="1"/>
  <c r="T24" i="41"/>
  <c r="U24" i="41" s="1"/>
  <c r="T23" i="41"/>
  <c r="U23" i="41" s="1"/>
  <c r="T22" i="41"/>
  <c r="U22" i="41" s="1"/>
  <c r="T21" i="41"/>
  <c r="U21" i="41" s="1"/>
  <c r="T12" i="41"/>
  <c r="U12" i="41" s="1"/>
  <c r="D12" i="41"/>
  <c r="D13" i="41" s="1"/>
  <c r="H14" i="42" l="1"/>
  <c r="H15" i="42"/>
  <c r="U14" i="42"/>
  <c r="F22" i="42" s="1"/>
  <c r="J14" i="42"/>
  <c r="J15" i="42"/>
  <c r="R15" i="42"/>
  <c r="R14" i="42"/>
  <c r="L14" i="42"/>
  <c r="L15" i="42"/>
  <c r="G15" i="42"/>
  <c r="G14" i="42"/>
  <c r="Q14" i="42"/>
  <c r="Q15" i="42"/>
  <c r="Q16" i="42"/>
  <c r="P14" i="42"/>
  <c r="P15" i="42"/>
  <c r="N14" i="42"/>
  <c r="N15" i="42"/>
  <c r="N16" i="42"/>
  <c r="K15" i="42"/>
  <c r="K14" i="42"/>
  <c r="I14" i="42"/>
  <c r="I15" i="42"/>
  <c r="S14" i="42"/>
  <c r="S15" i="42"/>
  <c r="M14" i="42"/>
  <c r="M15" i="42"/>
  <c r="O14" i="42"/>
  <c r="O15" i="42"/>
  <c r="F14" i="42"/>
  <c r="U25" i="41"/>
  <c r="F33" i="41" s="1"/>
  <c r="F21" i="45" s="1"/>
  <c r="D14" i="4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F43" i="40"/>
  <c r="F29" i="44" s="1"/>
  <c r="F42" i="40"/>
  <c r="F28" i="44" s="1"/>
  <c r="J27" i="41" l="1"/>
  <c r="H26" i="41"/>
  <c r="H25" i="41"/>
  <c r="H27" i="41"/>
  <c r="J26" i="41"/>
  <c r="J25" i="41"/>
  <c r="R27" i="41"/>
  <c r="R25" i="41"/>
  <c r="R26" i="41"/>
  <c r="L27" i="41"/>
  <c r="L26" i="41"/>
  <c r="L25" i="41"/>
  <c r="G27" i="41"/>
  <c r="G25" i="41"/>
  <c r="G26" i="41"/>
  <c r="F18" i="42"/>
  <c r="P27" i="41"/>
  <c r="Q27" i="41"/>
  <c r="Q26" i="41"/>
  <c r="Q25" i="41"/>
  <c r="N27" i="41"/>
  <c r="P26" i="41"/>
  <c r="P25" i="41"/>
  <c r="F17" i="42"/>
  <c r="T14" i="42"/>
  <c r="N26" i="41"/>
  <c r="N25" i="41"/>
  <c r="K27" i="41"/>
  <c r="K25" i="41"/>
  <c r="K26" i="41"/>
  <c r="I27" i="41"/>
  <c r="I26" i="41"/>
  <c r="I25" i="41"/>
  <c r="S26" i="41"/>
  <c r="S27" i="41"/>
  <c r="S25" i="41"/>
  <c r="M27" i="41"/>
  <c r="M26" i="41"/>
  <c r="M25" i="41"/>
  <c r="O26" i="41"/>
  <c r="O27" i="41"/>
  <c r="O25" i="41"/>
  <c r="F27" i="41"/>
  <c r="F26" i="41"/>
  <c r="F25" i="41"/>
  <c r="T12" i="40"/>
  <c r="F28" i="41" l="1"/>
  <c r="F29" i="41"/>
  <c r="T25" i="41"/>
  <c r="T35" i="40"/>
  <c r="U35" i="40" s="1"/>
  <c r="T36" i="40"/>
  <c r="U36" i="40" s="1"/>
  <c r="U12" i="40"/>
  <c r="T31" i="40"/>
  <c r="U31" i="40" s="1"/>
  <c r="T34" i="40"/>
  <c r="U34" i="40" s="1"/>
  <c r="D12" i="40"/>
  <c r="D13" i="40" s="1"/>
  <c r="D14" i="40" s="1"/>
  <c r="D15" i="40" s="1"/>
  <c r="D16" i="40" s="1"/>
  <c r="D17" i="40" s="1"/>
  <c r="D18" i="40" s="1"/>
  <c r="D19" i="40" s="1"/>
  <c r="D20" i="40" s="1"/>
  <c r="D21" i="40" l="1"/>
  <c r="U37" i="40"/>
  <c r="D22" i="40" l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H39" i="40" s="1"/>
  <c r="J39" i="40" l="1"/>
  <c r="H38" i="40"/>
  <c r="H37" i="40"/>
  <c r="R39" i="40"/>
  <c r="J38" i="40"/>
  <c r="J37" i="40"/>
  <c r="L39" i="40"/>
  <c r="R37" i="40"/>
  <c r="R38" i="40"/>
  <c r="G39" i="40"/>
  <c r="L38" i="40"/>
  <c r="L37" i="40"/>
  <c r="Q39" i="40"/>
  <c r="G37" i="40"/>
  <c r="G38" i="40"/>
  <c r="P39" i="40"/>
  <c r="Q38" i="40"/>
  <c r="Q37" i="40"/>
  <c r="N39" i="40"/>
  <c r="P37" i="40"/>
  <c r="P38" i="40"/>
  <c r="K39" i="40"/>
  <c r="N38" i="40"/>
  <c r="N37" i="40"/>
  <c r="I39" i="40"/>
  <c r="K38" i="40"/>
  <c r="K37" i="40"/>
  <c r="S39" i="40"/>
  <c r="I38" i="40"/>
  <c r="I37" i="40"/>
  <c r="S37" i="40"/>
  <c r="S38" i="40"/>
  <c r="O39" i="40"/>
  <c r="M39" i="40"/>
  <c r="M38" i="40"/>
  <c r="M37" i="40"/>
  <c r="F39" i="40"/>
  <c r="O37" i="40"/>
  <c r="O38" i="40"/>
  <c r="F38" i="40"/>
  <c r="F37" i="40"/>
  <c r="F45" i="40"/>
  <c r="F31" i="44" s="1"/>
  <c r="T37" i="40" l="1"/>
  <c r="F41" i="40"/>
  <c r="F40" i="40"/>
  <c r="D12" i="44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25" i="44" s="1"/>
  <c r="D26" i="44" s="1"/>
  <c r="D27" i="44" s="1"/>
  <c r="D12" i="45"/>
  <c r="D13" i="45" s="1"/>
  <c r="D14" i="45" l="1"/>
  <c r="D15" i="45" s="1"/>
  <c r="D16" i="45" s="1"/>
  <c r="D17" i="45" s="1"/>
</calcChain>
</file>

<file path=xl/sharedStrings.xml><?xml version="1.0" encoding="utf-8"?>
<sst xmlns="http://schemas.openxmlformats.org/spreadsheetml/2006/main" count="422" uniqueCount="104">
  <si>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</si>
  <si>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</si>
  <si>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</si>
  <si>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</si>
  <si>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</si>
  <si>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Географія
Наговська Т.С.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</si>
  <si>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</si>
  <si>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</si>
  <si>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</si>
  <si>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</si>
  <si>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</si>
  <si>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</si>
  <si>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</si>
  <si>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</si>
  <si>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</si>
  <si>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</si>
  <si>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</si>
  <si>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</si>
  <si>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</si>
  <si>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</si>
  <si>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</si>
  <si>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</si>
  <si>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</si>
  <si>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Столбец18</t>
  </si>
  <si>
    <t>'Б/К</t>
  </si>
  <si>
    <t>0</t>
  </si>
  <si>
    <t>"Б" и "-"</t>
  </si>
  <si>
    <t>Фізика
Калюта Н.М.</t>
  </si>
  <si>
    <t>Захист України
Лазар В.І.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</si>
  <si>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</si>
  <si>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</si>
  <si>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</si>
  <si>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</si>
  <si>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</si>
  <si>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</si>
  <si>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</si>
  <si>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</si>
  <si>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</si>
  <si>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</si>
  <si>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</si>
  <si>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</si>
  <si>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</si>
  <si>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</si>
  <si>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Успішності студентів спеціальності 076 «Підприємництво та торгівля»</t>
  </si>
  <si>
    <t>За I семестр 2024-2025 н.р.</t>
  </si>
  <si>
    <t>Група 24-2 курс І</t>
  </si>
  <si>
    <t>Успішності студентів спеціальності 101 «Екологія»</t>
  </si>
  <si>
    <t>Успішності студентів спеціальності 185 «Нафтогазова інженерія та технології»</t>
  </si>
  <si>
    <t>Іноземна мова
Сербулова Ю.А.</t>
  </si>
  <si>
    <t>Інформатика
Бєльдюгіна С.С.</t>
  </si>
  <si>
    <t>Математика
Земляна Т.М.</t>
  </si>
  <si>
    <t>Українська література
Юрченко О.Б.</t>
  </si>
  <si>
    <t>Українська мова
Юрченко О.Б.</t>
  </si>
  <si>
    <t>Фізична культура
Возіян О.Г.</t>
  </si>
  <si>
    <t>Хімія
Сахно Н.О.</t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</si>
  <si>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</si>
  <si>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</si>
  <si>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</si>
  <si>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</si>
  <si>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</si>
  <si>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</si>
  <si>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</si>
  <si>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</si>
  <si>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</si>
  <si>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</si>
  <si>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</si>
  <si>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</si>
  <si>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</si>
  <si>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</si>
  <si>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</si>
  <si>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</si>
  <si>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</si>
  <si>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</si>
  <si>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</si>
  <si>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</si>
  <si>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</si>
  <si>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</si>
  <si>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</si>
  <si>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</si>
  <si>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</si>
  <si>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Б</t>
  </si>
  <si>
    <t>К</t>
  </si>
  <si>
    <t>Тетяна НАГОВСЬКА</t>
  </si>
  <si>
    <t>Завідувачка відділення ПЗСО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</si>
  <si>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</si>
  <si>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</si>
  <si>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</si>
  <si>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</si>
  <si>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</si>
  <si>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</si>
  <si>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</si>
  <si>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</si>
  <si>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</si>
  <si>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</si>
  <si>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</si>
  <si>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</si>
  <si>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</si>
  <si>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</si>
  <si>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</si>
  <si>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Всесвітня історія
Мельничук С.А.</t>
  </si>
  <si>
    <t>н/а</t>
  </si>
  <si>
    <t>Столбец182</t>
  </si>
  <si>
    <t>Рейтинговий бал</t>
  </si>
  <si>
    <t>РЕЙТИНГОВА ВІДОМІСТЬ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</si>
</sst>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13" fillId="0" borderId="1"/>
    <xf numFmtId="0" fontId="1" fillId="0" borderId="1"/>
  </cellStyleXfs>
  <cellXfs count="69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9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0" xfId="5" applyFont="1" applyFill="1" applyBorder="1" applyAlignment="1">
      <alignment horizontal="center" vertical="center"/>
    </xf>
    <xf numFmtId="0" fontId="3" fillId="4" borderId="11" xfId="5" applyFont="1" applyFill="1" applyBorder="1" applyAlignment="1" applyProtection="1">
      <alignment horizontal="center" vertical="center"/>
      <protection locked="0"/>
    </xf>
    <xf numFmtId="0" fontId="3" fillId="4" borderId="12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10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12" fillId="0" borderId="2" xfId="5" applyFont="1" applyBorder="1" applyAlignment="1" applyProtection="1">
      <alignment horizontal="center" textRotation="90" wrapText="1"/>
      <protection locked="0"/>
    </xf>
    <xf numFmtId="0" fontId="11" fillId="5" borderId="1" xfId="5" applyFont="1" applyFill="1" applyAlignment="1">
      <alignment horizontal="left" vertical="center"/>
    </xf>
    <xf numFmtId="0" fontId="12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left" vertical="center"/>
      <protection locked="0"/>
    </xf>
    <xf numFmtId="0" fontId="12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2" fontId="3" fillId="5" borderId="2" xfId="5" applyNumberFormat="1" applyFont="1" applyFill="1" applyBorder="1" applyAlignment="1" applyProtection="1">
      <alignment horizontal="center" vertical="center"/>
      <protection locked="0"/>
    </xf>
    <xf numFmtId="2" fontId="12" fillId="5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6" xfId="5" applyFont="1" applyFill="1" applyBorder="1" applyAlignment="1" applyProtection="1">
      <alignment horizontal="center" vertical="center" wrapText="1"/>
      <protection locked="0"/>
    </xf>
    <xf numFmtId="0" fontId="3" fillId="4" borderId="2" xfId="5" applyFont="1" applyFill="1" applyBorder="1" applyAlignment="1" applyProtection="1">
      <alignment horizontal="center" vertical="center" wrapText="1"/>
      <protection locked="0"/>
    </xf>
    <xf numFmtId="0" fontId="3" fillId="4" borderId="2" xfId="5" applyFont="1" applyFill="1" applyBorder="1" applyAlignment="1" applyProtection="1">
      <alignment horizontal="left" vertical="center" wrapText="1"/>
      <protection locked="0"/>
    </xf>
    <xf numFmtId="0" fontId="12" fillId="4" borderId="2" xfId="5" applyFont="1" applyFill="1" applyBorder="1" applyAlignment="1" applyProtection="1">
      <alignment horizontal="center" vertical="center"/>
      <protection locked="0"/>
    </xf>
    <xf numFmtId="2" fontId="3" fillId="4" borderId="2" xfId="5" applyNumberFormat="1" applyFont="1" applyFill="1" applyBorder="1" applyAlignment="1" applyProtection="1">
      <alignment horizontal="center" vertical="center"/>
      <protection locked="0"/>
    </xf>
    <xf numFmtId="2" fontId="12" fillId="4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30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16" xfId="28"/>
    <cellStyle name="Обычный 16 2" xfId="29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6" name="Таблица6" displayName="Таблица6" ref="C11:U36" totalsRowShown="0" headerRowDxfId="138" dataDxfId="136" headerRowBorderDxfId="137" tableBorderDxfId="135" totalsRowBorderDxfId="134" headerRowCellStyle="Обычный 11 2" dataCellStyle="Обычный 11 2">
  <autoFilter ref="C11:U36"/>
  <tableColumns count="19">
    <tableColumn id="1" name="'Б/К" dataDxfId="133" dataCellStyle="Обычный 11 2"/>
    <tableColumn id="2" name="0" dataDxfId="132" dataCellStyle="Обычный 11 2">
      <calculatedColumnFormula>OFFSET(D12,-1,0)+1</calculatedColumnFormula>
    </tableColumn>
    <tableColumn id="3" name="Прізвище, ім’я, по батькові" dataDxfId="131" dataCellStyle="Обычный 11 2"/>
    <tableColumn id="4" name="1" dataDxfId="130" dataCellStyle="Обычный 11 2"/>
    <tableColumn id="6" name="2" dataDxfId="129" dataCellStyle="Обычный 11 2"/>
    <tableColumn id="7" name="3" dataDxfId="128" dataCellStyle="Обычный 11 2"/>
    <tableColumn id="8" name="4" dataDxfId="127" dataCellStyle="Обычный 11 2"/>
    <tableColumn id="9" name="5" dataDxfId="126" dataCellStyle="Обычный 11 2"/>
    <tableColumn id="11" name="6" dataDxfId="125" dataCellStyle="Обычный 11 2"/>
    <tableColumn id="12" name="7" dataDxfId="124" dataCellStyle="Обычный 11 2"/>
    <tableColumn id="13" name="8" dataDxfId="123" dataCellStyle="Обычный 11 2"/>
    <tableColumn id="23" name="9" dataDxfId="122" dataCellStyle="Обычный 11 2"/>
    <tableColumn id="22" name="10" dataDxfId="121" dataCellStyle="Обычный 11 2"/>
    <tableColumn id="21" name="11" dataDxfId="120" dataCellStyle="Обычный 11 2"/>
    <tableColumn id="19" name="12" dataDxfId="119" dataCellStyle="Обычный 11 2"/>
    <tableColumn id="17" name="13" dataDxfId="118" dataCellStyle="Обычный 11 2"/>
    <tableColumn id="14" name="14" dataDxfId="117" dataCellStyle="Обычный 11 2"/>
    <tableColumn id="18" name="Столбец18" dataDxfId="116" dataCellStyle="Обычный 11 2">
      <calculatedColumnFormula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calculatedColumnFormula>
    </tableColumn>
    <tableColumn id="20" name="&quot;Б&quot; и &quot;-&quot;" dataDxfId="115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Таблица64" displayName="Таблица64" ref="C11:V27" totalsRowShown="0" headerRowDxfId="110" dataDxfId="108" headerRowBorderDxfId="109" tableBorderDxfId="107" totalsRowBorderDxfId="106" headerRowCellStyle="Обычный 11 2" dataCellStyle="Обычный 11 2">
  <autoFilter ref="C11:V27"/>
  <sortState ref="C12:V27">
    <sortCondition descending="1" ref="U12:U27"/>
  </sortState>
  <tableColumns count="20">
    <tableColumn id="1" name="'Б/К" dataDxfId="105" dataCellStyle="Обычный 11 2"/>
    <tableColumn id="2" name="0" dataDxfId="104" dataCellStyle="Обычный 11 2">
      <calculatedColumnFormula>OFFSET(D12,-1,0)+1</calculatedColumnFormula>
    </tableColumn>
    <tableColumn id="3" name="Прізвище, ім’я, по батькові" dataDxfId="103" dataCellStyle="Обычный 11 2"/>
    <tableColumn id="4" name="1" dataDxfId="102" dataCellStyle="Обычный 11 2"/>
    <tableColumn id="6" name="2" dataDxfId="101" dataCellStyle="Обычный 11 2"/>
    <tableColumn id="7" name="3" dataDxfId="100" dataCellStyle="Обычный 11 2"/>
    <tableColumn id="8" name="4" dataDxfId="99" dataCellStyle="Обычный 11 2"/>
    <tableColumn id="9" name="5" dataDxfId="98" dataCellStyle="Обычный 11 2"/>
    <tableColumn id="11" name="6" dataDxfId="97" dataCellStyle="Обычный 11 2"/>
    <tableColumn id="12" name="7" dataDxfId="96" dataCellStyle="Обычный 11 2"/>
    <tableColumn id="13" name="8" dataDxfId="95" dataCellStyle="Обычный 11 2"/>
    <tableColumn id="23" name="9" dataDxfId="94" dataCellStyle="Обычный 11 2"/>
    <tableColumn id="22" name="10" dataDxfId="93" dataCellStyle="Обычный 11 2"/>
    <tableColumn id="21" name="11" dataDxfId="92" dataCellStyle="Обычный 11 2"/>
    <tableColumn id="19" name="12" dataDxfId="91" dataCellStyle="Обычный 11 2"/>
    <tableColumn id="17" name="13" dataDxfId="90" dataCellStyle="Обычный 11 2"/>
    <tableColumn id="14" name="14" dataDxfId="89" dataCellStyle="Обычный 11 2"/>
    <tableColumn id="5" name="Столбец18" dataDxfId="88" dataCellStyle="Обычный 11 2">
      <calculatedColumnFormula>IF(COUNTIF(OFFSET(Таблица64[[#This Row],[Прізвище, ім’я, по батькові]],0,1):OFFSET(T12,0,-1),"=*")&gt;0,"-",IF(COUNTIF(OFFSET(Таблица64[[#This Row],[Прізвище, ім’я, по батькові]],0,1):OFFSET(T12,0,-1),"&lt;4")&gt;0,"-",(IFERROR(AVERAGE(OFFSET(Таблица64[[#This Row],[Прізвище, ім’я, по батькові]],0,1):OFFSET(T12,0,-1)),""))))</calculatedColumnFormula>
    </tableColumn>
    <tableColumn id="18" name="Столбец182" dataDxfId="87" dataCellStyle="Обычный 11 2">
      <calculatedColumnFormula>Таблица64[[#This Row],[Столбец18]]/12*90</calculatedColumnFormula>
    </tableColumn>
    <tableColumn id="20" name="&quot;Б&quot; и &quot;-&quot;" dataDxfId="86" dataCellStyle="Обычный 11 2">
      <calculatedColumnFormula>IF(Таблица64[[#This Row],[''Б/К]]="Б",IF(Таблица64[[#This Row],[Столбец182]]="-","-",""),"")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Таблица62" displayName="Таблица62" ref="C11:U24" totalsRowShown="0" headerRowDxfId="80" dataDxfId="78" headerRowBorderDxfId="79" tableBorderDxfId="77" totalsRowBorderDxfId="76" headerRowCellStyle="Обычный 11 2" dataCellStyle="Обычный 11 2">
  <autoFilter ref="C11:U24"/>
  <tableColumns count="19">
    <tableColumn id="1" name="'Б/К" dataDxfId="75" dataCellStyle="Обычный 11 2"/>
    <tableColumn id="2" name="0" dataDxfId="74" dataCellStyle="Обычный 11 2">
      <calculatedColumnFormula>OFFSET(D12,-1,0)+1</calculatedColumnFormula>
    </tableColumn>
    <tableColumn id="3" name="Прізвище, ім’я, по батькові" dataDxfId="73" dataCellStyle="Обычный 11 2"/>
    <tableColumn id="4" name="1" dataDxfId="72" dataCellStyle="Обычный 11 2"/>
    <tableColumn id="6" name="2" dataDxfId="71" dataCellStyle="Обычный 11 2"/>
    <tableColumn id="7" name="3" dataDxfId="70" dataCellStyle="Обычный 11 2"/>
    <tableColumn id="8" name="4" dataDxfId="69" dataCellStyle="Обычный 11 2"/>
    <tableColumn id="9" name="5" dataDxfId="68" dataCellStyle="Обычный 11 2"/>
    <tableColumn id="11" name="6" dataDxfId="67" dataCellStyle="Обычный 11 2"/>
    <tableColumn id="12" name="7" dataDxfId="66" dataCellStyle="Обычный 11 2"/>
    <tableColumn id="13" name="8" dataDxfId="65" dataCellStyle="Обычный 11 2"/>
    <tableColumn id="23" name="9" dataDxfId="64" dataCellStyle="Обычный 11 2"/>
    <tableColumn id="22" name="10" dataDxfId="63" dataCellStyle="Обычный 11 2"/>
    <tableColumn id="21" name="11" dataDxfId="62" dataCellStyle="Обычный 11 2"/>
    <tableColumn id="19" name="12" dataDxfId="61" dataCellStyle="Обычный 11 2"/>
    <tableColumn id="17" name="13" dataDxfId="60" dataCellStyle="Обычный 11 2"/>
    <tableColumn id="14" name="14" dataDxfId="59" dataCellStyle="Обычный 11 2"/>
    <tableColumn id="18" name="Столбец18" dataDxfId="58" dataCellStyle="Обычный 11 2">
      <calculatedColumnFormula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calculatedColumnFormula>
    </tableColumn>
    <tableColumn id="20" name="&quot;Б&quot; и &quot;-&quot;" dataDxfId="57" dataCellStyle="Обычный 11 2">
      <calculatedColumnFormula>IF(Таблица62[[#This Row],[''Б/К]]="Б",IF(Таблица62[[#This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Таблица625" displayName="Таблица625" ref="C11:V17" totalsRowShown="0" headerRowDxfId="52" dataDxfId="50" headerRowBorderDxfId="51" tableBorderDxfId="49" totalsRowBorderDxfId="48" headerRowCellStyle="Обычный 11 2" dataCellStyle="Обычный 11 2">
  <autoFilter ref="C11:V17"/>
  <sortState ref="C12:V16">
    <sortCondition descending="1" ref="U12:U16"/>
  </sortState>
  <tableColumns count="20">
    <tableColumn id="1" name="'Б/К" dataDxfId="47" dataCellStyle="Обычный 11 2"/>
    <tableColumn id="2" name="0" dataDxfId="46" dataCellStyle="Обычный 11 2">
      <calculatedColumnFormula>OFFSET(D12,-1,0)+1</calculatedColumnFormula>
    </tableColumn>
    <tableColumn id="3" name="Прізвище, ім’я, по батькові" dataDxfId="45" dataCellStyle="Обычный 11 2"/>
    <tableColumn id="4" name="1" dataDxfId="44" dataCellStyle="Обычный 11 2"/>
    <tableColumn id="6" name="2" dataDxfId="43" dataCellStyle="Обычный 11 2"/>
    <tableColumn id="7" name="3" dataDxfId="42" dataCellStyle="Обычный 11 2"/>
    <tableColumn id="8" name="4" dataDxfId="41" dataCellStyle="Обычный 11 2"/>
    <tableColumn id="9" name="5" dataDxfId="40" dataCellStyle="Обычный 11 2"/>
    <tableColumn id="11" name="6" dataDxfId="39" dataCellStyle="Обычный 11 2"/>
    <tableColumn id="12" name="7" dataDxfId="38" dataCellStyle="Обычный 11 2"/>
    <tableColumn id="13" name="8" dataDxfId="37" dataCellStyle="Обычный 11 2"/>
    <tableColumn id="23" name="9" dataDxfId="36" dataCellStyle="Обычный 11 2"/>
    <tableColumn id="22" name="10" dataDxfId="35" dataCellStyle="Обычный 11 2"/>
    <tableColumn id="21" name="11" dataDxfId="34" dataCellStyle="Обычный 11 2"/>
    <tableColumn id="19" name="12" dataDxfId="33" dataCellStyle="Обычный 11 2"/>
    <tableColumn id="17" name="13" dataDxfId="32" dataCellStyle="Обычный 11 2"/>
    <tableColumn id="14" name="14" dataDxfId="31" dataCellStyle="Обычный 11 2"/>
    <tableColumn id="5" name="Столбец18" dataDxfId="30" dataCellStyle="Обычный 11 2">
      <calculatedColumnFormula>IF(COUNTIF(OFFSET(Таблица625[[#This Row],[Прізвище, ім’я, по батькові]],0,1):OFFSET(T12,0,-1),"=*")&gt;0,"-",IF(COUNTIF(OFFSET(Таблица625[[#This Row],[Прізвище, ім’я, по батькові]],0,1):OFFSET(T12,0,-1),"&lt;4")&gt;0,"-",(IFERROR(AVERAGE(OFFSET(Таблица625[[#This Row],[Прізвище, ім’я, по батькові]],0,1):OFFSET(T12,0,-1)),""))))</calculatedColumnFormula>
    </tableColumn>
    <tableColumn id="18" name="Столбец182" dataDxfId="29" dataCellStyle="Обычный 11 2">
      <calculatedColumnFormula>Таблица625[[#This Row],[Столбец18]]/12*90</calculatedColumnFormula>
    </tableColumn>
    <tableColumn id="20" name="&quot;Б&quot; и &quot;-&quot;" dataDxfId="28" dataCellStyle="Обычный 11 2">
      <calculatedColumnFormula>IF(Таблица625[[#This Row],[''Б/К]]="Б",IF(Таблица625[[#This Row],[Столбец182]]="-","-",""),"")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Таблица623" displayName="Таблица623" ref="C11:U13" totalsRowShown="0" headerRowDxfId="23" dataDxfId="21" headerRowBorderDxfId="22" tableBorderDxfId="20" totalsRowBorderDxfId="19" headerRowCellStyle="Обычный 11 2" dataCellStyle="Обычный 11 2">
  <autoFilter ref="C11:U13"/>
  <tableColumns count="19">
    <tableColumn id="1" name="'Б/К" dataDxfId="18" dataCellStyle="Обычный 11 2"/>
    <tableColumn id="2" name="0" dataDxfId="17" dataCellStyle="Обычный 11 2">
      <calculatedColumnFormula>OFFSET(D12,-1,0)+1</calculatedColumnFormula>
    </tableColumn>
    <tableColumn id="3" name="Прізвище, ім’я, по батькові" dataDxfId="16" dataCellStyle="Обычный 11 2"/>
    <tableColumn id="4" name="1" dataDxfId="15" dataCellStyle="Обычный 11 2"/>
    <tableColumn id="6" name="2" dataDxfId="14" dataCellStyle="Обычный 11 2"/>
    <tableColumn id="7" name="3" dataDxfId="13" dataCellStyle="Обычный 11 2"/>
    <tableColumn id="8" name="4" dataDxfId="12" dataCellStyle="Обычный 11 2"/>
    <tableColumn id="9" name="5" dataDxfId="11" dataCellStyle="Обычный 11 2"/>
    <tableColumn id="11" name="6" dataDxfId="10" dataCellStyle="Обычный 11 2"/>
    <tableColumn id="12" name="7" dataDxfId="9" dataCellStyle="Обычный 11 2"/>
    <tableColumn id="13" name="8" dataDxfId="8" dataCellStyle="Обычный 11 2"/>
    <tableColumn id="23" name="9" dataDxfId="7" dataCellStyle="Обычный 11 2"/>
    <tableColumn id="22" name="10" dataDxfId="6" dataCellStyle="Обычный 11 2"/>
    <tableColumn id="21" name="11" dataDxfId="5" dataCellStyle="Обычный 11 2"/>
    <tableColumn id="19" name="12" dataDxfId="4" dataCellStyle="Обычный 11 2"/>
    <tableColumn id="17" name="13" dataDxfId="3" dataCellStyle="Обычный 11 2"/>
    <tableColumn id="14" name="14" dataDxfId="2" dataCellStyle="Обычный 11 2"/>
    <tableColumn id="18" name="Столбец18" dataDxfId="1" dataCellStyle="Обычный 11 2">
      <calculatedColumnFormula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calculatedColumnFormula>
    </tableColumn>
    <tableColumn id="20" name="&quot;Б&quot; и &quot;-&quot;" dataDxfId="0" dataCellStyle="Обычный 11 2">
      <calculatedColumnFormula>IF(Таблица623[[#This Row],[''Б/К]]="Б",IF(Таблица623[[#This Row],[Столбец18]]="-","-",""),"")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47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3" ht="12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12"/>
    </row>
    <row r="3" spans="1:23" s="2" customFormat="1" ht="35.1" customHeight="1" x14ac:dyDescent="0.3">
      <c r="A3" s="60"/>
      <c r="B3" s="58"/>
      <c r="C3" s="62" t="s">
        <v>22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9"/>
      <c r="V3" s="58"/>
      <c r="W3" s="12"/>
    </row>
    <row r="4" spans="1:23" s="2" customFormat="1" ht="15" customHeight="1" x14ac:dyDescent="0.25">
      <c r="A4" s="60"/>
      <c r="B4" s="58"/>
      <c r="C4" s="58" t="s">
        <v>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8"/>
      <c r="V4" s="58"/>
      <c r="W4" s="12"/>
    </row>
    <row r="5" spans="1:23" s="3" customFormat="1" ht="15" customHeight="1" x14ac:dyDescent="0.25">
      <c r="A5" s="60"/>
      <c r="B5" s="58"/>
      <c r="C5" s="64" t="s">
        <v>19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10"/>
      <c r="V5" s="58"/>
      <c r="W5" s="12"/>
    </row>
    <row r="6" spans="1:23" s="2" customFormat="1" ht="15" customHeight="1" x14ac:dyDescent="0.25">
      <c r="A6" s="60"/>
      <c r="B6" s="58"/>
      <c r="C6" s="65" t="s">
        <v>43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8"/>
      <c r="V6" s="58"/>
      <c r="W6" s="12"/>
    </row>
    <row r="7" spans="1:23" s="2" customFormat="1" ht="15" customHeight="1" x14ac:dyDescent="0.25">
      <c r="A7" s="60"/>
      <c r="B7" s="58"/>
      <c r="C7" s="65" t="s">
        <v>44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8"/>
      <c r="V7" s="58"/>
      <c r="W7" s="12"/>
    </row>
    <row r="8" spans="1:23" s="2" customFormat="1" ht="15" customHeight="1" x14ac:dyDescent="0.25">
      <c r="A8" s="60"/>
      <c r="B8" s="58"/>
      <c r="C8" s="65" t="s">
        <v>45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8"/>
      <c r="V8" s="58"/>
      <c r="W8" s="12"/>
    </row>
    <row r="9" spans="1:23" ht="15" customHeight="1" x14ac:dyDescent="0.25">
      <c r="A9" s="60"/>
      <c r="B9" s="58"/>
      <c r="C9" s="66" t="s">
        <v>1</v>
      </c>
      <c r="D9" s="68" t="s">
        <v>2</v>
      </c>
      <c r="E9" s="68" t="s">
        <v>3</v>
      </c>
      <c r="F9" s="67" t="s">
        <v>21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"/>
      <c r="V9" s="58"/>
      <c r="W9" s="12"/>
    </row>
    <row r="10" spans="1:23" ht="125.1" customHeight="1" x14ac:dyDescent="0.25">
      <c r="A10" s="60"/>
      <c r="B10" s="58"/>
      <c r="C10" s="67"/>
      <c r="D10" s="67"/>
      <c r="E10" s="67"/>
      <c r="F10" s="39" t="s">
        <v>4</v>
      </c>
      <c r="G10" s="39" t="s">
        <v>99</v>
      </c>
      <c r="H10" s="39" t="s">
        <v>5</v>
      </c>
      <c r="I10" s="39" t="s">
        <v>20</v>
      </c>
      <c r="J10" s="39" t="s">
        <v>28</v>
      </c>
      <c r="K10" s="39" t="s">
        <v>48</v>
      </c>
      <c r="L10" s="39" t="s">
        <v>49</v>
      </c>
      <c r="M10" s="39" t="s">
        <v>6</v>
      </c>
      <c r="N10" s="39" t="s">
        <v>50</v>
      </c>
      <c r="O10" s="39" t="s">
        <v>51</v>
      </c>
      <c r="P10" s="39" t="s">
        <v>52</v>
      </c>
      <c r="Q10" s="39" t="s">
        <v>27</v>
      </c>
      <c r="R10" s="39" t="s">
        <v>53</v>
      </c>
      <c r="S10" s="39" t="s">
        <v>54</v>
      </c>
      <c r="T10" s="4" t="s">
        <v>7</v>
      </c>
      <c r="U10" s="19"/>
      <c r="V10" s="58"/>
      <c r="W10" s="12"/>
    </row>
    <row r="11" spans="1:23" ht="50.1" hidden="1" customHeight="1" x14ac:dyDescent="0.25">
      <c r="A11" s="60"/>
      <c r="B11" s="58"/>
      <c r="C11" s="14" t="s">
        <v>24</v>
      </c>
      <c r="D11" s="13" t="s">
        <v>25</v>
      </c>
      <c r="E11" s="15" t="s">
        <v>3</v>
      </c>
      <c r="F11" s="16" t="s">
        <v>29</v>
      </c>
      <c r="G11" s="16" t="s">
        <v>30</v>
      </c>
      <c r="H11" s="16" t="s">
        <v>31</v>
      </c>
      <c r="I11" s="16" t="s">
        <v>33</v>
      </c>
      <c r="J11" s="16" t="s">
        <v>32</v>
      </c>
      <c r="K11" s="16" t="s">
        <v>34</v>
      </c>
      <c r="L11" s="16" t="s">
        <v>35</v>
      </c>
      <c r="M11" s="16" t="s">
        <v>36</v>
      </c>
      <c r="N11" s="16" t="s">
        <v>37</v>
      </c>
      <c r="O11" s="16" t="s">
        <v>38</v>
      </c>
      <c r="P11" s="16" t="s">
        <v>39</v>
      </c>
      <c r="Q11" s="16" t="s">
        <v>40</v>
      </c>
      <c r="R11" s="16" t="s">
        <v>41</v>
      </c>
      <c r="S11" s="16" t="s">
        <v>42</v>
      </c>
      <c r="T11" s="17" t="s">
        <v>23</v>
      </c>
      <c r="U11" s="20" t="s">
        <v>26</v>
      </c>
      <c r="V11" s="58"/>
      <c r="W11" s="12"/>
    </row>
    <row r="12" spans="1:23" ht="15" customHeight="1" x14ac:dyDescent="0.25">
      <c r="A12" s="60"/>
      <c r="B12" s="58"/>
      <c r="C12" s="30" t="s">
        <v>80</v>
      </c>
      <c r="D12" s="31">
        <f ca="1">OFFSET(D12,-1,0)+1</f>
        <v>1</v>
      </c>
      <c r="E12" s="29" t="s">
        <v>55</v>
      </c>
      <c r="F12" s="43">
        <v>6</v>
      </c>
      <c r="G12" s="43">
        <v>5</v>
      </c>
      <c r="H12" s="43">
        <v>5</v>
      </c>
      <c r="I12" s="43">
        <v>4</v>
      </c>
      <c r="J12" s="43">
        <v>4</v>
      </c>
      <c r="K12" s="43">
        <v>4</v>
      </c>
      <c r="L12" s="43">
        <v>5</v>
      </c>
      <c r="M12" s="43" t="s">
        <v>100</v>
      </c>
      <c r="N12" s="43">
        <v>4</v>
      </c>
      <c r="O12" s="43">
        <v>4</v>
      </c>
      <c r="P12" s="43">
        <v>4</v>
      </c>
      <c r="Q12" s="43">
        <v>4</v>
      </c>
      <c r="R12" s="43">
        <v>6</v>
      </c>
      <c r="S12" s="43">
        <v>5</v>
      </c>
      <c r="T12" s="32" t="str">
        <f ca="1"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f>
        <v>-</v>
      </c>
      <c r="U12" s="21" t="str">
        <f ca="1">IF(Таблица6[[#This Row],[''Б/К]]="Б",IF(Таблица6[[#This Row],[Столбец18]]="-","-",""),"")</f>
        <v>-</v>
      </c>
      <c r="V12" s="58"/>
      <c r="W12" s="12"/>
    </row>
    <row r="13" spans="1:23" ht="15" customHeight="1" x14ac:dyDescent="0.25">
      <c r="A13" s="60"/>
      <c r="B13" s="58"/>
      <c r="C13" s="30" t="s">
        <v>80</v>
      </c>
      <c r="D13" s="31">
        <f t="shared" ref="D13:D15" ca="1" si="0">OFFSET(D13,-1,0)+1</f>
        <v>2</v>
      </c>
      <c r="E13" s="29" t="s">
        <v>56</v>
      </c>
      <c r="F13" s="43">
        <v>10</v>
      </c>
      <c r="G13" s="43">
        <v>11</v>
      </c>
      <c r="H13" s="43">
        <v>10</v>
      </c>
      <c r="I13" s="43">
        <v>10</v>
      </c>
      <c r="J13" s="43">
        <v>10</v>
      </c>
      <c r="K13" s="43">
        <v>10</v>
      </c>
      <c r="L13" s="43">
        <v>10</v>
      </c>
      <c r="M13" s="43">
        <v>10</v>
      </c>
      <c r="N13" s="43">
        <v>9</v>
      </c>
      <c r="O13" s="43">
        <v>10</v>
      </c>
      <c r="P13" s="43">
        <v>10</v>
      </c>
      <c r="Q13" s="43">
        <v>10</v>
      </c>
      <c r="R13" s="43">
        <v>10</v>
      </c>
      <c r="S13" s="43">
        <v>10</v>
      </c>
      <c r="T13" s="32">
        <f ca="1">IF(COUNTIF(OFFSET(Таблица6[[#This Row],[Прізвище, ім’я, по батькові]],0,1):OFFSET(T13,0,-1),"=*")&gt;0,"-",IF(COUNTIF(OFFSET(Таблица6[[#This Row],[Прізвище, ім’я, по батькові]],0,1):OFFSET(T13,0,-1),"&lt;4")&gt;0,"-",(IFERROR(AVERAGE(OFFSET(Таблица6[[#This Row],[Прізвище, ім’я, по батькові]],0,1):OFFSET(T13,0,-1)),""))))</f>
        <v>10</v>
      </c>
      <c r="U13" s="21" t="str">
        <f ca="1">IF(Таблица6[[#This Row],[''Б/К]]="Б",IF(Таблица6[[#This Row],[Столбец18]]="-","-",""),"")</f>
        <v/>
      </c>
      <c r="V13" s="58"/>
      <c r="W13" s="12"/>
    </row>
    <row r="14" spans="1:23" ht="15" customHeight="1" x14ac:dyDescent="0.25">
      <c r="A14" s="60"/>
      <c r="B14" s="58"/>
      <c r="C14" s="30" t="s">
        <v>80</v>
      </c>
      <c r="D14" s="31">
        <f t="shared" ca="1" si="0"/>
        <v>3</v>
      </c>
      <c r="E14" s="29" t="s">
        <v>57</v>
      </c>
      <c r="F14" s="43">
        <v>5</v>
      </c>
      <c r="G14" s="43">
        <v>4</v>
      </c>
      <c r="H14" s="43">
        <v>5</v>
      </c>
      <c r="I14" s="43">
        <v>5</v>
      </c>
      <c r="J14" s="43" t="s">
        <v>100</v>
      </c>
      <c r="K14" s="43">
        <v>5</v>
      </c>
      <c r="L14" s="43">
        <v>4</v>
      </c>
      <c r="M14" s="43">
        <v>4</v>
      </c>
      <c r="N14" s="43" t="s">
        <v>100</v>
      </c>
      <c r="O14" s="43">
        <v>4</v>
      </c>
      <c r="P14" s="43">
        <v>4</v>
      </c>
      <c r="Q14" s="43" t="s">
        <v>100</v>
      </c>
      <c r="R14" s="43">
        <v>4</v>
      </c>
      <c r="S14" s="43">
        <v>4</v>
      </c>
      <c r="T14" s="32" t="str">
        <f ca="1">IF(COUNTIF(OFFSET(Таблица6[[#This Row],[Прізвище, ім’я, по батькові]],0,1):OFFSET(T14,0,-1),"=*")&gt;0,"-",IF(COUNTIF(OFFSET(Таблица6[[#This Row],[Прізвище, ім’я, по батькові]],0,1):OFFSET(T14,0,-1),"&lt;4")&gt;0,"-",(IFERROR(AVERAGE(OFFSET(Таблица6[[#This Row],[Прізвище, ім’я, по батькові]],0,1):OFFSET(T14,0,-1)),""))))</f>
        <v>-</v>
      </c>
      <c r="U14" s="21" t="str">
        <f ca="1">IF(Таблица6[[#This Row],[''Б/К]]="Б",IF(Таблица6[[#This Row],[Столбец18]]="-","-",""),"")</f>
        <v>-</v>
      </c>
      <c r="V14" s="58"/>
      <c r="W14" s="12"/>
    </row>
    <row r="15" spans="1:23" ht="15" customHeight="1" x14ac:dyDescent="0.25">
      <c r="A15" s="60"/>
      <c r="B15" s="58"/>
      <c r="C15" s="30" t="s">
        <v>80</v>
      </c>
      <c r="D15" s="31">
        <f t="shared" ca="1" si="0"/>
        <v>4</v>
      </c>
      <c r="E15" s="29" t="s">
        <v>58</v>
      </c>
      <c r="F15" s="43">
        <v>9</v>
      </c>
      <c r="G15" s="43">
        <v>9</v>
      </c>
      <c r="H15" s="43">
        <v>9</v>
      </c>
      <c r="I15" s="43">
        <v>11</v>
      </c>
      <c r="J15" s="43">
        <v>4</v>
      </c>
      <c r="K15" s="43">
        <v>11</v>
      </c>
      <c r="L15" s="43">
        <v>10</v>
      </c>
      <c r="M15" s="43">
        <v>10</v>
      </c>
      <c r="N15" s="43">
        <v>7</v>
      </c>
      <c r="O15" s="43">
        <v>7</v>
      </c>
      <c r="P15" s="43">
        <v>9</v>
      </c>
      <c r="Q15" s="43">
        <v>7</v>
      </c>
      <c r="R15" s="43">
        <v>9</v>
      </c>
      <c r="S15" s="43">
        <v>8</v>
      </c>
      <c r="T15" s="32">
        <f ca="1">IF(COUNTIF(OFFSET(Таблица6[[#This Row],[Прізвище, ім’я, по батькові]],0,1):OFFSET(T15,0,-1),"=*")&gt;0,"-",IF(COUNTIF(OFFSET(Таблица6[[#This Row],[Прізвище, ім’я, по батькові]],0,1):OFFSET(T15,0,-1),"&lt;4")&gt;0,"-",(IFERROR(AVERAGE(OFFSET(Таблица6[[#This Row],[Прізвище, ім’я, по батькові]],0,1):OFFSET(T15,0,-1)),""))))</f>
        <v>8.5714285714285712</v>
      </c>
      <c r="U15" s="21" t="str">
        <f ca="1">IF(Таблица6[[#This Row],[''Б/К]]="Б",IF(Таблица6[[#This Row],[Столбец18]]="-","-",""),"")</f>
        <v/>
      </c>
      <c r="V15" s="58"/>
      <c r="W15" s="12"/>
    </row>
    <row r="16" spans="1:23" ht="15" customHeight="1" x14ac:dyDescent="0.25">
      <c r="A16" s="60"/>
      <c r="B16" s="58"/>
      <c r="C16" s="30" t="s">
        <v>80</v>
      </c>
      <c r="D16" s="31">
        <f t="shared" ref="D16:D18" ca="1" si="1">OFFSET(D16,-1,0)+1</f>
        <v>5</v>
      </c>
      <c r="E16" s="29" t="s">
        <v>59</v>
      </c>
      <c r="F16" s="43">
        <v>8</v>
      </c>
      <c r="G16" s="43">
        <v>10</v>
      </c>
      <c r="H16" s="43">
        <v>8</v>
      </c>
      <c r="I16" s="43">
        <v>9</v>
      </c>
      <c r="J16" s="43">
        <v>7</v>
      </c>
      <c r="K16" s="43">
        <v>9</v>
      </c>
      <c r="L16" s="43">
        <v>7</v>
      </c>
      <c r="M16" s="43">
        <v>5</v>
      </c>
      <c r="N16" s="43">
        <v>6</v>
      </c>
      <c r="O16" s="43">
        <v>4</v>
      </c>
      <c r="P16" s="43">
        <v>5</v>
      </c>
      <c r="Q16" s="43">
        <v>6</v>
      </c>
      <c r="R16" s="43">
        <v>9</v>
      </c>
      <c r="S16" s="43">
        <v>7</v>
      </c>
      <c r="T16" s="32">
        <f ca="1">IF(COUNTIF(OFFSET(Таблица6[[#This Row],[Прізвище, ім’я, по батькові]],0,1):OFFSET(T16,0,-1),"=*")&gt;0,"-",IF(COUNTIF(OFFSET(Таблица6[[#This Row],[Прізвище, ім’я, по батькові]],0,1):OFFSET(T16,0,-1),"&lt;4")&gt;0,"-",(IFERROR(AVERAGE(OFFSET(Таблица6[[#This Row],[Прізвище, ім’я, по батькові]],0,1):OFFSET(T16,0,-1)),""))))</f>
        <v>7.1428571428571432</v>
      </c>
      <c r="U16" s="21" t="str">
        <f ca="1">IF(Таблица6[[#This Row],[''Б/К]]="Б",IF(Таблица6[[#This Row],[Столбец18]]="-","-",""),"")</f>
        <v/>
      </c>
      <c r="V16" s="58"/>
      <c r="W16" s="12"/>
    </row>
    <row r="17" spans="1:23" ht="15" customHeight="1" x14ac:dyDescent="0.25">
      <c r="A17" s="60"/>
      <c r="B17" s="58"/>
      <c r="C17" s="30" t="s">
        <v>80</v>
      </c>
      <c r="D17" s="31">
        <f t="shared" ca="1" si="1"/>
        <v>6</v>
      </c>
      <c r="E17" s="29" t="s">
        <v>60</v>
      </c>
      <c r="F17" s="43">
        <v>9</v>
      </c>
      <c r="G17" s="43">
        <v>9</v>
      </c>
      <c r="H17" s="43">
        <v>10</v>
      </c>
      <c r="I17" s="43">
        <v>9</v>
      </c>
      <c r="J17" s="43">
        <v>9</v>
      </c>
      <c r="K17" s="43">
        <v>9</v>
      </c>
      <c r="L17" s="43">
        <v>7</v>
      </c>
      <c r="M17" s="43">
        <v>7</v>
      </c>
      <c r="N17" s="43">
        <v>7</v>
      </c>
      <c r="O17" s="43">
        <v>7</v>
      </c>
      <c r="P17" s="43">
        <v>5</v>
      </c>
      <c r="Q17" s="43">
        <v>7</v>
      </c>
      <c r="R17" s="43">
        <v>10</v>
      </c>
      <c r="S17" s="43">
        <v>6</v>
      </c>
      <c r="T17" s="32">
        <f ca="1">IF(COUNTIF(OFFSET(Таблица6[[#This Row],[Прізвище, ім’я, по батькові]],0,1):OFFSET(T17,0,-1),"=*")&gt;0,"-",IF(COUNTIF(OFFSET(Таблица6[[#This Row],[Прізвище, ім’я, по батькові]],0,1):OFFSET(T17,0,-1),"&lt;4")&gt;0,"-",(IFERROR(AVERAGE(OFFSET(Таблица6[[#This Row],[Прізвище, ім’я, по батькові]],0,1):OFFSET(T17,0,-1)),""))))</f>
        <v>7.9285714285714288</v>
      </c>
      <c r="U17" s="21" t="str">
        <f ca="1">IF(Таблица6[[#This Row],[''Б/К]]="Б",IF(Таблица6[[#This Row],[Столбец18]]="-","-",""),"")</f>
        <v/>
      </c>
      <c r="V17" s="58"/>
      <c r="W17" s="12"/>
    </row>
    <row r="18" spans="1:23" ht="15" customHeight="1" x14ac:dyDescent="0.25">
      <c r="A18" s="60"/>
      <c r="B18" s="58"/>
      <c r="C18" s="30" t="s">
        <v>80</v>
      </c>
      <c r="D18" s="31">
        <f t="shared" ca="1" si="1"/>
        <v>7</v>
      </c>
      <c r="E18" s="29" t="s">
        <v>61</v>
      </c>
      <c r="F18" s="43">
        <v>9</v>
      </c>
      <c r="G18" s="43">
        <v>8</v>
      </c>
      <c r="H18" s="43">
        <v>8</v>
      </c>
      <c r="I18" s="43">
        <v>10</v>
      </c>
      <c r="J18" s="43">
        <v>8</v>
      </c>
      <c r="K18" s="43">
        <v>9</v>
      </c>
      <c r="L18" s="43">
        <v>9</v>
      </c>
      <c r="M18" s="43">
        <v>7</v>
      </c>
      <c r="N18" s="43">
        <v>8</v>
      </c>
      <c r="O18" s="43">
        <v>5</v>
      </c>
      <c r="P18" s="43">
        <v>7</v>
      </c>
      <c r="Q18" s="43">
        <v>6</v>
      </c>
      <c r="R18" s="43">
        <v>10</v>
      </c>
      <c r="S18" s="43">
        <v>6</v>
      </c>
      <c r="T18" s="32">
        <f ca="1">IF(COUNTIF(OFFSET(Таблица6[[#This Row],[Прізвище, ім’я, по батькові]],0,1):OFFSET(T18,0,-1),"=*")&gt;0,"-",IF(COUNTIF(OFFSET(Таблица6[[#This Row],[Прізвище, ім’я, по батькові]],0,1):OFFSET(T18,0,-1),"&lt;4")&gt;0,"-",(IFERROR(AVERAGE(OFFSET(Таблица6[[#This Row],[Прізвище, ім’я, по батькові]],0,1):OFFSET(T18,0,-1)),""))))</f>
        <v>7.8571428571428568</v>
      </c>
      <c r="U18" s="21" t="str">
        <f ca="1">IF(Таблица6[[#This Row],[''Б/К]]="Б",IF(Таблица6[[#This Row],[Столбец18]]="-","-",""),"")</f>
        <v/>
      </c>
      <c r="V18" s="58"/>
      <c r="W18" s="12"/>
    </row>
    <row r="19" spans="1:23" ht="15" customHeight="1" x14ac:dyDescent="0.25">
      <c r="A19" s="60"/>
      <c r="B19" s="58"/>
      <c r="C19" s="30" t="s">
        <v>80</v>
      </c>
      <c r="D19" s="31">
        <f t="shared" ref="D19:D20" ca="1" si="2">OFFSET(D19,-1,0)+1</f>
        <v>8</v>
      </c>
      <c r="E19" s="29" t="s">
        <v>62</v>
      </c>
      <c r="F19" s="43">
        <v>8</v>
      </c>
      <c r="G19" s="43">
        <v>9</v>
      </c>
      <c r="H19" s="43">
        <v>8</v>
      </c>
      <c r="I19" s="43">
        <v>9</v>
      </c>
      <c r="J19" s="43">
        <v>7</v>
      </c>
      <c r="K19" s="43">
        <v>9</v>
      </c>
      <c r="L19" s="43">
        <v>8</v>
      </c>
      <c r="M19" s="43">
        <v>8</v>
      </c>
      <c r="N19" s="43">
        <v>5</v>
      </c>
      <c r="O19" s="43">
        <v>5</v>
      </c>
      <c r="P19" s="43">
        <v>5</v>
      </c>
      <c r="Q19" s="43">
        <v>2</v>
      </c>
      <c r="R19" s="43">
        <v>8</v>
      </c>
      <c r="S19" s="43">
        <v>3</v>
      </c>
      <c r="T19" s="32" t="str">
        <f ca="1">IF(COUNTIF(OFFSET(Таблица6[[#This Row],[Прізвище, ім’я, по батькові]],0,1):OFFSET(T19,0,-1),"=*")&gt;0,"-",IF(COUNTIF(OFFSET(Таблица6[[#This Row],[Прізвище, ім’я, по батькові]],0,1):OFFSET(T19,0,-1),"&lt;4")&gt;0,"-",(IFERROR(AVERAGE(OFFSET(Таблица6[[#This Row],[Прізвище, ім’я, по батькові]],0,1):OFFSET(T19,0,-1)),""))))</f>
        <v>-</v>
      </c>
      <c r="U19" s="21" t="str">
        <f ca="1">IF(Таблица6[[#This Row],[''Б/К]]="Б",IF(Таблица6[[#This Row],[Столбец18]]="-","-",""),"")</f>
        <v>-</v>
      </c>
      <c r="V19" s="58"/>
      <c r="W19" s="12"/>
    </row>
    <row r="20" spans="1:23" ht="15" customHeight="1" x14ac:dyDescent="0.25">
      <c r="A20" s="60"/>
      <c r="B20" s="58"/>
      <c r="C20" s="30" t="s">
        <v>80</v>
      </c>
      <c r="D20" s="31">
        <f t="shared" ca="1" si="2"/>
        <v>9</v>
      </c>
      <c r="E20" s="29" t="s">
        <v>63</v>
      </c>
      <c r="F20" s="43">
        <v>8</v>
      </c>
      <c r="G20" s="43">
        <v>8</v>
      </c>
      <c r="H20" s="43">
        <v>8</v>
      </c>
      <c r="I20" s="43">
        <v>10</v>
      </c>
      <c r="J20" s="43">
        <v>9</v>
      </c>
      <c r="K20" s="43">
        <v>10</v>
      </c>
      <c r="L20" s="43">
        <v>8</v>
      </c>
      <c r="M20" s="43">
        <v>8</v>
      </c>
      <c r="N20" s="43">
        <v>7</v>
      </c>
      <c r="O20" s="43">
        <v>6</v>
      </c>
      <c r="P20" s="43">
        <v>4</v>
      </c>
      <c r="Q20" s="43">
        <v>6</v>
      </c>
      <c r="R20" s="43">
        <v>9</v>
      </c>
      <c r="S20" s="43">
        <v>5</v>
      </c>
      <c r="T20" s="32">
        <f ca="1">IF(COUNTIF(OFFSET(Таблица6[[#This Row],[Прізвище, ім’я, по батькові]],0,1):OFFSET(T20,0,-1),"=*")&gt;0,"-",IF(COUNTIF(OFFSET(Таблица6[[#This Row],[Прізвище, ім’я, по батькові]],0,1):OFFSET(T20,0,-1),"&lt;4")&gt;0,"-",(IFERROR(AVERAGE(OFFSET(Таблица6[[#This Row],[Прізвище, ім’я, по батькові]],0,1):OFFSET(T20,0,-1)),""))))</f>
        <v>7.5714285714285712</v>
      </c>
      <c r="U20" s="21" t="str">
        <f ca="1">IF(Таблица6[[#This Row],[''Б/К]]="Б",IF(Таблица6[[#This Row],[Столбец18]]="-","-",""),"")</f>
        <v/>
      </c>
      <c r="V20" s="58"/>
      <c r="W20" s="12"/>
    </row>
    <row r="21" spans="1:23" ht="15" customHeight="1" x14ac:dyDescent="0.25">
      <c r="A21" s="60"/>
      <c r="B21" s="58"/>
      <c r="C21" s="30" t="s">
        <v>80</v>
      </c>
      <c r="D21" s="31">
        <f ca="1">OFFSET(D21,-1,0)+1</f>
        <v>10</v>
      </c>
      <c r="E21" s="29" t="s">
        <v>64</v>
      </c>
      <c r="F21" s="43">
        <v>6</v>
      </c>
      <c r="G21" s="43">
        <v>9</v>
      </c>
      <c r="H21" s="43">
        <v>9</v>
      </c>
      <c r="I21" s="43">
        <v>10</v>
      </c>
      <c r="J21" s="43">
        <v>4</v>
      </c>
      <c r="K21" s="43">
        <v>9</v>
      </c>
      <c r="L21" s="43">
        <v>9</v>
      </c>
      <c r="M21" s="43">
        <v>7</v>
      </c>
      <c r="N21" s="43">
        <v>4</v>
      </c>
      <c r="O21" s="43">
        <v>5</v>
      </c>
      <c r="P21" s="43">
        <v>5</v>
      </c>
      <c r="Q21" s="43">
        <v>6</v>
      </c>
      <c r="R21" s="43">
        <v>6</v>
      </c>
      <c r="S21" s="43">
        <v>6</v>
      </c>
      <c r="T21" s="32">
        <f ca="1">IF(COUNTIF(OFFSET(Таблица6[[#This Row],[Прізвище, ім’я, по батькові]],0,1):OFFSET(T21,0,-1),"=*")&gt;0,"-",IF(COUNTIF(OFFSET(Таблица6[[#This Row],[Прізвище, ім’я, по батькові]],0,1):OFFSET(T21,0,-1),"&lt;4")&gt;0,"-",(IFERROR(AVERAGE(OFFSET(Таблица6[[#This Row],[Прізвище, ім’я, по батькові]],0,1):OFFSET(T21,0,-1)),""))))</f>
        <v>6.7857142857142856</v>
      </c>
      <c r="U21" s="21" t="str">
        <f ca="1">IF(Таблица6[[#This Row],[''Б/К]]="Б",IF(Таблица6[[#This Row],[Столбец18]]="-","-",""),"")</f>
        <v/>
      </c>
      <c r="V21" s="58"/>
      <c r="W21" s="12"/>
    </row>
    <row r="22" spans="1:23" ht="15" customHeight="1" x14ac:dyDescent="0.25">
      <c r="A22" s="60"/>
      <c r="B22" s="58"/>
      <c r="C22" s="30" t="s">
        <v>81</v>
      </c>
      <c r="D22" s="31">
        <f t="shared" ref="D22:D27" ca="1" si="3">OFFSET(D22,-1,0)+1</f>
        <v>11</v>
      </c>
      <c r="E22" s="29" t="s">
        <v>65</v>
      </c>
      <c r="F22" s="43">
        <v>9</v>
      </c>
      <c r="G22" s="43">
        <v>9</v>
      </c>
      <c r="H22" s="43">
        <v>9</v>
      </c>
      <c r="I22" s="43">
        <v>10</v>
      </c>
      <c r="J22" s="43" t="s">
        <v>100</v>
      </c>
      <c r="K22" s="43">
        <v>9</v>
      </c>
      <c r="L22" s="43">
        <v>8</v>
      </c>
      <c r="M22" s="43">
        <v>5</v>
      </c>
      <c r="N22" s="43">
        <v>4</v>
      </c>
      <c r="O22" s="43">
        <v>4</v>
      </c>
      <c r="P22" s="43">
        <v>5</v>
      </c>
      <c r="Q22" s="43">
        <v>4</v>
      </c>
      <c r="R22" s="43">
        <v>6</v>
      </c>
      <c r="S22" s="43">
        <v>4</v>
      </c>
      <c r="T22" s="32" t="str">
        <f ca="1">IF(COUNTIF(OFFSET(Таблица6[[#This Row],[Прізвище, ім’я, по батькові]],0,1):OFFSET(T22,0,-1),"=*")&gt;0,"-",IF(COUNTIF(OFFSET(Таблица6[[#This Row],[Прізвище, ім’я, по батькові]],0,1):OFFSET(T22,0,-1),"&lt;4")&gt;0,"-",(IFERROR(AVERAGE(OFFSET(Таблица6[[#This Row],[Прізвище, ім’я, по батькові]],0,1):OFFSET(T22,0,-1)),""))))</f>
        <v>-</v>
      </c>
      <c r="U22" s="21" t="str">
        <f>IF(Таблица6[[#This Row],[''Б/К]]="Б",IF(Таблица6[[#This Row],[Столбец18]]="-","-",""),"")</f>
        <v/>
      </c>
      <c r="V22" s="58"/>
      <c r="W22" s="12"/>
    </row>
    <row r="23" spans="1:23" ht="15" customHeight="1" x14ac:dyDescent="0.25">
      <c r="A23" s="60"/>
      <c r="B23" s="58"/>
      <c r="C23" s="30" t="s">
        <v>80</v>
      </c>
      <c r="D23" s="31">
        <f t="shared" ca="1" si="3"/>
        <v>12</v>
      </c>
      <c r="E23" s="29" t="s">
        <v>66</v>
      </c>
      <c r="F23" s="43">
        <v>9</v>
      </c>
      <c r="G23" s="43">
        <v>8</v>
      </c>
      <c r="H23" s="43">
        <v>9</v>
      </c>
      <c r="I23" s="43">
        <v>9</v>
      </c>
      <c r="J23" s="43">
        <v>8</v>
      </c>
      <c r="K23" s="43">
        <v>9</v>
      </c>
      <c r="L23" s="43">
        <v>8</v>
      </c>
      <c r="M23" s="43">
        <v>8</v>
      </c>
      <c r="N23" s="43">
        <v>9</v>
      </c>
      <c r="O23" s="43">
        <v>7</v>
      </c>
      <c r="P23" s="43">
        <v>7</v>
      </c>
      <c r="Q23" s="43">
        <v>8</v>
      </c>
      <c r="R23" s="43">
        <v>8</v>
      </c>
      <c r="S23" s="43">
        <v>9</v>
      </c>
      <c r="T23" s="32">
        <f ca="1">IF(COUNTIF(OFFSET(Таблица6[[#This Row],[Прізвище, ім’я, по батькові]],0,1):OFFSET(T23,0,-1),"=*")&gt;0,"-",IF(COUNTIF(OFFSET(Таблица6[[#This Row],[Прізвище, ім’я, по батькові]],0,1):OFFSET(T23,0,-1),"&lt;4")&gt;0,"-",(IFERROR(AVERAGE(OFFSET(Таблица6[[#This Row],[Прізвище, ім’я, по батькові]],0,1):OFFSET(T23,0,-1)),""))))</f>
        <v>8.2857142857142865</v>
      </c>
      <c r="U23" s="21" t="str">
        <f ca="1">IF(Таблица6[[#This Row],[''Б/К]]="Б",IF(Таблица6[[#This Row],[Столбец18]]="-","-",""),"")</f>
        <v/>
      </c>
      <c r="V23" s="58"/>
      <c r="W23" s="12"/>
    </row>
    <row r="24" spans="1:23" ht="15" customHeight="1" x14ac:dyDescent="0.25">
      <c r="A24" s="60"/>
      <c r="B24" s="58"/>
      <c r="C24" s="30" t="s">
        <v>80</v>
      </c>
      <c r="D24" s="31">
        <f t="shared" ca="1" si="3"/>
        <v>13</v>
      </c>
      <c r="E24" s="29" t="s">
        <v>67</v>
      </c>
      <c r="F24" s="43">
        <v>9</v>
      </c>
      <c r="G24" s="43">
        <v>8</v>
      </c>
      <c r="H24" s="43">
        <v>9</v>
      </c>
      <c r="I24" s="43">
        <v>9</v>
      </c>
      <c r="J24" s="43">
        <v>8</v>
      </c>
      <c r="K24" s="43">
        <v>9</v>
      </c>
      <c r="L24" s="43">
        <v>8</v>
      </c>
      <c r="M24" s="43">
        <v>8</v>
      </c>
      <c r="N24" s="43">
        <v>9</v>
      </c>
      <c r="O24" s="43">
        <v>7</v>
      </c>
      <c r="P24" s="43">
        <v>7</v>
      </c>
      <c r="Q24" s="43">
        <v>7</v>
      </c>
      <c r="R24" s="43">
        <v>8</v>
      </c>
      <c r="S24" s="43">
        <v>9</v>
      </c>
      <c r="T24" s="32">
        <f ca="1">IF(COUNTIF(OFFSET(Таблица6[[#This Row],[Прізвище, ім’я, по батькові]],0,1):OFFSET(T24,0,-1),"=*")&gt;0,"-",IF(COUNTIF(OFFSET(Таблица6[[#This Row],[Прізвище, ім’я, по батькові]],0,1):OFFSET(T24,0,-1),"&lt;4")&gt;0,"-",(IFERROR(AVERAGE(OFFSET(Таблица6[[#This Row],[Прізвище, ім’я, по батькові]],0,1):OFFSET(T24,0,-1)),""))))</f>
        <v>8.2142857142857135</v>
      </c>
      <c r="U24" s="21" t="str">
        <f ca="1">IF(Таблица6[[#This Row],[''Б/К]]="Б",IF(Таблица6[[#This Row],[Столбец18]]="-","-",""),"")</f>
        <v/>
      </c>
      <c r="V24" s="58"/>
      <c r="W24" s="12"/>
    </row>
    <row r="25" spans="1:23" ht="15" customHeight="1" x14ac:dyDescent="0.25">
      <c r="A25" s="60"/>
      <c r="B25" s="58"/>
      <c r="C25" s="30" t="s">
        <v>80</v>
      </c>
      <c r="D25" s="31">
        <f t="shared" ca="1" si="3"/>
        <v>14</v>
      </c>
      <c r="E25" s="29" t="s">
        <v>68</v>
      </c>
      <c r="F25" s="43">
        <v>8</v>
      </c>
      <c r="G25" s="43">
        <v>9</v>
      </c>
      <c r="H25" s="43">
        <v>9</v>
      </c>
      <c r="I25" s="43">
        <v>10</v>
      </c>
      <c r="J25" s="43">
        <v>4</v>
      </c>
      <c r="K25" s="43">
        <v>7</v>
      </c>
      <c r="L25" s="43">
        <v>8</v>
      </c>
      <c r="M25" s="43">
        <v>7</v>
      </c>
      <c r="N25" s="43">
        <v>5</v>
      </c>
      <c r="O25" s="43">
        <v>7</v>
      </c>
      <c r="P25" s="43">
        <v>7</v>
      </c>
      <c r="Q25" s="43">
        <v>6</v>
      </c>
      <c r="R25" s="43">
        <v>9</v>
      </c>
      <c r="S25" s="43">
        <v>7</v>
      </c>
      <c r="T25" s="32">
        <f ca="1">IF(COUNTIF(OFFSET(Таблица6[[#This Row],[Прізвище, ім’я, по батькові]],0,1):OFFSET(T25,0,-1),"=*")&gt;0,"-",IF(COUNTIF(OFFSET(Таблица6[[#This Row],[Прізвище, ім’я, по батькові]],0,1):OFFSET(T25,0,-1),"&lt;4")&gt;0,"-",(IFERROR(AVERAGE(OFFSET(Таблица6[[#This Row],[Прізвище, ім’я, по батькові]],0,1):OFFSET(T25,0,-1)),""))))</f>
        <v>7.3571428571428568</v>
      </c>
      <c r="U25" s="21" t="str">
        <f ca="1">IF(Таблица6[[#This Row],[''Б/К]]="Б",IF(Таблица6[[#This Row],[Столбец18]]="-","-",""),"")</f>
        <v/>
      </c>
      <c r="V25" s="58"/>
      <c r="W25" s="12"/>
    </row>
    <row r="26" spans="1:23" ht="15" customHeight="1" x14ac:dyDescent="0.25">
      <c r="A26" s="60"/>
      <c r="B26" s="58"/>
      <c r="C26" s="30" t="s">
        <v>80</v>
      </c>
      <c r="D26" s="31">
        <f t="shared" ca="1" si="3"/>
        <v>15</v>
      </c>
      <c r="E26" s="29" t="s">
        <v>69</v>
      </c>
      <c r="F26" s="43">
        <v>6</v>
      </c>
      <c r="G26" s="43">
        <v>5</v>
      </c>
      <c r="H26" s="43">
        <v>6</v>
      </c>
      <c r="I26" s="43">
        <v>5</v>
      </c>
      <c r="J26" s="43">
        <v>4</v>
      </c>
      <c r="K26" s="43">
        <v>6</v>
      </c>
      <c r="L26" s="43">
        <v>5</v>
      </c>
      <c r="M26" s="43">
        <v>4</v>
      </c>
      <c r="N26" s="43">
        <v>7</v>
      </c>
      <c r="O26" s="43">
        <v>4</v>
      </c>
      <c r="P26" s="43">
        <v>4</v>
      </c>
      <c r="Q26" s="43">
        <v>7</v>
      </c>
      <c r="R26" s="43">
        <v>4</v>
      </c>
      <c r="S26" s="43">
        <v>6</v>
      </c>
      <c r="T26" s="32">
        <f ca="1">IF(COUNTIF(OFFSET(Таблица6[[#This Row],[Прізвище, ім’я, по батькові]],0,1):OFFSET(T26,0,-1),"=*")&gt;0,"-",IF(COUNTIF(OFFSET(Таблица6[[#This Row],[Прізвище, ім’я, по батькові]],0,1):OFFSET(T26,0,-1),"&lt;4")&gt;0,"-",(IFERROR(AVERAGE(OFFSET(Таблица6[[#This Row],[Прізвище, ім’я, по батькові]],0,1):OFFSET(T26,0,-1)),""))))</f>
        <v>5.2142857142857144</v>
      </c>
      <c r="U26" s="21" t="str">
        <f ca="1">IF(Таблица6[[#This Row],[''Б/К]]="Б",IF(Таблица6[[#This Row],[Столбец18]]="-","-",""),"")</f>
        <v/>
      </c>
      <c r="V26" s="58"/>
      <c r="W26" s="12"/>
    </row>
    <row r="27" spans="1:23" ht="15" customHeight="1" x14ac:dyDescent="0.25">
      <c r="A27" s="60"/>
      <c r="B27" s="58"/>
      <c r="C27" s="30" t="s">
        <v>80</v>
      </c>
      <c r="D27" s="31">
        <f t="shared" ca="1" si="3"/>
        <v>16</v>
      </c>
      <c r="E27" s="29" t="s">
        <v>70</v>
      </c>
      <c r="F27" s="43">
        <v>10</v>
      </c>
      <c r="G27" s="43">
        <v>11</v>
      </c>
      <c r="H27" s="43">
        <v>10</v>
      </c>
      <c r="I27" s="43">
        <v>11</v>
      </c>
      <c r="J27" s="43">
        <v>10</v>
      </c>
      <c r="K27" s="43">
        <v>11</v>
      </c>
      <c r="L27" s="43">
        <v>11</v>
      </c>
      <c r="M27" s="43">
        <v>10</v>
      </c>
      <c r="N27" s="43">
        <v>10</v>
      </c>
      <c r="O27" s="43">
        <v>11</v>
      </c>
      <c r="P27" s="43">
        <v>10</v>
      </c>
      <c r="Q27" s="43">
        <v>10</v>
      </c>
      <c r="R27" s="43">
        <v>10</v>
      </c>
      <c r="S27" s="43">
        <v>9</v>
      </c>
      <c r="T27" s="32">
        <f ca="1">IF(COUNTIF(OFFSET(Таблица6[[#This Row],[Прізвище, ім’я, по батькові]],0,1):OFFSET(T27,0,-1),"=*")&gt;0,"-",IF(COUNTIF(OFFSET(Таблица6[[#This Row],[Прізвище, ім’я, по батькові]],0,1):OFFSET(T27,0,-1),"&lt;4")&gt;0,"-",(IFERROR(AVERAGE(OFFSET(Таблица6[[#This Row],[Прізвище, ім’я, по батькові]],0,1):OFFSET(T27,0,-1)),""))))</f>
        <v>10.285714285714286</v>
      </c>
      <c r="U27" s="21" t="str">
        <f ca="1">IF(Таблица6[[#This Row],[''Б/К]]="Б",IF(Таблица6[[#This Row],[Столбец18]]="-","-",""),"")</f>
        <v/>
      </c>
      <c r="V27" s="58"/>
      <c r="W27" s="12"/>
    </row>
    <row r="28" spans="1:23" ht="15" customHeight="1" x14ac:dyDescent="0.25">
      <c r="A28" s="60"/>
      <c r="B28" s="58"/>
      <c r="C28" s="30" t="s">
        <v>80</v>
      </c>
      <c r="D28" s="31">
        <f t="shared" ref="D28:D30" ca="1" si="4">OFFSET(D28,-1,0)+1</f>
        <v>17</v>
      </c>
      <c r="E28" s="29" t="s">
        <v>71</v>
      </c>
      <c r="F28" s="43">
        <v>8</v>
      </c>
      <c r="G28" s="43">
        <v>9</v>
      </c>
      <c r="H28" s="43">
        <v>9</v>
      </c>
      <c r="I28" s="43">
        <v>10</v>
      </c>
      <c r="J28" s="43">
        <v>9</v>
      </c>
      <c r="K28" s="43">
        <v>9</v>
      </c>
      <c r="L28" s="43">
        <v>8</v>
      </c>
      <c r="M28" s="43">
        <v>10</v>
      </c>
      <c r="N28" s="43">
        <v>4</v>
      </c>
      <c r="O28" s="43">
        <v>7</v>
      </c>
      <c r="P28" s="43">
        <v>7</v>
      </c>
      <c r="Q28" s="43">
        <v>7</v>
      </c>
      <c r="R28" s="43">
        <v>9</v>
      </c>
      <c r="S28" s="43">
        <v>8</v>
      </c>
      <c r="T28" s="32">
        <f ca="1">IF(COUNTIF(OFFSET(Таблица6[[#This Row],[Прізвище, ім’я, по батькові]],0,1):OFFSET(T28,0,-1),"=*")&gt;0,"-",IF(COUNTIF(OFFSET(Таблица6[[#This Row],[Прізвище, ім’я, по батькові]],0,1):OFFSET(T28,0,-1),"&lt;4")&gt;0,"-",(IFERROR(AVERAGE(OFFSET(Таблица6[[#This Row],[Прізвище, ім’я, по батькові]],0,1):OFFSET(T28,0,-1)),""))))</f>
        <v>8.1428571428571423</v>
      </c>
      <c r="U28" s="21" t="str">
        <f ca="1">IF(Таблица6[[#This Row],[''Б/К]]="Б",IF(Таблица6[[#This Row],[Столбец18]]="-","-",""),"")</f>
        <v/>
      </c>
      <c r="V28" s="58"/>
      <c r="W28" s="12"/>
    </row>
    <row r="29" spans="1:23" ht="15" customHeight="1" x14ac:dyDescent="0.25">
      <c r="A29" s="60"/>
      <c r="B29" s="58"/>
      <c r="C29" s="30" t="s">
        <v>80</v>
      </c>
      <c r="D29" s="31">
        <f t="shared" ca="1" si="4"/>
        <v>18</v>
      </c>
      <c r="E29" s="29" t="s">
        <v>72</v>
      </c>
      <c r="F29" s="43">
        <v>8</v>
      </c>
      <c r="G29" s="43">
        <v>8</v>
      </c>
      <c r="H29" s="43">
        <v>8</v>
      </c>
      <c r="I29" s="43">
        <v>9</v>
      </c>
      <c r="J29" s="43">
        <v>4</v>
      </c>
      <c r="K29" s="43">
        <v>9</v>
      </c>
      <c r="L29" s="43">
        <v>8</v>
      </c>
      <c r="M29" s="43" t="s">
        <v>100</v>
      </c>
      <c r="N29" s="43">
        <v>4</v>
      </c>
      <c r="O29" s="43">
        <v>4</v>
      </c>
      <c r="P29" s="43">
        <v>4</v>
      </c>
      <c r="Q29" s="43">
        <v>4</v>
      </c>
      <c r="R29" s="43">
        <v>8</v>
      </c>
      <c r="S29" s="43">
        <v>6</v>
      </c>
      <c r="T29" s="32" t="str">
        <f ca="1">IF(COUNTIF(OFFSET(Таблица6[[#This Row],[Прізвище, ім’я, по батькові]],0,1):OFFSET(T29,0,-1),"=*")&gt;0,"-",IF(COUNTIF(OFFSET(Таблица6[[#This Row],[Прізвище, ім’я, по батькові]],0,1):OFFSET(T29,0,-1),"&lt;4")&gt;0,"-",(IFERROR(AVERAGE(OFFSET(Таблица6[[#This Row],[Прізвище, ім’я, по батькові]],0,1):OFFSET(T29,0,-1)),""))))</f>
        <v>-</v>
      </c>
      <c r="U29" s="21" t="str">
        <f ca="1">IF(Таблица6[[#This Row],[''Б/К]]="Б",IF(Таблица6[[#This Row],[Столбец18]]="-","-",""),"")</f>
        <v>-</v>
      </c>
      <c r="V29" s="58"/>
      <c r="W29" s="12"/>
    </row>
    <row r="30" spans="1:23" ht="15" customHeight="1" x14ac:dyDescent="0.25">
      <c r="A30" s="60"/>
      <c r="B30" s="58"/>
      <c r="C30" s="30" t="s">
        <v>81</v>
      </c>
      <c r="D30" s="31">
        <f t="shared" ca="1" si="4"/>
        <v>19</v>
      </c>
      <c r="E30" s="29" t="s">
        <v>73</v>
      </c>
      <c r="F30" s="43">
        <v>6</v>
      </c>
      <c r="G30" s="43">
        <v>7</v>
      </c>
      <c r="H30" s="43">
        <v>7</v>
      </c>
      <c r="I30" s="43">
        <v>7</v>
      </c>
      <c r="J30" s="43">
        <v>6</v>
      </c>
      <c r="K30" s="43">
        <v>6</v>
      </c>
      <c r="L30" s="43">
        <v>8</v>
      </c>
      <c r="M30" s="43">
        <v>5</v>
      </c>
      <c r="N30" s="43">
        <v>4</v>
      </c>
      <c r="O30" s="43">
        <v>4</v>
      </c>
      <c r="P30" s="43">
        <v>4</v>
      </c>
      <c r="Q30" s="43">
        <v>4</v>
      </c>
      <c r="R30" s="43">
        <v>8</v>
      </c>
      <c r="S30" s="43">
        <v>4</v>
      </c>
      <c r="T30" s="32">
        <f ca="1">IF(COUNTIF(OFFSET(Таблица6[[#This Row],[Прізвище, ім’я, по батькові]],0,1):OFFSET(T30,0,-1),"=*")&gt;0,"-",IF(COUNTIF(OFFSET(Таблица6[[#This Row],[Прізвище, ім’я, по батькові]],0,1):OFFSET(T30,0,-1),"&lt;4")&gt;0,"-",(IFERROR(AVERAGE(OFFSET(Таблица6[[#This Row],[Прізвище, ім’я, по батькові]],0,1):OFFSET(T30,0,-1)),""))))</f>
        <v>5.7142857142857144</v>
      </c>
      <c r="U30" s="21" t="str">
        <f>IF(Таблица6[[#This Row],[''Б/К]]="Б",IF(Таблица6[[#This Row],[Столбец18]]="-","-",""),"")</f>
        <v/>
      </c>
      <c r="V30" s="58"/>
      <c r="W30" s="12"/>
    </row>
    <row r="31" spans="1:23" ht="15" customHeight="1" x14ac:dyDescent="0.25">
      <c r="A31" s="60"/>
      <c r="B31" s="58"/>
      <c r="C31" s="30" t="s">
        <v>81</v>
      </c>
      <c r="D31" s="31">
        <f t="shared" ref="D31:D34" ca="1" si="5">OFFSET(D31,-1,0)+1</f>
        <v>20</v>
      </c>
      <c r="E31" s="29" t="s">
        <v>74</v>
      </c>
      <c r="F31" s="43">
        <v>8</v>
      </c>
      <c r="G31" s="43">
        <v>8</v>
      </c>
      <c r="H31" s="43">
        <v>7</v>
      </c>
      <c r="I31" s="43">
        <v>5</v>
      </c>
      <c r="J31" s="43" t="s">
        <v>100</v>
      </c>
      <c r="K31" s="43">
        <v>7</v>
      </c>
      <c r="L31" s="43">
        <v>4</v>
      </c>
      <c r="M31" s="43">
        <v>5</v>
      </c>
      <c r="N31" s="43">
        <v>5</v>
      </c>
      <c r="O31" s="43">
        <v>4</v>
      </c>
      <c r="P31" s="43">
        <v>4</v>
      </c>
      <c r="Q31" s="43">
        <v>2</v>
      </c>
      <c r="R31" s="43">
        <v>7</v>
      </c>
      <c r="S31" s="43">
        <v>6</v>
      </c>
      <c r="T31" s="32" t="str">
        <f ca="1">IF(COUNTIF(OFFSET(Таблица6[[#This Row],[Прізвище, ім’я, по батькові]],0,1):OFFSET(T31,0,-1),"=*")&gt;0,"-",IF(COUNTIF(OFFSET(Таблица6[[#This Row],[Прізвище, ім’я, по батькові]],0,1):OFFSET(T31,0,-1),"&lt;4")&gt;0,"-",(IFERROR(AVERAGE(OFFSET(Таблица6[[#This Row],[Прізвище, ім’я, по батькові]],0,1):OFFSET(T31,0,-1)),""))))</f>
        <v>-</v>
      </c>
      <c r="U31" s="22" t="str">
        <f>IF(Таблица6[[#This Row],[''Б/К]]="Б",IF(Таблица6[[#This Row],[Столбец18]]="-","-",""),"")</f>
        <v/>
      </c>
      <c r="V31" s="58"/>
      <c r="W31" s="12"/>
    </row>
    <row r="32" spans="1:23" ht="15" customHeight="1" x14ac:dyDescent="0.25">
      <c r="A32" s="60"/>
      <c r="B32" s="58"/>
      <c r="C32" s="30" t="s">
        <v>80</v>
      </c>
      <c r="D32" s="31">
        <f t="shared" ref="D32:D33" ca="1" si="6">OFFSET(D32,-1,0)+1</f>
        <v>21</v>
      </c>
      <c r="E32" s="29" t="s">
        <v>75</v>
      </c>
      <c r="F32" s="43">
        <v>10</v>
      </c>
      <c r="G32" s="43">
        <v>10</v>
      </c>
      <c r="H32" s="43">
        <v>10</v>
      </c>
      <c r="I32" s="43">
        <v>11</v>
      </c>
      <c r="J32" s="43">
        <v>10</v>
      </c>
      <c r="K32" s="43">
        <v>10</v>
      </c>
      <c r="L32" s="43">
        <v>10</v>
      </c>
      <c r="M32" s="43">
        <v>9</v>
      </c>
      <c r="N32" s="43">
        <v>8</v>
      </c>
      <c r="O32" s="43">
        <v>10</v>
      </c>
      <c r="P32" s="43">
        <v>8</v>
      </c>
      <c r="Q32" s="43">
        <v>8</v>
      </c>
      <c r="R32" s="43">
        <v>10</v>
      </c>
      <c r="S32" s="43">
        <v>8</v>
      </c>
      <c r="T32" s="32">
        <f ca="1">IF(COUNTIF(OFFSET(Таблица6[[#This Row],[Прізвище, ім’я, по батькові]],0,1):OFFSET(T32,0,-1),"=*")&gt;0,"-",IF(COUNTIF(OFFSET(Таблица6[[#This Row],[Прізвище, ім’я, по батькові]],0,1):OFFSET(T32,0,-1),"&lt;4")&gt;0,"-",(IFERROR(AVERAGE(OFFSET(Таблица6[[#This Row],[Прізвище, ім’я, по батькові]],0,1):OFFSET(T32,0,-1)),""))))</f>
        <v>9.4285714285714288</v>
      </c>
      <c r="U32" s="22" t="str">
        <f ca="1">IF(Таблица6[[#This Row],[''Б/К]]="Б",IF(Таблица6[[#This Row],[Столбец18]]="-","-",""),"")</f>
        <v/>
      </c>
      <c r="V32" s="58"/>
      <c r="W32" s="12"/>
    </row>
    <row r="33" spans="1:23" ht="15" customHeight="1" x14ac:dyDescent="0.25">
      <c r="A33" s="60"/>
      <c r="B33" s="58"/>
      <c r="C33" s="30" t="s">
        <v>80</v>
      </c>
      <c r="D33" s="31">
        <f t="shared" ca="1" si="6"/>
        <v>22</v>
      </c>
      <c r="E33" s="29" t="s">
        <v>76</v>
      </c>
      <c r="F33" s="43">
        <v>6</v>
      </c>
      <c r="G33" s="43">
        <v>8</v>
      </c>
      <c r="H33" s="43">
        <v>10</v>
      </c>
      <c r="I33" s="43">
        <v>9</v>
      </c>
      <c r="J33" s="43" t="s">
        <v>100</v>
      </c>
      <c r="K33" s="43">
        <v>6</v>
      </c>
      <c r="L33" s="43">
        <v>4</v>
      </c>
      <c r="M33" s="43">
        <v>10</v>
      </c>
      <c r="N33" s="43">
        <v>4</v>
      </c>
      <c r="O33" s="43">
        <v>5</v>
      </c>
      <c r="P33" s="43">
        <v>5</v>
      </c>
      <c r="Q33" s="43">
        <v>2</v>
      </c>
      <c r="R33" s="43">
        <v>4</v>
      </c>
      <c r="S33" s="43">
        <v>5</v>
      </c>
      <c r="T33" s="32" t="str">
        <f ca="1">IF(COUNTIF(OFFSET(Таблица6[[#This Row],[Прізвище, ім’я, по батькові]],0,1):OFFSET(T33,0,-1),"=*")&gt;0,"-",IF(COUNTIF(OFFSET(Таблица6[[#This Row],[Прізвище, ім’я, по батькові]],0,1):OFFSET(T33,0,-1),"&lt;4")&gt;0,"-",(IFERROR(AVERAGE(OFFSET(Таблица6[[#This Row],[Прізвище, ім’я, по батькові]],0,1):OFFSET(T33,0,-1)),""))))</f>
        <v>-</v>
      </c>
      <c r="U33" s="22" t="str">
        <f ca="1">IF(Таблица6[[#This Row],[''Б/К]]="Б",IF(Таблица6[[#This Row],[Столбец18]]="-","-",""),"")</f>
        <v>-</v>
      </c>
      <c r="V33" s="58"/>
      <c r="W33" s="12"/>
    </row>
    <row r="34" spans="1:23" ht="15" customHeight="1" x14ac:dyDescent="0.25">
      <c r="A34" s="60"/>
      <c r="B34" s="58"/>
      <c r="C34" s="30" t="s">
        <v>80</v>
      </c>
      <c r="D34" s="31">
        <f t="shared" ca="1" si="5"/>
        <v>23</v>
      </c>
      <c r="E34" s="29" t="s">
        <v>77</v>
      </c>
      <c r="F34" s="43">
        <v>9</v>
      </c>
      <c r="G34" s="43">
        <v>9</v>
      </c>
      <c r="H34" s="43">
        <v>10</v>
      </c>
      <c r="I34" s="43">
        <v>7</v>
      </c>
      <c r="J34" s="43">
        <v>8</v>
      </c>
      <c r="K34" s="43">
        <v>7</v>
      </c>
      <c r="L34" s="43">
        <v>10</v>
      </c>
      <c r="M34" s="43">
        <v>6</v>
      </c>
      <c r="N34" s="43">
        <v>7</v>
      </c>
      <c r="O34" s="43">
        <v>5</v>
      </c>
      <c r="P34" s="43">
        <v>5</v>
      </c>
      <c r="Q34" s="43">
        <v>4</v>
      </c>
      <c r="R34" s="43">
        <v>8</v>
      </c>
      <c r="S34" s="43">
        <v>4</v>
      </c>
      <c r="T34" s="32">
        <f ca="1">IF(COUNTIF(OFFSET(Таблица6[[#This Row],[Прізвище, ім’я, по батькові]],0,1):OFFSET(T34,0,-1),"=*")&gt;0,"-",IF(COUNTIF(OFFSET(Таблица6[[#This Row],[Прізвище, ім’я, по батькові]],0,1):OFFSET(T34,0,-1),"&lt;4")&gt;0,"-",(IFERROR(AVERAGE(OFFSET(Таблица6[[#This Row],[Прізвище, ім’я, по батькові]],0,1):OFFSET(T34,0,-1)),""))))</f>
        <v>7.0714285714285712</v>
      </c>
      <c r="U34" s="22" t="str">
        <f ca="1">IF(Таблица6[[#This Row],[''Б/К]]="Б",IF(Таблица6[[#This Row],[Столбец18]]="-","-",""),"")</f>
        <v/>
      </c>
      <c r="V34" s="58"/>
      <c r="W34" s="12"/>
    </row>
    <row r="35" spans="1:23" ht="15" customHeight="1" x14ac:dyDescent="0.25">
      <c r="A35" s="60"/>
      <c r="B35" s="58"/>
      <c r="C35" s="30" t="s">
        <v>80</v>
      </c>
      <c r="D35" s="31">
        <f t="shared" ref="D35:D36" ca="1" si="7">OFFSET(D35,-1,0)+1</f>
        <v>24</v>
      </c>
      <c r="E35" s="29" t="s">
        <v>78</v>
      </c>
      <c r="F35" s="43">
        <v>5</v>
      </c>
      <c r="G35" s="43">
        <v>8</v>
      </c>
      <c r="H35" s="43">
        <v>8</v>
      </c>
      <c r="I35" s="43">
        <v>6</v>
      </c>
      <c r="J35" s="43">
        <v>6</v>
      </c>
      <c r="K35" s="43">
        <v>7</v>
      </c>
      <c r="L35" s="43">
        <v>4</v>
      </c>
      <c r="M35" s="43">
        <v>7</v>
      </c>
      <c r="N35" s="43">
        <v>4</v>
      </c>
      <c r="O35" s="43">
        <v>4</v>
      </c>
      <c r="P35" s="43">
        <v>4</v>
      </c>
      <c r="Q35" s="43">
        <v>4</v>
      </c>
      <c r="R35" s="43">
        <v>8</v>
      </c>
      <c r="S35" s="43">
        <v>4</v>
      </c>
      <c r="T35" s="32">
        <f ca="1">IF(COUNTIF(OFFSET(Таблица6[[#This Row],[Прізвище, ім’я, по батькові]],0,1):OFFSET(T35,0,-1),"=*")&gt;0,"-",IF(COUNTIF(OFFSET(Таблица6[[#This Row],[Прізвище, ім’я, по батькові]],0,1):OFFSET(T35,0,-1),"&lt;4")&gt;0,"-",(IFERROR(AVERAGE(OFFSET(Таблица6[[#This Row],[Прізвище, ім’я, по батькові]],0,1):OFFSET(T35,0,-1)),""))))</f>
        <v>5.6428571428571432</v>
      </c>
      <c r="U35" s="22" t="str">
        <f ca="1">IF(Таблица6[[#This Row],[''Б/К]]="Б",IF(Таблица6[[#This Row],[Столбец18]]="-","-",""),"")</f>
        <v/>
      </c>
      <c r="V35" s="58"/>
      <c r="W35" s="12"/>
    </row>
    <row r="36" spans="1:23" ht="15" customHeight="1" x14ac:dyDescent="0.25">
      <c r="A36" s="60"/>
      <c r="B36" s="58"/>
      <c r="C36" s="30" t="s">
        <v>81</v>
      </c>
      <c r="D36" s="31">
        <f t="shared" ca="1" si="7"/>
        <v>25</v>
      </c>
      <c r="E36" s="29" t="s">
        <v>79</v>
      </c>
      <c r="F36" s="43">
        <v>6</v>
      </c>
      <c r="G36" s="43">
        <v>5</v>
      </c>
      <c r="H36" s="43">
        <v>4</v>
      </c>
      <c r="I36" s="43">
        <v>5</v>
      </c>
      <c r="J36" s="43">
        <v>4</v>
      </c>
      <c r="K36" s="43">
        <v>5</v>
      </c>
      <c r="L36" s="43">
        <v>5</v>
      </c>
      <c r="M36" s="43">
        <v>6</v>
      </c>
      <c r="N36" s="43">
        <v>7</v>
      </c>
      <c r="O36" s="43">
        <v>4</v>
      </c>
      <c r="P36" s="43">
        <v>4</v>
      </c>
      <c r="Q36" s="43">
        <v>7</v>
      </c>
      <c r="R36" s="43">
        <v>4</v>
      </c>
      <c r="S36" s="43">
        <v>6</v>
      </c>
      <c r="T36" s="32">
        <f ca="1">IF(COUNTIF(OFFSET(Таблица6[[#This Row],[Прізвище, ім’я, по батькові]],0,1):OFFSET(T36,0,-1),"=*")&gt;0,"-",IF(COUNTIF(OFFSET(Таблица6[[#This Row],[Прізвище, ім’я, по батькові]],0,1):OFFSET(T36,0,-1),"&lt;4")&gt;0,"-",(IFERROR(AVERAGE(OFFSET(Таблица6[[#This Row],[Прізвище, ім’я, по батькові]],0,1):OFFSET(T36,0,-1)),""))))</f>
        <v>5.1428571428571432</v>
      </c>
      <c r="U36" s="22" t="str">
        <f>IF(Таблица6[[#This Row],[''Б/К]]="Б",IF(Таблица6[[#This Row],[Столбец18]]="-","-",""),"")</f>
        <v/>
      </c>
      <c r="V36" s="58"/>
      <c r="W36" s="12"/>
    </row>
    <row r="37" spans="1:23" ht="15" customHeight="1" x14ac:dyDescent="0.25">
      <c r="A37" s="60"/>
      <c r="B37" s="58"/>
      <c r="C37" s="6"/>
      <c r="D37" s="6"/>
      <c r="E37" s="5" t="s">
        <v>8</v>
      </c>
      <c r="F37" s="26">
        <f ca="1">IF(SUM(OFFSET(Таблица6[[#Headers],[1]],1,0):OFFSET(F37, -1, 0))=0,"",SUM(OFFSET(Таблица6[[#Headers],[1]],1,0):OFFSET(F37, -1, 0))/OFFSET($D37, -1, 0))</f>
        <v>7.8</v>
      </c>
      <c r="G37" s="26">
        <f ca="1">IF(SUM(OFFSET(Таблица6[[#Headers],[2]],1,0):OFFSET(G37, -1, 0))=0,"",SUM(OFFSET(Таблица6[[#Headers],[2]],1,0):OFFSET(G37, -1, 0))/OFFSET($D37, -1, 0))</f>
        <v>8.16</v>
      </c>
      <c r="H37" s="26">
        <f ca="1">IF(SUM(OFFSET(Таблица6[[#Headers],[3]],1,0):OFFSET(H37, -1, 0))=0,"",SUM(OFFSET(Таблица6[[#Headers],[3]],1,0):OFFSET(H37, -1, 0))/OFFSET($D37, -1, 0))</f>
        <v>8.1999999999999993</v>
      </c>
      <c r="I37" s="26">
        <f ca="1">IF(SUM(OFFSET(Таблица6[[#Headers],[4]],1,0):OFFSET(I37, -1, 0))=0,"",SUM(OFFSET(Таблица6[[#Headers],[4]],1,0):OFFSET(I37, -1, 0))/OFFSET($D37, -1, 0))</f>
        <v>8.4</v>
      </c>
      <c r="J37" s="26">
        <f ca="1">IF(SUM(OFFSET(Таблица6[[#Headers],[5]],1,0):OFFSET(J37, -1, 0))=0,"",SUM(OFFSET(Таблица6[[#Headers],[5]],1,0):OFFSET(J37, -1, 0))/OFFSET($D37, -1, 0))</f>
        <v>5.72</v>
      </c>
      <c r="K37" s="26">
        <f ca="1">IF(SUM(OFFSET(Таблица6[[#Headers],[6]],1,0):OFFSET(K37, -1, 0))=0,"",SUM(OFFSET(Таблица6[[#Headers],[6]],1,0):OFFSET(K37, -1, 0))/OFFSET($D37, -1, 0))</f>
        <v>8.08</v>
      </c>
      <c r="L37" s="26">
        <f ca="1">IF(SUM(OFFSET(Таблица6[[#Headers],[7]],1,0):OFFSET(L37, -1, 0))=0,"",SUM(OFFSET(Таблица6[[#Headers],[7]],1,0):OFFSET(L37, -1, 0))/OFFSET($D37, -1, 0))</f>
        <v>7.44</v>
      </c>
      <c r="M37" s="26">
        <f ca="1">IF(SUM(OFFSET(Таблица6[[#Headers],[8]],1,0):OFFSET(M37, -1, 0))=0,"",SUM(OFFSET(Таблица6[[#Headers],[8]],1,0):OFFSET(M37, -1, 0))/OFFSET($D37, -1, 0))</f>
        <v>6.64</v>
      </c>
      <c r="N37" s="26">
        <f ca="1">IF(SUM(OFFSET(Таблица6[[#Headers],[9]],1,0):OFFSET(N37, -1, 0))=0,"",SUM(OFFSET(Таблица6[[#Headers],[9]],1,0):OFFSET(N37, -1, 0))/OFFSET($D37, -1, 0))</f>
        <v>5.92</v>
      </c>
      <c r="O37" s="26">
        <f ca="1">IF(SUM(OFFSET(Таблица6[[#Headers],[10]],1,0):OFFSET(O37, -1, 0))=0,"",SUM(OFFSET(Таблица6[[#Headers],[10]],1,0):OFFSET(O37, -1, 0))/OFFSET($D37, -1, 0))</f>
        <v>5.76</v>
      </c>
      <c r="P37" s="26">
        <f ca="1">IF(SUM(OFFSET(Таблица6[[#Headers],[11]],1,0):OFFSET(P37, -1, 0))=0,"",SUM(OFFSET(Таблица6[[#Headers],[11]],1,0):OFFSET(P37, -1, 0))/OFFSET($D37, -1, 0))</f>
        <v>5.72</v>
      </c>
      <c r="Q37" s="26">
        <f ca="1">IF(SUM(OFFSET(Таблица6[[#Headers],[12]],1,0):OFFSET(Q37, -1, 0))=0,"",SUM(OFFSET(Таблица6[[#Headers],[12]],1,0):OFFSET(Q37, -1, 0))/OFFSET($D37, -1, 0))</f>
        <v>5.52</v>
      </c>
      <c r="R37" s="26">
        <f ca="1">IF(SUM(OFFSET(Таблица6[[#Headers],[13]],1,0):OFFSET(R37, -1, 0))=0,"",SUM(OFFSET(Таблица6[[#Headers],[13]],1,0):OFFSET(R37, -1, 0))/OFFSET($D37, -1, 0))</f>
        <v>7.68</v>
      </c>
      <c r="S37" s="26">
        <f ca="1">IF(SUM(OFFSET(Таблица6[[#Headers],[14]],1,0):OFFSET(S37, -1, 0))=0,"",SUM(OFFSET(Таблица6[[#Headers],[14]],1,0):OFFSET(S37, -1, 0))/OFFSET($D37, -1, 0))</f>
        <v>6.2</v>
      </c>
      <c r="T37" s="18">
        <f ca="1">IFERROR(AVERAGE(F37:S37),"")</f>
        <v>6.9457142857142857</v>
      </c>
      <c r="U37" s="23">
        <f ca="1">COUNTIF(OFFSET(Таблица6[[#Headers],["Б" и "-"]],1,0):OFFSET(U37,-1,0),"-")</f>
        <v>5</v>
      </c>
      <c r="V37" s="58"/>
      <c r="W37" s="12"/>
    </row>
    <row r="38" spans="1:23" ht="15" customHeight="1" x14ac:dyDescent="0.25">
      <c r="A38" s="60"/>
      <c r="B38" s="58"/>
      <c r="C38" s="6"/>
      <c r="D38" s="6"/>
      <c r="E38" s="5" t="s">
        <v>9</v>
      </c>
      <c r="F38" s="27">
        <f ca="1">IF(SUM(OFFSET(Таблица6[[#Headers],[1]],1,0):OFFSET(F37, -1, 0))=0,"",IF(COUNTIF(OFFSET(Таблица6[[#Headers],[1]],1,0):OFFSET(F37, -1, 0),"&gt;=4")=0,0,COUNTIF(OFFSET(Таблица6[[#Headers],[1]],1,0):OFFSET(F37, -1, 0),"&gt;=4")/OFFSET($D37, -1, 0)*100))</f>
        <v>100</v>
      </c>
      <c r="G38" s="27">
        <f ca="1">IF(SUM(OFFSET(Таблица6[[#Headers],[2]],1,0):OFFSET(G37, -1, 0))=0,"",IF(COUNTIF(OFFSET(Таблица6[[#Headers],[2]],1,0):OFFSET(G37, -1, 0),"&gt;=4")=0,0,COUNTIF(OFFSET(Таблица6[[#Headers],[2]],1,0):OFFSET(G37, -1, 0),"&gt;=4")/OFFSET($D37, -1, 0)*100))</f>
        <v>100</v>
      </c>
      <c r="H38" s="27">
        <f ca="1">IF(SUM(OFFSET(Таблица6[[#Headers],[3]],1,0):OFFSET(H37, -1, 0))=0,"",IF(COUNTIF(OFFSET(Таблица6[[#Headers],[3]],1,0):OFFSET(H37, -1, 0),"&gt;=4")=0,0,COUNTIF(OFFSET(Таблица6[[#Headers],[3]],1,0):OFFSET(H37, -1, 0),"&gt;=4")/OFFSET($D37, -1, 0)*100))</f>
        <v>100</v>
      </c>
      <c r="I38" s="27">
        <f ca="1">IF(SUM(OFFSET(Таблица6[[#Headers],[4]],1,0):OFFSET(I37, -1, 0))=0,"",IF(COUNTIF(OFFSET(Таблица6[[#Headers],[4]],1,0):OFFSET(I37, -1, 0),"&gt;=4")=0,0,COUNTIF(OFFSET(Таблица6[[#Headers],[4]],1,0):OFFSET(I37, -1, 0),"&gt;=4")/OFFSET($D37, -1, 0)*100))</f>
        <v>100</v>
      </c>
      <c r="J38" s="27">
        <f ca="1">IF(SUM(OFFSET(Таблица6[[#Headers],[5]],1,0):OFFSET(J37, -1, 0))=0,"",IF(COUNTIF(OFFSET(Таблица6[[#Headers],[5]],1,0):OFFSET(J37, -1, 0),"&gt;=4")=0,0,COUNTIF(OFFSET(Таблица6[[#Headers],[5]],1,0):OFFSET(J37, -1, 0),"&gt;=4")/OFFSET($D37, -1, 0)*100))</f>
        <v>84</v>
      </c>
      <c r="K38" s="27">
        <f ca="1">IF(SUM(OFFSET(Таблица6[[#Headers],[6]],1,0):OFFSET(K37, -1, 0))=0,"",IF(COUNTIF(OFFSET(Таблица6[[#Headers],[6]],1,0):OFFSET(K37, -1, 0),"&gt;=4")=0,0,COUNTIF(OFFSET(Таблица6[[#Headers],[6]],1,0):OFFSET(K37, -1, 0),"&gt;=4")/OFFSET($D37, -1, 0)*100))</f>
        <v>100</v>
      </c>
      <c r="L38" s="27">
        <f ca="1">IF(SUM(OFFSET(Таблица6[[#Headers],[7]],1,0):OFFSET(L37, -1, 0))=0,"",IF(COUNTIF(OFFSET(Таблица6[[#Headers],[7]],1,0):OFFSET(L37, -1, 0),"&gt;=4")=0,0,COUNTIF(OFFSET(Таблица6[[#Headers],[7]],1,0):OFFSET(L37, -1, 0),"&gt;=4")/OFFSET($D37, -1, 0)*100))</f>
        <v>100</v>
      </c>
      <c r="M38" s="27">
        <f ca="1">IF(SUM(OFFSET(Таблица6[[#Headers],[8]],1,0):OFFSET(M37, -1, 0))=0,"",IF(COUNTIF(OFFSET(Таблица6[[#Headers],[8]],1,0):OFFSET(M37, -1, 0),"&gt;=4")=0,0,COUNTIF(OFFSET(Таблица6[[#Headers],[8]],1,0):OFFSET(M37, -1, 0),"&gt;=4")/OFFSET($D37, -1, 0)*100))</f>
        <v>92</v>
      </c>
      <c r="N38" s="27">
        <f ca="1">IF(SUM(OFFSET(Таблица6[[#Headers],[9]],1,0):OFFSET(N37, -1, 0))=0,"",IF(COUNTIF(OFFSET(Таблица6[[#Headers],[9]],1,0):OFFSET(N37, -1, 0),"&gt;=4")=0,0,COUNTIF(OFFSET(Таблица6[[#Headers],[9]],1,0):OFFSET(N37, -1, 0),"&gt;=4")/OFFSET($D37, -1, 0)*100))</f>
        <v>96</v>
      </c>
      <c r="O38" s="27">
        <f ca="1">IF(SUM(OFFSET(Таблица6[[#Headers],[10]],1,0):OFFSET(O37, -1, 0))=0,"",IF(COUNTIF(OFFSET(Таблица6[[#Headers],[10]],1,0):OFFSET(O37, -1, 0),"&gt;=4")=0,0,COUNTIF(OFFSET(Таблица6[[#Headers],[10]],1,0):OFFSET(O37, -1, 0),"&gt;=4")/OFFSET($D37, -1, 0)*100))</f>
        <v>100</v>
      </c>
      <c r="P38" s="27">
        <f ca="1">IF(SUM(OFFSET(Таблица6[[#Headers],[11]],1,0):OFFSET(P37, -1, 0))=0,"",IF(COUNTIF(OFFSET(Таблица6[[#Headers],[11]],1,0):OFFSET(P37, -1, 0),"&gt;=4")=0,0,COUNTIF(OFFSET(Таблица6[[#Headers],[11]],1,0):OFFSET(P37, -1, 0),"&gt;=4")/OFFSET($D37, -1, 0)*100))</f>
        <v>100</v>
      </c>
      <c r="Q38" s="27">
        <f ca="1">IF(SUM(OFFSET(Таблица6[[#Headers],[12]],1,0):OFFSET(Q37, -1, 0))=0,"",IF(COUNTIF(OFFSET(Таблица6[[#Headers],[12]],1,0):OFFSET(Q37, -1, 0),"&gt;=4")=0,0,COUNTIF(OFFSET(Таблица6[[#Headers],[12]],1,0):OFFSET(Q37, -1, 0),"&gt;=4")/OFFSET($D37, -1, 0)*100))</f>
        <v>84</v>
      </c>
      <c r="R38" s="27">
        <f ca="1">IF(SUM(OFFSET(Таблица6[[#Headers],[13]],1,0):OFFSET(R37, -1, 0))=0,"",IF(COUNTIF(OFFSET(Таблица6[[#Headers],[13]],1,0):OFFSET(R37, -1, 0),"&gt;=4")=0,0,COUNTIF(OFFSET(Таблица6[[#Headers],[13]],1,0):OFFSET(R37, -1, 0),"&gt;=4")/OFFSET($D37, -1, 0)*100))</f>
        <v>100</v>
      </c>
      <c r="S38" s="27">
        <f ca="1">IF(SUM(OFFSET(Таблица6[[#Headers],[14]],1,0):OFFSET(S37, -1, 0))=0,"",IF(COUNTIF(OFFSET(Таблица6[[#Headers],[14]],1,0):OFFSET(S37, -1, 0),"&gt;=4")=0,0,COUNTIF(OFFSET(Таблица6[[#Headers],[14]],1,0):OFFSET(S37, -1, 0),"&gt;=4")/OFFSET($D37, -1, 0)*100))</f>
        <v>96</v>
      </c>
      <c r="T38" s="7"/>
      <c r="U38" s="7"/>
      <c r="V38" s="58"/>
      <c r="W38" s="12"/>
    </row>
    <row r="39" spans="1:23" ht="15" customHeight="1" x14ac:dyDescent="0.25">
      <c r="A39" s="60"/>
      <c r="B39" s="58"/>
      <c r="C39" s="6"/>
      <c r="D39" s="6"/>
      <c r="E39" s="5" t="s">
        <v>10</v>
      </c>
      <c r="F39" s="27">
        <f ca="1">IF(SUM(OFFSET(Таблица6[[#Headers],[1]],1,0):OFFSET(F37, -1, 0))=0,"",IF(COUNTIF(OFFSET(Таблица6[[#Headers],[1]],1,0):OFFSET(F37, -1, 0),"&gt;=7")=0,0,COUNTIF(OFFSET(Таблица6[[#Headers],[1]],1,0):OFFSET(F37, -1, 0),"&gt;=7")/OFFSET($D37, -1, 0)*100))</f>
        <v>68</v>
      </c>
      <c r="G39" s="27">
        <f ca="1">IF(SUM(OFFSET(Таблица6[[#Headers],[2]],1,0):OFFSET(G37, -1, 0))=0,"",IF(COUNTIF(OFFSET(Таблица6[[#Headers],[2]],1,0):OFFSET(G37, -1, 0),"&gt;=7")=0,0,COUNTIF(OFFSET(Таблица6[[#Headers],[2]],1,0):OFFSET(G37, -1, 0),"&gt;=7")/OFFSET($D37, -1, 0)*100))</f>
        <v>84</v>
      </c>
      <c r="H39" s="27">
        <f ca="1">IF(SUM(OFFSET(Таблица6[[#Headers],[3]],1,0):OFFSET(H37, -1, 0))=0,"",IF(COUNTIF(OFFSET(Таблица6[[#Headers],[3]],1,0):OFFSET(H37, -1, 0),"&gt;=7")=0,0,COUNTIF(OFFSET(Таблица6[[#Headers],[3]],1,0):OFFSET(H37, -1, 0),"&gt;=7")/OFFSET($D37, -1, 0)*100))</f>
        <v>84</v>
      </c>
      <c r="I39" s="27">
        <f ca="1">IF(SUM(OFFSET(Таблица6[[#Headers],[4]],1,0):OFFSET(I37, -1, 0))=0,"",IF(COUNTIF(OFFSET(Таблица6[[#Headers],[4]],1,0):OFFSET(I37, -1, 0),"&gt;=7")=0,0,COUNTIF(OFFSET(Таблица6[[#Headers],[4]],1,0):OFFSET(I37, -1, 0),"&gt;=7")/OFFSET($D37, -1, 0)*100))</f>
        <v>76</v>
      </c>
      <c r="J39" s="27">
        <f ca="1">IF(SUM(OFFSET(Таблица6[[#Headers],[5]],1,0):OFFSET(J37, -1, 0))=0,"",IF(COUNTIF(OFFSET(Таблица6[[#Headers],[5]],1,0):OFFSET(J37, -1, 0),"&gt;=7")=0,0,COUNTIF(OFFSET(Таблица6[[#Headers],[5]],1,0):OFFSET(J37, -1, 0),"&gt;=7")/OFFSET($D37, -1, 0)*100))</f>
        <v>48</v>
      </c>
      <c r="K39" s="27">
        <f ca="1">IF(SUM(OFFSET(Таблица6[[#Headers],[6]],1,0):OFFSET(K37, -1, 0))=0,"",IF(COUNTIF(OFFSET(Таблица6[[#Headers],[6]],1,0):OFFSET(K37, -1, 0),"&gt;=7")=0,0,COUNTIF(OFFSET(Таблица6[[#Headers],[6]],1,0):OFFSET(K37, -1, 0),"&gt;=7")/OFFSET($D37, -1, 0)*100))</f>
        <v>76</v>
      </c>
      <c r="L39" s="27">
        <f ca="1">IF(SUM(OFFSET(Таблица6[[#Headers],[7]],1,0):OFFSET(L37, -1, 0))=0,"",IF(COUNTIF(OFFSET(Таблица6[[#Headers],[7]],1,0):OFFSET(L37, -1, 0),"&gt;=7")=0,0,COUNTIF(OFFSET(Таблица6[[#Headers],[7]],1,0):OFFSET(L37, -1, 0),"&gt;=7")/OFFSET($D37, -1, 0)*100))</f>
        <v>72</v>
      </c>
      <c r="M39" s="27">
        <f ca="1">IF(SUM(OFFSET(Таблица6[[#Headers],[8]],1,0):OFFSET(M37, -1, 0))=0,"",IF(COUNTIF(OFFSET(Таблица6[[#Headers],[8]],1,0):OFFSET(M37, -1, 0),"&gt;=7")=0,0,COUNTIF(OFFSET(Таблица6[[#Headers],[8]],1,0):OFFSET(M37, -1, 0),"&gt;=7")/OFFSET($D37, -1, 0)*100))</f>
        <v>60</v>
      </c>
      <c r="N39" s="27">
        <f ca="1">IF(SUM(OFFSET(Таблица6[[#Headers],[9]],1,0):OFFSET(N37, -1, 0))=0,"",IF(COUNTIF(OFFSET(Таблица6[[#Headers],[9]],1,0):OFFSET(N37, -1, 0),"&gt;=7")=0,0,COUNTIF(OFFSET(Таблица6[[#Headers],[9]],1,0):OFFSET(N37, -1, 0),"&gt;=7")/OFFSET($D37, -1, 0)*100))</f>
        <v>48</v>
      </c>
      <c r="O39" s="27">
        <f ca="1">IF(SUM(OFFSET(Таблица6[[#Headers],[10]],1,0):OFFSET(O37, -1, 0))=0,"",IF(COUNTIF(OFFSET(Таблица6[[#Headers],[10]],1,0):OFFSET(O37, -1, 0),"&gt;=7")=0,0,COUNTIF(OFFSET(Таблица6[[#Headers],[10]],1,0):OFFSET(O37, -1, 0),"&gt;=7")/OFFSET($D37, -1, 0)*100))</f>
        <v>36</v>
      </c>
      <c r="P39" s="27">
        <f ca="1">IF(SUM(OFFSET(Таблица6[[#Headers],[11]],1,0):OFFSET(P37, -1, 0))=0,"",IF(COUNTIF(OFFSET(Таблица6[[#Headers],[11]],1,0):OFFSET(P37, -1, 0),"&gt;=7")=0,0,COUNTIF(OFFSET(Таблица6[[#Headers],[11]],1,0):OFFSET(P37, -1, 0),"&gt;=7")/OFFSET($D37, -1, 0)*100))</f>
        <v>36</v>
      </c>
      <c r="Q39" s="27">
        <f ca="1">IF(SUM(OFFSET(Таблица6[[#Headers],[12]],1,0):OFFSET(Q37, -1, 0))=0,"",IF(COUNTIF(OFFSET(Таблица6[[#Headers],[12]],1,0):OFFSET(Q37, -1, 0),"&gt;=7")=0,0,COUNTIF(OFFSET(Таблица6[[#Headers],[12]],1,0):OFFSET(Q37, -1, 0),"&gt;=7")/OFFSET($D37, -1, 0)*100))</f>
        <v>40</v>
      </c>
      <c r="R39" s="27">
        <f ca="1">IF(SUM(OFFSET(Таблица6[[#Headers],[13]],1,0):OFFSET(R37, -1, 0))=0,"",IF(COUNTIF(OFFSET(Таблица6[[#Headers],[13]],1,0):OFFSET(R37, -1, 0),"&gt;=7")=0,0,COUNTIF(OFFSET(Таблица6[[#Headers],[13]],1,0):OFFSET(R37, -1, 0),"&gt;=7")/OFFSET($D37, -1, 0)*100))</f>
        <v>72</v>
      </c>
      <c r="S39" s="27">
        <f ca="1">IF(SUM(OFFSET(Таблица6[[#Headers],[14]],1,0):OFFSET(S37, -1, 0))=0,"",IF(COUNTIF(OFFSET(Таблица6[[#Headers],[14]],1,0):OFFSET(S37, -1, 0),"&gt;=7")=0,0,COUNTIF(OFFSET(Таблица6[[#Headers],[14]],1,0):OFFSET(S37, -1, 0),"&gt;=7")/OFFSET($D37, -1, 0)*100))</f>
        <v>36</v>
      </c>
      <c r="T39" s="6"/>
      <c r="U39" s="6"/>
      <c r="V39" s="58"/>
      <c r="W39" s="12"/>
    </row>
    <row r="40" spans="1:23" ht="15" customHeight="1" x14ac:dyDescent="0.25">
      <c r="A40" s="60"/>
      <c r="B40" s="58"/>
      <c r="C40" s="6"/>
      <c r="D40" s="6"/>
      <c r="E40" s="5" t="s">
        <v>11</v>
      </c>
      <c r="F40" s="26">
        <f ca="1">IF(COUNT(F38:S38)&lt;14,"",AVERAGE(F38:S38))</f>
        <v>96.571428571428569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8"/>
      <c r="W40" s="12"/>
    </row>
    <row r="41" spans="1:23" ht="15" customHeight="1" x14ac:dyDescent="0.25">
      <c r="A41" s="60"/>
      <c r="B41" s="58"/>
      <c r="C41" s="6"/>
      <c r="D41" s="6"/>
      <c r="E41" s="5" t="s">
        <v>12</v>
      </c>
      <c r="F41" s="26">
        <f ca="1">IF(COUNT(F39:S39)&lt;14,"",AVERAGE(F39:S39))</f>
        <v>59.714285714285715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58"/>
      <c r="W41" s="12"/>
    </row>
    <row r="42" spans="1:23" ht="15" customHeight="1" x14ac:dyDescent="0.25">
      <c r="A42" s="60"/>
      <c r="B42" s="58"/>
      <c r="C42" s="6"/>
      <c r="D42" s="6"/>
      <c r="E42" s="5" t="s">
        <v>13</v>
      </c>
      <c r="F42" s="11">
        <f ca="1">IF(COUNTIF(OFFSET(Таблица6[[#Headers],[''Б/К]],1,0):OFFSET($C37, -1, 0),"=Б")=0,IF(COUNTIF(OFFSET(Таблица6[[#Headers],[''Б/К]],1,0):OFFSET($C37, -1, 0),"=К")=0,"",0),COUNTIF(OFFSET(Таблица6[[#Headers],[''Б/К]],1,0):OFFSET($C37, -1, 0),"=Б"))</f>
        <v>21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8"/>
      <c r="W42" s="12"/>
    </row>
    <row r="43" spans="1:23" ht="15" customHeight="1" x14ac:dyDescent="0.25">
      <c r="A43" s="60"/>
      <c r="B43" s="58"/>
      <c r="C43" s="6"/>
      <c r="D43" s="6"/>
      <c r="E43" s="5" t="s">
        <v>14</v>
      </c>
      <c r="F43" s="11">
        <f ca="1">IF(COUNTIF(OFFSET(Таблица6[[#Headers],[''Б/К]],1,0):OFFSET($C37, -1, 0),"=К")=0,IF(COUNTIF(OFFSET(Таблица6[[#Headers],[''Б/К]],1,0):OFFSET($C37, -1, 0),"=Б")=0,"",0),COUNTIF(OFFSET(Таблица6[[#Headers],[''Б/К]],1,0):OFFSET($C37, -1, 0),"=К"))</f>
        <v>4</v>
      </c>
      <c r="G43" s="33"/>
      <c r="H43" s="40" t="s">
        <v>15</v>
      </c>
      <c r="I43" s="41"/>
      <c r="J43" s="41"/>
      <c r="K43" s="41"/>
      <c r="L43" s="41"/>
      <c r="M43" s="41"/>
      <c r="N43" s="40"/>
      <c r="O43" s="42" t="s">
        <v>82</v>
      </c>
      <c r="P43" s="24"/>
      <c r="Q43" s="25"/>
      <c r="R43" s="24"/>
      <c r="S43" s="6"/>
      <c r="T43" s="6"/>
      <c r="U43" s="6"/>
      <c r="V43" s="58"/>
      <c r="W43" s="12"/>
    </row>
    <row r="44" spans="1:23" ht="15" customHeight="1" x14ac:dyDescent="0.25">
      <c r="A44" s="60"/>
      <c r="B44" s="58"/>
      <c r="C44" s="6"/>
      <c r="D44" s="6"/>
      <c r="E44" s="5" t="s">
        <v>16</v>
      </c>
      <c r="F44" s="28">
        <v>3</v>
      </c>
      <c r="G44" s="33"/>
      <c r="H44" s="35"/>
      <c r="I44" s="35"/>
      <c r="J44" s="35"/>
      <c r="K44" s="35"/>
      <c r="L44" s="35"/>
      <c r="M44" s="35"/>
      <c r="N44" s="35"/>
      <c r="O44" s="35"/>
      <c r="P44" s="6"/>
      <c r="Q44" s="6"/>
      <c r="R44" s="6"/>
      <c r="S44" s="6"/>
      <c r="T44" s="6"/>
      <c r="U44" s="6"/>
      <c r="V44" s="58"/>
      <c r="W44" s="12"/>
    </row>
    <row r="45" spans="1:23" ht="15" customHeight="1" x14ac:dyDescent="0.25">
      <c r="A45" s="60"/>
      <c r="B45" s="58"/>
      <c r="C45" s="6"/>
      <c r="D45" s="6"/>
      <c r="E45" s="5" t="s">
        <v>17</v>
      </c>
      <c r="F45" s="11">
        <f ca="1">IF(F42="","",IF(ROUNDDOWN(F42/100*40,0)&lt;F42-U37,ROUNDDOWN(F42/100*40,0),F42-U37))</f>
        <v>8</v>
      </c>
      <c r="G45" s="33"/>
      <c r="H45" s="42" t="s">
        <v>83</v>
      </c>
      <c r="I45" s="41"/>
      <c r="J45" s="41"/>
      <c r="K45" s="41"/>
      <c r="L45" s="41"/>
      <c r="M45" s="41"/>
      <c r="N45" s="40"/>
      <c r="O45" s="42" t="s">
        <v>18</v>
      </c>
      <c r="P45" s="25"/>
      <c r="Q45" s="25"/>
      <c r="R45" s="25"/>
      <c r="S45" s="6"/>
      <c r="T45" s="6"/>
      <c r="U45" s="6"/>
      <c r="V45" s="58"/>
      <c r="W45" s="12"/>
    </row>
    <row r="46" spans="1:23" ht="12" customHeight="1" thickBot="1" x14ac:dyDescent="0.3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12"/>
    </row>
    <row r="47" spans="1:23" ht="12" customHeight="1" x14ac:dyDescent="0.25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</row>
  </sheetData>
  <sheetProtection formatCells="0" insertColumns="0" insertRows="0" deleteColumns="0" deleteRows="0" sort="0"/>
  <mergeCells count="17">
    <mergeCell ref="B46:V46"/>
    <mergeCell ref="B47:V47"/>
    <mergeCell ref="V3:V45"/>
    <mergeCell ref="B1:V1"/>
    <mergeCell ref="A2:A46"/>
    <mergeCell ref="B2:V2"/>
    <mergeCell ref="B3:B45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</mergeCells>
  <phoneticPr fontId="8" type="noConversion"/>
  <conditionalFormatting sqref="C31:C33 E31:E33">
    <cfRule type="expression" dxfId="143" priority="5">
      <formula>$V$31&lt;&gt;""</formula>
    </cfRule>
  </conditionalFormatting>
  <conditionalFormatting sqref="C34:C36 E34:E36">
    <cfRule type="expression" dxfId="142" priority="6">
      <formula>$V$34&lt;&gt;""</formula>
    </cfRule>
  </conditionalFormatting>
  <conditionalFormatting sqref="D31:D36 C12:E30">
    <cfRule type="expression" dxfId="141" priority="4">
      <formula>$V$12&lt;&gt;""</formula>
    </cfRule>
  </conditionalFormatting>
  <conditionalFormatting sqref="T12:U36">
    <cfRule type="expression" dxfId="140" priority="39">
      <formula>#REF!&lt;&gt;""</formula>
    </cfRule>
  </conditionalFormatting>
  <conditionalFormatting sqref="F12:S36">
    <cfRule type="expression" dxfId="139" priority="1">
      <formula>$V$12&lt;&gt;""</formula>
    </cfRule>
  </conditionalFormatting>
  <printOptions horizontalCentered="1"/>
  <pageMargins left="0" right="0" top="0" bottom="0" header="0" footer="0"/>
  <pageSetup paperSize="9" scale="7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33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2" width="11.28515625" style="1" hidden="1" customWidth="1"/>
    <col min="23" max="24" width="2.7109375" style="1" customWidth="1"/>
    <col min="25" max="30" width="14.42578125" style="1" hidden="1" customWidth="1"/>
    <col min="31" max="31" width="14.85546875" style="1" hidden="1" customWidth="1"/>
    <col min="32" max="45" width="3.7109375" style="1" hidden="1" customWidth="1"/>
    <col min="46" max="70" width="5.7109375" style="1" hidden="1" customWidth="1"/>
    <col min="71" max="16384" width="14.42578125" style="1" hidden="1"/>
  </cols>
  <sheetData>
    <row r="1" spans="1:24" ht="12" customHeight="1" thickBot="1" x14ac:dyDescent="0.3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4" ht="12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12"/>
    </row>
    <row r="3" spans="1:24" s="2" customFormat="1" ht="35.1" customHeight="1" x14ac:dyDescent="0.3">
      <c r="A3" s="60"/>
      <c r="B3" s="58"/>
      <c r="C3" s="62" t="s">
        <v>22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46"/>
      <c r="W3" s="58"/>
      <c r="X3" s="12"/>
    </row>
    <row r="4" spans="1:24" s="2" customFormat="1" ht="15" customHeight="1" x14ac:dyDescent="0.25">
      <c r="A4" s="60"/>
      <c r="B4" s="58"/>
      <c r="C4" s="58" t="s">
        <v>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45"/>
      <c r="W4" s="58"/>
      <c r="X4" s="12"/>
    </row>
    <row r="5" spans="1:24" s="3" customFormat="1" ht="15" customHeight="1" x14ac:dyDescent="0.25">
      <c r="A5" s="60"/>
      <c r="B5" s="58"/>
      <c r="C5" s="64" t="s">
        <v>103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47"/>
      <c r="W5" s="58"/>
      <c r="X5" s="12"/>
    </row>
    <row r="6" spans="1:24" s="2" customFormat="1" ht="15" customHeight="1" x14ac:dyDescent="0.25">
      <c r="A6" s="60"/>
      <c r="B6" s="58"/>
      <c r="C6" s="65" t="s">
        <v>43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45"/>
      <c r="W6" s="58"/>
      <c r="X6" s="12"/>
    </row>
    <row r="7" spans="1:24" s="2" customFormat="1" ht="15" customHeight="1" x14ac:dyDescent="0.25">
      <c r="A7" s="60"/>
      <c r="B7" s="58"/>
      <c r="C7" s="65" t="s">
        <v>44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45"/>
      <c r="W7" s="58"/>
      <c r="X7" s="12"/>
    </row>
    <row r="8" spans="1:24" s="2" customFormat="1" ht="15" customHeight="1" x14ac:dyDescent="0.25">
      <c r="A8" s="60"/>
      <c r="B8" s="58"/>
      <c r="C8" s="65" t="s">
        <v>45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45"/>
      <c r="W8" s="58"/>
      <c r="X8" s="12"/>
    </row>
    <row r="9" spans="1:24" ht="15" customHeight="1" x14ac:dyDescent="0.25">
      <c r="A9" s="60"/>
      <c r="B9" s="58"/>
      <c r="C9" s="66" t="s">
        <v>1</v>
      </c>
      <c r="D9" s="68" t="s">
        <v>2</v>
      </c>
      <c r="E9" s="68" t="s">
        <v>3</v>
      </c>
      <c r="F9" s="67" t="s">
        <v>21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44"/>
      <c r="W9" s="58"/>
      <c r="X9" s="12"/>
    </row>
    <row r="10" spans="1:24" ht="125.1" customHeight="1" x14ac:dyDescent="0.25">
      <c r="A10" s="60"/>
      <c r="B10" s="58"/>
      <c r="C10" s="67"/>
      <c r="D10" s="67"/>
      <c r="E10" s="67"/>
      <c r="F10" s="39" t="s">
        <v>4</v>
      </c>
      <c r="G10" s="39" t="s">
        <v>99</v>
      </c>
      <c r="H10" s="39" t="s">
        <v>5</v>
      </c>
      <c r="I10" s="39" t="s">
        <v>20</v>
      </c>
      <c r="J10" s="39" t="s">
        <v>28</v>
      </c>
      <c r="K10" s="39" t="s">
        <v>48</v>
      </c>
      <c r="L10" s="39" t="s">
        <v>49</v>
      </c>
      <c r="M10" s="39" t="s">
        <v>6</v>
      </c>
      <c r="N10" s="39" t="s">
        <v>50</v>
      </c>
      <c r="O10" s="39" t="s">
        <v>51</v>
      </c>
      <c r="P10" s="39" t="s">
        <v>52</v>
      </c>
      <c r="Q10" s="39" t="s">
        <v>27</v>
      </c>
      <c r="R10" s="39" t="s">
        <v>53</v>
      </c>
      <c r="S10" s="39" t="s">
        <v>54</v>
      </c>
      <c r="T10" s="4" t="s">
        <v>7</v>
      </c>
      <c r="U10" s="4" t="s">
        <v>102</v>
      </c>
      <c r="V10" s="19"/>
      <c r="W10" s="58"/>
      <c r="X10" s="12"/>
    </row>
    <row r="11" spans="1:24" ht="50.1" hidden="1" customHeight="1" x14ac:dyDescent="0.25">
      <c r="A11" s="60"/>
      <c r="B11" s="58"/>
      <c r="C11" s="14" t="s">
        <v>24</v>
      </c>
      <c r="D11" s="13" t="s">
        <v>25</v>
      </c>
      <c r="E11" s="15" t="s">
        <v>3</v>
      </c>
      <c r="F11" s="16" t="s">
        <v>29</v>
      </c>
      <c r="G11" s="16" t="s">
        <v>30</v>
      </c>
      <c r="H11" s="16" t="s">
        <v>31</v>
      </c>
      <c r="I11" s="16" t="s">
        <v>33</v>
      </c>
      <c r="J11" s="16" t="s">
        <v>32</v>
      </c>
      <c r="K11" s="16" t="s">
        <v>34</v>
      </c>
      <c r="L11" s="16" t="s">
        <v>35</v>
      </c>
      <c r="M11" s="16" t="s">
        <v>36</v>
      </c>
      <c r="N11" s="16" t="s">
        <v>37</v>
      </c>
      <c r="O11" s="16" t="s">
        <v>38</v>
      </c>
      <c r="P11" s="16" t="s">
        <v>39</v>
      </c>
      <c r="Q11" s="16" t="s">
        <v>40</v>
      </c>
      <c r="R11" s="16" t="s">
        <v>41</v>
      </c>
      <c r="S11" s="16" t="s">
        <v>42</v>
      </c>
      <c r="T11" s="17" t="s">
        <v>23</v>
      </c>
      <c r="U11" s="17" t="s">
        <v>101</v>
      </c>
      <c r="V11" s="20" t="s">
        <v>26</v>
      </c>
      <c r="W11" s="58"/>
      <c r="X11" s="12"/>
    </row>
    <row r="12" spans="1:24" ht="15" customHeight="1" x14ac:dyDescent="0.25">
      <c r="A12" s="60"/>
      <c r="B12" s="58"/>
      <c r="C12" s="51" t="s">
        <v>80</v>
      </c>
      <c r="D12" s="52">
        <f t="shared" ref="D12:D27" ca="1" si="0">OFFSET(D12,-1,0)+1</f>
        <v>1</v>
      </c>
      <c r="E12" s="53" t="s">
        <v>70</v>
      </c>
      <c r="F12" s="54">
        <v>10</v>
      </c>
      <c r="G12" s="54">
        <v>11</v>
      </c>
      <c r="H12" s="54">
        <v>10</v>
      </c>
      <c r="I12" s="54">
        <v>11</v>
      </c>
      <c r="J12" s="54">
        <v>10</v>
      </c>
      <c r="K12" s="54">
        <v>11</v>
      </c>
      <c r="L12" s="54">
        <v>11</v>
      </c>
      <c r="M12" s="54">
        <v>10</v>
      </c>
      <c r="N12" s="54">
        <v>10</v>
      </c>
      <c r="O12" s="54">
        <v>11</v>
      </c>
      <c r="P12" s="54">
        <v>10</v>
      </c>
      <c r="Q12" s="54">
        <v>10</v>
      </c>
      <c r="R12" s="54">
        <v>10</v>
      </c>
      <c r="S12" s="54">
        <v>9</v>
      </c>
      <c r="T12" s="55">
        <f ca="1">IF(COUNTIF(OFFSET(Таблица64[[#This Row],[Прізвище, ім’я, по батькові]],0,1):OFFSET(T12,0,-1),"=*")&gt;0,"-",IF(COUNTIF(OFFSET(Таблица64[[#This Row],[Прізвище, ім’я, по батькові]],0,1):OFFSET(T12,0,-1),"&lt;4")&gt;0,"-",(IFERROR(AVERAGE(OFFSET(Таблица64[[#This Row],[Прізвище, ім’я, по батькові]],0,1):OFFSET(T12,0,-1)),""))))</f>
        <v>10.285714285714286</v>
      </c>
      <c r="U12" s="55">
        <f ca="1">Таблица64[[#This Row],[Столбец18]]/12*90</f>
        <v>77.142857142857153</v>
      </c>
      <c r="V12" s="21" t="str">
        <f ca="1">IF(Таблица64[[#This Row],[''Б/К]]="Б",IF(Таблица64[[#This Row],[Столбец182]]="-","-",""),"")</f>
        <v/>
      </c>
      <c r="W12" s="58"/>
      <c r="X12" s="12"/>
    </row>
    <row r="13" spans="1:24" ht="15" customHeight="1" x14ac:dyDescent="0.25">
      <c r="A13" s="60"/>
      <c r="B13" s="58"/>
      <c r="C13" s="51" t="s">
        <v>80</v>
      </c>
      <c r="D13" s="52">
        <f t="shared" ca="1" si="0"/>
        <v>2</v>
      </c>
      <c r="E13" s="53" t="s">
        <v>56</v>
      </c>
      <c r="F13" s="54">
        <v>10</v>
      </c>
      <c r="G13" s="54">
        <v>11</v>
      </c>
      <c r="H13" s="54">
        <v>10</v>
      </c>
      <c r="I13" s="54">
        <v>10</v>
      </c>
      <c r="J13" s="54">
        <v>10</v>
      </c>
      <c r="K13" s="54">
        <v>10</v>
      </c>
      <c r="L13" s="54">
        <v>10</v>
      </c>
      <c r="M13" s="54">
        <v>10</v>
      </c>
      <c r="N13" s="54">
        <v>9</v>
      </c>
      <c r="O13" s="54">
        <v>10</v>
      </c>
      <c r="P13" s="54">
        <v>10</v>
      </c>
      <c r="Q13" s="54">
        <v>10</v>
      </c>
      <c r="R13" s="54">
        <v>10</v>
      </c>
      <c r="S13" s="54">
        <v>10</v>
      </c>
      <c r="T13" s="55">
        <f ca="1">IF(COUNTIF(OFFSET(Таблица64[[#This Row],[Прізвище, ім’я, по батькові]],0,1):OFFSET(T13,0,-1),"=*")&gt;0,"-",IF(COUNTIF(OFFSET(Таблица64[[#This Row],[Прізвище, ім’я, по батькові]],0,1):OFFSET(T13,0,-1),"&lt;4")&gt;0,"-",(IFERROR(AVERAGE(OFFSET(Таблица64[[#This Row],[Прізвище, ім’я, по батькові]],0,1):OFFSET(T13,0,-1)),""))))</f>
        <v>10</v>
      </c>
      <c r="U13" s="55">
        <f ca="1">Таблица64[[#This Row],[Столбец18]]/12*90</f>
        <v>75</v>
      </c>
      <c r="V13" s="21" t="str">
        <f ca="1">IF(Таблица64[[#This Row],[''Б/К]]="Б",IF(Таблица64[[#This Row],[Столбец182]]="-","-",""),"")</f>
        <v/>
      </c>
      <c r="W13" s="58"/>
      <c r="X13" s="12"/>
    </row>
    <row r="14" spans="1:24" ht="15" customHeight="1" x14ac:dyDescent="0.25">
      <c r="A14" s="60"/>
      <c r="B14" s="58"/>
      <c r="C14" s="51" t="s">
        <v>80</v>
      </c>
      <c r="D14" s="52">
        <f t="shared" ca="1" si="0"/>
        <v>3</v>
      </c>
      <c r="E14" s="53" t="s">
        <v>75</v>
      </c>
      <c r="F14" s="54">
        <v>10</v>
      </c>
      <c r="G14" s="54">
        <v>10</v>
      </c>
      <c r="H14" s="54">
        <v>10</v>
      </c>
      <c r="I14" s="54">
        <v>11</v>
      </c>
      <c r="J14" s="54">
        <v>10</v>
      </c>
      <c r="K14" s="54">
        <v>10</v>
      </c>
      <c r="L14" s="54">
        <v>10</v>
      </c>
      <c r="M14" s="54">
        <v>9</v>
      </c>
      <c r="N14" s="54">
        <v>8</v>
      </c>
      <c r="O14" s="54">
        <v>10</v>
      </c>
      <c r="P14" s="54">
        <v>8</v>
      </c>
      <c r="Q14" s="54">
        <v>8</v>
      </c>
      <c r="R14" s="54">
        <v>10</v>
      </c>
      <c r="S14" s="54">
        <v>8</v>
      </c>
      <c r="T14" s="55">
        <f ca="1">IF(COUNTIF(OFFSET(Таблица64[[#This Row],[Прізвище, ім’я, по батькові]],0,1):OFFSET(T14,0,-1),"=*")&gt;0,"-",IF(COUNTIF(OFFSET(Таблица64[[#This Row],[Прізвище, ім’я, по батькові]],0,1):OFFSET(T14,0,-1),"&lt;4")&gt;0,"-",(IFERROR(AVERAGE(OFFSET(Таблица64[[#This Row],[Прізвище, ім’я, по батькові]],0,1):OFFSET(T14,0,-1)),""))))</f>
        <v>9.4285714285714288</v>
      </c>
      <c r="U14" s="55">
        <f ca="1">Таблица64[[#This Row],[Столбец18]]/12*90</f>
        <v>70.714285714285708</v>
      </c>
      <c r="V14" s="21" t="str">
        <f ca="1">IF(Таблица64[[#This Row],[''Б/К]]="Б",IF(Таблица64[[#This Row],[Столбец182]]="-","-",""),"")</f>
        <v/>
      </c>
      <c r="W14" s="58"/>
      <c r="X14" s="12"/>
    </row>
    <row r="15" spans="1:24" ht="15" customHeight="1" x14ac:dyDescent="0.25">
      <c r="A15" s="60"/>
      <c r="B15" s="58"/>
      <c r="C15" s="51" t="s">
        <v>80</v>
      </c>
      <c r="D15" s="52">
        <f t="shared" ca="1" si="0"/>
        <v>4</v>
      </c>
      <c r="E15" s="53" t="s">
        <v>58</v>
      </c>
      <c r="F15" s="54">
        <v>9</v>
      </c>
      <c r="G15" s="54">
        <v>9</v>
      </c>
      <c r="H15" s="54">
        <v>9</v>
      </c>
      <c r="I15" s="54">
        <v>11</v>
      </c>
      <c r="J15" s="54">
        <v>4</v>
      </c>
      <c r="K15" s="54">
        <v>11</v>
      </c>
      <c r="L15" s="54">
        <v>10</v>
      </c>
      <c r="M15" s="54">
        <v>10</v>
      </c>
      <c r="N15" s="54">
        <v>7</v>
      </c>
      <c r="O15" s="54">
        <v>7</v>
      </c>
      <c r="P15" s="54">
        <v>9</v>
      </c>
      <c r="Q15" s="54">
        <v>7</v>
      </c>
      <c r="R15" s="54">
        <v>9</v>
      </c>
      <c r="S15" s="54">
        <v>8</v>
      </c>
      <c r="T15" s="55">
        <f ca="1">IF(COUNTIF(OFFSET(Таблица64[[#This Row],[Прізвище, ім’я, по батькові]],0,1):OFFSET(T15,0,-1),"=*")&gt;0,"-",IF(COUNTIF(OFFSET(Таблица64[[#This Row],[Прізвище, ім’я, по батькові]],0,1):OFFSET(T15,0,-1),"&lt;4")&gt;0,"-",(IFERROR(AVERAGE(OFFSET(Таблица64[[#This Row],[Прізвище, ім’я, по батькові]],0,1):OFFSET(T15,0,-1)),""))))</f>
        <v>8.5714285714285712</v>
      </c>
      <c r="U15" s="55">
        <f ca="1">Таблица64[[#This Row],[Столбец18]]/12*90</f>
        <v>64.285714285714292</v>
      </c>
      <c r="V15" s="21" t="str">
        <f ca="1">IF(Таблица64[[#This Row],[''Б/К]]="Б",IF(Таблица64[[#This Row],[Столбец182]]="-","-",""),"")</f>
        <v/>
      </c>
      <c r="W15" s="58"/>
      <c r="X15" s="12"/>
    </row>
    <row r="16" spans="1:24" ht="15" customHeight="1" x14ac:dyDescent="0.25">
      <c r="A16" s="60"/>
      <c r="B16" s="58"/>
      <c r="C16" s="51" t="s">
        <v>80</v>
      </c>
      <c r="D16" s="52">
        <f t="shared" ca="1" si="0"/>
        <v>5</v>
      </c>
      <c r="E16" s="53" t="s">
        <v>66</v>
      </c>
      <c r="F16" s="54">
        <v>9</v>
      </c>
      <c r="G16" s="54">
        <v>8</v>
      </c>
      <c r="H16" s="54">
        <v>9</v>
      </c>
      <c r="I16" s="54">
        <v>9</v>
      </c>
      <c r="J16" s="54">
        <v>8</v>
      </c>
      <c r="K16" s="54">
        <v>9</v>
      </c>
      <c r="L16" s="54">
        <v>8</v>
      </c>
      <c r="M16" s="54">
        <v>8</v>
      </c>
      <c r="N16" s="54">
        <v>9</v>
      </c>
      <c r="O16" s="54">
        <v>7</v>
      </c>
      <c r="P16" s="54">
        <v>7</v>
      </c>
      <c r="Q16" s="54">
        <v>8</v>
      </c>
      <c r="R16" s="54">
        <v>8</v>
      </c>
      <c r="S16" s="54">
        <v>9</v>
      </c>
      <c r="T16" s="55">
        <f ca="1">IF(COUNTIF(OFFSET(Таблица64[[#This Row],[Прізвище, ім’я, по батькові]],0,1):OFFSET(T16,0,-1),"=*")&gt;0,"-",IF(COUNTIF(OFFSET(Таблица64[[#This Row],[Прізвище, ім’я, по батькові]],0,1):OFFSET(T16,0,-1),"&lt;4")&gt;0,"-",(IFERROR(AVERAGE(OFFSET(Таблица64[[#This Row],[Прізвище, ім’я, по батькові]],0,1):OFFSET(T16,0,-1)),""))))</f>
        <v>8.2857142857142865</v>
      </c>
      <c r="U16" s="55">
        <f ca="1">Таблица64[[#This Row],[Столбец18]]/12*90</f>
        <v>62.142857142857153</v>
      </c>
      <c r="V16" s="21" t="str">
        <f ca="1">IF(Таблица64[[#This Row],[''Б/К]]="Б",IF(Таблица64[[#This Row],[Столбец182]]="-","-",""),"")</f>
        <v/>
      </c>
      <c r="W16" s="58"/>
      <c r="X16" s="12"/>
    </row>
    <row r="17" spans="1:24" ht="15" customHeight="1" x14ac:dyDescent="0.25">
      <c r="A17" s="60"/>
      <c r="B17" s="58"/>
      <c r="C17" s="51" t="s">
        <v>80</v>
      </c>
      <c r="D17" s="52">
        <f t="shared" ca="1" si="0"/>
        <v>6</v>
      </c>
      <c r="E17" s="53" t="s">
        <v>67</v>
      </c>
      <c r="F17" s="54">
        <v>9</v>
      </c>
      <c r="G17" s="54">
        <v>8</v>
      </c>
      <c r="H17" s="54">
        <v>9</v>
      </c>
      <c r="I17" s="54">
        <v>9</v>
      </c>
      <c r="J17" s="54">
        <v>8</v>
      </c>
      <c r="K17" s="54">
        <v>9</v>
      </c>
      <c r="L17" s="54">
        <v>8</v>
      </c>
      <c r="M17" s="54">
        <v>8</v>
      </c>
      <c r="N17" s="54">
        <v>9</v>
      </c>
      <c r="O17" s="54">
        <v>7</v>
      </c>
      <c r="P17" s="54">
        <v>7</v>
      </c>
      <c r="Q17" s="54">
        <v>7</v>
      </c>
      <c r="R17" s="54">
        <v>8</v>
      </c>
      <c r="S17" s="54">
        <v>9</v>
      </c>
      <c r="T17" s="55">
        <f ca="1">IF(COUNTIF(OFFSET(Таблица64[[#This Row],[Прізвище, ім’я, по батькові]],0,1):OFFSET(T17,0,-1),"=*")&gt;0,"-",IF(COUNTIF(OFFSET(Таблица64[[#This Row],[Прізвище, ім’я, по батькові]],0,1):OFFSET(T17,0,-1),"&lt;4")&gt;0,"-",(IFERROR(AVERAGE(OFFSET(Таблица64[[#This Row],[Прізвище, ім’я, по батькові]],0,1):OFFSET(T17,0,-1)),""))))</f>
        <v>8.2142857142857135</v>
      </c>
      <c r="U17" s="55">
        <f ca="1">Таблица64[[#This Row],[Столбец18]]/12*90</f>
        <v>61.607142857142847</v>
      </c>
      <c r="V17" s="21" t="str">
        <f ca="1">IF(Таблица64[[#This Row],[''Б/К]]="Б",IF(Таблица64[[#This Row],[Столбец182]]="-","-",""),"")</f>
        <v/>
      </c>
      <c r="W17" s="58"/>
      <c r="X17" s="12"/>
    </row>
    <row r="18" spans="1:24" ht="15" customHeight="1" x14ac:dyDescent="0.25">
      <c r="A18" s="60"/>
      <c r="B18" s="58"/>
      <c r="C18" s="51" t="s">
        <v>80</v>
      </c>
      <c r="D18" s="52">
        <f t="shared" ca="1" si="0"/>
        <v>7</v>
      </c>
      <c r="E18" s="53" t="s">
        <v>71</v>
      </c>
      <c r="F18" s="54">
        <v>8</v>
      </c>
      <c r="G18" s="54">
        <v>9</v>
      </c>
      <c r="H18" s="54">
        <v>9</v>
      </c>
      <c r="I18" s="54">
        <v>10</v>
      </c>
      <c r="J18" s="54">
        <v>9</v>
      </c>
      <c r="K18" s="54">
        <v>9</v>
      </c>
      <c r="L18" s="54">
        <v>8</v>
      </c>
      <c r="M18" s="54">
        <v>10</v>
      </c>
      <c r="N18" s="54">
        <v>4</v>
      </c>
      <c r="O18" s="54">
        <v>7</v>
      </c>
      <c r="P18" s="54">
        <v>7</v>
      </c>
      <c r="Q18" s="54">
        <v>7</v>
      </c>
      <c r="R18" s="54">
        <v>9</v>
      </c>
      <c r="S18" s="54">
        <v>8</v>
      </c>
      <c r="T18" s="55">
        <f ca="1">IF(COUNTIF(OFFSET(Таблица64[[#This Row],[Прізвище, ім’я, по батькові]],0,1):OFFSET(T18,0,-1),"=*")&gt;0,"-",IF(COUNTIF(OFFSET(Таблица64[[#This Row],[Прізвище, ім’я, по батькові]],0,1):OFFSET(T18,0,-1),"&lt;4")&gt;0,"-",(IFERROR(AVERAGE(OFFSET(Таблица64[[#This Row],[Прізвище, ім’я, по батькові]],0,1):OFFSET(T18,0,-1)),""))))</f>
        <v>8.1428571428571423</v>
      </c>
      <c r="U18" s="55">
        <f ca="1">Таблица64[[#This Row],[Столбец18]]/12*90</f>
        <v>61.071428571428562</v>
      </c>
      <c r="V18" s="21" t="str">
        <f ca="1">IF(Таблица64[[#This Row],[''Б/К]]="Б",IF(Таблица64[[#This Row],[Столбец182]]="-","-",""),"")</f>
        <v/>
      </c>
      <c r="W18" s="58"/>
      <c r="X18" s="12"/>
    </row>
    <row r="19" spans="1:24" ht="15" customHeight="1" x14ac:dyDescent="0.25">
      <c r="A19" s="60"/>
      <c r="B19" s="58"/>
      <c r="C19" s="51" t="s">
        <v>80</v>
      </c>
      <c r="D19" s="52">
        <f t="shared" ca="1" si="0"/>
        <v>8</v>
      </c>
      <c r="E19" s="53" t="s">
        <v>60</v>
      </c>
      <c r="F19" s="54">
        <v>9</v>
      </c>
      <c r="G19" s="54">
        <v>9</v>
      </c>
      <c r="H19" s="54">
        <v>10</v>
      </c>
      <c r="I19" s="54">
        <v>9</v>
      </c>
      <c r="J19" s="54">
        <v>9</v>
      </c>
      <c r="K19" s="54">
        <v>9</v>
      </c>
      <c r="L19" s="54">
        <v>7</v>
      </c>
      <c r="M19" s="54">
        <v>7</v>
      </c>
      <c r="N19" s="54">
        <v>7</v>
      </c>
      <c r="O19" s="54">
        <v>7</v>
      </c>
      <c r="P19" s="54">
        <v>5</v>
      </c>
      <c r="Q19" s="54">
        <v>7</v>
      </c>
      <c r="R19" s="54">
        <v>10</v>
      </c>
      <c r="S19" s="54">
        <v>6</v>
      </c>
      <c r="T19" s="55">
        <f ca="1">IF(COUNTIF(OFFSET(Таблица64[[#This Row],[Прізвище, ім’я, по батькові]],0,1):OFFSET(T19,0,-1),"=*")&gt;0,"-",IF(COUNTIF(OFFSET(Таблица64[[#This Row],[Прізвище, ім’я, по батькові]],0,1):OFFSET(T19,0,-1),"&lt;4")&gt;0,"-",(IFERROR(AVERAGE(OFFSET(Таблица64[[#This Row],[Прізвище, ім’я, по батькові]],0,1):OFFSET(T19,0,-1)),""))))</f>
        <v>7.9285714285714288</v>
      </c>
      <c r="U19" s="55">
        <f ca="1">Таблица64[[#This Row],[Столбец18]]/12*90</f>
        <v>59.464285714285715</v>
      </c>
      <c r="V19" s="21" t="str">
        <f ca="1">IF(Таблица64[[#This Row],[''Б/К]]="Б",IF(Таблица64[[#This Row],[Столбец182]]="-","-",""),"")</f>
        <v/>
      </c>
      <c r="W19" s="58"/>
      <c r="X19" s="12"/>
    </row>
    <row r="20" spans="1:24" ht="15" customHeight="1" x14ac:dyDescent="0.25">
      <c r="A20" s="60"/>
      <c r="B20" s="58"/>
      <c r="C20" s="30" t="s">
        <v>80</v>
      </c>
      <c r="D20" s="31">
        <f t="shared" ca="1" si="0"/>
        <v>9</v>
      </c>
      <c r="E20" s="29" t="s">
        <v>61</v>
      </c>
      <c r="F20" s="43">
        <v>9</v>
      </c>
      <c r="G20" s="43">
        <v>8</v>
      </c>
      <c r="H20" s="43">
        <v>8</v>
      </c>
      <c r="I20" s="43">
        <v>10</v>
      </c>
      <c r="J20" s="43">
        <v>8</v>
      </c>
      <c r="K20" s="43">
        <v>9</v>
      </c>
      <c r="L20" s="43">
        <v>9</v>
      </c>
      <c r="M20" s="43">
        <v>7</v>
      </c>
      <c r="N20" s="43">
        <v>8</v>
      </c>
      <c r="O20" s="43">
        <v>5</v>
      </c>
      <c r="P20" s="43">
        <v>7</v>
      </c>
      <c r="Q20" s="43">
        <v>6</v>
      </c>
      <c r="R20" s="43">
        <v>10</v>
      </c>
      <c r="S20" s="43">
        <v>6</v>
      </c>
      <c r="T20" s="49">
        <f ca="1">IF(COUNTIF(OFFSET(Таблица64[[#This Row],[Прізвище, ім’я, по батькові]],0,1):OFFSET(T20,0,-1),"=*")&gt;0,"-",IF(COUNTIF(OFFSET(Таблица64[[#This Row],[Прізвище, ім’я, по батькові]],0,1):OFFSET(T20,0,-1),"&lt;4")&gt;0,"-",(IFERROR(AVERAGE(OFFSET(Таблица64[[#This Row],[Прізвище, ім’я, по батькові]],0,1):OFFSET(T20,0,-1)),""))))</f>
        <v>7.8571428571428568</v>
      </c>
      <c r="U20" s="49">
        <f ca="1">Таблица64[[#This Row],[Столбец18]]/12*90</f>
        <v>58.928571428571431</v>
      </c>
      <c r="V20" s="21" t="str">
        <f ca="1">IF(Таблица64[[#This Row],[''Б/К]]="Б",IF(Таблица64[[#This Row],[Столбец182]]="-","-",""),"")</f>
        <v/>
      </c>
      <c r="W20" s="58"/>
      <c r="X20" s="12"/>
    </row>
    <row r="21" spans="1:24" ht="15" customHeight="1" x14ac:dyDescent="0.25">
      <c r="A21" s="60"/>
      <c r="B21" s="58"/>
      <c r="C21" s="30" t="s">
        <v>80</v>
      </c>
      <c r="D21" s="31">
        <f t="shared" ca="1" si="0"/>
        <v>10</v>
      </c>
      <c r="E21" s="29" t="s">
        <v>63</v>
      </c>
      <c r="F21" s="43">
        <v>8</v>
      </c>
      <c r="G21" s="43">
        <v>8</v>
      </c>
      <c r="H21" s="43">
        <v>8</v>
      </c>
      <c r="I21" s="43">
        <v>10</v>
      </c>
      <c r="J21" s="43">
        <v>9</v>
      </c>
      <c r="K21" s="43">
        <v>10</v>
      </c>
      <c r="L21" s="43">
        <v>8</v>
      </c>
      <c r="M21" s="43">
        <v>8</v>
      </c>
      <c r="N21" s="43">
        <v>7</v>
      </c>
      <c r="O21" s="43">
        <v>6</v>
      </c>
      <c r="P21" s="43">
        <v>4</v>
      </c>
      <c r="Q21" s="43">
        <v>6</v>
      </c>
      <c r="R21" s="43">
        <v>9</v>
      </c>
      <c r="S21" s="43">
        <v>5</v>
      </c>
      <c r="T21" s="49">
        <f ca="1">IF(COUNTIF(OFFSET(Таблица64[[#This Row],[Прізвище, ім’я, по батькові]],0,1):OFFSET(T21,0,-1),"=*")&gt;0,"-",IF(COUNTIF(OFFSET(Таблица64[[#This Row],[Прізвище, ім’я, по батькові]],0,1):OFFSET(T21,0,-1),"&lt;4")&gt;0,"-",(IFERROR(AVERAGE(OFFSET(Таблица64[[#This Row],[Прізвище, ім’я, по батькові]],0,1):OFFSET(T21,0,-1)),""))))</f>
        <v>7.5714285714285712</v>
      </c>
      <c r="U21" s="49">
        <f ca="1">Таблица64[[#This Row],[Столбец18]]/12*90</f>
        <v>56.785714285714285</v>
      </c>
      <c r="V21" s="21" t="str">
        <f ca="1">IF(Таблица64[[#This Row],[''Б/К]]="Б",IF(Таблица64[[#This Row],[Столбец182]]="-","-",""),"")</f>
        <v/>
      </c>
      <c r="W21" s="58"/>
      <c r="X21" s="12"/>
    </row>
    <row r="22" spans="1:24" ht="15" customHeight="1" x14ac:dyDescent="0.25">
      <c r="A22" s="60"/>
      <c r="B22" s="58"/>
      <c r="C22" s="30" t="s">
        <v>80</v>
      </c>
      <c r="D22" s="31">
        <f t="shared" ca="1" si="0"/>
        <v>11</v>
      </c>
      <c r="E22" s="29" t="s">
        <v>68</v>
      </c>
      <c r="F22" s="43">
        <v>8</v>
      </c>
      <c r="G22" s="43">
        <v>9</v>
      </c>
      <c r="H22" s="43">
        <v>9</v>
      </c>
      <c r="I22" s="43">
        <v>10</v>
      </c>
      <c r="J22" s="43">
        <v>4</v>
      </c>
      <c r="K22" s="43">
        <v>7</v>
      </c>
      <c r="L22" s="43">
        <v>8</v>
      </c>
      <c r="M22" s="43">
        <v>7</v>
      </c>
      <c r="N22" s="43">
        <v>5</v>
      </c>
      <c r="O22" s="43">
        <v>7</v>
      </c>
      <c r="P22" s="43">
        <v>7</v>
      </c>
      <c r="Q22" s="43">
        <v>6</v>
      </c>
      <c r="R22" s="43">
        <v>9</v>
      </c>
      <c r="S22" s="43">
        <v>7</v>
      </c>
      <c r="T22" s="49">
        <f ca="1">IF(COUNTIF(OFFSET(Таблица64[[#This Row],[Прізвище, ім’я, по батькові]],0,1):OFFSET(T22,0,-1),"=*")&gt;0,"-",IF(COUNTIF(OFFSET(Таблица64[[#This Row],[Прізвище, ім’я, по батькові]],0,1):OFFSET(T22,0,-1),"&lt;4")&gt;0,"-",(IFERROR(AVERAGE(OFFSET(Таблица64[[#This Row],[Прізвище, ім’я, по батькові]],0,1):OFFSET(T22,0,-1)),""))))</f>
        <v>7.3571428571428568</v>
      </c>
      <c r="U22" s="49">
        <f ca="1">Таблица64[[#This Row],[Столбец18]]/12*90</f>
        <v>55.178571428571423</v>
      </c>
      <c r="V22" s="21" t="str">
        <f ca="1">IF(Таблица64[[#This Row],[''Б/К]]="Б",IF(Таблица64[[#This Row],[Столбец182]]="-","-",""),"")</f>
        <v/>
      </c>
      <c r="W22" s="58"/>
      <c r="X22" s="12"/>
    </row>
    <row r="23" spans="1:24" ht="15" customHeight="1" x14ac:dyDescent="0.25">
      <c r="A23" s="60"/>
      <c r="B23" s="58"/>
      <c r="C23" s="30" t="s">
        <v>80</v>
      </c>
      <c r="D23" s="31">
        <f t="shared" ca="1" si="0"/>
        <v>12</v>
      </c>
      <c r="E23" s="29" t="s">
        <v>59</v>
      </c>
      <c r="F23" s="43">
        <v>8</v>
      </c>
      <c r="G23" s="43">
        <v>10</v>
      </c>
      <c r="H23" s="43">
        <v>8</v>
      </c>
      <c r="I23" s="43">
        <v>9</v>
      </c>
      <c r="J23" s="43">
        <v>7</v>
      </c>
      <c r="K23" s="43">
        <v>9</v>
      </c>
      <c r="L23" s="43">
        <v>7</v>
      </c>
      <c r="M23" s="43">
        <v>5</v>
      </c>
      <c r="N23" s="43">
        <v>6</v>
      </c>
      <c r="O23" s="43">
        <v>4</v>
      </c>
      <c r="P23" s="43">
        <v>5</v>
      </c>
      <c r="Q23" s="43">
        <v>6</v>
      </c>
      <c r="R23" s="43">
        <v>9</v>
      </c>
      <c r="S23" s="43">
        <v>7</v>
      </c>
      <c r="T23" s="49">
        <f ca="1">IF(COUNTIF(OFFSET(Таблица64[[#This Row],[Прізвище, ім’я, по батькові]],0,1):OFFSET(T23,0,-1),"=*")&gt;0,"-",IF(COUNTIF(OFFSET(Таблица64[[#This Row],[Прізвище, ім’я, по батькові]],0,1):OFFSET(T23,0,-1),"&lt;4")&gt;0,"-",(IFERROR(AVERAGE(OFFSET(Таблица64[[#This Row],[Прізвище, ім’я, по батькові]],0,1):OFFSET(T23,0,-1)),""))))</f>
        <v>7.1428571428571432</v>
      </c>
      <c r="U23" s="49">
        <f ca="1">Таблица64[[#This Row],[Столбец18]]/12*90</f>
        <v>53.571428571428569</v>
      </c>
      <c r="V23" s="21" t="str">
        <f ca="1">IF(Таблица64[[#This Row],[''Б/К]]="Б",IF(Таблица64[[#This Row],[Столбец182]]="-","-",""),"")</f>
        <v/>
      </c>
      <c r="W23" s="58"/>
      <c r="X23" s="12"/>
    </row>
    <row r="24" spans="1:24" ht="15" customHeight="1" x14ac:dyDescent="0.25">
      <c r="A24" s="60"/>
      <c r="B24" s="58"/>
      <c r="C24" s="30" t="s">
        <v>80</v>
      </c>
      <c r="D24" s="31">
        <f t="shared" ca="1" si="0"/>
        <v>13</v>
      </c>
      <c r="E24" s="29" t="s">
        <v>77</v>
      </c>
      <c r="F24" s="43">
        <v>9</v>
      </c>
      <c r="G24" s="43">
        <v>9</v>
      </c>
      <c r="H24" s="43">
        <v>10</v>
      </c>
      <c r="I24" s="43">
        <v>7</v>
      </c>
      <c r="J24" s="43">
        <v>8</v>
      </c>
      <c r="K24" s="43">
        <v>7</v>
      </c>
      <c r="L24" s="43">
        <v>10</v>
      </c>
      <c r="M24" s="43">
        <v>6</v>
      </c>
      <c r="N24" s="43">
        <v>7</v>
      </c>
      <c r="O24" s="43">
        <v>5</v>
      </c>
      <c r="P24" s="43">
        <v>5</v>
      </c>
      <c r="Q24" s="43">
        <v>4</v>
      </c>
      <c r="R24" s="43">
        <v>8</v>
      </c>
      <c r="S24" s="43">
        <v>4</v>
      </c>
      <c r="T24" s="49">
        <f ca="1">IF(COUNTIF(OFFSET(Таблица64[[#This Row],[Прізвище, ім’я, по батькові]],0,1):OFFSET(T24,0,-1),"=*")&gt;0,"-",IF(COUNTIF(OFFSET(Таблица64[[#This Row],[Прізвище, ім’я, по батькові]],0,1):OFFSET(T24,0,-1),"&lt;4")&gt;0,"-",(IFERROR(AVERAGE(OFFSET(Таблица64[[#This Row],[Прізвище, ім’я, по батькові]],0,1):OFFSET(T24,0,-1)),""))))</f>
        <v>7.0714285714285712</v>
      </c>
      <c r="U24" s="49">
        <f ca="1">Таблица64[[#This Row],[Столбец18]]/12*90</f>
        <v>53.035714285714285</v>
      </c>
      <c r="V24" s="21" t="str">
        <f ca="1">IF(Таблица64[[#This Row],[''Б/К]]="Б",IF(Таблица64[[#This Row],[Столбец182]]="-","-",""),"")</f>
        <v/>
      </c>
      <c r="W24" s="58"/>
      <c r="X24" s="12"/>
    </row>
    <row r="25" spans="1:24" ht="15" customHeight="1" x14ac:dyDescent="0.25">
      <c r="A25" s="60"/>
      <c r="B25" s="58"/>
      <c r="C25" s="30" t="s">
        <v>80</v>
      </c>
      <c r="D25" s="31">
        <f t="shared" ca="1" si="0"/>
        <v>14</v>
      </c>
      <c r="E25" s="29" t="s">
        <v>64</v>
      </c>
      <c r="F25" s="43">
        <v>6</v>
      </c>
      <c r="G25" s="43">
        <v>9</v>
      </c>
      <c r="H25" s="43">
        <v>9</v>
      </c>
      <c r="I25" s="43">
        <v>10</v>
      </c>
      <c r="J25" s="43">
        <v>4</v>
      </c>
      <c r="K25" s="43">
        <v>9</v>
      </c>
      <c r="L25" s="43">
        <v>9</v>
      </c>
      <c r="M25" s="43">
        <v>7</v>
      </c>
      <c r="N25" s="43">
        <v>4</v>
      </c>
      <c r="O25" s="43">
        <v>5</v>
      </c>
      <c r="P25" s="43">
        <v>5</v>
      </c>
      <c r="Q25" s="43">
        <v>6</v>
      </c>
      <c r="R25" s="43">
        <v>6</v>
      </c>
      <c r="S25" s="43">
        <v>6</v>
      </c>
      <c r="T25" s="49">
        <f ca="1">IF(COUNTIF(OFFSET(Таблица64[[#This Row],[Прізвище, ім’я, по батькові]],0,1):OFFSET(T25,0,-1),"=*")&gt;0,"-",IF(COUNTIF(OFFSET(Таблица64[[#This Row],[Прізвище, ім’я, по батькові]],0,1):OFFSET(T25,0,-1),"&lt;4")&gt;0,"-",(IFERROR(AVERAGE(OFFSET(Таблица64[[#This Row],[Прізвище, ім’я, по батькові]],0,1):OFFSET(T25,0,-1)),""))))</f>
        <v>6.7857142857142856</v>
      </c>
      <c r="U25" s="49">
        <f ca="1">Таблица64[[#This Row],[Столбец18]]/12*90</f>
        <v>50.892857142857139</v>
      </c>
      <c r="V25" s="22" t="str">
        <f ca="1">IF(Таблица64[[#This Row],[''Б/К]]="Б",IF(Таблица64[[#This Row],[Столбец182]]="-","-",""),"")</f>
        <v/>
      </c>
      <c r="W25" s="58"/>
      <c r="X25" s="12"/>
    </row>
    <row r="26" spans="1:24" ht="15" customHeight="1" x14ac:dyDescent="0.25">
      <c r="A26" s="60"/>
      <c r="B26" s="58"/>
      <c r="C26" s="30" t="s">
        <v>80</v>
      </c>
      <c r="D26" s="31">
        <f t="shared" ca="1" si="0"/>
        <v>15</v>
      </c>
      <c r="E26" s="29" t="s">
        <v>78</v>
      </c>
      <c r="F26" s="43">
        <v>5</v>
      </c>
      <c r="G26" s="43">
        <v>8</v>
      </c>
      <c r="H26" s="43">
        <v>8</v>
      </c>
      <c r="I26" s="43">
        <v>6</v>
      </c>
      <c r="J26" s="43">
        <v>6</v>
      </c>
      <c r="K26" s="43">
        <v>7</v>
      </c>
      <c r="L26" s="43">
        <v>4</v>
      </c>
      <c r="M26" s="43">
        <v>7</v>
      </c>
      <c r="N26" s="43">
        <v>4</v>
      </c>
      <c r="O26" s="43">
        <v>4</v>
      </c>
      <c r="P26" s="43">
        <v>4</v>
      </c>
      <c r="Q26" s="43">
        <v>4</v>
      </c>
      <c r="R26" s="43">
        <v>8</v>
      </c>
      <c r="S26" s="43">
        <v>4</v>
      </c>
      <c r="T26" s="49">
        <f ca="1">IF(COUNTIF(OFFSET(Таблица64[[#This Row],[Прізвище, ім’я, по батькові]],0,1):OFFSET(T26,0,-1),"=*")&gt;0,"-",IF(COUNTIF(OFFSET(Таблица64[[#This Row],[Прізвище, ім’я, по батькові]],0,1):OFFSET(T26,0,-1),"&lt;4")&gt;0,"-",(IFERROR(AVERAGE(OFFSET(Таблица64[[#This Row],[Прізвище, ім’я, по батькові]],0,1):OFFSET(T26,0,-1)),""))))</f>
        <v>5.6428571428571432</v>
      </c>
      <c r="U26" s="49">
        <f ca="1">Таблица64[[#This Row],[Столбец18]]/12*90</f>
        <v>42.321428571428577</v>
      </c>
      <c r="V26" s="22" t="str">
        <f ca="1">IF(Таблица64[[#This Row],[''Б/К]]="Б",IF(Таблица64[[#This Row],[Столбец182]]="-","-",""),"")</f>
        <v/>
      </c>
      <c r="W26" s="58"/>
      <c r="X26" s="12"/>
    </row>
    <row r="27" spans="1:24" ht="15" customHeight="1" x14ac:dyDescent="0.25">
      <c r="A27" s="60"/>
      <c r="B27" s="58"/>
      <c r="C27" s="30" t="s">
        <v>80</v>
      </c>
      <c r="D27" s="31">
        <f t="shared" ca="1" si="0"/>
        <v>16</v>
      </c>
      <c r="E27" s="29" t="s">
        <v>69</v>
      </c>
      <c r="F27" s="43">
        <v>6</v>
      </c>
      <c r="G27" s="43">
        <v>5</v>
      </c>
      <c r="H27" s="43">
        <v>6</v>
      </c>
      <c r="I27" s="43">
        <v>5</v>
      </c>
      <c r="J27" s="43">
        <v>4</v>
      </c>
      <c r="K27" s="43">
        <v>6</v>
      </c>
      <c r="L27" s="43">
        <v>5</v>
      </c>
      <c r="M27" s="43">
        <v>4</v>
      </c>
      <c r="N27" s="43">
        <v>7</v>
      </c>
      <c r="O27" s="43">
        <v>4</v>
      </c>
      <c r="P27" s="43">
        <v>4</v>
      </c>
      <c r="Q27" s="43">
        <v>7</v>
      </c>
      <c r="R27" s="43">
        <v>4</v>
      </c>
      <c r="S27" s="43">
        <v>6</v>
      </c>
      <c r="T27" s="49">
        <f ca="1">IF(COUNTIF(OFFSET(Таблица64[[#This Row],[Прізвище, ім’я, по батькові]],0,1):OFFSET(T27,0,-1),"=*")&gt;0,"-",IF(COUNTIF(OFFSET(Таблица64[[#This Row],[Прізвище, ім’я, по батькові]],0,1):OFFSET(T27,0,-1),"&lt;4")&gt;0,"-",(IFERROR(AVERAGE(OFFSET(Таблица64[[#This Row],[Прізвище, ім’я, по батькові]],0,1):OFFSET(T27,0,-1)),""))))</f>
        <v>5.2142857142857144</v>
      </c>
      <c r="U27" s="49">
        <f ca="1">Таблица64[[#This Row],[Столбец18]]/12*90</f>
        <v>39.107142857142861</v>
      </c>
      <c r="V27" s="22" t="str">
        <f ca="1">IF(Таблица64[[#This Row],[''Б/К]]="Б",IF(Таблица64[[#This Row],[Столбец182]]="-","-",""),"")</f>
        <v/>
      </c>
      <c r="W27" s="58"/>
      <c r="X27" s="12"/>
    </row>
    <row r="28" spans="1:24" ht="15" customHeight="1" x14ac:dyDescent="0.25">
      <c r="A28" s="60"/>
      <c r="B28" s="58"/>
      <c r="C28" s="44"/>
      <c r="D28" s="44"/>
      <c r="E28" s="5" t="s">
        <v>13</v>
      </c>
      <c r="F28" s="48">
        <f ca="1">'Зведена 076'!F42</f>
        <v>21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58"/>
      <c r="X28" s="12"/>
    </row>
    <row r="29" spans="1:24" ht="15" customHeight="1" x14ac:dyDescent="0.25">
      <c r="A29" s="60"/>
      <c r="B29" s="58"/>
      <c r="C29" s="44"/>
      <c r="D29" s="44"/>
      <c r="E29" s="5" t="s">
        <v>14</v>
      </c>
      <c r="F29" s="48">
        <f ca="1">'Зведена 076'!F43</f>
        <v>4</v>
      </c>
      <c r="G29" s="44"/>
      <c r="H29" s="40" t="s">
        <v>15</v>
      </c>
      <c r="I29" s="41"/>
      <c r="J29" s="41"/>
      <c r="K29" s="41"/>
      <c r="L29" s="41"/>
      <c r="M29" s="41"/>
      <c r="N29" s="40"/>
      <c r="O29" s="42" t="s">
        <v>82</v>
      </c>
      <c r="P29" s="24"/>
      <c r="Q29" s="25"/>
      <c r="R29" s="24"/>
      <c r="S29" s="44"/>
      <c r="T29" s="44"/>
      <c r="U29" s="44"/>
      <c r="V29" s="44"/>
      <c r="W29" s="58"/>
      <c r="X29" s="12"/>
    </row>
    <row r="30" spans="1:24" ht="15" customHeight="1" x14ac:dyDescent="0.25">
      <c r="A30" s="60"/>
      <c r="B30" s="58"/>
      <c r="C30" s="44"/>
      <c r="D30" s="44"/>
      <c r="E30" s="5" t="s">
        <v>16</v>
      </c>
      <c r="F30" s="48">
        <f>'Зведена 076'!F44</f>
        <v>3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58"/>
      <c r="X30" s="12"/>
    </row>
    <row r="31" spans="1:24" ht="15" customHeight="1" x14ac:dyDescent="0.25">
      <c r="A31" s="60"/>
      <c r="B31" s="58"/>
      <c r="C31" s="44"/>
      <c r="D31" s="44"/>
      <c r="E31" s="5" t="s">
        <v>17</v>
      </c>
      <c r="F31" s="48">
        <f ca="1">'Зведена 076'!F45</f>
        <v>8</v>
      </c>
      <c r="G31" s="44"/>
      <c r="H31" s="42" t="s">
        <v>83</v>
      </c>
      <c r="I31" s="41"/>
      <c r="J31" s="41"/>
      <c r="K31" s="41"/>
      <c r="L31" s="41"/>
      <c r="M31" s="41"/>
      <c r="N31" s="40"/>
      <c r="O31" s="42" t="s">
        <v>18</v>
      </c>
      <c r="P31" s="25"/>
      <c r="Q31" s="25"/>
      <c r="R31" s="25"/>
      <c r="S31" s="44"/>
      <c r="T31" s="44"/>
      <c r="U31" s="44"/>
      <c r="V31" s="44"/>
      <c r="W31" s="58"/>
      <c r="X31" s="12"/>
    </row>
    <row r="32" spans="1:24" ht="12" customHeight="1" thickBot="1" x14ac:dyDescent="0.3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12"/>
    </row>
    <row r="33" spans="2:23" ht="12" customHeight="1" x14ac:dyDescent="0.25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</sheetData>
  <sheetProtection formatCells="0" insertColumns="0" insertRows="0" deleteColumns="0" deleteRows="0" sort="0"/>
  <mergeCells count="17">
    <mergeCell ref="B33:W33"/>
    <mergeCell ref="C8:U8"/>
    <mergeCell ref="C9:C10"/>
    <mergeCell ref="D9:D10"/>
    <mergeCell ref="E9:E10"/>
    <mergeCell ref="F9:U9"/>
    <mergeCell ref="B32:W32"/>
    <mergeCell ref="B1:W1"/>
    <mergeCell ref="A2:A32"/>
    <mergeCell ref="B2:W2"/>
    <mergeCell ref="B3:B31"/>
    <mergeCell ref="C3:U3"/>
    <mergeCell ref="W3:W31"/>
    <mergeCell ref="C4:U4"/>
    <mergeCell ref="C5:U5"/>
    <mergeCell ref="C6:U6"/>
    <mergeCell ref="C7:U7"/>
  </mergeCells>
  <conditionalFormatting sqref="C26:C27 E26:E27">
    <cfRule type="expression" dxfId="114" priority="5">
      <formula>$W$26&lt;&gt;""</formula>
    </cfRule>
  </conditionalFormatting>
  <conditionalFormatting sqref="D25:D27 C12:E24 F12:S27">
    <cfRule type="expression" dxfId="113" priority="3">
      <formula>#REF!&lt;&gt;""</formula>
    </cfRule>
  </conditionalFormatting>
  <conditionalFormatting sqref="T12:V27">
    <cfRule type="expression" dxfId="112" priority="6">
      <formula>#REF!&lt;&gt;""</formula>
    </cfRule>
  </conditionalFormatting>
  <conditionalFormatting sqref="C25 E25">
    <cfRule type="expression" dxfId="111" priority="40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35"/>
  <sheetViews>
    <sheetView topLeftCell="A9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3" ht="12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12"/>
    </row>
    <row r="3" spans="1:23" s="2" customFormat="1" ht="35.1" customHeight="1" x14ac:dyDescent="0.3">
      <c r="A3" s="60"/>
      <c r="B3" s="58"/>
      <c r="C3" s="62" t="s">
        <v>22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36"/>
      <c r="V3" s="58"/>
      <c r="W3" s="12"/>
    </row>
    <row r="4" spans="1:23" s="2" customFormat="1" ht="15" customHeight="1" x14ac:dyDescent="0.25">
      <c r="A4" s="60"/>
      <c r="B4" s="58"/>
      <c r="C4" s="58" t="s">
        <v>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34"/>
      <c r="V4" s="58"/>
      <c r="W4" s="12"/>
    </row>
    <row r="5" spans="1:23" s="3" customFormat="1" ht="15" customHeight="1" x14ac:dyDescent="0.25">
      <c r="A5" s="60"/>
      <c r="B5" s="58"/>
      <c r="C5" s="64" t="s">
        <v>19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37"/>
      <c r="V5" s="58"/>
      <c r="W5" s="12"/>
    </row>
    <row r="6" spans="1:23" s="2" customFormat="1" ht="15" customHeight="1" x14ac:dyDescent="0.25">
      <c r="A6" s="60"/>
      <c r="B6" s="58"/>
      <c r="C6" s="65" t="s">
        <v>46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34"/>
      <c r="V6" s="58"/>
      <c r="W6" s="12"/>
    </row>
    <row r="7" spans="1:23" s="2" customFormat="1" ht="15" customHeight="1" x14ac:dyDescent="0.25">
      <c r="A7" s="60"/>
      <c r="B7" s="58"/>
      <c r="C7" s="65" t="s">
        <v>44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34"/>
      <c r="V7" s="58"/>
      <c r="W7" s="12"/>
    </row>
    <row r="8" spans="1:23" s="2" customFormat="1" ht="15" customHeight="1" x14ac:dyDescent="0.25">
      <c r="A8" s="60"/>
      <c r="B8" s="58"/>
      <c r="C8" s="65" t="s">
        <v>45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34"/>
      <c r="V8" s="58"/>
      <c r="W8" s="12"/>
    </row>
    <row r="9" spans="1:23" ht="15" customHeight="1" x14ac:dyDescent="0.25">
      <c r="A9" s="60"/>
      <c r="B9" s="58"/>
      <c r="C9" s="66" t="s">
        <v>1</v>
      </c>
      <c r="D9" s="68" t="s">
        <v>2</v>
      </c>
      <c r="E9" s="68" t="s">
        <v>3</v>
      </c>
      <c r="F9" s="67" t="s">
        <v>21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35"/>
      <c r="V9" s="58"/>
      <c r="W9" s="12"/>
    </row>
    <row r="10" spans="1:23" ht="125.1" customHeight="1" x14ac:dyDescent="0.25">
      <c r="A10" s="60"/>
      <c r="B10" s="58"/>
      <c r="C10" s="67"/>
      <c r="D10" s="67"/>
      <c r="E10" s="67"/>
      <c r="F10" s="39" t="s">
        <v>4</v>
      </c>
      <c r="G10" s="39" t="s">
        <v>99</v>
      </c>
      <c r="H10" s="39" t="s">
        <v>5</v>
      </c>
      <c r="I10" s="39" t="s">
        <v>20</v>
      </c>
      <c r="J10" s="39" t="s">
        <v>28</v>
      </c>
      <c r="K10" s="39" t="s">
        <v>48</v>
      </c>
      <c r="L10" s="39" t="s">
        <v>49</v>
      </c>
      <c r="M10" s="39" t="s">
        <v>6</v>
      </c>
      <c r="N10" s="39" t="s">
        <v>50</v>
      </c>
      <c r="O10" s="39" t="s">
        <v>51</v>
      </c>
      <c r="P10" s="39" t="s">
        <v>52</v>
      </c>
      <c r="Q10" s="39" t="s">
        <v>27</v>
      </c>
      <c r="R10" s="39" t="s">
        <v>53</v>
      </c>
      <c r="S10" s="39" t="s">
        <v>54</v>
      </c>
      <c r="T10" s="4" t="s">
        <v>7</v>
      </c>
      <c r="U10" s="19"/>
      <c r="V10" s="58"/>
      <c r="W10" s="12"/>
    </row>
    <row r="11" spans="1:23" ht="50.1" hidden="1" customHeight="1" x14ac:dyDescent="0.25">
      <c r="A11" s="60"/>
      <c r="B11" s="58"/>
      <c r="C11" s="14" t="s">
        <v>24</v>
      </c>
      <c r="D11" s="13" t="s">
        <v>25</v>
      </c>
      <c r="E11" s="15" t="s">
        <v>3</v>
      </c>
      <c r="F11" s="16" t="s">
        <v>29</v>
      </c>
      <c r="G11" s="16" t="s">
        <v>30</v>
      </c>
      <c r="H11" s="16" t="s">
        <v>31</v>
      </c>
      <c r="I11" s="16" t="s">
        <v>33</v>
      </c>
      <c r="J11" s="16" t="s">
        <v>32</v>
      </c>
      <c r="K11" s="16" t="s">
        <v>34</v>
      </c>
      <c r="L11" s="16" t="s">
        <v>35</v>
      </c>
      <c r="M11" s="16" t="s">
        <v>36</v>
      </c>
      <c r="N11" s="16" t="s">
        <v>37</v>
      </c>
      <c r="O11" s="16" t="s">
        <v>38</v>
      </c>
      <c r="P11" s="16" t="s">
        <v>39</v>
      </c>
      <c r="Q11" s="16" t="s">
        <v>40</v>
      </c>
      <c r="R11" s="16" t="s">
        <v>41</v>
      </c>
      <c r="S11" s="16" t="s">
        <v>42</v>
      </c>
      <c r="T11" s="17" t="s">
        <v>23</v>
      </c>
      <c r="U11" s="20" t="s">
        <v>26</v>
      </c>
      <c r="V11" s="58"/>
      <c r="W11" s="12"/>
    </row>
    <row r="12" spans="1:23" ht="15" customHeight="1" x14ac:dyDescent="0.25">
      <c r="A12" s="60"/>
      <c r="B12" s="58"/>
      <c r="C12" s="30" t="s">
        <v>80</v>
      </c>
      <c r="D12" s="31">
        <f ca="1">OFFSET(D12,-1,0)+1</f>
        <v>1</v>
      </c>
      <c r="E12" s="29" t="s">
        <v>84</v>
      </c>
      <c r="F12" s="43">
        <v>9</v>
      </c>
      <c r="G12" s="43">
        <v>10</v>
      </c>
      <c r="H12" s="43">
        <v>9</v>
      </c>
      <c r="I12" s="43">
        <v>9</v>
      </c>
      <c r="J12" s="43">
        <v>4</v>
      </c>
      <c r="K12" s="43">
        <v>8</v>
      </c>
      <c r="L12" s="43">
        <v>8</v>
      </c>
      <c r="M12" s="43">
        <v>8</v>
      </c>
      <c r="N12" s="43">
        <v>6</v>
      </c>
      <c r="O12" s="43">
        <v>7</v>
      </c>
      <c r="P12" s="43">
        <v>5</v>
      </c>
      <c r="Q12" s="43">
        <v>7</v>
      </c>
      <c r="R12" s="43">
        <v>7</v>
      </c>
      <c r="S12" s="43">
        <v>7</v>
      </c>
      <c r="T12" s="32">
        <f ca="1"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f>
        <v>7.4285714285714288</v>
      </c>
      <c r="U12" s="21" t="str">
        <f ca="1">IF(Таблица62[[#This Row],[''Б/К]]="Б",IF(Таблица62[[#This Row],[Столбец18]]="-","-",""),"")</f>
        <v/>
      </c>
      <c r="V12" s="58"/>
      <c r="W12" s="12"/>
    </row>
    <row r="13" spans="1:23" ht="15" customHeight="1" x14ac:dyDescent="0.25">
      <c r="A13" s="60"/>
      <c r="B13" s="58"/>
      <c r="C13" s="30" t="s">
        <v>80</v>
      </c>
      <c r="D13" s="31">
        <f t="shared" ref="D13:D17" ca="1" si="0">OFFSET(D13,-1,0)+1</f>
        <v>2</v>
      </c>
      <c r="E13" s="29" t="s">
        <v>85</v>
      </c>
      <c r="F13" s="43">
        <v>6</v>
      </c>
      <c r="G13" s="43">
        <v>8</v>
      </c>
      <c r="H13" s="43">
        <v>5</v>
      </c>
      <c r="I13" s="43">
        <v>8</v>
      </c>
      <c r="J13" s="43" t="s">
        <v>100</v>
      </c>
      <c r="K13" s="43">
        <v>7</v>
      </c>
      <c r="L13" s="43">
        <v>7</v>
      </c>
      <c r="M13" s="43">
        <v>6</v>
      </c>
      <c r="N13" s="43" t="s">
        <v>100</v>
      </c>
      <c r="O13" s="43">
        <v>5</v>
      </c>
      <c r="P13" s="43">
        <v>4</v>
      </c>
      <c r="Q13" s="43">
        <v>2</v>
      </c>
      <c r="R13" s="43">
        <v>7</v>
      </c>
      <c r="S13" s="43">
        <v>4</v>
      </c>
      <c r="T13" s="32" t="str">
        <f ca="1">IF(COUNTIF(OFFSET(Таблица62[[#This Row],[Прізвище, ім’я, по батькові]],0,1):OFFSET(T13,0,-1),"=*")&gt;0,"-",IF(COUNTIF(OFFSET(Таблица62[[#This Row],[Прізвище, ім’я, по батькові]],0,1):OFFSET(T13,0,-1),"&lt;4")&gt;0,"-",(IFERROR(AVERAGE(OFFSET(Таблица62[[#This Row],[Прізвище, ім’я, по батькові]],0,1):OFFSET(T13,0,-1)),""))))</f>
        <v>-</v>
      </c>
      <c r="U13" s="21" t="str">
        <f ca="1">IF(Таблица62[[#This Row],[''Б/К]]="Б",IF(Таблица62[[#This Row],[Столбец18]]="-","-",""),"")</f>
        <v>-</v>
      </c>
      <c r="V13" s="58"/>
      <c r="W13" s="12"/>
    </row>
    <row r="14" spans="1:23" ht="15" customHeight="1" x14ac:dyDescent="0.25">
      <c r="A14" s="60"/>
      <c r="B14" s="58"/>
      <c r="C14" s="30" t="s">
        <v>81</v>
      </c>
      <c r="D14" s="31">
        <f t="shared" ref="D14:D15" ca="1" si="1">OFFSET(D14,-1,0)+1</f>
        <v>3</v>
      </c>
      <c r="E14" s="29" t="s">
        <v>86</v>
      </c>
      <c r="F14" s="43">
        <v>5</v>
      </c>
      <c r="G14" s="43">
        <v>5</v>
      </c>
      <c r="H14" s="43">
        <v>4</v>
      </c>
      <c r="I14" s="43">
        <v>5</v>
      </c>
      <c r="J14" s="43">
        <v>4</v>
      </c>
      <c r="K14" s="43">
        <v>5</v>
      </c>
      <c r="L14" s="43">
        <v>4</v>
      </c>
      <c r="M14" s="43">
        <v>5</v>
      </c>
      <c r="N14" s="43">
        <v>8</v>
      </c>
      <c r="O14" s="43">
        <v>4</v>
      </c>
      <c r="P14" s="43">
        <v>4</v>
      </c>
      <c r="Q14" s="43">
        <v>4</v>
      </c>
      <c r="R14" s="43">
        <v>4</v>
      </c>
      <c r="S14" s="43">
        <v>6</v>
      </c>
      <c r="T14" s="32">
        <f ca="1">IF(COUNTIF(OFFSET(Таблица62[[#This Row],[Прізвище, ім’я, по батькові]],0,1):OFFSET(T14,0,-1),"=*")&gt;0,"-",IF(COUNTIF(OFFSET(Таблица62[[#This Row],[Прізвище, ім’я, по батькові]],0,1):OFFSET(T14,0,-1),"&lt;4")&gt;0,"-",(IFERROR(AVERAGE(OFFSET(Таблица62[[#This Row],[Прізвище, ім’я, по батькові]],0,1):OFFSET(T14,0,-1)),""))))</f>
        <v>4.7857142857142856</v>
      </c>
      <c r="U14" s="21" t="str">
        <f>IF(Таблица62[[#This Row],[''Б/К]]="Б",IF(Таблица62[[#This Row],[Столбец18]]="-","-",""),"")</f>
        <v/>
      </c>
      <c r="V14" s="58"/>
      <c r="W14" s="12"/>
    </row>
    <row r="15" spans="1:23" ht="15" customHeight="1" x14ac:dyDescent="0.25">
      <c r="A15" s="60"/>
      <c r="B15" s="58"/>
      <c r="C15" s="30" t="s">
        <v>81</v>
      </c>
      <c r="D15" s="31">
        <f t="shared" ca="1" si="1"/>
        <v>4</v>
      </c>
      <c r="E15" s="29" t="s">
        <v>87</v>
      </c>
      <c r="F15" s="43">
        <v>5</v>
      </c>
      <c r="G15" s="43">
        <v>5</v>
      </c>
      <c r="H15" s="43">
        <v>4</v>
      </c>
      <c r="I15" s="43">
        <v>5</v>
      </c>
      <c r="J15" s="43">
        <v>4</v>
      </c>
      <c r="K15" s="43">
        <v>5</v>
      </c>
      <c r="L15" s="43">
        <v>4</v>
      </c>
      <c r="M15" s="43">
        <v>4</v>
      </c>
      <c r="N15" s="43">
        <v>7</v>
      </c>
      <c r="O15" s="43">
        <v>4</v>
      </c>
      <c r="P15" s="43">
        <v>4</v>
      </c>
      <c r="Q15" s="43">
        <v>7</v>
      </c>
      <c r="R15" s="43">
        <v>4</v>
      </c>
      <c r="S15" s="43">
        <v>6</v>
      </c>
      <c r="T15" s="32">
        <f ca="1">IF(COUNTIF(OFFSET(Таблица62[[#This Row],[Прізвище, ім’я, по батькові]],0,1):OFFSET(T15,0,-1),"=*")&gt;0,"-",IF(COUNTIF(OFFSET(Таблица62[[#This Row],[Прізвище, ім’я, по батькові]],0,1):OFFSET(T15,0,-1),"&lt;4")&gt;0,"-",(IFERROR(AVERAGE(OFFSET(Таблица62[[#This Row],[Прізвище, ім’я, по батькові]],0,1):OFFSET(T15,0,-1)),""))))</f>
        <v>4.8571428571428568</v>
      </c>
      <c r="U15" s="21" t="str">
        <f>IF(Таблица62[[#This Row],[''Б/К]]="Б",IF(Таблица62[[#This Row],[Столбец18]]="-","-",""),"")</f>
        <v/>
      </c>
      <c r="V15" s="58"/>
      <c r="W15" s="12"/>
    </row>
    <row r="16" spans="1:23" ht="15" customHeight="1" x14ac:dyDescent="0.25">
      <c r="A16" s="60"/>
      <c r="B16" s="58"/>
      <c r="C16" s="30" t="s">
        <v>80</v>
      </c>
      <c r="D16" s="31">
        <f t="shared" ca="1" si="0"/>
        <v>5</v>
      </c>
      <c r="E16" s="29" t="s">
        <v>88</v>
      </c>
      <c r="F16" s="43">
        <v>6</v>
      </c>
      <c r="G16" s="43">
        <v>4</v>
      </c>
      <c r="H16" s="43">
        <v>5</v>
      </c>
      <c r="I16" s="43">
        <v>5</v>
      </c>
      <c r="J16" s="43" t="s">
        <v>100</v>
      </c>
      <c r="K16" s="43">
        <v>5</v>
      </c>
      <c r="L16" s="43">
        <v>4</v>
      </c>
      <c r="M16" s="43" t="s">
        <v>100</v>
      </c>
      <c r="N16" s="43" t="s">
        <v>100</v>
      </c>
      <c r="O16" s="43">
        <v>4</v>
      </c>
      <c r="P16" s="43">
        <v>5</v>
      </c>
      <c r="Q16" s="43" t="s">
        <v>100</v>
      </c>
      <c r="R16" s="43">
        <v>6</v>
      </c>
      <c r="S16" s="43">
        <v>4</v>
      </c>
      <c r="T16" s="32" t="str">
        <f ca="1">IF(COUNTIF(OFFSET(Таблица62[[#This Row],[Прізвище, ім’я, по батькові]],0,1):OFFSET(T16,0,-1),"=*")&gt;0,"-",IF(COUNTIF(OFFSET(Таблица62[[#This Row],[Прізвище, ім’я, по батькові]],0,1):OFFSET(T16,0,-1),"&lt;4")&gt;0,"-",(IFERROR(AVERAGE(OFFSET(Таблица62[[#This Row],[Прізвище, ім’я, по батькові]],0,1):OFFSET(T16,0,-1)),""))))</f>
        <v>-</v>
      </c>
      <c r="U16" s="21" t="str">
        <f ca="1">IF(Таблица62[[#This Row],[''Б/К]]="Б",IF(Таблица62[[#This Row],[Столбец18]]="-","-",""),"")</f>
        <v>-</v>
      </c>
      <c r="V16" s="58"/>
      <c r="W16" s="12"/>
    </row>
    <row r="17" spans="1:23" ht="15" customHeight="1" x14ac:dyDescent="0.25">
      <c r="A17" s="60"/>
      <c r="B17" s="58"/>
      <c r="C17" s="30" t="s">
        <v>81</v>
      </c>
      <c r="D17" s="31">
        <f t="shared" ca="1" si="0"/>
        <v>6</v>
      </c>
      <c r="E17" s="29" t="s">
        <v>89</v>
      </c>
      <c r="F17" s="43">
        <v>6</v>
      </c>
      <c r="G17" s="43">
        <v>5</v>
      </c>
      <c r="H17" s="43">
        <v>4</v>
      </c>
      <c r="I17" s="43">
        <v>5</v>
      </c>
      <c r="J17" s="43">
        <v>4</v>
      </c>
      <c r="K17" s="43">
        <v>5</v>
      </c>
      <c r="L17" s="43">
        <v>4</v>
      </c>
      <c r="M17" s="43">
        <v>5</v>
      </c>
      <c r="N17" s="43">
        <v>7</v>
      </c>
      <c r="O17" s="43">
        <v>4</v>
      </c>
      <c r="P17" s="43">
        <v>4</v>
      </c>
      <c r="Q17" s="43">
        <v>4</v>
      </c>
      <c r="R17" s="43">
        <v>4</v>
      </c>
      <c r="S17" s="43">
        <v>6</v>
      </c>
      <c r="T17" s="32">
        <f ca="1">IF(COUNTIF(OFFSET(Таблица62[[#This Row],[Прізвище, ім’я, по батькові]],0,1):OFFSET(T17,0,-1),"=*")&gt;0,"-",IF(COUNTIF(OFFSET(Таблица62[[#This Row],[Прізвище, ім’я, по батькові]],0,1):OFFSET(T17,0,-1),"&lt;4")&gt;0,"-",(IFERROR(AVERAGE(OFFSET(Таблица62[[#This Row],[Прізвище, ім’я, по батькові]],0,1):OFFSET(T17,0,-1)),""))))</f>
        <v>4.7857142857142856</v>
      </c>
      <c r="U17" s="21" t="str">
        <f>IF(Таблица62[[#This Row],[''Б/К]]="Б",IF(Таблица62[[#This Row],[Столбец18]]="-","-",""),"")</f>
        <v/>
      </c>
      <c r="V17" s="58"/>
      <c r="W17" s="12"/>
    </row>
    <row r="18" spans="1:23" ht="15" customHeight="1" x14ac:dyDescent="0.25">
      <c r="A18" s="60"/>
      <c r="B18" s="58"/>
      <c r="C18" s="30" t="s">
        <v>80</v>
      </c>
      <c r="D18" s="31">
        <f t="shared" ref="D18:D20" ca="1" si="2">OFFSET(D18,-1,0)+1</f>
        <v>7</v>
      </c>
      <c r="E18" s="29" t="s">
        <v>90</v>
      </c>
      <c r="F18" s="43">
        <v>10</v>
      </c>
      <c r="G18" s="43">
        <v>10</v>
      </c>
      <c r="H18" s="43">
        <v>10</v>
      </c>
      <c r="I18" s="43">
        <v>10</v>
      </c>
      <c r="J18" s="43">
        <v>10</v>
      </c>
      <c r="K18" s="43">
        <v>10</v>
      </c>
      <c r="L18" s="43">
        <v>10</v>
      </c>
      <c r="M18" s="43">
        <v>8</v>
      </c>
      <c r="N18" s="43">
        <v>6</v>
      </c>
      <c r="O18" s="43">
        <v>9</v>
      </c>
      <c r="P18" s="43">
        <v>7</v>
      </c>
      <c r="Q18" s="43">
        <v>7</v>
      </c>
      <c r="R18" s="43">
        <v>10</v>
      </c>
      <c r="S18" s="43">
        <v>7</v>
      </c>
      <c r="T18" s="32">
        <f ca="1">IF(COUNTIF(OFFSET(Таблица62[[#This Row],[Прізвище, ім’я, по батькові]],0,1):OFFSET(T18,0,-1),"=*")&gt;0,"-",IF(COUNTIF(OFFSET(Таблица62[[#This Row],[Прізвище, ім’я, по батькові]],0,1):OFFSET(T18,0,-1),"&lt;4")&gt;0,"-",(IFERROR(AVERAGE(OFFSET(Таблица62[[#This Row],[Прізвище, ім’я, по батькові]],0,1):OFFSET(T18,0,-1)),""))))</f>
        <v>8.8571428571428577</v>
      </c>
      <c r="U18" s="21" t="str">
        <f ca="1">IF(Таблица62[[#This Row],[''Б/К]]="Б",IF(Таблица62[[#This Row],[Столбец18]]="-","-",""),"")</f>
        <v/>
      </c>
      <c r="V18" s="58"/>
      <c r="W18" s="12"/>
    </row>
    <row r="19" spans="1:23" ht="15" customHeight="1" x14ac:dyDescent="0.25">
      <c r="A19" s="60"/>
      <c r="B19" s="58"/>
      <c r="C19" s="30" t="s">
        <v>80</v>
      </c>
      <c r="D19" s="31">
        <f t="shared" ca="1" si="2"/>
        <v>8</v>
      </c>
      <c r="E19" s="29" t="s">
        <v>91</v>
      </c>
      <c r="F19" s="43">
        <v>6</v>
      </c>
      <c r="G19" s="43">
        <v>5</v>
      </c>
      <c r="H19" s="43">
        <v>6</v>
      </c>
      <c r="I19" s="43">
        <v>5</v>
      </c>
      <c r="J19" s="43">
        <v>4</v>
      </c>
      <c r="K19" s="43">
        <v>5</v>
      </c>
      <c r="L19" s="43">
        <v>7</v>
      </c>
      <c r="M19" s="43">
        <v>5</v>
      </c>
      <c r="N19" s="43">
        <v>6</v>
      </c>
      <c r="O19" s="43">
        <v>4</v>
      </c>
      <c r="P19" s="43">
        <v>4</v>
      </c>
      <c r="Q19" s="43">
        <v>7</v>
      </c>
      <c r="R19" s="43">
        <v>4</v>
      </c>
      <c r="S19" s="43">
        <v>6</v>
      </c>
      <c r="T19" s="32">
        <f ca="1">IF(COUNTIF(OFFSET(Таблица62[[#This Row],[Прізвище, ім’я, по батькові]],0,1):OFFSET(T19,0,-1),"=*")&gt;0,"-",IF(COUNTIF(OFFSET(Таблица62[[#This Row],[Прізвище, ім’я, по батькові]],0,1):OFFSET(T19,0,-1),"&lt;4")&gt;0,"-",(IFERROR(AVERAGE(OFFSET(Таблица62[[#This Row],[Прізвище, ім’я, по батькові]],0,1):OFFSET(T19,0,-1)),""))))</f>
        <v>5.2857142857142856</v>
      </c>
      <c r="U19" s="21" t="str">
        <f ca="1">IF(Таблица62[[#This Row],[''Б/К]]="Б",IF(Таблица62[[#This Row],[Столбец18]]="-","-",""),"")</f>
        <v/>
      </c>
      <c r="V19" s="58"/>
      <c r="W19" s="12"/>
    </row>
    <row r="20" spans="1:23" ht="15" customHeight="1" x14ac:dyDescent="0.25">
      <c r="A20" s="60"/>
      <c r="B20" s="58"/>
      <c r="C20" s="30" t="s">
        <v>80</v>
      </c>
      <c r="D20" s="31">
        <f t="shared" ca="1" si="2"/>
        <v>9</v>
      </c>
      <c r="E20" s="29" t="s">
        <v>92</v>
      </c>
      <c r="F20" s="43">
        <v>8</v>
      </c>
      <c r="G20" s="43">
        <v>8</v>
      </c>
      <c r="H20" s="43">
        <v>8</v>
      </c>
      <c r="I20" s="43">
        <v>10</v>
      </c>
      <c r="J20" s="43">
        <v>5</v>
      </c>
      <c r="K20" s="43">
        <v>7</v>
      </c>
      <c r="L20" s="43">
        <v>7</v>
      </c>
      <c r="M20" s="43">
        <v>8</v>
      </c>
      <c r="N20" s="43">
        <v>4</v>
      </c>
      <c r="O20" s="43">
        <v>6</v>
      </c>
      <c r="P20" s="43">
        <v>4</v>
      </c>
      <c r="Q20" s="43">
        <v>4</v>
      </c>
      <c r="R20" s="43">
        <v>8</v>
      </c>
      <c r="S20" s="43">
        <v>5</v>
      </c>
      <c r="T20" s="32">
        <f ca="1">IF(COUNTIF(OFFSET(Таблица62[[#This Row],[Прізвище, ім’я, по батькові]],0,1):OFFSET(T20,0,-1),"=*")&gt;0,"-",IF(COUNTIF(OFFSET(Таблица62[[#This Row],[Прізвище, ім’я, по батькові]],0,1):OFFSET(T20,0,-1),"&lt;4")&gt;0,"-",(IFERROR(AVERAGE(OFFSET(Таблица62[[#This Row],[Прізвище, ім’я, по батькові]],0,1):OFFSET(T20,0,-1)),""))))</f>
        <v>6.5714285714285712</v>
      </c>
      <c r="U20" s="21" t="str">
        <f ca="1">IF(Таблица62[[#This Row],[''Б/К]]="Б",IF(Таблица62[[#This Row],[Столбец18]]="-","-",""),"")</f>
        <v/>
      </c>
      <c r="V20" s="58"/>
      <c r="W20" s="12"/>
    </row>
    <row r="21" spans="1:23" ht="15" customHeight="1" x14ac:dyDescent="0.25">
      <c r="A21" s="60"/>
      <c r="B21" s="58"/>
      <c r="C21" s="30" t="s">
        <v>80</v>
      </c>
      <c r="D21" s="31">
        <f t="shared" ref="D21:D24" ca="1" si="3">OFFSET(D21,-1,0)+1</f>
        <v>10</v>
      </c>
      <c r="E21" s="29" t="s">
        <v>93</v>
      </c>
      <c r="F21" s="43">
        <v>6</v>
      </c>
      <c r="G21" s="43">
        <v>5</v>
      </c>
      <c r="H21" s="43">
        <v>6</v>
      </c>
      <c r="I21" s="43">
        <v>5</v>
      </c>
      <c r="J21" s="43">
        <v>4</v>
      </c>
      <c r="K21" s="43">
        <v>5</v>
      </c>
      <c r="L21" s="43">
        <v>4</v>
      </c>
      <c r="M21" s="43">
        <v>5</v>
      </c>
      <c r="N21" s="43">
        <v>7</v>
      </c>
      <c r="O21" s="43">
        <v>4</v>
      </c>
      <c r="P21" s="43">
        <v>4</v>
      </c>
      <c r="Q21" s="43">
        <v>7</v>
      </c>
      <c r="R21" s="43">
        <v>4</v>
      </c>
      <c r="S21" s="43">
        <v>7</v>
      </c>
      <c r="T21" s="32">
        <f ca="1">IF(COUNTIF(OFFSET(Таблица62[[#This Row],[Прізвище, ім’я, по батькові]],0,1):OFFSET(T21,0,-1),"=*")&gt;0,"-",IF(COUNTIF(OFFSET(Таблица62[[#This Row],[Прізвище, ім’я, по батькові]],0,1):OFFSET(T21,0,-1),"&lt;4")&gt;0,"-",(IFERROR(AVERAGE(OFFSET(Таблица62[[#This Row],[Прізвище, ім’я, по батькові]],0,1):OFFSET(T21,0,-1)),""))))</f>
        <v>5.2142857142857144</v>
      </c>
      <c r="U21" s="22" t="str">
        <f ca="1">IF(Таблица62[[#This Row],[''Б/К]]="Б",IF(Таблица62[[#This Row],[Столбец18]]="-","-",""),"")</f>
        <v/>
      </c>
      <c r="V21" s="58"/>
      <c r="W21" s="12"/>
    </row>
    <row r="22" spans="1:23" ht="15" customHeight="1" x14ac:dyDescent="0.25">
      <c r="A22" s="60"/>
      <c r="B22" s="58"/>
      <c r="C22" s="30" t="s">
        <v>80</v>
      </c>
      <c r="D22" s="31">
        <f t="shared" ca="1" si="3"/>
        <v>11</v>
      </c>
      <c r="E22" s="29" t="s">
        <v>94</v>
      </c>
      <c r="F22" s="43">
        <v>8</v>
      </c>
      <c r="G22" s="43">
        <v>8</v>
      </c>
      <c r="H22" s="43">
        <v>8</v>
      </c>
      <c r="I22" s="43">
        <v>11</v>
      </c>
      <c r="J22" s="43">
        <v>6</v>
      </c>
      <c r="K22" s="43">
        <v>11</v>
      </c>
      <c r="L22" s="43">
        <v>5</v>
      </c>
      <c r="M22" s="43">
        <v>4</v>
      </c>
      <c r="N22" s="43">
        <v>5</v>
      </c>
      <c r="O22" s="43">
        <v>5</v>
      </c>
      <c r="P22" s="43">
        <v>6</v>
      </c>
      <c r="Q22" s="43">
        <v>5</v>
      </c>
      <c r="R22" s="43">
        <v>8</v>
      </c>
      <c r="S22" s="43">
        <v>4</v>
      </c>
      <c r="T22" s="32">
        <f ca="1">IF(COUNTIF(OFFSET(Таблица62[[#This Row],[Прізвище, ім’я, по батькові]],0,1):OFFSET(T22,0,-1),"=*")&gt;0,"-",IF(COUNTIF(OFFSET(Таблица62[[#This Row],[Прізвище, ім’я, по батькові]],0,1):OFFSET(T22,0,-1),"&lt;4")&gt;0,"-",(IFERROR(AVERAGE(OFFSET(Таблица62[[#This Row],[Прізвище, ім’я, по батькові]],0,1):OFFSET(T22,0,-1)),""))))</f>
        <v>6.7142857142857144</v>
      </c>
      <c r="U22" s="22" t="str">
        <f ca="1">IF(Таблица62[[#This Row],[''Б/К]]="Б",IF(Таблица62[[#This Row],[Столбец18]]="-","-",""),"")</f>
        <v/>
      </c>
      <c r="V22" s="58"/>
      <c r="W22" s="12"/>
    </row>
    <row r="23" spans="1:23" ht="15" customHeight="1" x14ac:dyDescent="0.25">
      <c r="A23" s="60"/>
      <c r="B23" s="58"/>
      <c r="C23" s="30" t="s">
        <v>80</v>
      </c>
      <c r="D23" s="31">
        <f t="shared" ca="1" si="3"/>
        <v>12</v>
      </c>
      <c r="E23" s="29" t="s">
        <v>95</v>
      </c>
      <c r="F23" s="43">
        <v>7</v>
      </c>
      <c r="G23" s="43">
        <v>6</v>
      </c>
      <c r="H23" s="43">
        <v>5</v>
      </c>
      <c r="I23" s="43">
        <v>5</v>
      </c>
      <c r="J23" s="43">
        <v>4</v>
      </c>
      <c r="K23" s="43">
        <v>5</v>
      </c>
      <c r="L23" s="43">
        <v>4</v>
      </c>
      <c r="M23" s="43" t="s">
        <v>100</v>
      </c>
      <c r="N23" s="43">
        <v>4</v>
      </c>
      <c r="O23" s="43">
        <v>4</v>
      </c>
      <c r="P23" s="43">
        <v>4</v>
      </c>
      <c r="Q23" s="43" t="s">
        <v>100</v>
      </c>
      <c r="R23" s="43">
        <v>4</v>
      </c>
      <c r="S23" s="43">
        <v>4</v>
      </c>
      <c r="T23" s="32" t="str">
        <f ca="1">IF(COUNTIF(OFFSET(Таблица62[[#This Row],[Прізвище, ім’я, по батькові]],0,1):OFFSET(T23,0,-1),"=*")&gt;0,"-",IF(COUNTIF(OFFSET(Таблица62[[#This Row],[Прізвище, ім’я, по батькові]],0,1):OFFSET(T23,0,-1),"&lt;4")&gt;0,"-",(IFERROR(AVERAGE(OFFSET(Таблица62[[#This Row],[Прізвище, ім’я, по батькові]],0,1):OFFSET(T23,0,-1)),""))))</f>
        <v>-</v>
      </c>
      <c r="U23" s="22" t="str">
        <f ca="1">IF(Таблица62[[#This Row],[''Б/К]]="Б",IF(Таблица62[[#This Row],[Столбец18]]="-","-",""),"")</f>
        <v>-</v>
      </c>
      <c r="V23" s="58"/>
      <c r="W23" s="12"/>
    </row>
    <row r="24" spans="1:23" ht="15" customHeight="1" x14ac:dyDescent="0.25">
      <c r="A24" s="60"/>
      <c r="B24" s="58"/>
      <c r="C24" s="30" t="s">
        <v>80</v>
      </c>
      <c r="D24" s="31">
        <f t="shared" ca="1" si="3"/>
        <v>13</v>
      </c>
      <c r="E24" s="29" t="s">
        <v>96</v>
      </c>
      <c r="F24" s="43">
        <v>6</v>
      </c>
      <c r="G24" s="43">
        <v>6</v>
      </c>
      <c r="H24" s="43">
        <v>6</v>
      </c>
      <c r="I24" s="43">
        <v>6</v>
      </c>
      <c r="J24" s="43" t="s">
        <v>100</v>
      </c>
      <c r="K24" s="43">
        <v>6</v>
      </c>
      <c r="L24" s="43">
        <v>4</v>
      </c>
      <c r="M24" s="43">
        <v>5</v>
      </c>
      <c r="N24" s="43">
        <v>4</v>
      </c>
      <c r="O24" s="43">
        <v>4</v>
      </c>
      <c r="P24" s="43">
        <v>4</v>
      </c>
      <c r="Q24" s="43" t="s">
        <v>100</v>
      </c>
      <c r="R24" s="43">
        <v>4</v>
      </c>
      <c r="S24" s="43" t="s">
        <v>100</v>
      </c>
      <c r="T24" s="32" t="str">
        <f ca="1">IF(COUNTIF(OFFSET(Таблица62[[#This Row],[Прізвище, ім’я, по батькові]],0,1):OFFSET(T24,0,-1),"=*")&gt;0,"-",IF(COUNTIF(OFFSET(Таблица62[[#This Row],[Прізвище, ім’я, по батькові]],0,1):OFFSET(T24,0,-1),"&lt;4")&gt;0,"-",(IFERROR(AVERAGE(OFFSET(Таблица62[[#This Row],[Прізвище, ім’я, по батькові]],0,1):OFFSET(T24,0,-1)),""))))</f>
        <v>-</v>
      </c>
      <c r="U24" s="22" t="str">
        <f ca="1">IF(Таблица62[[#This Row],[''Б/К]]="Б",IF(Таблица62[[#This Row],[Столбец18]]="-","-",""),"")</f>
        <v>-</v>
      </c>
      <c r="V24" s="58"/>
      <c r="W24" s="12"/>
    </row>
    <row r="25" spans="1:23" ht="15" customHeight="1" x14ac:dyDescent="0.25">
      <c r="A25" s="60"/>
      <c r="B25" s="58"/>
      <c r="C25" s="35"/>
      <c r="D25" s="35"/>
      <c r="E25" s="5" t="s">
        <v>8</v>
      </c>
      <c r="F25" s="26">
        <f ca="1">IF(SUM(OFFSET(Таблица62[[#Headers],[1]],1,0):OFFSET(F25, -1, 0))=0,"",SUM(OFFSET(Таблица62[[#Headers],[1]],1,0):OFFSET(F25, -1, 0))/OFFSET($D25, -1, 0))</f>
        <v>6.7692307692307692</v>
      </c>
      <c r="G25" s="26">
        <f ca="1">IF(SUM(OFFSET(Таблица62[[#Headers],[2]],1,0):OFFSET(G25, -1, 0))=0,"",SUM(OFFSET(Таблица62[[#Headers],[2]],1,0):OFFSET(G25, -1, 0))/OFFSET($D25, -1, 0))</f>
        <v>6.5384615384615383</v>
      </c>
      <c r="H25" s="26">
        <f ca="1">IF(SUM(OFFSET(Таблица62[[#Headers],[3]],1,0):OFFSET(H25, -1, 0))=0,"",SUM(OFFSET(Таблица62[[#Headers],[3]],1,0):OFFSET(H25, -1, 0))/OFFSET($D25, -1, 0))</f>
        <v>6.1538461538461542</v>
      </c>
      <c r="I25" s="26">
        <f ca="1">IF(SUM(OFFSET(Таблица62[[#Headers],[4]],1,0):OFFSET(I25, -1, 0))=0,"",SUM(OFFSET(Таблица62[[#Headers],[4]],1,0):OFFSET(I25, -1, 0))/OFFSET($D25, -1, 0))</f>
        <v>6.8461538461538458</v>
      </c>
      <c r="J25" s="26">
        <f ca="1">IF(SUM(OFFSET(Таблица62[[#Headers],[5]],1,0):OFFSET(J25, -1, 0))=0,"",SUM(OFFSET(Таблица62[[#Headers],[5]],1,0):OFFSET(J25, -1, 0))/OFFSET($D25, -1, 0))</f>
        <v>3.7692307692307692</v>
      </c>
      <c r="K25" s="26">
        <f ca="1">IF(SUM(OFFSET(Таблица62[[#Headers],[6]],1,0):OFFSET(K25, -1, 0))=0,"",SUM(OFFSET(Таблица62[[#Headers],[6]],1,0):OFFSET(K25, -1, 0))/OFFSET($D25, -1, 0))</f>
        <v>6.4615384615384617</v>
      </c>
      <c r="L25" s="26">
        <f ca="1">IF(SUM(OFFSET(Таблица62[[#Headers],[7]],1,0):OFFSET(L25, -1, 0))=0,"",SUM(OFFSET(Таблица62[[#Headers],[7]],1,0):OFFSET(L25, -1, 0))/OFFSET($D25, -1, 0))</f>
        <v>5.5384615384615383</v>
      </c>
      <c r="M25" s="26">
        <f ca="1">IF(SUM(OFFSET(Таблица62[[#Headers],[8]],1,0):OFFSET(M25, -1, 0))=0,"",SUM(OFFSET(Таблица62[[#Headers],[8]],1,0):OFFSET(M25, -1, 0))/OFFSET($D25, -1, 0))</f>
        <v>4.8461538461538458</v>
      </c>
      <c r="N25" s="26">
        <f ca="1">IF(SUM(OFFSET(Таблица62[[#Headers],[9]],1,0):OFFSET(N25, -1, 0))=0,"",SUM(OFFSET(Таблица62[[#Headers],[9]],1,0):OFFSET(N25, -1, 0))/OFFSET($D25, -1, 0))</f>
        <v>4.9230769230769234</v>
      </c>
      <c r="O25" s="26">
        <f ca="1">IF(SUM(OFFSET(Таблица62[[#Headers],[10]],1,0):OFFSET(O25, -1, 0))=0,"",SUM(OFFSET(Таблица62[[#Headers],[10]],1,0):OFFSET(O25, -1, 0))/OFFSET($D25, -1, 0))</f>
        <v>4.9230769230769234</v>
      </c>
      <c r="P25" s="26">
        <f ca="1">IF(SUM(OFFSET(Таблица62[[#Headers],[11]],1,0):OFFSET(P25, -1, 0))=0,"",SUM(OFFSET(Таблица62[[#Headers],[11]],1,0):OFFSET(P25, -1, 0))/OFFSET($D25, -1, 0))</f>
        <v>4.5384615384615383</v>
      </c>
      <c r="Q25" s="26">
        <f ca="1">IF(SUM(OFFSET(Таблица62[[#Headers],[12]],1,0):OFFSET(Q25, -1, 0))=0,"",SUM(OFFSET(Таблица62[[#Headers],[12]],1,0):OFFSET(Q25, -1, 0))/OFFSET($D25, -1, 0))</f>
        <v>4.1538461538461542</v>
      </c>
      <c r="R25" s="26">
        <f ca="1">IF(SUM(OFFSET(Таблица62[[#Headers],[13]],1,0):OFFSET(R25, -1, 0))=0,"",SUM(OFFSET(Таблица62[[#Headers],[13]],1,0):OFFSET(R25, -1, 0))/OFFSET($D25, -1, 0))</f>
        <v>5.6923076923076925</v>
      </c>
      <c r="S25" s="26">
        <f ca="1">IF(SUM(OFFSET(Таблица62[[#Headers],[14]],1,0):OFFSET(S25, -1, 0))=0,"",SUM(OFFSET(Таблица62[[#Headers],[14]],1,0):OFFSET(S25, -1, 0))/OFFSET($D25, -1, 0))</f>
        <v>5.0769230769230766</v>
      </c>
      <c r="T25" s="18">
        <f ca="1">IFERROR(AVERAGE(F25:S25),"")</f>
        <v>5.4450549450549461</v>
      </c>
      <c r="U25" s="23">
        <f ca="1">COUNTIF(OFFSET(Таблица62[[#Headers],["Б" и "-"]],1,0):OFFSET(U25,-1,0),"-")</f>
        <v>4</v>
      </c>
      <c r="V25" s="58"/>
      <c r="W25" s="12"/>
    </row>
    <row r="26" spans="1:23" ht="15" customHeight="1" x14ac:dyDescent="0.25">
      <c r="A26" s="60"/>
      <c r="B26" s="58"/>
      <c r="C26" s="35"/>
      <c r="D26" s="35"/>
      <c r="E26" s="5" t="s">
        <v>9</v>
      </c>
      <c r="F26" s="27">
        <f ca="1">IF(SUM(OFFSET(Таблица62[[#Headers],[1]],1,0):OFFSET(F25, -1, 0))=0,"",IF(COUNTIF(OFFSET(Таблица62[[#Headers],[1]],1,0):OFFSET(F25, -1, 0),"&gt;=4")=0,0,COUNTIF(OFFSET(Таблица62[[#Headers],[1]],1,0):OFFSET(F25, -1, 0),"&gt;=4")/OFFSET($D25, -1, 0)*100))</f>
        <v>100</v>
      </c>
      <c r="G26" s="27">
        <f ca="1">IF(SUM(OFFSET(Таблица62[[#Headers],[2]],1,0):OFFSET(G25, -1, 0))=0,"",IF(COUNTIF(OFFSET(Таблица62[[#Headers],[2]],1,0):OFFSET(G25, -1, 0),"&gt;=4")=0,0,COUNTIF(OFFSET(Таблица62[[#Headers],[2]],1,0):OFFSET(G25, -1, 0),"&gt;=4")/OFFSET($D25, -1, 0)*100))</f>
        <v>100</v>
      </c>
      <c r="H26" s="27">
        <f ca="1">IF(SUM(OFFSET(Таблица62[[#Headers],[3]],1,0):OFFSET(H25, -1, 0))=0,"",IF(COUNTIF(OFFSET(Таблица62[[#Headers],[3]],1,0):OFFSET(H25, -1, 0),"&gt;=4")=0,0,COUNTIF(OFFSET(Таблица62[[#Headers],[3]],1,0):OFFSET(H25, -1, 0),"&gt;=4")/OFFSET($D25, -1, 0)*100))</f>
        <v>100</v>
      </c>
      <c r="I26" s="27">
        <f ca="1">IF(SUM(OFFSET(Таблица62[[#Headers],[4]],1,0):OFFSET(I25, -1, 0))=0,"",IF(COUNTIF(OFFSET(Таблица62[[#Headers],[4]],1,0):OFFSET(I25, -1, 0),"&gt;=4")=0,0,COUNTIF(OFFSET(Таблица62[[#Headers],[4]],1,0):OFFSET(I25, -1, 0),"&gt;=4")/OFFSET($D25, -1, 0)*100))</f>
        <v>100</v>
      </c>
      <c r="J26" s="27">
        <f ca="1">IF(SUM(OFFSET(Таблица62[[#Headers],[5]],1,0):OFFSET(J25, -1, 0))=0,"",IF(COUNTIF(OFFSET(Таблица62[[#Headers],[5]],1,0):OFFSET(J25, -1, 0),"&gt;=4")=0,0,COUNTIF(OFFSET(Таблица62[[#Headers],[5]],1,0):OFFSET(J25, -1, 0),"&gt;=4")/OFFSET($D25, -1, 0)*100))</f>
        <v>76.923076923076934</v>
      </c>
      <c r="K26" s="27">
        <f ca="1">IF(SUM(OFFSET(Таблица62[[#Headers],[6]],1,0):OFFSET(K25, -1, 0))=0,"",IF(COUNTIF(OFFSET(Таблица62[[#Headers],[6]],1,0):OFFSET(K25, -1, 0),"&gt;=4")=0,0,COUNTIF(OFFSET(Таблица62[[#Headers],[6]],1,0):OFFSET(K25, -1, 0),"&gt;=4")/OFFSET($D25, -1, 0)*100))</f>
        <v>100</v>
      </c>
      <c r="L26" s="27">
        <f ca="1">IF(SUM(OFFSET(Таблица62[[#Headers],[7]],1,0):OFFSET(L25, -1, 0))=0,"",IF(COUNTIF(OFFSET(Таблица62[[#Headers],[7]],1,0):OFFSET(L25, -1, 0),"&gt;=4")=0,0,COUNTIF(OFFSET(Таблица62[[#Headers],[7]],1,0):OFFSET(L25, -1, 0),"&gt;=4")/OFFSET($D25, -1, 0)*100))</f>
        <v>100</v>
      </c>
      <c r="M26" s="27">
        <f ca="1">IF(SUM(OFFSET(Таблица62[[#Headers],[8]],1,0):OFFSET(M25, -1, 0))=0,"",IF(COUNTIF(OFFSET(Таблица62[[#Headers],[8]],1,0):OFFSET(M25, -1, 0),"&gt;=4")=0,0,COUNTIF(OFFSET(Таблица62[[#Headers],[8]],1,0):OFFSET(M25, -1, 0),"&gt;=4")/OFFSET($D25, -1, 0)*100))</f>
        <v>84.615384615384613</v>
      </c>
      <c r="N26" s="27">
        <f ca="1">IF(SUM(OFFSET(Таблица62[[#Headers],[9]],1,0):OFFSET(N25, -1, 0))=0,"",IF(COUNTIF(OFFSET(Таблица62[[#Headers],[9]],1,0):OFFSET(N25, -1, 0),"&gt;=4")=0,0,COUNTIF(OFFSET(Таблица62[[#Headers],[9]],1,0):OFFSET(N25, -1, 0),"&gt;=4")/OFFSET($D25, -1, 0)*100))</f>
        <v>84.615384615384613</v>
      </c>
      <c r="O26" s="27">
        <f ca="1">IF(SUM(OFFSET(Таблица62[[#Headers],[10]],1,0):OFFSET(O25, -1, 0))=0,"",IF(COUNTIF(OFFSET(Таблица62[[#Headers],[10]],1,0):OFFSET(O25, -1, 0),"&gt;=4")=0,0,COUNTIF(OFFSET(Таблица62[[#Headers],[10]],1,0):OFFSET(O25, -1, 0),"&gt;=4")/OFFSET($D25, -1, 0)*100))</f>
        <v>100</v>
      </c>
      <c r="P26" s="27">
        <f ca="1">IF(SUM(OFFSET(Таблица62[[#Headers],[11]],1,0):OFFSET(P25, -1, 0))=0,"",IF(COUNTIF(OFFSET(Таблица62[[#Headers],[11]],1,0):OFFSET(P25, -1, 0),"&gt;=4")=0,0,COUNTIF(OFFSET(Таблица62[[#Headers],[11]],1,0):OFFSET(P25, -1, 0),"&gt;=4")/OFFSET($D25, -1, 0)*100))</f>
        <v>100</v>
      </c>
      <c r="Q26" s="27">
        <f ca="1">IF(SUM(OFFSET(Таблица62[[#Headers],[12]],1,0):OFFSET(Q25, -1, 0))=0,"",IF(COUNTIF(OFFSET(Таблица62[[#Headers],[12]],1,0):OFFSET(Q25, -1, 0),"&gt;=4")=0,0,COUNTIF(OFFSET(Таблица62[[#Headers],[12]],1,0):OFFSET(Q25, -1, 0),"&gt;=4")/OFFSET($D25, -1, 0)*100))</f>
        <v>69.230769230769226</v>
      </c>
      <c r="R26" s="27">
        <f ca="1">IF(SUM(OFFSET(Таблица62[[#Headers],[13]],1,0):OFFSET(R25, -1, 0))=0,"",IF(COUNTIF(OFFSET(Таблица62[[#Headers],[13]],1,0):OFFSET(R25, -1, 0),"&gt;=4")=0,0,COUNTIF(OFFSET(Таблица62[[#Headers],[13]],1,0):OFFSET(R25, -1, 0),"&gt;=4")/OFFSET($D25, -1, 0)*100))</f>
        <v>100</v>
      </c>
      <c r="S26" s="27">
        <f ca="1">IF(SUM(OFFSET(Таблица62[[#Headers],[14]],1,0):OFFSET(S25, -1, 0))=0,"",IF(COUNTIF(OFFSET(Таблица62[[#Headers],[14]],1,0):OFFSET(S25, -1, 0),"&gt;=4")=0,0,COUNTIF(OFFSET(Таблица62[[#Headers],[14]],1,0):OFFSET(S25, -1, 0),"&gt;=4")/OFFSET($D25, -1, 0)*100))</f>
        <v>92.307692307692307</v>
      </c>
      <c r="T26" s="7"/>
      <c r="U26" s="7"/>
      <c r="V26" s="58"/>
      <c r="W26" s="12"/>
    </row>
    <row r="27" spans="1:23" ht="15" customHeight="1" x14ac:dyDescent="0.25">
      <c r="A27" s="60"/>
      <c r="B27" s="58"/>
      <c r="C27" s="35"/>
      <c r="D27" s="35"/>
      <c r="E27" s="5" t="s">
        <v>10</v>
      </c>
      <c r="F27" s="27">
        <f ca="1">IF(SUM(OFFSET(Таблица62[[#Headers],[1]],1,0):OFFSET(F25, -1, 0))=0,"",IF(COUNTIF(OFFSET(Таблица62[[#Headers],[1]],1,0):OFFSET(F25, -1, 0),"&gt;=7")=0,0,COUNTIF(OFFSET(Таблица62[[#Headers],[1]],1,0):OFFSET(F25, -1, 0),"&gt;=7")/OFFSET($D25, -1, 0)*100))</f>
        <v>38.461538461538467</v>
      </c>
      <c r="G27" s="27">
        <f ca="1">IF(SUM(OFFSET(Таблица62[[#Headers],[2]],1,0):OFFSET(G25, -1, 0))=0,"",IF(COUNTIF(OFFSET(Таблица62[[#Headers],[2]],1,0):OFFSET(G25, -1, 0),"&gt;=7")=0,0,COUNTIF(OFFSET(Таблица62[[#Headers],[2]],1,0):OFFSET(G25, -1, 0),"&gt;=7")/OFFSET($D25, -1, 0)*100))</f>
        <v>38.461538461538467</v>
      </c>
      <c r="H27" s="27">
        <f ca="1">IF(SUM(OFFSET(Таблица62[[#Headers],[3]],1,0):OFFSET(H25, -1, 0))=0,"",IF(COUNTIF(OFFSET(Таблица62[[#Headers],[3]],1,0):OFFSET(H25, -1, 0),"&gt;=7")=0,0,COUNTIF(OFFSET(Таблица62[[#Headers],[3]],1,0):OFFSET(H25, -1, 0),"&gt;=7")/OFFSET($D25, -1, 0)*100))</f>
        <v>30.76923076923077</v>
      </c>
      <c r="I27" s="27">
        <f ca="1">IF(SUM(OFFSET(Таблица62[[#Headers],[4]],1,0):OFFSET(I25, -1, 0))=0,"",IF(COUNTIF(OFFSET(Таблица62[[#Headers],[4]],1,0):OFFSET(I25, -1, 0),"&gt;=7")=0,0,COUNTIF(OFFSET(Таблица62[[#Headers],[4]],1,0):OFFSET(I25, -1, 0),"&gt;=7")/OFFSET($D25, -1, 0)*100))</f>
        <v>38.461538461538467</v>
      </c>
      <c r="J27" s="27">
        <f ca="1">IF(SUM(OFFSET(Таблица62[[#Headers],[5]],1,0):OFFSET(J25, -1, 0))=0,"",IF(COUNTIF(OFFSET(Таблица62[[#Headers],[5]],1,0):OFFSET(J25, -1, 0),"&gt;=7")=0,0,COUNTIF(OFFSET(Таблица62[[#Headers],[5]],1,0):OFFSET(J25, -1, 0),"&gt;=7")/OFFSET($D25, -1, 0)*100))</f>
        <v>7.6923076923076925</v>
      </c>
      <c r="K27" s="27">
        <f ca="1">IF(SUM(OFFSET(Таблица62[[#Headers],[6]],1,0):OFFSET(K25, -1, 0))=0,"",IF(COUNTIF(OFFSET(Таблица62[[#Headers],[6]],1,0):OFFSET(K25, -1, 0),"&gt;=7")=0,0,COUNTIF(OFFSET(Таблица62[[#Headers],[6]],1,0):OFFSET(K25, -1, 0),"&gt;=7")/OFFSET($D25, -1, 0)*100))</f>
        <v>38.461538461538467</v>
      </c>
      <c r="L27" s="27">
        <f ca="1">IF(SUM(OFFSET(Таблица62[[#Headers],[7]],1,0):OFFSET(L25, -1, 0))=0,"",IF(COUNTIF(OFFSET(Таблица62[[#Headers],[7]],1,0):OFFSET(L25, -1, 0),"&gt;=7")=0,0,COUNTIF(OFFSET(Таблица62[[#Headers],[7]],1,0):OFFSET(L25, -1, 0),"&gt;=7")/OFFSET($D25, -1, 0)*100))</f>
        <v>38.461538461538467</v>
      </c>
      <c r="M27" s="27">
        <f ca="1">IF(SUM(OFFSET(Таблица62[[#Headers],[8]],1,0):OFFSET(M25, -1, 0))=0,"",IF(COUNTIF(OFFSET(Таблица62[[#Headers],[8]],1,0):OFFSET(M25, -1, 0),"&gt;=7")=0,0,COUNTIF(OFFSET(Таблица62[[#Headers],[8]],1,0):OFFSET(M25, -1, 0),"&gt;=7")/OFFSET($D25, -1, 0)*100))</f>
        <v>23.076923076923077</v>
      </c>
      <c r="N27" s="27">
        <f ca="1">IF(SUM(OFFSET(Таблица62[[#Headers],[9]],1,0):OFFSET(N25, -1, 0))=0,"",IF(COUNTIF(OFFSET(Таблица62[[#Headers],[9]],1,0):OFFSET(N25, -1, 0),"&gt;=7")=0,0,COUNTIF(OFFSET(Таблица62[[#Headers],[9]],1,0):OFFSET(N25, -1, 0),"&gt;=7")/OFFSET($D25, -1, 0)*100))</f>
        <v>30.76923076923077</v>
      </c>
      <c r="O27" s="27">
        <f ca="1">IF(SUM(OFFSET(Таблица62[[#Headers],[10]],1,0):OFFSET(O25, -1, 0))=0,"",IF(COUNTIF(OFFSET(Таблица62[[#Headers],[10]],1,0):OFFSET(O25, -1, 0),"&gt;=7")=0,0,COUNTIF(OFFSET(Таблица62[[#Headers],[10]],1,0):OFFSET(O25, -1, 0),"&gt;=7")/OFFSET($D25, -1, 0)*100))</f>
        <v>15.384615384615385</v>
      </c>
      <c r="P27" s="27">
        <f ca="1">IF(SUM(OFFSET(Таблица62[[#Headers],[11]],1,0):OFFSET(P25, -1, 0))=0,"",IF(COUNTIF(OFFSET(Таблица62[[#Headers],[11]],1,0):OFFSET(P25, -1, 0),"&gt;=7")=0,0,COUNTIF(OFFSET(Таблица62[[#Headers],[11]],1,0):OFFSET(P25, -1, 0),"&gt;=7")/OFFSET($D25, -1, 0)*100))</f>
        <v>7.6923076923076925</v>
      </c>
      <c r="Q27" s="27">
        <f ca="1">IF(SUM(OFFSET(Таблица62[[#Headers],[12]],1,0):OFFSET(Q25, -1, 0))=0,"",IF(COUNTIF(OFFSET(Таблица62[[#Headers],[12]],1,0):OFFSET(Q25, -1, 0),"&gt;=7")=0,0,COUNTIF(OFFSET(Таблица62[[#Headers],[12]],1,0):OFFSET(Q25, -1, 0),"&gt;=7")/OFFSET($D25, -1, 0)*100))</f>
        <v>38.461538461538467</v>
      </c>
      <c r="R27" s="27">
        <f ca="1">IF(SUM(OFFSET(Таблица62[[#Headers],[13]],1,0):OFFSET(R25, -1, 0))=0,"",IF(COUNTIF(OFFSET(Таблица62[[#Headers],[13]],1,0):OFFSET(R25, -1, 0),"&gt;=7")=0,0,COUNTIF(OFFSET(Таблица62[[#Headers],[13]],1,0):OFFSET(R25, -1, 0),"&gt;=7")/OFFSET($D25, -1, 0)*100))</f>
        <v>38.461538461538467</v>
      </c>
      <c r="S27" s="27">
        <f ca="1">IF(SUM(OFFSET(Таблица62[[#Headers],[14]],1,0):OFFSET(S25, -1, 0))=0,"",IF(COUNTIF(OFFSET(Таблица62[[#Headers],[14]],1,0):OFFSET(S25, -1, 0),"&gt;=7")=0,0,COUNTIF(OFFSET(Таблица62[[#Headers],[14]],1,0):OFFSET(S25, -1, 0),"&gt;=7")/OFFSET($D25, -1, 0)*100))</f>
        <v>23.076923076923077</v>
      </c>
      <c r="T27" s="35"/>
      <c r="U27" s="35"/>
      <c r="V27" s="58"/>
      <c r="W27" s="12"/>
    </row>
    <row r="28" spans="1:23" ht="15" customHeight="1" x14ac:dyDescent="0.25">
      <c r="A28" s="60"/>
      <c r="B28" s="58"/>
      <c r="C28" s="35"/>
      <c r="D28" s="35"/>
      <c r="E28" s="5" t="s">
        <v>11</v>
      </c>
      <c r="F28" s="26">
        <f ca="1">IF(COUNT(F26:S26)&lt;14,"",AVERAGE(F26:S26))</f>
        <v>93.406593406593416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58"/>
      <c r="W28" s="12"/>
    </row>
    <row r="29" spans="1:23" ht="15" customHeight="1" x14ac:dyDescent="0.25">
      <c r="A29" s="60"/>
      <c r="B29" s="58"/>
      <c r="C29" s="35"/>
      <c r="D29" s="35"/>
      <c r="E29" s="5" t="s">
        <v>12</v>
      </c>
      <c r="F29" s="26">
        <f ca="1">IF(COUNT(F27:S27)&lt;14,"",AVERAGE(F27:S27))</f>
        <v>29.120879120879117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58"/>
      <c r="W29" s="12"/>
    </row>
    <row r="30" spans="1:23" ht="15" customHeight="1" x14ac:dyDescent="0.25">
      <c r="A30" s="60"/>
      <c r="B30" s="58"/>
      <c r="C30" s="35"/>
      <c r="D30" s="35"/>
      <c r="E30" s="5" t="s">
        <v>13</v>
      </c>
      <c r="F30" s="38">
        <f ca="1">IF(COUNTIF(OFFSET(Таблица62[[#Headers],[''Б/К]],1,0):OFFSET($C25, -1, 0),"=Б")=0,IF(COUNTIF(OFFSET(Таблица62[[#Headers],[''Б/К]],1,0):OFFSET($C25, -1, 0),"=К")=0,"",0),COUNTIF(OFFSET(Таблица62[[#Headers],[''Б/К]],1,0):OFFSET($C25, -1, 0),"=Б"))</f>
        <v>10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58"/>
      <c r="W30" s="12"/>
    </row>
    <row r="31" spans="1:23" ht="15" customHeight="1" x14ac:dyDescent="0.25">
      <c r="A31" s="60"/>
      <c r="B31" s="58"/>
      <c r="C31" s="35"/>
      <c r="D31" s="35"/>
      <c r="E31" s="5" t="s">
        <v>14</v>
      </c>
      <c r="F31" s="38">
        <f ca="1">IF(COUNTIF(OFFSET(Таблица62[[#Headers],[''Б/К]],1,0):OFFSET($C25, -1, 0),"=К")=0,IF(COUNTIF(OFFSET(Таблица62[[#Headers],[''Б/К]],1,0):OFFSET($C25, -1, 0),"=Б")=0,"",0),COUNTIF(OFFSET(Таблица62[[#Headers],[''Б/К]],1,0):OFFSET($C25, -1, 0),"=К"))</f>
        <v>3</v>
      </c>
      <c r="G31" s="35"/>
      <c r="H31" s="40" t="s">
        <v>15</v>
      </c>
      <c r="I31" s="41"/>
      <c r="J31" s="41"/>
      <c r="K31" s="41"/>
      <c r="L31" s="41"/>
      <c r="M31" s="41"/>
      <c r="N31" s="40"/>
      <c r="O31" s="42" t="s">
        <v>82</v>
      </c>
      <c r="P31" s="24"/>
      <c r="Q31" s="25"/>
      <c r="R31" s="24"/>
      <c r="S31" s="35"/>
      <c r="T31" s="35"/>
      <c r="U31" s="35"/>
      <c r="V31" s="58"/>
      <c r="W31" s="12"/>
    </row>
    <row r="32" spans="1:23" ht="15" customHeight="1" x14ac:dyDescent="0.25">
      <c r="A32" s="60"/>
      <c r="B32" s="58"/>
      <c r="C32" s="35"/>
      <c r="D32" s="35"/>
      <c r="E32" s="5" t="s">
        <v>16</v>
      </c>
      <c r="F32" s="28">
        <v>3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58"/>
      <c r="W32" s="12"/>
    </row>
    <row r="33" spans="1:23" ht="15" customHeight="1" x14ac:dyDescent="0.25">
      <c r="A33" s="60"/>
      <c r="B33" s="58"/>
      <c r="C33" s="35"/>
      <c r="D33" s="35"/>
      <c r="E33" s="5" t="s">
        <v>17</v>
      </c>
      <c r="F33" s="38">
        <f ca="1">IF(F30="","",IF(ROUNDDOWN(F30/100*40,0)&lt;F30-U25,ROUNDDOWN(F30/100*40,0),F30-U25))</f>
        <v>4</v>
      </c>
      <c r="G33" s="35"/>
      <c r="H33" s="42" t="s">
        <v>83</v>
      </c>
      <c r="I33" s="41"/>
      <c r="J33" s="41"/>
      <c r="K33" s="41"/>
      <c r="L33" s="41"/>
      <c r="M33" s="41"/>
      <c r="N33" s="40"/>
      <c r="O33" s="42" t="s">
        <v>18</v>
      </c>
      <c r="P33" s="25"/>
      <c r="Q33" s="25"/>
      <c r="R33" s="25"/>
      <c r="S33" s="35"/>
      <c r="T33" s="35"/>
      <c r="U33" s="35"/>
      <c r="V33" s="58"/>
      <c r="W33" s="12"/>
    </row>
    <row r="34" spans="1:23" ht="12" customHeight="1" thickBot="1" x14ac:dyDescent="0.3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12"/>
    </row>
    <row r="35" spans="1:23" ht="12" customHeight="1" x14ac:dyDescent="0.25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</sheetData>
  <sheetProtection formatCells="0" insertColumns="0" insertRows="0" deleteColumns="0" deleteRows="0" sort="0"/>
  <mergeCells count="17">
    <mergeCell ref="B1:V1"/>
    <mergeCell ref="A2:A34"/>
    <mergeCell ref="B2:V2"/>
    <mergeCell ref="B3:B33"/>
    <mergeCell ref="C3:T3"/>
    <mergeCell ref="V3:V33"/>
    <mergeCell ref="C4:T4"/>
    <mergeCell ref="C5:T5"/>
    <mergeCell ref="C6:T6"/>
    <mergeCell ref="C7:T7"/>
    <mergeCell ref="B35:V35"/>
    <mergeCell ref="C8:T8"/>
    <mergeCell ref="C9:C10"/>
    <mergeCell ref="D9:D10"/>
    <mergeCell ref="E9:E10"/>
    <mergeCell ref="F9:T9"/>
    <mergeCell ref="B34:V34"/>
  </mergeCells>
  <conditionalFormatting sqref="C21 E21">
    <cfRule type="expression" dxfId="85" priority="3">
      <formula>$V$21&lt;&gt;""</formula>
    </cfRule>
  </conditionalFormatting>
  <conditionalFormatting sqref="C22:C24 E22:E24">
    <cfRule type="expression" dxfId="84" priority="4">
      <formula>$V$22&lt;&gt;""</formula>
    </cfRule>
  </conditionalFormatting>
  <conditionalFormatting sqref="D21:D24 C12:E20">
    <cfRule type="expression" dxfId="83" priority="2">
      <formula>$V$12&lt;&gt;""</formula>
    </cfRule>
  </conditionalFormatting>
  <conditionalFormatting sqref="T12:U24">
    <cfRule type="expression" dxfId="82" priority="5">
      <formula>#REF!&lt;&gt;""</formula>
    </cfRule>
  </conditionalFormatting>
  <conditionalFormatting sqref="F12:S24">
    <cfRule type="expression" dxfId="81" priority="1">
      <formula>$V$12&lt;&gt;""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23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2" width="11.28515625" style="1" hidden="1" customWidth="1"/>
    <col min="23" max="24" width="2.7109375" style="1" customWidth="1"/>
    <col min="25" max="30" width="14.42578125" style="1" hidden="1" customWidth="1"/>
    <col min="31" max="31" width="14.85546875" style="1" hidden="1" customWidth="1"/>
    <col min="32" max="45" width="3.7109375" style="1" hidden="1" customWidth="1"/>
    <col min="46" max="70" width="5.7109375" style="1" hidden="1" customWidth="1"/>
    <col min="71" max="16384" width="14.42578125" style="1" hidden="1"/>
  </cols>
  <sheetData>
    <row r="1" spans="1:24" ht="12" customHeight="1" thickBot="1" x14ac:dyDescent="0.3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4" ht="12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12"/>
    </row>
    <row r="3" spans="1:24" s="2" customFormat="1" ht="35.1" customHeight="1" x14ac:dyDescent="0.3">
      <c r="A3" s="60"/>
      <c r="B3" s="58"/>
      <c r="C3" s="62" t="s">
        <v>22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46"/>
      <c r="W3" s="58"/>
      <c r="X3" s="12"/>
    </row>
    <row r="4" spans="1:24" s="2" customFormat="1" ht="15" customHeight="1" x14ac:dyDescent="0.25">
      <c r="A4" s="60"/>
      <c r="B4" s="58"/>
      <c r="C4" s="58" t="s">
        <v>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45"/>
      <c r="W4" s="58"/>
      <c r="X4" s="12"/>
    </row>
    <row r="5" spans="1:24" s="3" customFormat="1" ht="15" customHeight="1" x14ac:dyDescent="0.25">
      <c r="A5" s="60"/>
      <c r="B5" s="58"/>
      <c r="C5" s="64" t="s">
        <v>103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47"/>
      <c r="W5" s="58"/>
      <c r="X5" s="12"/>
    </row>
    <row r="6" spans="1:24" s="2" customFormat="1" ht="15" customHeight="1" x14ac:dyDescent="0.25">
      <c r="A6" s="60"/>
      <c r="B6" s="58"/>
      <c r="C6" s="65" t="s">
        <v>46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45"/>
      <c r="W6" s="58"/>
      <c r="X6" s="12"/>
    </row>
    <row r="7" spans="1:24" s="2" customFormat="1" ht="15" customHeight="1" x14ac:dyDescent="0.25">
      <c r="A7" s="60"/>
      <c r="B7" s="58"/>
      <c r="C7" s="65" t="s">
        <v>44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45"/>
      <c r="W7" s="58"/>
      <c r="X7" s="12"/>
    </row>
    <row r="8" spans="1:24" s="2" customFormat="1" ht="15" customHeight="1" x14ac:dyDescent="0.25">
      <c r="A8" s="60"/>
      <c r="B8" s="58"/>
      <c r="C8" s="65" t="s">
        <v>45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45"/>
      <c r="W8" s="58"/>
      <c r="X8" s="12"/>
    </row>
    <row r="9" spans="1:24" ht="15" customHeight="1" x14ac:dyDescent="0.25">
      <c r="A9" s="60"/>
      <c r="B9" s="58"/>
      <c r="C9" s="66" t="s">
        <v>1</v>
      </c>
      <c r="D9" s="68" t="s">
        <v>2</v>
      </c>
      <c r="E9" s="68" t="s">
        <v>3</v>
      </c>
      <c r="F9" s="67" t="s">
        <v>21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44"/>
      <c r="W9" s="58"/>
      <c r="X9" s="12"/>
    </row>
    <row r="10" spans="1:24" ht="125.1" customHeight="1" x14ac:dyDescent="0.25">
      <c r="A10" s="60"/>
      <c r="B10" s="58"/>
      <c r="C10" s="67"/>
      <c r="D10" s="67"/>
      <c r="E10" s="67"/>
      <c r="F10" s="39" t="s">
        <v>4</v>
      </c>
      <c r="G10" s="39" t="s">
        <v>99</v>
      </c>
      <c r="H10" s="39" t="s">
        <v>5</v>
      </c>
      <c r="I10" s="39" t="s">
        <v>20</v>
      </c>
      <c r="J10" s="39" t="s">
        <v>28</v>
      </c>
      <c r="K10" s="39" t="s">
        <v>48</v>
      </c>
      <c r="L10" s="39" t="s">
        <v>49</v>
      </c>
      <c r="M10" s="39" t="s">
        <v>6</v>
      </c>
      <c r="N10" s="39" t="s">
        <v>50</v>
      </c>
      <c r="O10" s="39" t="s">
        <v>51</v>
      </c>
      <c r="P10" s="39" t="s">
        <v>52</v>
      </c>
      <c r="Q10" s="39" t="s">
        <v>27</v>
      </c>
      <c r="R10" s="39" t="s">
        <v>53</v>
      </c>
      <c r="S10" s="39" t="s">
        <v>54</v>
      </c>
      <c r="T10" s="4" t="s">
        <v>7</v>
      </c>
      <c r="U10" s="4" t="s">
        <v>102</v>
      </c>
      <c r="V10" s="19"/>
      <c r="W10" s="58"/>
      <c r="X10" s="12"/>
    </row>
    <row r="11" spans="1:24" ht="50.1" hidden="1" customHeight="1" x14ac:dyDescent="0.25">
      <c r="A11" s="60"/>
      <c r="B11" s="58"/>
      <c r="C11" s="14" t="s">
        <v>24</v>
      </c>
      <c r="D11" s="13" t="s">
        <v>25</v>
      </c>
      <c r="E11" s="15" t="s">
        <v>3</v>
      </c>
      <c r="F11" s="16" t="s">
        <v>29</v>
      </c>
      <c r="G11" s="16" t="s">
        <v>30</v>
      </c>
      <c r="H11" s="16" t="s">
        <v>31</v>
      </c>
      <c r="I11" s="16" t="s">
        <v>33</v>
      </c>
      <c r="J11" s="16" t="s">
        <v>32</v>
      </c>
      <c r="K11" s="16" t="s">
        <v>34</v>
      </c>
      <c r="L11" s="16" t="s">
        <v>35</v>
      </c>
      <c r="M11" s="16" t="s">
        <v>36</v>
      </c>
      <c r="N11" s="16" t="s">
        <v>37</v>
      </c>
      <c r="O11" s="16" t="s">
        <v>38</v>
      </c>
      <c r="P11" s="16" t="s">
        <v>39</v>
      </c>
      <c r="Q11" s="16" t="s">
        <v>40</v>
      </c>
      <c r="R11" s="16" t="s">
        <v>41</v>
      </c>
      <c r="S11" s="16" t="s">
        <v>42</v>
      </c>
      <c r="T11" s="17" t="s">
        <v>23</v>
      </c>
      <c r="U11" s="17" t="s">
        <v>101</v>
      </c>
      <c r="V11" s="20" t="s">
        <v>26</v>
      </c>
      <c r="W11" s="58"/>
      <c r="X11" s="12"/>
    </row>
    <row r="12" spans="1:24" ht="15" customHeight="1" x14ac:dyDescent="0.25">
      <c r="A12" s="60"/>
      <c r="B12" s="58"/>
      <c r="C12" s="51" t="s">
        <v>80</v>
      </c>
      <c r="D12" s="52">
        <f t="shared" ref="D12:D17" ca="1" si="0">OFFSET(D12,-1,0)+1</f>
        <v>1</v>
      </c>
      <c r="E12" s="53" t="s">
        <v>90</v>
      </c>
      <c r="F12" s="54">
        <v>10</v>
      </c>
      <c r="G12" s="54">
        <v>10</v>
      </c>
      <c r="H12" s="54">
        <v>10</v>
      </c>
      <c r="I12" s="54">
        <v>10</v>
      </c>
      <c r="J12" s="54">
        <v>10</v>
      </c>
      <c r="K12" s="54">
        <v>10</v>
      </c>
      <c r="L12" s="54">
        <v>10</v>
      </c>
      <c r="M12" s="54">
        <v>8</v>
      </c>
      <c r="N12" s="54">
        <v>6</v>
      </c>
      <c r="O12" s="54">
        <v>9</v>
      </c>
      <c r="P12" s="54">
        <v>7</v>
      </c>
      <c r="Q12" s="54">
        <v>7</v>
      </c>
      <c r="R12" s="54">
        <v>10</v>
      </c>
      <c r="S12" s="54">
        <v>7</v>
      </c>
      <c r="T12" s="56">
        <f ca="1">IF(COUNTIF(OFFSET(Таблица625[[#This Row],[Прізвище, ім’я, по батькові]],0,1):OFFSET(T12,0,-1),"=*")&gt;0,"-",IF(COUNTIF(OFFSET(Таблица625[[#This Row],[Прізвище, ім’я, по батькові]],0,1):OFFSET(T12,0,-1),"&lt;4")&gt;0,"-",(IFERROR(AVERAGE(OFFSET(Таблица625[[#This Row],[Прізвище, ім’я, по батькові]],0,1):OFFSET(T12,0,-1)),""))))</f>
        <v>8.8571428571428577</v>
      </c>
      <c r="U12" s="56">
        <f ca="1">Таблица625[[#This Row],[Столбец18]]/12*90</f>
        <v>66.428571428571431</v>
      </c>
      <c r="V12" s="21" t="str">
        <f ca="1">IF(Таблица625[[#This Row],[''Б/К]]="Б",IF(Таблица625[[#This Row],[Столбец182]]="-","-",""),"")</f>
        <v/>
      </c>
      <c r="W12" s="58"/>
      <c r="X12" s="12"/>
    </row>
    <row r="13" spans="1:24" ht="15" customHeight="1" x14ac:dyDescent="0.25">
      <c r="A13" s="60"/>
      <c r="B13" s="58"/>
      <c r="C13" s="51" t="s">
        <v>80</v>
      </c>
      <c r="D13" s="52">
        <f t="shared" ca="1" si="0"/>
        <v>2</v>
      </c>
      <c r="E13" s="53" t="s">
        <v>84</v>
      </c>
      <c r="F13" s="54">
        <v>9</v>
      </c>
      <c r="G13" s="54">
        <v>10</v>
      </c>
      <c r="H13" s="54">
        <v>9</v>
      </c>
      <c r="I13" s="54">
        <v>9</v>
      </c>
      <c r="J13" s="54">
        <v>4</v>
      </c>
      <c r="K13" s="54">
        <v>8</v>
      </c>
      <c r="L13" s="54">
        <v>8</v>
      </c>
      <c r="M13" s="54">
        <v>8</v>
      </c>
      <c r="N13" s="54">
        <v>6</v>
      </c>
      <c r="O13" s="54">
        <v>7</v>
      </c>
      <c r="P13" s="54">
        <v>5</v>
      </c>
      <c r="Q13" s="54">
        <v>7</v>
      </c>
      <c r="R13" s="54">
        <v>7</v>
      </c>
      <c r="S13" s="54">
        <v>7</v>
      </c>
      <c r="T13" s="56">
        <f ca="1">IF(COUNTIF(OFFSET(Таблица625[[#This Row],[Прізвище, ім’я, по батькові]],0,1):OFFSET(T13,0,-1),"=*")&gt;0,"-",IF(COUNTIF(OFFSET(Таблица625[[#This Row],[Прізвище, ім’я, по батькові]],0,1):OFFSET(T13,0,-1),"&lt;4")&gt;0,"-",(IFERROR(AVERAGE(OFFSET(Таблица625[[#This Row],[Прізвище, ім’я, по батькові]],0,1):OFFSET(T13,0,-1)),""))))</f>
        <v>7.4285714285714288</v>
      </c>
      <c r="U13" s="56">
        <f ca="1">Таблица625[[#This Row],[Столбец18]]/12*90</f>
        <v>55.714285714285715</v>
      </c>
      <c r="V13" s="21" t="str">
        <f ca="1">IF(Таблица625[[#This Row],[''Б/К]]="Б",IF(Таблица625[[#This Row],[Столбец182]]="-","-",""),"")</f>
        <v/>
      </c>
      <c r="W13" s="58"/>
      <c r="X13" s="12"/>
    </row>
    <row r="14" spans="1:24" ht="15" customHeight="1" x14ac:dyDescent="0.25">
      <c r="A14" s="60"/>
      <c r="B14" s="58"/>
      <c r="C14" s="51" t="s">
        <v>80</v>
      </c>
      <c r="D14" s="52">
        <f t="shared" ca="1" si="0"/>
        <v>3</v>
      </c>
      <c r="E14" s="53" t="s">
        <v>94</v>
      </c>
      <c r="F14" s="54">
        <v>8</v>
      </c>
      <c r="G14" s="54">
        <v>8</v>
      </c>
      <c r="H14" s="54">
        <v>8</v>
      </c>
      <c r="I14" s="54">
        <v>11</v>
      </c>
      <c r="J14" s="54">
        <v>6</v>
      </c>
      <c r="K14" s="54">
        <v>11</v>
      </c>
      <c r="L14" s="54">
        <v>5</v>
      </c>
      <c r="M14" s="54">
        <v>4</v>
      </c>
      <c r="N14" s="54">
        <v>5</v>
      </c>
      <c r="O14" s="54">
        <v>5</v>
      </c>
      <c r="P14" s="54">
        <v>6</v>
      </c>
      <c r="Q14" s="54">
        <v>5</v>
      </c>
      <c r="R14" s="54">
        <v>8</v>
      </c>
      <c r="S14" s="54">
        <v>4</v>
      </c>
      <c r="T14" s="56">
        <f ca="1">IF(COUNTIF(OFFSET(Таблица625[[#This Row],[Прізвище, ім’я, по батькові]],0,1):OFFSET(T14,0,-1),"=*")&gt;0,"-",IF(COUNTIF(OFFSET(Таблица625[[#This Row],[Прізвище, ім’я, по батькові]],0,1):OFFSET(T14,0,-1),"&lt;4")&gt;0,"-",(IFERROR(AVERAGE(OFFSET(Таблица625[[#This Row],[Прізвище, ім’я, по батькові]],0,1):OFFSET(T14,0,-1)),""))))</f>
        <v>6.7142857142857144</v>
      </c>
      <c r="U14" s="56">
        <f ca="1">Таблица625[[#This Row],[Столбец18]]/12*90</f>
        <v>50.357142857142861</v>
      </c>
      <c r="V14" s="21" t="str">
        <f ca="1">IF(Таблица625[[#This Row],[''Б/К]]="Б",IF(Таблица625[[#This Row],[Столбец182]]="-","-",""),"")</f>
        <v/>
      </c>
      <c r="W14" s="58"/>
      <c r="X14" s="12"/>
    </row>
    <row r="15" spans="1:24" ht="15" customHeight="1" x14ac:dyDescent="0.25">
      <c r="A15" s="60"/>
      <c r="B15" s="58"/>
      <c r="C15" s="51" t="s">
        <v>80</v>
      </c>
      <c r="D15" s="52">
        <f t="shared" ca="1" si="0"/>
        <v>4</v>
      </c>
      <c r="E15" s="53" t="s">
        <v>92</v>
      </c>
      <c r="F15" s="54">
        <v>8</v>
      </c>
      <c r="G15" s="54">
        <v>8</v>
      </c>
      <c r="H15" s="54">
        <v>8</v>
      </c>
      <c r="I15" s="54">
        <v>10</v>
      </c>
      <c r="J15" s="54">
        <v>5</v>
      </c>
      <c r="K15" s="54">
        <v>7</v>
      </c>
      <c r="L15" s="54">
        <v>7</v>
      </c>
      <c r="M15" s="54">
        <v>8</v>
      </c>
      <c r="N15" s="54">
        <v>4</v>
      </c>
      <c r="O15" s="54">
        <v>6</v>
      </c>
      <c r="P15" s="54">
        <v>4</v>
      </c>
      <c r="Q15" s="54">
        <v>4</v>
      </c>
      <c r="R15" s="54">
        <v>8</v>
      </c>
      <c r="S15" s="54">
        <v>5</v>
      </c>
      <c r="T15" s="56">
        <f ca="1">IF(COUNTIF(OFFSET(Таблица625[[#This Row],[Прізвище, ім’я, по батькові]],0,1):OFFSET(T15,0,-1),"=*")&gt;0,"-",IF(COUNTIF(OFFSET(Таблица625[[#This Row],[Прізвище, ім’я, по батькові]],0,1):OFFSET(T15,0,-1),"&lt;4")&gt;0,"-",(IFERROR(AVERAGE(OFFSET(Таблица625[[#This Row],[Прізвище, ім’я, по батькові]],0,1):OFFSET(T15,0,-1)),""))))</f>
        <v>6.5714285714285712</v>
      </c>
      <c r="U15" s="56">
        <f ca="1">Таблица625[[#This Row],[Столбец18]]/12*90</f>
        <v>49.285714285714278</v>
      </c>
      <c r="V15" s="21" t="str">
        <f ca="1">IF(Таблица625[[#This Row],[''Б/К]]="Б",IF(Таблица625[[#This Row],[Столбец182]]="-","-",""),"")</f>
        <v/>
      </c>
      <c r="W15" s="58"/>
      <c r="X15" s="12"/>
    </row>
    <row r="16" spans="1:24" ht="15" customHeight="1" x14ac:dyDescent="0.25">
      <c r="A16" s="60"/>
      <c r="B16" s="58"/>
      <c r="C16" s="30" t="s">
        <v>80</v>
      </c>
      <c r="D16" s="31">
        <f t="shared" ca="1" si="0"/>
        <v>5</v>
      </c>
      <c r="E16" s="29" t="s">
        <v>91</v>
      </c>
      <c r="F16" s="43">
        <v>6</v>
      </c>
      <c r="G16" s="43">
        <v>5</v>
      </c>
      <c r="H16" s="43">
        <v>6</v>
      </c>
      <c r="I16" s="43">
        <v>5</v>
      </c>
      <c r="J16" s="43">
        <v>4</v>
      </c>
      <c r="K16" s="43">
        <v>5</v>
      </c>
      <c r="L16" s="43">
        <v>7</v>
      </c>
      <c r="M16" s="43">
        <v>5</v>
      </c>
      <c r="N16" s="43">
        <v>6</v>
      </c>
      <c r="O16" s="43">
        <v>4</v>
      </c>
      <c r="P16" s="43">
        <v>4</v>
      </c>
      <c r="Q16" s="43">
        <v>7</v>
      </c>
      <c r="R16" s="43">
        <v>4</v>
      </c>
      <c r="S16" s="43">
        <v>6</v>
      </c>
      <c r="T16" s="50">
        <f ca="1">IF(COUNTIF(OFFSET(Таблица625[[#This Row],[Прізвище, ім’я, по батькові]],0,1):OFFSET(T16,0,-1),"=*")&gt;0,"-",IF(COUNTIF(OFFSET(Таблица625[[#This Row],[Прізвище, ім’я, по батькові]],0,1):OFFSET(T16,0,-1),"&lt;4")&gt;0,"-",(IFERROR(AVERAGE(OFFSET(Таблица625[[#This Row],[Прізвище, ім’я, по батькові]],0,1):OFFSET(T16,0,-1)),""))))</f>
        <v>5.2857142857142856</v>
      </c>
      <c r="U16" s="50">
        <f ca="1">Таблица625[[#This Row],[Столбец18]]/12*90</f>
        <v>39.642857142857139</v>
      </c>
      <c r="V16" s="21" t="str">
        <f ca="1">IF(Таблица625[[#This Row],[''Б/К]]="Б",IF(Таблица625[[#This Row],[Столбец182]]="-","-",""),"")</f>
        <v/>
      </c>
      <c r="W16" s="58"/>
      <c r="X16" s="12"/>
    </row>
    <row r="17" spans="1:24" ht="15" customHeight="1" x14ac:dyDescent="0.25">
      <c r="A17" s="60"/>
      <c r="B17" s="58"/>
      <c r="C17" s="30" t="s">
        <v>80</v>
      </c>
      <c r="D17" s="31">
        <f t="shared" ca="1" si="0"/>
        <v>6</v>
      </c>
      <c r="E17" s="29" t="s">
        <v>93</v>
      </c>
      <c r="F17" s="43">
        <v>6</v>
      </c>
      <c r="G17" s="43">
        <v>5</v>
      </c>
      <c r="H17" s="43">
        <v>6</v>
      </c>
      <c r="I17" s="43">
        <v>5</v>
      </c>
      <c r="J17" s="43">
        <v>4</v>
      </c>
      <c r="K17" s="43">
        <v>5</v>
      </c>
      <c r="L17" s="43">
        <v>4</v>
      </c>
      <c r="M17" s="43">
        <v>5</v>
      </c>
      <c r="N17" s="43">
        <v>7</v>
      </c>
      <c r="O17" s="43">
        <v>4</v>
      </c>
      <c r="P17" s="43">
        <v>4</v>
      </c>
      <c r="Q17" s="43">
        <v>7</v>
      </c>
      <c r="R17" s="43">
        <v>4</v>
      </c>
      <c r="S17" s="43">
        <v>7</v>
      </c>
      <c r="T17" s="50">
        <f ca="1">IF(COUNTIF(OFFSET(Таблица625[[#This Row],[Прізвище, ім’я, по батькові]],0,1):OFFSET(T17,0,-1),"=*")&gt;0,"-",IF(COUNTIF(OFFSET(Таблица625[[#This Row],[Прізвище, ім’я, по батькові]],0,1):OFFSET(T17,0,-1),"&lt;4")&gt;0,"-",(IFERROR(AVERAGE(OFFSET(Таблица625[[#This Row],[Прізвище, ім’я, по батькові]],0,1):OFFSET(T17,0,-1)),""))))</f>
        <v>5.2142857142857144</v>
      </c>
      <c r="U17" s="50">
        <f ca="1">Таблица625[[#This Row],[Столбец18]]/12*90</f>
        <v>39.107142857142861</v>
      </c>
      <c r="V17" s="22" t="str">
        <f ca="1">IF(Таблица625[[#This Row],[''Б/К]]="Б",IF(Таблица625[[#This Row],[Столбец182]]="-","-",""),"")</f>
        <v/>
      </c>
      <c r="W17" s="58"/>
      <c r="X17" s="12"/>
    </row>
    <row r="18" spans="1:24" ht="15" customHeight="1" x14ac:dyDescent="0.25">
      <c r="A18" s="60"/>
      <c r="B18" s="58"/>
      <c r="C18" s="44"/>
      <c r="D18" s="44"/>
      <c r="E18" s="5" t="s">
        <v>13</v>
      </c>
      <c r="F18" s="48">
        <f ca="1">'Зведена 101'!F30</f>
        <v>10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58"/>
      <c r="X18" s="12"/>
    </row>
    <row r="19" spans="1:24" ht="15" customHeight="1" x14ac:dyDescent="0.25">
      <c r="A19" s="60"/>
      <c r="B19" s="58"/>
      <c r="C19" s="44"/>
      <c r="D19" s="44"/>
      <c r="E19" s="5" t="s">
        <v>14</v>
      </c>
      <c r="F19" s="48">
        <f ca="1">'Зведена 101'!F31</f>
        <v>3</v>
      </c>
      <c r="G19" s="44"/>
      <c r="H19" s="40" t="s">
        <v>15</v>
      </c>
      <c r="I19" s="41"/>
      <c r="J19" s="41"/>
      <c r="K19" s="41"/>
      <c r="L19" s="41"/>
      <c r="M19" s="41"/>
      <c r="N19" s="40"/>
      <c r="O19" s="42" t="s">
        <v>82</v>
      </c>
      <c r="P19" s="24"/>
      <c r="Q19" s="25"/>
      <c r="R19" s="24"/>
      <c r="S19" s="44"/>
      <c r="T19" s="44"/>
      <c r="U19" s="44"/>
      <c r="V19" s="44"/>
      <c r="W19" s="58"/>
      <c r="X19" s="12"/>
    </row>
    <row r="20" spans="1:24" ht="15" customHeight="1" x14ac:dyDescent="0.25">
      <c r="A20" s="60"/>
      <c r="B20" s="58"/>
      <c r="C20" s="44"/>
      <c r="D20" s="44"/>
      <c r="E20" s="5" t="s">
        <v>16</v>
      </c>
      <c r="F20" s="48">
        <f>'Зведена 101'!F32</f>
        <v>3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58"/>
      <c r="X20" s="12"/>
    </row>
    <row r="21" spans="1:24" ht="15" customHeight="1" x14ac:dyDescent="0.25">
      <c r="A21" s="60"/>
      <c r="B21" s="58"/>
      <c r="C21" s="44"/>
      <c r="D21" s="44"/>
      <c r="E21" s="5" t="s">
        <v>17</v>
      </c>
      <c r="F21" s="48">
        <f ca="1">'Зведена 101'!F33</f>
        <v>4</v>
      </c>
      <c r="G21" s="44"/>
      <c r="H21" s="42" t="s">
        <v>83</v>
      </c>
      <c r="I21" s="41"/>
      <c r="J21" s="41"/>
      <c r="K21" s="41"/>
      <c r="L21" s="41"/>
      <c r="M21" s="41"/>
      <c r="N21" s="40"/>
      <c r="O21" s="42" t="s">
        <v>18</v>
      </c>
      <c r="P21" s="25"/>
      <c r="Q21" s="25"/>
      <c r="R21" s="25"/>
      <c r="S21" s="44"/>
      <c r="T21" s="44"/>
      <c r="U21" s="44"/>
      <c r="V21" s="44"/>
      <c r="W21" s="58"/>
      <c r="X21" s="12"/>
    </row>
    <row r="22" spans="1:24" ht="12" customHeight="1" thickBot="1" x14ac:dyDescent="0.3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12"/>
    </row>
    <row r="23" spans="1:24" ht="12" customHeight="1" x14ac:dyDescent="0.25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</sheetData>
  <sheetProtection formatCells="0" insertColumns="0" insertRows="0" deleteColumns="0" deleteRows="0" sort="0"/>
  <mergeCells count="17">
    <mergeCell ref="B23:W23"/>
    <mergeCell ref="C8:U8"/>
    <mergeCell ref="C9:C10"/>
    <mergeCell ref="D9:D10"/>
    <mergeCell ref="E9:E10"/>
    <mergeCell ref="F9:U9"/>
    <mergeCell ref="B22:W22"/>
    <mergeCell ref="B1:W1"/>
    <mergeCell ref="A2:A22"/>
    <mergeCell ref="B2:W2"/>
    <mergeCell ref="B3:B21"/>
    <mergeCell ref="C3:U3"/>
    <mergeCell ref="W3:W21"/>
    <mergeCell ref="C4:U4"/>
    <mergeCell ref="C5:U5"/>
    <mergeCell ref="C6:U6"/>
    <mergeCell ref="C7:U7"/>
  </mergeCells>
  <conditionalFormatting sqref="C17 E17">
    <cfRule type="expression" dxfId="56" priority="4">
      <formula>$W$17&lt;&gt;""</formula>
    </cfRule>
  </conditionalFormatting>
  <conditionalFormatting sqref="D17 C12:E16 F12:S17">
    <cfRule type="expression" dxfId="55" priority="3">
      <formula>$W$12&lt;&gt;""</formula>
    </cfRule>
  </conditionalFormatting>
  <conditionalFormatting sqref="U12:V17">
    <cfRule type="expression" dxfId="54" priority="6">
      <formula>#REF!&lt;&gt;""</formula>
    </cfRule>
  </conditionalFormatting>
  <conditionalFormatting sqref="T12:T17">
    <cfRule type="expression" dxfId="53" priority="1">
      <formula>#REF!&lt;&gt;""</formula>
    </cfRule>
  </conditionalFormatting>
  <printOptions horizontalCentered="1"/>
  <pageMargins left="0" right="0" top="0" bottom="0" header="0" footer="0"/>
  <pageSetup paperSize="9" scale="85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24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</row>
    <row r="2" spans="1:23" ht="12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12"/>
    </row>
    <row r="3" spans="1:23" s="2" customFormat="1" ht="35.1" customHeight="1" x14ac:dyDescent="0.3">
      <c r="A3" s="60"/>
      <c r="B3" s="58"/>
      <c r="C3" s="62" t="s">
        <v>22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36"/>
      <c r="V3" s="58"/>
      <c r="W3" s="12"/>
    </row>
    <row r="4" spans="1:23" s="2" customFormat="1" ht="15" customHeight="1" x14ac:dyDescent="0.25">
      <c r="A4" s="60"/>
      <c r="B4" s="58"/>
      <c r="C4" s="58" t="s">
        <v>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34"/>
      <c r="V4" s="58"/>
      <c r="W4" s="12"/>
    </row>
    <row r="5" spans="1:23" s="3" customFormat="1" ht="15" customHeight="1" x14ac:dyDescent="0.25">
      <c r="A5" s="60"/>
      <c r="B5" s="58"/>
      <c r="C5" s="64" t="s">
        <v>19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37"/>
      <c r="V5" s="58"/>
      <c r="W5" s="12"/>
    </row>
    <row r="6" spans="1:23" s="2" customFormat="1" ht="15" customHeight="1" x14ac:dyDescent="0.25">
      <c r="A6" s="60"/>
      <c r="B6" s="58"/>
      <c r="C6" s="65" t="s">
        <v>47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34"/>
      <c r="V6" s="58"/>
      <c r="W6" s="12"/>
    </row>
    <row r="7" spans="1:23" s="2" customFormat="1" ht="15" customHeight="1" x14ac:dyDescent="0.25">
      <c r="A7" s="60"/>
      <c r="B7" s="58"/>
      <c r="C7" s="65" t="s">
        <v>44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34"/>
      <c r="V7" s="58"/>
      <c r="W7" s="12"/>
    </row>
    <row r="8" spans="1:23" s="2" customFormat="1" ht="15" customHeight="1" x14ac:dyDescent="0.25">
      <c r="A8" s="60"/>
      <c r="B8" s="58"/>
      <c r="C8" s="65" t="s">
        <v>45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34"/>
      <c r="V8" s="58"/>
      <c r="W8" s="12"/>
    </row>
    <row r="9" spans="1:23" ht="15" customHeight="1" x14ac:dyDescent="0.25">
      <c r="A9" s="60"/>
      <c r="B9" s="58"/>
      <c r="C9" s="66" t="s">
        <v>1</v>
      </c>
      <c r="D9" s="68" t="s">
        <v>2</v>
      </c>
      <c r="E9" s="68" t="s">
        <v>3</v>
      </c>
      <c r="F9" s="67" t="s">
        <v>21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35"/>
      <c r="V9" s="58"/>
      <c r="W9" s="12"/>
    </row>
    <row r="10" spans="1:23" ht="125.1" customHeight="1" x14ac:dyDescent="0.25">
      <c r="A10" s="60"/>
      <c r="B10" s="58"/>
      <c r="C10" s="67"/>
      <c r="D10" s="67"/>
      <c r="E10" s="67"/>
      <c r="F10" s="39" t="s">
        <v>4</v>
      </c>
      <c r="G10" s="39" t="s">
        <v>99</v>
      </c>
      <c r="H10" s="39" t="s">
        <v>5</v>
      </c>
      <c r="I10" s="39" t="s">
        <v>20</v>
      </c>
      <c r="J10" s="39" t="s">
        <v>28</v>
      </c>
      <c r="K10" s="39" t="s">
        <v>48</v>
      </c>
      <c r="L10" s="39" t="s">
        <v>49</v>
      </c>
      <c r="M10" s="39" t="s">
        <v>6</v>
      </c>
      <c r="N10" s="39" t="s">
        <v>50</v>
      </c>
      <c r="O10" s="39" t="s">
        <v>51</v>
      </c>
      <c r="P10" s="39" t="s">
        <v>52</v>
      </c>
      <c r="Q10" s="39" t="s">
        <v>27</v>
      </c>
      <c r="R10" s="39" t="s">
        <v>53</v>
      </c>
      <c r="S10" s="39" t="s">
        <v>54</v>
      </c>
      <c r="T10" s="4" t="s">
        <v>7</v>
      </c>
      <c r="U10" s="19"/>
      <c r="V10" s="58"/>
      <c r="W10" s="12"/>
    </row>
    <row r="11" spans="1:23" ht="50.1" hidden="1" customHeight="1" x14ac:dyDescent="0.25">
      <c r="A11" s="60"/>
      <c r="B11" s="58"/>
      <c r="C11" s="14" t="s">
        <v>24</v>
      </c>
      <c r="D11" s="13" t="s">
        <v>25</v>
      </c>
      <c r="E11" s="15" t="s">
        <v>3</v>
      </c>
      <c r="F11" s="16" t="s">
        <v>29</v>
      </c>
      <c r="G11" s="16" t="s">
        <v>30</v>
      </c>
      <c r="H11" s="16" t="s">
        <v>31</v>
      </c>
      <c r="I11" s="16" t="s">
        <v>33</v>
      </c>
      <c r="J11" s="16" t="s">
        <v>32</v>
      </c>
      <c r="K11" s="16" t="s">
        <v>34</v>
      </c>
      <c r="L11" s="16" t="s">
        <v>35</v>
      </c>
      <c r="M11" s="16" t="s">
        <v>36</v>
      </c>
      <c r="N11" s="16" t="s">
        <v>37</v>
      </c>
      <c r="O11" s="16" t="s">
        <v>38</v>
      </c>
      <c r="P11" s="16" t="s">
        <v>39</v>
      </c>
      <c r="Q11" s="16" t="s">
        <v>40</v>
      </c>
      <c r="R11" s="16" t="s">
        <v>41</v>
      </c>
      <c r="S11" s="16" t="s">
        <v>42</v>
      </c>
      <c r="T11" s="17" t="s">
        <v>23</v>
      </c>
      <c r="U11" s="20" t="s">
        <v>26</v>
      </c>
      <c r="V11" s="58"/>
      <c r="W11" s="12"/>
    </row>
    <row r="12" spans="1:23" ht="15" customHeight="1" x14ac:dyDescent="0.25">
      <c r="A12" s="60"/>
      <c r="B12" s="58"/>
      <c r="C12" s="30" t="s">
        <v>81</v>
      </c>
      <c r="D12" s="31">
        <f ca="1">OFFSET(D12,-1,0)+1</f>
        <v>1</v>
      </c>
      <c r="E12" s="29" t="s">
        <v>97</v>
      </c>
      <c r="F12" s="43">
        <v>6</v>
      </c>
      <c r="G12" s="43">
        <v>5</v>
      </c>
      <c r="H12" s="43">
        <v>4</v>
      </c>
      <c r="I12" s="43">
        <v>5</v>
      </c>
      <c r="J12" s="43">
        <v>4</v>
      </c>
      <c r="K12" s="43">
        <v>5</v>
      </c>
      <c r="L12" s="43">
        <v>5</v>
      </c>
      <c r="M12" s="43">
        <v>5</v>
      </c>
      <c r="N12" s="43">
        <v>7</v>
      </c>
      <c r="O12" s="43">
        <v>4</v>
      </c>
      <c r="P12" s="43">
        <v>4</v>
      </c>
      <c r="Q12" s="43">
        <v>7</v>
      </c>
      <c r="R12" s="43">
        <v>4</v>
      </c>
      <c r="S12" s="43">
        <v>6</v>
      </c>
      <c r="T12" s="32">
        <f ca="1"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f>
        <v>5.0714285714285712</v>
      </c>
      <c r="U12" s="21" t="str">
        <f>IF(Таблица623[[#This Row],[''Б/К]]="Б",IF(Таблица623[[#This Row],[Столбец18]]="-","-",""),"")</f>
        <v/>
      </c>
      <c r="V12" s="58"/>
      <c r="W12" s="12"/>
    </row>
    <row r="13" spans="1:23" ht="15" customHeight="1" x14ac:dyDescent="0.25">
      <c r="A13" s="60"/>
      <c r="B13" s="58"/>
      <c r="C13" s="30" t="s">
        <v>81</v>
      </c>
      <c r="D13" s="31">
        <f t="shared" ref="D13" ca="1" si="0">OFFSET(D13,-1,0)+1</f>
        <v>2</v>
      </c>
      <c r="E13" s="29" t="s">
        <v>98</v>
      </c>
      <c r="F13" s="43">
        <v>5</v>
      </c>
      <c r="G13" s="43">
        <v>5</v>
      </c>
      <c r="H13" s="43">
        <v>4</v>
      </c>
      <c r="I13" s="43">
        <v>5</v>
      </c>
      <c r="J13" s="43">
        <v>4</v>
      </c>
      <c r="K13" s="43">
        <v>5</v>
      </c>
      <c r="L13" s="43">
        <v>4</v>
      </c>
      <c r="M13" s="43">
        <v>4</v>
      </c>
      <c r="N13" s="43">
        <v>7</v>
      </c>
      <c r="O13" s="43">
        <v>4</v>
      </c>
      <c r="P13" s="43">
        <v>4</v>
      </c>
      <c r="Q13" s="43">
        <v>4</v>
      </c>
      <c r="R13" s="43">
        <v>4</v>
      </c>
      <c r="S13" s="43">
        <v>6</v>
      </c>
      <c r="T13" s="32">
        <f ca="1">IF(COUNTIF(OFFSET(Таблица623[[#This Row],[Прізвище, ім’я, по батькові]],0,1):OFFSET(T13,0,-1),"=*")&gt;0,"-",IF(COUNTIF(OFFSET(Таблица623[[#This Row],[Прізвище, ім’я, по батькові]],0,1):OFFSET(T13,0,-1),"&lt;4")&gt;0,"-",(IFERROR(AVERAGE(OFFSET(Таблица623[[#This Row],[Прізвище, ім’я, по батькові]],0,1):OFFSET(T13,0,-1)),""))))</f>
        <v>4.6428571428571432</v>
      </c>
      <c r="U13" s="22" t="str">
        <f>IF(Таблица623[[#This Row],[''Б/К]]="Б",IF(Таблица623[[#This Row],[Столбец18]]="-","-",""),"")</f>
        <v/>
      </c>
      <c r="V13" s="58"/>
      <c r="W13" s="12"/>
    </row>
    <row r="14" spans="1:23" ht="15" customHeight="1" x14ac:dyDescent="0.25">
      <c r="A14" s="60"/>
      <c r="B14" s="58"/>
      <c r="C14" s="35"/>
      <c r="D14" s="35"/>
      <c r="E14" s="5" t="s">
        <v>8</v>
      </c>
      <c r="F14" s="26">
        <f ca="1">IF(SUM(OFFSET(Таблица623[[#Headers],[1]],1,0):OFFSET(F14, -1, 0))=0,"",SUM(OFFSET(Таблица623[[#Headers],[1]],1,0):OFFSET(F14, -1, 0))/OFFSET($D14, -1, 0))</f>
        <v>5.5</v>
      </c>
      <c r="G14" s="26">
        <f ca="1">IF(SUM(OFFSET(Таблица623[[#Headers],[2]],1,0):OFFSET(G14, -1, 0))=0,"",SUM(OFFSET(Таблица623[[#Headers],[2]],1,0):OFFSET(G14, -1, 0))/OFFSET($D14, -1, 0))</f>
        <v>5</v>
      </c>
      <c r="H14" s="26">
        <f ca="1">IF(SUM(OFFSET(Таблица623[[#Headers],[3]],1,0):OFFSET(H14, -1, 0))=0,"",SUM(OFFSET(Таблица623[[#Headers],[3]],1,0):OFFSET(H14, -1, 0))/OFFSET($D14, -1, 0))</f>
        <v>4</v>
      </c>
      <c r="I14" s="26">
        <f ca="1">IF(SUM(OFFSET(Таблица623[[#Headers],[4]],1,0):OFFSET(I14, -1, 0))=0,"",SUM(OFFSET(Таблица623[[#Headers],[4]],1,0):OFFSET(I14, -1, 0))/OFFSET($D14, -1, 0))</f>
        <v>5</v>
      </c>
      <c r="J14" s="26">
        <f ca="1">IF(SUM(OFFSET(Таблица623[[#Headers],[5]],1,0):OFFSET(J14, -1, 0))=0,"",SUM(OFFSET(Таблица623[[#Headers],[5]],1,0):OFFSET(J14, -1, 0))/OFFSET($D14, -1, 0))</f>
        <v>4</v>
      </c>
      <c r="K14" s="26">
        <f ca="1">IF(SUM(OFFSET(Таблица623[[#Headers],[6]],1,0):OFFSET(K14, -1, 0))=0,"",SUM(OFFSET(Таблица623[[#Headers],[6]],1,0):OFFSET(K14, -1, 0))/OFFSET($D14, -1, 0))</f>
        <v>5</v>
      </c>
      <c r="L14" s="26">
        <f ca="1">IF(SUM(OFFSET(Таблица623[[#Headers],[7]],1,0):OFFSET(L14, -1, 0))=0,"",SUM(OFFSET(Таблица623[[#Headers],[7]],1,0):OFFSET(L14, -1, 0))/OFFSET($D14, -1, 0))</f>
        <v>4.5</v>
      </c>
      <c r="M14" s="26">
        <f ca="1">IF(SUM(OFFSET(Таблица623[[#Headers],[8]],1,0):OFFSET(M14, -1, 0))=0,"",SUM(OFFSET(Таблица623[[#Headers],[8]],1,0):OFFSET(M14, -1, 0))/OFFSET($D14, -1, 0))</f>
        <v>4.5</v>
      </c>
      <c r="N14" s="26">
        <f ca="1">IF(SUM(OFFSET(Таблица623[[#Headers],[9]],1,0):OFFSET(N14, -1, 0))=0,"",SUM(OFFSET(Таблица623[[#Headers],[9]],1,0):OFFSET(N14, -1, 0))/OFFSET($D14, -1, 0))</f>
        <v>7</v>
      </c>
      <c r="O14" s="26">
        <f ca="1">IF(SUM(OFFSET(Таблица623[[#Headers],[10]],1,0):OFFSET(O14, -1, 0))=0,"",SUM(OFFSET(Таблица623[[#Headers],[10]],1,0):OFFSET(O14, -1, 0))/OFFSET($D14, -1, 0))</f>
        <v>4</v>
      </c>
      <c r="P14" s="26">
        <f ca="1">IF(SUM(OFFSET(Таблица623[[#Headers],[11]],1,0):OFFSET(P14, -1, 0))=0,"",SUM(OFFSET(Таблица623[[#Headers],[11]],1,0):OFFSET(P14, -1, 0))/OFFSET($D14, -1, 0))</f>
        <v>4</v>
      </c>
      <c r="Q14" s="26">
        <f ca="1">IF(SUM(OFFSET(Таблица623[[#Headers],[12]],1,0):OFFSET(Q14, -1, 0))=0,"",SUM(OFFSET(Таблица623[[#Headers],[12]],1,0):OFFSET(Q14, -1, 0))/OFFSET($D14, -1, 0))</f>
        <v>5.5</v>
      </c>
      <c r="R14" s="26">
        <f ca="1">IF(SUM(OFFSET(Таблица623[[#Headers],[13]],1,0):OFFSET(R14, -1, 0))=0,"",SUM(OFFSET(Таблица623[[#Headers],[13]],1,0):OFFSET(R14, -1, 0))/OFFSET($D14, -1, 0))</f>
        <v>4</v>
      </c>
      <c r="S14" s="26">
        <f ca="1">IF(SUM(OFFSET(Таблица623[[#Headers],[14]],1,0):OFFSET(S14, -1, 0))=0,"",SUM(OFFSET(Таблица623[[#Headers],[14]],1,0):OFFSET(S14, -1, 0))/OFFSET($D14, -1, 0))</f>
        <v>6</v>
      </c>
      <c r="T14" s="18">
        <f ca="1">IFERROR(AVERAGE(F14:S14),"")</f>
        <v>4.8571428571428568</v>
      </c>
      <c r="U14" s="23">
        <f ca="1">COUNTIF(OFFSET(Таблица623[[#Headers],["Б" и "-"]],1,0):OFFSET(U14,-1,0),"-")</f>
        <v>0</v>
      </c>
      <c r="V14" s="58"/>
      <c r="W14" s="12"/>
    </row>
    <row r="15" spans="1:23" ht="15" customHeight="1" x14ac:dyDescent="0.25">
      <c r="A15" s="60"/>
      <c r="B15" s="58"/>
      <c r="C15" s="35"/>
      <c r="D15" s="35"/>
      <c r="E15" s="5" t="s">
        <v>9</v>
      </c>
      <c r="F15" s="27">
        <f ca="1">IF(SUM(OFFSET(Таблица623[[#Headers],[1]],1,0):OFFSET(F14, -1, 0))=0,"",IF(COUNTIF(OFFSET(Таблица623[[#Headers],[1]],1,0):OFFSET(F14, -1, 0),"&gt;=4")=0,0,COUNTIF(OFFSET(Таблица623[[#Headers],[1]],1,0):OFFSET(F14, -1, 0),"&gt;=4")/OFFSET($D14, -1, 0)*100))</f>
        <v>100</v>
      </c>
      <c r="G15" s="27">
        <f ca="1">IF(SUM(OFFSET(Таблица623[[#Headers],[2]],1,0):OFFSET(G14, -1, 0))=0,"",IF(COUNTIF(OFFSET(Таблица623[[#Headers],[2]],1,0):OFFSET(G14, -1, 0),"&gt;=4")=0,0,COUNTIF(OFFSET(Таблица623[[#Headers],[2]],1,0):OFFSET(G14, -1, 0),"&gt;=4")/OFFSET($D14, -1, 0)*100))</f>
        <v>100</v>
      </c>
      <c r="H15" s="27">
        <f ca="1">IF(SUM(OFFSET(Таблица623[[#Headers],[3]],1,0):OFFSET(H14, -1, 0))=0,"",IF(COUNTIF(OFFSET(Таблица623[[#Headers],[3]],1,0):OFFSET(H14, -1, 0),"&gt;=4")=0,0,COUNTIF(OFFSET(Таблица623[[#Headers],[3]],1,0):OFFSET(H14, -1, 0),"&gt;=4")/OFFSET($D14, -1, 0)*100))</f>
        <v>100</v>
      </c>
      <c r="I15" s="27">
        <f ca="1">IF(SUM(OFFSET(Таблица623[[#Headers],[4]],1,0):OFFSET(I14, -1, 0))=0,"",IF(COUNTIF(OFFSET(Таблица623[[#Headers],[4]],1,0):OFFSET(I14, -1, 0),"&gt;=4")=0,0,COUNTIF(OFFSET(Таблица623[[#Headers],[4]],1,0):OFFSET(I14, -1, 0),"&gt;=4")/OFFSET($D14, -1, 0)*100))</f>
        <v>100</v>
      </c>
      <c r="J15" s="27">
        <f ca="1">IF(SUM(OFFSET(Таблица623[[#Headers],[5]],1,0):OFFSET(J14, -1, 0))=0,"",IF(COUNTIF(OFFSET(Таблица623[[#Headers],[5]],1,0):OFFSET(J14, -1, 0),"&gt;=4")=0,0,COUNTIF(OFFSET(Таблица623[[#Headers],[5]],1,0):OFFSET(J14, -1, 0),"&gt;=4")/OFFSET($D14, -1, 0)*100))</f>
        <v>100</v>
      </c>
      <c r="K15" s="27">
        <f ca="1">IF(SUM(OFFSET(Таблица623[[#Headers],[6]],1,0):OFFSET(K14, -1, 0))=0,"",IF(COUNTIF(OFFSET(Таблица623[[#Headers],[6]],1,0):OFFSET(K14, -1, 0),"&gt;=4")=0,0,COUNTIF(OFFSET(Таблица623[[#Headers],[6]],1,0):OFFSET(K14, -1, 0),"&gt;=4")/OFFSET($D14, -1, 0)*100))</f>
        <v>100</v>
      </c>
      <c r="L15" s="27">
        <f ca="1">IF(SUM(OFFSET(Таблица623[[#Headers],[7]],1,0):OFFSET(L14, -1, 0))=0,"",IF(COUNTIF(OFFSET(Таблица623[[#Headers],[7]],1,0):OFFSET(L14, -1, 0),"&gt;=4")=0,0,COUNTIF(OFFSET(Таблица623[[#Headers],[7]],1,0):OFFSET(L14, -1, 0),"&gt;=4")/OFFSET($D14, -1, 0)*100))</f>
        <v>100</v>
      </c>
      <c r="M15" s="27">
        <f ca="1">IF(SUM(OFFSET(Таблица623[[#Headers],[8]],1,0):OFFSET(M14, -1, 0))=0,"",IF(COUNTIF(OFFSET(Таблица623[[#Headers],[8]],1,0):OFFSET(M14, -1, 0),"&gt;=4")=0,0,COUNTIF(OFFSET(Таблица623[[#Headers],[8]],1,0):OFFSET(M14, -1, 0),"&gt;=4")/OFFSET($D14, -1, 0)*100))</f>
        <v>100</v>
      </c>
      <c r="N15" s="27">
        <f ca="1">IF(SUM(OFFSET(Таблица623[[#Headers],[9]],1,0):OFFSET(N14, -1, 0))=0,"",IF(COUNTIF(OFFSET(Таблица623[[#Headers],[9]],1,0):OFFSET(N14, -1, 0),"&gt;=4")=0,0,COUNTIF(OFFSET(Таблица623[[#Headers],[9]],1,0):OFFSET(N14, -1, 0),"&gt;=4")/OFFSET($D14, -1, 0)*100))</f>
        <v>100</v>
      </c>
      <c r="O15" s="27">
        <f ca="1">IF(SUM(OFFSET(Таблица623[[#Headers],[10]],1,0):OFFSET(O14, -1, 0))=0,"",IF(COUNTIF(OFFSET(Таблица623[[#Headers],[10]],1,0):OFFSET(O14, -1, 0),"&gt;=4")=0,0,COUNTIF(OFFSET(Таблица623[[#Headers],[10]],1,0):OFFSET(O14, -1, 0),"&gt;=4")/OFFSET($D14, -1, 0)*100))</f>
        <v>100</v>
      </c>
      <c r="P15" s="27">
        <f ca="1">IF(SUM(OFFSET(Таблица623[[#Headers],[11]],1,0):OFFSET(P14, -1, 0))=0,"",IF(COUNTIF(OFFSET(Таблица623[[#Headers],[11]],1,0):OFFSET(P14, -1, 0),"&gt;=4")=0,0,COUNTIF(OFFSET(Таблица623[[#Headers],[11]],1,0):OFFSET(P14, -1, 0),"&gt;=4")/OFFSET($D14, -1, 0)*100))</f>
        <v>100</v>
      </c>
      <c r="Q15" s="27">
        <f ca="1">IF(SUM(OFFSET(Таблица623[[#Headers],[12]],1,0):OFFSET(Q14, -1, 0))=0,"",IF(COUNTIF(OFFSET(Таблица623[[#Headers],[12]],1,0):OFFSET(Q14, -1, 0),"&gt;=4")=0,0,COUNTIF(OFFSET(Таблица623[[#Headers],[12]],1,0):OFFSET(Q14, -1, 0),"&gt;=4")/OFFSET($D14, -1, 0)*100))</f>
        <v>100</v>
      </c>
      <c r="R15" s="27">
        <f ca="1">IF(SUM(OFFSET(Таблица623[[#Headers],[13]],1,0):OFFSET(R14, -1, 0))=0,"",IF(COUNTIF(OFFSET(Таблица623[[#Headers],[13]],1,0):OFFSET(R14, -1, 0),"&gt;=4")=0,0,COUNTIF(OFFSET(Таблица623[[#Headers],[13]],1,0):OFFSET(R14, -1, 0),"&gt;=4")/OFFSET($D14, -1, 0)*100))</f>
        <v>100</v>
      </c>
      <c r="S15" s="27">
        <f ca="1">IF(SUM(OFFSET(Таблица623[[#Headers],[14]],1,0):OFFSET(S14, -1, 0))=0,"",IF(COUNTIF(OFFSET(Таблица623[[#Headers],[14]],1,0):OFFSET(S14, -1, 0),"&gt;=4")=0,0,COUNTIF(OFFSET(Таблица623[[#Headers],[14]],1,0):OFFSET(S14, -1, 0),"&gt;=4")/OFFSET($D14, -1, 0)*100))</f>
        <v>100</v>
      </c>
      <c r="T15" s="7"/>
      <c r="U15" s="7"/>
      <c r="V15" s="58"/>
      <c r="W15" s="12"/>
    </row>
    <row r="16" spans="1:23" ht="15" customHeight="1" x14ac:dyDescent="0.25">
      <c r="A16" s="60"/>
      <c r="B16" s="58"/>
      <c r="C16" s="35"/>
      <c r="D16" s="35"/>
      <c r="E16" s="5" t="s">
        <v>10</v>
      </c>
      <c r="F16" s="27">
        <f ca="1">IF(SUM(OFFSET(Таблица623[[#Headers],[1]],1,0):OFFSET(F14, -1, 0))=0,"",IF(COUNTIF(OFFSET(Таблица623[[#Headers],[1]],1,0):OFFSET(F14, -1, 0),"&gt;=7")=0,0,COUNTIF(OFFSET(Таблица623[[#Headers],[1]],1,0):OFFSET(F14, -1, 0),"&gt;=7")/OFFSET($D14, -1, 0)*100))</f>
        <v>0</v>
      </c>
      <c r="G16" s="27">
        <f ca="1">IF(SUM(OFFSET(Таблица623[[#Headers],[2]],1,0):OFFSET(G14, -1, 0))=0,"",IF(COUNTIF(OFFSET(Таблица623[[#Headers],[2]],1,0):OFFSET(G14, -1, 0),"&gt;=7")=0,0,COUNTIF(OFFSET(Таблица623[[#Headers],[2]],1,0):OFFSET(G14, -1, 0),"&gt;=7")/OFFSET($D14, -1, 0)*100))</f>
        <v>0</v>
      </c>
      <c r="H16" s="27">
        <f ca="1">IF(SUM(OFFSET(Таблица623[[#Headers],[3]],1,0):OFFSET(H14, -1, 0))=0,"",IF(COUNTIF(OFFSET(Таблица623[[#Headers],[3]],1,0):OFFSET(H14, -1, 0),"&gt;=7")=0,0,COUNTIF(OFFSET(Таблица623[[#Headers],[3]],1,0):OFFSET(H14, -1, 0),"&gt;=7")/OFFSET($D14, -1, 0)*100))</f>
        <v>0</v>
      </c>
      <c r="I16" s="27">
        <f ca="1">IF(SUM(OFFSET(Таблица623[[#Headers],[4]],1,0):OFFSET(I14, -1, 0))=0,"",IF(COUNTIF(OFFSET(Таблица623[[#Headers],[4]],1,0):OFFSET(I14, -1, 0),"&gt;=7")=0,0,COUNTIF(OFFSET(Таблица623[[#Headers],[4]],1,0):OFFSET(I14, -1, 0),"&gt;=7")/OFFSET($D14, -1, 0)*100))</f>
        <v>0</v>
      </c>
      <c r="J16" s="27">
        <f ca="1">IF(SUM(OFFSET(Таблица623[[#Headers],[5]],1,0):OFFSET(J14, -1, 0))=0,"",IF(COUNTIF(OFFSET(Таблица623[[#Headers],[5]],1,0):OFFSET(J14, -1, 0),"&gt;=7")=0,0,COUNTIF(OFFSET(Таблица623[[#Headers],[5]],1,0):OFFSET(J14, -1, 0),"&gt;=7")/OFFSET($D14, -1, 0)*100))</f>
        <v>0</v>
      </c>
      <c r="K16" s="27">
        <f ca="1">IF(SUM(OFFSET(Таблица623[[#Headers],[6]],1,0):OFFSET(K14, -1, 0))=0,"",IF(COUNTIF(OFFSET(Таблица623[[#Headers],[6]],1,0):OFFSET(K14, -1, 0),"&gt;=7")=0,0,COUNTIF(OFFSET(Таблица623[[#Headers],[6]],1,0):OFFSET(K14, -1, 0),"&gt;=7")/OFFSET($D14, -1, 0)*100))</f>
        <v>0</v>
      </c>
      <c r="L16" s="27">
        <f ca="1">IF(SUM(OFFSET(Таблица623[[#Headers],[7]],1,0):OFFSET(L14, -1, 0))=0,"",IF(COUNTIF(OFFSET(Таблица623[[#Headers],[7]],1,0):OFFSET(L14, -1, 0),"&gt;=7")=0,0,COUNTIF(OFFSET(Таблица623[[#Headers],[7]],1,0):OFFSET(L14, -1, 0),"&gt;=7")/OFFSET($D14, -1, 0)*100))</f>
        <v>0</v>
      </c>
      <c r="M16" s="27">
        <f ca="1">IF(SUM(OFFSET(Таблица623[[#Headers],[8]],1,0):OFFSET(M14, -1, 0))=0,"",IF(COUNTIF(OFFSET(Таблица623[[#Headers],[8]],1,0):OFFSET(M14, -1, 0),"&gt;=7")=0,0,COUNTIF(OFFSET(Таблица623[[#Headers],[8]],1,0):OFFSET(M14, -1, 0),"&gt;=7")/OFFSET($D14, -1, 0)*100))</f>
        <v>0</v>
      </c>
      <c r="N16" s="27">
        <f ca="1">IF(SUM(OFFSET(Таблица623[[#Headers],[9]],1,0):OFFSET(N14, -1, 0))=0,"",IF(COUNTIF(OFFSET(Таблица623[[#Headers],[9]],1,0):OFFSET(N14, -1, 0),"&gt;=7")=0,0,COUNTIF(OFFSET(Таблица623[[#Headers],[9]],1,0):OFFSET(N14, -1, 0),"&gt;=7")/OFFSET($D14, -1, 0)*100))</f>
        <v>100</v>
      </c>
      <c r="O16" s="27">
        <f ca="1">IF(SUM(OFFSET(Таблица623[[#Headers],[10]],1,0):OFFSET(O14, -1, 0))=0,"",IF(COUNTIF(OFFSET(Таблица623[[#Headers],[10]],1,0):OFFSET(O14, -1, 0),"&gt;=7")=0,0,COUNTIF(OFFSET(Таблица623[[#Headers],[10]],1,0):OFFSET(O14, -1, 0),"&gt;=7")/OFFSET($D14, -1, 0)*100))</f>
        <v>0</v>
      </c>
      <c r="P16" s="27">
        <f ca="1">IF(SUM(OFFSET(Таблица623[[#Headers],[11]],1,0):OFFSET(P14, -1, 0))=0,"",IF(COUNTIF(OFFSET(Таблица623[[#Headers],[11]],1,0):OFFSET(P14, -1, 0),"&gt;=7")=0,0,COUNTIF(OFFSET(Таблица623[[#Headers],[11]],1,0):OFFSET(P14, -1, 0),"&gt;=7")/OFFSET($D14, -1, 0)*100))</f>
        <v>0</v>
      </c>
      <c r="Q16" s="27">
        <f ca="1">IF(SUM(OFFSET(Таблица623[[#Headers],[12]],1,0):OFFSET(Q14, -1, 0))=0,"",IF(COUNTIF(OFFSET(Таблица623[[#Headers],[12]],1,0):OFFSET(Q14, -1, 0),"&gt;=7")=0,0,COUNTIF(OFFSET(Таблица623[[#Headers],[12]],1,0):OFFSET(Q14, -1, 0),"&gt;=7")/OFFSET($D14, -1, 0)*100))</f>
        <v>50</v>
      </c>
      <c r="R16" s="27">
        <f ca="1">IF(SUM(OFFSET(Таблица623[[#Headers],[13]],1,0):OFFSET(R14, -1, 0))=0,"",IF(COUNTIF(OFFSET(Таблица623[[#Headers],[13]],1,0):OFFSET(R14, -1, 0),"&gt;=7")=0,0,COUNTIF(OFFSET(Таблица623[[#Headers],[13]],1,0):OFFSET(R14, -1, 0),"&gt;=7")/OFFSET($D14, -1, 0)*100))</f>
        <v>0</v>
      </c>
      <c r="S16" s="27">
        <f ca="1">IF(SUM(OFFSET(Таблица623[[#Headers],[14]],1,0):OFFSET(S14, -1, 0))=0,"",IF(COUNTIF(OFFSET(Таблица623[[#Headers],[14]],1,0):OFFSET(S14, -1, 0),"&gt;=7")=0,0,COUNTIF(OFFSET(Таблица623[[#Headers],[14]],1,0):OFFSET(S14, -1, 0),"&gt;=7")/OFFSET($D14, -1, 0)*100))</f>
        <v>0</v>
      </c>
      <c r="T16" s="35"/>
      <c r="U16" s="35"/>
      <c r="V16" s="58"/>
      <c r="W16" s="12"/>
    </row>
    <row r="17" spans="1:23" ht="15" customHeight="1" x14ac:dyDescent="0.25">
      <c r="A17" s="60"/>
      <c r="B17" s="58"/>
      <c r="C17" s="35"/>
      <c r="D17" s="35"/>
      <c r="E17" s="5" t="s">
        <v>11</v>
      </c>
      <c r="F17" s="26">
        <f ca="1">IF(COUNT(F15:S15)&lt;14,"",AVERAGE(F15:S15))</f>
        <v>100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58"/>
      <c r="W17" s="12"/>
    </row>
    <row r="18" spans="1:23" ht="15" customHeight="1" x14ac:dyDescent="0.25">
      <c r="A18" s="60"/>
      <c r="B18" s="58"/>
      <c r="C18" s="35"/>
      <c r="D18" s="35"/>
      <c r="E18" s="5" t="s">
        <v>12</v>
      </c>
      <c r="F18" s="26">
        <f ca="1">IF(COUNT(F16:S16)&lt;14,"",AVERAGE(F16:S16))</f>
        <v>10.714285714285714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58"/>
      <c r="W18" s="12"/>
    </row>
    <row r="19" spans="1:23" ht="15" customHeight="1" x14ac:dyDescent="0.25">
      <c r="A19" s="60"/>
      <c r="B19" s="58"/>
      <c r="C19" s="35"/>
      <c r="D19" s="35"/>
      <c r="E19" s="5" t="s">
        <v>13</v>
      </c>
      <c r="F19" s="38">
        <f ca="1">IF(COUNTIF(OFFSET(Таблица623[[#Headers],[''Б/К]],1,0):OFFSET($C14, -1, 0),"=Б")=0,IF(COUNTIF(OFFSET(Таблица623[[#Headers],[''Б/К]],1,0):OFFSET($C14, -1, 0),"=К")=0,"",0),COUNTIF(OFFSET(Таблица623[[#Headers],[''Б/К]],1,0):OFFSET($C14, -1, 0),"=Б"))</f>
        <v>0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58"/>
      <c r="W19" s="12"/>
    </row>
    <row r="20" spans="1:23" ht="15" customHeight="1" x14ac:dyDescent="0.25">
      <c r="A20" s="60"/>
      <c r="B20" s="58"/>
      <c r="C20" s="35"/>
      <c r="D20" s="35"/>
      <c r="E20" s="5" t="s">
        <v>14</v>
      </c>
      <c r="F20" s="38">
        <f ca="1">IF(COUNTIF(OFFSET(Таблица623[[#Headers],[''Б/К]],1,0):OFFSET($C14, -1, 0),"=К")=0,IF(COUNTIF(OFFSET(Таблица623[[#Headers],[''Б/К]],1,0):OFFSET($C14, -1, 0),"=Б")=0,"",0),COUNTIF(OFFSET(Таблица623[[#Headers],[''Б/К]],1,0):OFFSET($C14, -1, 0),"=К"))</f>
        <v>2</v>
      </c>
      <c r="G20" s="35"/>
      <c r="H20" s="40" t="s">
        <v>15</v>
      </c>
      <c r="I20" s="41"/>
      <c r="J20" s="41"/>
      <c r="K20" s="41"/>
      <c r="L20" s="41"/>
      <c r="M20" s="41"/>
      <c r="N20" s="40"/>
      <c r="O20" s="42" t="s">
        <v>82</v>
      </c>
      <c r="P20" s="24"/>
      <c r="Q20" s="25"/>
      <c r="R20" s="24"/>
      <c r="S20" s="35"/>
      <c r="T20" s="35"/>
      <c r="U20" s="35"/>
      <c r="V20" s="58"/>
      <c r="W20" s="12"/>
    </row>
    <row r="21" spans="1:23" ht="15" customHeight="1" x14ac:dyDescent="0.25">
      <c r="A21" s="60"/>
      <c r="B21" s="58"/>
      <c r="C21" s="35"/>
      <c r="D21" s="35"/>
      <c r="E21" s="5" t="s">
        <v>16</v>
      </c>
      <c r="F21" s="28">
        <v>3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58"/>
      <c r="W21" s="12"/>
    </row>
    <row r="22" spans="1:23" ht="15" customHeight="1" x14ac:dyDescent="0.25">
      <c r="A22" s="60"/>
      <c r="B22" s="58"/>
      <c r="C22" s="35"/>
      <c r="D22" s="35"/>
      <c r="E22" s="5" t="s">
        <v>17</v>
      </c>
      <c r="F22" s="38">
        <f ca="1">IF(F19="","",IF(ROUNDDOWN(F19/100*40,0)&lt;F19-U14,ROUNDDOWN(F19/100*40,0),F19-U14))</f>
        <v>0</v>
      </c>
      <c r="G22" s="35"/>
      <c r="H22" s="42" t="s">
        <v>83</v>
      </c>
      <c r="I22" s="41"/>
      <c r="J22" s="41"/>
      <c r="K22" s="41"/>
      <c r="L22" s="41"/>
      <c r="M22" s="41"/>
      <c r="N22" s="40"/>
      <c r="O22" s="42" t="s">
        <v>18</v>
      </c>
      <c r="P22" s="25"/>
      <c r="Q22" s="25"/>
      <c r="R22" s="25"/>
      <c r="S22" s="35"/>
      <c r="T22" s="35"/>
      <c r="U22" s="35"/>
      <c r="V22" s="58"/>
      <c r="W22" s="12"/>
    </row>
    <row r="23" spans="1:23" ht="12" customHeight="1" thickBot="1" x14ac:dyDescent="0.3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12"/>
    </row>
    <row r="24" spans="1:23" ht="12" customHeight="1" x14ac:dyDescent="0.25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</row>
  </sheetData>
  <sheetProtection formatCells="0" insertColumns="0" insertRows="0" deleteColumns="0" deleteRows="0" sort="0"/>
  <mergeCells count="17">
    <mergeCell ref="B1:V1"/>
    <mergeCell ref="A2:A23"/>
    <mergeCell ref="B2:V2"/>
    <mergeCell ref="B3:B22"/>
    <mergeCell ref="C3:T3"/>
    <mergeCell ref="V3:V22"/>
    <mergeCell ref="C4:T4"/>
    <mergeCell ref="C5:T5"/>
    <mergeCell ref="C6:T6"/>
    <mergeCell ref="C7:T7"/>
    <mergeCell ref="B24:V24"/>
    <mergeCell ref="C8:T8"/>
    <mergeCell ref="C9:C10"/>
    <mergeCell ref="D9:D10"/>
    <mergeCell ref="E9:E10"/>
    <mergeCell ref="F9:T9"/>
    <mergeCell ref="B23:V23"/>
  </mergeCells>
  <conditionalFormatting sqref="C13 E13">
    <cfRule type="expression" dxfId="27" priority="3">
      <formula>$V$13&lt;&gt;""</formula>
    </cfRule>
  </conditionalFormatting>
  <conditionalFormatting sqref="D13 C12:E12">
    <cfRule type="expression" dxfId="26" priority="2">
      <formula>$V$12&lt;&gt;""</formula>
    </cfRule>
  </conditionalFormatting>
  <conditionalFormatting sqref="T12:U13">
    <cfRule type="expression" dxfId="25" priority="5">
      <formula>#REF!&lt;&gt;""</formula>
    </cfRule>
  </conditionalFormatting>
  <conditionalFormatting sqref="F12:S13">
    <cfRule type="expression" dxfId="24" priority="1">
      <formula>$V$12&lt;&gt;""</formula>
    </cfRule>
  </conditionalFormatting>
  <printOptions horizontalCentered="1"/>
  <pageMargins left="0" right="0" top="0" bottom="0" header="0" footer="0"/>
  <pageSetup paperSize="9" scale="9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076</vt:lpstr>
      <vt:lpstr>Рейтингова 076</vt:lpstr>
      <vt:lpstr>Зведена 101</vt:lpstr>
      <vt:lpstr>Рейтингова 101</vt:lpstr>
      <vt:lpstr>Зведена 185</vt:lpstr>
      <vt:lpstr>'Зведена 076'!Область_печати</vt:lpstr>
      <vt:lpstr>'Зведена 101'!Область_печати</vt:lpstr>
      <vt:lpstr>'Зведена 185'!Область_печати</vt:lpstr>
      <vt:lpstr>'Рейтингова 076'!Область_печати</vt:lpstr>
      <vt:lpstr>'Рейтингова 101'!Область_печати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2024-12-25T12:58:48Z</cp:lastPrinted>
  <dcterms:created xsi:type="dcterms:W3CDTF">2006-09-28T05:33:49Z</dcterms:created>
  <dcterms:modified xsi:type="dcterms:W3CDTF">2024-12-25T15:35:14Z</dcterms:modified>
</cp:coreProperties>
</file>