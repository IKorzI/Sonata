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 activeTab="1"/>
  </bookViews>
  <sheets>
    <sheet name="Зведена 172" sheetId="40" r:id="rId1"/>
    <sheet name="Рейтингова 172" sheetId="44" r:id="rId2"/>
    <sheet name="Зведена 241" sheetId="41" r:id="rId3"/>
    <sheet name="Зведена 242" sheetId="42" r:id="rId4"/>
  </sheets>
  <definedNames>
    <definedName name="A1048577" localSheetId="0">#REF!</definedName>
    <definedName name="A1048577" localSheetId="2">#REF!</definedName>
    <definedName name="A1048577" localSheetId="3">#REF!</definedName>
    <definedName name="A1048577" localSheetId="1">#REF!</definedName>
    <definedName name="A1048577">#REF!</definedName>
    <definedName name="_xlnm.Print_Area" localSheetId="0">'Зведена 172'!$B$2:$V$51</definedName>
    <definedName name="_xlnm.Print_Area" localSheetId="2">'Зведена 241'!$B$2:$V$22</definedName>
    <definedName name="_xlnm.Print_Area" localSheetId="3">'Зведена 242'!$B$2:$V$30</definedName>
    <definedName name="_xlnm.Print_Area" localSheetId="1">'Рейтингова 172'!$B$2:$W$30</definedName>
    <definedName name="Ф80" localSheetId="0">#REF!</definedName>
    <definedName name="Ф80" localSheetId="2">#REF!</definedName>
    <definedName name="Ф80" localSheetId="3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8" i="44" l="1"/>
  <c r="T22" i="44"/>
  <c r="U22" i="44" s="1"/>
  <c r="V22" i="44" s="1"/>
  <c r="T18" i="44"/>
  <c r="U18" i="44" s="1"/>
  <c r="V18" i="44" s="1"/>
  <c r="T25" i="44"/>
  <c r="U25" i="44" s="1"/>
  <c r="V25" i="44" s="1"/>
  <c r="T19" i="44"/>
  <c r="U19" i="44" s="1"/>
  <c r="V19" i="44" s="1"/>
  <c r="T24" i="44"/>
  <c r="U24" i="44" s="1"/>
  <c r="V24" i="44" s="1"/>
  <c r="T21" i="44"/>
  <c r="U21" i="44" s="1"/>
  <c r="V21" i="44" s="1"/>
  <c r="T23" i="44"/>
  <c r="U23" i="44" s="1"/>
  <c r="V23" i="44" s="1"/>
  <c r="T16" i="44"/>
  <c r="U16" i="44" s="1"/>
  <c r="V16" i="44" s="1"/>
  <c r="T20" i="44"/>
  <c r="U20" i="44" s="1"/>
  <c r="V20" i="44" s="1"/>
  <c r="T14" i="44"/>
  <c r="U14" i="44" s="1"/>
  <c r="V14" i="44" s="1"/>
  <c r="T13" i="44"/>
  <c r="U13" i="44" s="1"/>
  <c r="V13" i="44" s="1"/>
  <c r="T12" i="44"/>
  <c r="U12" i="44" s="1"/>
  <c r="V12" i="44" s="1"/>
  <c r="T15" i="44"/>
  <c r="U15" i="44" s="1"/>
  <c r="V15" i="44" s="1"/>
  <c r="T17" i="44"/>
  <c r="U17" i="44" s="1"/>
  <c r="V17" i="44" s="1"/>
  <c r="T15" i="42" l="1"/>
  <c r="U15" i="42"/>
  <c r="T13" i="42"/>
  <c r="T14" i="42"/>
  <c r="T16" i="42"/>
  <c r="U13" i="42"/>
  <c r="U14" i="42"/>
  <c r="U16" i="42"/>
  <c r="T13" i="40"/>
  <c r="T14" i="40"/>
  <c r="T15" i="40"/>
  <c r="T16" i="40"/>
  <c r="U13" i="40"/>
  <c r="U14" i="40"/>
  <c r="U15" i="40"/>
  <c r="U16" i="40"/>
  <c r="T17" i="40"/>
  <c r="U17" i="40" s="1"/>
  <c r="T18" i="40"/>
  <c r="U18" i="40" s="1"/>
  <c r="T19" i="40"/>
  <c r="T20" i="40"/>
  <c r="U20" i="40" s="1"/>
  <c r="U19" i="40"/>
  <c r="T21" i="40"/>
  <c r="T22" i="40"/>
  <c r="T23" i="40"/>
  <c r="T24" i="40"/>
  <c r="U21" i="40"/>
  <c r="U22" i="40"/>
  <c r="U23" i="40"/>
  <c r="U24" i="40"/>
  <c r="T25" i="40"/>
  <c r="T26" i="40"/>
  <c r="T27" i="40"/>
  <c r="U27" i="40" s="1"/>
  <c r="T28" i="40"/>
  <c r="U25" i="40"/>
  <c r="U26" i="40"/>
  <c r="U28" i="40"/>
  <c r="T29" i="40"/>
  <c r="T30" i="40"/>
  <c r="T31" i="40"/>
  <c r="T32" i="40"/>
  <c r="U29" i="40"/>
  <c r="U30" i="40"/>
  <c r="U31" i="40"/>
  <c r="U32" i="40"/>
  <c r="T33" i="40"/>
  <c r="U33" i="40" s="1"/>
  <c r="T34" i="40"/>
  <c r="U34" i="40" s="1"/>
  <c r="T35" i="40"/>
  <c r="U35" i="40" s="1"/>
  <c r="T36" i="40"/>
  <c r="U36" i="40"/>
  <c r="T37" i="40"/>
  <c r="U37" i="40" s="1"/>
  <c r="T38" i="40"/>
  <c r="U38" i="40" s="1"/>
  <c r="T39" i="40"/>
  <c r="T40" i="40"/>
  <c r="U40" i="40" s="1"/>
  <c r="U39" i="40"/>
  <c r="F27" i="42"/>
  <c r="F26" i="42"/>
  <c r="U20" i="42"/>
  <c r="T20" i="42"/>
  <c r="U19" i="42"/>
  <c r="T19" i="42"/>
  <c r="U18" i="42"/>
  <c r="T18" i="42"/>
  <c r="U17" i="42"/>
  <c r="T17" i="42"/>
  <c r="U12" i="42"/>
  <c r="T12" i="42"/>
  <c r="D12" i="42"/>
  <c r="F19" i="41"/>
  <c r="F18" i="41"/>
  <c r="S15" i="41"/>
  <c r="R15" i="41"/>
  <c r="P15" i="41"/>
  <c r="O15" i="41"/>
  <c r="M15" i="41"/>
  <c r="L15" i="41"/>
  <c r="K15" i="41"/>
  <c r="J15" i="41"/>
  <c r="I15" i="41"/>
  <c r="H15" i="41"/>
  <c r="G15" i="41"/>
  <c r="F15" i="41"/>
  <c r="U12" i="41"/>
  <c r="U13" i="41" s="1"/>
  <c r="T12" i="41"/>
  <c r="D12" i="41"/>
  <c r="F14" i="41" s="1"/>
  <c r="J14" i="41" l="1"/>
  <c r="J13" i="41"/>
  <c r="L14" i="41"/>
  <c r="L13" i="41"/>
  <c r="G14" i="41"/>
  <c r="G13" i="41"/>
  <c r="Q15" i="41"/>
  <c r="Q13" i="41"/>
  <c r="Q14" i="41"/>
  <c r="K13" i="41"/>
  <c r="K14" i="41"/>
  <c r="N13" i="41"/>
  <c r="N14" i="41"/>
  <c r="N15" i="41"/>
  <c r="R14" i="41"/>
  <c r="R13" i="41"/>
  <c r="I13" i="41"/>
  <c r="I14" i="41"/>
  <c r="H13" i="41"/>
  <c r="H14" i="41"/>
  <c r="U21" i="42"/>
  <c r="S13" i="41"/>
  <c r="S14" i="41"/>
  <c r="O13" i="41"/>
  <c r="O14" i="41"/>
  <c r="P13" i="41"/>
  <c r="P14" i="41"/>
  <c r="M14" i="41"/>
  <c r="M13" i="41"/>
  <c r="F13" i="41"/>
  <c r="F29" i="42"/>
  <c r="D13" i="42"/>
  <c r="D14" i="42" s="1"/>
  <c r="F21" i="41"/>
  <c r="F48" i="40"/>
  <c r="F27" i="44" s="1"/>
  <c r="F47" i="40"/>
  <c r="F26" i="44" s="1"/>
  <c r="F17" i="41" l="1"/>
  <c r="T13" i="41"/>
  <c r="F16" i="41"/>
  <c r="D15" i="42"/>
  <c r="D16" i="42" s="1"/>
  <c r="D17" i="42" s="1"/>
  <c r="D18" i="42" s="1"/>
  <c r="D19" i="42" s="1"/>
  <c r="D20" i="42" s="1"/>
  <c r="J23" i="42" s="1"/>
  <c r="T12" i="40"/>
  <c r="L23" i="42" l="1"/>
  <c r="J22" i="42"/>
  <c r="J21" i="42"/>
  <c r="L22" i="42"/>
  <c r="L21" i="42"/>
  <c r="Q23" i="42"/>
  <c r="G22" i="42"/>
  <c r="G23" i="42"/>
  <c r="G21" i="42"/>
  <c r="K23" i="42"/>
  <c r="Q22" i="42"/>
  <c r="Q21" i="42"/>
  <c r="K21" i="42"/>
  <c r="K22" i="42"/>
  <c r="R23" i="42"/>
  <c r="N23" i="42"/>
  <c r="N22" i="42"/>
  <c r="N21" i="42"/>
  <c r="I23" i="42"/>
  <c r="R22" i="42"/>
  <c r="R21" i="42"/>
  <c r="H23" i="42"/>
  <c r="I22" i="42"/>
  <c r="I21" i="42"/>
  <c r="S23" i="42"/>
  <c r="H21" i="42"/>
  <c r="H22" i="42"/>
  <c r="O23" i="42"/>
  <c r="S22" i="42"/>
  <c r="S21" i="42"/>
  <c r="P23" i="42"/>
  <c r="O22" i="42"/>
  <c r="O21" i="42"/>
  <c r="M23" i="42"/>
  <c r="P22" i="42"/>
  <c r="P21" i="42"/>
  <c r="F23" i="42"/>
  <c r="M21" i="42"/>
  <c r="M22" i="42"/>
  <c r="F22" i="42"/>
  <c r="F21" i="42"/>
  <c r="U12" i="40"/>
  <c r="T41" i="40"/>
  <c r="U41" i="40" s="1"/>
  <c r="D12" i="40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F25" i="42" l="1"/>
  <c r="T21" i="42"/>
  <c r="F24" i="42"/>
  <c r="D41" i="40"/>
  <c r="J44" i="40" s="1"/>
  <c r="U42" i="40"/>
  <c r="L44" i="40" l="1"/>
  <c r="J43" i="40"/>
  <c r="J42" i="40"/>
  <c r="G44" i="40"/>
  <c r="L43" i="40"/>
  <c r="L42" i="40"/>
  <c r="Q44" i="40"/>
  <c r="G42" i="40"/>
  <c r="G43" i="40"/>
  <c r="K44" i="40"/>
  <c r="Q43" i="40"/>
  <c r="Q42" i="40"/>
  <c r="K43" i="40"/>
  <c r="K42" i="40"/>
  <c r="R44" i="40"/>
  <c r="N44" i="40"/>
  <c r="N43" i="40"/>
  <c r="N42" i="40"/>
  <c r="I44" i="40"/>
  <c r="R42" i="40"/>
  <c r="R43" i="40"/>
  <c r="H44" i="40"/>
  <c r="I43" i="40"/>
  <c r="I42" i="40"/>
  <c r="S44" i="40"/>
  <c r="H43" i="40"/>
  <c r="H42" i="40"/>
  <c r="O44" i="40"/>
  <c r="S43" i="40"/>
  <c r="S42" i="40"/>
  <c r="P44" i="40"/>
  <c r="O43" i="40"/>
  <c r="O42" i="40"/>
  <c r="M44" i="40"/>
  <c r="P43" i="40"/>
  <c r="P42" i="40"/>
  <c r="F44" i="40"/>
  <c r="M43" i="40"/>
  <c r="M42" i="40"/>
  <c r="F43" i="40"/>
  <c r="F42" i="40"/>
  <c r="F50" i="40"/>
  <c r="F29" i="44" s="1"/>
  <c r="F45" i="40" l="1"/>
  <c r="T42" i="40"/>
  <c r="F46" i="40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</calcChain>
</file>

<file path=xl/sharedStrings.xml><?xml version="1.0" encoding="utf-8"?>
<sst xmlns="http://schemas.openxmlformats.org/spreadsheetml/2006/main" count="339" uniqueCount="104">
  <si>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</si>
  <si>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</si>
  <si>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</si>
  <si>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</si>
  <si>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</si>
  <si>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</si>
  <si>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</si>
  <si>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</si>
  <si>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</si>
  <si>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</si>
  <si>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</si>
  <si>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</si>
  <si>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</si>
  <si>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</si>
  <si>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</si>
  <si>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</si>
  <si>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</si>
  <si>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</si>
  <si>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</si>
  <si>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</si>
  <si>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</si>
  <si>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</si>
  <si>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Іноземна мова
Нічик Н.О.</t>
  </si>
  <si>
    <t>Українська література
Антропова Л.І.</t>
  </si>
  <si>
    <t>Українська мова
Антропова Л.І.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</si>
  <si>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</si>
  <si>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</si>
  <si>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Столбец18</t>
  </si>
  <si>
    <t>'Б/К</t>
  </si>
  <si>
    <t>0</t>
  </si>
  <si>
    <t>"Б" и "-"</t>
  </si>
  <si>
    <t>Фізика
Калюта Н.М.</t>
  </si>
  <si>
    <t>Захист України
Лазар В.І.</t>
  </si>
  <si>
    <t>1</t>
  </si>
  <si>
    <t>2</t>
  </si>
  <si>
    <t>3</t>
  </si>
  <si>
    <t>5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</si>
  <si>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</si>
  <si>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</si>
  <si>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</si>
  <si>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</si>
  <si>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</si>
  <si>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</si>
  <si>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</si>
  <si>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</si>
  <si>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</si>
  <si>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</si>
  <si>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Олена РОМАНСЬКА</t>
  </si>
  <si>
    <t>Завідувачка відділення ПЗСО</t>
  </si>
  <si>
    <t>Успішності студентів спеціальності 172 «Комп'ютерні технології та електронні комунікації»</t>
  </si>
  <si>
    <t>За I семестр 2024-2025 н.р.</t>
  </si>
  <si>
    <t>Група 24-5 курс І</t>
  </si>
  <si>
    <t>Успішності студентів спеціальності 241 «Готельно-ресторанна справа»</t>
  </si>
  <si>
    <t>Успішності студентів спеціальності 242 «Туризм»</t>
  </si>
  <si>
    <t>Інформатика
Бєльдюгіна С.С.</t>
  </si>
  <si>
    <t>Математика
Земляна Т.М.</t>
  </si>
  <si>
    <t>Фізична культура
Галеніна І.С.</t>
  </si>
  <si>
    <t>Хімія
Сахно Н.О.</t>
  </si>
  <si>
    <t>Батіщев Дмитро Олександрович</t>
  </si>
  <si>
    <t>Беглов Роман Володимирович</t>
  </si>
  <si>
    <t>Береговий Богдан Романович</t>
  </si>
  <si>
    <t>Бессалова Дар`я Володимирівна</t>
  </si>
  <si>
    <t>Вівтоненко Єгор Васильович</t>
  </si>
  <si>
    <t>Гришечко Вадим Олександрович</t>
  </si>
  <si>
    <t>Данько Данило Віталійович</t>
  </si>
  <si>
    <t>Джулай Вадим Володимирович</t>
  </si>
  <si>
    <t>Єргієва Маргарита Євгенівна</t>
  </si>
  <si>
    <t>Заболотний Владислав Олександрович</t>
  </si>
  <si>
    <t>Коваленко Дмитро Станіславович</t>
  </si>
  <si>
    <t>Кривенко Дмитро Олександрович</t>
  </si>
  <si>
    <t>Лакіза Олексій Віталійович</t>
  </si>
  <si>
    <t>Мазуров Максим Сергійович</t>
  </si>
  <si>
    <t>Мальцев Максим Костянтинович</t>
  </si>
  <si>
    <t>Михайлов Станіслав Сергійович</t>
  </si>
  <si>
    <t>Мураховський Іван Сергійович</t>
  </si>
  <si>
    <t>Овчинніков Олексій Станіславович</t>
  </si>
  <si>
    <t>Панчев Микола Олексійович</t>
  </si>
  <si>
    <t>Першин Іван Вікторович</t>
  </si>
  <si>
    <t>Прокопенко Максим Дмитрович</t>
  </si>
  <si>
    <t>Рокачевський Тимур Ігорович</t>
  </si>
  <si>
    <t>Романчук Олександр Сергійович</t>
  </si>
  <si>
    <t>Сас Олександр Володимирович</t>
  </si>
  <si>
    <t>Стафідов Роман Віталійович</t>
  </si>
  <si>
    <t>Тернавський Дмитро Костянтинович</t>
  </si>
  <si>
    <t>Урсу Данило Вікторович</t>
  </si>
  <si>
    <t>Федоров Данііл Андрійович</t>
  </si>
  <si>
    <t>Хералла Абделькарім</t>
  </si>
  <si>
    <t>Шакун Микита Анатолійович</t>
  </si>
  <si>
    <t>К</t>
  </si>
  <si>
    <t>Б</t>
  </si>
  <si>
    <t>Стойков Степан Вікторович</t>
  </si>
  <si>
    <t>Бурлака Олександр Дмитрович</t>
  </si>
  <si>
    <t>Іванова Вікторія Вікторівна</t>
  </si>
  <si>
    <t>Карабут Анастасія Григорівна</t>
  </si>
  <si>
    <t>Кваша Дана Петрівна</t>
  </si>
  <si>
    <t>Любенко Ксенія Сергіївна</t>
  </si>
  <si>
    <t>Москаленко Катерина Олександрівна</t>
  </si>
  <si>
    <t>Фурман Діана Геннадіївна</t>
  </si>
  <si>
    <t>Хачатрян Аріна Каренівна</t>
  </si>
  <si>
    <t>Циктор Єлизавета Олегівна</t>
  </si>
  <si>
    <t>н/а</t>
  </si>
  <si>
    <t>Столбец182</t>
  </si>
  <si>
    <t>Рейтинговий бал</t>
  </si>
  <si>
    <t>РЕЙТИНГОВА ВІДОМІСТЬ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</si>
</sst>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13" fillId="0" borderId="1"/>
  </cellStyleXfs>
  <cellXfs count="68">
    <xf numFmtId="0" fontId="0" fillId="0" borderId="0" xfId="0"/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4" borderId="5" xfId="5" applyFont="1" applyFill="1" applyBorder="1" applyAlignment="1">
      <alignment vertical="center"/>
    </xf>
    <xf numFmtId="0" fontId="3" fillId="5" borderId="8" xfId="5" applyFont="1" applyFill="1" applyBorder="1" applyAlignment="1">
      <alignment horizontal="center" vertical="center" wrapText="1"/>
    </xf>
    <xf numFmtId="0" fontId="3" fillId="5" borderId="9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0" borderId="8" xfId="5" applyFont="1" applyBorder="1" applyAlignment="1">
      <alignment horizontal="center" textRotation="90" wrapText="1"/>
    </xf>
    <xf numFmtId="0" fontId="3" fillId="5" borderId="2" xfId="5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0" fontId="4" fillId="5" borderId="1" xfId="5" applyFont="1" applyFill="1" applyAlignment="1">
      <alignment horizontal="center" vertical="center" textRotation="90" wrapText="1"/>
    </xf>
    <xf numFmtId="0" fontId="3" fillId="4" borderId="10" xfId="5" applyFont="1" applyFill="1" applyBorder="1" applyAlignment="1">
      <alignment horizontal="center" vertical="center"/>
    </xf>
    <xf numFmtId="0" fontId="3" fillId="4" borderId="11" xfId="5" applyFont="1" applyFill="1" applyBorder="1" applyAlignment="1" applyProtection="1">
      <alignment horizontal="center" vertical="center"/>
      <protection locked="0"/>
    </xf>
    <xf numFmtId="0" fontId="3" fillId="4" borderId="12" xfId="5" applyFont="1" applyFill="1" applyBorder="1" applyAlignment="1" applyProtection="1">
      <alignment horizontal="center" vertical="center"/>
      <protection locked="0"/>
    </xf>
    <xf numFmtId="1" fontId="3" fillId="4" borderId="1" xfId="5" applyNumberFormat="1" applyFont="1" applyFill="1" applyAlignment="1">
      <alignment horizontal="center" vertical="center"/>
    </xf>
    <xf numFmtId="0" fontId="9" fillId="0" borderId="1" xfId="5" applyFont="1" applyAlignment="1">
      <alignment horizontal="left" vertical="center"/>
    </xf>
    <xf numFmtId="0" fontId="9" fillId="5" borderId="1" xfId="5" applyFont="1" applyFill="1" applyAlignment="1">
      <alignment horizontal="left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10" fillId="5" borderId="2" xfId="5" applyFont="1" applyFill="1" applyBorder="1" applyAlignment="1" applyProtection="1">
      <alignment horizontal="center" vertical="center"/>
      <protection locked="0"/>
    </xf>
    <xf numFmtId="0" fontId="3" fillId="5" borderId="2" xfId="5" applyFont="1" applyFill="1" applyBorder="1" applyAlignment="1" applyProtection="1">
      <alignment horizontal="left" vertical="center" wrapText="1"/>
      <protection locked="0"/>
    </xf>
    <xf numFmtId="0" fontId="3" fillId="5" borderId="6" xfId="5" applyFont="1" applyFill="1" applyBorder="1" applyAlignment="1" applyProtection="1">
      <alignment horizontal="center" vertical="center" wrapText="1"/>
      <protection locked="0"/>
    </xf>
    <xf numFmtId="0" fontId="3" fillId="5" borderId="2" xfId="5" applyFont="1" applyFill="1" applyBorder="1" applyAlignment="1" applyProtection="1">
      <alignment horizontal="center" vertical="center" wrapText="1"/>
      <protection locked="0"/>
    </xf>
    <xf numFmtId="2" fontId="3" fillId="2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11" fillId="5" borderId="1" xfId="5" applyFont="1" applyFill="1" applyAlignment="1">
      <alignment horizontal="left" vertical="center"/>
    </xf>
    <xf numFmtId="0" fontId="12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left" vertical="center"/>
      <protection locked="0"/>
    </xf>
    <xf numFmtId="0" fontId="12" fillId="0" borderId="2" xfId="5" applyFont="1" applyBorder="1" applyAlignment="1" applyProtection="1">
      <alignment horizontal="center" textRotation="90" wrapText="1"/>
      <protection locked="0"/>
    </xf>
    <xf numFmtId="0" fontId="3" fillId="5" borderId="2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11" fillId="5" borderId="1" xfId="5" applyFont="1" applyFill="1" applyAlignment="1" applyProtection="1">
      <alignment horizontal="center" vertical="center"/>
      <protection locked="0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11" fillId="5" borderId="13" xfId="5" applyFont="1" applyFill="1" applyBorder="1" applyAlignment="1" applyProtection="1">
      <alignment horizontal="center" vertical="center"/>
      <protection locked="0"/>
    </xf>
    <xf numFmtId="2" fontId="3" fillId="6" borderId="2" xfId="5" applyNumberFormat="1" applyFont="1" applyFill="1" applyBorder="1" applyAlignment="1" applyProtection="1">
      <alignment horizontal="center" vertical="center"/>
      <protection locked="0"/>
    </xf>
    <xf numFmtId="0" fontId="3" fillId="4" borderId="6" xfId="5" applyFont="1" applyFill="1" applyBorder="1" applyAlignment="1" applyProtection="1">
      <alignment horizontal="center" vertical="center" wrapText="1"/>
      <protection locked="0"/>
    </xf>
    <xf numFmtId="0" fontId="3" fillId="4" borderId="2" xfId="5" applyFont="1" applyFill="1" applyBorder="1" applyAlignment="1" applyProtection="1">
      <alignment horizontal="center" vertical="center" wrapText="1"/>
      <protection locked="0"/>
    </xf>
    <xf numFmtId="0" fontId="3" fillId="4" borderId="2" xfId="5" applyFont="1" applyFill="1" applyBorder="1" applyAlignment="1" applyProtection="1">
      <alignment horizontal="left" vertical="center" wrapText="1"/>
      <protection locked="0"/>
    </xf>
    <xf numFmtId="0" fontId="3" fillId="4" borderId="2" xfId="5" applyFont="1" applyFill="1" applyBorder="1" applyAlignment="1" applyProtection="1">
      <alignment horizontal="center" vertical="center"/>
      <protection locked="0"/>
    </xf>
    <xf numFmtId="2" fontId="3" fillId="4" borderId="2" xfId="5" applyNumberFormat="1" applyFont="1" applyFill="1" applyBorder="1" applyAlignment="1" applyProtection="1">
      <alignment horizontal="center" vertical="center"/>
      <protection locked="0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16" xfId="28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mediumDashed">
          <color indexed="64"/>
        </left>
        <right style="mediumDashed">
          <color indexed="64"/>
        </right>
        <top style="thin">
          <color indexed="64"/>
        </top>
        <bottom style="thin">
          <color indexed="64"/>
        </bottom>
        <vertic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6" name="Таблица6" displayName="Таблица6" ref="C11:U41" totalsRowShown="0" headerRowDxfId="109" dataDxfId="107" headerRowBorderDxfId="108" tableBorderDxfId="106" totalsRowBorderDxfId="105" headerRowCellStyle="Обычный 11 2" dataCellStyle="Обычный 11 2">
  <autoFilter ref="C11:U41"/>
  <tableColumns count="19">
    <tableColumn id="1" name="'Б/К" dataDxfId="104" dataCellStyle="Обычный 11 2"/>
    <tableColumn id="2" name="0" dataDxfId="103" dataCellStyle="Обычный 11 2">
      <calculatedColumnFormula>OFFSET(D12,-1,0)+1</calculatedColumnFormula>
    </tableColumn>
    <tableColumn id="3" name="Прізвище, ім’я, по батькові" dataDxfId="102" dataCellStyle="Обычный 11 2"/>
    <tableColumn id="4" name="1" dataDxfId="101" dataCellStyle="Обычный 11 2"/>
    <tableColumn id="6" name="2" dataDxfId="100" dataCellStyle="Обычный 11 2"/>
    <tableColumn id="7" name="3" dataDxfId="99" dataCellStyle="Обычный 11 2"/>
    <tableColumn id="8" name="4" dataDxfId="98" dataCellStyle="Обычный 11 2"/>
    <tableColumn id="9" name="5" dataDxfId="97" dataCellStyle="Обычный 11 2"/>
    <tableColumn id="11" name="6" dataDxfId="96" dataCellStyle="Обычный 11 2"/>
    <tableColumn id="12" name="7" dataDxfId="95" dataCellStyle="Обычный 11 2"/>
    <tableColumn id="13" name="8" dataDxfId="94" dataCellStyle="Обычный 11 2"/>
    <tableColumn id="23" name="9" dataDxfId="93" dataCellStyle="Обычный 11 2"/>
    <tableColumn id="22" name="10" dataDxfId="92" dataCellStyle="Обычный 11 2"/>
    <tableColumn id="21" name="11" dataDxfId="91" dataCellStyle="Обычный 11 2"/>
    <tableColumn id="19" name="12" dataDxfId="90" dataCellStyle="Обычный 11 2"/>
    <tableColumn id="17" name="13" dataDxfId="89" dataCellStyle="Обычный 11 2"/>
    <tableColumn id="14" name="14" dataDxfId="88" dataCellStyle="Обычный 11 2"/>
    <tableColumn id="18" name="Столбец18" dataDxfId="87" dataCellStyle="Обычный 11 2">
      <calculatedColumnFormula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calculatedColumnFormula>
    </tableColumn>
    <tableColumn id="20" name="&quot;Б&quot; и &quot;-&quot;" dataDxfId="86" dataCellStyle="Обычный 11 2">
      <calculatedColumnFormula>IF(Таблица6[[#This Row],[''Б/К]]="Б",IF(Таблица6[[#This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Таблица64" displayName="Таблица64" ref="C11:V25" totalsRowShown="0" headerRowDxfId="37" dataDxfId="36" headerRowBorderDxfId="34" tableBorderDxfId="35" totalsRowBorderDxfId="33" headerRowCellStyle="Обычный 11 2" dataCellStyle="Обычный 11 2">
  <autoFilter ref="C11:V25"/>
  <sortState ref="C12:V25">
    <sortCondition descending="1" ref="U12:U25"/>
  </sortState>
  <tableColumns count="20">
    <tableColumn id="1" name="'Б/К" dataDxfId="32" dataCellStyle="Обычный 11 2"/>
    <tableColumn id="2" name="0" dataDxfId="31" dataCellStyle="Обычный 11 2">
      <calculatedColumnFormula>OFFSET(D12,-1,0)+1</calculatedColumnFormula>
    </tableColumn>
    <tableColumn id="3" name="Прізвище, ім’я, по батькові" dataDxfId="30" dataCellStyle="Обычный 11 2"/>
    <tableColumn id="4" name="1" dataDxfId="29" dataCellStyle="Обычный 11 2"/>
    <tableColumn id="6" name="2" dataDxfId="28" dataCellStyle="Обычный 11 2"/>
    <tableColumn id="7" name="3" dataDxfId="27" dataCellStyle="Обычный 11 2"/>
    <tableColumn id="8" name="4" dataDxfId="26" dataCellStyle="Обычный 11 2"/>
    <tableColumn id="9" name="5" dataDxfId="25" dataCellStyle="Обычный 11 2"/>
    <tableColumn id="11" name="6" dataDxfId="24" dataCellStyle="Обычный 11 2"/>
    <tableColumn id="12" name="7" dataDxfId="23" dataCellStyle="Обычный 11 2"/>
    <tableColumn id="13" name="8" dataDxfId="22" dataCellStyle="Обычный 11 2"/>
    <tableColumn id="23" name="9" dataDxfId="21" dataCellStyle="Обычный 11 2"/>
    <tableColumn id="22" name="10" dataDxfId="20" dataCellStyle="Обычный 11 2"/>
    <tableColumn id="21" name="11" dataDxfId="19" dataCellStyle="Обычный 11 2"/>
    <tableColumn id="19" name="12" dataDxfId="18" dataCellStyle="Обычный 11 2"/>
    <tableColumn id="17" name="13" dataDxfId="17" dataCellStyle="Обычный 11 2"/>
    <tableColumn id="14" name="14" dataDxfId="3" dataCellStyle="Обычный 11 2"/>
    <tableColumn id="5" name="Столбец18" dataDxfId="2" dataCellStyle="Обычный 11 2">
      <calculatedColumnFormula>IF(COUNTIF(OFFSET(Таблица64[[#This Row],[Прізвище, ім’я, по батькові]],0,1):OFFSET(T12,0,-1),"=*")&gt;0,"-",IF(COUNTIF(OFFSET(Таблица64[[#This Row],[Прізвище, ім’я, по батькові]],0,1):OFFSET(T12,0,-1),"&lt;4")&gt;0,"-",(IFERROR(AVERAGE(OFFSET(Таблица64[[#This Row],[Прізвище, ім’я, по батькові]],0,1):OFFSET(T12,0,-1)),""))))</calculatedColumnFormula>
    </tableColumn>
    <tableColumn id="18" name="Столбец182" dataDxfId="0" dataCellStyle="Обычный 11 2">
      <calculatedColumnFormula>Таблица64[[#This Row],[Столбец18]]/12*90</calculatedColumnFormula>
    </tableColumn>
    <tableColumn id="20" name="&quot;Б&quot; и &quot;-&quot;" dataDxfId="1" dataCellStyle="Обычный 11 2">
      <calculatedColumnFormula>IF(Таблица64[[#This Row],[''Б/К]]="Б",IF(Таблица64[[#This Row],[Столбец182]]="-","-",""),"")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Таблица62" displayName="Таблица62" ref="C11:U12" totalsRowShown="0" headerRowDxfId="85" dataDxfId="83" headerRowBorderDxfId="84" tableBorderDxfId="82" totalsRowBorderDxfId="81" headerRowCellStyle="Обычный 11 2" dataCellStyle="Обычный 11 2">
  <autoFilter ref="C11:U12"/>
  <tableColumns count="19">
    <tableColumn id="1" name="'Б/К" dataDxfId="80" dataCellStyle="Обычный 11 2"/>
    <tableColumn id="2" name="0" dataDxfId="79" dataCellStyle="Обычный 11 2">
      <calculatedColumnFormula>OFFSET(D12,-1,0)+1</calculatedColumnFormula>
    </tableColumn>
    <tableColumn id="3" name="Прізвище, ім’я, по батькові" dataDxfId="78" dataCellStyle="Обычный 11 2"/>
    <tableColumn id="4" name="1" dataDxfId="77" dataCellStyle="Обычный 11 2"/>
    <tableColumn id="6" name="2" dataDxfId="76" dataCellStyle="Обычный 11 2"/>
    <tableColumn id="7" name="3" dataDxfId="75" dataCellStyle="Обычный 11 2"/>
    <tableColumn id="8" name="4" dataDxfId="74" dataCellStyle="Обычный 11 2"/>
    <tableColumn id="9" name="5" dataDxfId="73" dataCellStyle="Обычный 11 2"/>
    <tableColumn id="11" name="6" dataDxfId="72" dataCellStyle="Обычный 11 2"/>
    <tableColumn id="12" name="7" dataDxfId="71" dataCellStyle="Обычный 11 2"/>
    <tableColumn id="13" name="8" dataDxfId="70" dataCellStyle="Обычный 11 2"/>
    <tableColumn id="23" name="9" dataDxfId="69" dataCellStyle="Обычный 11 2"/>
    <tableColumn id="22" name="10" dataDxfId="68" dataCellStyle="Обычный 11 2"/>
    <tableColumn id="21" name="11" dataDxfId="67" dataCellStyle="Обычный 11 2"/>
    <tableColumn id="19" name="12" dataDxfId="66" dataCellStyle="Обычный 11 2"/>
    <tableColumn id="17" name="13" dataDxfId="65" dataCellStyle="Обычный 11 2"/>
    <tableColumn id="14" name="14" dataDxfId="64" dataCellStyle="Обычный 11 2"/>
    <tableColumn id="18" name="Столбец18" dataDxfId="63" dataCellStyle="Обычный 11 2">
      <calculatedColumnFormula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calculatedColumnFormula>
    </tableColumn>
    <tableColumn id="20" name="&quot;Б&quot; и &quot;-&quot;" dataDxfId="62" dataCellStyle="Обычный 11 2">
      <calculatedColumnFormula>IF(Таблица62[[#This Row],[''Б/К]]="Б",IF(Таблица62[[#This Row],[Столбец18]]="-","-",""),"")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Таблица623" displayName="Таблица623" ref="C11:U20" totalsRowShown="0" headerRowDxfId="61" dataDxfId="59" headerRowBorderDxfId="60" tableBorderDxfId="58" totalsRowBorderDxfId="57" headerRowCellStyle="Обычный 11 2" dataCellStyle="Обычный 11 2">
  <autoFilter ref="C11:U20"/>
  <tableColumns count="19">
    <tableColumn id="1" name="'Б/К" dataDxfId="56" dataCellStyle="Обычный 11 2"/>
    <tableColumn id="2" name="0" dataDxfId="55" dataCellStyle="Обычный 11 2">
      <calculatedColumnFormula>OFFSET(D12,-1,0)+1</calculatedColumnFormula>
    </tableColumn>
    <tableColumn id="3" name="Прізвище, ім’я, по батькові" dataDxfId="54" dataCellStyle="Обычный 11 2"/>
    <tableColumn id="4" name="1" dataDxfId="53" dataCellStyle="Обычный 11 2"/>
    <tableColumn id="6" name="2" dataDxfId="52" dataCellStyle="Обычный 11 2"/>
    <tableColumn id="7" name="3" dataDxfId="51" dataCellStyle="Обычный 11 2"/>
    <tableColumn id="8" name="4" dataDxfId="50" dataCellStyle="Обычный 11 2"/>
    <tableColumn id="9" name="5" dataDxfId="49" dataCellStyle="Обычный 11 2"/>
    <tableColumn id="11" name="6" dataDxfId="48" dataCellStyle="Обычный 11 2"/>
    <tableColumn id="12" name="7" dataDxfId="47" dataCellStyle="Обычный 11 2"/>
    <tableColumn id="13" name="8" dataDxfId="46" dataCellStyle="Обычный 11 2"/>
    <tableColumn id="23" name="9" dataDxfId="45" dataCellStyle="Обычный 11 2"/>
    <tableColumn id="22" name="10" dataDxfId="44" dataCellStyle="Обычный 11 2"/>
    <tableColumn id="21" name="11" dataDxfId="43" dataCellStyle="Обычный 11 2"/>
    <tableColumn id="19" name="12" dataDxfId="42" dataCellStyle="Обычный 11 2"/>
    <tableColumn id="17" name="13" dataDxfId="41" dataCellStyle="Обычный 11 2"/>
    <tableColumn id="14" name="14" dataDxfId="40" dataCellStyle="Обычный 11 2"/>
    <tableColumn id="18" name="Столбец18" dataDxfId="39" dataCellStyle="Обычный 11 2">
      <calculatedColumnFormula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calculatedColumnFormula>
    </tableColumn>
    <tableColumn id="20" name="&quot;Б&quot; и &quot;-&quot;" dataDxfId="38" dataCellStyle="Обычный 11 2">
      <calculatedColumnFormula>IF(Таблица623[[#This Row],[''Б/К]]="Б",IF(Таблица623[[#This Row],[Столбец18]]="-","-",""),"")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5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3" ht="12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13"/>
    </row>
    <row r="3" spans="1:23" s="2" customFormat="1" ht="35.1" customHeight="1" x14ac:dyDescent="0.3">
      <c r="A3" s="49"/>
      <c r="B3" s="51"/>
      <c r="C3" s="52" t="s">
        <v>26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10"/>
      <c r="V3" s="51"/>
      <c r="W3" s="13"/>
    </row>
    <row r="4" spans="1:23" s="2" customFormat="1" ht="15" customHeight="1" x14ac:dyDescent="0.25">
      <c r="A4" s="49"/>
      <c r="B4" s="51"/>
      <c r="C4" s="51" t="s">
        <v>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9"/>
      <c r="V4" s="51"/>
      <c r="W4" s="13"/>
    </row>
    <row r="5" spans="1:23" s="3" customFormat="1" ht="15" customHeight="1" x14ac:dyDescent="0.25">
      <c r="A5" s="49"/>
      <c r="B5" s="51"/>
      <c r="C5" s="54" t="s">
        <v>20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11"/>
      <c r="V5" s="51"/>
      <c r="W5" s="13"/>
    </row>
    <row r="6" spans="1:23" s="2" customFormat="1" ht="15" customHeight="1" x14ac:dyDescent="0.25">
      <c r="A6" s="49"/>
      <c r="B6" s="51"/>
      <c r="C6" s="55" t="s">
        <v>49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9"/>
      <c r="V6" s="51"/>
      <c r="W6" s="13"/>
    </row>
    <row r="7" spans="1:23" s="2" customFormat="1" ht="15" customHeight="1" x14ac:dyDescent="0.25">
      <c r="A7" s="49"/>
      <c r="B7" s="51"/>
      <c r="C7" s="55" t="s">
        <v>50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9"/>
      <c r="V7" s="51"/>
      <c r="W7" s="13"/>
    </row>
    <row r="8" spans="1:23" s="2" customFormat="1" ht="15" customHeight="1" x14ac:dyDescent="0.25">
      <c r="A8" s="49"/>
      <c r="B8" s="51"/>
      <c r="C8" s="55" t="s">
        <v>51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9"/>
      <c r="V8" s="51"/>
      <c r="W8" s="13"/>
    </row>
    <row r="9" spans="1:23" ht="15" customHeight="1" x14ac:dyDescent="0.25">
      <c r="A9" s="49"/>
      <c r="B9" s="51"/>
      <c r="C9" s="56" t="s">
        <v>1</v>
      </c>
      <c r="D9" s="58" t="s">
        <v>2</v>
      </c>
      <c r="E9" s="58" t="s">
        <v>3</v>
      </c>
      <c r="F9" s="57" t="s">
        <v>25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7"/>
      <c r="V9" s="51"/>
      <c r="W9" s="13"/>
    </row>
    <row r="10" spans="1:23" ht="125.1" customHeight="1" x14ac:dyDescent="0.25">
      <c r="A10" s="49"/>
      <c r="B10" s="51"/>
      <c r="C10" s="57"/>
      <c r="D10" s="57"/>
      <c r="E10" s="57"/>
      <c r="F10" s="43" t="s">
        <v>4</v>
      </c>
      <c r="G10" s="43" t="s">
        <v>5</v>
      </c>
      <c r="H10" s="43" t="s">
        <v>6</v>
      </c>
      <c r="I10" s="43" t="s">
        <v>21</v>
      </c>
      <c r="J10" s="43" t="s">
        <v>32</v>
      </c>
      <c r="K10" s="43" t="s">
        <v>22</v>
      </c>
      <c r="L10" s="43" t="s">
        <v>54</v>
      </c>
      <c r="M10" s="43" t="s">
        <v>7</v>
      </c>
      <c r="N10" s="43" t="s">
        <v>55</v>
      </c>
      <c r="O10" s="43" t="s">
        <v>23</v>
      </c>
      <c r="P10" s="43" t="s">
        <v>24</v>
      </c>
      <c r="Q10" s="43" t="s">
        <v>31</v>
      </c>
      <c r="R10" s="43" t="s">
        <v>56</v>
      </c>
      <c r="S10" s="43" t="s">
        <v>57</v>
      </c>
      <c r="T10" s="4" t="s">
        <v>8</v>
      </c>
      <c r="U10" s="20"/>
      <c r="V10" s="51"/>
      <c r="W10" s="13"/>
    </row>
    <row r="11" spans="1:23" ht="50.1" hidden="1" customHeight="1" x14ac:dyDescent="0.25">
      <c r="A11" s="49"/>
      <c r="B11" s="51"/>
      <c r="C11" s="15" t="s">
        <v>28</v>
      </c>
      <c r="D11" s="14" t="s">
        <v>29</v>
      </c>
      <c r="E11" s="16" t="s">
        <v>3</v>
      </c>
      <c r="F11" s="17" t="s">
        <v>33</v>
      </c>
      <c r="G11" s="17" t="s">
        <v>34</v>
      </c>
      <c r="H11" s="17" t="s">
        <v>35</v>
      </c>
      <c r="I11" s="17" t="s">
        <v>37</v>
      </c>
      <c r="J11" s="17" t="s">
        <v>36</v>
      </c>
      <c r="K11" s="17" t="s">
        <v>38</v>
      </c>
      <c r="L11" s="17" t="s">
        <v>39</v>
      </c>
      <c r="M11" s="17" t="s">
        <v>40</v>
      </c>
      <c r="N11" s="17" t="s">
        <v>41</v>
      </c>
      <c r="O11" s="17" t="s">
        <v>42</v>
      </c>
      <c r="P11" s="17" t="s">
        <v>43</v>
      </c>
      <c r="Q11" s="17" t="s">
        <v>44</v>
      </c>
      <c r="R11" s="17" t="s">
        <v>45</v>
      </c>
      <c r="S11" s="17" t="s">
        <v>46</v>
      </c>
      <c r="T11" s="18" t="s">
        <v>27</v>
      </c>
      <c r="U11" s="21" t="s">
        <v>30</v>
      </c>
      <c r="V11" s="51"/>
      <c r="W11" s="13"/>
    </row>
    <row r="12" spans="1:23" ht="15" customHeight="1" x14ac:dyDescent="0.25">
      <c r="A12" s="49"/>
      <c r="B12" s="51"/>
      <c r="C12" s="31" t="s">
        <v>88</v>
      </c>
      <c r="D12" s="32">
        <f ca="1">OFFSET(D12,-1,0)+1</f>
        <v>1</v>
      </c>
      <c r="E12" s="30" t="s">
        <v>58</v>
      </c>
      <c r="F12" s="6">
        <v>6</v>
      </c>
      <c r="G12" s="6">
        <v>5</v>
      </c>
      <c r="H12" s="6">
        <v>4</v>
      </c>
      <c r="I12" s="6">
        <v>5</v>
      </c>
      <c r="J12" s="6">
        <v>4</v>
      </c>
      <c r="K12" s="6">
        <v>4</v>
      </c>
      <c r="L12" s="6">
        <v>5</v>
      </c>
      <c r="M12" s="6">
        <v>5</v>
      </c>
      <c r="N12" s="6">
        <v>7</v>
      </c>
      <c r="O12" s="6">
        <v>6</v>
      </c>
      <c r="P12" s="6">
        <v>5</v>
      </c>
      <c r="Q12" s="6">
        <v>4</v>
      </c>
      <c r="R12" s="6">
        <v>5</v>
      </c>
      <c r="S12" s="6">
        <v>6</v>
      </c>
      <c r="T12" s="33">
        <f ca="1">IF(COUNTIF(OFFSET(Таблица6[[#This Row],[Прізвище, ім’я, по батькові]],0,1):OFFSET(T12,0,-1),"=*")&gt;0,"-",IF(COUNTIF(OFFSET(Таблица6[[#This Row],[Прізвище, ім’я, по батькові]],0,1):OFFSET(T12,0,-1),"&lt;4")&gt;0,"-",(IFERROR(AVERAGE(OFFSET(Таблица6[[#This Row],[Прізвище, ім’я, по батькові]],0,1):OFFSET(T12,0,-1)),""))))</f>
        <v>5.0714285714285712</v>
      </c>
      <c r="U12" s="22" t="str">
        <f>IF(Таблица6[[#This Row],[''Б/К]]="Б",IF(Таблица6[[#This Row],[Столбец18]]="-","-",""),"")</f>
        <v/>
      </c>
      <c r="V12" s="51"/>
      <c r="W12" s="13"/>
    </row>
    <row r="13" spans="1:23" ht="15" customHeight="1" x14ac:dyDescent="0.25">
      <c r="A13" s="49"/>
      <c r="B13" s="51"/>
      <c r="C13" s="31" t="s">
        <v>88</v>
      </c>
      <c r="D13" s="32">
        <f t="shared" ref="D13:D16" ca="1" si="0">OFFSET(D13,-1,0)+1</f>
        <v>2</v>
      </c>
      <c r="E13" s="30" t="s">
        <v>59</v>
      </c>
      <c r="F13" s="6">
        <v>6</v>
      </c>
      <c r="G13" s="6">
        <v>5</v>
      </c>
      <c r="H13" s="6">
        <v>4</v>
      </c>
      <c r="I13" s="6">
        <v>5</v>
      </c>
      <c r="J13" s="6">
        <v>4</v>
      </c>
      <c r="K13" s="6">
        <v>4</v>
      </c>
      <c r="L13" s="6">
        <v>4</v>
      </c>
      <c r="M13" s="6">
        <v>4</v>
      </c>
      <c r="N13" s="6">
        <v>7</v>
      </c>
      <c r="O13" s="6">
        <v>6</v>
      </c>
      <c r="P13" s="6">
        <v>5</v>
      </c>
      <c r="Q13" s="6">
        <v>4</v>
      </c>
      <c r="R13" s="6">
        <v>5</v>
      </c>
      <c r="S13" s="6">
        <v>6</v>
      </c>
      <c r="T13" s="33">
        <f ca="1">IF(COUNTIF(OFFSET(Таблица6[[#This Row],[Прізвище, ім’я, по батькові]],0,1):OFFSET(T13,0,-1),"=*")&gt;0,"-",IF(COUNTIF(OFFSET(Таблица6[[#This Row],[Прізвище, ім’я, по батькові]],0,1):OFFSET(T13,0,-1),"&lt;4")&gt;0,"-",(IFERROR(AVERAGE(OFFSET(Таблица6[[#This Row],[Прізвище, ім’я, по батькові]],0,1):OFFSET(T13,0,-1)),""))))</f>
        <v>4.9285714285714288</v>
      </c>
      <c r="U13" s="22" t="str">
        <f>IF(Таблица6[[#This Row],[''Б/К]]="Б",IF(Таблица6[[#This Row],[Столбец18]]="-","-",""),"")</f>
        <v/>
      </c>
      <c r="V13" s="51"/>
      <c r="W13" s="13"/>
    </row>
    <row r="14" spans="1:23" ht="15" customHeight="1" x14ac:dyDescent="0.25">
      <c r="A14" s="49"/>
      <c r="B14" s="51"/>
      <c r="C14" s="31" t="s">
        <v>89</v>
      </c>
      <c r="D14" s="32">
        <f t="shared" ca="1" si="0"/>
        <v>3</v>
      </c>
      <c r="E14" s="30" t="s">
        <v>60</v>
      </c>
      <c r="F14" s="6">
        <v>9</v>
      </c>
      <c r="G14" s="6">
        <v>10</v>
      </c>
      <c r="H14" s="6">
        <v>9</v>
      </c>
      <c r="I14" s="6">
        <v>10</v>
      </c>
      <c r="J14" s="6">
        <v>9</v>
      </c>
      <c r="K14" s="6">
        <v>7</v>
      </c>
      <c r="L14" s="6">
        <v>8</v>
      </c>
      <c r="M14" s="6">
        <v>8</v>
      </c>
      <c r="N14" s="6">
        <v>7</v>
      </c>
      <c r="O14" s="6">
        <v>9</v>
      </c>
      <c r="P14" s="6">
        <v>8</v>
      </c>
      <c r="Q14" s="6">
        <v>7</v>
      </c>
      <c r="R14" s="6">
        <v>8</v>
      </c>
      <c r="S14" s="6">
        <v>7</v>
      </c>
      <c r="T14" s="33">
        <f ca="1">IF(COUNTIF(OFFSET(Таблица6[[#This Row],[Прізвище, ім’я, по батькові]],0,1):OFFSET(T14,0,-1),"=*")&gt;0,"-",IF(COUNTIF(OFFSET(Таблица6[[#This Row],[Прізвище, ім’я, по батькові]],0,1):OFFSET(T14,0,-1),"&lt;4")&gt;0,"-",(IFERROR(AVERAGE(OFFSET(Таблица6[[#This Row],[Прізвище, ім’я, по батькові]],0,1):OFFSET(T14,0,-1)),""))))</f>
        <v>8.2857142857142865</v>
      </c>
      <c r="U14" s="22" t="str">
        <f ca="1">IF(Таблица6[[#This Row],[''Б/К]]="Б",IF(Таблица6[[#This Row],[Столбец18]]="-","-",""),"")</f>
        <v/>
      </c>
      <c r="V14" s="51"/>
      <c r="W14" s="13"/>
    </row>
    <row r="15" spans="1:23" ht="15" customHeight="1" x14ac:dyDescent="0.25">
      <c r="A15" s="49"/>
      <c r="B15" s="51"/>
      <c r="C15" s="31" t="s">
        <v>88</v>
      </c>
      <c r="D15" s="32">
        <f t="shared" ca="1" si="0"/>
        <v>4</v>
      </c>
      <c r="E15" s="30" t="s">
        <v>61</v>
      </c>
      <c r="F15" s="6">
        <v>9</v>
      </c>
      <c r="G15" s="6">
        <v>10</v>
      </c>
      <c r="H15" s="6">
        <v>10</v>
      </c>
      <c r="I15" s="6">
        <v>10</v>
      </c>
      <c r="J15" s="6">
        <v>11</v>
      </c>
      <c r="K15" s="6">
        <v>10</v>
      </c>
      <c r="L15" s="6">
        <v>9</v>
      </c>
      <c r="M15" s="6">
        <v>9</v>
      </c>
      <c r="N15" s="6">
        <v>7</v>
      </c>
      <c r="O15" s="6">
        <v>9</v>
      </c>
      <c r="P15" s="6">
        <v>9</v>
      </c>
      <c r="Q15" s="6">
        <v>7</v>
      </c>
      <c r="R15" s="6">
        <v>10</v>
      </c>
      <c r="S15" s="6">
        <v>7</v>
      </c>
      <c r="T15" s="33">
        <f ca="1">IF(COUNTIF(OFFSET(Таблица6[[#This Row],[Прізвище, ім’я, по батькові]],0,1):OFFSET(T15,0,-1),"=*")&gt;0,"-",IF(COUNTIF(OFFSET(Таблица6[[#This Row],[Прізвище, ім’я, по батькові]],0,1):OFFSET(T15,0,-1),"&lt;4")&gt;0,"-",(IFERROR(AVERAGE(OFFSET(Таблица6[[#This Row],[Прізвище, ім’я, по батькові]],0,1):OFFSET(T15,0,-1)),""))))</f>
        <v>9.0714285714285712</v>
      </c>
      <c r="U15" s="22" t="str">
        <f>IF(Таблица6[[#This Row],[''Б/К]]="Б",IF(Таблица6[[#This Row],[Столбец18]]="-","-",""),"")</f>
        <v/>
      </c>
      <c r="V15" s="51"/>
      <c r="W15" s="13"/>
    </row>
    <row r="16" spans="1:23" ht="15" customHeight="1" x14ac:dyDescent="0.25">
      <c r="A16" s="49"/>
      <c r="B16" s="51"/>
      <c r="C16" s="31" t="s">
        <v>88</v>
      </c>
      <c r="D16" s="32">
        <f t="shared" ca="1" si="0"/>
        <v>5</v>
      </c>
      <c r="E16" s="30" t="s">
        <v>62</v>
      </c>
      <c r="F16" s="6">
        <v>9</v>
      </c>
      <c r="G16" s="6">
        <v>9</v>
      </c>
      <c r="H16" s="6">
        <v>8</v>
      </c>
      <c r="I16" s="6">
        <v>10</v>
      </c>
      <c r="J16" s="6">
        <v>8</v>
      </c>
      <c r="K16" s="6">
        <v>6</v>
      </c>
      <c r="L16" s="6">
        <v>8</v>
      </c>
      <c r="M16" s="6">
        <v>9</v>
      </c>
      <c r="N16" s="6">
        <v>6</v>
      </c>
      <c r="O16" s="6">
        <v>8</v>
      </c>
      <c r="P16" s="6">
        <v>8</v>
      </c>
      <c r="Q16" s="6">
        <v>7</v>
      </c>
      <c r="R16" s="6">
        <v>10</v>
      </c>
      <c r="S16" s="6">
        <v>7</v>
      </c>
      <c r="T16" s="33">
        <f ca="1">IF(COUNTIF(OFFSET(Таблица6[[#This Row],[Прізвище, ім’я, по батькові]],0,1):OFFSET(T16,0,-1),"=*")&gt;0,"-",IF(COUNTIF(OFFSET(Таблица6[[#This Row],[Прізвище, ім’я, по батькові]],0,1):OFFSET(T16,0,-1),"&lt;4")&gt;0,"-",(IFERROR(AVERAGE(OFFSET(Таблица6[[#This Row],[Прізвище, ім’я, по батькові]],0,1):OFFSET(T16,0,-1)),""))))</f>
        <v>8.0714285714285712</v>
      </c>
      <c r="U16" s="22" t="str">
        <f>IF(Таблица6[[#This Row],[''Б/К]]="Б",IF(Таблица6[[#This Row],[Столбец18]]="-","-",""),"")</f>
        <v/>
      </c>
      <c r="V16" s="51"/>
      <c r="W16" s="13"/>
    </row>
    <row r="17" spans="1:23" ht="15" customHeight="1" x14ac:dyDescent="0.25">
      <c r="A17" s="49"/>
      <c r="B17" s="51"/>
      <c r="C17" s="31" t="s">
        <v>89</v>
      </c>
      <c r="D17" s="32">
        <f t="shared" ref="D17:D20" ca="1" si="1">OFFSET(D17,-1,0)+1</f>
        <v>6</v>
      </c>
      <c r="E17" s="30" t="s">
        <v>63</v>
      </c>
      <c r="F17" s="6">
        <v>10</v>
      </c>
      <c r="G17" s="6">
        <v>10</v>
      </c>
      <c r="H17" s="6">
        <v>10</v>
      </c>
      <c r="I17" s="6">
        <v>10</v>
      </c>
      <c r="J17" s="6">
        <v>10</v>
      </c>
      <c r="K17" s="6">
        <v>10</v>
      </c>
      <c r="L17" s="6">
        <v>10</v>
      </c>
      <c r="M17" s="6">
        <v>10</v>
      </c>
      <c r="N17" s="6">
        <v>10</v>
      </c>
      <c r="O17" s="6">
        <v>10</v>
      </c>
      <c r="P17" s="6">
        <v>9</v>
      </c>
      <c r="Q17" s="6">
        <v>9</v>
      </c>
      <c r="R17" s="6">
        <v>10</v>
      </c>
      <c r="S17" s="6">
        <v>9</v>
      </c>
      <c r="T17" s="33">
        <f ca="1">IF(COUNTIF(OFFSET(Таблица6[[#This Row],[Прізвище, ім’я, по батькові]],0,1):OFFSET(T17,0,-1),"=*")&gt;0,"-",IF(COUNTIF(OFFSET(Таблица6[[#This Row],[Прізвище, ім’я, по батькові]],0,1):OFFSET(T17,0,-1),"&lt;4")&gt;0,"-",(IFERROR(AVERAGE(OFFSET(Таблица6[[#This Row],[Прізвище, ім’я, по батькові]],0,1):OFFSET(T17,0,-1)),""))))</f>
        <v>9.7857142857142865</v>
      </c>
      <c r="U17" s="22" t="str">
        <f ca="1">IF(Таблица6[[#This Row],[''Б/К]]="Б",IF(Таблица6[[#This Row],[Столбец18]]="-","-",""),"")</f>
        <v/>
      </c>
      <c r="V17" s="51"/>
      <c r="W17" s="13"/>
    </row>
    <row r="18" spans="1:23" ht="15" customHeight="1" x14ac:dyDescent="0.25">
      <c r="A18" s="49"/>
      <c r="B18" s="51"/>
      <c r="C18" s="31" t="s">
        <v>89</v>
      </c>
      <c r="D18" s="32">
        <f t="shared" ca="1" si="1"/>
        <v>7</v>
      </c>
      <c r="E18" s="30" t="s">
        <v>64</v>
      </c>
      <c r="F18" s="6">
        <v>10</v>
      </c>
      <c r="G18" s="6">
        <v>10</v>
      </c>
      <c r="H18" s="6">
        <v>10</v>
      </c>
      <c r="I18" s="6">
        <v>11</v>
      </c>
      <c r="J18" s="6">
        <v>11</v>
      </c>
      <c r="K18" s="6">
        <v>11</v>
      </c>
      <c r="L18" s="6">
        <v>10</v>
      </c>
      <c r="M18" s="6">
        <v>9</v>
      </c>
      <c r="N18" s="6">
        <v>10</v>
      </c>
      <c r="O18" s="6">
        <v>11</v>
      </c>
      <c r="P18" s="6">
        <v>10</v>
      </c>
      <c r="Q18" s="6">
        <v>9</v>
      </c>
      <c r="R18" s="6">
        <v>10</v>
      </c>
      <c r="S18" s="6">
        <v>9</v>
      </c>
      <c r="T18" s="33">
        <f ca="1">IF(COUNTIF(OFFSET(Таблица6[[#This Row],[Прізвище, ім’я, по батькові]],0,1):OFFSET(T18,0,-1),"=*")&gt;0,"-",IF(COUNTIF(OFFSET(Таблица6[[#This Row],[Прізвище, ім’я, по батькові]],0,1):OFFSET(T18,0,-1),"&lt;4")&gt;0,"-",(IFERROR(AVERAGE(OFFSET(Таблица6[[#This Row],[Прізвище, ім’я, по батькові]],0,1):OFFSET(T18,0,-1)),""))))</f>
        <v>10.071428571428571</v>
      </c>
      <c r="U18" s="22" t="str">
        <f ca="1">IF(Таблица6[[#This Row],[''Б/К]]="Б",IF(Таблица6[[#This Row],[Столбец18]]="-","-",""),"")</f>
        <v/>
      </c>
      <c r="V18" s="51"/>
      <c r="W18" s="13"/>
    </row>
    <row r="19" spans="1:23" ht="15" customHeight="1" x14ac:dyDescent="0.25">
      <c r="A19" s="49"/>
      <c r="B19" s="51"/>
      <c r="C19" s="31" t="s">
        <v>88</v>
      </c>
      <c r="D19" s="32">
        <f t="shared" ca="1" si="1"/>
        <v>8</v>
      </c>
      <c r="E19" s="30" t="s">
        <v>65</v>
      </c>
      <c r="F19" s="6">
        <v>9</v>
      </c>
      <c r="G19" s="6">
        <v>8</v>
      </c>
      <c r="H19" s="6">
        <v>8</v>
      </c>
      <c r="I19" s="6">
        <v>10</v>
      </c>
      <c r="J19" s="6">
        <v>10</v>
      </c>
      <c r="K19" s="6">
        <v>4</v>
      </c>
      <c r="L19" s="6">
        <v>8</v>
      </c>
      <c r="M19" s="6">
        <v>7</v>
      </c>
      <c r="N19" s="6">
        <v>6</v>
      </c>
      <c r="O19" s="6">
        <v>7</v>
      </c>
      <c r="P19" s="6">
        <v>7</v>
      </c>
      <c r="Q19" s="6">
        <v>7</v>
      </c>
      <c r="R19" s="6">
        <v>10</v>
      </c>
      <c r="S19" s="6">
        <v>5</v>
      </c>
      <c r="T19" s="33">
        <f ca="1">IF(COUNTIF(OFFSET(Таблица6[[#This Row],[Прізвище, ім’я, по батькові]],0,1):OFFSET(T19,0,-1),"=*")&gt;0,"-",IF(COUNTIF(OFFSET(Таблица6[[#This Row],[Прізвище, ім’я, по батькові]],0,1):OFFSET(T19,0,-1),"&lt;4")&gt;0,"-",(IFERROR(AVERAGE(OFFSET(Таблица6[[#This Row],[Прізвище, ім’я, по батькові]],0,1):OFFSET(T19,0,-1)),""))))</f>
        <v>7.5714285714285712</v>
      </c>
      <c r="U19" s="22" t="str">
        <f>IF(Таблица6[[#This Row],[''Б/К]]="Б",IF(Таблица6[[#This Row],[Столбец18]]="-","-",""),"")</f>
        <v/>
      </c>
      <c r="V19" s="51"/>
      <c r="W19" s="13"/>
    </row>
    <row r="20" spans="1:23" ht="15" customHeight="1" x14ac:dyDescent="0.25">
      <c r="A20" s="49"/>
      <c r="B20" s="51"/>
      <c r="C20" s="31" t="s">
        <v>89</v>
      </c>
      <c r="D20" s="32">
        <f t="shared" ca="1" si="1"/>
        <v>9</v>
      </c>
      <c r="E20" s="30" t="s">
        <v>66</v>
      </c>
      <c r="F20" s="6">
        <v>10</v>
      </c>
      <c r="G20" s="6">
        <v>10</v>
      </c>
      <c r="H20" s="6">
        <v>10</v>
      </c>
      <c r="I20" s="6">
        <v>10</v>
      </c>
      <c r="J20" s="6">
        <v>11</v>
      </c>
      <c r="K20" s="6">
        <v>11</v>
      </c>
      <c r="L20" s="6">
        <v>10</v>
      </c>
      <c r="M20" s="6">
        <v>9</v>
      </c>
      <c r="N20" s="6">
        <v>10</v>
      </c>
      <c r="O20" s="6">
        <v>11</v>
      </c>
      <c r="P20" s="6">
        <v>10</v>
      </c>
      <c r="Q20" s="6">
        <v>9</v>
      </c>
      <c r="R20" s="6">
        <v>10</v>
      </c>
      <c r="S20" s="6">
        <v>9</v>
      </c>
      <c r="T20" s="33">
        <f ca="1">IF(COUNTIF(OFFSET(Таблица6[[#This Row],[Прізвище, ім’я, по батькові]],0,1):OFFSET(T20,0,-1),"=*")&gt;0,"-",IF(COUNTIF(OFFSET(Таблица6[[#This Row],[Прізвище, ім’я, по батькові]],0,1):OFFSET(T20,0,-1),"&lt;4")&gt;0,"-",(IFERROR(AVERAGE(OFFSET(Таблица6[[#This Row],[Прізвище, ім’я, по батькові]],0,1):OFFSET(T20,0,-1)),""))))</f>
        <v>10</v>
      </c>
      <c r="U20" s="22" t="str">
        <f ca="1">IF(Таблица6[[#This Row],[''Б/К]]="Б",IF(Таблица6[[#This Row],[Столбец18]]="-","-",""),"")</f>
        <v/>
      </c>
      <c r="V20" s="51"/>
      <c r="W20" s="13"/>
    </row>
    <row r="21" spans="1:23" ht="15" customHeight="1" x14ac:dyDescent="0.25">
      <c r="A21" s="49"/>
      <c r="B21" s="51"/>
      <c r="C21" s="31" t="s">
        <v>88</v>
      </c>
      <c r="D21" s="32">
        <f t="shared" ref="D21:D24" ca="1" si="2">OFFSET(D21,-1,0)+1</f>
        <v>10</v>
      </c>
      <c r="E21" s="30" t="s">
        <v>67</v>
      </c>
      <c r="F21" s="6">
        <v>9</v>
      </c>
      <c r="G21" s="6">
        <v>10</v>
      </c>
      <c r="H21" s="6">
        <v>8</v>
      </c>
      <c r="I21" s="6">
        <v>9</v>
      </c>
      <c r="J21" s="6">
        <v>4</v>
      </c>
      <c r="K21" s="6">
        <v>4</v>
      </c>
      <c r="L21" s="6">
        <v>6</v>
      </c>
      <c r="M21" s="6">
        <v>7</v>
      </c>
      <c r="N21" s="6">
        <v>4</v>
      </c>
      <c r="O21" s="6">
        <v>7</v>
      </c>
      <c r="P21" s="6">
        <v>6</v>
      </c>
      <c r="Q21" s="6">
        <v>4</v>
      </c>
      <c r="R21" s="6">
        <v>10</v>
      </c>
      <c r="S21" s="6">
        <v>5</v>
      </c>
      <c r="T21" s="33">
        <f ca="1">IF(COUNTIF(OFFSET(Таблица6[[#This Row],[Прізвище, ім’я, по батькові]],0,1):OFFSET(T21,0,-1),"=*")&gt;0,"-",IF(COUNTIF(OFFSET(Таблица6[[#This Row],[Прізвище, ім’я, по батькові]],0,1):OFFSET(T21,0,-1),"&lt;4")&gt;0,"-",(IFERROR(AVERAGE(OFFSET(Таблица6[[#This Row],[Прізвище, ім’я, по батькові]],0,1):OFFSET(T21,0,-1)),""))))</f>
        <v>6.6428571428571432</v>
      </c>
      <c r="U21" s="22" t="str">
        <f>IF(Таблица6[[#This Row],[''Б/К]]="Б",IF(Таблица6[[#This Row],[Столбец18]]="-","-",""),"")</f>
        <v/>
      </c>
      <c r="V21" s="51"/>
      <c r="W21" s="13"/>
    </row>
    <row r="22" spans="1:23" ht="15" customHeight="1" x14ac:dyDescent="0.25">
      <c r="A22" s="49"/>
      <c r="B22" s="51"/>
      <c r="C22" s="31" t="s">
        <v>88</v>
      </c>
      <c r="D22" s="32">
        <f t="shared" ca="1" si="2"/>
        <v>11</v>
      </c>
      <c r="E22" s="30" t="s">
        <v>68</v>
      </c>
      <c r="F22" s="6">
        <v>10</v>
      </c>
      <c r="G22" s="6">
        <v>8</v>
      </c>
      <c r="H22" s="6">
        <v>8</v>
      </c>
      <c r="I22" s="6">
        <v>10</v>
      </c>
      <c r="J22" s="6">
        <v>8</v>
      </c>
      <c r="K22" s="6">
        <v>7</v>
      </c>
      <c r="L22" s="6">
        <v>9</v>
      </c>
      <c r="M22" s="6">
        <v>8</v>
      </c>
      <c r="N22" s="6">
        <v>5</v>
      </c>
      <c r="O22" s="6">
        <v>8</v>
      </c>
      <c r="P22" s="6">
        <v>8</v>
      </c>
      <c r="Q22" s="6">
        <v>5</v>
      </c>
      <c r="R22" s="6">
        <v>10</v>
      </c>
      <c r="S22" s="6">
        <v>7</v>
      </c>
      <c r="T22" s="33">
        <f ca="1">IF(COUNTIF(OFFSET(Таблица6[[#This Row],[Прізвище, ім’я, по батькові]],0,1):OFFSET(T22,0,-1),"=*")&gt;0,"-",IF(COUNTIF(OFFSET(Таблица6[[#This Row],[Прізвище, ім’я, по батькові]],0,1):OFFSET(T22,0,-1),"&lt;4")&gt;0,"-",(IFERROR(AVERAGE(OFFSET(Таблица6[[#This Row],[Прізвище, ім’я, по батькові]],0,1):OFFSET(T22,0,-1)),""))))</f>
        <v>7.9285714285714288</v>
      </c>
      <c r="U22" s="22" t="str">
        <f>IF(Таблица6[[#This Row],[''Б/К]]="Б",IF(Таблица6[[#This Row],[Столбец18]]="-","-",""),"")</f>
        <v/>
      </c>
      <c r="V22" s="51"/>
      <c r="W22" s="13"/>
    </row>
    <row r="23" spans="1:23" ht="15" customHeight="1" x14ac:dyDescent="0.25">
      <c r="A23" s="49"/>
      <c r="B23" s="51"/>
      <c r="C23" s="31" t="s">
        <v>88</v>
      </c>
      <c r="D23" s="32">
        <f t="shared" ca="1" si="2"/>
        <v>12</v>
      </c>
      <c r="E23" s="30" t="s">
        <v>69</v>
      </c>
      <c r="F23" s="6">
        <v>6</v>
      </c>
      <c r="G23" s="6">
        <v>5</v>
      </c>
      <c r="H23" s="6">
        <v>7</v>
      </c>
      <c r="I23" s="6">
        <v>5</v>
      </c>
      <c r="J23" s="6">
        <v>4</v>
      </c>
      <c r="K23" s="6">
        <v>4</v>
      </c>
      <c r="L23" s="6">
        <v>4</v>
      </c>
      <c r="M23" s="6">
        <v>4</v>
      </c>
      <c r="N23" s="6">
        <v>7</v>
      </c>
      <c r="O23" s="6">
        <v>6</v>
      </c>
      <c r="P23" s="6">
        <v>5</v>
      </c>
      <c r="Q23" s="6">
        <v>7</v>
      </c>
      <c r="R23" s="6">
        <v>5</v>
      </c>
      <c r="S23" s="6">
        <v>6</v>
      </c>
      <c r="T23" s="33">
        <f ca="1">IF(COUNTIF(OFFSET(Таблица6[[#This Row],[Прізвище, ім’я, по батькові]],0,1):OFFSET(T23,0,-1),"=*")&gt;0,"-",IF(COUNTIF(OFFSET(Таблица6[[#This Row],[Прізвище, ім’я, по батькові]],0,1):OFFSET(T23,0,-1),"&lt;4")&gt;0,"-",(IFERROR(AVERAGE(OFFSET(Таблица6[[#This Row],[Прізвище, ім’я, по батькові]],0,1):OFFSET(T23,0,-1)),""))))</f>
        <v>5.3571428571428568</v>
      </c>
      <c r="U23" s="22" t="str">
        <f>IF(Таблица6[[#This Row],[''Б/К]]="Б",IF(Таблица6[[#This Row],[Столбец18]]="-","-",""),"")</f>
        <v/>
      </c>
      <c r="V23" s="51"/>
      <c r="W23" s="13"/>
    </row>
    <row r="24" spans="1:23" ht="15" customHeight="1" x14ac:dyDescent="0.25">
      <c r="A24" s="49"/>
      <c r="B24" s="51"/>
      <c r="C24" s="31" t="s">
        <v>88</v>
      </c>
      <c r="D24" s="32">
        <f t="shared" ca="1" si="2"/>
        <v>13</v>
      </c>
      <c r="E24" s="30" t="s">
        <v>70</v>
      </c>
      <c r="F24" s="6">
        <v>9</v>
      </c>
      <c r="G24" s="6">
        <v>8</v>
      </c>
      <c r="H24" s="6">
        <v>7</v>
      </c>
      <c r="I24" s="6">
        <v>9</v>
      </c>
      <c r="J24" s="6">
        <v>7</v>
      </c>
      <c r="K24" s="6">
        <v>6</v>
      </c>
      <c r="L24" s="6">
        <v>10</v>
      </c>
      <c r="M24" s="6">
        <v>8</v>
      </c>
      <c r="N24" s="6">
        <v>6</v>
      </c>
      <c r="O24" s="6">
        <v>7</v>
      </c>
      <c r="P24" s="6">
        <v>8</v>
      </c>
      <c r="Q24" s="6">
        <v>5</v>
      </c>
      <c r="R24" s="6">
        <v>9</v>
      </c>
      <c r="S24" s="6">
        <v>5</v>
      </c>
      <c r="T24" s="33">
        <f ca="1">IF(COUNTIF(OFFSET(Таблица6[[#This Row],[Прізвище, ім’я, по батькові]],0,1):OFFSET(T24,0,-1),"=*")&gt;0,"-",IF(COUNTIF(OFFSET(Таблица6[[#This Row],[Прізвище, ім’я, по батькові]],0,1):OFFSET(T24,0,-1),"&lt;4")&gt;0,"-",(IFERROR(AVERAGE(OFFSET(Таблица6[[#This Row],[Прізвище, ім’я, по батькові]],0,1):OFFSET(T24,0,-1)),""))))</f>
        <v>7.4285714285714288</v>
      </c>
      <c r="U24" s="22" t="str">
        <f>IF(Таблица6[[#This Row],[''Б/К]]="Б",IF(Таблица6[[#This Row],[Столбец18]]="-","-",""),"")</f>
        <v/>
      </c>
      <c r="V24" s="51"/>
      <c r="W24" s="13"/>
    </row>
    <row r="25" spans="1:23" ht="15" customHeight="1" x14ac:dyDescent="0.25">
      <c r="A25" s="49"/>
      <c r="B25" s="51"/>
      <c r="C25" s="31" t="s">
        <v>89</v>
      </c>
      <c r="D25" s="32">
        <f t="shared" ref="D25:D28" ca="1" si="3">OFFSET(D25,-1,0)+1</f>
        <v>14</v>
      </c>
      <c r="E25" s="30" t="s">
        <v>71</v>
      </c>
      <c r="F25" s="6">
        <v>10</v>
      </c>
      <c r="G25" s="6">
        <v>10</v>
      </c>
      <c r="H25" s="6">
        <v>10</v>
      </c>
      <c r="I25" s="6">
        <v>10</v>
      </c>
      <c r="J25" s="6">
        <v>10</v>
      </c>
      <c r="K25" s="6">
        <v>10</v>
      </c>
      <c r="L25" s="6">
        <v>10</v>
      </c>
      <c r="M25" s="6">
        <v>10</v>
      </c>
      <c r="N25" s="6">
        <v>10</v>
      </c>
      <c r="O25" s="6">
        <v>10</v>
      </c>
      <c r="P25" s="6">
        <v>10</v>
      </c>
      <c r="Q25" s="6">
        <v>9</v>
      </c>
      <c r="R25" s="6">
        <v>10</v>
      </c>
      <c r="S25" s="6">
        <v>9</v>
      </c>
      <c r="T25" s="33">
        <f ca="1">IF(COUNTIF(OFFSET(Таблица6[[#This Row],[Прізвище, ім’я, по батькові]],0,1):OFFSET(T25,0,-1),"=*")&gt;0,"-",IF(COUNTIF(OFFSET(Таблица6[[#This Row],[Прізвище, ім’я, по батькові]],0,1):OFFSET(T25,0,-1),"&lt;4")&gt;0,"-",(IFERROR(AVERAGE(OFFSET(Таблица6[[#This Row],[Прізвище, ім’я, по батькові]],0,1):OFFSET(T25,0,-1)),""))))</f>
        <v>9.8571428571428577</v>
      </c>
      <c r="U25" s="22" t="str">
        <f ca="1">IF(Таблица6[[#This Row],[''Б/К]]="Б",IF(Таблица6[[#This Row],[Столбец18]]="-","-",""),"")</f>
        <v/>
      </c>
      <c r="V25" s="51"/>
      <c r="W25" s="13"/>
    </row>
    <row r="26" spans="1:23" ht="15" customHeight="1" x14ac:dyDescent="0.25">
      <c r="A26" s="49"/>
      <c r="B26" s="51"/>
      <c r="C26" s="31" t="s">
        <v>88</v>
      </c>
      <c r="D26" s="32">
        <f t="shared" ca="1" si="3"/>
        <v>15</v>
      </c>
      <c r="E26" s="30" t="s">
        <v>72</v>
      </c>
      <c r="F26" s="6">
        <v>8</v>
      </c>
      <c r="G26" s="6">
        <v>8</v>
      </c>
      <c r="H26" s="6">
        <v>6</v>
      </c>
      <c r="I26" s="6">
        <v>8</v>
      </c>
      <c r="J26" s="6">
        <v>4</v>
      </c>
      <c r="K26" s="6">
        <v>4</v>
      </c>
      <c r="L26" s="6">
        <v>8</v>
      </c>
      <c r="M26" s="6">
        <v>6</v>
      </c>
      <c r="N26" s="6">
        <v>4</v>
      </c>
      <c r="O26" s="6">
        <v>6</v>
      </c>
      <c r="P26" s="6">
        <v>5</v>
      </c>
      <c r="Q26" s="6">
        <v>4</v>
      </c>
      <c r="R26" s="6">
        <v>9</v>
      </c>
      <c r="S26" s="6">
        <v>5</v>
      </c>
      <c r="T26" s="33">
        <f ca="1">IF(COUNTIF(OFFSET(Таблица6[[#This Row],[Прізвище, ім’я, по батькові]],0,1):OFFSET(T26,0,-1),"=*")&gt;0,"-",IF(COUNTIF(OFFSET(Таблица6[[#This Row],[Прізвище, ім’я, по батькові]],0,1):OFFSET(T26,0,-1),"&lt;4")&gt;0,"-",(IFERROR(AVERAGE(OFFSET(Таблица6[[#This Row],[Прізвище, ім’я, по батькові]],0,1):OFFSET(T26,0,-1)),""))))</f>
        <v>6.0714285714285712</v>
      </c>
      <c r="U26" s="22" t="str">
        <f>IF(Таблица6[[#This Row],[''Б/К]]="Б",IF(Таблица6[[#This Row],[Столбец18]]="-","-",""),"")</f>
        <v/>
      </c>
      <c r="V26" s="51"/>
      <c r="W26" s="13"/>
    </row>
    <row r="27" spans="1:23" ht="15" customHeight="1" x14ac:dyDescent="0.25">
      <c r="A27" s="49"/>
      <c r="B27" s="51"/>
      <c r="C27" s="31" t="s">
        <v>89</v>
      </c>
      <c r="D27" s="32">
        <f t="shared" ca="1" si="3"/>
        <v>16</v>
      </c>
      <c r="E27" s="30" t="s">
        <v>73</v>
      </c>
      <c r="F27" s="6">
        <v>8</v>
      </c>
      <c r="G27" s="6">
        <v>8</v>
      </c>
      <c r="H27" s="6">
        <v>8</v>
      </c>
      <c r="I27" s="6">
        <v>9</v>
      </c>
      <c r="J27" s="6">
        <v>9</v>
      </c>
      <c r="K27" s="6">
        <v>6</v>
      </c>
      <c r="L27" s="6">
        <v>6</v>
      </c>
      <c r="M27" s="6">
        <v>7</v>
      </c>
      <c r="N27" s="6">
        <v>5</v>
      </c>
      <c r="O27" s="6">
        <v>7</v>
      </c>
      <c r="P27" s="6">
        <v>6</v>
      </c>
      <c r="Q27" s="6">
        <v>6</v>
      </c>
      <c r="R27" s="6">
        <v>9</v>
      </c>
      <c r="S27" s="6">
        <v>6</v>
      </c>
      <c r="T27" s="33">
        <f ca="1">IF(COUNTIF(OFFSET(Таблица6[[#This Row],[Прізвище, ім’я, по батькові]],0,1):OFFSET(T27,0,-1),"=*")&gt;0,"-",IF(COUNTIF(OFFSET(Таблица6[[#This Row],[Прізвище, ім’я, по батькові]],0,1):OFFSET(T27,0,-1),"&lt;4")&gt;0,"-",(IFERROR(AVERAGE(OFFSET(Таблица6[[#This Row],[Прізвище, ім’я, по батькові]],0,1):OFFSET(T27,0,-1)),""))))</f>
        <v>7.1428571428571432</v>
      </c>
      <c r="U27" s="22" t="str">
        <f ca="1">IF(Таблица6[[#This Row],[''Б/К]]="Б",IF(Таблица6[[#This Row],[Столбец18]]="-","-",""),"")</f>
        <v/>
      </c>
      <c r="V27" s="51"/>
      <c r="W27" s="13"/>
    </row>
    <row r="28" spans="1:23" ht="15" customHeight="1" x14ac:dyDescent="0.25">
      <c r="A28" s="49"/>
      <c r="B28" s="51"/>
      <c r="C28" s="31" t="s">
        <v>88</v>
      </c>
      <c r="D28" s="32">
        <f t="shared" ca="1" si="3"/>
        <v>17</v>
      </c>
      <c r="E28" s="30" t="s">
        <v>74</v>
      </c>
      <c r="F28" s="6">
        <v>7</v>
      </c>
      <c r="G28" s="6">
        <v>7</v>
      </c>
      <c r="H28" s="6">
        <v>4</v>
      </c>
      <c r="I28" s="6">
        <v>5</v>
      </c>
      <c r="J28" s="6">
        <v>4</v>
      </c>
      <c r="K28" s="6">
        <v>4</v>
      </c>
      <c r="L28" s="6">
        <v>4</v>
      </c>
      <c r="M28" s="6">
        <v>5</v>
      </c>
      <c r="N28" s="6">
        <v>4</v>
      </c>
      <c r="O28" s="6">
        <v>5</v>
      </c>
      <c r="P28" s="6">
        <v>4</v>
      </c>
      <c r="Q28" s="6">
        <v>4</v>
      </c>
      <c r="R28" s="6">
        <v>7</v>
      </c>
      <c r="S28" s="6">
        <v>4</v>
      </c>
      <c r="T28" s="33">
        <f ca="1">IF(COUNTIF(OFFSET(Таблица6[[#This Row],[Прізвище, ім’я, по батькові]],0,1):OFFSET(T28,0,-1),"=*")&gt;0,"-",IF(COUNTIF(OFFSET(Таблица6[[#This Row],[Прізвище, ім’я, по батькові]],0,1):OFFSET(T28,0,-1),"&lt;4")&gt;0,"-",(IFERROR(AVERAGE(OFFSET(Таблица6[[#This Row],[Прізвище, ім’я, по батькові]],0,1):OFFSET(T28,0,-1)),""))))</f>
        <v>4.8571428571428568</v>
      </c>
      <c r="U28" s="22" t="str">
        <f>IF(Таблица6[[#This Row],[''Б/К]]="Б",IF(Таблица6[[#This Row],[Столбец18]]="-","-",""),"")</f>
        <v/>
      </c>
      <c r="V28" s="51"/>
      <c r="W28" s="13"/>
    </row>
    <row r="29" spans="1:23" ht="15" customHeight="1" x14ac:dyDescent="0.25">
      <c r="A29" s="49"/>
      <c r="B29" s="51"/>
      <c r="C29" s="31" t="s">
        <v>88</v>
      </c>
      <c r="D29" s="32">
        <f t="shared" ref="D29:D32" ca="1" si="4">OFFSET(D29,-1,0)+1</f>
        <v>18</v>
      </c>
      <c r="E29" s="30" t="s">
        <v>75</v>
      </c>
      <c r="F29" s="6">
        <v>6</v>
      </c>
      <c r="G29" s="6">
        <v>5</v>
      </c>
      <c r="H29" s="6">
        <v>4</v>
      </c>
      <c r="I29" s="6">
        <v>5</v>
      </c>
      <c r="J29" s="6">
        <v>4</v>
      </c>
      <c r="K29" s="6">
        <v>4</v>
      </c>
      <c r="L29" s="6">
        <v>5</v>
      </c>
      <c r="M29" s="6">
        <v>4</v>
      </c>
      <c r="N29" s="6">
        <v>8</v>
      </c>
      <c r="O29" s="6">
        <v>6</v>
      </c>
      <c r="P29" s="6">
        <v>5</v>
      </c>
      <c r="Q29" s="6">
        <v>4</v>
      </c>
      <c r="R29" s="6">
        <v>5</v>
      </c>
      <c r="S29" s="6">
        <v>6</v>
      </c>
      <c r="T29" s="33">
        <f ca="1">IF(COUNTIF(OFFSET(Таблица6[[#This Row],[Прізвище, ім’я, по батькові]],0,1):OFFSET(T29,0,-1),"=*")&gt;0,"-",IF(COUNTIF(OFFSET(Таблица6[[#This Row],[Прізвище, ім’я, по батькові]],0,1):OFFSET(T29,0,-1),"&lt;4")&gt;0,"-",(IFERROR(AVERAGE(OFFSET(Таблица6[[#This Row],[Прізвище, ім’я, по батькові]],0,1):OFFSET(T29,0,-1)),""))))</f>
        <v>5.0714285714285712</v>
      </c>
      <c r="U29" s="22" t="str">
        <f>IF(Таблица6[[#This Row],[''Б/К]]="Б",IF(Таблица6[[#This Row],[Столбец18]]="-","-",""),"")</f>
        <v/>
      </c>
      <c r="V29" s="51"/>
      <c r="W29" s="13"/>
    </row>
    <row r="30" spans="1:23" ht="15" customHeight="1" x14ac:dyDescent="0.25">
      <c r="A30" s="49"/>
      <c r="B30" s="51"/>
      <c r="C30" s="31" t="s">
        <v>89</v>
      </c>
      <c r="D30" s="32">
        <f t="shared" ca="1" si="4"/>
        <v>19</v>
      </c>
      <c r="E30" s="30" t="s">
        <v>76</v>
      </c>
      <c r="F30" s="6">
        <v>10</v>
      </c>
      <c r="G30" s="6">
        <v>9</v>
      </c>
      <c r="H30" s="6">
        <v>10</v>
      </c>
      <c r="I30" s="6">
        <v>10</v>
      </c>
      <c r="J30" s="6">
        <v>11</v>
      </c>
      <c r="K30" s="6">
        <v>8</v>
      </c>
      <c r="L30" s="6">
        <v>11</v>
      </c>
      <c r="M30" s="6">
        <v>8</v>
      </c>
      <c r="N30" s="6">
        <v>10</v>
      </c>
      <c r="O30" s="6">
        <v>10</v>
      </c>
      <c r="P30" s="6">
        <v>10</v>
      </c>
      <c r="Q30" s="6">
        <v>8</v>
      </c>
      <c r="R30" s="6">
        <v>10</v>
      </c>
      <c r="S30" s="6">
        <v>9</v>
      </c>
      <c r="T30" s="33">
        <f ca="1">IF(COUNTIF(OFFSET(Таблица6[[#This Row],[Прізвище, ім’я, по батькові]],0,1):OFFSET(T30,0,-1),"=*")&gt;0,"-",IF(COUNTIF(OFFSET(Таблица6[[#This Row],[Прізвище, ім’я, по батькові]],0,1):OFFSET(T30,0,-1),"&lt;4")&gt;0,"-",(IFERROR(AVERAGE(OFFSET(Таблица6[[#This Row],[Прізвище, ім’я, по батькові]],0,1):OFFSET(T30,0,-1)),""))))</f>
        <v>9.5714285714285712</v>
      </c>
      <c r="U30" s="22" t="str">
        <f ca="1">IF(Таблица6[[#This Row],[''Б/К]]="Б",IF(Таблица6[[#This Row],[Столбец18]]="-","-",""),"")</f>
        <v/>
      </c>
      <c r="V30" s="51"/>
      <c r="W30" s="13"/>
    </row>
    <row r="31" spans="1:23" ht="15" customHeight="1" x14ac:dyDescent="0.25">
      <c r="A31" s="49"/>
      <c r="B31" s="51"/>
      <c r="C31" s="31" t="s">
        <v>88</v>
      </c>
      <c r="D31" s="32">
        <f t="shared" ca="1" si="4"/>
        <v>20</v>
      </c>
      <c r="E31" s="30" t="s">
        <v>77</v>
      </c>
      <c r="F31" s="6">
        <v>6</v>
      </c>
      <c r="G31" s="6">
        <v>5</v>
      </c>
      <c r="H31" s="6">
        <v>4</v>
      </c>
      <c r="I31" s="6">
        <v>5</v>
      </c>
      <c r="J31" s="6">
        <v>4</v>
      </c>
      <c r="K31" s="6">
        <v>4</v>
      </c>
      <c r="L31" s="6">
        <v>5</v>
      </c>
      <c r="M31" s="6">
        <v>5</v>
      </c>
      <c r="N31" s="6">
        <v>7</v>
      </c>
      <c r="O31" s="6">
        <v>6</v>
      </c>
      <c r="P31" s="6">
        <v>5</v>
      </c>
      <c r="Q31" s="6">
        <v>7</v>
      </c>
      <c r="R31" s="6">
        <v>4</v>
      </c>
      <c r="S31" s="6">
        <v>6</v>
      </c>
      <c r="T31" s="33">
        <f ca="1">IF(COUNTIF(OFFSET(Таблица6[[#This Row],[Прізвище, ім’я, по батькові]],0,1):OFFSET(T31,0,-1),"=*")&gt;0,"-",IF(COUNTIF(OFFSET(Таблица6[[#This Row],[Прізвище, ім’я, по батькові]],0,1):OFFSET(T31,0,-1),"&lt;4")&gt;0,"-",(IFERROR(AVERAGE(OFFSET(Таблица6[[#This Row],[Прізвище, ім’я, по батькові]],0,1):OFFSET(T31,0,-1)),""))))</f>
        <v>5.2142857142857144</v>
      </c>
      <c r="U31" s="22" t="str">
        <f>IF(Таблица6[[#This Row],[''Б/К]]="Б",IF(Таблица6[[#This Row],[Столбец18]]="-","-",""),"")</f>
        <v/>
      </c>
      <c r="V31" s="51"/>
      <c r="W31" s="13"/>
    </row>
    <row r="32" spans="1:23" ht="15" customHeight="1" x14ac:dyDescent="0.25">
      <c r="A32" s="49"/>
      <c r="B32" s="51"/>
      <c r="C32" s="31" t="s">
        <v>88</v>
      </c>
      <c r="D32" s="32">
        <f t="shared" ca="1" si="4"/>
        <v>21</v>
      </c>
      <c r="E32" s="30" t="s">
        <v>78</v>
      </c>
      <c r="F32" s="6">
        <v>9</v>
      </c>
      <c r="G32" s="6">
        <v>6</v>
      </c>
      <c r="H32" s="6">
        <v>4</v>
      </c>
      <c r="I32" s="6">
        <v>8</v>
      </c>
      <c r="J32" s="6">
        <v>4</v>
      </c>
      <c r="K32" s="6">
        <v>4</v>
      </c>
      <c r="L32" s="6">
        <v>4</v>
      </c>
      <c r="M32" s="6" t="s">
        <v>100</v>
      </c>
      <c r="N32" s="6">
        <v>4</v>
      </c>
      <c r="O32" s="6">
        <v>5</v>
      </c>
      <c r="P32" s="6">
        <v>4</v>
      </c>
      <c r="Q32" s="6">
        <v>3</v>
      </c>
      <c r="R32" s="6">
        <v>4</v>
      </c>
      <c r="S32" s="6">
        <v>4</v>
      </c>
      <c r="T32" s="33" t="str">
        <f ca="1">IF(COUNTIF(OFFSET(Таблица6[[#This Row],[Прізвище, ім’я, по батькові]],0,1):OFFSET(T32,0,-1),"=*")&gt;0,"-",IF(COUNTIF(OFFSET(Таблица6[[#This Row],[Прізвище, ім’я, по батькові]],0,1):OFFSET(T32,0,-1),"&lt;4")&gt;0,"-",(IFERROR(AVERAGE(OFFSET(Таблица6[[#This Row],[Прізвище, ім’я, по батькові]],0,1):OFFSET(T32,0,-1)),""))))</f>
        <v>-</v>
      </c>
      <c r="U32" s="22" t="str">
        <f>IF(Таблица6[[#This Row],[''Б/К]]="Б",IF(Таблица6[[#This Row],[Столбец18]]="-","-",""),"")</f>
        <v/>
      </c>
      <c r="V32" s="51"/>
      <c r="W32" s="13"/>
    </row>
    <row r="33" spans="1:23" ht="15" customHeight="1" x14ac:dyDescent="0.25">
      <c r="A33" s="49"/>
      <c r="B33" s="51"/>
      <c r="C33" s="31" t="s">
        <v>89</v>
      </c>
      <c r="D33" s="32">
        <f t="shared" ref="D33:D36" ca="1" si="5">OFFSET(D33,-1,0)+1</f>
        <v>22</v>
      </c>
      <c r="E33" s="30" t="s">
        <v>79</v>
      </c>
      <c r="F33" s="6">
        <v>9</v>
      </c>
      <c r="G33" s="6">
        <v>8</v>
      </c>
      <c r="H33" s="6">
        <v>5</v>
      </c>
      <c r="I33" s="6">
        <v>9</v>
      </c>
      <c r="J33" s="6">
        <v>7</v>
      </c>
      <c r="K33" s="6">
        <v>4</v>
      </c>
      <c r="L33" s="6">
        <v>4</v>
      </c>
      <c r="M33" s="6">
        <v>6</v>
      </c>
      <c r="N33" s="6">
        <v>4</v>
      </c>
      <c r="O33" s="6">
        <v>7</v>
      </c>
      <c r="P33" s="6">
        <v>5</v>
      </c>
      <c r="Q33" s="6">
        <v>4</v>
      </c>
      <c r="R33" s="6">
        <v>8</v>
      </c>
      <c r="S33" s="6">
        <v>4</v>
      </c>
      <c r="T33" s="33">
        <f ca="1">IF(COUNTIF(OFFSET(Таблица6[[#This Row],[Прізвище, ім’я, по батькові]],0,1):OFFSET(T33,0,-1),"=*")&gt;0,"-",IF(COUNTIF(OFFSET(Таблица6[[#This Row],[Прізвище, ім’я, по батькові]],0,1):OFFSET(T33,0,-1),"&lt;4")&gt;0,"-",(IFERROR(AVERAGE(OFFSET(Таблица6[[#This Row],[Прізвище, ім’я, по батькові]],0,1):OFFSET(T33,0,-1)),""))))</f>
        <v>6</v>
      </c>
      <c r="U33" s="22" t="str">
        <f ca="1">IF(Таблица6[[#This Row],[''Б/К]]="Б",IF(Таблица6[[#This Row],[Столбец18]]="-","-",""),"")</f>
        <v/>
      </c>
      <c r="V33" s="51"/>
      <c r="W33" s="13"/>
    </row>
    <row r="34" spans="1:23" ht="15" customHeight="1" x14ac:dyDescent="0.25">
      <c r="A34" s="49"/>
      <c r="B34" s="51"/>
      <c r="C34" s="31" t="s">
        <v>89</v>
      </c>
      <c r="D34" s="32">
        <f t="shared" ca="1" si="5"/>
        <v>23</v>
      </c>
      <c r="E34" s="30" t="s">
        <v>80</v>
      </c>
      <c r="F34" s="6">
        <v>8</v>
      </c>
      <c r="G34" s="6">
        <v>10</v>
      </c>
      <c r="H34" s="6">
        <v>9</v>
      </c>
      <c r="I34" s="6">
        <v>9</v>
      </c>
      <c r="J34" s="6">
        <v>8</v>
      </c>
      <c r="K34" s="6">
        <v>7</v>
      </c>
      <c r="L34" s="6">
        <v>5</v>
      </c>
      <c r="M34" s="6">
        <v>6</v>
      </c>
      <c r="N34" s="6">
        <v>5</v>
      </c>
      <c r="O34" s="6">
        <v>7</v>
      </c>
      <c r="P34" s="6">
        <v>7</v>
      </c>
      <c r="Q34" s="6">
        <v>5</v>
      </c>
      <c r="R34" s="6">
        <v>8</v>
      </c>
      <c r="S34" s="6">
        <v>6</v>
      </c>
      <c r="T34" s="33">
        <f ca="1">IF(COUNTIF(OFFSET(Таблица6[[#This Row],[Прізвище, ім’я, по батькові]],0,1):OFFSET(T34,0,-1),"=*")&gt;0,"-",IF(COUNTIF(OFFSET(Таблица6[[#This Row],[Прізвище, ім’я, по батькові]],0,1):OFFSET(T34,0,-1),"&lt;4")&gt;0,"-",(IFERROR(AVERAGE(OFFSET(Таблица6[[#This Row],[Прізвище, ім’я, по батькові]],0,1):OFFSET(T34,0,-1)),""))))</f>
        <v>7.1428571428571432</v>
      </c>
      <c r="U34" s="22" t="str">
        <f ca="1">IF(Таблица6[[#This Row],[''Б/К]]="Б",IF(Таблица6[[#This Row],[Столбец18]]="-","-",""),"")</f>
        <v/>
      </c>
      <c r="V34" s="51"/>
      <c r="W34" s="13"/>
    </row>
    <row r="35" spans="1:23" ht="15" customHeight="1" x14ac:dyDescent="0.25">
      <c r="A35" s="49"/>
      <c r="B35" s="51"/>
      <c r="C35" s="31" t="s">
        <v>89</v>
      </c>
      <c r="D35" s="32">
        <f t="shared" ca="1" si="5"/>
        <v>24</v>
      </c>
      <c r="E35" s="30" t="s">
        <v>81</v>
      </c>
      <c r="F35" s="6">
        <v>6</v>
      </c>
      <c r="G35" s="6">
        <v>5</v>
      </c>
      <c r="H35" s="6">
        <v>4</v>
      </c>
      <c r="I35" s="6">
        <v>5</v>
      </c>
      <c r="J35" s="6">
        <v>4</v>
      </c>
      <c r="K35" s="6">
        <v>4</v>
      </c>
      <c r="L35" s="6">
        <v>5</v>
      </c>
      <c r="M35" s="6">
        <v>4</v>
      </c>
      <c r="N35" s="6">
        <v>7</v>
      </c>
      <c r="O35" s="6">
        <v>6</v>
      </c>
      <c r="P35" s="6">
        <v>5</v>
      </c>
      <c r="Q35" s="6">
        <v>4</v>
      </c>
      <c r="R35" s="6">
        <v>8</v>
      </c>
      <c r="S35" s="6">
        <v>6</v>
      </c>
      <c r="T35" s="33">
        <f ca="1">IF(COUNTIF(OFFSET(Таблица6[[#This Row],[Прізвище, ім’я, по батькові]],0,1):OFFSET(T35,0,-1),"=*")&gt;0,"-",IF(COUNTIF(OFFSET(Таблица6[[#This Row],[Прізвище, ім’я, по батькові]],0,1):OFFSET(T35,0,-1),"&lt;4")&gt;0,"-",(IFERROR(AVERAGE(OFFSET(Таблица6[[#This Row],[Прізвище, ім’я, по батькові]],0,1):OFFSET(T35,0,-1)),""))))</f>
        <v>5.2142857142857144</v>
      </c>
      <c r="U35" s="22" t="str">
        <f ca="1">IF(Таблица6[[#This Row],[''Б/К]]="Б",IF(Таблица6[[#This Row],[Столбец18]]="-","-",""),"")</f>
        <v/>
      </c>
      <c r="V35" s="51"/>
      <c r="W35" s="13"/>
    </row>
    <row r="36" spans="1:23" ht="15" customHeight="1" x14ac:dyDescent="0.25">
      <c r="A36" s="49"/>
      <c r="B36" s="51"/>
      <c r="C36" s="31" t="s">
        <v>88</v>
      </c>
      <c r="D36" s="32">
        <f t="shared" ca="1" si="5"/>
        <v>25</v>
      </c>
      <c r="E36" s="30" t="s">
        <v>82</v>
      </c>
      <c r="F36" s="6">
        <v>6</v>
      </c>
      <c r="G36" s="6">
        <v>6</v>
      </c>
      <c r="H36" s="6">
        <v>4</v>
      </c>
      <c r="I36" s="6">
        <v>5</v>
      </c>
      <c r="J36" s="6">
        <v>4</v>
      </c>
      <c r="K36" s="6">
        <v>4</v>
      </c>
      <c r="L36" s="6">
        <v>4</v>
      </c>
      <c r="M36" s="6" t="s">
        <v>100</v>
      </c>
      <c r="N36" s="6" t="s">
        <v>100</v>
      </c>
      <c r="O36" s="6">
        <v>4</v>
      </c>
      <c r="P36" s="6">
        <v>4</v>
      </c>
      <c r="Q36" s="6" t="s">
        <v>100</v>
      </c>
      <c r="R36" s="6">
        <v>5</v>
      </c>
      <c r="S36" s="6" t="s">
        <v>100</v>
      </c>
      <c r="T36" s="33" t="str">
        <f ca="1">IF(COUNTIF(OFFSET(Таблица6[[#This Row],[Прізвище, ім’я, по батькові]],0,1):OFFSET(T36,0,-1),"=*")&gt;0,"-",IF(COUNTIF(OFFSET(Таблица6[[#This Row],[Прізвище, ім’я, по батькові]],0,1):OFFSET(T36,0,-1),"&lt;4")&gt;0,"-",(IFERROR(AVERAGE(OFFSET(Таблица6[[#This Row],[Прізвище, ім’я, по батькові]],0,1):OFFSET(T36,0,-1)),""))))</f>
        <v>-</v>
      </c>
      <c r="U36" s="22" t="str">
        <f>IF(Таблица6[[#This Row],[''Б/К]]="Б",IF(Таблица6[[#This Row],[Столбец18]]="-","-",""),"")</f>
        <v/>
      </c>
      <c r="V36" s="51"/>
      <c r="W36" s="13"/>
    </row>
    <row r="37" spans="1:23" ht="15" customHeight="1" x14ac:dyDescent="0.25">
      <c r="A37" s="49"/>
      <c r="B37" s="51"/>
      <c r="C37" s="31" t="s">
        <v>89</v>
      </c>
      <c r="D37" s="32">
        <f t="shared" ref="D37:D40" ca="1" si="6">OFFSET(D37,-1,0)+1</f>
        <v>26</v>
      </c>
      <c r="E37" s="30" t="s">
        <v>83</v>
      </c>
      <c r="F37" s="6">
        <v>8</v>
      </c>
      <c r="G37" s="6">
        <v>9</v>
      </c>
      <c r="H37" s="6">
        <v>9</v>
      </c>
      <c r="I37" s="6">
        <v>9</v>
      </c>
      <c r="J37" s="6">
        <v>8</v>
      </c>
      <c r="K37" s="6">
        <v>8</v>
      </c>
      <c r="L37" s="6">
        <v>7</v>
      </c>
      <c r="M37" s="6">
        <v>8</v>
      </c>
      <c r="N37" s="6">
        <v>6</v>
      </c>
      <c r="O37" s="6">
        <v>8</v>
      </c>
      <c r="P37" s="6">
        <v>8</v>
      </c>
      <c r="Q37" s="6">
        <v>5</v>
      </c>
      <c r="R37" s="6">
        <v>8</v>
      </c>
      <c r="S37" s="6">
        <v>8</v>
      </c>
      <c r="T37" s="33">
        <f ca="1">IF(COUNTIF(OFFSET(Таблица6[[#This Row],[Прізвище, ім’я, по батькові]],0,1):OFFSET(T37,0,-1),"=*")&gt;0,"-",IF(COUNTIF(OFFSET(Таблица6[[#This Row],[Прізвище, ім’я, по батькові]],0,1):OFFSET(T37,0,-1),"&lt;4")&gt;0,"-",(IFERROR(AVERAGE(OFFSET(Таблица6[[#This Row],[Прізвище, ім’я, по батькові]],0,1):OFFSET(T37,0,-1)),""))))</f>
        <v>7.7857142857142856</v>
      </c>
      <c r="U37" s="22" t="str">
        <f ca="1">IF(Таблица6[[#This Row],[''Б/К]]="Б",IF(Таблица6[[#This Row],[Столбец18]]="-","-",""),"")</f>
        <v/>
      </c>
      <c r="V37" s="51"/>
      <c r="W37" s="13"/>
    </row>
    <row r="38" spans="1:23" ht="15" customHeight="1" x14ac:dyDescent="0.25">
      <c r="A38" s="49"/>
      <c r="B38" s="51"/>
      <c r="C38" s="31" t="s">
        <v>89</v>
      </c>
      <c r="D38" s="32">
        <f t="shared" ca="1" si="6"/>
        <v>27</v>
      </c>
      <c r="E38" s="30" t="s">
        <v>84</v>
      </c>
      <c r="F38" s="6">
        <v>6</v>
      </c>
      <c r="G38" s="6">
        <v>5</v>
      </c>
      <c r="H38" s="6">
        <v>4</v>
      </c>
      <c r="I38" s="6">
        <v>6</v>
      </c>
      <c r="J38" s="6">
        <v>4</v>
      </c>
      <c r="K38" s="6">
        <v>4</v>
      </c>
      <c r="L38" s="6">
        <v>4</v>
      </c>
      <c r="M38" s="6">
        <v>4</v>
      </c>
      <c r="N38" s="6">
        <v>6</v>
      </c>
      <c r="O38" s="6">
        <v>6</v>
      </c>
      <c r="P38" s="6">
        <v>5</v>
      </c>
      <c r="Q38" s="6">
        <v>4</v>
      </c>
      <c r="R38" s="6">
        <v>5</v>
      </c>
      <c r="S38" s="6">
        <v>5</v>
      </c>
      <c r="T38" s="33">
        <f ca="1">IF(COUNTIF(OFFSET(Таблица6[[#This Row],[Прізвище, ім’я, по батькові]],0,1):OFFSET(T38,0,-1),"=*")&gt;0,"-",IF(COUNTIF(OFFSET(Таблица6[[#This Row],[Прізвище, ім’я, по батькові]],0,1):OFFSET(T38,0,-1),"&lt;4")&gt;0,"-",(IFERROR(AVERAGE(OFFSET(Таблица6[[#This Row],[Прізвище, ім’я, по батькові]],0,1):OFFSET(T38,0,-1)),""))))</f>
        <v>4.8571428571428568</v>
      </c>
      <c r="U38" s="22" t="str">
        <f ca="1">IF(Таблица6[[#This Row],[''Б/К]]="Б",IF(Таблица6[[#This Row],[Столбец18]]="-","-",""),"")</f>
        <v/>
      </c>
      <c r="V38" s="51"/>
      <c r="W38" s="13"/>
    </row>
    <row r="39" spans="1:23" ht="15" customHeight="1" x14ac:dyDescent="0.25">
      <c r="A39" s="49"/>
      <c r="B39" s="51"/>
      <c r="C39" s="31" t="s">
        <v>88</v>
      </c>
      <c r="D39" s="32">
        <f t="shared" ca="1" si="6"/>
        <v>28</v>
      </c>
      <c r="E39" s="30" t="s">
        <v>85</v>
      </c>
      <c r="F39" s="6">
        <v>9</v>
      </c>
      <c r="G39" s="6">
        <v>8</v>
      </c>
      <c r="H39" s="6">
        <v>8</v>
      </c>
      <c r="I39" s="6">
        <v>10</v>
      </c>
      <c r="J39" s="6">
        <v>9</v>
      </c>
      <c r="K39" s="6">
        <v>4</v>
      </c>
      <c r="L39" s="6">
        <v>4</v>
      </c>
      <c r="M39" s="6">
        <v>7</v>
      </c>
      <c r="N39" s="6">
        <v>6</v>
      </c>
      <c r="O39" s="6">
        <v>7</v>
      </c>
      <c r="P39" s="6">
        <v>6</v>
      </c>
      <c r="Q39" s="6">
        <v>6</v>
      </c>
      <c r="R39" s="6">
        <v>9</v>
      </c>
      <c r="S39" s="6">
        <v>6</v>
      </c>
      <c r="T39" s="33">
        <f ca="1">IF(COUNTIF(OFFSET(Таблица6[[#This Row],[Прізвище, ім’я, по батькові]],0,1):OFFSET(T39,0,-1),"=*")&gt;0,"-",IF(COUNTIF(OFFSET(Таблица6[[#This Row],[Прізвище, ім’я, по батькові]],0,1):OFFSET(T39,0,-1),"&lt;4")&gt;0,"-",(IFERROR(AVERAGE(OFFSET(Таблица6[[#This Row],[Прізвище, ім’я, по батькові]],0,1):OFFSET(T39,0,-1)),""))))</f>
        <v>7.0714285714285712</v>
      </c>
      <c r="U39" s="22" t="str">
        <f>IF(Таблица6[[#This Row],[''Б/К]]="Б",IF(Таблица6[[#This Row],[Столбец18]]="-","-",""),"")</f>
        <v/>
      </c>
      <c r="V39" s="51"/>
      <c r="W39" s="13"/>
    </row>
    <row r="40" spans="1:23" ht="15" customHeight="1" x14ac:dyDescent="0.25">
      <c r="A40" s="49"/>
      <c r="B40" s="51"/>
      <c r="C40" s="31" t="s">
        <v>89</v>
      </c>
      <c r="D40" s="32">
        <f t="shared" ca="1" si="6"/>
        <v>29</v>
      </c>
      <c r="E40" s="30" t="s">
        <v>86</v>
      </c>
      <c r="F40" s="6">
        <v>9</v>
      </c>
      <c r="G40" s="6">
        <v>9</v>
      </c>
      <c r="H40" s="6">
        <v>9</v>
      </c>
      <c r="I40" s="6">
        <v>10</v>
      </c>
      <c r="J40" s="6">
        <v>6</v>
      </c>
      <c r="K40" s="6">
        <v>7</v>
      </c>
      <c r="L40" s="6">
        <v>9</v>
      </c>
      <c r="M40" s="6">
        <v>7</v>
      </c>
      <c r="N40" s="6">
        <v>8</v>
      </c>
      <c r="O40" s="6">
        <v>8</v>
      </c>
      <c r="P40" s="6">
        <v>7</v>
      </c>
      <c r="Q40" s="6">
        <v>7</v>
      </c>
      <c r="R40" s="6">
        <v>9</v>
      </c>
      <c r="S40" s="6">
        <v>8</v>
      </c>
      <c r="T40" s="33">
        <f ca="1">IF(COUNTIF(OFFSET(Таблица6[[#This Row],[Прізвище, ім’я, по батькові]],0,1):OFFSET(T40,0,-1),"=*")&gt;0,"-",IF(COUNTIF(OFFSET(Таблица6[[#This Row],[Прізвище, ім’я, по батькові]],0,1):OFFSET(T40,0,-1),"&lt;4")&gt;0,"-",(IFERROR(AVERAGE(OFFSET(Таблица6[[#This Row],[Прізвище, ім’я, по батькові]],0,1):OFFSET(T40,0,-1)),""))))</f>
        <v>8.0714285714285712</v>
      </c>
      <c r="U40" s="22" t="str">
        <f ca="1">IF(Таблица6[[#This Row],[''Б/К]]="Б",IF(Таблица6[[#This Row],[Столбец18]]="-","-",""),"")</f>
        <v/>
      </c>
      <c r="V40" s="51"/>
      <c r="W40" s="13"/>
    </row>
    <row r="41" spans="1:23" ht="15" customHeight="1" x14ac:dyDescent="0.25">
      <c r="A41" s="49"/>
      <c r="B41" s="51"/>
      <c r="C41" s="31" t="s">
        <v>89</v>
      </c>
      <c r="D41" s="32">
        <f t="shared" ref="D41" ca="1" si="7">OFFSET(D41,-1,0)+1</f>
        <v>30</v>
      </c>
      <c r="E41" s="30" t="s">
        <v>87</v>
      </c>
      <c r="F41" s="6">
        <v>8</v>
      </c>
      <c r="G41" s="6">
        <v>9</v>
      </c>
      <c r="H41" s="6">
        <v>8</v>
      </c>
      <c r="I41" s="6">
        <v>9</v>
      </c>
      <c r="J41" s="6">
        <v>4</v>
      </c>
      <c r="K41" s="6">
        <v>4</v>
      </c>
      <c r="L41" s="6">
        <v>4</v>
      </c>
      <c r="M41" s="6">
        <v>6</v>
      </c>
      <c r="N41" s="6">
        <v>4</v>
      </c>
      <c r="O41" s="6">
        <v>7</v>
      </c>
      <c r="P41" s="6">
        <v>8</v>
      </c>
      <c r="Q41" s="6">
        <v>4</v>
      </c>
      <c r="R41" s="6">
        <v>8</v>
      </c>
      <c r="S41" s="6">
        <v>5</v>
      </c>
      <c r="T41" s="33">
        <f ca="1">IF(COUNTIF(OFFSET(Таблица6[[#This Row],[Прізвище, ім’я, по батькові]],0,1):OFFSET(T41,0,-1),"=*")&gt;0,"-",IF(COUNTIF(OFFSET(Таблица6[[#This Row],[Прізвище, ім’я, по батькові]],0,1):OFFSET(T41,0,-1),"&lt;4")&gt;0,"-",(IFERROR(AVERAGE(OFFSET(Таблица6[[#This Row],[Прізвище, ім’я, по батькові]],0,1):OFFSET(T41,0,-1)),""))))</f>
        <v>6.2857142857142856</v>
      </c>
      <c r="U41" s="23" t="str">
        <f ca="1">IF(Таблица6[[#This Row],[''Б/К]]="Б",IF(Таблица6[[#This Row],[Столбец18]]="-","-",""),"")</f>
        <v/>
      </c>
      <c r="V41" s="51"/>
      <c r="W41" s="13"/>
    </row>
    <row r="42" spans="1:23" ht="15" customHeight="1" x14ac:dyDescent="0.25">
      <c r="A42" s="49"/>
      <c r="B42" s="51"/>
      <c r="C42" s="7"/>
      <c r="D42" s="7"/>
      <c r="E42" s="5" t="s">
        <v>9</v>
      </c>
      <c r="F42" s="27">
        <f ca="1">IF(SUM(OFFSET(Таблица6[[#Headers],[1]],1,0):OFFSET(F42, -1, 0))=0,"",SUM(OFFSET(Таблица6[[#Headers],[1]],1,0):OFFSET(F42, -1, 0))/OFFSET($D42, -1, 0))</f>
        <v>8.1666666666666661</v>
      </c>
      <c r="G42" s="27">
        <f ca="1">IF(SUM(OFFSET(Таблица6[[#Headers],[2]],1,0):OFFSET(G42, -1, 0))=0,"",SUM(OFFSET(Таблица6[[#Headers],[2]],1,0):OFFSET(G42, -1, 0))/OFFSET($D42, -1, 0))</f>
        <v>7.833333333333333</v>
      </c>
      <c r="H42" s="27">
        <f ca="1">IF(SUM(OFFSET(Таблица6[[#Headers],[3]],1,0):OFFSET(H42, -1, 0))=0,"",SUM(OFFSET(Таблица6[[#Headers],[3]],1,0):OFFSET(H42, -1, 0))/OFFSET($D42, -1, 0))</f>
        <v>7.1</v>
      </c>
      <c r="I42" s="27">
        <f ca="1">IF(SUM(OFFSET(Таблица6[[#Headers],[4]],1,0):OFFSET(I42, -1, 0))=0,"",SUM(OFFSET(Таблица6[[#Headers],[4]],1,0):OFFSET(I42, -1, 0))/OFFSET($D42, -1, 0))</f>
        <v>8.1999999999999993</v>
      </c>
      <c r="J42" s="27">
        <f ca="1">IF(SUM(OFFSET(Таблица6[[#Headers],[5]],1,0):OFFSET(J42, -1, 0))=0,"",SUM(OFFSET(Таблица6[[#Headers],[5]],1,0):OFFSET(J42, -1, 0))/OFFSET($D42, -1, 0))</f>
        <v>6.833333333333333</v>
      </c>
      <c r="K42" s="27">
        <f ca="1">IF(SUM(OFFSET(Таблица6[[#Headers],[6]],1,0):OFFSET(K42, -1, 0))=0,"",SUM(OFFSET(Таблица6[[#Headers],[6]],1,0):OFFSET(K42, -1, 0))/OFFSET($D42, -1, 0))</f>
        <v>5.9333333333333336</v>
      </c>
      <c r="L42" s="27">
        <f ca="1">IF(SUM(OFFSET(Таблица6[[#Headers],[7]],1,0):OFFSET(L42, -1, 0))=0,"",SUM(OFFSET(Таблица6[[#Headers],[7]],1,0):OFFSET(L42, -1, 0))/OFFSET($D42, -1, 0))</f>
        <v>6.666666666666667</v>
      </c>
      <c r="M42" s="27">
        <f ca="1">IF(SUM(OFFSET(Таблица6[[#Headers],[8]],1,0):OFFSET(M42, -1, 0))=0,"",SUM(OFFSET(Таблица6[[#Headers],[8]],1,0):OFFSET(M42, -1, 0))/OFFSET($D42, -1, 0))</f>
        <v>6.333333333333333</v>
      </c>
      <c r="N42" s="27">
        <f ca="1">IF(SUM(OFFSET(Таблица6[[#Headers],[9]],1,0):OFFSET(N42, -1, 0))=0,"",SUM(OFFSET(Таблица6[[#Headers],[9]],1,0):OFFSET(N42, -1, 0))/OFFSET($D42, -1, 0))</f>
        <v>6.333333333333333</v>
      </c>
      <c r="O42" s="27">
        <f ca="1">IF(SUM(OFFSET(Таблица6[[#Headers],[10]],1,0):OFFSET(O42, -1, 0))=0,"",SUM(OFFSET(Таблица6[[#Headers],[10]],1,0):OFFSET(O42, -1, 0))/OFFSET($D42, -1, 0))</f>
        <v>7.333333333333333</v>
      </c>
      <c r="P42" s="27">
        <f ca="1">IF(SUM(OFFSET(Таблица6[[#Headers],[11]],1,0):OFFSET(P42, -1, 0))=0,"",SUM(OFFSET(Таблица6[[#Headers],[11]],1,0):OFFSET(P42, -1, 0))/OFFSET($D42, -1, 0))</f>
        <v>6.7333333333333334</v>
      </c>
      <c r="Q42" s="27">
        <f ca="1">IF(SUM(OFFSET(Таблица6[[#Headers],[12]],1,0):OFFSET(Q42, -1, 0))=0,"",SUM(OFFSET(Таблица6[[#Headers],[12]],1,0):OFFSET(Q42, -1, 0))/OFFSET($D42, -1, 0))</f>
        <v>5.6</v>
      </c>
      <c r="R42" s="27">
        <f ca="1">IF(SUM(OFFSET(Таблица6[[#Headers],[13]],1,0):OFFSET(R42, -1, 0))=0,"",SUM(OFFSET(Таблица6[[#Headers],[13]],1,0):OFFSET(R42, -1, 0))/OFFSET($D42, -1, 0))</f>
        <v>7.9333333333333336</v>
      </c>
      <c r="S42" s="27">
        <f ca="1">IF(SUM(OFFSET(Таблица6[[#Headers],[14]],1,0):OFFSET(S42, -1, 0))=0,"",SUM(OFFSET(Таблица6[[#Headers],[14]],1,0):OFFSET(S42, -1, 0))/OFFSET($D42, -1, 0))</f>
        <v>6.166666666666667</v>
      </c>
      <c r="T42" s="19">
        <f ca="1">IFERROR(AVERAGE(F42:S42),"")</f>
        <v>6.9404761904761907</v>
      </c>
      <c r="U42" s="24">
        <f ca="1">COUNTIF(OFFSET(Таблица6[[#Headers],["Б" и "-"]],1,0):OFFSET(U42,-1,0),"-")</f>
        <v>0</v>
      </c>
      <c r="V42" s="51"/>
      <c r="W42" s="13"/>
    </row>
    <row r="43" spans="1:23" ht="15" customHeight="1" x14ac:dyDescent="0.25">
      <c r="A43" s="49"/>
      <c r="B43" s="51"/>
      <c r="C43" s="7"/>
      <c r="D43" s="7"/>
      <c r="E43" s="5" t="s">
        <v>10</v>
      </c>
      <c r="F43" s="28">
        <f ca="1">IF(SUM(OFFSET(Таблица6[[#Headers],[1]],1,0):OFFSET(F42, -1, 0))=0,"",IF(COUNTIF(OFFSET(Таблица6[[#Headers],[1]],1,0):OFFSET(F42, -1, 0),"&gt;=4")=0,0,COUNTIF(OFFSET(Таблица6[[#Headers],[1]],1,0):OFFSET(F42, -1, 0),"&gt;=4")/OFFSET($D42, -1, 0)*100))</f>
        <v>100</v>
      </c>
      <c r="G43" s="28">
        <f ca="1">IF(SUM(OFFSET(Таблица6[[#Headers],[2]],1,0):OFFSET(G42, -1, 0))=0,"",IF(COUNTIF(OFFSET(Таблица6[[#Headers],[2]],1,0):OFFSET(G42, -1, 0),"&gt;=4")=0,0,COUNTIF(OFFSET(Таблица6[[#Headers],[2]],1,0):OFFSET(G42, -1, 0),"&gt;=4")/OFFSET($D42, -1, 0)*100))</f>
        <v>100</v>
      </c>
      <c r="H43" s="28">
        <f ca="1">IF(SUM(OFFSET(Таблица6[[#Headers],[3]],1,0):OFFSET(H42, -1, 0))=0,"",IF(COUNTIF(OFFSET(Таблица6[[#Headers],[3]],1,0):OFFSET(H42, -1, 0),"&gt;=4")=0,0,COUNTIF(OFFSET(Таблица6[[#Headers],[3]],1,0):OFFSET(H42, -1, 0),"&gt;=4")/OFFSET($D42, -1, 0)*100))</f>
        <v>100</v>
      </c>
      <c r="I43" s="28">
        <f ca="1">IF(SUM(OFFSET(Таблица6[[#Headers],[4]],1,0):OFFSET(I42, -1, 0))=0,"",IF(COUNTIF(OFFSET(Таблица6[[#Headers],[4]],1,0):OFFSET(I42, -1, 0),"&gt;=4")=0,0,COUNTIF(OFFSET(Таблица6[[#Headers],[4]],1,0):OFFSET(I42, -1, 0),"&gt;=4")/OFFSET($D42, -1, 0)*100))</f>
        <v>100</v>
      </c>
      <c r="J43" s="28">
        <f ca="1">IF(SUM(OFFSET(Таблица6[[#Headers],[5]],1,0):OFFSET(J42, -1, 0))=0,"",IF(COUNTIF(OFFSET(Таблица6[[#Headers],[5]],1,0):OFFSET(J42, -1, 0),"&gt;=4")=0,0,COUNTIF(OFFSET(Таблица6[[#Headers],[5]],1,0):OFFSET(J42, -1, 0),"&gt;=4")/OFFSET($D42, -1, 0)*100))</f>
        <v>100</v>
      </c>
      <c r="K43" s="28">
        <f ca="1">IF(SUM(OFFSET(Таблица6[[#Headers],[6]],1,0):OFFSET(K42, -1, 0))=0,"",IF(COUNTIF(OFFSET(Таблица6[[#Headers],[6]],1,0):OFFSET(K42, -1, 0),"&gt;=4")=0,0,COUNTIF(OFFSET(Таблица6[[#Headers],[6]],1,0):OFFSET(K42, -1, 0),"&gt;=4")/OFFSET($D42, -1, 0)*100))</f>
        <v>100</v>
      </c>
      <c r="L43" s="28">
        <f ca="1">IF(SUM(OFFSET(Таблица6[[#Headers],[7]],1,0):OFFSET(L42, -1, 0))=0,"",IF(COUNTIF(OFFSET(Таблица6[[#Headers],[7]],1,0):OFFSET(L42, -1, 0),"&gt;=4")=0,0,COUNTIF(OFFSET(Таблица6[[#Headers],[7]],1,0):OFFSET(L42, -1, 0),"&gt;=4")/OFFSET($D42, -1, 0)*100))</f>
        <v>100</v>
      </c>
      <c r="M43" s="28">
        <f ca="1">IF(SUM(OFFSET(Таблица6[[#Headers],[8]],1,0):OFFSET(M42, -1, 0))=0,"",IF(COUNTIF(OFFSET(Таблица6[[#Headers],[8]],1,0):OFFSET(M42, -1, 0),"&gt;=4")=0,0,COUNTIF(OFFSET(Таблица6[[#Headers],[8]],1,0):OFFSET(M42, -1, 0),"&gt;=4")/OFFSET($D42, -1, 0)*100))</f>
        <v>93.333333333333329</v>
      </c>
      <c r="N43" s="28">
        <f ca="1">IF(SUM(OFFSET(Таблица6[[#Headers],[9]],1,0):OFFSET(N42, -1, 0))=0,"",IF(COUNTIF(OFFSET(Таблица6[[#Headers],[9]],1,0):OFFSET(N42, -1, 0),"&gt;=4")=0,0,COUNTIF(OFFSET(Таблица6[[#Headers],[9]],1,0):OFFSET(N42, -1, 0),"&gt;=4")/OFFSET($D42, -1, 0)*100))</f>
        <v>96.666666666666671</v>
      </c>
      <c r="O43" s="28">
        <f ca="1">IF(SUM(OFFSET(Таблица6[[#Headers],[10]],1,0):OFFSET(O42, -1, 0))=0,"",IF(COUNTIF(OFFSET(Таблица6[[#Headers],[10]],1,0):OFFSET(O42, -1, 0),"&gt;=4")=0,0,COUNTIF(OFFSET(Таблица6[[#Headers],[10]],1,0):OFFSET(O42, -1, 0),"&gt;=4")/OFFSET($D42, -1, 0)*100))</f>
        <v>100</v>
      </c>
      <c r="P43" s="28">
        <f ca="1">IF(SUM(OFFSET(Таблица6[[#Headers],[11]],1,0):OFFSET(P42, -1, 0))=0,"",IF(COUNTIF(OFFSET(Таблица6[[#Headers],[11]],1,0):OFFSET(P42, -1, 0),"&gt;=4")=0,0,COUNTIF(OFFSET(Таблица6[[#Headers],[11]],1,0):OFFSET(P42, -1, 0),"&gt;=4")/OFFSET($D42, -1, 0)*100))</f>
        <v>100</v>
      </c>
      <c r="Q43" s="28">
        <f ca="1">IF(SUM(OFFSET(Таблица6[[#Headers],[12]],1,0):OFFSET(Q42, -1, 0))=0,"",IF(COUNTIF(OFFSET(Таблица6[[#Headers],[12]],1,0):OFFSET(Q42, -1, 0),"&gt;=4")=0,0,COUNTIF(OFFSET(Таблица6[[#Headers],[12]],1,0):OFFSET(Q42, -1, 0),"&gt;=4")/OFFSET($D42, -1, 0)*100))</f>
        <v>93.333333333333329</v>
      </c>
      <c r="R43" s="28">
        <f ca="1">IF(SUM(OFFSET(Таблица6[[#Headers],[13]],1,0):OFFSET(R42, -1, 0))=0,"",IF(COUNTIF(OFFSET(Таблица6[[#Headers],[13]],1,0):OFFSET(R42, -1, 0),"&gt;=4")=0,0,COUNTIF(OFFSET(Таблица6[[#Headers],[13]],1,0):OFFSET(R42, -1, 0),"&gt;=4")/OFFSET($D42, -1, 0)*100))</f>
        <v>100</v>
      </c>
      <c r="S43" s="28">
        <f ca="1">IF(SUM(OFFSET(Таблица6[[#Headers],[14]],1,0):OFFSET(S42, -1, 0))=0,"",IF(COUNTIF(OFFSET(Таблица6[[#Headers],[14]],1,0):OFFSET(S42, -1, 0),"&gt;=4")=0,0,COUNTIF(OFFSET(Таблица6[[#Headers],[14]],1,0):OFFSET(S42, -1, 0),"&gt;=4")/OFFSET($D42, -1, 0)*100))</f>
        <v>96.666666666666671</v>
      </c>
      <c r="T43" s="8"/>
      <c r="U43" s="8"/>
      <c r="V43" s="51"/>
      <c r="W43" s="13"/>
    </row>
    <row r="44" spans="1:23" ht="15" customHeight="1" x14ac:dyDescent="0.25">
      <c r="A44" s="49"/>
      <c r="B44" s="51"/>
      <c r="C44" s="7"/>
      <c r="D44" s="7"/>
      <c r="E44" s="5" t="s">
        <v>11</v>
      </c>
      <c r="F44" s="28">
        <f ca="1">IF(SUM(OFFSET(Таблица6[[#Headers],[1]],1,0):OFFSET(F42, -1, 0))=0,"",IF(COUNTIF(OFFSET(Таблица6[[#Headers],[1]],1,0):OFFSET(F42, -1, 0),"&gt;=7")=0,0,COUNTIF(OFFSET(Таблица6[[#Headers],[1]],1,0):OFFSET(F42, -1, 0),"&gt;=7")/OFFSET($D42, -1, 0)*100))</f>
        <v>73.333333333333329</v>
      </c>
      <c r="G44" s="28">
        <f ca="1">IF(SUM(OFFSET(Таблица6[[#Headers],[2]],1,0):OFFSET(G42, -1, 0))=0,"",IF(COUNTIF(OFFSET(Таблица6[[#Headers],[2]],1,0):OFFSET(G42, -1, 0),"&gt;=7")=0,0,COUNTIF(OFFSET(Таблица6[[#Headers],[2]],1,0):OFFSET(G42, -1, 0),"&gt;=7")/OFFSET($D42, -1, 0)*100))</f>
        <v>70</v>
      </c>
      <c r="H44" s="28">
        <f ca="1">IF(SUM(OFFSET(Таблица6[[#Headers],[3]],1,0):OFFSET(H42, -1, 0))=0,"",IF(COUNTIF(OFFSET(Таблица6[[#Headers],[3]],1,0):OFFSET(H42, -1, 0),"&gt;=7")=0,0,COUNTIF(OFFSET(Таблица6[[#Headers],[3]],1,0):OFFSET(H42, -1, 0),"&gt;=7")/OFFSET($D42, -1, 0)*100))</f>
        <v>63.333333333333329</v>
      </c>
      <c r="I44" s="28">
        <f ca="1">IF(SUM(OFFSET(Таблица6[[#Headers],[4]],1,0):OFFSET(I42, -1, 0))=0,"",IF(COUNTIF(OFFSET(Таблица6[[#Headers],[4]],1,0):OFFSET(I42, -1, 0),"&gt;=7")=0,0,COUNTIF(OFFSET(Таблица6[[#Headers],[4]],1,0):OFFSET(I42, -1, 0),"&gt;=7")/OFFSET($D42, -1, 0)*100))</f>
        <v>70</v>
      </c>
      <c r="J44" s="28">
        <f ca="1">IF(SUM(OFFSET(Таблица6[[#Headers],[5]],1,0):OFFSET(J42, -1, 0))=0,"",IF(COUNTIF(OFFSET(Таблица6[[#Headers],[5]],1,0):OFFSET(J42, -1, 0),"&gt;=7")=0,0,COUNTIF(OFFSET(Таблица6[[#Headers],[5]],1,0):OFFSET(J42, -1, 0),"&gt;=7")/OFFSET($D42, -1, 0)*100))</f>
        <v>53.333333333333336</v>
      </c>
      <c r="K44" s="28">
        <f ca="1">IF(SUM(OFFSET(Таблица6[[#Headers],[6]],1,0):OFFSET(K42, -1, 0))=0,"",IF(COUNTIF(OFFSET(Таблица6[[#Headers],[6]],1,0):OFFSET(K42, -1, 0),"&gt;=7")=0,0,COUNTIF(OFFSET(Таблица6[[#Headers],[6]],1,0):OFFSET(K42, -1, 0),"&gt;=7")/OFFSET($D42, -1, 0)*100))</f>
        <v>36.666666666666664</v>
      </c>
      <c r="L44" s="28">
        <f ca="1">IF(SUM(OFFSET(Таблица6[[#Headers],[7]],1,0):OFFSET(L42, -1, 0))=0,"",IF(COUNTIF(OFFSET(Таблица6[[#Headers],[7]],1,0):OFFSET(L42, -1, 0),"&gt;=7")=0,0,COUNTIF(OFFSET(Таблица6[[#Headers],[7]],1,0):OFFSET(L42, -1, 0),"&gt;=7")/OFFSET($D42, -1, 0)*100))</f>
        <v>46.666666666666664</v>
      </c>
      <c r="M44" s="28">
        <f ca="1">IF(SUM(OFFSET(Таблица6[[#Headers],[8]],1,0):OFFSET(M42, -1, 0))=0,"",IF(COUNTIF(OFFSET(Таблица6[[#Headers],[8]],1,0):OFFSET(M42, -1, 0),"&gt;=7")=0,0,COUNTIF(OFFSET(Таблица6[[#Headers],[8]],1,0):OFFSET(M42, -1, 0),"&gt;=7")/OFFSET($D42, -1, 0)*100))</f>
        <v>53.333333333333336</v>
      </c>
      <c r="N44" s="28">
        <f ca="1">IF(SUM(OFFSET(Таблица6[[#Headers],[9]],1,0):OFFSET(N42, -1, 0))=0,"",IF(COUNTIF(OFFSET(Таблица6[[#Headers],[9]],1,0):OFFSET(N42, -1, 0),"&gt;=7")=0,0,COUNTIF(OFFSET(Таблица6[[#Headers],[9]],1,0):OFFSET(N42, -1, 0),"&gt;=7")/OFFSET($D42, -1, 0)*100))</f>
        <v>46.666666666666664</v>
      </c>
      <c r="O44" s="28">
        <f ca="1">IF(SUM(OFFSET(Таблица6[[#Headers],[10]],1,0):OFFSET(O42, -1, 0))=0,"",IF(COUNTIF(OFFSET(Таблица6[[#Headers],[10]],1,0):OFFSET(O42, -1, 0),"&gt;=7")=0,0,COUNTIF(OFFSET(Таблица6[[#Headers],[10]],1,0):OFFSET(O42, -1, 0),"&gt;=7")/OFFSET($D42, -1, 0)*100))</f>
        <v>63.333333333333329</v>
      </c>
      <c r="P44" s="28">
        <f ca="1">IF(SUM(OFFSET(Таблица6[[#Headers],[11]],1,0):OFFSET(P42, -1, 0))=0,"",IF(COUNTIF(OFFSET(Таблица6[[#Headers],[11]],1,0):OFFSET(P42, -1, 0),"&gt;=7")=0,0,COUNTIF(OFFSET(Таблица6[[#Headers],[11]],1,0):OFFSET(P42, -1, 0),"&gt;=7")/OFFSET($D42, -1, 0)*100))</f>
        <v>50</v>
      </c>
      <c r="Q44" s="28">
        <f ca="1">IF(SUM(OFFSET(Таблица6[[#Headers],[12]],1,0):OFFSET(Q42, -1, 0))=0,"",IF(COUNTIF(OFFSET(Таблица6[[#Headers],[12]],1,0):OFFSET(Q42, -1, 0),"&gt;=7")=0,0,COUNTIF(OFFSET(Таблица6[[#Headers],[12]],1,0):OFFSET(Q42, -1, 0),"&gt;=7")/OFFSET($D42, -1, 0)*100))</f>
        <v>40</v>
      </c>
      <c r="R44" s="28">
        <f ca="1">IF(SUM(OFFSET(Таблица6[[#Headers],[13]],1,0):OFFSET(R42, -1, 0))=0,"",IF(COUNTIF(OFFSET(Таблица6[[#Headers],[13]],1,0):OFFSET(R42, -1, 0),"&gt;=7")=0,0,COUNTIF(OFFSET(Таблица6[[#Headers],[13]],1,0):OFFSET(R42, -1, 0),"&gt;=7")/OFFSET($D42, -1, 0)*100))</f>
        <v>73.333333333333329</v>
      </c>
      <c r="S44" s="28">
        <f ca="1">IF(SUM(OFFSET(Таблица6[[#Headers],[14]],1,0):OFFSET(S42, -1, 0))=0,"",IF(COUNTIF(OFFSET(Таблица6[[#Headers],[14]],1,0):OFFSET(S42, -1, 0),"&gt;=7")=0,0,COUNTIF(OFFSET(Таблица6[[#Headers],[14]],1,0):OFFSET(S42, -1, 0),"&gt;=7")/OFFSET($D42, -1, 0)*100))</f>
        <v>36.666666666666664</v>
      </c>
      <c r="T44" s="7"/>
      <c r="U44" s="7"/>
      <c r="V44" s="51"/>
      <c r="W44" s="13"/>
    </row>
    <row r="45" spans="1:23" ht="15" customHeight="1" x14ac:dyDescent="0.25">
      <c r="A45" s="49"/>
      <c r="B45" s="51"/>
      <c r="C45" s="7"/>
      <c r="D45" s="7"/>
      <c r="E45" s="5" t="s">
        <v>12</v>
      </c>
      <c r="F45" s="27">
        <f ca="1">IF(COUNT(F43:S43)&lt;14,"",AVERAGE(F43:S43))</f>
        <v>98.571428571428569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51"/>
      <c r="W45" s="13"/>
    </row>
    <row r="46" spans="1:23" ht="15" customHeight="1" x14ac:dyDescent="0.25">
      <c r="A46" s="49"/>
      <c r="B46" s="51"/>
      <c r="C46" s="7"/>
      <c r="D46" s="7"/>
      <c r="E46" s="5" t="s">
        <v>13</v>
      </c>
      <c r="F46" s="27">
        <f ca="1">IF(COUNT(F44:S44)&lt;14,"",AVERAGE(F44:S44))</f>
        <v>55.476190476190474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51"/>
      <c r="W46" s="13"/>
    </row>
    <row r="47" spans="1:23" ht="15" customHeight="1" x14ac:dyDescent="0.25">
      <c r="A47" s="49"/>
      <c r="B47" s="51"/>
      <c r="C47" s="7"/>
      <c r="D47" s="7"/>
      <c r="E47" s="5" t="s">
        <v>14</v>
      </c>
      <c r="F47" s="12">
        <f ca="1">IF(COUNTIF(OFFSET(Таблица6[[#Headers],[''Б/К]],1,0):OFFSET($C42, -1, 0),"=Б")=0,IF(COUNTIF(OFFSET(Таблица6[[#Headers],[''Б/К]],1,0):OFFSET($C42, -1, 0),"=К")=0,"",0),COUNTIF(OFFSET(Таблица6[[#Headers],[''Б/К]],1,0):OFFSET($C42, -1, 0),"=Б"))</f>
        <v>14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51"/>
      <c r="W47" s="13"/>
    </row>
    <row r="48" spans="1:23" ht="15" customHeight="1" x14ac:dyDescent="0.25">
      <c r="A48" s="49"/>
      <c r="B48" s="51"/>
      <c r="C48" s="7"/>
      <c r="D48" s="7"/>
      <c r="E48" s="5" t="s">
        <v>15</v>
      </c>
      <c r="F48" s="12">
        <f ca="1">IF(COUNTIF(OFFSET(Таблица6[[#Headers],[''Б/К]],1,0):OFFSET($C42, -1, 0),"=К")=0,IF(COUNTIF(OFFSET(Таблица6[[#Headers],[''Б/К]],1,0):OFFSET($C42, -1, 0),"=Б")=0,"",0),COUNTIF(OFFSET(Таблица6[[#Headers],[''Б/К]],1,0):OFFSET($C42, -1, 0),"=К"))</f>
        <v>16</v>
      </c>
      <c r="G48" s="34"/>
      <c r="H48" s="40" t="s">
        <v>16</v>
      </c>
      <c r="I48" s="41"/>
      <c r="J48" s="41"/>
      <c r="K48" s="41"/>
      <c r="L48" s="41"/>
      <c r="M48" s="41"/>
      <c r="N48" s="40"/>
      <c r="O48" s="42" t="s">
        <v>47</v>
      </c>
      <c r="P48" s="25"/>
      <c r="Q48" s="26"/>
      <c r="R48" s="25"/>
      <c r="S48" s="7"/>
      <c r="T48" s="7"/>
      <c r="U48" s="7"/>
      <c r="V48" s="51"/>
      <c r="W48" s="13"/>
    </row>
    <row r="49" spans="1:23" ht="15" customHeight="1" x14ac:dyDescent="0.25">
      <c r="A49" s="49"/>
      <c r="B49" s="51"/>
      <c r="C49" s="7"/>
      <c r="D49" s="7"/>
      <c r="E49" s="5" t="s">
        <v>17</v>
      </c>
      <c r="F49" s="29">
        <v>3</v>
      </c>
      <c r="G49" s="34"/>
      <c r="H49" s="36"/>
      <c r="I49" s="36"/>
      <c r="J49" s="36"/>
      <c r="K49" s="36"/>
      <c r="L49" s="36"/>
      <c r="M49" s="36"/>
      <c r="N49" s="36"/>
      <c r="O49" s="36"/>
      <c r="P49" s="7"/>
      <c r="Q49" s="7"/>
      <c r="R49" s="7"/>
      <c r="S49" s="7"/>
      <c r="T49" s="7"/>
      <c r="U49" s="7"/>
      <c r="V49" s="51"/>
      <c r="W49" s="13"/>
    </row>
    <row r="50" spans="1:23" ht="15" customHeight="1" x14ac:dyDescent="0.25">
      <c r="A50" s="49"/>
      <c r="B50" s="51"/>
      <c r="C50" s="7"/>
      <c r="D50" s="7"/>
      <c r="E50" s="5" t="s">
        <v>18</v>
      </c>
      <c r="F50" s="12">
        <f ca="1">IF(F47="","",IF(ROUNDDOWN(F47/100*40,0)&lt;F47-U42,ROUNDDOWN(F47/100*40,0),F47-U42))</f>
        <v>5</v>
      </c>
      <c r="G50" s="34"/>
      <c r="H50" s="42" t="s">
        <v>48</v>
      </c>
      <c r="I50" s="41"/>
      <c r="J50" s="41"/>
      <c r="K50" s="41"/>
      <c r="L50" s="41"/>
      <c r="M50" s="41"/>
      <c r="N50" s="40"/>
      <c r="O50" s="42" t="s">
        <v>19</v>
      </c>
      <c r="P50" s="26"/>
      <c r="Q50" s="26"/>
      <c r="R50" s="26"/>
      <c r="S50" s="7"/>
      <c r="T50" s="7"/>
      <c r="U50" s="7"/>
      <c r="V50" s="51"/>
      <c r="W50" s="13"/>
    </row>
    <row r="51" spans="1:23" ht="12" customHeight="1" thickBot="1" x14ac:dyDescent="0.3">
      <c r="A51" s="49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13"/>
    </row>
    <row r="52" spans="1:23" ht="12" customHeight="1" x14ac:dyDescent="0.25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</row>
  </sheetData>
  <sheetProtection formatCells="0" insertColumns="0" insertRows="0" deleteColumns="0" deleteRows="0" sort="0"/>
  <mergeCells count="17">
    <mergeCell ref="B52:V52"/>
    <mergeCell ref="V3:V50"/>
    <mergeCell ref="B1:V1"/>
    <mergeCell ref="A2:A51"/>
    <mergeCell ref="B2:V2"/>
    <mergeCell ref="B3:B50"/>
    <mergeCell ref="C3:T3"/>
    <mergeCell ref="C4:T4"/>
    <mergeCell ref="C5:T5"/>
    <mergeCell ref="C6:T6"/>
    <mergeCell ref="C7:T7"/>
    <mergeCell ref="C8:T8"/>
    <mergeCell ref="C9:C10"/>
    <mergeCell ref="D9:D10"/>
    <mergeCell ref="E9:E10"/>
    <mergeCell ref="F9:T9"/>
    <mergeCell ref="B51:V51"/>
  </mergeCells>
  <phoneticPr fontId="8" type="noConversion"/>
  <conditionalFormatting sqref="C41 E41:S41">
    <cfRule type="expression" dxfId="15" priority="4">
      <formula>$V$41&lt;&gt;""</formula>
    </cfRule>
  </conditionalFormatting>
  <conditionalFormatting sqref="D41 C12:S40">
    <cfRule type="expression" dxfId="14" priority="3">
      <formula>$V$12&lt;&gt;""</formula>
    </cfRule>
  </conditionalFormatting>
  <conditionalFormatting sqref="T12:U41">
    <cfRule type="expression" dxfId="13" priority="38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R31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1" width="11.28515625" style="1" customWidth="1"/>
    <col min="22" max="22" width="11.28515625" style="1" hidden="1" customWidth="1"/>
    <col min="23" max="24" width="2.7109375" style="1" customWidth="1"/>
    <col min="25" max="30" width="14.42578125" style="1" hidden="1" customWidth="1"/>
    <col min="31" max="31" width="14.85546875" style="1" hidden="1" customWidth="1"/>
    <col min="32" max="45" width="3.7109375" style="1" hidden="1" customWidth="1"/>
    <col min="46" max="70" width="5.7109375" style="1" hidden="1" customWidth="1"/>
    <col min="71" max="16384" width="14.42578125" style="1" hidden="1"/>
  </cols>
  <sheetData>
    <row r="1" spans="1:24" ht="12" customHeight="1" thickBot="1" x14ac:dyDescent="0.3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4" ht="12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13"/>
    </row>
    <row r="3" spans="1:24" s="2" customFormat="1" ht="35.1" customHeight="1" x14ac:dyDescent="0.3">
      <c r="A3" s="49"/>
      <c r="B3" s="51"/>
      <c r="C3" s="52" t="s">
        <v>26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47"/>
      <c r="W3" s="51"/>
      <c r="X3" s="13"/>
    </row>
    <row r="4" spans="1:24" s="2" customFormat="1" ht="15" customHeight="1" x14ac:dyDescent="0.25">
      <c r="A4" s="49"/>
      <c r="B4" s="51"/>
      <c r="C4" s="51" t="s">
        <v>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46"/>
      <c r="W4" s="51"/>
      <c r="X4" s="13"/>
    </row>
    <row r="5" spans="1:24" s="3" customFormat="1" ht="15" customHeight="1" x14ac:dyDescent="0.25">
      <c r="A5" s="49"/>
      <c r="B5" s="51"/>
      <c r="C5" s="54" t="s">
        <v>103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48"/>
      <c r="W5" s="51"/>
      <c r="X5" s="13"/>
    </row>
    <row r="6" spans="1:24" s="2" customFormat="1" ht="15" customHeight="1" x14ac:dyDescent="0.25">
      <c r="A6" s="49"/>
      <c r="B6" s="51"/>
      <c r="C6" s="55" t="s">
        <v>49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46"/>
      <c r="W6" s="51"/>
      <c r="X6" s="13"/>
    </row>
    <row r="7" spans="1:24" s="2" customFormat="1" ht="15" customHeight="1" x14ac:dyDescent="0.25">
      <c r="A7" s="49"/>
      <c r="B7" s="51"/>
      <c r="C7" s="55" t="s">
        <v>50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46"/>
      <c r="W7" s="51"/>
      <c r="X7" s="13"/>
    </row>
    <row r="8" spans="1:24" s="2" customFormat="1" ht="15" customHeight="1" x14ac:dyDescent="0.25">
      <c r="A8" s="49"/>
      <c r="B8" s="51"/>
      <c r="C8" s="55" t="s">
        <v>51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46"/>
      <c r="W8" s="51"/>
      <c r="X8" s="13"/>
    </row>
    <row r="9" spans="1:24" ht="15" customHeight="1" x14ac:dyDescent="0.25">
      <c r="A9" s="49"/>
      <c r="B9" s="51"/>
      <c r="C9" s="56" t="s">
        <v>1</v>
      </c>
      <c r="D9" s="58" t="s">
        <v>2</v>
      </c>
      <c r="E9" s="58" t="s">
        <v>3</v>
      </c>
      <c r="F9" s="57" t="s">
        <v>25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5"/>
      <c r="W9" s="51"/>
      <c r="X9" s="13"/>
    </row>
    <row r="10" spans="1:24" ht="125.1" customHeight="1" x14ac:dyDescent="0.25">
      <c r="A10" s="49"/>
      <c r="B10" s="51"/>
      <c r="C10" s="57"/>
      <c r="D10" s="57"/>
      <c r="E10" s="57"/>
      <c r="F10" s="43" t="s">
        <v>4</v>
      </c>
      <c r="G10" s="43" t="s">
        <v>5</v>
      </c>
      <c r="H10" s="43" t="s">
        <v>6</v>
      </c>
      <c r="I10" s="43" t="s">
        <v>21</v>
      </c>
      <c r="J10" s="43" t="s">
        <v>32</v>
      </c>
      <c r="K10" s="43" t="s">
        <v>22</v>
      </c>
      <c r="L10" s="43" t="s">
        <v>54</v>
      </c>
      <c r="M10" s="43" t="s">
        <v>7</v>
      </c>
      <c r="N10" s="43" t="s">
        <v>55</v>
      </c>
      <c r="O10" s="43" t="s">
        <v>23</v>
      </c>
      <c r="P10" s="43" t="s">
        <v>24</v>
      </c>
      <c r="Q10" s="43" t="s">
        <v>31</v>
      </c>
      <c r="R10" s="43" t="s">
        <v>56</v>
      </c>
      <c r="S10" s="43" t="s">
        <v>57</v>
      </c>
      <c r="T10" s="4" t="s">
        <v>8</v>
      </c>
      <c r="U10" s="4" t="s">
        <v>102</v>
      </c>
      <c r="V10" s="20"/>
      <c r="W10" s="51"/>
      <c r="X10" s="13"/>
    </row>
    <row r="11" spans="1:24" ht="50.1" hidden="1" customHeight="1" x14ac:dyDescent="0.25">
      <c r="A11" s="49"/>
      <c r="B11" s="51"/>
      <c r="C11" s="15" t="s">
        <v>28</v>
      </c>
      <c r="D11" s="14" t="s">
        <v>29</v>
      </c>
      <c r="E11" s="16" t="s">
        <v>3</v>
      </c>
      <c r="F11" s="17" t="s">
        <v>33</v>
      </c>
      <c r="G11" s="17" t="s">
        <v>34</v>
      </c>
      <c r="H11" s="17" t="s">
        <v>35</v>
      </c>
      <c r="I11" s="17" t="s">
        <v>37</v>
      </c>
      <c r="J11" s="17" t="s">
        <v>36</v>
      </c>
      <c r="K11" s="17" t="s">
        <v>38</v>
      </c>
      <c r="L11" s="17" t="s">
        <v>39</v>
      </c>
      <c r="M11" s="17" t="s">
        <v>40</v>
      </c>
      <c r="N11" s="17" t="s">
        <v>41</v>
      </c>
      <c r="O11" s="17" t="s">
        <v>42</v>
      </c>
      <c r="P11" s="17" t="s">
        <v>43</v>
      </c>
      <c r="Q11" s="17" t="s">
        <v>44</v>
      </c>
      <c r="R11" s="17" t="s">
        <v>45</v>
      </c>
      <c r="S11" s="17" t="s">
        <v>46</v>
      </c>
      <c r="T11" s="18" t="s">
        <v>27</v>
      </c>
      <c r="U11" s="18" t="s">
        <v>101</v>
      </c>
      <c r="V11" s="21" t="s">
        <v>30</v>
      </c>
      <c r="W11" s="51"/>
      <c r="X11" s="13"/>
    </row>
    <row r="12" spans="1:24" ht="15" customHeight="1" x14ac:dyDescent="0.25">
      <c r="A12" s="49"/>
      <c r="B12" s="51"/>
      <c r="C12" s="63" t="s">
        <v>89</v>
      </c>
      <c r="D12" s="64">
        <f ca="1">OFFSET(D12,-1,0)+1</f>
        <v>1</v>
      </c>
      <c r="E12" s="65" t="s">
        <v>64</v>
      </c>
      <c r="F12" s="66">
        <v>10</v>
      </c>
      <c r="G12" s="66">
        <v>10</v>
      </c>
      <c r="H12" s="66">
        <v>10</v>
      </c>
      <c r="I12" s="66">
        <v>11</v>
      </c>
      <c r="J12" s="66">
        <v>11</v>
      </c>
      <c r="K12" s="66">
        <v>11</v>
      </c>
      <c r="L12" s="66">
        <v>10</v>
      </c>
      <c r="M12" s="66">
        <v>9</v>
      </c>
      <c r="N12" s="66">
        <v>10</v>
      </c>
      <c r="O12" s="66">
        <v>11</v>
      </c>
      <c r="P12" s="66">
        <v>10</v>
      </c>
      <c r="Q12" s="66">
        <v>9</v>
      </c>
      <c r="R12" s="66">
        <v>10</v>
      </c>
      <c r="S12" s="66">
        <v>9</v>
      </c>
      <c r="T12" s="67">
        <f ca="1">IF(COUNTIF(OFFSET(Таблица64[[#This Row],[Прізвище, ім’я, по батькові]],0,1):OFFSET(T12,0,-1),"=*")&gt;0,"-",IF(COUNTIF(OFFSET(Таблица64[[#This Row],[Прізвище, ім’я, по батькові]],0,1):OFFSET(T12,0,-1),"&lt;4")&gt;0,"-",(IFERROR(AVERAGE(OFFSET(Таблица64[[#This Row],[Прізвище, ім’я, по батькові]],0,1):OFFSET(T12,0,-1)),""))))</f>
        <v>10.071428571428571</v>
      </c>
      <c r="U12" s="67">
        <f ca="1">Таблица64[[#This Row],[Столбец18]]/12*90</f>
        <v>75.535714285714292</v>
      </c>
      <c r="V12" s="22" t="str">
        <f ca="1">IF(Таблица64[[#This Row],[''Б/К]]="Б",IF(Таблица64[[#This Row],[Столбец182]]="-","-",""),"")</f>
        <v/>
      </c>
      <c r="W12" s="51"/>
      <c r="X12" s="13"/>
    </row>
    <row r="13" spans="1:24" ht="15" customHeight="1" x14ac:dyDescent="0.25">
      <c r="A13" s="49"/>
      <c r="B13" s="51"/>
      <c r="C13" s="63" t="s">
        <v>89</v>
      </c>
      <c r="D13" s="64">
        <f ca="1">OFFSET(D13,-1,0)+1</f>
        <v>2</v>
      </c>
      <c r="E13" s="65" t="s">
        <v>66</v>
      </c>
      <c r="F13" s="66">
        <v>10</v>
      </c>
      <c r="G13" s="66">
        <v>10</v>
      </c>
      <c r="H13" s="66">
        <v>10</v>
      </c>
      <c r="I13" s="66">
        <v>10</v>
      </c>
      <c r="J13" s="66">
        <v>11</v>
      </c>
      <c r="K13" s="66">
        <v>11</v>
      </c>
      <c r="L13" s="66">
        <v>10</v>
      </c>
      <c r="M13" s="66">
        <v>9</v>
      </c>
      <c r="N13" s="66">
        <v>10</v>
      </c>
      <c r="O13" s="66">
        <v>11</v>
      </c>
      <c r="P13" s="66">
        <v>10</v>
      </c>
      <c r="Q13" s="66">
        <v>9</v>
      </c>
      <c r="R13" s="66">
        <v>10</v>
      </c>
      <c r="S13" s="66">
        <v>9</v>
      </c>
      <c r="T13" s="67">
        <f ca="1">IF(COUNTIF(OFFSET(Таблица64[[#This Row],[Прізвище, ім’я, по батькові]],0,1):OFFSET(T13,0,-1),"=*")&gt;0,"-",IF(COUNTIF(OFFSET(Таблица64[[#This Row],[Прізвище, ім’я, по батькові]],0,1):OFFSET(T13,0,-1),"&lt;4")&gt;0,"-",(IFERROR(AVERAGE(OFFSET(Таблица64[[#This Row],[Прізвище, ім’я, по батькові]],0,1):OFFSET(T13,0,-1)),""))))</f>
        <v>10</v>
      </c>
      <c r="U13" s="67">
        <f ca="1">Таблица64[[#This Row],[Столбец18]]/12*90</f>
        <v>75</v>
      </c>
      <c r="V13" s="22" t="str">
        <f ca="1">IF(Таблица64[[#This Row],[''Б/К]]="Б",IF(Таблица64[[#This Row],[Столбец182]]="-","-",""),"")</f>
        <v/>
      </c>
      <c r="W13" s="51"/>
      <c r="X13" s="13"/>
    </row>
    <row r="14" spans="1:24" ht="15" customHeight="1" x14ac:dyDescent="0.25">
      <c r="A14" s="49"/>
      <c r="B14" s="51"/>
      <c r="C14" s="63" t="s">
        <v>89</v>
      </c>
      <c r="D14" s="64">
        <f ca="1">OFFSET(D14,-1,0)+1</f>
        <v>3</v>
      </c>
      <c r="E14" s="65" t="s">
        <v>71</v>
      </c>
      <c r="F14" s="66">
        <v>10</v>
      </c>
      <c r="G14" s="66">
        <v>10</v>
      </c>
      <c r="H14" s="66">
        <v>10</v>
      </c>
      <c r="I14" s="66">
        <v>10</v>
      </c>
      <c r="J14" s="66">
        <v>10</v>
      </c>
      <c r="K14" s="66">
        <v>10</v>
      </c>
      <c r="L14" s="66">
        <v>10</v>
      </c>
      <c r="M14" s="66">
        <v>10</v>
      </c>
      <c r="N14" s="66">
        <v>10</v>
      </c>
      <c r="O14" s="66">
        <v>10</v>
      </c>
      <c r="P14" s="66">
        <v>10</v>
      </c>
      <c r="Q14" s="66">
        <v>9</v>
      </c>
      <c r="R14" s="66">
        <v>10</v>
      </c>
      <c r="S14" s="66">
        <v>9</v>
      </c>
      <c r="T14" s="67">
        <f ca="1">IF(COUNTIF(OFFSET(Таблица64[[#This Row],[Прізвище, ім’я, по батькові]],0,1):OFFSET(T14,0,-1),"=*")&gt;0,"-",IF(COUNTIF(OFFSET(Таблица64[[#This Row],[Прізвище, ім’я, по батькові]],0,1):OFFSET(T14,0,-1),"&lt;4")&gt;0,"-",(IFERROR(AVERAGE(OFFSET(Таблица64[[#This Row],[Прізвище, ім’я, по батькові]],0,1):OFFSET(T14,0,-1)),""))))</f>
        <v>9.8571428571428577</v>
      </c>
      <c r="U14" s="67">
        <f ca="1">Таблица64[[#This Row],[Столбец18]]/12*90</f>
        <v>73.928571428571431</v>
      </c>
      <c r="V14" s="22" t="str">
        <f ca="1">IF(Таблица64[[#This Row],[''Б/К]]="Б",IF(Таблица64[[#This Row],[Столбец182]]="-","-",""),"")</f>
        <v/>
      </c>
      <c r="W14" s="51"/>
      <c r="X14" s="13"/>
    </row>
    <row r="15" spans="1:24" ht="15" customHeight="1" x14ac:dyDescent="0.25">
      <c r="A15" s="49"/>
      <c r="B15" s="51"/>
      <c r="C15" s="63" t="s">
        <v>89</v>
      </c>
      <c r="D15" s="64">
        <f ca="1">OFFSET(D15,-1,0)+1</f>
        <v>4</v>
      </c>
      <c r="E15" s="65" t="s">
        <v>63</v>
      </c>
      <c r="F15" s="66">
        <v>10</v>
      </c>
      <c r="G15" s="66">
        <v>10</v>
      </c>
      <c r="H15" s="66">
        <v>10</v>
      </c>
      <c r="I15" s="66">
        <v>10</v>
      </c>
      <c r="J15" s="66">
        <v>10</v>
      </c>
      <c r="K15" s="66">
        <v>10</v>
      </c>
      <c r="L15" s="66">
        <v>10</v>
      </c>
      <c r="M15" s="66">
        <v>10</v>
      </c>
      <c r="N15" s="66">
        <v>10</v>
      </c>
      <c r="O15" s="66">
        <v>10</v>
      </c>
      <c r="P15" s="66">
        <v>9</v>
      </c>
      <c r="Q15" s="66">
        <v>9</v>
      </c>
      <c r="R15" s="66">
        <v>10</v>
      </c>
      <c r="S15" s="66">
        <v>9</v>
      </c>
      <c r="T15" s="67">
        <f ca="1">IF(COUNTIF(OFFSET(Таблица64[[#This Row],[Прізвище, ім’я, по батькові]],0,1):OFFSET(T15,0,-1),"=*")&gt;0,"-",IF(COUNTIF(OFFSET(Таблица64[[#This Row],[Прізвище, ім’я, по батькові]],0,1):OFFSET(T15,0,-1),"&lt;4")&gt;0,"-",(IFERROR(AVERAGE(OFFSET(Таблица64[[#This Row],[Прізвище, ім’я, по батькові]],0,1):OFFSET(T15,0,-1)),""))))</f>
        <v>9.7857142857142865</v>
      </c>
      <c r="U15" s="67">
        <f ca="1">Таблица64[[#This Row],[Столбец18]]/12*90</f>
        <v>73.392857142857153</v>
      </c>
      <c r="V15" s="22" t="str">
        <f ca="1">IF(Таблица64[[#This Row],[''Б/К]]="Б",IF(Таблица64[[#This Row],[Столбец182]]="-","-",""),"")</f>
        <v/>
      </c>
      <c r="W15" s="51"/>
      <c r="X15" s="13"/>
    </row>
    <row r="16" spans="1:24" ht="15" customHeight="1" x14ac:dyDescent="0.25">
      <c r="A16" s="49"/>
      <c r="B16" s="51"/>
      <c r="C16" s="63" t="s">
        <v>89</v>
      </c>
      <c r="D16" s="64">
        <f ca="1">OFFSET(D16,-1,0)+1</f>
        <v>5</v>
      </c>
      <c r="E16" s="65" t="s">
        <v>76</v>
      </c>
      <c r="F16" s="66">
        <v>10</v>
      </c>
      <c r="G16" s="66">
        <v>9</v>
      </c>
      <c r="H16" s="66">
        <v>10</v>
      </c>
      <c r="I16" s="66">
        <v>10</v>
      </c>
      <c r="J16" s="66">
        <v>11</v>
      </c>
      <c r="K16" s="66">
        <v>8</v>
      </c>
      <c r="L16" s="66">
        <v>11</v>
      </c>
      <c r="M16" s="66">
        <v>8</v>
      </c>
      <c r="N16" s="66">
        <v>10</v>
      </c>
      <c r="O16" s="66">
        <v>10</v>
      </c>
      <c r="P16" s="66">
        <v>10</v>
      </c>
      <c r="Q16" s="66">
        <v>8</v>
      </c>
      <c r="R16" s="66">
        <v>10</v>
      </c>
      <c r="S16" s="66">
        <v>9</v>
      </c>
      <c r="T16" s="67">
        <f ca="1">IF(COUNTIF(OFFSET(Таблица64[[#This Row],[Прізвище, ім’я, по батькові]],0,1):OFFSET(T16,0,-1),"=*")&gt;0,"-",IF(COUNTIF(OFFSET(Таблица64[[#This Row],[Прізвище, ім’я, по батькові]],0,1):OFFSET(T16,0,-1),"&lt;4")&gt;0,"-",(IFERROR(AVERAGE(OFFSET(Таблица64[[#This Row],[Прізвище, ім’я, по батькові]],0,1):OFFSET(T16,0,-1)),""))))</f>
        <v>9.5714285714285712</v>
      </c>
      <c r="U16" s="67">
        <f ca="1">Таблица64[[#This Row],[Столбец18]]/12*90</f>
        <v>71.785714285714278</v>
      </c>
      <c r="V16" s="22" t="str">
        <f ca="1">IF(Таблица64[[#This Row],[''Б/К]]="Б",IF(Таблица64[[#This Row],[Столбец182]]="-","-",""),"")</f>
        <v/>
      </c>
      <c r="W16" s="51"/>
      <c r="X16" s="13"/>
    </row>
    <row r="17" spans="1:24" ht="15" customHeight="1" x14ac:dyDescent="0.25">
      <c r="A17" s="49"/>
      <c r="B17" s="51"/>
      <c r="C17" s="31" t="s">
        <v>89</v>
      </c>
      <c r="D17" s="32">
        <f ca="1">OFFSET(D17,-1,0)+1</f>
        <v>6</v>
      </c>
      <c r="E17" s="30" t="s">
        <v>60</v>
      </c>
      <c r="F17" s="6">
        <v>9</v>
      </c>
      <c r="G17" s="6">
        <v>10</v>
      </c>
      <c r="H17" s="6">
        <v>9</v>
      </c>
      <c r="I17" s="6">
        <v>10</v>
      </c>
      <c r="J17" s="6">
        <v>9</v>
      </c>
      <c r="K17" s="6">
        <v>7</v>
      </c>
      <c r="L17" s="6">
        <v>8</v>
      </c>
      <c r="M17" s="6">
        <v>8</v>
      </c>
      <c r="N17" s="6">
        <v>7</v>
      </c>
      <c r="O17" s="6">
        <v>9</v>
      </c>
      <c r="P17" s="6">
        <v>8</v>
      </c>
      <c r="Q17" s="6">
        <v>7</v>
      </c>
      <c r="R17" s="6">
        <v>8</v>
      </c>
      <c r="S17" s="6">
        <v>7</v>
      </c>
      <c r="T17" s="62">
        <f ca="1">IF(COUNTIF(OFFSET(Таблица64[[#This Row],[Прізвище, ім’я, по батькові]],0,1):OFFSET(T17,0,-1),"=*")&gt;0,"-",IF(COUNTIF(OFFSET(Таблица64[[#This Row],[Прізвище, ім’я, по батькові]],0,1):OFFSET(T17,0,-1),"&lt;4")&gt;0,"-",(IFERROR(AVERAGE(OFFSET(Таблица64[[#This Row],[Прізвище, ім’я, по батькові]],0,1):OFFSET(T17,0,-1)),""))))</f>
        <v>8.2857142857142865</v>
      </c>
      <c r="U17" s="62">
        <f ca="1">Таблица64[[#This Row],[Столбец18]]/12*90</f>
        <v>62.142857142857153</v>
      </c>
      <c r="V17" s="22" t="str">
        <f ca="1">IF(Таблица64[[#This Row],[''Б/К]]="Б",IF(Таблица64[[#This Row],[Столбец182]]="-","-",""),"")</f>
        <v/>
      </c>
      <c r="W17" s="51"/>
      <c r="X17" s="13"/>
    </row>
    <row r="18" spans="1:24" ht="15" customHeight="1" x14ac:dyDescent="0.25">
      <c r="A18" s="49"/>
      <c r="B18" s="51"/>
      <c r="C18" s="31" t="s">
        <v>89</v>
      </c>
      <c r="D18" s="32">
        <f ca="1">OFFSET(D18,-1,0)+1</f>
        <v>7</v>
      </c>
      <c r="E18" s="30" t="s">
        <v>86</v>
      </c>
      <c r="F18" s="6">
        <v>9</v>
      </c>
      <c r="G18" s="6">
        <v>9</v>
      </c>
      <c r="H18" s="6">
        <v>9</v>
      </c>
      <c r="I18" s="6">
        <v>10</v>
      </c>
      <c r="J18" s="6">
        <v>6</v>
      </c>
      <c r="K18" s="6">
        <v>7</v>
      </c>
      <c r="L18" s="6">
        <v>9</v>
      </c>
      <c r="M18" s="6">
        <v>7</v>
      </c>
      <c r="N18" s="6">
        <v>8</v>
      </c>
      <c r="O18" s="6">
        <v>8</v>
      </c>
      <c r="P18" s="6">
        <v>7</v>
      </c>
      <c r="Q18" s="6">
        <v>7</v>
      </c>
      <c r="R18" s="6">
        <v>9</v>
      </c>
      <c r="S18" s="6">
        <v>8</v>
      </c>
      <c r="T18" s="62">
        <f ca="1">IF(COUNTIF(OFFSET(Таблица64[[#This Row],[Прізвище, ім’я, по батькові]],0,1):OFFSET(T18,0,-1),"=*")&gt;0,"-",IF(COUNTIF(OFFSET(Таблица64[[#This Row],[Прізвище, ім’я, по батькові]],0,1):OFFSET(T18,0,-1),"&lt;4")&gt;0,"-",(IFERROR(AVERAGE(OFFSET(Таблица64[[#This Row],[Прізвище, ім’я, по батькові]],0,1):OFFSET(T18,0,-1)),""))))</f>
        <v>8.0714285714285712</v>
      </c>
      <c r="U18" s="62">
        <f ca="1">Таблица64[[#This Row],[Столбец18]]/12*90</f>
        <v>60.535714285714278</v>
      </c>
      <c r="V18" s="22" t="str">
        <f ca="1">IF(Таблица64[[#This Row],[''Б/К]]="Б",IF(Таблица64[[#This Row],[Столбец182]]="-","-",""),"")</f>
        <v/>
      </c>
      <c r="W18" s="51"/>
      <c r="X18" s="13"/>
    </row>
    <row r="19" spans="1:24" ht="15" customHeight="1" x14ac:dyDescent="0.25">
      <c r="A19" s="49"/>
      <c r="B19" s="51"/>
      <c r="C19" s="31" t="s">
        <v>89</v>
      </c>
      <c r="D19" s="32">
        <f ca="1">OFFSET(D19,-1,0)+1</f>
        <v>8</v>
      </c>
      <c r="E19" s="30" t="s">
        <v>83</v>
      </c>
      <c r="F19" s="6">
        <v>8</v>
      </c>
      <c r="G19" s="6">
        <v>9</v>
      </c>
      <c r="H19" s="6">
        <v>9</v>
      </c>
      <c r="I19" s="6">
        <v>9</v>
      </c>
      <c r="J19" s="6">
        <v>8</v>
      </c>
      <c r="K19" s="6">
        <v>8</v>
      </c>
      <c r="L19" s="6">
        <v>7</v>
      </c>
      <c r="M19" s="6">
        <v>8</v>
      </c>
      <c r="N19" s="6">
        <v>6</v>
      </c>
      <c r="O19" s="6">
        <v>8</v>
      </c>
      <c r="P19" s="6">
        <v>8</v>
      </c>
      <c r="Q19" s="6">
        <v>5</v>
      </c>
      <c r="R19" s="6">
        <v>8</v>
      </c>
      <c r="S19" s="6">
        <v>8</v>
      </c>
      <c r="T19" s="62">
        <f ca="1">IF(COUNTIF(OFFSET(Таблица64[[#This Row],[Прізвище, ім’я, по батькові]],0,1):OFFSET(T19,0,-1),"=*")&gt;0,"-",IF(COUNTIF(OFFSET(Таблица64[[#This Row],[Прізвище, ім’я, по батькові]],0,1):OFFSET(T19,0,-1),"&lt;4")&gt;0,"-",(IFERROR(AVERAGE(OFFSET(Таблица64[[#This Row],[Прізвище, ім’я, по батькові]],0,1):OFFSET(T19,0,-1)),""))))</f>
        <v>7.7857142857142856</v>
      </c>
      <c r="U19" s="62">
        <f ca="1">Таблица64[[#This Row],[Столбец18]]/12*90</f>
        <v>58.392857142857146</v>
      </c>
      <c r="V19" s="22" t="str">
        <f ca="1">IF(Таблица64[[#This Row],[''Б/К]]="Б",IF(Таблица64[[#This Row],[Столбец182]]="-","-",""),"")</f>
        <v/>
      </c>
      <c r="W19" s="51"/>
      <c r="X19" s="13"/>
    </row>
    <row r="20" spans="1:24" ht="15" customHeight="1" x14ac:dyDescent="0.25">
      <c r="A20" s="49"/>
      <c r="B20" s="51"/>
      <c r="C20" s="31" t="s">
        <v>89</v>
      </c>
      <c r="D20" s="32">
        <f ca="1">OFFSET(D20,-1,0)+1</f>
        <v>9</v>
      </c>
      <c r="E20" s="30" t="s">
        <v>73</v>
      </c>
      <c r="F20" s="6">
        <v>8</v>
      </c>
      <c r="G20" s="6">
        <v>8</v>
      </c>
      <c r="H20" s="6">
        <v>8</v>
      </c>
      <c r="I20" s="6">
        <v>9</v>
      </c>
      <c r="J20" s="6">
        <v>9</v>
      </c>
      <c r="K20" s="6">
        <v>6</v>
      </c>
      <c r="L20" s="6">
        <v>6</v>
      </c>
      <c r="M20" s="6">
        <v>7</v>
      </c>
      <c r="N20" s="6">
        <v>5</v>
      </c>
      <c r="O20" s="6">
        <v>7</v>
      </c>
      <c r="P20" s="6">
        <v>6</v>
      </c>
      <c r="Q20" s="6">
        <v>6</v>
      </c>
      <c r="R20" s="6">
        <v>9</v>
      </c>
      <c r="S20" s="6">
        <v>6</v>
      </c>
      <c r="T20" s="62">
        <f ca="1">IF(COUNTIF(OFFSET(Таблица64[[#This Row],[Прізвище, ім’я, по батькові]],0,1):OFFSET(T20,0,-1),"=*")&gt;0,"-",IF(COUNTIF(OFFSET(Таблица64[[#This Row],[Прізвище, ім’я, по батькові]],0,1):OFFSET(T20,0,-1),"&lt;4")&gt;0,"-",(IFERROR(AVERAGE(OFFSET(Таблица64[[#This Row],[Прізвище, ім’я, по батькові]],0,1):OFFSET(T20,0,-1)),""))))</f>
        <v>7.1428571428571432</v>
      </c>
      <c r="U20" s="62">
        <f ca="1">Таблица64[[#This Row],[Столбец18]]/12*90</f>
        <v>53.571428571428569</v>
      </c>
      <c r="V20" s="22" t="str">
        <f ca="1">IF(Таблица64[[#This Row],[''Б/К]]="Б",IF(Таблица64[[#This Row],[Столбец182]]="-","-",""),"")</f>
        <v/>
      </c>
      <c r="W20" s="51"/>
      <c r="X20" s="13"/>
    </row>
    <row r="21" spans="1:24" ht="15" customHeight="1" x14ac:dyDescent="0.25">
      <c r="A21" s="49"/>
      <c r="B21" s="51"/>
      <c r="C21" s="31" t="s">
        <v>89</v>
      </c>
      <c r="D21" s="32">
        <f ca="1">OFFSET(D21,-1,0)+1</f>
        <v>10</v>
      </c>
      <c r="E21" s="30" t="s">
        <v>80</v>
      </c>
      <c r="F21" s="6">
        <v>8</v>
      </c>
      <c r="G21" s="6">
        <v>10</v>
      </c>
      <c r="H21" s="6">
        <v>9</v>
      </c>
      <c r="I21" s="6">
        <v>9</v>
      </c>
      <c r="J21" s="6">
        <v>8</v>
      </c>
      <c r="K21" s="6">
        <v>7</v>
      </c>
      <c r="L21" s="6">
        <v>5</v>
      </c>
      <c r="M21" s="6">
        <v>6</v>
      </c>
      <c r="N21" s="6">
        <v>5</v>
      </c>
      <c r="O21" s="6">
        <v>7</v>
      </c>
      <c r="P21" s="6">
        <v>7</v>
      </c>
      <c r="Q21" s="6">
        <v>5</v>
      </c>
      <c r="R21" s="6">
        <v>8</v>
      </c>
      <c r="S21" s="6">
        <v>6</v>
      </c>
      <c r="T21" s="62">
        <f ca="1">IF(COUNTIF(OFFSET(Таблица64[[#This Row],[Прізвище, ім’я, по батькові]],0,1):OFFSET(T21,0,-1),"=*")&gt;0,"-",IF(COUNTIF(OFFSET(Таблица64[[#This Row],[Прізвище, ім’я, по батькові]],0,1):OFFSET(T21,0,-1),"&lt;4")&gt;0,"-",(IFERROR(AVERAGE(OFFSET(Таблица64[[#This Row],[Прізвище, ім’я, по батькові]],0,1):OFFSET(T21,0,-1)),""))))</f>
        <v>7.1428571428571432</v>
      </c>
      <c r="U21" s="62">
        <f ca="1">Таблица64[[#This Row],[Столбец18]]/12*90</f>
        <v>53.571428571428569</v>
      </c>
      <c r="V21" s="22" t="str">
        <f ca="1">IF(Таблица64[[#This Row],[''Б/К]]="Б",IF(Таблица64[[#This Row],[Столбец182]]="-","-",""),"")</f>
        <v/>
      </c>
      <c r="W21" s="51"/>
      <c r="X21" s="13"/>
    </row>
    <row r="22" spans="1:24" ht="15" customHeight="1" x14ac:dyDescent="0.25">
      <c r="A22" s="49"/>
      <c r="B22" s="51"/>
      <c r="C22" s="31" t="s">
        <v>89</v>
      </c>
      <c r="D22" s="32">
        <f ca="1">OFFSET(D22,-1,0)+1</f>
        <v>11</v>
      </c>
      <c r="E22" s="30" t="s">
        <v>87</v>
      </c>
      <c r="F22" s="6">
        <v>8</v>
      </c>
      <c r="G22" s="6">
        <v>9</v>
      </c>
      <c r="H22" s="6">
        <v>8</v>
      </c>
      <c r="I22" s="6">
        <v>9</v>
      </c>
      <c r="J22" s="6">
        <v>4</v>
      </c>
      <c r="K22" s="6">
        <v>4</v>
      </c>
      <c r="L22" s="6">
        <v>4</v>
      </c>
      <c r="M22" s="6">
        <v>6</v>
      </c>
      <c r="N22" s="6">
        <v>4</v>
      </c>
      <c r="O22" s="6">
        <v>7</v>
      </c>
      <c r="P22" s="6">
        <v>8</v>
      </c>
      <c r="Q22" s="6">
        <v>4</v>
      </c>
      <c r="R22" s="6">
        <v>8</v>
      </c>
      <c r="S22" s="6">
        <v>5</v>
      </c>
      <c r="T22" s="62">
        <f ca="1">IF(COUNTIF(OFFSET(Таблица64[[#This Row],[Прізвище, ім’я, по батькові]],0,1):OFFSET(T22,0,-1),"=*")&gt;0,"-",IF(COUNTIF(OFFSET(Таблица64[[#This Row],[Прізвище, ім’я, по батькові]],0,1):OFFSET(T22,0,-1),"&lt;4")&gt;0,"-",(IFERROR(AVERAGE(OFFSET(Таблица64[[#This Row],[Прізвище, ім’я, по батькові]],0,1):OFFSET(T22,0,-1)),""))))</f>
        <v>6.2857142857142856</v>
      </c>
      <c r="U22" s="62">
        <f ca="1">Таблица64[[#This Row],[Столбец18]]/12*90</f>
        <v>47.142857142857146</v>
      </c>
      <c r="V22" s="22" t="str">
        <f ca="1">IF(Таблица64[[#This Row],[''Б/К]]="Б",IF(Таблица64[[#This Row],[Столбец182]]="-","-",""),"")</f>
        <v/>
      </c>
      <c r="W22" s="51"/>
      <c r="X22" s="13"/>
    </row>
    <row r="23" spans="1:24" ht="15" customHeight="1" x14ac:dyDescent="0.25">
      <c r="A23" s="49"/>
      <c r="B23" s="51"/>
      <c r="C23" s="31" t="s">
        <v>89</v>
      </c>
      <c r="D23" s="32">
        <f ca="1">OFFSET(D23,-1,0)+1</f>
        <v>12</v>
      </c>
      <c r="E23" s="30" t="s">
        <v>79</v>
      </c>
      <c r="F23" s="6">
        <v>9</v>
      </c>
      <c r="G23" s="6">
        <v>8</v>
      </c>
      <c r="H23" s="6">
        <v>5</v>
      </c>
      <c r="I23" s="6">
        <v>9</v>
      </c>
      <c r="J23" s="6">
        <v>7</v>
      </c>
      <c r="K23" s="6">
        <v>4</v>
      </c>
      <c r="L23" s="6">
        <v>4</v>
      </c>
      <c r="M23" s="6">
        <v>6</v>
      </c>
      <c r="N23" s="6">
        <v>4</v>
      </c>
      <c r="O23" s="6">
        <v>7</v>
      </c>
      <c r="P23" s="6">
        <v>5</v>
      </c>
      <c r="Q23" s="6">
        <v>4</v>
      </c>
      <c r="R23" s="6">
        <v>8</v>
      </c>
      <c r="S23" s="6">
        <v>4</v>
      </c>
      <c r="T23" s="62">
        <f ca="1">IF(COUNTIF(OFFSET(Таблица64[[#This Row],[Прізвище, ім’я, по батькові]],0,1):OFFSET(T23,0,-1),"=*")&gt;0,"-",IF(COUNTIF(OFFSET(Таблица64[[#This Row],[Прізвище, ім’я, по батькові]],0,1):OFFSET(T23,0,-1),"&lt;4")&gt;0,"-",(IFERROR(AVERAGE(OFFSET(Таблица64[[#This Row],[Прізвище, ім’я, по батькові]],0,1):OFFSET(T23,0,-1)),""))))</f>
        <v>6</v>
      </c>
      <c r="U23" s="62">
        <f ca="1">Таблица64[[#This Row],[Столбец18]]/12*90</f>
        <v>45</v>
      </c>
      <c r="V23" s="22" t="str">
        <f ca="1">IF(Таблица64[[#This Row],[''Б/К]]="Б",IF(Таблица64[[#This Row],[Столбец182]]="-","-",""),"")</f>
        <v/>
      </c>
      <c r="W23" s="51"/>
      <c r="X23" s="13"/>
    </row>
    <row r="24" spans="1:24" ht="15" customHeight="1" x14ac:dyDescent="0.25">
      <c r="A24" s="49"/>
      <c r="B24" s="51"/>
      <c r="C24" s="31" t="s">
        <v>89</v>
      </c>
      <c r="D24" s="32">
        <f ca="1">OFFSET(D24,-1,0)+1</f>
        <v>13</v>
      </c>
      <c r="E24" s="30" t="s">
        <v>81</v>
      </c>
      <c r="F24" s="6">
        <v>6</v>
      </c>
      <c r="G24" s="6">
        <v>5</v>
      </c>
      <c r="H24" s="6">
        <v>4</v>
      </c>
      <c r="I24" s="6">
        <v>5</v>
      </c>
      <c r="J24" s="6">
        <v>4</v>
      </c>
      <c r="K24" s="6">
        <v>4</v>
      </c>
      <c r="L24" s="6">
        <v>5</v>
      </c>
      <c r="M24" s="6">
        <v>4</v>
      </c>
      <c r="N24" s="6">
        <v>7</v>
      </c>
      <c r="O24" s="6">
        <v>6</v>
      </c>
      <c r="P24" s="6">
        <v>5</v>
      </c>
      <c r="Q24" s="6">
        <v>4</v>
      </c>
      <c r="R24" s="6">
        <v>8</v>
      </c>
      <c r="S24" s="6">
        <v>6</v>
      </c>
      <c r="T24" s="62">
        <f ca="1">IF(COUNTIF(OFFSET(Таблица64[[#This Row],[Прізвище, ім’я, по батькові]],0,1):OFFSET(T24,0,-1),"=*")&gt;0,"-",IF(COUNTIF(OFFSET(Таблица64[[#This Row],[Прізвище, ім’я, по батькові]],0,1):OFFSET(T24,0,-1),"&lt;4")&gt;0,"-",(IFERROR(AVERAGE(OFFSET(Таблица64[[#This Row],[Прізвище, ім’я, по батькові]],0,1):OFFSET(T24,0,-1)),""))))</f>
        <v>5.2142857142857144</v>
      </c>
      <c r="U24" s="62">
        <f ca="1">Таблица64[[#This Row],[Столбец18]]/12*90</f>
        <v>39.107142857142861</v>
      </c>
      <c r="V24" s="22" t="str">
        <f ca="1">IF(Таблица64[[#This Row],[''Б/К]]="Б",IF(Таблица64[[#This Row],[Столбец182]]="-","-",""),"")</f>
        <v/>
      </c>
      <c r="W24" s="51"/>
      <c r="X24" s="13"/>
    </row>
    <row r="25" spans="1:24" ht="15" customHeight="1" x14ac:dyDescent="0.25">
      <c r="A25" s="49"/>
      <c r="B25" s="51"/>
      <c r="C25" s="31" t="s">
        <v>89</v>
      </c>
      <c r="D25" s="32">
        <f ca="1">OFFSET(D25,-1,0)+1</f>
        <v>14</v>
      </c>
      <c r="E25" s="30" t="s">
        <v>84</v>
      </c>
      <c r="F25" s="6">
        <v>6</v>
      </c>
      <c r="G25" s="6">
        <v>5</v>
      </c>
      <c r="H25" s="6">
        <v>4</v>
      </c>
      <c r="I25" s="6">
        <v>6</v>
      </c>
      <c r="J25" s="6">
        <v>4</v>
      </c>
      <c r="K25" s="6">
        <v>4</v>
      </c>
      <c r="L25" s="6">
        <v>4</v>
      </c>
      <c r="M25" s="6">
        <v>4</v>
      </c>
      <c r="N25" s="6">
        <v>6</v>
      </c>
      <c r="O25" s="6">
        <v>6</v>
      </c>
      <c r="P25" s="6">
        <v>5</v>
      </c>
      <c r="Q25" s="6">
        <v>4</v>
      </c>
      <c r="R25" s="6">
        <v>5</v>
      </c>
      <c r="S25" s="6">
        <v>5</v>
      </c>
      <c r="T25" s="62">
        <f ca="1">IF(COUNTIF(OFFSET(Таблица64[[#This Row],[Прізвище, ім’я, по батькові]],0,1):OFFSET(T25,0,-1),"=*")&gt;0,"-",IF(COUNTIF(OFFSET(Таблица64[[#This Row],[Прізвище, ім’я, по батькові]],0,1):OFFSET(T25,0,-1),"&lt;4")&gt;0,"-",(IFERROR(AVERAGE(OFFSET(Таблица64[[#This Row],[Прізвище, ім’я, по батькові]],0,1):OFFSET(T25,0,-1)),""))))</f>
        <v>4.8571428571428568</v>
      </c>
      <c r="U25" s="62">
        <f ca="1">Таблица64[[#This Row],[Столбец18]]/12*90</f>
        <v>36.428571428571423</v>
      </c>
      <c r="V25" s="23" t="str">
        <f ca="1">IF(Таблица64[[#This Row],[''Б/К]]="Б",IF(Таблица64[[#This Row],[Столбец182]]="-","-",""),"")</f>
        <v/>
      </c>
      <c r="W25" s="51"/>
      <c r="X25" s="13"/>
    </row>
    <row r="26" spans="1:24" ht="15" customHeight="1" x14ac:dyDescent="0.25">
      <c r="A26" s="49"/>
      <c r="B26" s="51"/>
      <c r="C26" s="45"/>
      <c r="D26" s="45"/>
      <c r="E26" s="5" t="s">
        <v>14</v>
      </c>
      <c r="F26" s="44">
        <f ca="1">'Зведена 172'!F47</f>
        <v>14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51"/>
      <c r="X26" s="13"/>
    </row>
    <row r="27" spans="1:24" ht="15" customHeight="1" x14ac:dyDescent="0.25">
      <c r="A27" s="49"/>
      <c r="B27" s="51"/>
      <c r="C27" s="45"/>
      <c r="D27" s="45"/>
      <c r="E27" s="5" t="s">
        <v>15</v>
      </c>
      <c r="F27" s="44">
        <f ca="1">'Зведена 172'!F48</f>
        <v>16</v>
      </c>
      <c r="G27" s="45"/>
      <c r="H27" s="40" t="s">
        <v>16</v>
      </c>
      <c r="I27" s="41"/>
      <c r="J27" s="41"/>
      <c r="K27" s="41"/>
      <c r="L27" s="41"/>
      <c r="M27" s="41"/>
      <c r="N27" s="40"/>
      <c r="O27" s="42" t="s">
        <v>47</v>
      </c>
      <c r="P27" s="25"/>
      <c r="Q27" s="26"/>
      <c r="R27" s="25"/>
      <c r="S27" s="45"/>
      <c r="T27" s="45"/>
      <c r="U27" s="45"/>
      <c r="V27" s="45"/>
      <c r="W27" s="51"/>
      <c r="X27" s="13"/>
    </row>
    <row r="28" spans="1:24" ht="15" customHeight="1" x14ac:dyDescent="0.25">
      <c r="A28" s="49"/>
      <c r="B28" s="51"/>
      <c r="C28" s="45"/>
      <c r="D28" s="45"/>
      <c r="E28" s="5" t="s">
        <v>17</v>
      </c>
      <c r="F28" s="44">
        <f>'Зведена 172'!F49</f>
        <v>3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51"/>
      <c r="X28" s="13"/>
    </row>
    <row r="29" spans="1:24" ht="15" customHeight="1" x14ac:dyDescent="0.25">
      <c r="A29" s="49"/>
      <c r="B29" s="51"/>
      <c r="C29" s="45"/>
      <c r="D29" s="45"/>
      <c r="E29" s="5" t="s">
        <v>18</v>
      </c>
      <c r="F29" s="44">
        <f ca="1">'Зведена 172'!F50</f>
        <v>5</v>
      </c>
      <c r="G29" s="45"/>
      <c r="H29" s="42" t="s">
        <v>48</v>
      </c>
      <c r="I29" s="41"/>
      <c r="J29" s="41"/>
      <c r="K29" s="41"/>
      <c r="L29" s="41"/>
      <c r="M29" s="41"/>
      <c r="N29" s="40"/>
      <c r="O29" s="42" t="s">
        <v>19</v>
      </c>
      <c r="P29" s="26"/>
      <c r="Q29" s="26"/>
      <c r="R29" s="26"/>
      <c r="S29" s="45"/>
      <c r="T29" s="45"/>
      <c r="U29" s="45"/>
      <c r="V29" s="45"/>
      <c r="W29" s="51"/>
      <c r="X29" s="13"/>
    </row>
    <row r="30" spans="1:24" ht="12" customHeight="1" thickBot="1" x14ac:dyDescent="0.3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13"/>
    </row>
    <row r="31" spans="1:24" ht="12" customHeight="1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</row>
  </sheetData>
  <sheetProtection formatCells="0" insertColumns="0" insertRows="0" deleteColumns="0" deleteRows="0" sort="0"/>
  <mergeCells count="17">
    <mergeCell ref="B31:W31"/>
    <mergeCell ref="C8:U8"/>
    <mergeCell ref="C9:C10"/>
    <mergeCell ref="D9:D10"/>
    <mergeCell ref="E9:E10"/>
    <mergeCell ref="F9:U9"/>
    <mergeCell ref="B30:W30"/>
    <mergeCell ref="B1:W1"/>
    <mergeCell ref="A2:A30"/>
    <mergeCell ref="B2:W2"/>
    <mergeCell ref="B3:B29"/>
    <mergeCell ref="C3:U3"/>
    <mergeCell ref="W3:W29"/>
    <mergeCell ref="C4:U4"/>
    <mergeCell ref="C5:U5"/>
    <mergeCell ref="C6:U6"/>
    <mergeCell ref="C7:U7"/>
  </mergeCells>
  <conditionalFormatting sqref="C25 E25:S25">
    <cfRule type="expression" dxfId="12" priority="3">
      <formula>$W$25&lt;&gt;""</formula>
    </cfRule>
  </conditionalFormatting>
  <conditionalFormatting sqref="D25 C12:S24">
    <cfRule type="expression" dxfId="11" priority="2">
      <formula>#REF!&lt;&gt;""</formula>
    </cfRule>
  </conditionalFormatting>
  <conditionalFormatting sqref="T12:V25">
    <cfRule type="expression" dxfId="10" priority="4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23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3" ht="12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13"/>
    </row>
    <row r="3" spans="1:23" s="2" customFormat="1" ht="35.1" customHeight="1" x14ac:dyDescent="0.3">
      <c r="A3" s="49"/>
      <c r="B3" s="51"/>
      <c r="C3" s="52" t="s">
        <v>26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37"/>
      <c r="V3" s="51"/>
      <c r="W3" s="13"/>
    </row>
    <row r="4" spans="1:23" s="2" customFormat="1" ht="15" customHeight="1" x14ac:dyDescent="0.25">
      <c r="A4" s="49"/>
      <c r="B4" s="51"/>
      <c r="C4" s="51" t="s">
        <v>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35"/>
      <c r="V4" s="51"/>
      <c r="W4" s="13"/>
    </row>
    <row r="5" spans="1:23" s="3" customFormat="1" ht="15" customHeight="1" x14ac:dyDescent="0.25">
      <c r="A5" s="49"/>
      <c r="B5" s="51"/>
      <c r="C5" s="54" t="s">
        <v>20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38"/>
      <c r="V5" s="51"/>
      <c r="W5" s="13"/>
    </row>
    <row r="6" spans="1:23" s="2" customFormat="1" ht="15" customHeight="1" x14ac:dyDescent="0.25">
      <c r="A6" s="49"/>
      <c r="B6" s="51"/>
      <c r="C6" s="55" t="s">
        <v>52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35"/>
      <c r="V6" s="51"/>
      <c r="W6" s="13"/>
    </row>
    <row r="7" spans="1:23" s="2" customFormat="1" ht="15" customHeight="1" x14ac:dyDescent="0.25">
      <c r="A7" s="49"/>
      <c r="B7" s="51"/>
      <c r="C7" s="55" t="s">
        <v>50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35"/>
      <c r="V7" s="51"/>
      <c r="W7" s="13"/>
    </row>
    <row r="8" spans="1:23" s="2" customFormat="1" ht="15" customHeight="1" x14ac:dyDescent="0.25">
      <c r="A8" s="49"/>
      <c r="B8" s="51"/>
      <c r="C8" s="61" t="s">
        <v>51</v>
      </c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35"/>
      <c r="V8" s="51"/>
      <c r="W8" s="13"/>
    </row>
    <row r="9" spans="1:23" ht="15" customHeight="1" x14ac:dyDescent="0.25">
      <c r="A9" s="49"/>
      <c r="B9" s="51"/>
      <c r="C9" s="56" t="s">
        <v>1</v>
      </c>
      <c r="D9" s="58" t="s">
        <v>2</v>
      </c>
      <c r="E9" s="58" t="s">
        <v>3</v>
      </c>
      <c r="F9" s="57" t="s">
        <v>25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36"/>
      <c r="V9" s="51"/>
      <c r="W9" s="13"/>
    </row>
    <row r="10" spans="1:23" ht="125.1" customHeight="1" x14ac:dyDescent="0.25">
      <c r="A10" s="49"/>
      <c r="B10" s="51"/>
      <c r="C10" s="57"/>
      <c r="D10" s="57"/>
      <c r="E10" s="57"/>
      <c r="F10" s="43" t="s">
        <v>4</v>
      </c>
      <c r="G10" s="43" t="s">
        <v>5</v>
      </c>
      <c r="H10" s="43" t="s">
        <v>6</v>
      </c>
      <c r="I10" s="43" t="s">
        <v>21</v>
      </c>
      <c r="J10" s="43" t="s">
        <v>32</v>
      </c>
      <c r="K10" s="43" t="s">
        <v>22</v>
      </c>
      <c r="L10" s="43" t="s">
        <v>54</v>
      </c>
      <c r="M10" s="43" t="s">
        <v>7</v>
      </c>
      <c r="N10" s="43" t="s">
        <v>55</v>
      </c>
      <c r="O10" s="43" t="s">
        <v>23</v>
      </c>
      <c r="P10" s="43" t="s">
        <v>24</v>
      </c>
      <c r="Q10" s="43" t="s">
        <v>31</v>
      </c>
      <c r="R10" s="43" t="s">
        <v>56</v>
      </c>
      <c r="S10" s="43" t="s">
        <v>57</v>
      </c>
      <c r="T10" s="4" t="s">
        <v>8</v>
      </c>
      <c r="U10" s="20"/>
      <c r="V10" s="51"/>
      <c r="W10" s="13"/>
    </row>
    <row r="11" spans="1:23" ht="50.1" hidden="1" customHeight="1" x14ac:dyDescent="0.25">
      <c r="A11" s="49"/>
      <c r="B11" s="51"/>
      <c r="C11" s="15" t="s">
        <v>28</v>
      </c>
      <c r="D11" s="14" t="s">
        <v>29</v>
      </c>
      <c r="E11" s="16" t="s">
        <v>3</v>
      </c>
      <c r="F11" s="17" t="s">
        <v>33</v>
      </c>
      <c r="G11" s="17" t="s">
        <v>34</v>
      </c>
      <c r="H11" s="17" t="s">
        <v>35</v>
      </c>
      <c r="I11" s="17" t="s">
        <v>37</v>
      </c>
      <c r="J11" s="17" t="s">
        <v>36</v>
      </c>
      <c r="K11" s="17" t="s">
        <v>38</v>
      </c>
      <c r="L11" s="17" t="s">
        <v>39</v>
      </c>
      <c r="M11" s="17" t="s">
        <v>40</v>
      </c>
      <c r="N11" s="17" t="s">
        <v>41</v>
      </c>
      <c r="O11" s="17" t="s">
        <v>42</v>
      </c>
      <c r="P11" s="17" t="s">
        <v>43</v>
      </c>
      <c r="Q11" s="17" t="s">
        <v>44</v>
      </c>
      <c r="R11" s="17" t="s">
        <v>45</v>
      </c>
      <c r="S11" s="17" t="s">
        <v>46</v>
      </c>
      <c r="T11" s="18" t="s">
        <v>27</v>
      </c>
      <c r="U11" s="21" t="s">
        <v>30</v>
      </c>
      <c r="V11" s="51"/>
      <c r="W11" s="13"/>
    </row>
    <row r="12" spans="1:23" ht="15" customHeight="1" x14ac:dyDescent="0.25">
      <c r="A12" s="49"/>
      <c r="B12" s="51"/>
      <c r="C12" s="31" t="s">
        <v>88</v>
      </c>
      <c r="D12" s="32">
        <f ca="1">OFFSET(D12,-1,0)+1</f>
        <v>1</v>
      </c>
      <c r="E12" s="30" t="s">
        <v>90</v>
      </c>
      <c r="F12" s="6">
        <v>6</v>
      </c>
      <c r="G12" s="6">
        <v>5</v>
      </c>
      <c r="H12" s="6">
        <v>4</v>
      </c>
      <c r="I12" s="6">
        <v>5</v>
      </c>
      <c r="J12" s="6">
        <v>4</v>
      </c>
      <c r="K12" s="6">
        <v>4</v>
      </c>
      <c r="L12" s="6">
        <v>4</v>
      </c>
      <c r="M12" s="6">
        <v>4</v>
      </c>
      <c r="N12" s="6">
        <v>7</v>
      </c>
      <c r="O12" s="6">
        <v>6</v>
      </c>
      <c r="P12" s="6">
        <v>5</v>
      </c>
      <c r="Q12" s="6">
        <v>7</v>
      </c>
      <c r="R12" s="6">
        <v>5</v>
      </c>
      <c r="S12" s="6">
        <v>6</v>
      </c>
      <c r="T12" s="33">
        <f ca="1">IF(COUNTIF(OFFSET(Таблица62[[#This Row],[Прізвище, ім’я, по батькові]],0,1):OFFSET(T12,0,-1),"=*")&gt;0,"-",IF(COUNTIF(OFFSET(Таблица62[[#This Row],[Прізвище, ім’я, по батькові]],0,1):OFFSET(T12,0,-1),"&lt;4")&gt;0,"-",(IFERROR(AVERAGE(OFFSET(Таблица62[[#This Row],[Прізвище, ім’я, по батькові]],0,1):OFFSET(T12,0,-1)),""))))</f>
        <v>5.1428571428571432</v>
      </c>
      <c r="U12" s="22" t="str">
        <f>IF(Таблица62[[#This Row],[''Б/К]]="Б",IF(Таблица62[[#This Row],[Столбец18]]="-","-",""),"")</f>
        <v/>
      </c>
      <c r="V12" s="51"/>
      <c r="W12" s="13"/>
    </row>
    <row r="13" spans="1:23" ht="15" customHeight="1" x14ac:dyDescent="0.25">
      <c r="A13" s="49"/>
      <c r="B13" s="51"/>
      <c r="C13" s="36"/>
      <c r="D13" s="36"/>
      <c r="E13" s="5" t="s">
        <v>9</v>
      </c>
      <c r="F13" s="27">
        <f ca="1">IF(SUM(OFFSET(Таблица62[[#Headers],[1]],1,0):OFFSET(F13, -1, 0))=0,"",SUM(OFFSET(Таблица62[[#Headers],[1]],1,0):OFFSET(F13, -1, 0))/OFFSET($D13, -1, 0))</f>
        <v>6</v>
      </c>
      <c r="G13" s="27">
        <f ca="1">IF(SUM(OFFSET(Таблица62[[#Headers],[2]],1,0):OFFSET(G13, -1, 0))=0,"",SUM(OFFSET(Таблица62[[#Headers],[2]],1,0):OFFSET(G13, -1, 0))/OFFSET($D13, -1, 0))</f>
        <v>5</v>
      </c>
      <c r="H13" s="27">
        <f ca="1">IF(SUM(OFFSET(Таблица62[[#Headers],[3]],1,0):OFFSET(H13, -1, 0))=0,"",SUM(OFFSET(Таблица62[[#Headers],[3]],1,0):OFFSET(H13, -1, 0))/OFFSET($D13, -1, 0))</f>
        <v>4</v>
      </c>
      <c r="I13" s="27">
        <f ca="1">IF(SUM(OFFSET(Таблица62[[#Headers],[4]],1,0):OFFSET(I13, -1, 0))=0,"",SUM(OFFSET(Таблица62[[#Headers],[4]],1,0):OFFSET(I13, -1, 0))/OFFSET($D13, -1, 0))</f>
        <v>5</v>
      </c>
      <c r="J13" s="27">
        <f ca="1">IF(SUM(OFFSET(Таблица62[[#Headers],[5]],1,0):OFFSET(J13, -1, 0))=0,"",SUM(OFFSET(Таблица62[[#Headers],[5]],1,0):OFFSET(J13, -1, 0))/OFFSET($D13, -1, 0))</f>
        <v>4</v>
      </c>
      <c r="K13" s="27">
        <f ca="1">IF(SUM(OFFSET(Таблица62[[#Headers],[6]],1,0):OFFSET(K13, -1, 0))=0,"",SUM(OFFSET(Таблица62[[#Headers],[6]],1,0):OFFSET(K13, -1, 0))/OFFSET($D13, -1, 0))</f>
        <v>4</v>
      </c>
      <c r="L13" s="27">
        <f ca="1">IF(SUM(OFFSET(Таблица62[[#Headers],[7]],1,0):OFFSET(L13, -1, 0))=0,"",SUM(OFFSET(Таблица62[[#Headers],[7]],1,0):OFFSET(L13, -1, 0))/OFFSET($D13, -1, 0))</f>
        <v>4</v>
      </c>
      <c r="M13" s="27">
        <f ca="1">IF(SUM(OFFSET(Таблица62[[#Headers],[8]],1,0):OFFSET(M13, -1, 0))=0,"",SUM(OFFSET(Таблица62[[#Headers],[8]],1,0):OFFSET(M13, -1, 0))/OFFSET($D13, -1, 0))</f>
        <v>4</v>
      </c>
      <c r="N13" s="27">
        <f ca="1">IF(SUM(OFFSET(Таблица62[[#Headers],[9]],1,0):OFFSET(N13, -1, 0))=0,"",SUM(OFFSET(Таблица62[[#Headers],[9]],1,0):OFFSET(N13, -1, 0))/OFFSET($D13, -1, 0))</f>
        <v>7</v>
      </c>
      <c r="O13" s="27">
        <f ca="1">IF(SUM(OFFSET(Таблица62[[#Headers],[10]],1,0):OFFSET(O13, -1, 0))=0,"",SUM(OFFSET(Таблица62[[#Headers],[10]],1,0):OFFSET(O13, -1, 0))/OFFSET($D13, -1, 0))</f>
        <v>6</v>
      </c>
      <c r="P13" s="27">
        <f ca="1">IF(SUM(OFFSET(Таблица62[[#Headers],[11]],1,0):OFFSET(P13, -1, 0))=0,"",SUM(OFFSET(Таблица62[[#Headers],[11]],1,0):OFFSET(P13, -1, 0))/OFFSET($D13, -1, 0))</f>
        <v>5</v>
      </c>
      <c r="Q13" s="27">
        <f ca="1">IF(SUM(OFFSET(Таблица62[[#Headers],[12]],1,0):OFFSET(Q13, -1, 0))=0,"",SUM(OFFSET(Таблица62[[#Headers],[12]],1,0):OFFSET(Q13, -1, 0))/OFFSET($D13, -1, 0))</f>
        <v>7</v>
      </c>
      <c r="R13" s="27">
        <f ca="1">IF(SUM(OFFSET(Таблица62[[#Headers],[13]],1,0):OFFSET(R13, -1, 0))=0,"",SUM(OFFSET(Таблица62[[#Headers],[13]],1,0):OFFSET(R13, -1, 0))/OFFSET($D13, -1, 0))</f>
        <v>5</v>
      </c>
      <c r="S13" s="27">
        <f ca="1">IF(SUM(OFFSET(Таблица62[[#Headers],[14]],1,0):OFFSET(S13, -1, 0))=0,"",SUM(OFFSET(Таблица62[[#Headers],[14]],1,0):OFFSET(S13, -1, 0))/OFFSET($D13, -1, 0))</f>
        <v>6</v>
      </c>
      <c r="T13" s="19">
        <f ca="1">IFERROR(AVERAGE(F13:S13),"")</f>
        <v>5.1428571428571432</v>
      </c>
      <c r="U13" s="24">
        <f ca="1">COUNTIF(OFFSET(Таблица62[[#Headers],["Б" и "-"]],1,0):OFFSET(U13,-1,0),"-")</f>
        <v>0</v>
      </c>
      <c r="V13" s="51"/>
      <c r="W13" s="13"/>
    </row>
    <row r="14" spans="1:23" ht="15" customHeight="1" x14ac:dyDescent="0.25">
      <c r="A14" s="49"/>
      <c r="B14" s="51"/>
      <c r="C14" s="36"/>
      <c r="D14" s="36"/>
      <c r="E14" s="5" t="s">
        <v>10</v>
      </c>
      <c r="F14" s="28">
        <f ca="1">IF(SUM(OFFSET(Таблица62[[#Headers],[1]],1,0):OFFSET(F13, -1, 0))=0,"",IF(COUNTIF(OFFSET(Таблица62[[#Headers],[1]],1,0):OFFSET(F13, -1, 0),"&gt;=4")=0,0,COUNTIF(OFFSET(Таблица62[[#Headers],[1]],1,0):OFFSET(F13, -1, 0),"&gt;=4")/OFFSET($D13, -1, 0)*100))</f>
        <v>100</v>
      </c>
      <c r="G14" s="28">
        <f ca="1">IF(SUM(OFFSET(Таблица62[[#Headers],[2]],1,0):OFFSET(G13, -1, 0))=0,"",IF(COUNTIF(OFFSET(Таблица62[[#Headers],[2]],1,0):OFFSET(G13, -1, 0),"&gt;=4")=0,0,COUNTIF(OFFSET(Таблица62[[#Headers],[2]],1,0):OFFSET(G13, -1, 0),"&gt;=4")/OFFSET($D13, -1, 0)*100))</f>
        <v>100</v>
      </c>
      <c r="H14" s="28">
        <f ca="1">IF(SUM(OFFSET(Таблица62[[#Headers],[3]],1,0):OFFSET(H13, -1, 0))=0,"",IF(COUNTIF(OFFSET(Таблица62[[#Headers],[3]],1,0):OFFSET(H13, -1, 0),"&gt;=4")=0,0,COUNTIF(OFFSET(Таблица62[[#Headers],[3]],1,0):OFFSET(H13, -1, 0),"&gt;=4")/OFFSET($D13, -1, 0)*100))</f>
        <v>100</v>
      </c>
      <c r="I14" s="28">
        <f ca="1">IF(SUM(OFFSET(Таблица62[[#Headers],[4]],1,0):OFFSET(I13, -1, 0))=0,"",IF(COUNTIF(OFFSET(Таблица62[[#Headers],[4]],1,0):OFFSET(I13, -1, 0),"&gt;=4")=0,0,COUNTIF(OFFSET(Таблица62[[#Headers],[4]],1,0):OFFSET(I13, -1, 0),"&gt;=4")/OFFSET($D13, -1, 0)*100))</f>
        <v>100</v>
      </c>
      <c r="J14" s="28">
        <f ca="1">IF(SUM(OFFSET(Таблица62[[#Headers],[5]],1,0):OFFSET(J13, -1, 0))=0,"",IF(COUNTIF(OFFSET(Таблица62[[#Headers],[5]],1,0):OFFSET(J13, -1, 0),"&gt;=4")=0,0,COUNTIF(OFFSET(Таблица62[[#Headers],[5]],1,0):OFFSET(J13, -1, 0),"&gt;=4")/OFFSET($D13, -1, 0)*100))</f>
        <v>100</v>
      </c>
      <c r="K14" s="28">
        <f ca="1">IF(SUM(OFFSET(Таблица62[[#Headers],[6]],1,0):OFFSET(K13, -1, 0))=0,"",IF(COUNTIF(OFFSET(Таблица62[[#Headers],[6]],1,0):OFFSET(K13, -1, 0),"&gt;=4")=0,0,COUNTIF(OFFSET(Таблица62[[#Headers],[6]],1,0):OFFSET(K13, -1, 0),"&gt;=4")/OFFSET($D13, -1, 0)*100))</f>
        <v>100</v>
      </c>
      <c r="L14" s="28">
        <f ca="1">IF(SUM(OFFSET(Таблица62[[#Headers],[7]],1,0):OFFSET(L13, -1, 0))=0,"",IF(COUNTIF(OFFSET(Таблица62[[#Headers],[7]],1,0):OFFSET(L13, -1, 0),"&gt;=4")=0,0,COUNTIF(OFFSET(Таблица62[[#Headers],[7]],1,0):OFFSET(L13, -1, 0),"&gt;=4")/OFFSET($D13, -1, 0)*100))</f>
        <v>100</v>
      </c>
      <c r="M14" s="28">
        <f ca="1">IF(SUM(OFFSET(Таблица62[[#Headers],[8]],1,0):OFFSET(M13, -1, 0))=0,"",IF(COUNTIF(OFFSET(Таблица62[[#Headers],[8]],1,0):OFFSET(M13, -1, 0),"&gt;=4")=0,0,COUNTIF(OFFSET(Таблица62[[#Headers],[8]],1,0):OFFSET(M13, -1, 0),"&gt;=4")/OFFSET($D13, -1, 0)*100))</f>
        <v>100</v>
      </c>
      <c r="N14" s="28">
        <f ca="1">IF(SUM(OFFSET(Таблица62[[#Headers],[9]],1,0):OFFSET(N13, -1, 0))=0,"",IF(COUNTIF(OFFSET(Таблица62[[#Headers],[9]],1,0):OFFSET(N13, -1, 0),"&gt;=4")=0,0,COUNTIF(OFFSET(Таблица62[[#Headers],[9]],1,0):OFFSET(N13, -1, 0),"&gt;=4")/OFFSET($D13, -1, 0)*100))</f>
        <v>100</v>
      </c>
      <c r="O14" s="28">
        <f ca="1">IF(SUM(OFFSET(Таблица62[[#Headers],[10]],1,0):OFFSET(O13, -1, 0))=0,"",IF(COUNTIF(OFFSET(Таблица62[[#Headers],[10]],1,0):OFFSET(O13, -1, 0),"&gt;=4")=0,0,COUNTIF(OFFSET(Таблица62[[#Headers],[10]],1,0):OFFSET(O13, -1, 0),"&gt;=4")/OFFSET($D13, -1, 0)*100))</f>
        <v>100</v>
      </c>
      <c r="P14" s="28">
        <f ca="1">IF(SUM(OFFSET(Таблица62[[#Headers],[11]],1,0):OFFSET(P13, -1, 0))=0,"",IF(COUNTIF(OFFSET(Таблица62[[#Headers],[11]],1,0):OFFSET(P13, -1, 0),"&gt;=4")=0,0,COUNTIF(OFFSET(Таблица62[[#Headers],[11]],1,0):OFFSET(P13, -1, 0),"&gt;=4")/OFFSET($D13, -1, 0)*100))</f>
        <v>100</v>
      </c>
      <c r="Q14" s="28">
        <f ca="1">IF(SUM(OFFSET(Таблица62[[#Headers],[12]],1,0):OFFSET(Q13, -1, 0))=0,"",IF(COUNTIF(OFFSET(Таблица62[[#Headers],[12]],1,0):OFFSET(Q13, -1, 0),"&gt;=4")=0,0,COUNTIF(OFFSET(Таблица62[[#Headers],[12]],1,0):OFFSET(Q13, -1, 0),"&gt;=4")/OFFSET($D13, -1, 0)*100))</f>
        <v>100</v>
      </c>
      <c r="R14" s="28">
        <f ca="1">IF(SUM(OFFSET(Таблица62[[#Headers],[13]],1,0):OFFSET(R13, -1, 0))=0,"",IF(COUNTIF(OFFSET(Таблица62[[#Headers],[13]],1,0):OFFSET(R13, -1, 0),"&gt;=4")=0,0,COUNTIF(OFFSET(Таблица62[[#Headers],[13]],1,0):OFFSET(R13, -1, 0),"&gt;=4")/OFFSET($D13, -1, 0)*100))</f>
        <v>100</v>
      </c>
      <c r="S14" s="28">
        <f ca="1">IF(SUM(OFFSET(Таблица62[[#Headers],[14]],1,0):OFFSET(S13, -1, 0))=0,"",IF(COUNTIF(OFFSET(Таблица62[[#Headers],[14]],1,0):OFFSET(S13, -1, 0),"&gt;=4")=0,0,COUNTIF(OFFSET(Таблица62[[#Headers],[14]],1,0):OFFSET(S13, -1, 0),"&gt;=4")/OFFSET($D13, -1, 0)*100))</f>
        <v>100</v>
      </c>
      <c r="T14" s="8"/>
      <c r="U14" s="8"/>
      <c r="V14" s="51"/>
      <c r="W14" s="13"/>
    </row>
    <row r="15" spans="1:23" ht="15" customHeight="1" x14ac:dyDescent="0.25">
      <c r="A15" s="49"/>
      <c r="B15" s="51"/>
      <c r="C15" s="36"/>
      <c r="D15" s="36"/>
      <c r="E15" s="5" t="s">
        <v>11</v>
      </c>
      <c r="F15" s="28">
        <f ca="1">IF(SUM(OFFSET(Таблица62[[#Headers],[1]],1,0):OFFSET(F13, -1, 0))=0,"",IF(COUNTIF(OFFSET(Таблица62[[#Headers],[1]],1,0):OFFSET(F13, -1, 0),"&gt;=7")=0,0,COUNTIF(OFFSET(Таблица62[[#Headers],[1]],1,0):OFFSET(F13, -1, 0),"&gt;=7")/OFFSET($D13, -1, 0)*100))</f>
        <v>0</v>
      </c>
      <c r="G15" s="28">
        <f ca="1">IF(SUM(OFFSET(Таблица62[[#Headers],[2]],1,0):OFFSET(G13, -1, 0))=0,"",IF(COUNTIF(OFFSET(Таблица62[[#Headers],[2]],1,0):OFFSET(G13, -1, 0),"&gt;=7")=0,0,COUNTIF(OFFSET(Таблица62[[#Headers],[2]],1,0):OFFSET(G13, -1, 0),"&gt;=7")/OFFSET($D13, -1, 0)*100))</f>
        <v>0</v>
      </c>
      <c r="H15" s="28">
        <f ca="1">IF(SUM(OFFSET(Таблица62[[#Headers],[3]],1,0):OFFSET(H13, -1, 0))=0,"",IF(COUNTIF(OFFSET(Таблица62[[#Headers],[3]],1,0):OFFSET(H13, -1, 0),"&gt;=7")=0,0,COUNTIF(OFFSET(Таблица62[[#Headers],[3]],1,0):OFFSET(H13, -1, 0),"&gt;=7")/OFFSET($D13, -1, 0)*100))</f>
        <v>0</v>
      </c>
      <c r="I15" s="28">
        <f ca="1">IF(SUM(OFFSET(Таблица62[[#Headers],[4]],1,0):OFFSET(I13, -1, 0))=0,"",IF(COUNTIF(OFFSET(Таблица62[[#Headers],[4]],1,0):OFFSET(I13, -1, 0),"&gt;=7")=0,0,COUNTIF(OFFSET(Таблица62[[#Headers],[4]],1,0):OFFSET(I13, -1, 0),"&gt;=7")/OFFSET($D13, -1, 0)*100))</f>
        <v>0</v>
      </c>
      <c r="J15" s="28">
        <f ca="1">IF(SUM(OFFSET(Таблица62[[#Headers],[5]],1,0):OFFSET(J13, -1, 0))=0,"",IF(COUNTIF(OFFSET(Таблица62[[#Headers],[5]],1,0):OFFSET(J13, -1, 0),"&gt;=7")=0,0,COUNTIF(OFFSET(Таблица62[[#Headers],[5]],1,0):OFFSET(J13, -1, 0),"&gt;=7")/OFFSET($D13, -1, 0)*100))</f>
        <v>0</v>
      </c>
      <c r="K15" s="28">
        <f ca="1">IF(SUM(OFFSET(Таблица62[[#Headers],[6]],1,0):OFFSET(K13, -1, 0))=0,"",IF(COUNTIF(OFFSET(Таблица62[[#Headers],[6]],1,0):OFFSET(K13, -1, 0),"&gt;=7")=0,0,COUNTIF(OFFSET(Таблица62[[#Headers],[6]],1,0):OFFSET(K13, -1, 0),"&gt;=7")/OFFSET($D13, -1, 0)*100))</f>
        <v>0</v>
      </c>
      <c r="L15" s="28">
        <f ca="1">IF(SUM(OFFSET(Таблица62[[#Headers],[7]],1,0):OFFSET(L13, -1, 0))=0,"",IF(COUNTIF(OFFSET(Таблица62[[#Headers],[7]],1,0):OFFSET(L13, -1, 0),"&gt;=7")=0,0,COUNTIF(OFFSET(Таблица62[[#Headers],[7]],1,0):OFFSET(L13, -1, 0),"&gt;=7")/OFFSET($D13, -1, 0)*100))</f>
        <v>0</v>
      </c>
      <c r="M15" s="28">
        <f ca="1">IF(SUM(OFFSET(Таблица62[[#Headers],[8]],1,0):OFFSET(M13, -1, 0))=0,"",IF(COUNTIF(OFFSET(Таблица62[[#Headers],[8]],1,0):OFFSET(M13, -1, 0),"&gt;=7")=0,0,COUNTIF(OFFSET(Таблица62[[#Headers],[8]],1,0):OFFSET(M13, -1, 0),"&gt;=7")/OFFSET($D13, -1, 0)*100))</f>
        <v>0</v>
      </c>
      <c r="N15" s="28">
        <f ca="1">IF(SUM(OFFSET(Таблица62[[#Headers],[9]],1,0):OFFSET(N13, -1, 0))=0,"",IF(COUNTIF(OFFSET(Таблица62[[#Headers],[9]],1,0):OFFSET(N13, -1, 0),"&gt;=7")=0,0,COUNTIF(OFFSET(Таблица62[[#Headers],[9]],1,0):OFFSET(N13, -1, 0),"&gt;=7")/OFFSET($D13, -1, 0)*100))</f>
        <v>100</v>
      </c>
      <c r="O15" s="28">
        <f ca="1">IF(SUM(OFFSET(Таблица62[[#Headers],[10]],1,0):OFFSET(O13, -1, 0))=0,"",IF(COUNTIF(OFFSET(Таблица62[[#Headers],[10]],1,0):OFFSET(O13, -1, 0),"&gt;=7")=0,0,COUNTIF(OFFSET(Таблица62[[#Headers],[10]],1,0):OFFSET(O13, -1, 0),"&gt;=7")/OFFSET($D13, -1, 0)*100))</f>
        <v>0</v>
      </c>
      <c r="P15" s="28">
        <f ca="1">IF(SUM(OFFSET(Таблица62[[#Headers],[11]],1,0):OFFSET(P13, -1, 0))=0,"",IF(COUNTIF(OFFSET(Таблица62[[#Headers],[11]],1,0):OFFSET(P13, -1, 0),"&gt;=7")=0,0,COUNTIF(OFFSET(Таблица62[[#Headers],[11]],1,0):OFFSET(P13, -1, 0),"&gt;=7")/OFFSET($D13, -1, 0)*100))</f>
        <v>0</v>
      </c>
      <c r="Q15" s="28">
        <f ca="1">IF(SUM(OFFSET(Таблица62[[#Headers],[12]],1,0):OFFSET(Q13, -1, 0))=0,"",IF(COUNTIF(OFFSET(Таблица62[[#Headers],[12]],1,0):OFFSET(Q13, -1, 0),"&gt;=7")=0,0,COUNTIF(OFFSET(Таблица62[[#Headers],[12]],1,0):OFFSET(Q13, -1, 0),"&gt;=7")/OFFSET($D13, -1, 0)*100))</f>
        <v>100</v>
      </c>
      <c r="R15" s="28">
        <f ca="1">IF(SUM(OFFSET(Таблица62[[#Headers],[13]],1,0):OFFSET(R13, -1, 0))=0,"",IF(COUNTIF(OFFSET(Таблица62[[#Headers],[13]],1,0):OFFSET(R13, -1, 0),"&gt;=7")=0,0,COUNTIF(OFFSET(Таблица62[[#Headers],[13]],1,0):OFFSET(R13, -1, 0),"&gt;=7")/OFFSET($D13, -1, 0)*100))</f>
        <v>0</v>
      </c>
      <c r="S15" s="28">
        <f ca="1">IF(SUM(OFFSET(Таблица62[[#Headers],[14]],1,0):OFFSET(S13, -1, 0))=0,"",IF(COUNTIF(OFFSET(Таблица62[[#Headers],[14]],1,0):OFFSET(S13, -1, 0),"&gt;=7")=0,0,COUNTIF(OFFSET(Таблица62[[#Headers],[14]],1,0):OFFSET(S13, -1, 0),"&gt;=7")/OFFSET($D13, -1, 0)*100))</f>
        <v>0</v>
      </c>
      <c r="T15" s="36"/>
      <c r="U15" s="36"/>
      <c r="V15" s="51"/>
      <c r="W15" s="13"/>
    </row>
    <row r="16" spans="1:23" ht="15" customHeight="1" x14ac:dyDescent="0.25">
      <c r="A16" s="49"/>
      <c r="B16" s="51"/>
      <c r="C16" s="36"/>
      <c r="D16" s="36"/>
      <c r="E16" s="5" t="s">
        <v>12</v>
      </c>
      <c r="F16" s="27">
        <f ca="1">IF(COUNT(F14:S14)&lt;14,"",AVERAGE(F14:S14))</f>
        <v>100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51"/>
      <c r="W16" s="13"/>
    </row>
    <row r="17" spans="1:23" ht="15" customHeight="1" x14ac:dyDescent="0.25">
      <c r="A17" s="49"/>
      <c r="B17" s="51"/>
      <c r="C17" s="36"/>
      <c r="D17" s="36"/>
      <c r="E17" s="5" t="s">
        <v>13</v>
      </c>
      <c r="F17" s="27">
        <f ca="1">IF(COUNT(F15:S15)&lt;14,"",AVERAGE(F15:S15))</f>
        <v>14.285714285714286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51"/>
      <c r="W17" s="13"/>
    </row>
    <row r="18" spans="1:23" ht="15" customHeight="1" x14ac:dyDescent="0.25">
      <c r="A18" s="49"/>
      <c r="B18" s="51"/>
      <c r="C18" s="36"/>
      <c r="D18" s="36"/>
      <c r="E18" s="5" t="s">
        <v>14</v>
      </c>
      <c r="F18" s="39">
        <f ca="1">IF(COUNTIF(OFFSET(Таблица62[[#Headers],[''Б/К]],1,0):OFFSET($C13, -1, 0),"=Б")=0,IF(COUNTIF(OFFSET(Таблица62[[#Headers],[''Б/К]],1,0):OFFSET($C13, -1, 0),"=К")=0,"",0),COUNTIF(OFFSET(Таблица62[[#Headers],[''Б/К]],1,0):OFFSET($C13, -1, 0),"=Б"))</f>
        <v>0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51"/>
      <c r="W18" s="13"/>
    </row>
    <row r="19" spans="1:23" ht="15" customHeight="1" x14ac:dyDescent="0.25">
      <c r="A19" s="49"/>
      <c r="B19" s="51"/>
      <c r="C19" s="36"/>
      <c r="D19" s="36"/>
      <c r="E19" s="5" t="s">
        <v>15</v>
      </c>
      <c r="F19" s="39">
        <f ca="1">IF(COUNTIF(OFFSET(Таблица62[[#Headers],[''Б/К]],1,0):OFFSET($C13, -1, 0),"=К")=0,IF(COUNTIF(OFFSET(Таблица62[[#Headers],[''Б/К]],1,0):OFFSET($C13, -1, 0),"=Б")=0,"",0),COUNTIF(OFFSET(Таблица62[[#Headers],[''Б/К]],1,0):OFFSET($C13, -1, 0),"=К"))</f>
        <v>1</v>
      </c>
      <c r="G19" s="36"/>
      <c r="H19" s="40" t="s">
        <v>16</v>
      </c>
      <c r="I19" s="41"/>
      <c r="J19" s="41"/>
      <c r="K19" s="41"/>
      <c r="L19" s="41"/>
      <c r="M19" s="41"/>
      <c r="N19" s="40"/>
      <c r="O19" s="42" t="s">
        <v>47</v>
      </c>
      <c r="P19" s="25"/>
      <c r="Q19" s="26"/>
      <c r="R19" s="25"/>
      <c r="S19" s="36"/>
      <c r="T19" s="36"/>
      <c r="U19" s="36"/>
      <c r="V19" s="51"/>
      <c r="W19" s="13"/>
    </row>
    <row r="20" spans="1:23" ht="15" customHeight="1" x14ac:dyDescent="0.25">
      <c r="A20" s="49"/>
      <c r="B20" s="51"/>
      <c r="C20" s="36"/>
      <c r="D20" s="36"/>
      <c r="E20" s="5" t="s">
        <v>17</v>
      </c>
      <c r="F20" s="29">
        <v>3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51"/>
      <c r="W20" s="13"/>
    </row>
    <row r="21" spans="1:23" ht="15" customHeight="1" x14ac:dyDescent="0.25">
      <c r="A21" s="49"/>
      <c r="B21" s="51"/>
      <c r="C21" s="36"/>
      <c r="D21" s="36"/>
      <c r="E21" s="5" t="s">
        <v>18</v>
      </c>
      <c r="F21" s="39">
        <f ca="1">IF(F18="","",IF(ROUNDDOWN(F18/100*40,0)&lt;F18-U13,ROUNDDOWN(F18/100*40,0),F18-U13))</f>
        <v>0</v>
      </c>
      <c r="G21" s="36"/>
      <c r="H21" s="42" t="s">
        <v>48</v>
      </c>
      <c r="I21" s="41"/>
      <c r="J21" s="41"/>
      <c r="K21" s="41"/>
      <c r="L21" s="41"/>
      <c r="M21" s="41"/>
      <c r="N21" s="40"/>
      <c r="O21" s="42" t="s">
        <v>19</v>
      </c>
      <c r="P21" s="26"/>
      <c r="Q21" s="26"/>
      <c r="R21" s="26"/>
      <c r="S21" s="36"/>
      <c r="T21" s="36"/>
      <c r="U21" s="36"/>
      <c r="V21" s="51"/>
      <c r="W21" s="13"/>
    </row>
    <row r="22" spans="1:23" ht="12" customHeight="1" thickBot="1" x14ac:dyDescent="0.3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13"/>
    </row>
    <row r="23" spans="1:23" ht="12" customHeight="1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</row>
  </sheetData>
  <sheetProtection formatCells="0" insertColumns="0" insertRows="0" deleteColumns="0" deleteRows="0" sort="0"/>
  <mergeCells count="17">
    <mergeCell ref="B23:V23"/>
    <mergeCell ref="C8:T8"/>
    <mergeCell ref="C9:C10"/>
    <mergeCell ref="D9:D10"/>
    <mergeCell ref="E9:E10"/>
    <mergeCell ref="F9:T9"/>
    <mergeCell ref="B22:V22"/>
    <mergeCell ref="B1:V1"/>
    <mergeCell ref="A2:A22"/>
    <mergeCell ref="B2:V2"/>
    <mergeCell ref="B3:B21"/>
    <mergeCell ref="C3:T3"/>
    <mergeCell ref="V3:V21"/>
    <mergeCell ref="C4:T4"/>
    <mergeCell ref="C5:T5"/>
    <mergeCell ref="C6:T6"/>
    <mergeCell ref="C7:T7"/>
  </mergeCells>
  <conditionalFormatting sqref="C12:S12">
    <cfRule type="expression" dxfId="9" priority="1">
      <formula>$V$12&lt;&gt;""</formula>
    </cfRule>
  </conditionalFormatting>
  <conditionalFormatting sqref="T12:U12">
    <cfRule type="expression" dxfId="8" priority="4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Q31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4.140625" style="1" customWidth="1"/>
    <col min="4" max="4" width="6.5703125" style="1" customWidth="1"/>
    <col min="5" max="5" width="40.42578125" style="1" customWidth="1"/>
    <col min="6" max="19" width="6.7109375" style="1" customWidth="1"/>
    <col min="20" max="20" width="11.28515625" style="1" customWidth="1"/>
    <col min="21" max="21" width="11.28515625" style="1" hidden="1" customWidth="1"/>
    <col min="22" max="23" width="2.7109375" style="1" customWidth="1"/>
    <col min="24" max="29" width="14.42578125" style="1" hidden="1" customWidth="1"/>
    <col min="30" max="30" width="14.85546875" style="1" hidden="1" customWidth="1"/>
    <col min="31" max="44" width="3.7109375" style="1" hidden="1" customWidth="1"/>
    <col min="45" max="69" width="5.7109375" style="1" hidden="1" customWidth="1"/>
    <col min="70" max="16384" width="14.42578125" style="1" hidden="1"/>
  </cols>
  <sheetData>
    <row r="1" spans="1:23" ht="12" customHeight="1" thickBot="1" x14ac:dyDescent="0.3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3" ht="12" customHeight="1" x14ac:dyDescent="0.25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13"/>
    </row>
    <row r="3" spans="1:23" s="2" customFormat="1" ht="35.1" customHeight="1" x14ac:dyDescent="0.3">
      <c r="A3" s="49"/>
      <c r="B3" s="51"/>
      <c r="C3" s="52" t="s">
        <v>26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37"/>
      <c r="V3" s="51"/>
      <c r="W3" s="13"/>
    </row>
    <row r="4" spans="1:23" s="2" customFormat="1" ht="15" customHeight="1" x14ac:dyDescent="0.25">
      <c r="A4" s="49"/>
      <c r="B4" s="51"/>
      <c r="C4" s="51" t="s">
        <v>0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35"/>
      <c r="V4" s="51"/>
      <c r="W4" s="13"/>
    </row>
    <row r="5" spans="1:23" s="3" customFormat="1" ht="15" customHeight="1" x14ac:dyDescent="0.25">
      <c r="A5" s="49"/>
      <c r="B5" s="51"/>
      <c r="C5" s="54" t="s">
        <v>20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38"/>
      <c r="V5" s="51"/>
      <c r="W5" s="13"/>
    </row>
    <row r="6" spans="1:23" s="2" customFormat="1" ht="15" customHeight="1" x14ac:dyDescent="0.25">
      <c r="A6" s="49"/>
      <c r="B6" s="51"/>
      <c r="C6" s="55" t="s">
        <v>53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35"/>
      <c r="V6" s="51"/>
      <c r="W6" s="13"/>
    </row>
    <row r="7" spans="1:23" s="2" customFormat="1" ht="15" customHeight="1" x14ac:dyDescent="0.25">
      <c r="A7" s="49"/>
      <c r="B7" s="51"/>
      <c r="C7" s="55" t="s">
        <v>50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35"/>
      <c r="V7" s="51"/>
      <c r="W7" s="13"/>
    </row>
    <row r="8" spans="1:23" s="2" customFormat="1" ht="15" customHeight="1" x14ac:dyDescent="0.25">
      <c r="A8" s="49"/>
      <c r="B8" s="51"/>
      <c r="C8" s="55" t="s">
        <v>51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35"/>
      <c r="V8" s="51"/>
      <c r="W8" s="13"/>
    </row>
    <row r="9" spans="1:23" ht="15" customHeight="1" x14ac:dyDescent="0.25">
      <c r="A9" s="49"/>
      <c r="B9" s="51"/>
      <c r="C9" s="56" t="s">
        <v>1</v>
      </c>
      <c r="D9" s="58" t="s">
        <v>2</v>
      </c>
      <c r="E9" s="58" t="s">
        <v>3</v>
      </c>
      <c r="F9" s="57" t="s">
        <v>25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36"/>
      <c r="V9" s="51"/>
      <c r="W9" s="13"/>
    </row>
    <row r="10" spans="1:23" ht="125.1" customHeight="1" x14ac:dyDescent="0.25">
      <c r="A10" s="49"/>
      <c r="B10" s="51"/>
      <c r="C10" s="57"/>
      <c r="D10" s="57"/>
      <c r="E10" s="57"/>
      <c r="F10" s="43" t="s">
        <v>4</v>
      </c>
      <c r="G10" s="43" t="s">
        <v>5</v>
      </c>
      <c r="H10" s="43" t="s">
        <v>6</v>
      </c>
      <c r="I10" s="43" t="s">
        <v>21</v>
      </c>
      <c r="J10" s="43" t="s">
        <v>32</v>
      </c>
      <c r="K10" s="43" t="s">
        <v>22</v>
      </c>
      <c r="L10" s="43" t="s">
        <v>54</v>
      </c>
      <c r="M10" s="43" t="s">
        <v>7</v>
      </c>
      <c r="N10" s="43" t="s">
        <v>55</v>
      </c>
      <c r="O10" s="43" t="s">
        <v>23</v>
      </c>
      <c r="P10" s="43" t="s">
        <v>24</v>
      </c>
      <c r="Q10" s="43" t="s">
        <v>31</v>
      </c>
      <c r="R10" s="43" t="s">
        <v>56</v>
      </c>
      <c r="S10" s="43" t="s">
        <v>57</v>
      </c>
      <c r="T10" s="4" t="s">
        <v>8</v>
      </c>
      <c r="U10" s="20"/>
      <c r="V10" s="51"/>
      <c r="W10" s="13"/>
    </row>
    <row r="11" spans="1:23" ht="50.1" hidden="1" customHeight="1" x14ac:dyDescent="0.25">
      <c r="A11" s="49"/>
      <c r="B11" s="51"/>
      <c r="C11" s="15" t="s">
        <v>28</v>
      </c>
      <c r="D11" s="14" t="s">
        <v>29</v>
      </c>
      <c r="E11" s="16" t="s">
        <v>3</v>
      </c>
      <c r="F11" s="17" t="s">
        <v>33</v>
      </c>
      <c r="G11" s="17" t="s">
        <v>34</v>
      </c>
      <c r="H11" s="17" t="s">
        <v>35</v>
      </c>
      <c r="I11" s="17" t="s">
        <v>37</v>
      </c>
      <c r="J11" s="17" t="s">
        <v>36</v>
      </c>
      <c r="K11" s="17" t="s">
        <v>38</v>
      </c>
      <c r="L11" s="17" t="s">
        <v>39</v>
      </c>
      <c r="M11" s="17" t="s">
        <v>40</v>
      </c>
      <c r="N11" s="17" t="s">
        <v>41</v>
      </c>
      <c r="O11" s="17" t="s">
        <v>42</v>
      </c>
      <c r="P11" s="17" t="s">
        <v>43</v>
      </c>
      <c r="Q11" s="17" t="s">
        <v>44</v>
      </c>
      <c r="R11" s="17" t="s">
        <v>45</v>
      </c>
      <c r="S11" s="17" t="s">
        <v>46</v>
      </c>
      <c r="T11" s="18" t="s">
        <v>27</v>
      </c>
      <c r="U11" s="21" t="s">
        <v>30</v>
      </c>
      <c r="V11" s="51"/>
      <c r="W11" s="13"/>
    </row>
    <row r="12" spans="1:23" ht="15" customHeight="1" x14ac:dyDescent="0.25">
      <c r="A12" s="49"/>
      <c r="B12" s="51"/>
      <c r="C12" s="31" t="s">
        <v>88</v>
      </c>
      <c r="D12" s="32">
        <f ca="1">OFFSET(D12,-1,0)+1</f>
        <v>1</v>
      </c>
      <c r="E12" s="30" t="s">
        <v>91</v>
      </c>
      <c r="F12" s="6">
        <v>6</v>
      </c>
      <c r="G12" s="6">
        <v>5</v>
      </c>
      <c r="H12" s="6">
        <v>4</v>
      </c>
      <c r="I12" s="6">
        <v>5</v>
      </c>
      <c r="J12" s="6">
        <v>4</v>
      </c>
      <c r="K12" s="6">
        <v>4</v>
      </c>
      <c r="L12" s="6">
        <v>4</v>
      </c>
      <c r="M12" s="6">
        <v>5</v>
      </c>
      <c r="N12" s="6">
        <v>7</v>
      </c>
      <c r="O12" s="6">
        <v>6</v>
      </c>
      <c r="P12" s="6">
        <v>5</v>
      </c>
      <c r="Q12" s="6">
        <v>4</v>
      </c>
      <c r="R12" s="6">
        <v>5</v>
      </c>
      <c r="S12" s="6">
        <v>6</v>
      </c>
      <c r="T12" s="33">
        <f ca="1">IF(COUNTIF(OFFSET(Таблица623[[#This Row],[Прізвище, ім’я, по батькові]],0,1):OFFSET(T12,0,-1),"=*")&gt;0,"-",IF(COUNTIF(OFFSET(Таблица623[[#This Row],[Прізвище, ім’я, по батькові]],0,1):OFFSET(T12,0,-1),"&lt;4")&gt;0,"-",(IFERROR(AVERAGE(OFFSET(Таблица623[[#This Row],[Прізвище, ім’я, по батькові]],0,1):OFFSET(T12,0,-1)),""))))</f>
        <v>5</v>
      </c>
      <c r="U12" s="22" t="str">
        <f>IF(Таблица623[[#This Row],[''Б/К]]="Б",IF(Таблица623[[#This Row],[Столбец18]]="-","-",""),"")</f>
        <v/>
      </c>
      <c r="V12" s="51"/>
      <c r="W12" s="13"/>
    </row>
    <row r="13" spans="1:23" ht="15" customHeight="1" x14ac:dyDescent="0.25">
      <c r="A13" s="49"/>
      <c r="B13" s="51"/>
      <c r="C13" s="31" t="s">
        <v>88</v>
      </c>
      <c r="D13" s="32">
        <f t="shared" ref="D13:D16" ca="1" si="0">OFFSET(D13,-1,0)+1</f>
        <v>2</v>
      </c>
      <c r="E13" s="30" t="s">
        <v>92</v>
      </c>
      <c r="F13" s="6">
        <v>9</v>
      </c>
      <c r="G13" s="6">
        <v>8</v>
      </c>
      <c r="H13" s="6">
        <v>7</v>
      </c>
      <c r="I13" s="6">
        <v>9</v>
      </c>
      <c r="J13" s="6">
        <v>4</v>
      </c>
      <c r="K13" s="6">
        <v>4</v>
      </c>
      <c r="L13" s="6">
        <v>5</v>
      </c>
      <c r="M13" s="6">
        <v>6</v>
      </c>
      <c r="N13" s="6">
        <v>5</v>
      </c>
      <c r="O13" s="6">
        <v>6</v>
      </c>
      <c r="P13" s="6">
        <v>5</v>
      </c>
      <c r="Q13" s="6">
        <v>4</v>
      </c>
      <c r="R13" s="6">
        <v>7</v>
      </c>
      <c r="S13" s="6">
        <v>4</v>
      </c>
      <c r="T13" s="33">
        <f ca="1">IF(COUNTIF(OFFSET(Таблица623[[#This Row],[Прізвище, ім’я, по батькові]],0,1):OFFSET(T13,0,-1),"=*")&gt;0,"-",IF(COUNTIF(OFFSET(Таблица623[[#This Row],[Прізвище, ім’я, по батькові]],0,1):OFFSET(T13,0,-1),"&lt;4")&gt;0,"-",(IFERROR(AVERAGE(OFFSET(Таблица623[[#This Row],[Прізвище, ім’я, по батькові]],0,1):OFFSET(T13,0,-1)),""))))</f>
        <v>5.9285714285714288</v>
      </c>
      <c r="U13" s="22" t="str">
        <f>IF(Таблица623[[#This Row],[''Б/К]]="Б",IF(Таблица623[[#This Row],[Столбец18]]="-","-",""),"")</f>
        <v/>
      </c>
      <c r="V13" s="51"/>
      <c r="W13" s="13"/>
    </row>
    <row r="14" spans="1:23" ht="15" customHeight="1" x14ac:dyDescent="0.25">
      <c r="A14" s="49"/>
      <c r="B14" s="51"/>
      <c r="C14" s="31" t="s">
        <v>88</v>
      </c>
      <c r="D14" s="32">
        <f t="shared" ca="1" si="0"/>
        <v>3</v>
      </c>
      <c r="E14" s="30" t="s">
        <v>93</v>
      </c>
      <c r="F14" s="6">
        <v>9</v>
      </c>
      <c r="G14" s="6">
        <v>6</v>
      </c>
      <c r="H14" s="6">
        <v>5</v>
      </c>
      <c r="I14" s="6">
        <v>5</v>
      </c>
      <c r="J14" s="6">
        <v>6</v>
      </c>
      <c r="K14" s="6">
        <v>4</v>
      </c>
      <c r="L14" s="6">
        <v>5</v>
      </c>
      <c r="M14" s="6" t="s">
        <v>100</v>
      </c>
      <c r="N14" s="6">
        <v>4</v>
      </c>
      <c r="O14" s="6">
        <v>6</v>
      </c>
      <c r="P14" s="6">
        <v>6</v>
      </c>
      <c r="Q14" s="6">
        <v>2</v>
      </c>
      <c r="R14" s="6">
        <v>5</v>
      </c>
      <c r="S14" s="6">
        <v>4</v>
      </c>
      <c r="T14" s="33" t="str">
        <f ca="1">IF(COUNTIF(OFFSET(Таблица623[[#This Row],[Прізвище, ім’я, по батькові]],0,1):OFFSET(T14,0,-1),"=*")&gt;0,"-",IF(COUNTIF(OFFSET(Таблица623[[#This Row],[Прізвище, ім’я, по батькові]],0,1):OFFSET(T14,0,-1),"&lt;4")&gt;0,"-",(IFERROR(AVERAGE(OFFSET(Таблица623[[#This Row],[Прізвище, ім’я, по батькові]],0,1):OFFSET(T14,0,-1)),""))))</f>
        <v>-</v>
      </c>
      <c r="U14" s="22" t="str">
        <f>IF(Таблица623[[#This Row],[''Б/К]]="Б",IF(Таблица623[[#This Row],[Столбец18]]="-","-",""),"")</f>
        <v/>
      </c>
      <c r="V14" s="51"/>
      <c r="W14" s="13"/>
    </row>
    <row r="15" spans="1:23" ht="15" customHeight="1" x14ac:dyDescent="0.25">
      <c r="A15" s="49"/>
      <c r="B15" s="51"/>
      <c r="C15" s="31" t="s">
        <v>88</v>
      </c>
      <c r="D15" s="32">
        <f ca="1">OFFSET(D15,-1,0)+1</f>
        <v>4</v>
      </c>
      <c r="E15" s="30" t="s">
        <v>94</v>
      </c>
      <c r="F15" s="6">
        <v>9</v>
      </c>
      <c r="G15" s="6">
        <v>10</v>
      </c>
      <c r="H15" s="6">
        <v>9</v>
      </c>
      <c r="I15" s="6">
        <v>10</v>
      </c>
      <c r="J15" s="6">
        <v>6</v>
      </c>
      <c r="K15" s="6">
        <v>7</v>
      </c>
      <c r="L15" s="6">
        <v>9</v>
      </c>
      <c r="M15" s="6">
        <v>9</v>
      </c>
      <c r="N15" s="6">
        <v>4</v>
      </c>
      <c r="O15" s="6">
        <v>9</v>
      </c>
      <c r="P15" s="6">
        <v>8</v>
      </c>
      <c r="Q15" s="6">
        <v>7</v>
      </c>
      <c r="R15" s="6">
        <v>6</v>
      </c>
      <c r="S15" s="6">
        <v>8</v>
      </c>
      <c r="T15" s="33">
        <f ca="1">IF(COUNTIF(OFFSET(Таблица623[[#This Row],[Прізвище, ім’я, по батькові]],0,1):OFFSET(T15,0,-1),"=*")&gt;0,"-",IF(COUNTIF(OFFSET(Таблица623[[#This Row],[Прізвище, ім’я, по батькові]],0,1):OFFSET(T15,0,-1),"&lt;4")&gt;0,"-",(IFERROR(AVERAGE(OFFSET(Таблица623[[#This Row],[Прізвище, ім’я, по батькові]],0,1):OFFSET(T15,0,-1)),""))))</f>
        <v>7.9285714285714288</v>
      </c>
      <c r="U15" s="22" t="str">
        <f>IF(Таблица623[[#This Row],[''Б/К]]="Б",IF(Таблица623[[#This Row],[Столбец18]]="-","-",""),"")</f>
        <v/>
      </c>
      <c r="V15" s="51"/>
      <c r="W15" s="13"/>
    </row>
    <row r="16" spans="1:23" ht="15" customHeight="1" x14ac:dyDescent="0.25">
      <c r="A16" s="49"/>
      <c r="B16" s="51"/>
      <c r="C16" s="31" t="s">
        <v>88</v>
      </c>
      <c r="D16" s="32">
        <f t="shared" ca="1" si="0"/>
        <v>5</v>
      </c>
      <c r="E16" s="30" t="s">
        <v>95</v>
      </c>
      <c r="F16" s="6">
        <v>9</v>
      </c>
      <c r="G16" s="6">
        <v>9</v>
      </c>
      <c r="H16" s="6">
        <v>9</v>
      </c>
      <c r="I16" s="6">
        <v>10</v>
      </c>
      <c r="J16" s="6">
        <v>8</v>
      </c>
      <c r="K16" s="6">
        <v>8</v>
      </c>
      <c r="L16" s="6">
        <v>7</v>
      </c>
      <c r="M16" s="6">
        <v>8</v>
      </c>
      <c r="N16" s="6">
        <v>7</v>
      </c>
      <c r="O16" s="6">
        <v>10</v>
      </c>
      <c r="P16" s="6">
        <v>9</v>
      </c>
      <c r="Q16" s="6">
        <v>4</v>
      </c>
      <c r="R16" s="6">
        <v>7</v>
      </c>
      <c r="S16" s="6">
        <v>8</v>
      </c>
      <c r="T16" s="33">
        <f ca="1">IF(COUNTIF(OFFSET(Таблица623[[#This Row],[Прізвище, ім’я, по батькові]],0,1):OFFSET(T16,0,-1),"=*")&gt;0,"-",IF(COUNTIF(OFFSET(Таблица623[[#This Row],[Прізвище, ім’я, по батькові]],0,1):OFFSET(T16,0,-1),"&lt;4")&gt;0,"-",(IFERROR(AVERAGE(OFFSET(Таблица623[[#This Row],[Прізвище, ім’я, по батькові]],0,1):OFFSET(T16,0,-1)),""))))</f>
        <v>8.0714285714285712</v>
      </c>
      <c r="U16" s="22" t="str">
        <f>IF(Таблица623[[#This Row],[''Б/К]]="Б",IF(Таблица623[[#This Row],[Столбец18]]="-","-",""),"")</f>
        <v/>
      </c>
      <c r="V16" s="51"/>
      <c r="W16" s="13"/>
    </row>
    <row r="17" spans="1:23" ht="15" customHeight="1" x14ac:dyDescent="0.25">
      <c r="A17" s="49"/>
      <c r="B17" s="51"/>
      <c r="C17" s="31" t="s">
        <v>88</v>
      </c>
      <c r="D17" s="32">
        <f t="shared" ref="D17:D20" ca="1" si="1">OFFSET(D17,-1,0)+1</f>
        <v>6</v>
      </c>
      <c r="E17" s="30" t="s">
        <v>96</v>
      </c>
      <c r="F17" s="6">
        <v>9</v>
      </c>
      <c r="G17" s="6">
        <v>7</v>
      </c>
      <c r="H17" s="6">
        <v>6</v>
      </c>
      <c r="I17" s="6">
        <v>9</v>
      </c>
      <c r="J17" s="6">
        <v>4</v>
      </c>
      <c r="K17" s="6">
        <v>7</v>
      </c>
      <c r="L17" s="6">
        <v>5</v>
      </c>
      <c r="M17" s="6">
        <v>5</v>
      </c>
      <c r="N17" s="6">
        <v>4</v>
      </c>
      <c r="O17" s="6">
        <v>6</v>
      </c>
      <c r="P17" s="6">
        <v>6</v>
      </c>
      <c r="Q17" s="6">
        <v>6</v>
      </c>
      <c r="R17" s="6">
        <v>6</v>
      </c>
      <c r="S17" s="6">
        <v>7</v>
      </c>
      <c r="T17" s="33">
        <f ca="1">IF(COUNTIF(OFFSET(Таблица623[[#This Row],[Прізвище, ім’я, по батькові]],0,1):OFFSET(T17,0,-1),"=*")&gt;0,"-",IF(COUNTIF(OFFSET(Таблица623[[#This Row],[Прізвище, ім’я, по батькові]],0,1):OFFSET(T17,0,-1),"&lt;4")&gt;0,"-",(IFERROR(AVERAGE(OFFSET(Таблица623[[#This Row],[Прізвище, ім’я, по батькові]],0,1):OFFSET(T17,0,-1)),""))))</f>
        <v>6.2142857142857144</v>
      </c>
      <c r="U17" s="23" t="str">
        <f>IF(Таблица623[[#This Row],[''Б/К]]="Б",IF(Таблица623[[#This Row],[Столбец18]]="-","-",""),"")</f>
        <v/>
      </c>
      <c r="V17" s="51"/>
      <c r="W17" s="13"/>
    </row>
    <row r="18" spans="1:23" ht="15" customHeight="1" x14ac:dyDescent="0.25">
      <c r="A18" s="49"/>
      <c r="B18" s="51"/>
      <c r="C18" s="31" t="s">
        <v>88</v>
      </c>
      <c r="D18" s="32">
        <f t="shared" ca="1" si="1"/>
        <v>7</v>
      </c>
      <c r="E18" s="30" t="s">
        <v>97</v>
      </c>
      <c r="F18" s="6">
        <v>10</v>
      </c>
      <c r="G18" s="6">
        <v>10</v>
      </c>
      <c r="H18" s="6">
        <v>9</v>
      </c>
      <c r="I18" s="6">
        <v>10</v>
      </c>
      <c r="J18" s="6">
        <v>10</v>
      </c>
      <c r="K18" s="6">
        <v>10</v>
      </c>
      <c r="L18" s="6">
        <v>8</v>
      </c>
      <c r="M18" s="6">
        <v>8</v>
      </c>
      <c r="N18" s="6">
        <v>4</v>
      </c>
      <c r="O18" s="6">
        <v>9</v>
      </c>
      <c r="P18" s="6">
        <v>8</v>
      </c>
      <c r="Q18" s="6">
        <v>7</v>
      </c>
      <c r="R18" s="6">
        <v>6</v>
      </c>
      <c r="S18" s="6">
        <v>7</v>
      </c>
      <c r="T18" s="33">
        <f ca="1">IF(COUNTIF(OFFSET(Таблица623[[#This Row],[Прізвище, ім’я, по батькові]],0,1):OFFSET(T18,0,-1),"=*")&gt;0,"-",IF(COUNTIF(OFFSET(Таблица623[[#This Row],[Прізвище, ім’я, по батькові]],0,1):OFFSET(T18,0,-1),"&lt;4")&gt;0,"-",(IFERROR(AVERAGE(OFFSET(Таблица623[[#This Row],[Прізвище, ім’я, по батькові]],0,1):OFFSET(T18,0,-1)),""))))</f>
        <v>8.2857142857142865</v>
      </c>
      <c r="U18" s="23" t="str">
        <f>IF(Таблица623[[#This Row],[''Б/К]]="Б",IF(Таблица623[[#This Row],[Столбец18]]="-","-",""),"")</f>
        <v/>
      </c>
      <c r="V18" s="51"/>
      <c r="W18" s="13"/>
    </row>
    <row r="19" spans="1:23" ht="15" customHeight="1" x14ac:dyDescent="0.25">
      <c r="A19" s="49"/>
      <c r="B19" s="51"/>
      <c r="C19" s="31" t="s">
        <v>88</v>
      </c>
      <c r="D19" s="32">
        <f t="shared" ca="1" si="1"/>
        <v>8</v>
      </c>
      <c r="E19" s="30" t="s">
        <v>98</v>
      </c>
      <c r="F19" s="6">
        <v>9</v>
      </c>
      <c r="G19" s="6">
        <v>9</v>
      </c>
      <c r="H19" s="6">
        <v>7</v>
      </c>
      <c r="I19" s="6">
        <v>10</v>
      </c>
      <c r="J19" s="6">
        <v>4</v>
      </c>
      <c r="K19" s="6">
        <v>8</v>
      </c>
      <c r="L19" s="6">
        <v>8</v>
      </c>
      <c r="M19" s="6">
        <v>8</v>
      </c>
      <c r="N19" s="6">
        <v>5</v>
      </c>
      <c r="O19" s="6">
        <v>6</v>
      </c>
      <c r="P19" s="6">
        <v>6</v>
      </c>
      <c r="Q19" s="6">
        <v>5</v>
      </c>
      <c r="R19" s="6">
        <v>7</v>
      </c>
      <c r="S19" s="6">
        <v>6</v>
      </c>
      <c r="T19" s="33">
        <f ca="1">IF(COUNTIF(OFFSET(Таблица623[[#This Row],[Прізвище, ім’я, по батькові]],0,1):OFFSET(T19,0,-1),"=*")&gt;0,"-",IF(COUNTIF(OFFSET(Таблица623[[#This Row],[Прізвище, ім’я, по батькові]],0,1):OFFSET(T19,0,-1),"&lt;4")&gt;0,"-",(IFERROR(AVERAGE(OFFSET(Таблица623[[#This Row],[Прізвище, ім’я, по батькові]],0,1):OFFSET(T19,0,-1)),""))))</f>
        <v>7</v>
      </c>
      <c r="U19" s="23" t="str">
        <f>IF(Таблица623[[#This Row],[''Б/К]]="Б",IF(Таблица623[[#This Row],[Столбец18]]="-","-",""),"")</f>
        <v/>
      </c>
      <c r="V19" s="51"/>
      <c r="W19" s="13"/>
    </row>
    <row r="20" spans="1:23" ht="15" customHeight="1" x14ac:dyDescent="0.25">
      <c r="A20" s="49"/>
      <c r="B20" s="51"/>
      <c r="C20" s="31" t="s">
        <v>88</v>
      </c>
      <c r="D20" s="32">
        <f t="shared" ca="1" si="1"/>
        <v>9</v>
      </c>
      <c r="E20" s="30" t="s">
        <v>99</v>
      </c>
      <c r="F20" s="6">
        <v>9</v>
      </c>
      <c r="G20" s="6">
        <v>9</v>
      </c>
      <c r="H20" s="6">
        <v>6</v>
      </c>
      <c r="I20" s="6">
        <v>10</v>
      </c>
      <c r="J20" s="6">
        <v>10</v>
      </c>
      <c r="K20" s="6">
        <v>6</v>
      </c>
      <c r="L20" s="6">
        <v>7</v>
      </c>
      <c r="M20" s="6">
        <v>7</v>
      </c>
      <c r="N20" s="6">
        <v>5</v>
      </c>
      <c r="O20" s="6">
        <v>6</v>
      </c>
      <c r="P20" s="6">
        <v>6</v>
      </c>
      <c r="Q20" s="6">
        <v>5</v>
      </c>
      <c r="R20" s="6">
        <v>9</v>
      </c>
      <c r="S20" s="6">
        <v>5</v>
      </c>
      <c r="T20" s="33">
        <f ca="1">IF(COUNTIF(OFFSET(Таблица623[[#This Row],[Прізвище, ім’я, по батькові]],0,1):OFFSET(T20,0,-1),"=*")&gt;0,"-",IF(COUNTIF(OFFSET(Таблица623[[#This Row],[Прізвище, ім’я, по батькові]],0,1):OFFSET(T20,0,-1),"&lt;4")&gt;0,"-",(IFERROR(AVERAGE(OFFSET(Таблица623[[#This Row],[Прізвище, ім’я, по батькові]],0,1):OFFSET(T20,0,-1)),""))))</f>
        <v>7.1428571428571432</v>
      </c>
      <c r="U20" s="23" t="str">
        <f>IF(Таблица623[[#This Row],[''Б/К]]="Б",IF(Таблица623[[#This Row],[Столбец18]]="-","-",""),"")</f>
        <v/>
      </c>
      <c r="V20" s="51"/>
      <c r="W20" s="13"/>
    </row>
    <row r="21" spans="1:23" ht="15" customHeight="1" x14ac:dyDescent="0.25">
      <c r="A21" s="49"/>
      <c r="B21" s="51"/>
      <c r="C21" s="36"/>
      <c r="D21" s="36"/>
      <c r="E21" s="5" t="s">
        <v>9</v>
      </c>
      <c r="F21" s="27">
        <f ca="1">IF(SUM(OFFSET(Таблица623[[#Headers],[1]],1,0):OFFSET(F21, -1, 0))=0,"",SUM(OFFSET(Таблица623[[#Headers],[1]],1,0):OFFSET(F21, -1, 0))/OFFSET($D21, -1, 0))</f>
        <v>8.7777777777777786</v>
      </c>
      <c r="G21" s="27">
        <f ca="1">IF(SUM(OFFSET(Таблица623[[#Headers],[2]],1,0):OFFSET(G21, -1, 0))=0,"",SUM(OFFSET(Таблица623[[#Headers],[2]],1,0):OFFSET(G21, -1, 0))/OFFSET($D21, -1, 0))</f>
        <v>8.1111111111111107</v>
      </c>
      <c r="H21" s="27">
        <f ca="1">IF(SUM(OFFSET(Таблица623[[#Headers],[3]],1,0):OFFSET(H21, -1, 0))=0,"",SUM(OFFSET(Таблица623[[#Headers],[3]],1,0):OFFSET(H21, -1, 0))/OFFSET($D21, -1, 0))</f>
        <v>6.8888888888888893</v>
      </c>
      <c r="I21" s="27">
        <f ca="1">IF(SUM(OFFSET(Таблица623[[#Headers],[4]],1,0):OFFSET(I21, -1, 0))=0,"",SUM(OFFSET(Таблица623[[#Headers],[4]],1,0):OFFSET(I21, -1, 0))/OFFSET($D21, -1, 0))</f>
        <v>8.6666666666666661</v>
      </c>
      <c r="J21" s="27">
        <f ca="1">IF(SUM(OFFSET(Таблица623[[#Headers],[5]],1,0):OFFSET(J21, -1, 0))=0,"",SUM(OFFSET(Таблица623[[#Headers],[5]],1,0):OFFSET(J21, -1, 0))/OFFSET($D21, -1, 0))</f>
        <v>6.2222222222222223</v>
      </c>
      <c r="K21" s="27">
        <f ca="1">IF(SUM(OFFSET(Таблица623[[#Headers],[6]],1,0):OFFSET(K21, -1, 0))=0,"",SUM(OFFSET(Таблица623[[#Headers],[6]],1,0):OFFSET(K21, -1, 0))/OFFSET($D21, -1, 0))</f>
        <v>6.4444444444444446</v>
      </c>
      <c r="L21" s="27">
        <f ca="1">IF(SUM(OFFSET(Таблица623[[#Headers],[7]],1,0):OFFSET(L21, -1, 0))=0,"",SUM(OFFSET(Таблица623[[#Headers],[7]],1,0):OFFSET(L21, -1, 0))/OFFSET($D21, -1, 0))</f>
        <v>6.4444444444444446</v>
      </c>
      <c r="M21" s="27">
        <f ca="1">IF(SUM(OFFSET(Таблица623[[#Headers],[8]],1,0):OFFSET(M21, -1, 0))=0,"",SUM(OFFSET(Таблица623[[#Headers],[8]],1,0):OFFSET(M21, -1, 0))/OFFSET($D21, -1, 0))</f>
        <v>6.2222222222222223</v>
      </c>
      <c r="N21" s="27">
        <f ca="1">IF(SUM(OFFSET(Таблица623[[#Headers],[9]],1,0):OFFSET(N21, -1, 0))=0,"",SUM(OFFSET(Таблица623[[#Headers],[9]],1,0):OFFSET(N21, -1, 0))/OFFSET($D21, -1, 0))</f>
        <v>5</v>
      </c>
      <c r="O21" s="27">
        <f ca="1">IF(SUM(OFFSET(Таблица623[[#Headers],[10]],1,0):OFFSET(O21, -1, 0))=0,"",SUM(OFFSET(Таблица623[[#Headers],[10]],1,0):OFFSET(O21, -1, 0))/OFFSET($D21, -1, 0))</f>
        <v>7.1111111111111107</v>
      </c>
      <c r="P21" s="27">
        <f ca="1">IF(SUM(OFFSET(Таблица623[[#Headers],[11]],1,0):OFFSET(P21, -1, 0))=0,"",SUM(OFFSET(Таблица623[[#Headers],[11]],1,0):OFFSET(P21, -1, 0))/OFFSET($D21, -1, 0))</f>
        <v>6.5555555555555554</v>
      </c>
      <c r="Q21" s="27">
        <f ca="1">IF(SUM(OFFSET(Таблица623[[#Headers],[12]],1,0):OFFSET(Q21, -1, 0))=0,"",SUM(OFFSET(Таблица623[[#Headers],[12]],1,0):OFFSET(Q21, -1, 0))/OFFSET($D21, -1, 0))</f>
        <v>4.8888888888888893</v>
      </c>
      <c r="R21" s="27">
        <f ca="1">IF(SUM(OFFSET(Таблица623[[#Headers],[13]],1,0):OFFSET(R21, -1, 0))=0,"",SUM(OFFSET(Таблица623[[#Headers],[13]],1,0):OFFSET(R21, -1, 0))/OFFSET($D21, -1, 0))</f>
        <v>6.4444444444444446</v>
      </c>
      <c r="S21" s="27">
        <f ca="1">IF(SUM(OFFSET(Таблица623[[#Headers],[14]],1,0):OFFSET(S21, -1, 0))=0,"",SUM(OFFSET(Таблица623[[#Headers],[14]],1,0):OFFSET(S21, -1, 0))/OFFSET($D21, -1, 0))</f>
        <v>6.1111111111111107</v>
      </c>
      <c r="T21" s="19">
        <f ca="1">IFERROR(AVERAGE(F21:S21),"")</f>
        <v>6.7063492063492065</v>
      </c>
      <c r="U21" s="24">
        <f ca="1">COUNTIF(OFFSET(Таблица623[[#Headers],["Б" и "-"]],1,0):OFFSET(U21,-1,0),"-")</f>
        <v>0</v>
      </c>
      <c r="V21" s="51"/>
      <c r="W21" s="13"/>
    </row>
    <row r="22" spans="1:23" ht="15" customHeight="1" x14ac:dyDescent="0.25">
      <c r="A22" s="49"/>
      <c r="B22" s="51"/>
      <c r="C22" s="36"/>
      <c r="D22" s="36"/>
      <c r="E22" s="5" t="s">
        <v>10</v>
      </c>
      <c r="F22" s="28">
        <f ca="1">IF(SUM(OFFSET(Таблица623[[#Headers],[1]],1,0):OFFSET(F21, -1, 0))=0,"",IF(COUNTIF(OFFSET(Таблица623[[#Headers],[1]],1,0):OFFSET(F21, -1, 0),"&gt;=4")=0,0,COUNTIF(OFFSET(Таблица623[[#Headers],[1]],1,0):OFFSET(F21, -1, 0),"&gt;=4")/OFFSET($D21, -1, 0)*100))</f>
        <v>100</v>
      </c>
      <c r="G22" s="28">
        <f ca="1">IF(SUM(OFFSET(Таблица623[[#Headers],[2]],1,0):OFFSET(G21, -1, 0))=0,"",IF(COUNTIF(OFFSET(Таблица623[[#Headers],[2]],1,0):OFFSET(G21, -1, 0),"&gt;=4")=0,0,COUNTIF(OFFSET(Таблица623[[#Headers],[2]],1,0):OFFSET(G21, -1, 0),"&gt;=4")/OFFSET($D21, -1, 0)*100))</f>
        <v>100</v>
      </c>
      <c r="H22" s="28">
        <f ca="1">IF(SUM(OFFSET(Таблица623[[#Headers],[3]],1,0):OFFSET(H21, -1, 0))=0,"",IF(COUNTIF(OFFSET(Таблица623[[#Headers],[3]],1,0):OFFSET(H21, -1, 0),"&gt;=4")=0,0,COUNTIF(OFFSET(Таблица623[[#Headers],[3]],1,0):OFFSET(H21, -1, 0),"&gt;=4")/OFFSET($D21, -1, 0)*100))</f>
        <v>100</v>
      </c>
      <c r="I22" s="28">
        <f ca="1">IF(SUM(OFFSET(Таблица623[[#Headers],[4]],1,0):OFFSET(I21, -1, 0))=0,"",IF(COUNTIF(OFFSET(Таблица623[[#Headers],[4]],1,0):OFFSET(I21, -1, 0),"&gt;=4")=0,0,COUNTIF(OFFSET(Таблица623[[#Headers],[4]],1,0):OFFSET(I21, -1, 0),"&gt;=4")/OFFSET($D21, -1, 0)*100))</f>
        <v>100</v>
      </c>
      <c r="J22" s="28">
        <f ca="1">IF(SUM(OFFSET(Таблица623[[#Headers],[5]],1,0):OFFSET(J21, -1, 0))=0,"",IF(COUNTIF(OFFSET(Таблица623[[#Headers],[5]],1,0):OFFSET(J21, -1, 0),"&gt;=4")=0,0,COUNTIF(OFFSET(Таблица623[[#Headers],[5]],1,0):OFFSET(J21, -1, 0),"&gt;=4")/OFFSET($D21, -1, 0)*100))</f>
        <v>100</v>
      </c>
      <c r="K22" s="28">
        <f ca="1">IF(SUM(OFFSET(Таблица623[[#Headers],[6]],1,0):OFFSET(K21, -1, 0))=0,"",IF(COUNTIF(OFFSET(Таблица623[[#Headers],[6]],1,0):OFFSET(K21, -1, 0),"&gt;=4")=0,0,COUNTIF(OFFSET(Таблица623[[#Headers],[6]],1,0):OFFSET(K21, -1, 0),"&gt;=4")/OFFSET($D21, -1, 0)*100))</f>
        <v>100</v>
      </c>
      <c r="L22" s="28">
        <f ca="1">IF(SUM(OFFSET(Таблица623[[#Headers],[7]],1,0):OFFSET(L21, -1, 0))=0,"",IF(COUNTIF(OFFSET(Таблица623[[#Headers],[7]],1,0):OFFSET(L21, -1, 0),"&gt;=4")=0,0,COUNTIF(OFFSET(Таблица623[[#Headers],[7]],1,0):OFFSET(L21, -1, 0),"&gt;=4")/OFFSET($D21, -1, 0)*100))</f>
        <v>100</v>
      </c>
      <c r="M22" s="28">
        <f ca="1">IF(SUM(OFFSET(Таблица623[[#Headers],[8]],1,0):OFFSET(M21, -1, 0))=0,"",IF(COUNTIF(OFFSET(Таблица623[[#Headers],[8]],1,0):OFFSET(M21, -1, 0),"&gt;=4")=0,0,COUNTIF(OFFSET(Таблица623[[#Headers],[8]],1,0):OFFSET(M21, -1, 0),"&gt;=4")/OFFSET($D21, -1, 0)*100))</f>
        <v>88.888888888888886</v>
      </c>
      <c r="N22" s="28">
        <f ca="1">IF(SUM(OFFSET(Таблица623[[#Headers],[9]],1,0):OFFSET(N21, -1, 0))=0,"",IF(COUNTIF(OFFSET(Таблица623[[#Headers],[9]],1,0):OFFSET(N21, -1, 0),"&gt;=4")=0,0,COUNTIF(OFFSET(Таблица623[[#Headers],[9]],1,0):OFFSET(N21, -1, 0),"&gt;=4")/OFFSET($D21, -1, 0)*100))</f>
        <v>100</v>
      </c>
      <c r="O22" s="28">
        <f ca="1">IF(SUM(OFFSET(Таблица623[[#Headers],[10]],1,0):OFFSET(O21, -1, 0))=0,"",IF(COUNTIF(OFFSET(Таблица623[[#Headers],[10]],1,0):OFFSET(O21, -1, 0),"&gt;=4")=0,0,COUNTIF(OFFSET(Таблица623[[#Headers],[10]],1,0):OFFSET(O21, -1, 0),"&gt;=4")/OFFSET($D21, -1, 0)*100))</f>
        <v>100</v>
      </c>
      <c r="P22" s="28">
        <f ca="1">IF(SUM(OFFSET(Таблица623[[#Headers],[11]],1,0):OFFSET(P21, -1, 0))=0,"",IF(COUNTIF(OFFSET(Таблица623[[#Headers],[11]],1,0):OFFSET(P21, -1, 0),"&gt;=4")=0,0,COUNTIF(OFFSET(Таблица623[[#Headers],[11]],1,0):OFFSET(P21, -1, 0),"&gt;=4")/OFFSET($D21, -1, 0)*100))</f>
        <v>100</v>
      </c>
      <c r="Q22" s="28">
        <f ca="1">IF(SUM(OFFSET(Таблица623[[#Headers],[12]],1,0):OFFSET(Q21, -1, 0))=0,"",IF(COUNTIF(OFFSET(Таблица623[[#Headers],[12]],1,0):OFFSET(Q21, -1, 0),"&gt;=4")=0,0,COUNTIF(OFFSET(Таблица623[[#Headers],[12]],1,0):OFFSET(Q21, -1, 0),"&gt;=4")/OFFSET($D21, -1, 0)*100))</f>
        <v>88.888888888888886</v>
      </c>
      <c r="R22" s="28">
        <f ca="1">IF(SUM(OFFSET(Таблица623[[#Headers],[13]],1,0):OFFSET(R21, -1, 0))=0,"",IF(COUNTIF(OFFSET(Таблица623[[#Headers],[13]],1,0):OFFSET(R21, -1, 0),"&gt;=4")=0,0,COUNTIF(OFFSET(Таблица623[[#Headers],[13]],1,0):OFFSET(R21, -1, 0),"&gt;=4")/OFFSET($D21, -1, 0)*100))</f>
        <v>100</v>
      </c>
      <c r="S22" s="28">
        <f ca="1">IF(SUM(OFFSET(Таблица623[[#Headers],[14]],1,0):OFFSET(S21, -1, 0))=0,"",IF(COUNTIF(OFFSET(Таблица623[[#Headers],[14]],1,0):OFFSET(S21, -1, 0),"&gt;=4")=0,0,COUNTIF(OFFSET(Таблица623[[#Headers],[14]],1,0):OFFSET(S21, -1, 0),"&gt;=4")/OFFSET($D21, -1, 0)*100))</f>
        <v>100</v>
      </c>
      <c r="T22" s="8"/>
      <c r="U22" s="8"/>
      <c r="V22" s="51"/>
      <c r="W22" s="13"/>
    </row>
    <row r="23" spans="1:23" ht="15" customHeight="1" x14ac:dyDescent="0.25">
      <c r="A23" s="49"/>
      <c r="B23" s="51"/>
      <c r="C23" s="36"/>
      <c r="D23" s="36"/>
      <c r="E23" s="5" t="s">
        <v>11</v>
      </c>
      <c r="F23" s="28">
        <f ca="1">IF(SUM(OFFSET(Таблица623[[#Headers],[1]],1,0):OFFSET(F21, -1, 0))=0,"",IF(COUNTIF(OFFSET(Таблица623[[#Headers],[1]],1,0):OFFSET(F21, -1, 0),"&gt;=7")=0,0,COUNTIF(OFFSET(Таблица623[[#Headers],[1]],1,0):OFFSET(F21, -1, 0),"&gt;=7")/OFFSET($D21, -1, 0)*100))</f>
        <v>88.888888888888886</v>
      </c>
      <c r="G23" s="28">
        <f ca="1">IF(SUM(OFFSET(Таблица623[[#Headers],[2]],1,0):OFFSET(G21, -1, 0))=0,"",IF(COUNTIF(OFFSET(Таблица623[[#Headers],[2]],1,0):OFFSET(G21, -1, 0),"&gt;=7")=0,0,COUNTIF(OFFSET(Таблица623[[#Headers],[2]],1,0):OFFSET(G21, -1, 0),"&gt;=7")/OFFSET($D21, -1, 0)*100))</f>
        <v>77.777777777777786</v>
      </c>
      <c r="H23" s="28">
        <f ca="1">IF(SUM(OFFSET(Таблица623[[#Headers],[3]],1,0):OFFSET(H21, -1, 0))=0,"",IF(COUNTIF(OFFSET(Таблица623[[#Headers],[3]],1,0):OFFSET(H21, -1, 0),"&gt;=7")=0,0,COUNTIF(OFFSET(Таблица623[[#Headers],[3]],1,0):OFFSET(H21, -1, 0),"&gt;=7")/OFFSET($D21, -1, 0)*100))</f>
        <v>55.555555555555557</v>
      </c>
      <c r="I23" s="28">
        <f ca="1">IF(SUM(OFFSET(Таблица623[[#Headers],[4]],1,0):OFFSET(I21, -1, 0))=0,"",IF(COUNTIF(OFFSET(Таблица623[[#Headers],[4]],1,0):OFFSET(I21, -1, 0),"&gt;=7")=0,0,COUNTIF(OFFSET(Таблица623[[#Headers],[4]],1,0):OFFSET(I21, -1, 0),"&gt;=7")/OFFSET($D21, -1, 0)*100))</f>
        <v>77.777777777777786</v>
      </c>
      <c r="J23" s="28">
        <f ca="1">IF(SUM(OFFSET(Таблица623[[#Headers],[5]],1,0):OFFSET(J21, -1, 0))=0,"",IF(COUNTIF(OFFSET(Таблица623[[#Headers],[5]],1,0):OFFSET(J21, -1, 0),"&gt;=7")=0,0,COUNTIF(OFFSET(Таблица623[[#Headers],[5]],1,0):OFFSET(J21, -1, 0),"&gt;=7")/OFFSET($D21, -1, 0)*100))</f>
        <v>33.333333333333329</v>
      </c>
      <c r="K23" s="28">
        <f ca="1">IF(SUM(OFFSET(Таблица623[[#Headers],[6]],1,0):OFFSET(K21, -1, 0))=0,"",IF(COUNTIF(OFFSET(Таблица623[[#Headers],[6]],1,0):OFFSET(K21, -1, 0),"&gt;=7")=0,0,COUNTIF(OFFSET(Таблица623[[#Headers],[6]],1,0):OFFSET(K21, -1, 0),"&gt;=7")/OFFSET($D21, -1, 0)*100))</f>
        <v>55.555555555555557</v>
      </c>
      <c r="L23" s="28">
        <f ca="1">IF(SUM(OFFSET(Таблица623[[#Headers],[7]],1,0):OFFSET(L21, -1, 0))=0,"",IF(COUNTIF(OFFSET(Таблица623[[#Headers],[7]],1,0):OFFSET(L21, -1, 0),"&gt;=7")=0,0,COUNTIF(OFFSET(Таблица623[[#Headers],[7]],1,0):OFFSET(L21, -1, 0),"&gt;=7")/OFFSET($D21, -1, 0)*100))</f>
        <v>55.555555555555557</v>
      </c>
      <c r="M23" s="28">
        <f ca="1">IF(SUM(OFFSET(Таблица623[[#Headers],[8]],1,0):OFFSET(M21, -1, 0))=0,"",IF(COUNTIF(OFFSET(Таблица623[[#Headers],[8]],1,0):OFFSET(M21, -1, 0),"&gt;=7")=0,0,COUNTIF(OFFSET(Таблица623[[#Headers],[8]],1,0):OFFSET(M21, -1, 0),"&gt;=7")/OFFSET($D21, -1, 0)*100))</f>
        <v>55.555555555555557</v>
      </c>
      <c r="N23" s="28">
        <f ca="1">IF(SUM(OFFSET(Таблица623[[#Headers],[9]],1,0):OFFSET(N21, -1, 0))=0,"",IF(COUNTIF(OFFSET(Таблица623[[#Headers],[9]],1,0):OFFSET(N21, -1, 0),"&gt;=7")=0,0,COUNTIF(OFFSET(Таблица623[[#Headers],[9]],1,0):OFFSET(N21, -1, 0),"&gt;=7")/OFFSET($D21, -1, 0)*100))</f>
        <v>22.222222222222221</v>
      </c>
      <c r="O23" s="28">
        <f ca="1">IF(SUM(OFFSET(Таблица623[[#Headers],[10]],1,0):OFFSET(O21, -1, 0))=0,"",IF(COUNTIF(OFFSET(Таблица623[[#Headers],[10]],1,0):OFFSET(O21, -1, 0),"&gt;=7")=0,0,COUNTIF(OFFSET(Таблица623[[#Headers],[10]],1,0):OFFSET(O21, -1, 0),"&gt;=7")/OFFSET($D21, -1, 0)*100))</f>
        <v>33.333333333333329</v>
      </c>
      <c r="P23" s="28">
        <f ca="1">IF(SUM(OFFSET(Таблица623[[#Headers],[11]],1,0):OFFSET(P21, -1, 0))=0,"",IF(COUNTIF(OFFSET(Таблица623[[#Headers],[11]],1,0):OFFSET(P21, -1, 0),"&gt;=7")=0,0,COUNTIF(OFFSET(Таблица623[[#Headers],[11]],1,0):OFFSET(P21, -1, 0),"&gt;=7")/OFFSET($D21, -1, 0)*100))</f>
        <v>33.333333333333329</v>
      </c>
      <c r="Q23" s="28">
        <f ca="1">IF(SUM(OFFSET(Таблица623[[#Headers],[12]],1,0):OFFSET(Q21, -1, 0))=0,"",IF(COUNTIF(OFFSET(Таблица623[[#Headers],[12]],1,0):OFFSET(Q21, -1, 0),"&gt;=7")=0,0,COUNTIF(OFFSET(Таблица623[[#Headers],[12]],1,0):OFFSET(Q21, -1, 0),"&gt;=7")/OFFSET($D21, -1, 0)*100))</f>
        <v>22.222222222222221</v>
      </c>
      <c r="R23" s="28">
        <f ca="1">IF(SUM(OFFSET(Таблица623[[#Headers],[13]],1,0):OFFSET(R21, -1, 0))=0,"",IF(COUNTIF(OFFSET(Таблица623[[#Headers],[13]],1,0):OFFSET(R21, -1, 0),"&gt;=7")=0,0,COUNTIF(OFFSET(Таблица623[[#Headers],[13]],1,0):OFFSET(R21, -1, 0),"&gt;=7")/OFFSET($D21, -1, 0)*100))</f>
        <v>44.444444444444443</v>
      </c>
      <c r="S23" s="28">
        <f ca="1">IF(SUM(OFFSET(Таблица623[[#Headers],[14]],1,0):OFFSET(S21, -1, 0))=0,"",IF(COUNTIF(OFFSET(Таблица623[[#Headers],[14]],1,0):OFFSET(S21, -1, 0),"&gt;=7")=0,0,COUNTIF(OFFSET(Таблица623[[#Headers],[14]],1,0):OFFSET(S21, -1, 0),"&gt;=7")/OFFSET($D21, -1, 0)*100))</f>
        <v>44.444444444444443</v>
      </c>
      <c r="T23" s="36"/>
      <c r="U23" s="36"/>
      <c r="V23" s="51"/>
      <c r="W23" s="13"/>
    </row>
    <row r="24" spans="1:23" ht="15" customHeight="1" x14ac:dyDescent="0.25">
      <c r="A24" s="49"/>
      <c r="B24" s="51"/>
      <c r="C24" s="36"/>
      <c r="D24" s="36"/>
      <c r="E24" s="5" t="s">
        <v>12</v>
      </c>
      <c r="F24" s="27">
        <f ca="1">IF(COUNT(F22:S22)&lt;14,"",AVERAGE(F22:S22))</f>
        <v>98.412698412698418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51"/>
      <c r="W24" s="13"/>
    </row>
    <row r="25" spans="1:23" ht="15" customHeight="1" x14ac:dyDescent="0.25">
      <c r="A25" s="49"/>
      <c r="B25" s="51"/>
      <c r="C25" s="36"/>
      <c r="D25" s="36"/>
      <c r="E25" s="5" t="s">
        <v>13</v>
      </c>
      <c r="F25" s="27">
        <f ca="1">IF(COUNT(F23:S23)&lt;14,"",AVERAGE(F23:S23))</f>
        <v>50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51"/>
      <c r="W25" s="13"/>
    </row>
    <row r="26" spans="1:23" ht="15" customHeight="1" x14ac:dyDescent="0.25">
      <c r="A26" s="49"/>
      <c r="B26" s="51"/>
      <c r="C26" s="36"/>
      <c r="D26" s="36"/>
      <c r="E26" s="5" t="s">
        <v>14</v>
      </c>
      <c r="F26" s="39">
        <f ca="1">IF(COUNTIF(OFFSET(Таблица623[[#Headers],[''Б/К]],1,0):OFFSET($C21, -1, 0),"=Б")=0,IF(COUNTIF(OFFSET(Таблица623[[#Headers],[''Б/К]],1,0):OFFSET($C21, -1, 0),"=К")=0,"",0),COUNTIF(OFFSET(Таблица623[[#Headers],[''Б/К]],1,0):OFFSET($C21, -1, 0),"=Б"))</f>
        <v>0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51"/>
      <c r="W26" s="13"/>
    </row>
    <row r="27" spans="1:23" ht="15" customHeight="1" x14ac:dyDescent="0.25">
      <c r="A27" s="49"/>
      <c r="B27" s="51"/>
      <c r="C27" s="36"/>
      <c r="D27" s="36"/>
      <c r="E27" s="5" t="s">
        <v>15</v>
      </c>
      <c r="F27" s="39">
        <f ca="1">IF(COUNTIF(OFFSET(Таблица623[[#Headers],[''Б/К]],1,0):OFFSET($C21, -1, 0),"=К")=0,IF(COUNTIF(OFFSET(Таблица623[[#Headers],[''Б/К]],1,0):OFFSET($C21, -1, 0),"=Б")=0,"",0),COUNTIF(OFFSET(Таблица623[[#Headers],[''Б/К]],1,0):OFFSET($C21, -1, 0),"=К"))</f>
        <v>9</v>
      </c>
      <c r="G27" s="36"/>
      <c r="H27" s="40" t="s">
        <v>16</v>
      </c>
      <c r="I27" s="41"/>
      <c r="J27" s="41"/>
      <c r="K27" s="41"/>
      <c r="L27" s="41"/>
      <c r="M27" s="41"/>
      <c r="N27" s="40"/>
      <c r="O27" s="42" t="s">
        <v>47</v>
      </c>
      <c r="P27" s="25"/>
      <c r="Q27" s="26"/>
      <c r="R27" s="25"/>
      <c r="S27" s="36"/>
      <c r="T27" s="36"/>
      <c r="U27" s="36"/>
      <c r="V27" s="51"/>
      <c r="W27" s="13"/>
    </row>
    <row r="28" spans="1:23" ht="15" customHeight="1" x14ac:dyDescent="0.25">
      <c r="A28" s="49"/>
      <c r="B28" s="51"/>
      <c r="C28" s="36"/>
      <c r="D28" s="36"/>
      <c r="E28" s="5" t="s">
        <v>17</v>
      </c>
      <c r="F28" s="29">
        <v>3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51"/>
      <c r="W28" s="13"/>
    </row>
    <row r="29" spans="1:23" ht="15" customHeight="1" x14ac:dyDescent="0.25">
      <c r="A29" s="49"/>
      <c r="B29" s="51"/>
      <c r="C29" s="36"/>
      <c r="D29" s="36"/>
      <c r="E29" s="5" t="s">
        <v>18</v>
      </c>
      <c r="F29" s="39">
        <f ca="1">IF(F26="","",IF(ROUNDDOWN(F26/100*40,0)&lt;F26-U21,ROUNDDOWN(F26/100*40,0),F26-U21))</f>
        <v>0</v>
      </c>
      <c r="G29" s="36"/>
      <c r="H29" s="42" t="s">
        <v>48</v>
      </c>
      <c r="I29" s="41"/>
      <c r="J29" s="41"/>
      <c r="K29" s="41"/>
      <c r="L29" s="41"/>
      <c r="M29" s="41"/>
      <c r="N29" s="40"/>
      <c r="O29" s="42" t="s">
        <v>19</v>
      </c>
      <c r="P29" s="26"/>
      <c r="Q29" s="26"/>
      <c r="R29" s="26"/>
      <c r="S29" s="36"/>
      <c r="T29" s="36"/>
      <c r="U29" s="36"/>
      <c r="V29" s="51"/>
      <c r="W29" s="13"/>
    </row>
    <row r="30" spans="1:23" ht="12" customHeight="1" thickBot="1" x14ac:dyDescent="0.3">
      <c r="A30" s="49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13"/>
    </row>
    <row r="31" spans="1:23" ht="12" customHeight="1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</row>
  </sheetData>
  <sheetProtection formatCells="0" insertColumns="0" insertRows="0" deleteColumns="0" deleteRows="0" sort="0"/>
  <mergeCells count="17">
    <mergeCell ref="B31:V31"/>
    <mergeCell ref="C8:T8"/>
    <mergeCell ref="C9:C10"/>
    <mergeCell ref="D9:D10"/>
    <mergeCell ref="E9:E10"/>
    <mergeCell ref="F9:T9"/>
    <mergeCell ref="B30:V30"/>
    <mergeCell ref="B1:V1"/>
    <mergeCell ref="A2:A30"/>
    <mergeCell ref="B2:V2"/>
    <mergeCell ref="B3:B29"/>
    <mergeCell ref="C3:T3"/>
    <mergeCell ref="V3:V29"/>
    <mergeCell ref="C4:T4"/>
    <mergeCell ref="C5:T5"/>
    <mergeCell ref="C6:T6"/>
    <mergeCell ref="C7:T7"/>
  </mergeCells>
  <conditionalFormatting sqref="C17 E17:S17">
    <cfRule type="expression" dxfId="7" priority="2">
      <formula>$V$17&lt;&gt;""</formula>
    </cfRule>
  </conditionalFormatting>
  <conditionalFormatting sqref="C18:C20 E18:S20">
    <cfRule type="expression" dxfId="6" priority="3">
      <formula>$V$18&lt;&gt;""</formula>
    </cfRule>
  </conditionalFormatting>
  <conditionalFormatting sqref="D17:D20 C12:S16">
    <cfRule type="expression" dxfId="5" priority="1">
      <formula>$V$12&lt;&gt;""</formula>
    </cfRule>
  </conditionalFormatting>
  <conditionalFormatting sqref="T12:U20">
    <cfRule type="expression" dxfId="4" priority="4">
      <formula>#REF!&lt;&gt;""</formula>
    </cfRule>
  </conditionalFormatting>
  <printOptions horizontalCentered="1"/>
  <pageMargins left="0" right="0" top="0" bottom="0" header="0" footer="0"/>
  <pageSetup paperSize="9" scale="8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172</vt:lpstr>
      <vt:lpstr>Рейтингова 172</vt:lpstr>
      <vt:lpstr>Зведена 241</vt:lpstr>
      <vt:lpstr>Зведена 242</vt:lpstr>
      <vt:lpstr>'Зведена 172'!Область_печати</vt:lpstr>
      <vt:lpstr>'Зведена 241'!Область_печати</vt:lpstr>
      <vt:lpstr>'Зведена 242'!Область_печати</vt:lpstr>
      <vt:lpstr>'Рейтингова 172'!Область_печати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2024-12-04T12:45:21Z</cp:lastPrinted>
  <dcterms:created xsi:type="dcterms:W3CDTF">2006-09-28T05:33:49Z</dcterms:created>
  <dcterms:modified xsi:type="dcterms:W3CDTF">2024-12-26T11:36:42Z</dcterms:modified>
</cp:coreProperties>
</file>